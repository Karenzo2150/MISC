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9121622-B168-47BA-8A66-8AB4CBC4FF45}" xr6:coauthVersionLast="47" xr6:coauthVersionMax="47" xr10:uidLastSave="{00000000-0000-0000-0000-000000000000}"/>
  <bookViews>
    <workbookView xWindow="-28920" yWindow="2025" windowWidth="29040" windowHeight="15720" tabRatio="687" firstSheet="1" activeTab="1" xr2:uid="{00000000-000D-0000-FFFF-FFFF00000000}"/>
  </bookViews>
  <sheets>
    <sheet name="ControlSheet" sheetId="6" state="hidden" r:id="rId1"/>
    <sheet name="Complete DataSet A" sheetId="11" r:id="rId2"/>
    <sheet name="Complete DataSet Q" sheetId="12" r:id="rId3"/>
    <sheet name="Sheet1" sheetId="14" r:id="rId4"/>
  </sheets>
  <definedNames>
    <definedName name="_AMO_UniqueIdentifier" hidden="1">"'dfdee4c9-c302-432d-adeb-02968873dd32'"</definedName>
    <definedName name="DATES_A" localSheetId="1">'Complete DataSet A'!$E$2:$AE$2</definedName>
    <definedName name="DATES_Q" localSheetId="2">'Complete DataSet Q'!$E$4:$AZ$4</definedName>
    <definedName name="DATES_Q">#REF!</definedName>
    <definedName name="NAMES_A" localSheetId="1">'Complete DataSet A'!$C$5:$C$299</definedName>
    <definedName name="NAMES_Q" localSheetId="2">'Complete DataSet Q'!$C$7:$C$267</definedName>
    <definedName name="NAMES_Q">#REF!</definedName>
    <definedName name="_xlnm.Print_Area" localSheetId="2">'Complete DataSet Q'!$A$272:$BD$302</definedName>
    <definedName name="WEO_ALL" localSheetId="1">'Complete DataSet A'!$F$304:$AL$334</definedName>
    <definedName name="WEO_ALL">#REF!</definedName>
    <definedName name="WEOGAS_Rwametric_Qdata" localSheetId="2">'Complete DataSet Q'!$E$272:$CB$302</definedName>
    <definedName name="WEOGAS_Rwametric_Qdata">#REF!</definedName>
  </definedNames>
  <calcPr calcId="191029"/>
</workbook>
</file>

<file path=xl/calcChain.xml><?xml version="1.0" encoding="utf-8"?>
<calcChain xmlns="http://schemas.openxmlformats.org/spreadsheetml/2006/main">
  <c r="B272" i="12" l="1"/>
  <c r="E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J327" i="11"/>
  <c r="AK327" i="11"/>
  <c r="AL327" i="11"/>
  <c r="F327" i="11"/>
  <c r="CD301" i="12" l="1"/>
  <c r="CE301" i="12"/>
  <c r="CF301" i="12"/>
  <c r="CG301" i="12"/>
  <c r="CD302" i="12"/>
  <c r="CE302" i="12"/>
  <c r="CF302" i="12"/>
  <c r="CG302" i="12"/>
  <c r="CE300" i="12"/>
  <c r="CF300" i="12"/>
  <c r="CG300" i="12"/>
  <c r="BX300" i="12" s="1"/>
  <c r="CD300" i="12"/>
  <c r="CD286" i="12"/>
  <c r="CE286" i="12"/>
  <c r="CF286" i="12"/>
  <c r="BQ286" i="12" s="1"/>
  <c r="BR286" i="12" s="1"/>
  <c r="BS286" i="12" s="1"/>
  <c r="BT286" i="12" s="1"/>
  <c r="CG286" i="12"/>
  <c r="CH286" i="12"/>
  <c r="CD287" i="12"/>
  <c r="CE287" i="12"/>
  <c r="CF287" i="12"/>
  <c r="BQ287" i="12" s="1"/>
  <c r="CG287" i="12"/>
  <c r="CH287" i="12"/>
  <c r="CE285" i="12"/>
  <c r="CF285" i="12"/>
  <c r="BQ285" i="12" s="1"/>
  <c r="CG285" i="12"/>
  <c r="CH285" i="12"/>
  <c r="CD285" i="12"/>
  <c r="BQ300" i="12"/>
  <c r="BR300" i="12"/>
  <c r="BS300" i="12"/>
  <c r="BT300" i="12"/>
  <c r="BQ301" i="12"/>
  <c r="BR301" i="12"/>
  <c r="BS301" i="12"/>
  <c r="BT301" i="12"/>
  <c r="BQ302" i="12"/>
  <c r="BR302" i="12"/>
  <c r="BS302" i="12"/>
  <c r="BT302" i="12"/>
  <c r="BI300" i="12"/>
  <c r="BJ300" i="12"/>
  <c r="BK300" i="12"/>
  <c r="BL300" i="12"/>
  <c r="BM300" i="12"/>
  <c r="BN300" i="12"/>
  <c r="BO300" i="12"/>
  <c r="BP300" i="12"/>
  <c r="BI301" i="12"/>
  <c r="BJ301" i="12"/>
  <c r="BK301" i="12"/>
  <c r="BL301" i="12"/>
  <c r="BM301" i="12"/>
  <c r="BN301" i="12"/>
  <c r="BO301" i="12"/>
  <c r="BP301" i="12"/>
  <c r="BI302" i="12"/>
  <c r="BJ302" i="12"/>
  <c r="BK302" i="12"/>
  <c r="BL302" i="12"/>
  <c r="BM302" i="12"/>
  <c r="BN302" i="12"/>
  <c r="BO302" i="12"/>
  <c r="BP302" i="12"/>
  <c r="BU298" i="12"/>
  <c r="BU297" i="12"/>
  <c r="BQ297" i="12"/>
  <c r="BR297" i="12"/>
  <c r="BS297" i="12"/>
  <c r="BT297" i="12"/>
  <c r="BQ298" i="12"/>
  <c r="BR298" i="12"/>
  <c r="BS298" i="12"/>
  <c r="BT298" i="12"/>
  <c r="BI297" i="12"/>
  <c r="BJ297" i="12"/>
  <c r="BK297" i="12"/>
  <c r="BL297" i="12"/>
  <c r="BM297" i="12"/>
  <c r="BN297" i="12"/>
  <c r="BO297" i="12"/>
  <c r="BP297" i="12"/>
  <c r="BI298" i="12"/>
  <c r="BJ298" i="12"/>
  <c r="BK298" i="12"/>
  <c r="BL298" i="12"/>
  <c r="BM298" i="12"/>
  <c r="BN298" i="12"/>
  <c r="BO298" i="12"/>
  <c r="BP298" i="12"/>
  <c r="BI290" i="12"/>
  <c r="BJ290" i="12"/>
  <c r="BK290" i="12"/>
  <c r="BL290" i="12"/>
  <c r="BM290" i="12"/>
  <c r="BN290" i="12"/>
  <c r="BO290" i="12"/>
  <c r="BP290" i="12"/>
  <c r="BI291" i="12"/>
  <c r="BJ291" i="12"/>
  <c r="BK291" i="12"/>
  <c r="BL291" i="12"/>
  <c r="BM291" i="12"/>
  <c r="BN291" i="12"/>
  <c r="BO291" i="12"/>
  <c r="BP291" i="12"/>
  <c r="BI292" i="12"/>
  <c r="BJ292" i="12"/>
  <c r="BK292" i="12"/>
  <c r="BL292" i="12"/>
  <c r="BM292" i="12"/>
  <c r="BN292" i="12"/>
  <c r="BO292" i="12"/>
  <c r="BP292" i="12"/>
  <c r="BI293" i="12"/>
  <c r="BJ293" i="12"/>
  <c r="BK293" i="12"/>
  <c r="BL293" i="12"/>
  <c r="BM293" i="12"/>
  <c r="BN293" i="12"/>
  <c r="BO293" i="12"/>
  <c r="BP293" i="12"/>
  <c r="BI294" i="12"/>
  <c r="BJ294" i="12"/>
  <c r="BK294" i="12"/>
  <c r="BL294" i="12"/>
  <c r="BM294" i="12"/>
  <c r="BN294" i="12"/>
  <c r="BO294" i="12"/>
  <c r="BP294" i="12"/>
  <c r="BQ289" i="12"/>
  <c r="BI288" i="12"/>
  <c r="BJ288" i="12"/>
  <c r="BK288" i="12"/>
  <c r="BL288" i="12"/>
  <c r="BM288" i="12"/>
  <c r="BN288" i="12"/>
  <c r="BO288" i="12"/>
  <c r="BP288" i="12"/>
  <c r="BI289" i="12"/>
  <c r="BJ289" i="12"/>
  <c r="BK289" i="12"/>
  <c r="BL289" i="12"/>
  <c r="BM289" i="12"/>
  <c r="BN289" i="12"/>
  <c r="BO289" i="12"/>
  <c r="BP289" i="12"/>
  <c r="BI287" i="12"/>
  <c r="BJ287" i="12"/>
  <c r="BK287" i="12"/>
  <c r="BL287" i="12"/>
  <c r="BM287" i="12"/>
  <c r="BN287" i="12"/>
  <c r="BO287" i="12"/>
  <c r="BP287" i="12"/>
  <c r="BQ288" i="12"/>
  <c r="BJ286" i="12"/>
  <c r="BK286" i="12"/>
  <c r="BL286" i="12"/>
  <c r="BM286" i="12"/>
  <c r="BN286" i="12"/>
  <c r="BO286" i="12"/>
  <c r="BP286" i="12"/>
  <c r="BK285" i="12"/>
  <c r="BL285" i="12"/>
  <c r="BM285" i="12"/>
  <c r="BN285" i="12"/>
  <c r="BO285" i="12"/>
  <c r="BP285" i="12"/>
  <c r="BI285" i="12"/>
  <c r="BJ285" i="12"/>
  <c r="BS283" i="12"/>
  <c r="BT283" i="12"/>
  <c r="BP283" i="12"/>
  <c r="BQ283" i="12"/>
  <c r="BR283" i="12"/>
  <c r="BI283" i="12"/>
  <c r="BJ283" i="12"/>
  <c r="BK283" i="12"/>
  <c r="BL283" i="12"/>
  <c r="BM283" i="12"/>
  <c r="BN283" i="12"/>
  <c r="BO283" i="12"/>
  <c r="BI286" i="12"/>
  <c r="BJ278" i="12"/>
  <c r="BK278" i="12"/>
  <c r="BL278" i="12"/>
  <c r="BM278" i="12"/>
  <c r="BN278" i="12"/>
  <c r="BO278" i="12"/>
  <c r="BP278" i="12"/>
  <c r="BO275" i="12"/>
  <c r="BP275" i="12"/>
  <c r="BJ275" i="12"/>
  <c r="BK275" i="12"/>
  <c r="BL275" i="12"/>
  <c r="BM275" i="12"/>
  <c r="BN275" i="12"/>
  <c r="BI275" i="12"/>
  <c r="BI278" i="12"/>
  <c r="B267" i="12"/>
  <c r="B266" i="12"/>
  <c r="B265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39" i="12"/>
  <c r="B240" i="12"/>
  <c r="B241" i="12"/>
  <c r="B242" i="12"/>
  <c r="B243" i="12"/>
  <c r="B244" i="12"/>
  <c r="B246" i="12"/>
  <c r="B234" i="12"/>
  <c r="B237" i="12"/>
  <c r="B238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12" i="12"/>
  <c r="B213" i="12"/>
  <c r="B214" i="12"/>
  <c r="B215" i="12"/>
  <c r="B216" i="12"/>
  <c r="B217" i="12"/>
  <c r="B218" i="12"/>
  <c r="B211" i="12"/>
  <c r="B200" i="12"/>
  <c r="B201" i="12"/>
  <c r="B202" i="12"/>
  <c r="B203" i="12"/>
  <c r="B204" i="12"/>
  <c r="B205" i="12"/>
  <c r="B206" i="12"/>
  <c r="B199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56" i="12"/>
  <c r="B146" i="12"/>
  <c r="B147" i="12"/>
  <c r="B148" i="12"/>
  <c r="B149" i="12"/>
  <c r="B150" i="12"/>
  <c r="B151" i="12"/>
  <c r="B152" i="12"/>
  <c r="B153" i="12"/>
  <c r="B154" i="12"/>
  <c r="B145" i="12"/>
  <c r="B21" i="12"/>
  <c r="B22" i="12"/>
  <c r="B23" i="12"/>
  <c r="B24" i="12"/>
  <c r="B25" i="12"/>
  <c r="B26" i="12"/>
  <c r="B27" i="12"/>
  <c r="B20" i="12"/>
  <c r="B9" i="12"/>
  <c r="B10" i="12"/>
  <c r="B11" i="12"/>
  <c r="B12" i="12"/>
  <c r="B13" i="12"/>
  <c r="B14" i="12"/>
  <c r="B15" i="12"/>
  <c r="B16" i="12"/>
  <c r="B8" i="12"/>
  <c r="AL334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AL333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AL332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AL330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AL329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AL326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AL325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AL324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AL323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AL322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AL321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AL320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AL319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AL318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AL317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AL315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AL314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AL312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AL310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AL308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AL307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E304" i="11"/>
  <c r="AM1" i="11"/>
  <c r="AN1" i="11"/>
  <c r="B5" i="11"/>
  <c r="BR285" i="12" l="1"/>
  <c r="BS285" i="12" s="1"/>
  <c r="BT285" i="12" s="1"/>
  <c r="B298" i="11"/>
  <c r="B299" i="11"/>
  <c r="B297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67" i="11"/>
  <c r="B268" i="11"/>
  <c r="B269" i="11"/>
  <c r="B270" i="11"/>
  <c r="B271" i="11"/>
  <c r="B272" i="11"/>
  <c r="B273" i="11"/>
  <c r="B266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49" i="11"/>
  <c r="B241" i="11"/>
  <c r="B242" i="11"/>
  <c r="B243" i="11"/>
  <c r="B244" i="11"/>
  <c r="B245" i="11"/>
  <c r="B246" i="11"/>
  <c r="B247" i="11"/>
  <c r="B240" i="11"/>
  <c r="B229" i="11"/>
  <c r="B230" i="11"/>
  <c r="B231" i="11"/>
  <c r="B232" i="11"/>
  <c r="B233" i="11"/>
  <c r="B234" i="11"/>
  <c r="B227" i="11"/>
  <c r="B228" i="11"/>
  <c r="B217" i="11"/>
  <c r="B218" i="11"/>
  <c r="B219" i="11"/>
  <c r="B220" i="11"/>
  <c r="B221" i="11"/>
  <c r="B222" i="11"/>
  <c r="B223" i="11"/>
  <c r="B22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184" i="11"/>
  <c r="B174" i="11"/>
  <c r="B175" i="11"/>
  <c r="B176" i="11"/>
  <c r="B177" i="11"/>
  <c r="B178" i="11"/>
  <c r="B179" i="11"/>
  <c r="B180" i="11"/>
  <c r="B181" i="11"/>
  <c r="B182" i="11"/>
  <c r="B173" i="11"/>
  <c r="B58" i="11"/>
  <c r="B41" i="11"/>
  <c r="B45" i="11" s="1"/>
  <c r="B33" i="11"/>
  <c r="B34" i="11"/>
  <c r="B35" i="11"/>
  <c r="B36" i="11"/>
  <c r="B37" i="11"/>
  <c r="B38" i="11"/>
  <c r="B39" i="11"/>
  <c r="B32" i="11"/>
  <c r="B12" i="11"/>
  <c r="B13" i="11"/>
  <c r="B14" i="11"/>
  <c r="B15" i="11"/>
  <c r="B16" i="11"/>
  <c r="B17" i="11"/>
  <c r="B18" i="11"/>
  <c r="B19" i="11"/>
  <c r="B11" i="11"/>
  <c r="B237" i="11"/>
  <c r="B236" i="11"/>
  <c r="B165" i="11"/>
  <c r="B166" i="11"/>
  <c r="B167" i="11"/>
  <c r="B168" i="11"/>
  <c r="B155" i="11"/>
  <c r="B156" i="11"/>
  <c r="B157" i="11"/>
  <c r="B158" i="11"/>
  <c r="B159" i="11"/>
  <c r="B160" i="11"/>
  <c r="B161" i="11"/>
  <c r="B162" i="11"/>
  <c r="B163" i="11"/>
  <c r="B154" i="11"/>
  <c r="B132" i="11"/>
  <c r="B133" i="11"/>
  <c r="B134" i="11"/>
  <c r="B135" i="11"/>
  <c r="B136" i="11"/>
  <c r="B137" i="11"/>
  <c r="B138" i="11"/>
  <c r="B140" i="11"/>
  <c r="B141" i="11"/>
  <c r="B142" i="11"/>
  <c r="B143" i="11"/>
  <c r="B144" i="11"/>
  <c r="B145" i="11"/>
  <c r="B146" i="11"/>
  <c r="B147" i="11"/>
  <c r="B149" i="11"/>
  <c r="B150" i="11"/>
  <c r="B151" i="11"/>
  <c r="B121" i="11"/>
  <c r="B122" i="11"/>
  <c r="B123" i="11"/>
  <c r="B124" i="11"/>
  <c r="B126" i="11"/>
  <c r="B127" i="11"/>
  <c r="B129" i="11"/>
  <c r="B130" i="11"/>
  <c r="B114" i="11"/>
  <c r="B115" i="11"/>
  <c r="B116" i="11"/>
  <c r="B117" i="11"/>
  <c r="B118" i="11"/>
  <c r="B119" i="11"/>
  <c r="B109" i="11"/>
  <c r="B110" i="11"/>
  <c r="B111" i="11"/>
  <c r="B108" i="11"/>
  <c r="B101" i="11"/>
  <c r="B102" i="11"/>
  <c r="B104" i="11"/>
  <c r="B105" i="11"/>
  <c r="B98" i="11"/>
  <c r="B99" i="11"/>
  <c r="B94" i="11"/>
  <c r="B95" i="11"/>
  <c r="B93" i="11"/>
  <c r="B67" i="11"/>
  <c r="B68" i="11"/>
  <c r="B69" i="11"/>
  <c r="B70" i="11"/>
  <c r="B71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62" i="11"/>
  <c r="B63" i="11"/>
  <c r="B64" i="11"/>
  <c r="B65" i="11"/>
  <c r="B61" i="11"/>
  <c r="B55" i="11"/>
  <c r="B56" i="11"/>
  <c r="B54" i="11"/>
  <c r="B50" i="11"/>
  <c r="B51" i="11"/>
  <c r="B48" i="11"/>
  <c r="B42" i="11"/>
  <c r="B30" i="11"/>
  <c r="B27" i="11"/>
  <c r="B21" i="11"/>
  <c r="B22" i="11"/>
  <c r="B23" i="11"/>
  <c r="B24" i="11"/>
  <c r="B20" i="11"/>
  <c r="B9" i="11"/>
  <c r="B8" i="11"/>
  <c r="BV302" i="12" l="1"/>
  <c r="BH302" i="12"/>
  <c r="BG302" i="12"/>
  <c r="BF302" i="12"/>
  <c r="BE302" i="12"/>
  <c r="BD302" i="12"/>
  <c r="BC302" i="12"/>
  <c r="BB302" i="12"/>
  <c r="BA302" i="12"/>
  <c r="AZ302" i="12"/>
  <c r="AY302" i="12"/>
  <c r="AX302" i="12"/>
  <c r="AW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F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M302" i="12"/>
  <c r="L302" i="12"/>
  <c r="K302" i="12"/>
  <c r="J302" i="12"/>
  <c r="I302" i="12"/>
  <c r="BW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W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F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O301" i="12"/>
  <c r="N301" i="12"/>
  <c r="M301" i="12"/>
  <c r="L301" i="12"/>
  <c r="K301" i="12"/>
  <c r="J301" i="12"/>
  <c r="I301" i="12"/>
  <c r="BV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W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F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M300" i="12"/>
  <c r="L300" i="12"/>
  <c r="K300" i="12"/>
  <c r="J300" i="12"/>
  <c r="I300" i="12"/>
  <c r="BV298" i="12"/>
  <c r="BW298" i="12" s="1"/>
  <c r="BX298" i="12" s="1"/>
  <c r="BY298" i="12" s="1"/>
  <c r="BZ298" i="12" s="1"/>
  <c r="CA298" i="12" s="1"/>
  <c r="CB298" i="12" s="1"/>
  <c r="BH298" i="12"/>
  <c r="BG298" i="12"/>
  <c r="BF298" i="12"/>
  <c r="BE298" i="12"/>
  <c r="BD298" i="12"/>
  <c r="BC298" i="12"/>
  <c r="BB298" i="12"/>
  <c r="BA298" i="12"/>
  <c r="AZ298" i="12"/>
  <c r="AY298" i="12"/>
  <c r="AX298" i="12"/>
  <c r="AW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F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M298" i="12"/>
  <c r="L298" i="12"/>
  <c r="K298" i="12"/>
  <c r="J298" i="12"/>
  <c r="I298" i="12"/>
  <c r="H298" i="12"/>
  <c r="G298" i="12"/>
  <c r="F298" i="12"/>
  <c r="E298" i="12"/>
  <c r="BV297" i="12"/>
  <c r="BW297" i="12" s="1"/>
  <c r="BX297" i="12" s="1"/>
  <c r="BY297" i="12" s="1"/>
  <c r="BZ297" i="12" s="1"/>
  <c r="CA297" i="12" s="1"/>
  <c r="CB297" i="12" s="1"/>
  <c r="BH297" i="12"/>
  <c r="BG297" i="12"/>
  <c r="BF297" i="12"/>
  <c r="BE297" i="12"/>
  <c r="BD297" i="12"/>
  <c r="BC297" i="12"/>
  <c r="BB297" i="12"/>
  <c r="BA297" i="12"/>
  <c r="AZ297" i="12"/>
  <c r="AY297" i="12"/>
  <c r="AX297" i="12"/>
  <c r="AW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F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O297" i="12"/>
  <c r="N297" i="12"/>
  <c r="M297" i="12"/>
  <c r="L297" i="12"/>
  <c r="K297" i="12"/>
  <c r="J297" i="12"/>
  <c r="I297" i="12"/>
  <c r="H297" i="12"/>
  <c r="G297" i="12"/>
  <c r="F297" i="12"/>
  <c r="E297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H294" i="12"/>
  <c r="BG294" i="12"/>
  <c r="BF294" i="12"/>
  <c r="BE294" i="12"/>
  <c r="BD294" i="12"/>
  <c r="BC294" i="12"/>
  <c r="BB294" i="12"/>
  <c r="BA294" i="12"/>
  <c r="AZ294" i="12"/>
  <c r="AY294" i="12"/>
  <c r="AX294" i="12"/>
  <c r="AW294" i="12"/>
  <c r="AV294" i="12"/>
  <c r="AU294" i="12"/>
  <c r="AT294" i="12"/>
  <c r="AS294" i="12"/>
  <c r="AR294" i="12"/>
  <c r="AQ294" i="12"/>
  <c r="AP294" i="12"/>
  <c r="AO294" i="12"/>
  <c r="AN294" i="12"/>
  <c r="AM294" i="12"/>
  <c r="AL294" i="12"/>
  <c r="AK294" i="12"/>
  <c r="AJ294" i="12"/>
  <c r="AI294" i="12"/>
  <c r="AH294" i="12"/>
  <c r="AG294" i="12"/>
  <c r="AF294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M294" i="12"/>
  <c r="L294" i="12"/>
  <c r="K294" i="12"/>
  <c r="J294" i="12"/>
  <c r="I294" i="12"/>
  <c r="H294" i="12"/>
  <c r="G294" i="12"/>
  <c r="F294" i="12"/>
  <c r="E294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H293" i="12"/>
  <c r="BG293" i="12"/>
  <c r="BF293" i="12"/>
  <c r="BE293" i="12"/>
  <c r="BD293" i="12"/>
  <c r="BC293" i="12"/>
  <c r="BB293" i="12"/>
  <c r="BA293" i="12"/>
  <c r="AZ293" i="12"/>
  <c r="AY293" i="12"/>
  <c r="AX293" i="12"/>
  <c r="AW293" i="12"/>
  <c r="AV293" i="12"/>
  <c r="AU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G293" i="12"/>
  <c r="AF293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G293" i="12"/>
  <c r="F293" i="12"/>
  <c r="E293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H292" i="12"/>
  <c r="BG292" i="12"/>
  <c r="BF292" i="12"/>
  <c r="BE292" i="12"/>
  <c r="BD292" i="12"/>
  <c r="BC292" i="12"/>
  <c r="BB292" i="12"/>
  <c r="BA292" i="12"/>
  <c r="AZ292" i="12"/>
  <c r="AY292" i="12"/>
  <c r="AX292" i="12"/>
  <c r="AW292" i="12"/>
  <c r="AV292" i="12"/>
  <c r="AU292" i="12"/>
  <c r="AT292" i="12"/>
  <c r="AS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G292" i="12"/>
  <c r="AF292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G292" i="12"/>
  <c r="F292" i="12"/>
  <c r="E292" i="12"/>
  <c r="CB291" i="12"/>
  <c r="CA291" i="12"/>
  <c r="BZ291" i="12"/>
  <c r="BY291" i="12"/>
  <c r="BX291" i="12"/>
  <c r="BW291" i="12"/>
  <c r="BV291" i="12"/>
  <c r="BU291" i="12"/>
  <c r="BT291" i="12"/>
  <c r="BS291" i="12"/>
  <c r="BR291" i="12"/>
  <c r="BQ291" i="12"/>
  <c r="BH291" i="12"/>
  <c r="BG291" i="12"/>
  <c r="BF291" i="12"/>
  <c r="BE291" i="12"/>
  <c r="BD291" i="12"/>
  <c r="BC291" i="12"/>
  <c r="BB291" i="12"/>
  <c r="BA291" i="12"/>
  <c r="AZ291" i="12"/>
  <c r="AY291" i="12"/>
  <c r="AX291" i="12"/>
  <c r="AW291" i="12"/>
  <c r="AV291" i="12"/>
  <c r="AU291" i="12"/>
  <c r="AT291" i="12"/>
  <c r="AS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AF291" i="12"/>
  <c r="AE291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P291" i="12"/>
  <c r="O291" i="12"/>
  <c r="N291" i="12"/>
  <c r="M291" i="12"/>
  <c r="L291" i="12"/>
  <c r="K291" i="12"/>
  <c r="J291" i="12"/>
  <c r="I291" i="12"/>
  <c r="H291" i="12"/>
  <c r="G291" i="12"/>
  <c r="F291" i="12"/>
  <c r="E291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W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F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W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F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O289" i="12"/>
  <c r="N289" i="12"/>
  <c r="M289" i="12"/>
  <c r="L289" i="12"/>
  <c r="K289" i="12"/>
  <c r="J289" i="12"/>
  <c r="I289" i="12"/>
  <c r="H289" i="12"/>
  <c r="G289" i="12"/>
  <c r="F289" i="12"/>
  <c r="E289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W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F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M288" i="12"/>
  <c r="L288" i="12"/>
  <c r="K288" i="12"/>
  <c r="J288" i="12"/>
  <c r="I288" i="12"/>
  <c r="H288" i="12"/>
  <c r="G288" i="12"/>
  <c r="F288" i="12"/>
  <c r="E288" i="12"/>
  <c r="C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W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F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M287" i="12"/>
  <c r="L287" i="12"/>
  <c r="K287" i="12"/>
  <c r="J287" i="12"/>
  <c r="I287" i="12"/>
  <c r="H287" i="12"/>
  <c r="G287" i="12"/>
  <c r="F287" i="12"/>
  <c r="E287" i="12"/>
  <c r="C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W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CI285" i="12"/>
  <c r="BH285" i="12"/>
  <c r="BG285" i="12"/>
  <c r="BF285" i="12"/>
  <c r="BE285" i="12"/>
  <c r="BD285" i="12"/>
  <c r="BC285" i="12"/>
  <c r="BB285" i="12"/>
  <c r="BA285" i="12"/>
  <c r="AZ285" i="12"/>
  <c r="AY285" i="12"/>
  <c r="AX285" i="12"/>
  <c r="AW285" i="12"/>
  <c r="AV285" i="12"/>
  <c r="AU285" i="12"/>
  <c r="AT285" i="12"/>
  <c r="AS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G285" i="12"/>
  <c r="AF285" i="12"/>
  <c r="AE285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G285" i="12"/>
  <c r="F285" i="12"/>
  <c r="E285" i="12"/>
  <c r="CE284" i="12"/>
  <c r="CF284" i="12" s="1"/>
  <c r="CG284" i="12" s="1"/>
  <c r="CH284" i="12" s="1"/>
  <c r="BU283" i="12"/>
  <c r="BV283" i="12" s="1"/>
  <c r="BW283" i="12" s="1"/>
  <c r="BX283" i="12" s="1"/>
  <c r="BY283" i="12" s="1"/>
  <c r="BZ283" i="12" s="1"/>
  <c r="CA283" i="12" s="1"/>
  <c r="CB283" i="12" s="1"/>
  <c r="BH283" i="12"/>
  <c r="BG283" i="12"/>
  <c r="BF283" i="12"/>
  <c r="BE283" i="12"/>
  <c r="BD283" i="12"/>
  <c r="BC283" i="12"/>
  <c r="BB283" i="12"/>
  <c r="BA283" i="12"/>
  <c r="AZ283" i="12"/>
  <c r="AY283" i="12"/>
  <c r="AX283" i="12"/>
  <c r="AW283" i="12"/>
  <c r="AV283" i="12"/>
  <c r="AU283" i="12"/>
  <c r="AT283" i="12"/>
  <c r="AS283" i="12"/>
  <c r="AR283" i="12"/>
  <c r="AQ283" i="12"/>
  <c r="AP283" i="12"/>
  <c r="AO283" i="12"/>
  <c r="AN283" i="12"/>
  <c r="AM283" i="12"/>
  <c r="AL283" i="12"/>
  <c r="AK283" i="12"/>
  <c r="AJ283" i="12"/>
  <c r="AI283" i="12"/>
  <c r="AH283" i="12"/>
  <c r="AG283" i="12"/>
  <c r="AF283" i="12"/>
  <c r="AE283" i="12"/>
  <c r="AD283" i="12"/>
  <c r="AC283" i="12"/>
  <c r="AB283" i="12"/>
  <c r="AA283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M283" i="12"/>
  <c r="L283" i="12"/>
  <c r="K283" i="12"/>
  <c r="J283" i="12"/>
  <c r="I283" i="12"/>
  <c r="H283" i="12"/>
  <c r="G283" i="12"/>
  <c r="F283" i="12"/>
  <c r="E283" i="12"/>
  <c r="BH278" i="12"/>
  <c r="BG278" i="12"/>
  <c r="BF278" i="12"/>
  <c r="BE278" i="12"/>
  <c r="BD278" i="12"/>
  <c r="BC278" i="12"/>
  <c r="BB278" i="12"/>
  <c r="BA278" i="12"/>
  <c r="AZ278" i="12"/>
  <c r="AY278" i="12"/>
  <c r="AX278" i="12"/>
  <c r="AW278" i="12"/>
  <c r="AV278" i="12"/>
  <c r="AU278" i="12"/>
  <c r="AT278" i="12"/>
  <c r="AS278" i="12"/>
  <c r="AR278" i="12"/>
  <c r="AQ278" i="12"/>
  <c r="AP278" i="12"/>
  <c r="AO278" i="12"/>
  <c r="AN278" i="12"/>
  <c r="AM278" i="12"/>
  <c r="AL278" i="12"/>
  <c r="AK278" i="12"/>
  <c r="AJ278" i="12"/>
  <c r="AI278" i="12"/>
  <c r="AH278" i="12"/>
  <c r="AG278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G278" i="12"/>
  <c r="F278" i="12"/>
  <c r="BH275" i="12"/>
  <c r="BG275" i="12"/>
  <c r="BF275" i="12"/>
  <c r="BE275" i="12"/>
  <c r="BD275" i="12"/>
  <c r="BC275" i="12"/>
  <c r="BB275" i="12"/>
  <c r="BA275" i="12"/>
  <c r="AZ275" i="12"/>
  <c r="AY275" i="12"/>
  <c r="AX275" i="12"/>
  <c r="AW275" i="12"/>
  <c r="AV275" i="12"/>
  <c r="AU275" i="12"/>
  <c r="AT275" i="12"/>
  <c r="AS275" i="12"/>
  <c r="AR275" i="12"/>
  <c r="AQ275" i="12"/>
  <c r="AP275" i="12"/>
  <c r="AO275" i="12"/>
  <c r="AN275" i="12"/>
  <c r="AM275" i="12"/>
  <c r="AL275" i="12"/>
  <c r="AK275" i="12"/>
  <c r="AJ275" i="12"/>
  <c r="AI275" i="12"/>
  <c r="AH275" i="12"/>
  <c r="AG275" i="12"/>
  <c r="AF275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BL272" i="12"/>
  <c r="BK272" i="12"/>
  <c r="BJ272" i="12"/>
  <c r="BI272" i="12"/>
  <c r="BH272" i="12"/>
  <c r="BG272" i="12"/>
  <c r="BF272" i="12"/>
  <c r="BE272" i="12"/>
  <c r="BD272" i="12"/>
  <c r="BC272" i="12"/>
  <c r="BB272" i="12"/>
  <c r="BA272" i="12"/>
  <c r="AZ272" i="12"/>
  <c r="AY272" i="12"/>
  <c r="AX272" i="12"/>
  <c r="AW272" i="12"/>
  <c r="AV272" i="12"/>
  <c r="AU272" i="12"/>
  <c r="AT272" i="12"/>
  <c r="AS272" i="12"/>
  <c r="AR272" i="12"/>
  <c r="AQ272" i="12"/>
  <c r="AP272" i="12"/>
  <c r="AO272" i="12"/>
  <c r="AN272" i="12"/>
  <c r="AM272" i="12"/>
  <c r="AL272" i="12"/>
  <c r="AK272" i="12"/>
  <c r="AJ272" i="12"/>
  <c r="AI272" i="12"/>
  <c r="AH272" i="12"/>
  <c r="AG272" i="12"/>
  <c r="AF272" i="12"/>
  <c r="AE272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BI271" i="12"/>
  <c r="P3" i="12"/>
  <c r="T3" i="12" s="1"/>
  <c r="X3" i="12" s="1"/>
  <c r="AB3" i="12" s="1"/>
  <c r="AF3" i="12" s="1"/>
  <c r="AJ3" i="12" s="1"/>
  <c r="AN3" i="12" s="1"/>
  <c r="AR3" i="12" s="1"/>
  <c r="AV3" i="12" s="1"/>
  <c r="AZ3" i="12" s="1"/>
  <c r="BD3" i="12" s="1"/>
  <c r="BH3" i="12" s="1"/>
  <c r="BL3" i="12" s="1"/>
  <c r="BP3" i="12" s="1"/>
  <c r="BT3" i="12" s="1"/>
  <c r="O3" i="12"/>
  <c r="S3" i="12" s="1"/>
  <c r="W3" i="12" s="1"/>
  <c r="AA3" i="12" s="1"/>
  <c r="AE3" i="12" s="1"/>
  <c r="AI3" i="12" s="1"/>
  <c r="AM3" i="12" s="1"/>
  <c r="AQ3" i="12" s="1"/>
  <c r="AU3" i="12" s="1"/>
  <c r="AY3" i="12" s="1"/>
  <c r="BC3" i="12" s="1"/>
  <c r="BG3" i="12" s="1"/>
  <c r="BK3" i="12" s="1"/>
  <c r="BO3" i="12" s="1"/>
  <c r="BS3" i="12" s="1"/>
  <c r="N3" i="12"/>
  <c r="R3" i="12" s="1"/>
  <c r="V3" i="12" s="1"/>
  <c r="Z3" i="12" s="1"/>
  <c r="AD3" i="12" s="1"/>
  <c r="AH3" i="12" s="1"/>
  <c r="AL3" i="12" s="1"/>
  <c r="AP3" i="12" s="1"/>
  <c r="AT3" i="12" s="1"/>
  <c r="AX3" i="12" s="1"/>
  <c r="BB3" i="12" s="1"/>
  <c r="BF3" i="12" s="1"/>
  <c r="BJ3" i="12" s="1"/>
  <c r="BN3" i="12" s="1"/>
  <c r="BR3" i="12" s="1"/>
  <c r="M3" i="12"/>
  <c r="Q3" i="12" s="1"/>
  <c r="U3" i="12" s="1"/>
  <c r="Y3" i="12" s="1"/>
  <c r="AC3" i="12" s="1"/>
  <c r="AG3" i="12" s="1"/>
  <c r="AK3" i="12" s="1"/>
  <c r="AO3" i="12" s="1"/>
  <c r="AS3" i="12" s="1"/>
  <c r="AW3" i="12" s="1"/>
  <c r="BA3" i="12" s="1"/>
  <c r="BE3" i="12" s="1"/>
  <c r="BI3" i="12" s="1"/>
  <c r="BM3" i="12" s="1"/>
  <c r="BQ3" i="12" s="1"/>
  <c r="L3" i="12"/>
  <c r="K3" i="12"/>
  <c r="J3" i="12"/>
  <c r="I3" i="12"/>
  <c r="S2" i="12"/>
  <c r="W2" i="12" s="1"/>
  <c r="AA2" i="12" s="1"/>
  <c r="AE2" i="12" s="1"/>
  <c r="AI2" i="12" s="1"/>
  <c r="AM2" i="12" s="1"/>
  <c r="AQ2" i="12" s="1"/>
  <c r="AU2" i="12" s="1"/>
  <c r="AY2" i="12" s="1"/>
  <c r="BC2" i="12" s="1"/>
  <c r="BG2" i="12" s="1"/>
  <c r="BK2" i="12" s="1"/>
  <c r="BO2" i="12" s="1"/>
  <c r="BS2" i="12" s="1"/>
  <c r="Q2" i="12"/>
  <c r="U2" i="12" s="1"/>
  <c r="Y2" i="12" s="1"/>
  <c r="AC2" i="12" s="1"/>
  <c r="AG2" i="12" s="1"/>
  <c r="AK2" i="12" s="1"/>
  <c r="AO2" i="12" s="1"/>
  <c r="AS2" i="12" s="1"/>
  <c r="AW2" i="12" s="1"/>
  <c r="BA2" i="12" s="1"/>
  <c r="BE2" i="12" s="1"/>
  <c r="BI2" i="12" s="1"/>
  <c r="BM2" i="12" s="1"/>
  <c r="BQ2" i="12" s="1"/>
  <c r="M2" i="12"/>
  <c r="I2" i="12"/>
  <c r="H2" i="12"/>
  <c r="L2" i="12" s="1"/>
  <c r="P2" i="12" s="1"/>
  <c r="T2" i="12" s="1"/>
  <c r="X2" i="12" s="1"/>
  <c r="AB2" i="12" s="1"/>
  <c r="AF2" i="12" s="1"/>
  <c r="AJ2" i="12" s="1"/>
  <c r="AN2" i="12" s="1"/>
  <c r="AR2" i="12" s="1"/>
  <c r="AV2" i="12" s="1"/>
  <c r="AZ2" i="12" s="1"/>
  <c r="BD2" i="12" s="1"/>
  <c r="BH2" i="12" s="1"/>
  <c r="BL2" i="12" s="1"/>
  <c r="BP2" i="12" s="1"/>
  <c r="BT2" i="12" s="1"/>
  <c r="G2" i="12"/>
  <c r="K2" i="12" s="1"/>
  <c r="O2" i="12" s="1"/>
  <c r="F2" i="12"/>
  <c r="J2" i="12" s="1"/>
  <c r="N2" i="12" s="1"/>
  <c r="R2" i="12" s="1"/>
  <c r="V2" i="12" s="1"/>
  <c r="Z2" i="12" s="1"/>
  <c r="AD2" i="12" s="1"/>
  <c r="AH2" i="12" s="1"/>
  <c r="AL2" i="12" s="1"/>
  <c r="AP2" i="12" s="1"/>
  <c r="AT2" i="12" s="1"/>
  <c r="AX2" i="12" s="1"/>
  <c r="BB2" i="12" s="1"/>
  <c r="BF2" i="12" s="1"/>
  <c r="BJ2" i="12" s="1"/>
  <c r="BN2" i="12" s="1"/>
  <c r="BR2" i="12" s="1"/>
  <c r="F1" i="11"/>
  <c r="G1" i="11" s="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AC1" i="11" s="1"/>
  <c r="AD1" i="11" s="1"/>
  <c r="AE1" i="11" s="1"/>
  <c r="AF1" i="11" s="1"/>
  <c r="AG1" i="11" s="1"/>
  <c r="AH1" i="11" s="1"/>
  <c r="AI1" i="11" s="1"/>
  <c r="AJ1" i="11" s="1"/>
  <c r="AK1" i="11" s="1"/>
  <c r="AL1" i="11" s="1"/>
  <c r="BU285" i="12" l="1"/>
  <c r="BV285" i="12" s="1"/>
  <c r="BW285" i="12" s="1"/>
  <c r="BX285" i="12" s="1"/>
  <c r="BY285" i="12" s="1"/>
  <c r="BZ285" i="12" s="1"/>
  <c r="CA285" i="12" s="1"/>
  <c r="CB285" i="12" s="1"/>
  <c r="BW300" i="12"/>
  <c r="BU286" i="12"/>
  <c r="BV286" i="12" s="1"/>
  <c r="BW286" i="12" s="1"/>
  <c r="BX286" i="12" s="1"/>
  <c r="BY286" i="12" s="1"/>
  <c r="BZ286" i="12" s="1"/>
  <c r="CA286" i="12" s="1"/>
  <c r="CB286" i="12" s="1"/>
  <c r="BY300" i="12"/>
  <c r="BZ300" i="12" s="1"/>
  <c r="CA300" i="12" s="1"/>
  <c r="CB300" i="12" s="1"/>
  <c r="BR287" i="12"/>
  <c r="BS287" i="12" s="1"/>
  <c r="BT287" i="12" s="1"/>
  <c r="BU287" i="12" s="1"/>
  <c r="BV287" i="12" s="1"/>
  <c r="BW287" i="12" s="1"/>
  <c r="BX287" i="12" s="1"/>
  <c r="BY287" i="12" s="1"/>
  <c r="BZ287" i="12" s="1"/>
  <c r="CA287" i="12" s="1"/>
  <c r="CB287" i="12" s="1"/>
  <c r="BX301" i="12"/>
  <c r="BY301" i="12" s="1"/>
  <c r="BZ301" i="12" s="1"/>
  <c r="CA301" i="12" s="1"/>
  <c r="CB301" i="12" s="1"/>
  <c r="BU302" i="12"/>
  <c r="BX302" i="12"/>
  <c r="BY302" i="12" s="1"/>
  <c r="BZ302" i="12" s="1"/>
  <c r="CA302" i="12" s="1"/>
  <c r="CB302" i="12" s="1"/>
  <c r="BV301" i="12"/>
  <c r="BW302" i="12"/>
  <c r="BU300" i="12"/>
  <c r="BU30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Chueca Montuenga, Jesus Enrique</author>
  </authors>
  <commentList>
    <comment ref="B2" authorId="0" shapeId="0" xr:uid="{D4730AA4-D74F-459A-89E4-D8DAD2B7F3B1}">
      <text>
        <r>
          <rPr>
            <b/>
            <sz val="9"/>
            <color indexed="81"/>
            <rFont val="Tahoma"/>
            <family val="2"/>
          </rPr>
          <t>Updated by IMFNT\JCHUECAMONTUENGA on 9/3/2024 10:57:45 AM
Latest revision date 8/29/2024 4:01:47 PM</t>
        </r>
      </text>
    </comment>
    <comment ref="C4" authorId="0" shapeId="0" xr:uid="{17472E58-03F3-4322-B0A4-586E8AFC9A97}">
      <text>
        <r>
          <rPr>
            <b/>
            <sz val="9"/>
            <color indexed="81"/>
            <rFont val="Tahoma"/>
            <family val="2"/>
          </rPr>
          <t>The time series code is required.</t>
        </r>
      </text>
    </comment>
    <comment ref="C31" authorId="0" shapeId="0" xr:uid="{DE5D56BA-B830-444E-A907-E770B2AD3447}">
      <text>
        <r>
          <rPr>
            <b/>
            <sz val="9"/>
            <color indexed="81"/>
            <rFont val="Tahoma"/>
            <family val="2"/>
          </rPr>
          <t>The time series code is required.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Chueca Montuenga, Jesus Enrique</author>
    <author>arend Kouwenaar</author>
  </authors>
  <commentList>
    <comment ref="B4" authorId="0" shapeId="0" xr:uid="{322D48A6-5FA0-4ED2-9752-A2449BFE8498}">
      <text>
        <r>
          <rPr>
            <b/>
            <sz val="9"/>
            <color indexed="81"/>
            <rFont val="Tahoma"/>
            <family val="2"/>
          </rPr>
          <t>Updated by IMFNT\JCHUECAMONTUENGA on 9/3/2024 10:57:49 AM
Latest revision date 4/12/2024 5:04:13 PM</t>
        </r>
      </text>
    </comment>
    <comment ref="C7" authorId="0" shapeId="0" xr:uid="{FCC12204-EF32-4136-BFFF-BDD7B5AA60F6}">
      <text>
        <r>
          <rPr>
            <b/>
            <sz val="9"/>
            <color indexed="81"/>
            <rFont val="Tahoma"/>
            <family val="2"/>
          </rPr>
          <t>The time series code is required.</t>
        </r>
      </text>
    </comment>
    <comment ref="A274" authorId="1" shapeId="0" xr:uid="{3F243096-A809-4816-A37F-50C4BE987897}">
      <text>
        <r>
          <rPr>
            <sz val="13"/>
            <color indexed="81"/>
            <rFont val="Tahoma"/>
            <family val="2"/>
          </rPr>
          <t>this must be revised in data to Rwa, as Q model needs Q/Q(-1)cchanges not Q/Q(-4)</t>
        </r>
      </text>
    </comment>
    <comment ref="E275" authorId="1" shapeId="0" xr:uid="{94956115-FEA4-48A7-ACD5-56CC2A7D611C}">
      <text>
        <r>
          <rPr>
            <b/>
            <sz val="13"/>
            <color indexed="81"/>
            <rFont val="Tahoma"/>
            <family val="2"/>
          </rPr>
          <t>arend Kouwenaar:</t>
        </r>
        <r>
          <rPr>
            <sz val="13"/>
            <color indexed="81"/>
            <rFont val="Tahoma"/>
            <family val="2"/>
          </rPr>
          <t xml:space="preserve">
hard numbers from previous WEOGAS file, which went back before 2012</t>
        </r>
      </text>
    </comment>
    <comment ref="A277" authorId="1" shapeId="0" xr:uid="{C2CA3348-F3DF-44D3-B549-A3CC9B00D6A8}">
      <text>
        <r>
          <rPr>
            <sz val="13"/>
            <color indexed="81"/>
            <rFont val="Tahoma"/>
            <family val="2"/>
          </rPr>
          <t>this must be revised in data to Rwa, as Q model needs Q/Q(-1)cchanges not Q/Q(-4)</t>
        </r>
      </text>
    </comment>
    <comment ref="E278" authorId="1" shapeId="0" xr:uid="{70CFA653-E5BB-4795-9525-97CB37D6824A}">
      <text>
        <r>
          <rPr>
            <b/>
            <sz val="13"/>
            <color indexed="81"/>
            <rFont val="Tahoma"/>
            <family val="2"/>
          </rPr>
          <t>arend Kouwenaar:</t>
        </r>
        <r>
          <rPr>
            <sz val="13"/>
            <color indexed="81"/>
            <rFont val="Tahoma"/>
            <family val="2"/>
          </rPr>
          <t xml:space="preserve">
hard numbers from previous WEOGAS file, which went back before 2012</t>
        </r>
      </text>
    </comment>
    <comment ref="A309" authorId="1" shapeId="0" xr:uid="{17E183A3-9120-42D4-9192-139B16C9B080}">
      <text>
        <r>
          <rPr>
            <sz val="13"/>
            <color indexed="81"/>
            <rFont val="Tahoma"/>
            <family val="2"/>
          </rPr>
          <t>this must be revised in data to Rwa, as Q model needs Q/Q(-1)cchanges not Q/Q(-4)</t>
        </r>
      </text>
    </comment>
    <comment ref="E310" authorId="1" shapeId="0" xr:uid="{C5DAB567-1153-4FC7-98A6-17936559F62B}">
      <text>
        <r>
          <rPr>
            <b/>
            <sz val="13"/>
            <color indexed="81"/>
            <rFont val="Tahoma"/>
            <family val="2"/>
          </rPr>
          <t>arend Kouwenaar:</t>
        </r>
        <r>
          <rPr>
            <sz val="13"/>
            <color indexed="81"/>
            <rFont val="Tahoma"/>
            <family val="2"/>
          </rPr>
          <t xml:space="preserve">
hard numbers from previous WEOGAS file, which went back before 2012</t>
        </r>
      </text>
    </comment>
    <comment ref="A312" authorId="1" shapeId="0" xr:uid="{420D3CB3-CAA1-4765-BA43-DCA840A0939F}">
      <text>
        <r>
          <rPr>
            <sz val="13"/>
            <color indexed="81"/>
            <rFont val="Tahoma"/>
            <family val="2"/>
          </rPr>
          <t>this must be revised in data to Rwa, as Q model needs Q/Q(-1)cchanges not Q/Q(-4)</t>
        </r>
      </text>
    </comment>
    <comment ref="E313" authorId="1" shapeId="0" xr:uid="{3C4A194D-C1AA-4B0A-98BE-55565724E7FD}">
      <text>
        <r>
          <rPr>
            <b/>
            <sz val="13"/>
            <color indexed="81"/>
            <rFont val="Tahoma"/>
            <family val="2"/>
          </rPr>
          <t>arend Kouwenaar:</t>
        </r>
        <r>
          <rPr>
            <sz val="13"/>
            <color indexed="81"/>
            <rFont val="Tahoma"/>
            <family val="2"/>
          </rPr>
          <t xml:space="preserve">
hard numbers from previous WEOGAS file, which went back before 2012</t>
        </r>
      </text>
    </comment>
    <comment ref="A343" authorId="1" shapeId="0" xr:uid="{827DC20B-23E7-4A03-88FB-9402F33E4C95}">
      <text>
        <r>
          <rPr>
            <sz val="13"/>
            <color indexed="81"/>
            <rFont val="Tahoma"/>
            <family val="2"/>
          </rPr>
          <t>this must be revised in data to Rwa, as Q model needs Q/Q(-1)cchanges not Q/Q(-4)</t>
        </r>
      </text>
    </comment>
    <comment ref="E344" authorId="1" shapeId="0" xr:uid="{89E9B02D-DA09-4CE1-9481-A872A93A56AE}">
      <text>
        <r>
          <rPr>
            <b/>
            <sz val="13"/>
            <color indexed="81"/>
            <rFont val="Tahoma"/>
            <family val="2"/>
          </rPr>
          <t>arend Kouwenaar:</t>
        </r>
        <r>
          <rPr>
            <sz val="13"/>
            <color indexed="81"/>
            <rFont val="Tahoma"/>
            <family val="2"/>
          </rPr>
          <t xml:space="preserve">
hard numbers from previous WEOGAS file, which went back before 2012</t>
        </r>
      </text>
    </comment>
    <comment ref="A346" authorId="1" shapeId="0" xr:uid="{C0DD6583-E22A-4837-890B-A04454D4B374}">
      <text>
        <r>
          <rPr>
            <sz val="13"/>
            <color indexed="81"/>
            <rFont val="Tahoma"/>
            <family val="2"/>
          </rPr>
          <t>this must be revised in data to Rwa, as Q model needs Q/Q(-1)cchanges not Q/Q(-4)</t>
        </r>
      </text>
    </comment>
    <comment ref="E347" authorId="1" shapeId="0" xr:uid="{32A220F3-D7FA-4AE1-8D57-E05B0D029190}">
      <text>
        <r>
          <rPr>
            <b/>
            <sz val="13"/>
            <color indexed="81"/>
            <rFont val="Tahoma"/>
            <family val="2"/>
          </rPr>
          <t>arend Kouwenaar:</t>
        </r>
        <r>
          <rPr>
            <sz val="13"/>
            <color indexed="81"/>
            <rFont val="Tahoma"/>
            <family val="2"/>
          </rPr>
          <t xml:space="preserve">
hard numbers from previous WEOGAS file, which went back before 2012</t>
        </r>
      </text>
    </comment>
  </commentList>
</comments>
</file>

<file path=xl/sharedStrings.xml><?xml version="1.0" encoding="utf-8"?>
<sst xmlns="http://schemas.openxmlformats.org/spreadsheetml/2006/main" count="2200" uniqueCount="861">
  <si>
    <t>Real GDP</t>
  </si>
  <si>
    <t>World</t>
  </si>
  <si>
    <t xml:space="preserve">  Advanced economies</t>
  </si>
  <si>
    <t>Real total domestic demand</t>
  </si>
  <si>
    <t>Advanced economies</t>
  </si>
  <si>
    <t>GDP deflator</t>
  </si>
  <si>
    <t>Consumer prices</t>
  </si>
  <si>
    <t>Euro</t>
  </si>
  <si>
    <t>Japanese yen</t>
  </si>
  <si>
    <t>Pounds sterling</t>
  </si>
  <si>
    <t>United States</t>
  </si>
  <si>
    <t>Euro area</t>
  </si>
  <si>
    <t>Japan</t>
  </si>
  <si>
    <t>United Kingdom</t>
  </si>
  <si>
    <t>Switzerland</t>
  </si>
  <si>
    <t>Swiss francs</t>
  </si>
  <si>
    <t>Other advanced economies</t>
  </si>
  <si>
    <t>Net creditor countries</t>
  </si>
  <si>
    <t>Net debtor countries</t>
  </si>
  <si>
    <t>Major industrial countries, by country</t>
  </si>
  <si>
    <t>Trade</t>
  </si>
  <si>
    <t>World trade volume (goods and services)</t>
  </si>
  <si>
    <t>Volume of imports of goods and services</t>
  </si>
  <si>
    <t>Nonfuel commodity prices</t>
  </si>
  <si>
    <t>Aluminum</t>
  </si>
  <si>
    <t>Bananas</t>
  </si>
  <si>
    <t>Beef</t>
  </si>
  <si>
    <t>Copper</t>
  </si>
  <si>
    <t>Cotton</t>
  </si>
  <si>
    <t>Hides</t>
  </si>
  <si>
    <t>Lead</t>
  </si>
  <si>
    <t>Nickel</t>
  </si>
  <si>
    <t>Rice</t>
  </si>
  <si>
    <t>Rubber</t>
  </si>
  <si>
    <t>Sugar, U.S.</t>
  </si>
  <si>
    <t>Tea</t>
  </si>
  <si>
    <t>Tin</t>
  </si>
  <si>
    <t>Wheat</t>
  </si>
  <si>
    <t>Zinc</t>
  </si>
  <si>
    <t>U.S. dollars per unit of national currency</t>
  </si>
  <si>
    <t>SDRs per U.S. dollar</t>
  </si>
  <si>
    <t>SDRs per U.S. dollar, end-of-year</t>
  </si>
  <si>
    <t>GDP in U.S. dollars -- advanced economies</t>
  </si>
  <si>
    <t>OUTPUT, DEMAND, INFLATION, AND TRADE</t>
  </si>
  <si>
    <t>EXCHANGE RATES FOR ADVANCED ECONOMIES</t>
  </si>
  <si>
    <t>INTEREST RATES FOR G-7 COUNTRIES</t>
  </si>
  <si>
    <t xml:space="preserve">  United States</t>
  </si>
  <si>
    <t xml:space="preserve">  Japan</t>
  </si>
  <si>
    <t xml:space="preserve">  Canada</t>
  </si>
  <si>
    <t xml:space="preserve">  United Kingdom</t>
  </si>
  <si>
    <t>European Union</t>
  </si>
  <si>
    <t>Canada</t>
  </si>
  <si>
    <t>Austria</t>
  </si>
  <si>
    <t>Belgium</t>
  </si>
  <si>
    <t>Denmark</t>
  </si>
  <si>
    <t>Luxembourg</t>
  </si>
  <si>
    <t>Netherlands</t>
  </si>
  <si>
    <t>Norway</t>
  </si>
  <si>
    <t>Sweden</t>
  </si>
  <si>
    <t>Finland</t>
  </si>
  <si>
    <t>Greece</t>
  </si>
  <si>
    <t>Iceland</t>
  </si>
  <si>
    <t>Ireland</t>
  </si>
  <si>
    <t>Portugal</t>
  </si>
  <si>
    <t>Spain</t>
  </si>
  <si>
    <t>Australia</t>
  </si>
  <si>
    <t>New Zealand</t>
  </si>
  <si>
    <t>Israel</t>
  </si>
  <si>
    <t>Taiwan</t>
  </si>
  <si>
    <t>Hong Kong</t>
  </si>
  <si>
    <t>Korea</t>
  </si>
  <si>
    <t>Singapore</t>
  </si>
  <si>
    <t>Nominal effective exchange rates (index of total trade weighted U.S. dollar exchange rate)</t>
  </si>
  <si>
    <t>Trade prices (export price deflator)</t>
  </si>
  <si>
    <t>Unit labor cost</t>
  </si>
  <si>
    <t>Real GDP for G-7 countries</t>
  </si>
  <si>
    <t>Manufactures -- advanced economies</t>
  </si>
  <si>
    <t>Gold</t>
  </si>
  <si>
    <t>Series_Code</t>
  </si>
  <si>
    <t>Query1</t>
  </si>
  <si>
    <t>Driver</t>
  </si>
  <si>
    <t>AREMLG32</t>
  </si>
  <si>
    <t>OutputType</t>
  </si>
  <si>
    <t>Excel</t>
  </si>
  <si>
    <t>ResultSet</t>
  </si>
  <si>
    <t>StartRow</t>
  </si>
  <si>
    <t>From</t>
  </si>
  <si>
    <t>Where</t>
  </si>
  <si>
    <t>CancelDialog</t>
  </si>
  <si>
    <t>*</t>
  </si>
  <si>
    <t>Select</t>
  </si>
  <si>
    <t>DATA</t>
  </si>
  <si>
    <t>ColumnLocations</t>
  </si>
  <si>
    <t xml:space="preserve">  Euro Area</t>
  </si>
  <si>
    <t>Q1</t>
  </si>
  <si>
    <t>Q2</t>
  </si>
  <si>
    <t>Q3</t>
  </si>
  <si>
    <t>Q4</t>
  </si>
  <si>
    <t>Austria ($US/euro)</t>
  </si>
  <si>
    <t>Belgium ($US/euro)</t>
  </si>
  <si>
    <t>Luxembourg ($US/euro)</t>
  </si>
  <si>
    <t>Netherlands ($US/euro)</t>
  </si>
  <si>
    <t>Finland ($US/euro)</t>
  </si>
  <si>
    <t>Greece ($US/euro)</t>
  </si>
  <si>
    <t>Ireland ($US/euro)</t>
  </si>
  <si>
    <t>Portugal ($US/euro)</t>
  </si>
  <si>
    <t>Spain ($US/euro)</t>
  </si>
  <si>
    <t>Austria ($US/national currency)</t>
  </si>
  <si>
    <t>Luxembourg ($US/national currency)</t>
  </si>
  <si>
    <t>Netherlands ($US/national currency)</t>
  </si>
  <si>
    <t>Finland ($US/national currency)</t>
  </si>
  <si>
    <t>Greece ($US/national currency)</t>
  </si>
  <si>
    <t>Ireland ($US/national currency)</t>
  </si>
  <si>
    <t>Portugal ($US/national currency)</t>
  </si>
  <si>
    <t>Spain ($US/national currency)</t>
  </si>
  <si>
    <t>Belgium ($US/national currency)</t>
  </si>
  <si>
    <t xml:space="preserve">     Germany</t>
  </si>
  <si>
    <t xml:space="preserve">     Italy</t>
  </si>
  <si>
    <t xml:space="preserve">     France</t>
  </si>
  <si>
    <t xml:space="preserve">   Germany ($US/euro)</t>
  </si>
  <si>
    <t xml:space="preserve">   Germany ($US/national currency)</t>
  </si>
  <si>
    <t xml:space="preserve">   France ($US/euro)</t>
  </si>
  <si>
    <t xml:space="preserve">   France ($US/national currency)</t>
  </si>
  <si>
    <t xml:space="preserve">   Italy ($US/euro)</t>
  </si>
  <si>
    <t xml:space="preserve">   Italy ($US/national currency)</t>
  </si>
  <si>
    <t xml:space="preserve">   German mark ($US/euro)</t>
  </si>
  <si>
    <t xml:space="preserve">   German mark ($US/national currency)</t>
  </si>
  <si>
    <t xml:space="preserve">   French francs ($US/euro)</t>
  </si>
  <si>
    <t xml:space="preserve">   French francs ($US/national currency)</t>
  </si>
  <si>
    <t xml:space="preserve">   Germany</t>
  </si>
  <si>
    <t xml:space="preserve">   France</t>
  </si>
  <si>
    <t xml:space="preserve">   Italy</t>
  </si>
  <si>
    <t xml:space="preserve">  Euro area</t>
  </si>
  <si>
    <t xml:space="preserve">  Newly Industrialized Asian economies</t>
  </si>
  <si>
    <t>U.S. dollars per unit of national currency, end-of-period</t>
  </si>
  <si>
    <t>Fuel</t>
  </si>
  <si>
    <t xml:space="preserve">   Natural gas</t>
  </si>
  <si>
    <t xml:space="preserve">   Petroleum spot price (APSP; US$)</t>
  </si>
  <si>
    <t xml:space="preserve">   Coal</t>
  </si>
  <si>
    <t>Nonfuel</t>
  </si>
  <si>
    <t xml:space="preserve">   Food</t>
  </si>
  <si>
    <t xml:space="preserve">   Beverages</t>
  </si>
  <si>
    <t xml:space="preserve">   Agricultural raw materials</t>
  </si>
  <si>
    <t xml:space="preserve">   Metals</t>
  </si>
  <si>
    <t xml:space="preserve">    Manufactures—advanced economies</t>
  </si>
  <si>
    <t xml:space="preserve">  Excluding oil—advanced economies</t>
  </si>
  <si>
    <t>Total goods—advanced economies</t>
  </si>
  <si>
    <t xml:space="preserve">     Spain</t>
  </si>
  <si>
    <t>E</t>
  </si>
  <si>
    <t>P:\WRK\GEE\GAS.BNK</t>
  </si>
  <si>
    <t>Complete Data Set (Quarterly)</t>
  </si>
  <si>
    <t>5</t>
  </si>
  <si>
    <t>Frequency=Q,SeriesName in ("","","",W111NGDP_R,W163NGDP_R,W134NGDP_R,W132NGDP_R,W136NGDP_R,W184NGDP_R,W158NGDP_R,W112NGDP_R,W156NGDP_R,W203NGDP_R,"","",W111NGDP_D,W163NGDP_D,W134NGDP_D,W132NGDP_D,W136NGDP_D,W158NGDP_D,W112NGDP_D,W156NGDP_D,"","",W110TXGM</t>
  </si>
  <si>
    <t>_D,"","",W001PNRGW,W001POILAPSP,W001PNGASW,W001PCOALW,W001PNFUELW,W001PFOODW,W001PBEVEW,W001PRAWMW,W001PMETAW,"","",W001PALUM,W001PBANSOP,W001PBEEF,W001PCOCO,W001PCOIL,W001PCOFFOTM,W001PCOFFROB,W001PCOPP,W001PCOTTIND,W001PFISH,W001PLOGSK,W001PSAWMAL,W001</t>
  </si>
  <si>
    <t>PHIDE,W001PGOLD,W001PIORECR,W001PLAMB,W001PLEAD,W001PMAIZMT,W001PNGASEU,W001PNICK,W001PPOIL,W001PRICENPQ,W001PRUBB,W001PLOGORE,W001PSAWORE,W001PSMEA,W001PSOIL,W001PSOYB,W001PSUGAUSA,W001PSUGAEEC,W001PSUGAISA,W001PTEA,W001PTIN,W001PWHEAMT,W001PWOOLC,W001P</t>
  </si>
  <si>
    <t>WOOLF,W001PZINC,"","","","",W163EDNA,W134EDNA,W134EDNA_N,W132EDNA,W132EDNA_N,W136EDNA,W136EDNA_N,W158EDNA,W112EDNA,W156EDNA,"",W122EDNA,W122EDNA_N,W124EDNA,W124EDNA_N,W128EDNA,W137EDNA,W137EDNA_N,W138EDNA,W138EDNA_N,W142EDNA,W144EDNA,W146EDNA,W172EDNA,W1</t>
  </si>
  <si>
    <t>72EDNA_N,W174EDNA,W174EDNA_N,W176EDNA,W178EDNA,W178EDNA_N,W182EDNA,W182EDNA_N,W184EDNA,W184EDNA_N,W193EDNA,W196EDNA,W436EDNA,W528EDNA,W532EDNA,W542EDNA,W576EDNA,"","",W163EDNE,W134EDNE,W134EDNE_N,W132EDNE,W132EDNE_N,W158EDNE,W112EDNE,W146EDNE,"",W111ESDA</t>
  </si>
  <si>
    <t>,"","",W111ENULC,W163ENULC,W134ENULC,W132ENULC,W136ENULC,W158ENULC,W112ENULC,W156ENULC,"",W122ENULC,W124ENULC,W128ENULC,W137ENULC,W138ENULC,W142ENULC,W144ENULC,W146ENULC,W172ENULC,W174ENULC,W178ENULC,W182ENULC,W184ENULC,W193ENULC,W196ENULC,"","",W111EE,W</t>
  </si>
  <si>
    <t>163EE,W134EE,W132EE,W136EE,W158EE,W112EE,W156EE,"",W122EE,W124EE,W128EE,W137EE,W138EE,W142EE,W144EE,W146EE,W172EE,W174EE,W178EE,W182EE,W184EE,W193EE,W196EE,"","","","",W111FLIBOR,W163FLIBOR,W158FLIBOR,W112FPIBOR),Period In (2001Q1,2001Q2,2001Q3,2001Q4,20</t>
  </si>
  <si>
    <t>02Q1,2002Q2,2002Q3,2002Q4,2003Q1,2003Q2,2003Q3,2003Q4,2004Q1,2004Q2,2004Q3,2004Q4,2005Q1,2005Q2,2005Q3,2005Q4,2006Q1,2006Q2,2006Q3,2006Q4,2007Q1,2007Q2,2007Q3,2007Q4,2008Q1,2008Q2,2008Q3,2008Q4,2009Q1,2009Q2,2009Q3,2009Q4,2010Q1,2010Q2,2010Q3,2010Q4,2011</t>
  </si>
  <si>
    <t>Q1,2011Q2,2011Q3,2011Q4)</t>
  </si>
  <si>
    <t>Slovenia ($US/euro)</t>
  </si>
  <si>
    <t>Slovenia ($US/national currency)</t>
  </si>
  <si>
    <t>Real effective exchange rates (indexes based on relative unit labor costs in manufacturing adjusted for exchange rate movements)</t>
  </si>
  <si>
    <t>Malta ($US/euro)</t>
  </si>
  <si>
    <t>Malta ($US/national currency)</t>
  </si>
  <si>
    <t>Cyprus ($US/euro)</t>
  </si>
  <si>
    <t>Cyprus ($US/national currency)</t>
  </si>
  <si>
    <t>Slovak Republic ($US/euro)</t>
  </si>
  <si>
    <t>Slovak Republic ($US/national currency)</t>
  </si>
  <si>
    <t>Czech Republic</t>
  </si>
  <si>
    <t>Estonia ($US/euro)</t>
  </si>
  <si>
    <t>Estonia ($US/national currency)</t>
  </si>
  <si>
    <t xml:space="preserve"> </t>
  </si>
  <si>
    <t>CONFIDENTIAL do not share outside the Fund without prior authorization</t>
  </si>
  <si>
    <t>Emerging market and developing economies</t>
  </si>
  <si>
    <t xml:space="preserve">  Emerging market and developing economies</t>
  </si>
  <si>
    <t>Total goods—Emerging market and developing economies</t>
  </si>
  <si>
    <t>All Commodity</t>
  </si>
  <si>
    <t>Propane</t>
  </si>
  <si>
    <t>Agriculture</t>
  </si>
  <si>
    <t>Cereal</t>
  </si>
  <si>
    <t>Coffee</t>
  </si>
  <si>
    <t>Food and Beverage</t>
  </si>
  <si>
    <t>Hardwood</t>
  </si>
  <si>
    <t>Industrial Inputs</t>
  </si>
  <si>
    <t>Meat</t>
  </si>
  <si>
    <t>Precious Metals</t>
  </si>
  <si>
    <t>All Metals</t>
  </si>
  <si>
    <t>All Metals Excluding Gold</t>
  </si>
  <si>
    <t>Seafood</t>
  </si>
  <si>
    <t>Softwood</t>
  </si>
  <si>
    <t>Sugar</t>
  </si>
  <si>
    <t>Timber</t>
  </si>
  <si>
    <t>Vegetable Oil</t>
  </si>
  <si>
    <t>Wool</t>
  </si>
  <si>
    <t>Commodity price indices (except otherwise indicated)</t>
  </si>
  <si>
    <t>Agricultural Raw Materials</t>
  </si>
  <si>
    <t>Hardwood Logs</t>
  </si>
  <si>
    <t>Hard Sawnwood</t>
  </si>
  <si>
    <t>Softwood Logs</t>
  </si>
  <si>
    <t>Sawn Softwood</t>
  </si>
  <si>
    <t>Wool + Yarn</t>
  </si>
  <si>
    <t>Wool, Coarse</t>
  </si>
  <si>
    <t>Wool, Fine</t>
  </si>
  <si>
    <t>Beverages</t>
  </si>
  <si>
    <t>Coffee, Arabica</t>
  </si>
  <si>
    <t>Coffee, Robusta</t>
  </si>
  <si>
    <t>Cocoa</t>
  </si>
  <si>
    <t>Food</t>
  </si>
  <si>
    <t>Cereals</t>
  </si>
  <si>
    <t>Barley</t>
  </si>
  <si>
    <t>Maize (Corn)</t>
  </si>
  <si>
    <t>Oats</t>
  </si>
  <si>
    <t>Sorghum</t>
  </si>
  <si>
    <t xml:space="preserve">Lamb </t>
  </si>
  <si>
    <t>Poultry</t>
  </si>
  <si>
    <t>Swine (Pork)</t>
  </si>
  <si>
    <t>Shrimp</t>
  </si>
  <si>
    <t>Fish</t>
  </si>
  <si>
    <t>Sugar, World</t>
  </si>
  <si>
    <t>Vegetable Oil Index</t>
  </si>
  <si>
    <t>Olive Oil</t>
  </si>
  <si>
    <t>Palm Oil</t>
  </si>
  <si>
    <t>Rapeseed Oil</t>
  </si>
  <si>
    <t>Soybean</t>
  </si>
  <si>
    <t>Soybean Oil</t>
  </si>
  <si>
    <t>Soybean Meal</t>
  </si>
  <si>
    <t>Sunflower Seed Oil</t>
  </si>
  <si>
    <t>Other Food</t>
  </si>
  <si>
    <t>Citrus Fruit + Orange Juice</t>
  </si>
  <si>
    <t>Dairy Products (Milk)</t>
  </si>
  <si>
    <t>Fishmeal</t>
  </si>
  <si>
    <t>Groundnuts + Tree Nuts</t>
  </si>
  <si>
    <t>Legumes (Chickpea)</t>
  </si>
  <si>
    <t>Non-Citrus Fruit (Apple)</t>
  </si>
  <si>
    <t>Vegetables (Tomato)</t>
  </si>
  <si>
    <t>Fertilizers</t>
  </si>
  <si>
    <t>Nitrogen</t>
  </si>
  <si>
    <t>Phosphate</t>
  </si>
  <si>
    <t>Potassium</t>
  </si>
  <si>
    <t>Metals</t>
  </si>
  <si>
    <t>Base Metals</t>
  </si>
  <si>
    <t>Cobalt</t>
  </si>
  <si>
    <t>Iron Ore</t>
  </si>
  <si>
    <t xml:space="preserve">Molybdenum </t>
  </si>
  <si>
    <t>Uranium</t>
  </si>
  <si>
    <t>Silver</t>
  </si>
  <si>
    <t>Palladium</t>
  </si>
  <si>
    <t>Platinum</t>
  </si>
  <si>
    <t>3-month Government Bond Yield</t>
  </si>
  <si>
    <t>WEOGAS_Rwametric_Qdata below this</t>
  </si>
  <si>
    <t>WEO_ALL</t>
  </si>
  <si>
    <t>US, Canada 2012=100, Euro 2015=100, Japan 2011=100, UK 2016=100</t>
  </si>
  <si>
    <t>2005=100</t>
  </si>
  <si>
    <t>Commodity prices indices (except otherwise indicated)</t>
  </si>
  <si>
    <t>2016=100</t>
  </si>
  <si>
    <t>$cts/barrel</t>
  </si>
  <si>
    <t>$cts/lbs, 0.45 Kg/lbs</t>
  </si>
  <si>
    <t>$cts/kg</t>
  </si>
  <si>
    <t>$cts/lbs</t>
  </si>
  <si>
    <t>$/ounce, 30.6 grams/ounce</t>
  </si>
  <si>
    <t>$/MT</t>
  </si>
  <si>
    <t>period average</t>
  </si>
  <si>
    <t>$/Euro</t>
  </si>
  <si>
    <t>SDR/$</t>
  </si>
  <si>
    <t>%</t>
  </si>
  <si>
    <t>end WEOGAS_Rwametric_Qdata</t>
  </si>
  <si>
    <t>WEOGAS_Rwametric_Qdata   above this</t>
  </si>
  <si>
    <t>..</t>
  </si>
  <si>
    <t>Coffee, other mild (ICO, ex-dock New York), Arabica</t>
  </si>
  <si>
    <t>3-mos US  Govt bonds (before 2013: U.S. dollar deposits</t>
  </si>
  <si>
    <t>3-mos Euro area Govt bonds (before 2013: Euro deposits)</t>
  </si>
  <si>
    <t>3-mos Japam Govt bonds (before 2013: ….)</t>
  </si>
  <si>
    <r>
      <rPr>
        <b/>
        <sz val="10"/>
        <color rgb="FF0070C0"/>
        <rFont val="Calibri"/>
        <family val="2"/>
        <scheme val="minor"/>
      </rPr>
      <t>3-month Govt Bond yield</t>
    </r>
    <r>
      <rPr>
        <b/>
        <sz val="10"/>
        <rFont val="Calibri"/>
        <family val="2"/>
        <scheme val="minor"/>
      </rPr>
      <t xml:space="preserve"> (before 2013: 6-month LIBOR)</t>
    </r>
  </si>
  <si>
    <t>IMF WEO Vintage April 2023</t>
  </si>
  <si>
    <t>GDP deflator annual % change</t>
  </si>
  <si>
    <t>Real GDP annual % change</t>
  </si>
  <si>
    <r>
      <t xml:space="preserve">Real GDP </t>
    </r>
    <r>
      <rPr>
        <b/>
        <sz val="10"/>
        <color rgb="FFFF0000"/>
        <rFont val="Calibri"/>
        <family val="2"/>
        <scheme val="minor"/>
      </rPr>
      <t>Q to Q-4 % change</t>
    </r>
  </si>
  <si>
    <t>old LIBOR from previous WEOGAS</t>
  </si>
  <si>
    <t>WEO_ALL fr 1998</t>
  </si>
  <si>
    <t>IMF had removed this block, reinserted/relinked ak Oct8; since 4/2023: IMF WEOGAS has more commodity lines; replaced LIBOR w. 3 mos Govt bonds from 2013 onward</t>
  </si>
  <si>
    <t>Coffee arabica</t>
  </si>
  <si>
    <t>1997A1</t>
  </si>
  <si>
    <t>1998A1</t>
  </si>
  <si>
    <t>1999A1</t>
  </si>
  <si>
    <t>2000A1</t>
  </si>
  <si>
    <t>2001A1</t>
  </si>
  <si>
    <t>2002A1</t>
  </si>
  <si>
    <t>2003A1</t>
  </si>
  <si>
    <t>2004A1</t>
  </si>
  <si>
    <t>2005A1</t>
  </si>
  <si>
    <t>2006A1</t>
  </si>
  <si>
    <t>2007A1</t>
  </si>
  <si>
    <t>2008A1</t>
  </si>
  <si>
    <t>2009A1</t>
  </si>
  <si>
    <t>2010A1</t>
  </si>
  <si>
    <t>2011A1</t>
  </si>
  <si>
    <t>2012A1</t>
  </si>
  <si>
    <t>2013A1</t>
  </si>
  <si>
    <t>2014A1</t>
  </si>
  <si>
    <t>2015A1</t>
  </si>
  <si>
    <t>2016A1</t>
  </si>
  <si>
    <t>2017A1</t>
  </si>
  <si>
    <t>2018A1</t>
  </si>
  <si>
    <t>2019A1</t>
  </si>
  <si>
    <t>2020A1</t>
  </si>
  <si>
    <t>2021A1</t>
  </si>
  <si>
    <t>2022A1</t>
  </si>
  <si>
    <t>2023A1</t>
  </si>
  <si>
    <t>2024A1</t>
  </si>
  <si>
    <t>2025A1</t>
  </si>
  <si>
    <t>2026A1</t>
  </si>
  <si>
    <t>2027A1</t>
  </si>
  <si>
    <t>2028A1</t>
  </si>
  <si>
    <t>2029A1</t>
  </si>
  <si>
    <t>2030A1</t>
  </si>
  <si>
    <t>3-month Govt Bond yield (before 2013: 6-month LIBOR)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</si>
  <si>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</si>
  <si>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</si>
  <si>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</si>
  <si>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</si>
  <si>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</si>
  <si>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</si>
  <si>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</si>
  <si>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</si>
  <si>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</si>
  <si>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</si>
  <si>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</si>
  <si>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</si>
  <si>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</si>
  <si>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</si>
  <si>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</si>
  <si>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</si>
  <si>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</si>
  <si>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</si>
  <si>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</si>
  <si>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</si>
  <si>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</si>
  <si>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</si>
  <si>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</si>
  <si>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</si>
  <si>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</si>
  <si>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</si>
  <si>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</si>
  <si>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</si>
  <si>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</si>
  <si>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</si>
  <si>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</si>
  <si>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</si>
  <si>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</si>
  <si>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</si>
  <si>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</si>
  <si>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</si>
  <si>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</si>
  <si>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</si>
  <si>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</si>
  <si>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</si>
  <si>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</si>
  <si>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</si>
  <si>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</si>
  <si>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</si>
  <si>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</si>
  <si>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</si>
  <si>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</si>
  <si>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</si>
  <si>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</si>
  <si>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</si>
  <si>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</si>
  <si>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</si>
  <si>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</si>
  <si>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</si>
  <si>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</si>
  <si>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</si>
  <si>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</si>
  <si>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</si>
  <si>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</si>
  <si>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</si>
  <si>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IMF WEO Vintage January 2024</t>
  </si>
  <si>
    <t>Keep this block as it linked to the Above and other files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</si>
  <si>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</si>
  <si>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</si>
  <si>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</si>
  <si>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</si>
  <si>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</si>
  <si>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</si>
  <si>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</si>
  <si>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</si>
  <si>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</si>
  <si>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</si>
  <si>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</si>
  <si>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</si>
  <si>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naïve extrapolation</t>
  </si>
  <si>
    <t>no WEO projection: use WEO annual growth rates for fuel and food</t>
  </si>
  <si>
    <t>2030Q1</t>
  </si>
  <si>
    <t>2030Q2</t>
  </si>
  <si>
    <t>2030Q3</t>
  </si>
  <si>
    <t>2030Q4</t>
  </si>
  <si>
    <t>IMF WEO Vintage January 2023</t>
  </si>
  <si>
    <t xml:space="preserve">Direct extrapolation of 2029 </t>
  </si>
  <si>
    <t>annual rate fr annual sheet</t>
  </si>
  <si>
    <t>DATASET</t>
  </si>
  <si>
    <t>G110.NGDP_USD.A</t>
  </si>
  <si>
    <t>G001.NGDP_R.A</t>
  </si>
  <si>
    <t>G110.NGDP_R.A</t>
  </si>
  <si>
    <t>USA.NGDP_R.A</t>
  </si>
  <si>
    <t>G163.NGDP_R.A</t>
  </si>
  <si>
    <t>DEU.NGDP_R.A</t>
  </si>
  <si>
    <t>ITA.NGDP_R.A</t>
  </si>
  <si>
    <t>FRA.NGDP_R.A</t>
  </si>
  <si>
    <t>ESP.NGDP_R.A</t>
  </si>
  <si>
    <t>JPN.NGDP_R.A</t>
  </si>
  <si>
    <t>GBR.NGDP_R.A</t>
  </si>
  <si>
    <t>CAN.NGDP_R.A</t>
  </si>
  <si>
    <t>GX123.NGDP_R.A</t>
  </si>
  <si>
    <t>G998.NGDP_R.A</t>
  </si>
  <si>
    <t>G200.NGDP_R.A</t>
  </si>
  <si>
    <t>G209.NGDP_R.A</t>
  </si>
  <si>
    <t>G606.NGDP_R.A</t>
  </si>
  <si>
    <t>G110.NTDD_R.A</t>
  </si>
  <si>
    <t>G110.NGDP_D.A</t>
  </si>
  <si>
    <t>USA.NGDP_D.A</t>
  </si>
  <si>
    <t>G163.NGDP_D.A</t>
  </si>
  <si>
    <t>DEU.NGDP_D.A</t>
  </si>
  <si>
    <t>ITA.NGDP_D.A</t>
  </si>
  <si>
    <t>FRA.NGDP_D.A</t>
  </si>
  <si>
    <t>JPN.NGDP_D.A</t>
  </si>
  <si>
    <t>GBR.NGDP_D.A</t>
  </si>
  <si>
    <t>CAN.NGDP_D.A</t>
  </si>
  <si>
    <t>CHE.NGDP_D.A</t>
  </si>
  <si>
    <t>G998.NGDP_D.A</t>
  </si>
  <si>
    <t>G110.PCPI.A</t>
  </si>
  <si>
    <t>G001.TOTXM_R.A</t>
  </si>
  <si>
    <t>G110.TM_R.A</t>
  </si>
  <si>
    <t>G200.TM_R.A</t>
  </si>
  <si>
    <t>G110.TXG_D.A</t>
  </si>
  <si>
    <t>G110.TXGXO_D.A</t>
  </si>
  <si>
    <t>G110.TXGM_D.A</t>
  </si>
  <si>
    <t>G200.TXG_D.A</t>
  </si>
  <si>
    <t>G001.PZPIW.A</t>
  </si>
  <si>
    <t>G001.PZPINRGW.A</t>
  </si>
  <si>
    <t>G001.PZPIOIL.A</t>
  </si>
  <si>
    <t>G001.PZPINGASW.A</t>
  </si>
  <si>
    <t>G001.PZPICLW.A</t>
  </si>
  <si>
    <t>G001.PZPINFW.A</t>
  </si>
  <si>
    <t>G001.PZPIFW.A</t>
  </si>
  <si>
    <t>G001.PZPIBEVW.A</t>
  </si>
  <si>
    <t>G001.PZPIRAW.A</t>
  </si>
  <si>
    <t>G001.PZPIMETW.A</t>
  </si>
  <si>
    <t>G001.PZPIAGRW.A</t>
  </si>
  <si>
    <t>G001.PZPICERW.A</t>
  </si>
  <si>
    <t>G001.PZPICFW.A</t>
  </si>
  <si>
    <t>G001.PZPIFBW.A</t>
  </si>
  <si>
    <t>G001.PZPITIHWW.A</t>
  </si>
  <si>
    <t>G001.PZPIINDW.A</t>
  </si>
  <si>
    <t>G001.PZPIMTW.A</t>
  </si>
  <si>
    <t>G001.PZPIPMW.A</t>
  </si>
  <si>
    <t>G001.PZPIAMW.A</t>
  </si>
  <si>
    <t>G001.PZPIEXGMW.A</t>
  </si>
  <si>
    <t>G001.PZPISFW.A</t>
  </si>
  <si>
    <t>G001.PZPITISWW.A</t>
  </si>
  <si>
    <t>G001.PZPISUGW.A</t>
  </si>
  <si>
    <t>G001.PZPITIW.A</t>
  </si>
  <si>
    <t>G001.PZPIVOILW.A</t>
  </si>
  <si>
    <t>G001.PZPIWLW.A</t>
  </si>
  <si>
    <t>G001.PZPICOT.A</t>
  </si>
  <si>
    <t>G001.PZPIHIDE.A</t>
  </si>
  <si>
    <t>G001.PZPIRUB.A</t>
  </si>
  <si>
    <t>G001.PZPITIHWL.A</t>
  </si>
  <si>
    <t>G001.PZPITIHWS.A</t>
  </si>
  <si>
    <t>G001.PZPITISWL.A</t>
  </si>
  <si>
    <t>G001.PZPITISWS.A</t>
  </si>
  <si>
    <t>G001.PZPIWL_Type1.A</t>
  </si>
  <si>
    <t>G001.PZPIWL_Type2.A</t>
  </si>
  <si>
    <t>G001.PZPICF_Type3.A</t>
  </si>
  <si>
    <t>G001.PZPICF_Type2.A</t>
  </si>
  <si>
    <t>G001.PZPICO.A</t>
  </si>
  <si>
    <t>G001.PZPITEA.A</t>
  </si>
  <si>
    <t>G001.PZPIBR.A</t>
  </si>
  <si>
    <t>G001.PZPIMAIZ.A</t>
  </si>
  <si>
    <t>G001.PZPIOAT.A</t>
  </si>
  <si>
    <t>G001.PZPIRIN.A</t>
  </si>
  <si>
    <t>G001.PZPISORG.A</t>
  </si>
  <si>
    <t>G001.PZPIWHE.A</t>
  </si>
  <si>
    <t>G001.PZPIBE.A</t>
  </si>
  <si>
    <t>G001.PZPILAMB.A</t>
  </si>
  <si>
    <t>G001.PZPIPOULT.A</t>
  </si>
  <si>
    <t>G001.PZPIPORK.A</t>
  </si>
  <si>
    <t>G001.PZPISHRI.A</t>
  </si>
  <si>
    <t>G001.PZPISFI.A</t>
  </si>
  <si>
    <t>G001.PZPISUG_Type3.A</t>
  </si>
  <si>
    <t>G001.PZPISUG_Type2.A</t>
  </si>
  <si>
    <t>G001.PZPIPOIL.A</t>
  </si>
  <si>
    <t>G001.PZPIROIL.A</t>
  </si>
  <si>
    <t>G001.PZPISOYB.A</t>
  </si>
  <si>
    <t>G001.PZPISOIL.A</t>
  </si>
  <si>
    <t>G001.PZPISMEA.A</t>
  </si>
  <si>
    <t>G001.PZPISUNO.A</t>
  </si>
  <si>
    <t>G001.PZPIBA.A</t>
  </si>
  <si>
    <t>G001.PZPIORA.A</t>
  </si>
  <si>
    <t>G001.PZPIMILK.A</t>
  </si>
  <si>
    <t>G001.PZPIFSH.A</t>
  </si>
  <si>
    <t>G001.PZPIGNOIL.A</t>
  </si>
  <si>
    <t>G001.PZPICHAN.A</t>
  </si>
  <si>
    <t>G001.PZPIAPP.A</t>
  </si>
  <si>
    <t>G001.PZPITOM.A</t>
  </si>
  <si>
    <t>G001.PZPIUREA.A</t>
  </si>
  <si>
    <t>G001.PZPIDAPW.A</t>
  </si>
  <si>
    <t>G001.PZPIPOW.A</t>
  </si>
  <si>
    <t>G001.PZPIAI.A</t>
  </si>
  <si>
    <t>G001.PZPICB.A</t>
  </si>
  <si>
    <t>G001.PZPICU.A</t>
  </si>
  <si>
    <t>G001.PZPIFE.A</t>
  </si>
  <si>
    <t>G001.PZPIPB.A</t>
  </si>
  <si>
    <t>G001.PZPIMOLY.A</t>
  </si>
  <si>
    <t>G001.PZPINICK.A</t>
  </si>
  <si>
    <t>G001.PZPISN.A</t>
  </si>
  <si>
    <t>G001.PZPIU.A</t>
  </si>
  <si>
    <t>G001.PZPIZN.A</t>
  </si>
  <si>
    <t>G001.PZPIGOL.A</t>
  </si>
  <si>
    <t>G001.PZPISILV.A</t>
  </si>
  <si>
    <t>G001.PZPIPD.A</t>
  </si>
  <si>
    <t>G001.PZPIPT.A</t>
  </si>
  <si>
    <t>G163.EDNA.A</t>
  </si>
  <si>
    <t>DEU.EDNA.A</t>
  </si>
  <si>
    <t>DEU.EDNA_H.A</t>
  </si>
  <si>
    <t>FRA.EDNA.A</t>
  </si>
  <si>
    <t>FRA.EDNA_H.A</t>
  </si>
  <si>
    <t>ITA.EDNA.A</t>
  </si>
  <si>
    <t>ITA.EDNA_H.A</t>
  </si>
  <si>
    <t>JPN.EDNA.A</t>
  </si>
  <si>
    <t>GBR.EDNA.A</t>
  </si>
  <si>
    <t>CAN.EDNA.A</t>
  </si>
  <si>
    <t>AUT.EDNA.A</t>
  </si>
  <si>
    <t>AUT.EDNA_H.A</t>
  </si>
  <si>
    <t>BEL.EDNA.A</t>
  </si>
  <si>
    <t>BEL.EDNA_H.A</t>
  </si>
  <si>
    <t>CYP.EDNA.A</t>
  </si>
  <si>
    <t>CYP.EDNA_H.A</t>
  </si>
  <si>
    <t>CZE.EDNA.A</t>
  </si>
  <si>
    <t>DNK.EDNA.A</t>
  </si>
  <si>
    <t>EST.EDNA.A</t>
  </si>
  <si>
    <t>EST.EDNA_H.A</t>
  </si>
  <si>
    <t>LUX.EDNA.A</t>
  </si>
  <si>
    <t>LUX.EDNA_H.A</t>
  </si>
  <si>
    <t>NLD.EDNA.A</t>
  </si>
  <si>
    <t>NLD.EDNA_H.A</t>
  </si>
  <si>
    <t>NOR.EDNA.A</t>
  </si>
  <si>
    <t>SWE.EDNA.A</t>
  </si>
  <si>
    <t>CHE.EDNA.A</t>
  </si>
  <si>
    <t>FIN.EDNA.A</t>
  </si>
  <si>
    <t>FIN.EDNA_H.A</t>
  </si>
  <si>
    <t>GRC.EDNA.A</t>
  </si>
  <si>
    <t>GRC.EDNA_H.A</t>
  </si>
  <si>
    <t>ISL.EDNA.A</t>
  </si>
  <si>
    <t>IRL.EDNA.A</t>
  </si>
  <si>
    <t>IRL.EDNA_H.A</t>
  </si>
  <si>
    <t>MLT.EDNA.A</t>
  </si>
  <si>
    <t>MLT.EDNA_H.A</t>
  </si>
  <si>
    <t>PRT.EDNA.A</t>
  </si>
  <si>
    <t>PRT.EDNA_H.A</t>
  </si>
  <si>
    <t>SVK.EDNA.A</t>
  </si>
  <si>
    <t>SVK.EDNA_H.A</t>
  </si>
  <si>
    <t>SVN.EDNA.A</t>
  </si>
  <si>
    <t>SVN.EDNA_H.A</t>
  </si>
  <si>
    <t>ESP.EDNA.A</t>
  </si>
  <si>
    <t>ESP.EDNA_H.A</t>
  </si>
  <si>
    <t>AUS.EDNA.A</t>
  </si>
  <si>
    <t>NZL.EDNA.A</t>
  </si>
  <si>
    <t>ISR.EDNA.A</t>
  </si>
  <si>
    <t>TWN.EDNA.A</t>
  </si>
  <si>
    <t>HKG.EDNA.A</t>
  </si>
  <si>
    <t>KOR.EDNA.A</t>
  </si>
  <si>
    <t>SGP.EDNA.A</t>
  </si>
  <si>
    <t>G163.EDNE.A</t>
  </si>
  <si>
    <t>DEU.EDNE.A</t>
  </si>
  <si>
    <t>DEU.EDNE_H.A</t>
  </si>
  <si>
    <t>FRA.EDNE.A</t>
  </si>
  <si>
    <t>FRA.EDNE_H.A</t>
  </si>
  <si>
    <t>JPN.EDNE.A</t>
  </si>
  <si>
    <t>GBR.EDNE.A</t>
  </si>
  <si>
    <t>CHE.EDNE.A</t>
  </si>
  <si>
    <t>USA.ESDA.A</t>
  </si>
  <si>
    <t>USA.ESDE.A</t>
  </si>
  <si>
    <t>USA.EREER_ULC.A</t>
  </si>
  <si>
    <t>G163.EREER_ULC.A</t>
  </si>
  <si>
    <t>DEU.EREER_ULC.A</t>
  </si>
  <si>
    <t>FRA.EREER_ULC.A</t>
  </si>
  <si>
    <t>ITA.EREER_ULC.A</t>
  </si>
  <si>
    <t>JPN.EREER_ULC.A</t>
  </si>
  <si>
    <t>GBR.EREER_ULC.A</t>
  </si>
  <si>
    <t>CAN.EREER_ULC.A</t>
  </si>
  <si>
    <t>AUT.EREER_ULC.A</t>
  </si>
  <si>
    <t>BEL.EREER_ULC.A</t>
  </si>
  <si>
    <t>DNK.EREER_ULC.A</t>
  </si>
  <si>
    <t>LUX.EREER_ULC.A</t>
  </si>
  <si>
    <t>NLD.EREER_ULC.A</t>
  </si>
  <si>
    <t>NOR.EREER_ULC.A</t>
  </si>
  <si>
    <t>SWE.EREER_ULC.A</t>
  </si>
  <si>
    <t>CHE.EREER_ULC.A</t>
  </si>
  <si>
    <t>FIN.EREER_ULC.A</t>
  </si>
  <si>
    <t>GRC.EREER_ULC.A</t>
  </si>
  <si>
    <t>IRL.EREER_ULC.A</t>
  </si>
  <si>
    <t>PRT.EREER_ULC.A</t>
  </si>
  <si>
    <t>ESP.EREER_ULC.A</t>
  </si>
  <si>
    <t>AUS.EREER_ULC.A</t>
  </si>
  <si>
    <t>NZL.EREER_ULC.A</t>
  </si>
  <si>
    <t>USA.ENEER_ULC.A</t>
  </si>
  <si>
    <t>G163.ENEER_ULC.A</t>
  </si>
  <si>
    <t>DEU.ENEER_ULC.A</t>
  </si>
  <si>
    <t>FRA.ENEER_ULC.A</t>
  </si>
  <si>
    <t>ITA.ENEER_ULC.A</t>
  </si>
  <si>
    <t>JPN.ENEER_ULC.A</t>
  </si>
  <si>
    <t>GBR.ENEER_ULC.A</t>
  </si>
  <si>
    <t>CAN.ENEER_ULC.A</t>
  </si>
  <si>
    <t>AUT.ENEER_ULC.A</t>
  </si>
  <si>
    <t>BEL.ENEER_ULC.A</t>
  </si>
  <si>
    <t>DNK.ENEER_ULC.A</t>
  </si>
  <si>
    <t>LUX.ENEER_ULC.A</t>
  </si>
  <si>
    <t>NLD.ENEER_ULC.A</t>
  </si>
  <si>
    <t>NOR.ENEER_ULC.A</t>
  </si>
  <si>
    <t>SWE.ENEER_ULC.A</t>
  </si>
  <si>
    <t>CHE.ENEER_ULC.A</t>
  </si>
  <si>
    <t>FIN.ENEER_ULC.A</t>
  </si>
  <si>
    <t>GRC.ENEER_ULC.A</t>
  </si>
  <si>
    <t>IRL.ENEER_ULC.A</t>
  </si>
  <si>
    <t>PRT.ENEER_ULC.A</t>
  </si>
  <si>
    <t>ESP.ENEER_ULC.A</t>
  </si>
  <si>
    <t>AUS.ENEER_ULC.A</t>
  </si>
  <si>
    <t>NZL.ENEER_ULC.A</t>
  </si>
  <si>
    <t>USA.LULCM.A</t>
  </si>
  <si>
    <t>USA.FIST.A</t>
  </si>
  <si>
    <t>G163.FIST.A</t>
  </si>
  <si>
    <t>JPN.FIST.A</t>
  </si>
  <si>
    <t>IMF.RES.GAS:GAS_LIVE</t>
  </si>
  <si>
    <t>USA.NGDP_R.Q</t>
  </si>
  <si>
    <t>G163.NGDP_R.Q</t>
  </si>
  <si>
    <t>DEU.NGDP_R.Q</t>
  </si>
  <si>
    <t>FRA.NGDP_R.Q</t>
  </si>
  <si>
    <t>ITA.NGDP_R.Q</t>
  </si>
  <si>
    <t>ESP.NGDP_R.Q</t>
  </si>
  <si>
    <t>JPN.NGDP_R.Q</t>
  </si>
  <si>
    <t>GBR.NGDP_R.Q</t>
  </si>
  <si>
    <t>CAN.NGDP_R.Q</t>
  </si>
  <si>
    <t>USA.NGDP_D.Q</t>
  </si>
  <si>
    <t>G163.NGDP_D.Q</t>
  </si>
  <si>
    <t>DEU.NGDP_D.Q</t>
  </si>
  <si>
    <t>FRA.NGDP_D.Q</t>
  </si>
  <si>
    <t>ITA.NGDP_D.Q</t>
  </si>
  <si>
    <t>JPN.NGDP_D.Q</t>
  </si>
  <si>
    <t>GBR.NGDP_D.Q</t>
  </si>
  <si>
    <t>CAN.NGDP_D.Q</t>
  </si>
  <si>
    <t>G110.TXGM_D.Q</t>
  </si>
  <si>
    <t>G001.PZPIW.Q</t>
  </si>
  <si>
    <t>G001.PZPINRGW.Q</t>
  </si>
  <si>
    <t>G001.PZPIOIL.Q</t>
  </si>
  <si>
    <t>G001.PZPINGASW.Q</t>
  </si>
  <si>
    <t>G001.PZPICLW.Q</t>
  </si>
  <si>
    <t>G001.PZPINFW.Q</t>
  </si>
  <si>
    <t>G001.PZPIFW.Q</t>
  </si>
  <si>
    <t>G001.PZPIBEVW.Q</t>
  </si>
  <si>
    <t>G001.PZPIRAW.Q</t>
  </si>
  <si>
    <t>G001.PZPIMETW.Q</t>
  </si>
  <si>
    <t>G001.PZPIAGRW.Q</t>
  </si>
  <si>
    <t>G001.PZPICERW.Q</t>
  </si>
  <si>
    <t>G001.PZPICFW.Q</t>
  </si>
  <si>
    <t>G001.PZPIFBW.Q</t>
  </si>
  <si>
    <t>G001.PZPITIHWW.Q</t>
  </si>
  <si>
    <t>G001.PZPIINDW.Q</t>
  </si>
  <si>
    <t>G001.PZPIMTW.Q</t>
  </si>
  <si>
    <t>G001.PZPIPMW.Q</t>
  </si>
  <si>
    <t>G001.PZPIAMW.Q</t>
  </si>
  <si>
    <t>G001.PZPIEXGMW.Q</t>
  </si>
  <si>
    <t>G001.PZPISFW.Q</t>
  </si>
  <si>
    <t>G001.PZPITISWW.Q</t>
  </si>
  <si>
    <t>G001.PZPISUGW.Q</t>
  </si>
  <si>
    <t>G001.PZPITIW.Q</t>
  </si>
  <si>
    <t>G001.PZPIVOILW.Q</t>
  </si>
  <si>
    <t>G001.PZPIWLW.Q</t>
  </si>
  <si>
    <t>G001.PZPICOT.Q</t>
  </si>
  <si>
    <t>G001.PZPIHIDE.Q</t>
  </si>
  <si>
    <t>G001.PZPIRUB.Q</t>
  </si>
  <si>
    <t>G001.PZPITIHWL.Q</t>
  </si>
  <si>
    <t>G001.PZPITIHWS.Q</t>
  </si>
  <si>
    <t>G001.PZPITISWL.Q</t>
  </si>
  <si>
    <t>G001.PZPITISWS.Q</t>
  </si>
  <si>
    <t>G001.PZPIWL_Type1.Q</t>
  </si>
  <si>
    <t>G001.PZPIWL_Type2.Q</t>
  </si>
  <si>
    <t>G001.PZPICF_Type3.Q</t>
  </si>
  <si>
    <t>G001.PZPICF_Type2.Q</t>
  </si>
  <si>
    <t>G001.PZPICO.Q</t>
  </si>
  <si>
    <t>G001.PZPITEA.Q</t>
  </si>
  <si>
    <t>G001.PZPIBR.Q</t>
  </si>
  <si>
    <t>G001.PZPIMAIZ.Q</t>
  </si>
  <si>
    <t>G001.PZPIOAT.Q</t>
  </si>
  <si>
    <t>G001.PZPIRIN.Q</t>
  </si>
  <si>
    <t>G001.PZPISORG.Q</t>
  </si>
  <si>
    <t>G001.PZPIWHE.Q</t>
  </si>
  <si>
    <t>G001.PZPIBE.Q</t>
  </si>
  <si>
    <t>G001.PZPILAMB.Q</t>
  </si>
  <si>
    <t>G001.PZPIPOULT.Q</t>
  </si>
  <si>
    <t>G001.PZPIPORK.Q</t>
  </si>
  <si>
    <t>G001.PZPISHRI.Q</t>
  </si>
  <si>
    <t>G001.PZPISFI.Q</t>
  </si>
  <si>
    <t>G001.PZPISUG_Type3.Q</t>
  </si>
  <si>
    <t>G001.PZPISUG_Type2.Q</t>
  </si>
  <si>
    <t>G001.PZPIOLOIL.Q</t>
  </si>
  <si>
    <t>G001.PZPIPOIL.Q</t>
  </si>
  <si>
    <t>G001.PZPIROIL.Q</t>
  </si>
  <si>
    <t>G001.PZPISOYB.Q</t>
  </si>
  <si>
    <t>G001.PZPISOIL.Q</t>
  </si>
  <si>
    <t>G001.PZPISMEA.Q</t>
  </si>
  <si>
    <t>G001.PZPISUNO.Q</t>
  </si>
  <si>
    <t>G001.PZPIBA.Q</t>
  </si>
  <si>
    <t>G001.PZPIORA.Q</t>
  </si>
  <si>
    <t>G001.PZPIMILK.Q</t>
  </si>
  <si>
    <t>G001.PZPIFSH.Q</t>
  </si>
  <si>
    <t>G001.PZPIGNOIL.Q</t>
  </si>
  <si>
    <t>G001.PZPICHAN.Q</t>
  </si>
  <si>
    <t>G001.PZPIAPP.Q</t>
  </si>
  <si>
    <t>G001.PZPITOM.Q</t>
  </si>
  <si>
    <t>G001.PZPIUREA.Q</t>
  </si>
  <si>
    <t>G001.PZPIDAPW.Q</t>
  </si>
  <si>
    <t>G001.PZPIPOW.Q</t>
  </si>
  <si>
    <t>G001.PZPIAI.Q</t>
  </si>
  <si>
    <t>G001.PZPICB.Q</t>
  </si>
  <si>
    <t>G001.PZPICU.Q</t>
  </si>
  <si>
    <t>G001.PZPIFE.Q</t>
  </si>
  <si>
    <t>G001.PZPIPB.Q</t>
  </si>
  <si>
    <t>G001.PZPIMOLY.Q</t>
  </si>
  <si>
    <t>G001.PZPINICK.Q</t>
  </si>
  <si>
    <t>G001.PZPISN.Q</t>
  </si>
  <si>
    <t>G001.PZPIU.Q</t>
  </si>
  <si>
    <t>G001.PZPIZN.Q</t>
  </si>
  <si>
    <t>G001.PZPIGOL.Q</t>
  </si>
  <si>
    <t>G001.PZPISILV.Q</t>
  </si>
  <si>
    <t>G001.PZPIPD.Q</t>
  </si>
  <si>
    <t>G001.PZPIPT.Q</t>
  </si>
  <si>
    <t>G163.EDNA.Q</t>
  </si>
  <si>
    <t>DEU.EDNA.Q</t>
  </si>
  <si>
    <t>DEU.EDNA_H.Q</t>
  </si>
  <si>
    <t>FRA.EDNA.Q</t>
  </si>
  <si>
    <t>FRA.EDNA_H.Q</t>
  </si>
  <si>
    <t>ITA.EDNA.Q</t>
  </si>
  <si>
    <t>ITA.EDNA_H.Q</t>
  </si>
  <si>
    <t>JPN.EDNA.Q</t>
  </si>
  <si>
    <t>GBR.EDNA.Q</t>
  </si>
  <si>
    <t>CAN.EDNA.Q</t>
  </si>
  <si>
    <t>AUT.EDNA.Q</t>
  </si>
  <si>
    <t>AUT.EDNA_H.Q</t>
  </si>
  <si>
    <t>BEL.EDNA.Q</t>
  </si>
  <si>
    <t>BEL.EDNA_H.Q</t>
  </si>
  <si>
    <t>CYP.EDNA.Q</t>
  </si>
  <si>
    <t>CYP.EDNA_H.Q</t>
  </si>
  <si>
    <t>CZE.EDNA.Q</t>
  </si>
  <si>
    <t>DNK.EDNA.Q</t>
  </si>
  <si>
    <t>EST.EDNA.Q</t>
  </si>
  <si>
    <t>EST.EDNA_H.Q</t>
  </si>
  <si>
    <t>LUX.EDNA.Q</t>
  </si>
  <si>
    <t>LUX.EDNA_H.Q</t>
  </si>
  <si>
    <t>NLD.EDNA.Q</t>
  </si>
  <si>
    <t>NLD.EDNA_H.Q</t>
  </si>
  <si>
    <t>NOR.EDNA.Q</t>
  </si>
  <si>
    <t>SWE.EDNA.Q</t>
  </si>
  <si>
    <t>CHE.EDNA.Q</t>
  </si>
  <si>
    <t>FIN.EDNA.Q</t>
  </si>
  <si>
    <t>FIN.EDNA_H.Q</t>
  </si>
  <si>
    <t>GRC.EDNA.Q</t>
  </si>
  <si>
    <t>GRC.EDNA_H.Q</t>
  </si>
  <si>
    <t>ISL.EDNA.Q</t>
  </si>
  <si>
    <t>IRL.EDNA.Q</t>
  </si>
  <si>
    <t>IRL.EDNA_H.Q</t>
  </si>
  <si>
    <t>MLT.EDNA.Q</t>
  </si>
  <si>
    <t>MLT.EDNA_H.Q</t>
  </si>
  <si>
    <t>PRT.EDNA.Q</t>
  </si>
  <si>
    <t>PRT.EDNA_H.Q</t>
  </si>
  <si>
    <t>SVK.EDNA.Q</t>
  </si>
  <si>
    <t>SVK.EDNA_H.Q</t>
  </si>
  <si>
    <t>SVN.EDNA.Q</t>
  </si>
  <si>
    <t>SVN.EDNA_H.Q</t>
  </si>
  <si>
    <t>ESP.EDNA.Q</t>
  </si>
  <si>
    <t>ESP.EDNA_H.Q</t>
  </si>
  <si>
    <t>AUS.EDNA.Q</t>
  </si>
  <si>
    <t>NZL.EDNA.Q</t>
  </si>
  <si>
    <t>ISR.EDNA.Q</t>
  </si>
  <si>
    <t>TWN.EDNA.Q</t>
  </si>
  <si>
    <t>HKG.EDNA.Q</t>
  </si>
  <si>
    <t>KOR.EDNA.Q</t>
  </si>
  <si>
    <t>SGP.EDNA.Q</t>
  </si>
  <si>
    <t>G163.EDNE.Q</t>
  </si>
  <si>
    <t>DEU.EDNE.Q</t>
  </si>
  <si>
    <t>DEU.EDNE_H.Q</t>
  </si>
  <si>
    <t>FRA.EDNE.Q</t>
  </si>
  <si>
    <t>FRA.EDNE_H.Q</t>
  </si>
  <si>
    <t>JPN.EDNE.Q</t>
  </si>
  <si>
    <t>GBR.EDNE.Q</t>
  </si>
  <si>
    <t>CHE.EDNE.Q</t>
  </si>
  <si>
    <t>USA.ESDA.Q</t>
  </si>
  <si>
    <t>USA.EREER_ULC.Q</t>
  </si>
  <si>
    <t>G163.EREER_ULC.Q</t>
  </si>
  <si>
    <t>DEU.EREER_ULC.Q</t>
  </si>
  <si>
    <t>FRA.EREER_ULC.Q</t>
  </si>
  <si>
    <t>ITA.EREER_ULC.Q</t>
  </si>
  <si>
    <t>JPN.EREER_ULC.Q</t>
  </si>
  <si>
    <t>GBR.EREER_ULC.Q</t>
  </si>
  <si>
    <t>CAN.EREER_ULC.Q</t>
  </si>
  <si>
    <t>AUT.EREER_ULC.Q</t>
  </si>
  <si>
    <t>BEL.EREER_ULC.Q</t>
  </si>
  <si>
    <t>DNK.EREER_ULC.Q</t>
  </si>
  <si>
    <t>LUX.EREER_ULC.Q</t>
  </si>
  <si>
    <t>NLD.EREER_ULC.Q</t>
  </si>
  <si>
    <t>NOR.EREER_ULC.Q</t>
  </si>
  <si>
    <t>SWE.EREER_ULC.Q</t>
  </si>
  <si>
    <t>CHE.EREER_ULC.Q</t>
  </si>
  <si>
    <t>FIN.EREER_ULC.Q</t>
  </si>
  <si>
    <t>GRC.EREER_ULC.Q</t>
  </si>
  <si>
    <t>IRL.EREER_ULC.Q</t>
  </si>
  <si>
    <t>PRT.EREER_ULC.Q</t>
  </si>
  <si>
    <t>ESP.EREER_ULC.Q</t>
  </si>
  <si>
    <t>AUS.EREER_ULC.Q</t>
  </si>
  <si>
    <t>NZL.EREER_ULC.Q</t>
  </si>
  <si>
    <t>USA.ENEER_ULC.Q</t>
  </si>
  <si>
    <t>G163.ENEER_ULC.Q</t>
  </si>
  <si>
    <t>DEU.ENEER_ULC.Q</t>
  </si>
  <si>
    <t>FRA.ENEER_ULC.Q</t>
  </si>
  <si>
    <t>ITA.ENEER_ULC.Q</t>
  </si>
  <si>
    <t>JPN.ENEER_ULC.Q</t>
  </si>
  <si>
    <t>GBR.ENEER_ULC.Q</t>
  </si>
  <si>
    <t>CAN.ENEER_ULC.Q</t>
  </si>
  <si>
    <t>AUT.ENEER_ULC.Q</t>
  </si>
  <si>
    <t>BEL.ENEER_ULC.Q</t>
  </si>
  <si>
    <t>DNK.ENEER_ULC.Q</t>
  </si>
  <si>
    <t>LUX.ENEER_ULC.Q</t>
  </si>
  <si>
    <t>NLD.ENEER_ULC.Q</t>
  </si>
  <si>
    <t>NOR.ENEER_ULC.Q</t>
  </si>
  <si>
    <t>SWE.ENEER_ULC.Q</t>
  </si>
  <si>
    <t>CHE.ENEER_ULC.Q</t>
  </si>
  <si>
    <t>FIN.ENEER_ULC.Q</t>
  </si>
  <si>
    <t>GRC.ENEER_ULC.Q</t>
  </si>
  <si>
    <t>IRL.ENEER_ULC.Q</t>
  </si>
  <si>
    <t>PRT.ENEER_ULC.Q</t>
  </si>
  <si>
    <t>ESP.ENEER_ULC.Q</t>
  </si>
  <si>
    <t>AUS.ENEER_ULC.Q</t>
  </si>
  <si>
    <t>NZL.ENEER_ULC.Q</t>
  </si>
  <si>
    <t>USA.FIST.Q</t>
  </si>
  <si>
    <t>G163.FIST.Q</t>
  </si>
  <si>
    <t>JPN.FIST.Q</t>
  </si>
  <si>
    <r>
      <t xml:space="preserve">GDP nat currency, weigthed sum growth rates, US=0.4, Euro=0.4, Japan=0.1, </t>
    </r>
    <r>
      <rPr>
        <sz val="8"/>
        <color theme="9" tint="-0.249977111117893"/>
        <rFont val="Times New Roman"/>
        <family val="1"/>
      </rPr>
      <t>UK-=0.05, Canada=0.05</t>
    </r>
  </si>
  <si>
    <r>
      <t xml:space="preserve">GDP deflator </t>
    </r>
    <r>
      <rPr>
        <b/>
        <sz val="10"/>
        <color rgb="FFFF0000"/>
        <rFont val="Calibri"/>
        <family val="2"/>
        <scheme val="minor"/>
      </rPr>
      <t>Q to Q-4 % change</t>
    </r>
  </si>
  <si>
    <t>w</t>
  </si>
  <si>
    <t>IMF.RES.GAS:GAS_LIVE_2026_JAN_GAS1_VINTAGE</t>
  </si>
  <si>
    <t>IMF.RES.WEO:WEO_LIVE_2026_JAN_VINTAGE</t>
  </si>
  <si>
    <t>2030A2</t>
  </si>
  <si>
    <t>2030A3</t>
  </si>
  <si>
    <t>G001.PZPIOLOIL.A</t>
  </si>
  <si>
    <t>IMF WEO Vintage Jan 2026</t>
  </si>
  <si>
    <t>annual growth rate frm annual sheet</t>
  </si>
  <si>
    <t>WEOGAS_Rwametric_Qdata frm 2012Q1</t>
  </si>
  <si>
    <t>USA  Govt bonds (before 2013: U.S. dollar deposits</t>
  </si>
  <si>
    <t>Euro area Govt bonds (before 2013: Euro deposits)</t>
  </si>
  <si>
    <t>Japam Govt bonds (before 2013: ….)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</si>
</sst>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41" x14ac:knownFonts="1">
    <font>
      <sz val="10"/>
      <name val="Times New Roman"/>
    </font>
    <font>
      <b/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9" tint="-0.249977111117893"/>
      <name val="Times New Roman"/>
      <family val="1"/>
    </font>
    <font>
      <b/>
      <sz val="10"/>
      <color rgb="FFFF0000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9"/>
      <color theme="9" tint="-0.249977111117893"/>
      <name val="Times New Roman"/>
      <family val="1"/>
    </font>
    <font>
      <b/>
      <sz val="10"/>
      <color rgb="FF0070C0"/>
      <name val="Calibri"/>
      <family val="2"/>
      <scheme val="minor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0"/>
      <color rgb="FFC00000"/>
      <name val="Times New Roman"/>
      <family val="1"/>
    </font>
    <font>
      <b/>
      <sz val="8"/>
      <color theme="8" tint="-0.249977111117893"/>
      <name val="Times New Roman"/>
      <family val="1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C00000"/>
      <name val="Arial"/>
      <family val="2"/>
    </font>
    <font>
      <b/>
      <u/>
      <sz val="9"/>
      <color rgb="FFC00000"/>
      <name val="Arial"/>
      <family val="2"/>
    </font>
    <font>
      <u/>
      <sz val="10"/>
      <color rgb="FFFF0000"/>
      <name val="Times New Roman"/>
      <family val="1"/>
    </font>
    <font>
      <b/>
      <u/>
      <sz val="10"/>
      <color rgb="FFC00000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8"/>
      <color theme="9" tint="-0.249977111117893"/>
      <name val="Times New Roman"/>
      <family val="1"/>
    </font>
    <font>
      <b/>
      <sz val="10"/>
      <color theme="9" tint="-0.249977111117893"/>
      <name val="Times New Roman"/>
      <family val="1"/>
    </font>
    <font>
      <b/>
      <sz val="10"/>
      <color rgb="FFC00000"/>
      <name val="Times New Roman"/>
      <family val="1"/>
    </font>
    <font>
      <b/>
      <sz val="10"/>
      <color rgb="FF0070C0"/>
      <name val="Times New Roman"/>
      <family val="1"/>
    </font>
    <font>
      <b/>
      <sz val="10"/>
      <color theme="8" tint="-0.249977111117893"/>
      <name val="Times New Roman"/>
      <family val="1"/>
    </font>
    <font>
      <sz val="8"/>
      <name val="Times New Roman"/>
      <family val="1"/>
    </font>
    <font>
      <sz val="10"/>
      <color rgb="FF00B050"/>
      <name val="Times New Roman"/>
      <family val="1"/>
    </font>
    <font>
      <b/>
      <sz val="10"/>
      <color rgb="FF00B05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0" borderId="0"/>
    <xf numFmtId="0" fontId="4" fillId="0" borderId="0"/>
    <xf numFmtId="0" fontId="32" fillId="0" borderId="0" applyNumberForma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2" fontId="4" fillId="0" borderId="0" xfId="0" quotePrefix="1" applyNumberFormat="1" applyFont="1" applyAlignment="1">
      <alignment horizontal="right"/>
    </xf>
    <xf numFmtId="165" fontId="4" fillId="0" borderId="0" xfId="0" applyNumberFormat="1" applyFont="1"/>
    <xf numFmtId="0" fontId="5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6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2" fontId="1" fillId="0" borderId="0" xfId="0" quotePrefix="1" applyNumberFormat="1" applyFont="1" applyAlignment="1">
      <alignment horizontal="right"/>
    </xf>
    <xf numFmtId="164" fontId="4" fillId="0" borderId="0" xfId="0" applyNumberFormat="1" applyFo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8" fillId="0" borderId="0" xfId="0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2" fontId="9" fillId="0" borderId="0" xfId="0" applyNumberFormat="1" applyFont="1"/>
    <xf numFmtId="0" fontId="9" fillId="0" borderId="0" xfId="0" applyFont="1"/>
    <xf numFmtId="0" fontId="10" fillId="0" borderId="1" xfId="0" applyFont="1" applyBorder="1"/>
    <xf numFmtId="0" fontId="11" fillId="3" borderId="1" xfId="0" applyFont="1" applyFill="1" applyBorder="1"/>
    <xf numFmtId="0" fontId="4" fillId="3" borderId="0" xfId="0" applyFont="1" applyFill="1"/>
    <xf numFmtId="0" fontId="12" fillId="3" borderId="1" xfId="0" applyFont="1" applyFill="1" applyBorder="1"/>
    <xf numFmtId="0" fontId="16" fillId="3" borderId="1" xfId="0" applyFont="1" applyFill="1" applyBorder="1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10" fontId="17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10" fontId="17" fillId="3" borderId="5" xfId="0" applyNumberFormat="1" applyFont="1" applyFill="1" applyBorder="1" applyAlignment="1">
      <alignment horizontal="right"/>
    </xf>
    <xf numFmtId="0" fontId="13" fillId="3" borderId="2" xfId="0" applyFont="1" applyFill="1" applyBorder="1"/>
    <xf numFmtId="0" fontId="13" fillId="3" borderId="0" xfId="0" applyFont="1" applyFill="1"/>
    <xf numFmtId="2" fontId="21" fillId="3" borderId="0" xfId="0" applyNumberFormat="1" applyFont="1" applyFill="1" applyAlignment="1">
      <alignment horizontal="right"/>
    </xf>
    <xf numFmtId="164" fontId="22" fillId="3" borderId="0" xfId="0" applyNumberFormat="1" applyFont="1" applyFill="1" applyAlignment="1">
      <alignment horizontal="left"/>
    </xf>
    <xf numFmtId="0" fontId="23" fillId="3" borderId="1" xfId="0" applyFont="1" applyFill="1" applyBorder="1"/>
    <xf numFmtId="164" fontId="9" fillId="3" borderId="0" xfId="0" applyNumberFormat="1" applyFont="1" applyFill="1" applyAlignment="1">
      <alignment horizontal="right"/>
    </xf>
    <xf numFmtId="0" fontId="25" fillId="3" borderId="0" xfId="0" applyFont="1" applyFill="1" applyAlignment="1">
      <alignment horizontal="right"/>
    </xf>
    <xf numFmtId="0" fontId="25" fillId="3" borderId="1" xfId="0" applyFont="1" applyFill="1" applyBorder="1" applyAlignment="1">
      <alignment horizontal="right"/>
    </xf>
    <xf numFmtId="0" fontId="9" fillId="3" borderId="1" xfId="0" applyFont="1" applyFill="1" applyBorder="1"/>
    <xf numFmtId="0" fontId="9" fillId="3" borderId="0" xfId="0" applyFont="1" applyFill="1"/>
    <xf numFmtId="0" fontId="9" fillId="3" borderId="1" xfId="0" applyFont="1" applyFill="1" applyBorder="1" applyAlignment="1">
      <alignment horizontal="right"/>
    </xf>
    <xf numFmtId="0" fontId="9" fillId="3" borderId="0" xfId="0" applyFont="1" applyFill="1" applyAlignment="1">
      <alignment horizontal="right"/>
    </xf>
    <xf numFmtId="10" fontId="26" fillId="3" borderId="1" xfId="0" applyNumberFormat="1" applyFont="1" applyFill="1" applyBorder="1" applyAlignment="1">
      <alignment horizontal="right"/>
    </xf>
    <xf numFmtId="10" fontId="26" fillId="3" borderId="0" xfId="0" applyNumberFormat="1" applyFont="1" applyFill="1" applyAlignment="1">
      <alignment horizontal="right"/>
    </xf>
    <xf numFmtId="0" fontId="27" fillId="5" borderId="1" xfId="0" applyFont="1" applyFill="1" applyBorder="1"/>
    <xf numFmtId="164" fontId="9" fillId="3" borderId="1" xfId="0" applyNumberFormat="1" applyFont="1" applyFill="1" applyBorder="1" applyAlignment="1">
      <alignment horizontal="right"/>
    </xf>
    <xf numFmtId="164" fontId="8" fillId="3" borderId="1" xfId="0" applyNumberFormat="1" applyFont="1" applyFill="1" applyBorder="1" applyAlignment="1">
      <alignment horizontal="right"/>
    </xf>
    <xf numFmtId="164" fontId="8" fillId="3" borderId="0" xfId="0" applyNumberFormat="1" applyFont="1" applyFill="1" applyAlignment="1">
      <alignment horizontal="right"/>
    </xf>
    <xf numFmtId="1" fontId="9" fillId="3" borderId="1" xfId="0" applyNumberFormat="1" applyFont="1" applyFill="1" applyBorder="1" applyAlignment="1">
      <alignment horizontal="right"/>
    </xf>
    <xf numFmtId="1" fontId="9" fillId="3" borderId="0" xfId="0" applyNumberFormat="1" applyFont="1" applyFill="1" applyAlignment="1">
      <alignment horizontal="right"/>
    </xf>
    <xf numFmtId="164" fontId="4" fillId="3" borderId="6" xfId="0" applyNumberFormat="1" applyFont="1" applyFill="1" applyBorder="1" applyAlignment="1">
      <alignment horizontal="right"/>
    </xf>
    <xf numFmtId="2" fontId="8" fillId="3" borderId="1" xfId="0" applyNumberFormat="1" applyFont="1" applyFill="1" applyBorder="1" applyAlignment="1">
      <alignment horizontal="right"/>
    </xf>
    <xf numFmtId="2" fontId="8" fillId="3" borderId="0" xfId="0" applyNumberFormat="1" applyFont="1" applyFill="1" applyAlignment="1">
      <alignment horizontal="right"/>
    </xf>
    <xf numFmtId="0" fontId="4" fillId="3" borderId="1" xfId="0" applyFont="1" applyFill="1" applyBorder="1" applyAlignment="1">
      <alignment horizontal="right"/>
    </xf>
    <xf numFmtId="10" fontId="17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8" fillId="3" borderId="1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0" fontId="17" fillId="3" borderId="6" xfId="0" applyNumberFormat="1" applyFont="1" applyFill="1" applyBorder="1" applyAlignment="1">
      <alignment horizontal="right"/>
    </xf>
    <xf numFmtId="0" fontId="28" fillId="5" borderId="1" xfId="0" applyFont="1" applyFill="1" applyBorder="1"/>
    <xf numFmtId="0" fontId="29" fillId="3" borderId="0" xfId="0" applyFont="1" applyFill="1" applyAlignment="1">
      <alignment horizontal="right"/>
    </xf>
    <xf numFmtId="164" fontId="8" fillId="3" borderId="0" xfId="0" applyNumberFormat="1" applyFont="1" applyFill="1" applyAlignment="1">
      <alignment horizontal="left"/>
    </xf>
    <xf numFmtId="166" fontId="9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25" fillId="3" borderId="6" xfId="0" applyFont="1" applyFill="1" applyBorder="1" applyAlignment="1">
      <alignment horizontal="right"/>
    </xf>
    <xf numFmtId="0" fontId="9" fillId="3" borderId="6" xfId="0" applyFont="1" applyFill="1" applyBorder="1"/>
    <xf numFmtId="0" fontId="9" fillId="3" borderId="6" xfId="0" applyFont="1" applyFill="1" applyBorder="1" applyAlignment="1">
      <alignment horizontal="right"/>
    </xf>
    <xf numFmtId="10" fontId="26" fillId="3" borderId="6" xfId="0" applyNumberFormat="1" applyFont="1" applyFill="1" applyBorder="1" applyAlignment="1">
      <alignment horizontal="right"/>
    </xf>
    <xf numFmtId="164" fontId="9" fillId="3" borderId="6" xfId="0" applyNumberFormat="1" applyFont="1" applyFill="1" applyBorder="1" applyAlignment="1">
      <alignment horizontal="right"/>
    </xf>
    <xf numFmtId="164" fontId="8" fillId="3" borderId="6" xfId="0" applyNumberFormat="1" applyFont="1" applyFill="1" applyBorder="1" applyAlignment="1">
      <alignment horizontal="right"/>
    </xf>
    <xf numFmtId="1" fontId="9" fillId="3" borderId="6" xfId="0" applyNumberFormat="1" applyFont="1" applyFill="1" applyBorder="1" applyAlignment="1">
      <alignment horizontal="right"/>
    </xf>
    <xf numFmtId="0" fontId="30" fillId="3" borderId="0" xfId="0" applyFont="1" applyFill="1" applyAlignment="1">
      <alignment horizontal="right"/>
    </xf>
    <xf numFmtId="164" fontId="8" fillId="0" borderId="0" xfId="0" applyNumberFormat="1" applyFont="1"/>
    <xf numFmtId="0" fontId="5" fillId="6" borderId="0" xfId="0" applyFont="1" applyFill="1" applyAlignment="1">
      <alignment horizontal="left"/>
    </xf>
    <xf numFmtId="0" fontId="4" fillId="6" borderId="0" xfId="0" applyFont="1" applyFill="1"/>
    <xf numFmtId="0" fontId="31" fillId="0" borderId="0" xfId="0" applyFont="1"/>
    <xf numFmtId="2" fontId="31" fillId="0" borderId="0" xfId="0" applyNumberFormat="1" applyFont="1"/>
    <xf numFmtId="2" fontId="31" fillId="0" borderId="0" xfId="0" applyNumberFormat="1" applyFont="1" applyAlignment="1">
      <alignment horizontal="right"/>
    </xf>
    <xf numFmtId="2" fontId="31" fillId="0" borderId="0" xfId="0" quotePrefix="1" applyNumberFormat="1" applyFont="1" applyAlignment="1">
      <alignment horizontal="right"/>
    </xf>
    <xf numFmtId="165" fontId="31" fillId="0" borderId="0" xfId="0" applyNumberFormat="1" applyFont="1"/>
    <xf numFmtId="165" fontId="31" fillId="0" borderId="0" xfId="0" quotePrefix="1" applyNumberFormat="1" applyFont="1" applyAlignment="1">
      <alignment horizontal="right"/>
    </xf>
    <xf numFmtId="0" fontId="32" fillId="4" borderId="0" xfId="3" applyFill="1"/>
    <xf numFmtId="0" fontId="32" fillId="0" borderId="0" xfId="3" applyFill="1"/>
    <xf numFmtId="0" fontId="31" fillId="0" borderId="0" xfId="0" applyFont="1" applyAlignment="1">
      <alignment horizontal="left" indent="2"/>
    </xf>
    <xf numFmtId="0" fontId="31" fillId="0" borderId="0" xfId="0" applyFont="1" applyAlignment="1">
      <alignment horizontal="left" indent="4"/>
    </xf>
    <xf numFmtId="0" fontId="31" fillId="0" borderId="0" xfId="0" applyFont="1" applyAlignment="1">
      <alignment horizontal="left" indent="3"/>
    </xf>
    <xf numFmtId="0" fontId="31" fillId="0" borderId="0" xfId="0" applyFont="1" applyAlignment="1">
      <alignment horizontal="left" indent="1"/>
    </xf>
    <xf numFmtId="0" fontId="31" fillId="0" borderId="0" xfId="0" applyFont="1" applyAlignment="1">
      <alignment horizontal="left"/>
    </xf>
    <xf numFmtId="0" fontId="4" fillId="3" borderId="6" xfId="0" applyFont="1" applyFill="1" applyBorder="1"/>
    <xf numFmtId="164" fontId="34" fillId="3" borderId="0" xfId="0" applyNumberFormat="1" applyFont="1" applyFill="1" applyAlignment="1">
      <alignment horizontal="right"/>
    </xf>
    <xf numFmtId="164" fontId="34" fillId="3" borderId="6" xfId="0" applyNumberFormat="1" applyFont="1" applyFill="1" applyBorder="1" applyAlignment="1">
      <alignment horizontal="right"/>
    </xf>
    <xf numFmtId="1" fontId="4" fillId="3" borderId="0" xfId="0" applyNumberFormat="1" applyFont="1" applyFill="1" applyAlignment="1">
      <alignment horizontal="right"/>
    </xf>
    <xf numFmtId="1" fontId="4" fillId="3" borderId="6" xfId="0" applyNumberFormat="1" applyFont="1" applyFill="1" applyBorder="1" applyAlignment="1">
      <alignment horizontal="right"/>
    </xf>
    <xf numFmtId="164" fontId="9" fillId="3" borderId="0" xfId="0" applyNumberFormat="1" applyFont="1" applyFill="1" applyAlignment="1">
      <alignment horizontal="left"/>
    </xf>
    <xf numFmtId="164" fontId="35" fillId="3" borderId="0" xfId="0" applyNumberFormat="1" applyFont="1" applyFill="1" applyAlignment="1">
      <alignment horizontal="right"/>
    </xf>
    <xf numFmtId="2" fontId="36" fillId="3" borderId="0" xfId="0" applyNumberFormat="1" applyFont="1" applyFill="1" applyAlignment="1">
      <alignment horizontal="right"/>
    </xf>
    <xf numFmtId="2" fontId="36" fillId="3" borderId="6" xfId="0" applyNumberFormat="1" applyFont="1" applyFill="1" applyBorder="1" applyAlignment="1">
      <alignment horizontal="right"/>
    </xf>
    <xf numFmtId="0" fontId="4" fillId="3" borderId="1" xfId="0" applyFont="1" applyFill="1" applyBorder="1"/>
    <xf numFmtId="164" fontId="34" fillId="3" borderId="1" xfId="0" applyNumberFormat="1" applyFont="1" applyFill="1" applyBorder="1" applyAlignment="1">
      <alignment horizontal="right"/>
    </xf>
    <xf numFmtId="1" fontId="4" fillId="3" borderId="1" xfId="0" applyNumberFormat="1" applyFont="1" applyFill="1" applyBorder="1" applyAlignment="1">
      <alignment horizontal="right"/>
    </xf>
    <xf numFmtId="164" fontId="9" fillId="3" borderId="1" xfId="0" applyNumberFormat="1" applyFont="1" applyFill="1" applyBorder="1" applyAlignment="1">
      <alignment horizontal="left"/>
    </xf>
    <xf numFmtId="2" fontId="4" fillId="3" borderId="0" xfId="0" applyNumberFormat="1" applyFont="1" applyFill="1" applyAlignment="1">
      <alignment horizontal="right"/>
    </xf>
    <xf numFmtId="164" fontId="37" fillId="3" borderId="0" xfId="0" applyNumberFormat="1" applyFont="1" applyFill="1" applyAlignment="1">
      <alignment horizontal="right"/>
    </xf>
    <xf numFmtId="2" fontId="37" fillId="3" borderId="0" xfId="0" applyNumberFormat="1" applyFont="1" applyFill="1"/>
    <xf numFmtId="2" fontId="37" fillId="3" borderId="0" xfId="0" applyNumberFormat="1" applyFont="1" applyFill="1" applyAlignment="1">
      <alignment horizontal="right"/>
    </xf>
    <xf numFmtId="0" fontId="4" fillId="7" borderId="0" xfId="0" applyFont="1" applyFill="1"/>
    <xf numFmtId="0" fontId="9" fillId="7" borderId="0" xfId="0" applyFont="1" applyFill="1"/>
    <xf numFmtId="0" fontId="4" fillId="8" borderId="0" xfId="0" applyFont="1" applyFill="1"/>
    <xf numFmtId="165" fontId="31" fillId="0" borderId="0" xfId="0" applyNumberFormat="1" applyFont="1" applyAlignment="1">
      <alignment horizontal="right"/>
    </xf>
    <xf numFmtId="0" fontId="39" fillId="0" borderId="0" xfId="0" applyFont="1"/>
    <xf numFmtId="0" fontId="40" fillId="0" borderId="0" xfId="0" applyFont="1"/>
    <xf numFmtId="0" fontId="15" fillId="3" borderId="2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3" borderId="2" xfId="0" applyFont="1" applyFill="1" applyBorder="1" applyAlignment="1">
      <alignment wrapText="1"/>
    </xf>
    <xf numFmtId="0" fontId="11" fillId="3" borderId="7" xfId="0" applyFont="1" applyFill="1" applyBorder="1"/>
    <xf numFmtId="0" fontId="12" fillId="3" borderId="7" xfId="0" applyFont="1" applyFill="1" applyBorder="1"/>
    <xf numFmtId="0" fontId="23" fillId="3" borderId="7" xfId="0" applyFont="1" applyFill="1" applyBorder="1"/>
  </cellXfs>
  <cellStyles count="4">
    <cellStyle name="Hyperlink" xfId="3" builtinId="8"/>
    <cellStyle name="Normal" xfId="0" builtinId="0"/>
    <cellStyle name="Normal 2" xfId="1" xr:uid="{00000000-0005-0000-0000-000001000000}"/>
    <cellStyle name="Normal 3" xfId="2" xr:uid="{E9EFFA60-A64E-4FC2-9BC5-4A49575FA2C2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4F8D5C-C912-4812-BABD-7B41F24AA0CC}">
  <we:reference id="b5d16a25-7e47-475c-99b1-f60b6ed33524" version="1.7.6.2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RES\GAS\GAS%20Live" TargetMode="External"/><Relationship Id="rId1" Type="http://schemas.openxmlformats.org/officeDocument/2006/relationships/hyperlink" Target="file:///\\RES\GAS\GAS%20Liv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C26"/>
  <sheetViews>
    <sheetView workbookViewId="0"/>
  </sheetViews>
  <sheetFormatPr defaultRowHeight="13.25" x14ac:dyDescent="0.65"/>
  <sheetData>
    <row r="2" spans="1:3" x14ac:dyDescent="0.65">
      <c r="A2" t="s">
        <v>79</v>
      </c>
    </row>
    <row r="3" spans="1:3" x14ac:dyDescent="0.65">
      <c r="B3" t="s">
        <v>80</v>
      </c>
      <c r="C3" t="s">
        <v>81</v>
      </c>
    </row>
    <row r="4" spans="1:3" x14ac:dyDescent="0.65">
      <c r="B4" t="s">
        <v>82</v>
      </c>
      <c r="C4" t="s">
        <v>83</v>
      </c>
    </row>
    <row r="5" spans="1:3" x14ac:dyDescent="0.65">
      <c r="B5" t="s">
        <v>84</v>
      </c>
      <c r="C5" t="s">
        <v>150</v>
      </c>
    </row>
    <row r="6" spans="1:3" x14ac:dyDescent="0.65">
      <c r="B6" t="s">
        <v>85</v>
      </c>
      <c r="C6" t="s">
        <v>151</v>
      </c>
    </row>
    <row r="7" spans="1:3" x14ac:dyDescent="0.65">
      <c r="B7" t="s">
        <v>86</v>
      </c>
      <c r="C7" t="s">
        <v>149</v>
      </c>
    </row>
    <row r="8" spans="1:3" x14ac:dyDescent="0.65">
      <c r="B8" t="s">
        <v>87</v>
      </c>
      <c r="C8" t="s">
        <v>152</v>
      </c>
    </row>
    <row r="9" spans="1:3" x14ac:dyDescent="0.65">
      <c r="C9" t="s">
        <v>153</v>
      </c>
    </row>
    <row r="10" spans="1:3" x14ac:dyDescent="0.65">
      <c r="C10" t="s">
        <v>154</v>
      </c>
    </row>
    <row r="11" spans="1:3" x14ac:dyDescent="0.65">
      <c r="C11" t="s">
        <v>155</v>
      </c>
    </row>
    <row r="12" spans="1:3" x14ac:dyDescent="0.65">
      <c r="C12" t="s">
        <v>156</v>
      </c>
    </row>
    <row r="13" spans="1:3" x14ac:dyDescent="0.65">
      <c r="C13" t="s">
        <v>157</v>
      </c>
    </row>
    <row r="14" spans="1:3" x14ac:dyDescent="0.65">
      <c r="C14" t="s">
        <v>158</v>
      </c>
    </row>
    <row r="15" spans="1:3" x14ac:dyDescent="0.65">
      <c r="C15" t="s">
        <v>159</v>
      </c>
    </row>
    <row r="16" spans="1:3" x14ac:dyDescent="0.65">
      <c r="C16" t="s">
        <v>160</v>
      </c>
    </row>
    <row r="17" spans="1:3" x14ac:dyDescent="0.65">
      <c r="B17" t="s">
        <v>88</v>
      </c>
      <c r="C17" t="s">
        <v>89</v>
      </c>
    </row>
    <row r="18" spans="1:3" x14ac:dyDescent="0.65">
      <c r="B18" t="s">
        <v>90</v>
      </c>
      <c r="C18" t="s">
        <v>91</v>
      </c>
    </row>
    <row r="19" spans="1:3" x14ac:dyDescent="0.65">
      <c r="B19" t="s">
        <v>92</v>
      </c>
      <c r="C19" t="s">
        <v>148</v>
      </c>
    </row>
    <row r="26" spans="1:3" x14ac:dyDescent="0.65">
      <c r="A26" t="s">
        <v>79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4DDA-3D6E-4D94-8D5C-484AF9A53DE7}">
  <sheetPr codeName="Sheet1">
    <pageSetUpPr autoPageBreaks="0"/>
  </sheetPr>
  <dimension ref="A1:AN404"/>
  <sheetViews>
    <sheetView tabSelected="1" topLeftCell="A302" zoomScale="80" zoomScaleNormal="80" workbookViewId="0">
      <selection activeCell="A304" sqref="A304:A334"/>
    </sheetView>
  </sheetViews>
  <sheetFormatPr defaultColWidth="9.296875" defaultRowHeight="13.25" x14ac:dyDescent="0.65"/>
  <cols>
    <col min="1" max="1" width="69" style="3" customWidth="1"/>
    <col min="2" max="2" width="23.8984375" style="3" customWidth="1"/>
    <col min="3" max="3" width="24.59765625" style="3" customWidth="1"/>
    <col min="4" max="4" width="3.5" style="3" customWidth="1"/>
    <col min="5" max="5" width="12" style="3" bestFit="1" customWidth="1"/>
    <col min="6" max="6" width="13.296875" style="3" customWidth="1"/>
    <col min="7" max="10" width="12" style="3" bestFit="1" customWidth="1"/>
    <col min="11" max="11" width="11" style="3" customWidth="1"/>
    <col min="12" max="31" width="12" style="3" bestFit="1" customWidth="1"/>
    <col min="32" max="32" width="15.19921875" style="3" bestFit="1" customWidth="1"/>
    <col min="33" max="33" width="14" style="3" bestFit="1" customWidth="1"/>
    <col min="34" max="38" width="15.19921875" style="3" bestFit="1" customWidth="1"/>
    <col min="39" max="16384" width="9.296875" style="3"/>
  </cols>
  <sheetData>
    <row r="1" spans="1:40" x14ac:dyDescent="0.65">
      <c r="A1" s="18"/>
      <c r="B1" s="1"/>
      <c r="E1" s="1">
        <v>1997</v>
      </c>
      <c r="F1" s="3">
        <f>E1+1</f>
        <v>1998</v>
      </c>
      <c r="G1" s="3">
        <f>F1+1</f>
        <v>1999</v>
      </c>
      <c r="H1" s="3">
        <f>G1+1</f>
        <v>2000</v>
      </c>
      <c r="I1" s="3">
        <f>H1+1</f>
        <v>2001</v>
      </c>
      <c r="J1" s="3">
        <f t="shared" ref="J1:AL1" si="0">I1+1</f>
        <v>2002</v>
      </c>
      <c r="K1" s="3">
        <f t="shared" si="0"/>
        <v>2003</v>
      </c>
      <c r="L1" s="3">
        <f t="shared" si="0"/>
        <v>2004</v>
      </c>
      <c r="M1" s="3">
        <f t="shared" si="0"/>
        <v>2005</v>
      </c>
      <c r="N1" s="3">
        <f t="shared" si="0"/>
        <v>2006</v>
      </c>
      <c r="O1" s="3">
        <f t="shared" si="0"/>
        <v>2007</v>
      </c>
      <c r="P1" s="3">
        <f t="shared" si="0"/>
        <v>2008</v>
      </c>
      <c r="Q1" s="3">
        <f t="shared" si="0"/>
        <v>2009</v>
      </c>
      <c r="R1" s="3">
        <f t="shared" si="0"/>
        <v>2010</v>
      </c>
      <c r="S1" s="3">
        <f t="shared" si="0"/>
        <v>2011</v>
      </c>
      <c r="T1" s="3">
        <f t="shared" si="0"/>
        <v>2012</v>
      </c>
      <c r="U1" s="3">
        <f t="shared" si="0"/>
        <v>2013</v>
      </c>
      <c r="V1" s="3">
        <f t="shared" si="0"/>
        <v>2014</v>
      </c>
      <c r="W1" s="3">
        <f t="shared" si="0"/>
        <v>2015</v>
      </c>
      <c r="X1" s="3">
        <f t="shared" si="0"/>
        <v>2016</v>
      </c>
      <c r="Y1" s="3">
        <f t="shared" si="0"/>
        <v>2017</v>
      </c>
      <c r="Z1" s="3">
        <f t="shared" si="0"/>
        <v>2018</v>
      </c>
      <c r="AA1" s="3">
        <f t="shared" si="0"/>
        <v>2019</v>
      </c>
      <c r="AB1" s="3">
        <f t="shared" si="0"/>
        <v>2020</v>
      </c>
      <c r="AC1" s="3">
        <f t="shared" si="0"/>
        <v>2021</v>
      </c>
      <c r="AD1" s="3">
        <f t="shared" si="0"/>
        <v>2022</v>
      </c>
      <c r="AE1" s="3">
        <f t="shared" si="0"/>
        <v>2023</v>
      </c>
      <c r="AF1" s="3">
        <f t="shared" si="0"/>
        <v>2024</v>
      </c>
      <c r="AG1" s="3">
        <f t="shared" si="0"/>
        <v>2025</v>
      </c>
      <c r="AH1" s="3">
        <f t="shared" si="0"/>
        <v>2026</v>
      </c>
      <c r="AI1" s="3">
        <f t="shared" si="0"/>
        <v>2027</v>
      </c>
      <c r="AJ1" s="3">
        <f t="shared" si="0"/>
        <v>2028</v>
      </c>
      <c r="AK1" s="3">
        <f t="shared" si="0"/>
        <v>2029</v>
      </c>
      <c r="AL1" s="3">
        <f t="shared" si="0"/>
        <v>2030</v>
      </c>
      <c r="AM1" s="3">
        <f t="shared" ref="AM1" si="1">AL1+1</f>
        <v>2031</v>
      </c>
      <c r="AN1" s="3">
        <f t="shared" ref="AN1" si="2">AM1+1</f>
        <v>2032</v>
      </c>
    </row>
    <row r="2" spans="1:40" x14ac:dyDescent="0.65">
      <c r="B2" s="80" t="s">
        <v>401</v>
      </c>
      <c r="C2" s="8" t="s">
        <v>78</v>
      </c>
      <c r="E2" s="9" t="s">
        <v>283</v>
      </c>
      <c r="F2" s="9" t="s">
        <v>284</v>
      </c>
      <c r="G2" s="9" t="s">
        <v>285</v>
      </c>
      <c r="H2" s="9" t="s">
        <v>286</v>
      </c>
      <c r="I2" s="9" t="s">
        <v>287</v>
      </c>
      <c r="J2" s="9" t="s">
        <v>288</v>
      </c>
      <c r="K2" s="9" t="s">
        <v>289</v>
      </c>
      <c r="L2" s="9" t="s">
        <v>290</v>
      </c>
      <c r="M2" s="9" t="s">
        <v>291</v>
      </c>
      <c r="N2" s="9" t="s">
        <v>292</v>
      </c>
      <c r="O2" s="9" t="s">
        <v>293</v>
      </c>
      <c r="P2" s="9" t="s">
        <v>294</v>
      </c>
      <c r="Q2" s="9" t="s">
        <v>295</v>
      </c>
      <c r="R2" s="9" t="s">
        <v>296</v>
      </c>
      <c r="S2" s="9" t="s">
        <v>297</v>
      </c>
      <c r="T2" s="9" t="s">
        <v>298</v>
      </c>
      <c r="U2" s="9" t="s">
        <v>299</v>
      </c>
      <c r="V2" s="9" t="s">
        <v>300</v>
      </c>
      <c r="W2" s="9" t="s">
        <v>301</v>
      </c>
      <c r="X2" s="9" t="s">
        <v>302</v>
      </c>
      <c r="Y2" s="9" t="s">
        <v>303</v>
      </c>
      <c r="Z2" s="9" t="s">
        <v>304</v>
      </c>
      <c r="AA2" s="9" t="s">
        <v>305</v>
      </c>
      <c r="AB2" s="9" t="s">
        <v>306</v>
      </c>
      <c r="AC2" s="9" t="s">
        <v>307</v>
      </c>
      <c r="AD2" s="9" t="s">
        <v>308</v>
      </c>
      <c r="AE2" s="9" t="s">
        <v>309</v>
      </c>
      <c r="AF2" s="9" t="s">
        <v>310</v>
      </c>
      <c r="AG2" s="9" t="s">
        <v>311</v>
      </c>
      <c r="AH2" s="9" t="s">
        <v>312</v>
      </c>
      <c r="AI2" s="9" t="s">
        <v>313</v>
      </c>
      <c r="AJ2" s="9" t="s">
        <v>314</v>
      </c>
      <c r="AK2" s="9" t="s">
        <v>315</v>
      </c>
      <c r="AL2" s="9" t="s">
        <v>316</v>
      </c>
      <c r="AM2" s="9" t="s">
        <v>852</v>
      </c>
      <c r="AN2" s="9" t="s">
        <v>853</v>
      </c>
    </row>
    <row r="3" spans="1:40" x14ac:dyDescent="0.65">
      <c r="A3" s="1" t="s">
        <v>43</v>
      </c>
      <c r="B3" s="2"/>
    </row>
    <row r="4" spans="1:40" x14ac:dyDescent="0.65">
      <c r="A4" s="89" t="s">
        <v>850</v>
      </c>
      <c r="B4" s="88" t="s">
        <v>634</v>
      </c>
    </row>
    <row r="5" spans="1:40" x14ac:dyDescent="0.65">
      <c r="A5" s="82" t="s">
        <v>42</v>
      </c>
      <c r="B5" s="112" t="str">
        <f>B4</f>
        <v>IMF.RES.GAS:GAS_LIVE</v>
      </c>
      <c r="C5" s="81" t="s">
        <v>402</v>
      </c>
      <c r="D5" s="82"/>
      <c r="E5" s="83">
        <v>25172.195489023899</v>
      </c>
      <c r="F5" s="83">
        <v>25222.8187075649</v>
      </c>
      <c r="G5" s="83">
        <v>26566.424169038</v>
      </c>
      <c r="H5" s="83">
        <v>27054.307317782499</v>
      </c>
      <c r="I5" s="83">
        <v>26772.695087604501</v>
      </c>
      <c r="J5" s="83">
        <v>27930.4504362609</v>
      </c>
      <c r="K5" s="83">
        <v>31323.9456657023</v>
      </c>
      <c r="L5" s="83">
        <v>34748.091873058402</v>
      </c>
      <c r="M5" s="83">
        <v>36574.546901632202</v>
      </c>
      <c r="N5" s="83">
        <v>38473.794349325603</v>
      </c>
      <c r="O5" s="83">
        <v>42037.2397518367</v>
      </c>
      <c r="P5" s="83">
        <v>44426.3723658362</v>
      </c>
      <c r="Q5" s="83">
        <v>41919.515741164003</v>
      </c>
      <c r="R5" s="83">
        <v>43779.084968121002</v>
      </c>
      <c r="S5" s="83">
        <v>47015.251307446903</v>
      </c>
      <c r="T5" s="83">
        <v>46843.372612855099</v>
      </c>
      <c r="U5" s="83">
        <v>47310.524203515299</v>
      </c>
      <c r="V5" s="83">
        <v>48461.898454610302</v>
      </c>
      <c r="W5" s="83">
        <v>45874.294438975099</v>
      </c>
      <c r="X5" s="83">
        <v>47134.410495577402</v>
      </c>
      <c r="Y5" s="83">
        <v>49207.559802011601</v>
      </c>
      <c r="Z5" s="83">
        <v>52079.7235887731</v>
      </c>
      <c r="AA5" s="83">
        <v>52632.770721098801</v>
      </c>
      <c r="AB5" s="83">
        <v>51798.476913050101</v>
      </c>
      <c r="AC5" s="83">
        <v>57936.309908118201</v>
      </c>
      <c r="AD5" s="83">
        <v>59304.879756042799</v>
      </c>
      <c r="AE5" s="84">
        <v>62685.046632151403</v>
      </c>
      <c r="AF5" s="83">
        <v>65265.926803681301</v>
      </c>
      <c r="AG5" s="83">
        <v>69112.018571367298</v>
      </c>
      <c r="AH5" s="83">
        <v>72469.845646243397</v>
      </c>
      <c r="AI5" s="83">
        <v>75209.6887336746</v>
      </c>
      <c r="AJ5" s="83">
        <v>78155.255199057094</v>
      </c>
      <c r="AK5" s="83">
        <v>81072.808745435294</v>
      </c>
      <c r="AL5" s="83">
        <v>84146.6219828787</v>
      </c>
      <c r="AM5" s="82"/>
      <c r="AN5" s="82"/>
    </row>
    <row r="6" spans="1:40" x14ac:dyDescent="0.65">
      <c r="B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40" x14ac:dyDescent="0.65">
      <c r="A7" s="1" t="s">
        <v>0</v>
      </c>
      <c r="B7" s="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40" x14ac:dyDescent="0.65">
      <c r="A8" s="82" t="s">
        <v>1</v>
      </c>
      <c r="B8" s="113" t="str">
        <f>$B$4</f>
        <v>IMF.RES.GAS:GAS_LIVE</v>
      </c>
      <c r="C8" s="81" t="s">
        <v>403</v>
      </c>
      <c r="D8" s="82"/>
      <c r="E8" s="83">
        <v>74.463084828440401</v>
      </c>
      <c r="F8" s="83">
        <v>76.408225856565096</v>
      </c>
      <c r="G8" s="83">
        <v>79.1374413261115</v>
      </c>
      <c r="H8" s="83">
        <v>82.936546722215496</v>
      </c>
      <c r="I8" s="83">
        <v>84.994331602063895</v>
      </c>
      <c r="J8" s="83">
        <v>87.398186822544602</v>
      </c>
      <c r="K8" s="83">
        <v>90.722539894670504</v>
      </c>
      <c r="L8" s="83">
        <v>95.498095320302397</v>
      </c>
      <c r="M8" s="83">
        <v>100</v>
      </c>
      <c r="N8" s="83">
        <v>105.28336455122501</v>
      </c>
      <c r="O8" s="83">
        <v>110.926932183003</v>
      </c>
      <c r="P8" s="83">
        <v>114.17652226830999</v>
      </c>
      <c r="Q8" s="83">
        <v>113.78127461775399</v>
      </c>
      <c r="R8" s="83">
        <v>119.761390574792</v>
      </c>
      <c r="S8" s="83">
        <v>124.653052733496</v>
      </c>
      <c r="T8" s="83">
        <v>128.87584758394999</v>
      </c>
      <c r="U8" s="83">
        <v>133.23659712720701</v>
      </c>
      <c r="V8" s="83">
        <v>137.999009054727</v>
      </c>
      <c r="W8" s="83">
        <v>142.74542929459801</v>
      </c>
      <c r="X8" s="83">
        <v>147.347592262635</v>
      </c>
      <c r="Y8" s="83">
        <v>153.008355386631</v>
      </c>
      <c r="Z8" s="83">
        <v>158.588559261537</v>
      </c>
      <c r="AA8" s="83">
        <v>163.27929253446999</v>
      </c>
      <c r="AB8" s="83">
        <v>158.85138216149801</v>
      </c>
      <c r="AC8" s="83">
        <v>169.41275865231401</v>
      </c>
      <c r="AD8" s="83">
        <v>175.80976865783299</v>
      </c>
      <c r="AE8" s="84">
        <v>181.962275846686</v>
      </c>
      <c r="AF8" s="83">
        <v>188.03716120929801</v>
      </c>
      <c r="AG8" s="83">
        <v>194.30623332748499</v>
      </c>
      <c r="AH8" s="83">
        <v>200.64672309800699</v>
      </c>
      <c r="AI8" s="83">
        <v>207.084032389648</v>
      </c>
      <c r="AJ8" s="83">
        <v>213.73249827037199</v>
      </c>
      <c r="AK8" s="83">
        <v>220.465929413499</v>
      </c>
      <c r="AL8" s="83">
        <v>227.22783640934699</v>
      </c>
      <c r="AM8" s="82"/>
      <c r="AN8" s="82"/>
    </row>
    <row r="9" spans="1:40" x14ac:dyDescent="0.65">
      <c r="A9" s="82" t="s">
        <v>4</v>
      </c>
      <c r="B9" s="113" t="str">
        <f>$B$4</f>
        <v>IMF.RES.GAS:GAS_LIVE</v>
      </c>
      <c r="C9" s="81" t="s">
        <v>404</v>
      </c>
      <c r="D9" s="82"/>
      <c r="E9" s="83">
        <v>80.634924510194907</v>
      </c>
      <c r="F9" s="83">
        <v>82.852860424436997</v>
      </c>
      <c r="G9" s="83">
        <v>85.826214757484195</v>
      </c>
      <c r="H9" s="83">
        <v>89.424341529010604</v>
      </c>
      <c r="I9" s="83">
        <v>90.817239119869299</v>
      </c>
      <c r="J9" s="83">
        <v>92.312471483534694</v>
      </c>
      <c r="K9" s="83">
        <v>94.175525207264002</v>
      </c>
      <c r="L9" s="83">
        <v>97.228471350317804</v>
      </c>
      <c r="M9" s="83">
        <v>100</v>
      </c>
      <c r="N9" s="83">
        <v>103.10025662283201</v>
      </c>
      <c r="O9" s="83">
        <v>105.994830350851</v>
      </c>
      <c r="P9" s="83">
        <v>106.36204877796</v>
      </c>
      <c r="Q9" s="83">
        <v>102.755899137819</v>
      </c>
      <c r="R9" s="83">
        <v>105.951338611574</v>
      </c>
      <c r="S9" s="83">
        <v>107.77731863919</v>
      </c>
      <c r="T9" s="83">
        <v>109.051216453953</v>
      </c>
      <c r="U9" s="83">
        <v>110.667785922653</v>
      </c>
      <c r="V9" s="83">
        <v>113.05774157188399</v>
      </c>
      <c r="W9" s="83">
        <v>115.786284850017</v>
      </c>
      <c r="X9" s="83">
        <v>117.915343407211</v>
      </c>
      <c r="Y9" s="83">
        <v>120.99274037554601</v>
      </c>
      <c r="Z9" s="83">
        <v>123.785719041132</v>
      </c>
      <c r="AA9" s="83">
        <v>126.08736563950001</v>
      </c>
      <c r="AB9" s="83">
        <v>121.13331673041399</v>
      </c>
      <c r="AC9" s="83">
        <v>128.527342137559</v>
      </c>
      <c r="AD9" s="83">
        <v>132.44460641940401</v>
      </c>
      <c r="AE9" s="84">
        <v>134.69531690903</v>
      </c>
      <c r="AF9" s="83">
        <v>137.13824904195701</v>
      </c>
      <c r="AG9" s="83">
        <v>139.51913074034201</v>
      </c>
      <c r="AH9" s="83">
        <v>142.04149031793901</v>
      </c>
      <c r="AI9" s="83">
        <v>144.466556628045</v>
      </c>
      <c r="AJ9" s="83">
        <v>146.94074160845599</v>
      </c>
      <c r="AK9" s="83">
        <v>149.277848608402</v>
      </c>
      <c r="AL9" s="83">
        <v>151.54925820915699</v>
      </c>
      <c r="AM9" s="82"/>
      <c r="AN9" s="82"/>
    </row>
    <row r="10" spans="1:40" x14ac:dyDescent="0.65">
      <c r="A10" s="3" t="s">
        <v>19</v>
      </c>
      <c r="B10" s="1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40" x14ac:dyDescent="0.65">
      <c r="A11" s="82" t="s">
        <v>46</v>
      </c>
      <c r="B11" s="81" t="str">
        <f>$A$4</f>
        <v>IMF.RES.GAS:GAS_LIVE_2026_JAN_GAS1_VINTAGE</v>
      </c>
      <c r="C11" s="81" t="s">
        <v>405</v>
      </c>
      <c r="D11" s="82"/>
      <c r="E11" s="83">
        <v>12370.3</v>
      </c>
      <c r="F11" s="83">
        <v>12924.875</v>
      </c>
      <c r="G11" s="83">
        <v>13543.775</v>
      </c>
      <c r="H11" s="83">
        <v>14096.025</v>
      </c>
      <c r="I11" s="83">
        <v>14230.725</v>
      </c>
      <c r="J11" s="83">
        <v>14472.7</v>
      </c>
      <c r="K11" s="83">
        <v>14877.325000000001</v>
      </c>
      <c r="L11" s="83">
        <v>15449.775</v>
      </c>
      <c r="M11" s="83">
        <v>15987.95</v>
      </c>
      <c r="N11" s="83">
        <v>16433.150000000001</v>
      </c>
      <c r="O11" s="83">
        <v>16762.45</v>
      </c>
      <c r="P11" s="83">
        <v>16781.5</v>
      </c>
      <c r="Q11" s="83">
        <v>16349.125</v>
      </c>
      <c r="R11" s="83">
        <v>16789.775000000001</v>
      </c>
      <c r="S11" s="83">
        <v>17052.400000000001</v>
      </c>
      <c r="T11" s="83">
        <v>17442.775000000001</v>
      </c>
      <c r="U11" s="83">
        <v>17812.174999999999</v>
      </c>
      <c r="V11" s="83">
        <v>18261.7</v>
      </c>
      <c r="W11" s="83">
        <v>18799.599999999999</v>
      </c>
      <c r="X11" s="83">
        <v>19141.674999999999</v>
      </c>
      <c r="Y11" s="83">
        <v>19612.099999999999</v>
      </c>
      <c r="Z11" s="83">
        <v>20193.924999999999</v>
      </c>
      <c r="AA11" s="83">
        <v>20715.650000000001</v>
      </c>
      <c r="AB11" s="83">
        <v>20284.5</v>
      </c>
      <c r="AC11" s="83">
        <v>21532.375</v>
      </c>
      <c r="AD11" s="83">
        <v>22075.9</v>
      </c>
      <c r="AE11" s="84">
        <v>22723.724999999999</v>
      </c>
      <c r="AF11" s="83">
        <v>23358.424999999999</v>
      </c>
      <c r="AG11" s="83">
        <v>23829.449550569101</v>
      </c>
      <c r="AH11" s="83">
        <v>24330.363295527499</v>
      </c>
      <c r="AI11" s="83">
        <v>24830.380074992201</v>
      </c>
      <c r="AJ11" s="83">
        <v>25349.9631019345</v>
      </c>
      <c r="AK11" s="83">
        <v>25826.691486465199</v>
      </c>
      <c r="AL11" s="83">
        <v>26279.4674168575</v>
      </c>
      <c r="AM11" s="82"/>
      <c r="AN11" s="82"/>
    </row>
    <row r="12" spans="1:40" x14ac:dyDescent="0.65">
      <c r="A12" s="82" t="s">
        <v>93</v>
      </c>
      <c r="B12" s="81" t="str">
        <f t="shared" ref="B12:B19" si="3">$A$4</f>
        <v>IMF.RES.GAS:GAS_LIVE_2026_JAN_GAS1_VINTAGE</v>
      </c>
      <c r="C12" s="81" t="s">
        <v>406</v>
      </c>
      <c r="D12" s="82"/>
      <c r="E12" s="85">
        <v>8854.2428</v>
      </c>
      <c r="F12" s="85">
        <v>9116.0197000000007</v>
      </c>
      <c r="G12" s="85">
        <v>9388.1257000000005</v>
      </c>
      <c r="H12" s="85">
        <v>9750.2116999999998</v>
      </c>
      <c r="I12" s="85">
        <v>9960.6607000000004</v>
      </c>
      <c r="J12" s="85">
        <v>10051.548500000001</v>
      </c>
      <c r="K12" s="85">
        <v>10124.0159</v>
      </c>
      <c r="L12" s="85">
        <v>10356.5496</v>
      </c>
      <c r="M12" s="85">
        <v>10538.132</v>
      </c>
      <c r="N12" s="85">
        <v>10887.3267</v>
      </c>
      <c r="O12" s="85">
        <v>11213.56</v>
      </c>
      <c r="P12" s="83">
        <v>11259.4493</v>
      </c>
      <c r="Q12" s="83">
        <v>10757.6402</v>
      </c>
      <c r="R12" s="83">
        <v>10980.691500000001</v>
      </c>
      <c r="S12" s="83">
        <v>11170.0129</v>
      </c>
      <c r="T12" s="83">
        <v>11063.458199999999</v>
      </c>
      <c r="U12" s="83">
        <v>11043.582399999999</v>
      </c>
      <c r="V12" s="83">
        <v>11202.796</v>
      </c>
      <c r="W12" s="83">
        <v>11439.3352</v>
      </c>
      <c r="X12" s="83">
        <v>11645.4131</v>
      </c>
      <c r="Y12" s="83">
        <v>11950.632299999999</v>
      </c>
      <c r="Z12" s="83">
        <v>12163.225700000001</v>
      </c>
      <c r="AA12" s="83">
        <v>12360.4144</v>
      </c>
      <c r="AB12" s="83">
        <v>11615.805399999999</v>
      </c>
      <c r="AC12" s="83">
        <v>12359.429700000001</v>
      </c>
      <c r="AD12" s="83">
        <v>12808.086499999999</v>
      </c>
      <c r="AE12" s="84">
        <v>12859.905699999999</v>
      </c>
      <c r="AF12" s="83">
        <v>12969.3117</v>
      </c>
      <c r="AG12" s="83">
        <v>13124.6159007062</v>
      </c>
      <c r="AH12" s="83">
        <v>13274.2918370273</v>
      </c>
      <c r="AI12" s="83">
        <v>13456.4701171295</v>
      </c>
      <c r="AJ12" s="83">
        <v>13632.8362035195</v>
      </c>
      <c r="AK12" s="83">
        <v>13800.0497896873</v>
      </c>
      <c r="AL12" s="83">
        <v>13955.280808756899</v>
      </c>
      <c r="AM12" s="82"/>
      <c r="AN12" s="82"/>
    </row>
    <row r="13" spans="1:40" x14ac:dyDescent="0.65">
      <c r="A13" s="82" t="s">
        <v>116</v>
      </c>
      <c r="B13" s="81" t="str">
        <f t="shared" si="3"/>
        <v>IMF.RES.GAS:GAS_LIVE_2026_JAN_GAS1_VINTAGE</v>
      </c>
      <c r="C13" s="81" t="s">
        <v>407</v>
      </c>
      <c r="D13" s="82"/>
      <c r="E13" s="83">
        <v>2634.54</v>
      </c>
      <c r="F13" s="83">
        <v>2689.92</v>
      </c>
      <c r="G13" s="83">
        <v>2747.13</v>
      </c>
      <c r="H13" s="83">
        <v>2826.22</v>
      </c>
      <c r="I13" s="83">
        <v>2872.56</v>
      </c>
      <c r="J13" s="83">
        <v>2865.83</v>
      </c>
      <c r="K13" s="83">
        <v>2850.64</v>
      </c>
      <c r="L13" s="83">
        <v>2883.86</v>
      </c>
      <c r="M13" s="83">
        <v>2909.49</v>
      </c>
      <c r="N13" s="83">
        <v>3021.7</v>
      </c>
      <c r="O13" s="83">
        <v>3109.09</v>
      </c>
      <c r="P13" s="83">
        <v>3136.71</v>
      </c>
      <c r="Q13" s="83">
        <v>2962.61</v>
      </c>
      <c r="R13" s="83">
        <v>3085.38</v>
      </c>
      <c r="S13" s="83">
        <v>3201.32</v>
      </c>
      <c r="T13" s="83">
        <v>3216.24</v>
      </c>
      <c r="U13" s="83">
        <v>3228.93</v>
      </c>
      <c r="V13" s="83">
        <v>3299.23</v>
      </c>
      <c r="W13" s="83">
        <v>3354.1</v>
      </c>
      <c r="X13" s="83">
        <v>3428.47</v>
      </c>
      <c r="Y13" s="83">
        <v>3524.66</v>
      </c>
      <c r="Z13" s="83">
        <v>3564.6</v>
      </c>
      <c r="AA13" s="83">
        <v>3599.28</v>
      </c>
      <c r="AB13" s="83">
        <v>3450.72</v>
      </c>
      <c r="AC13" s="83">
        <v>3585.73</v>
      </c>
      <c r="AD13" s="83">
        <v>3650.52</v>
      </c>
      <c r="AE13" s="84">
        <v>3618.69</v>
      </c>
      <c r="AF13" s="83">
        <v>3600.74</v>
      </c>
      <c r="AG13" s="83">
        <v>3607.6064472070202</v>
      </c>
      <c r="AH13" s="83">
        <v>3641.67466640469</v>
      </c>
      <c r="AI13" s="83">
        <v>3695.2992088728702</v>
      </c>
      <c r="AJ13" s="83">
        <v>3739.76032684556</v>
      </c>
      <c r="AK13" s="83">
        <v>3776.40775569571</v>
      </c>
      <c r="AL13" s="83">
        <v>3802.05994466943</v>
      </c>
      <c r="AM13" s="82"/>
      <c r="AN13" s="82"/>
    </row>
    <row r="14" spans="1:40" x14ac:dyDescent="0.65">
      <c r="A14" s="82" t="s">
        <v>117</v>
      </c>
      <c r="B14" s="81" t="str">
        <f t="shared" si="3"/>
        <v>IMF.RES.GAS:GAS_LIVE_2026_JAN_GAS1_VINTAGE</v>
      </c>
      <c r="C14" s="81" t="s">
        <v>408</v>
      </c>
      <c r="D14" s="82"/>
      <c r="E14" s="83">
        <v>1646.3340000000001</v>
      </c>
      <c r="F14" s="83">
        <v>1676.04</v>
      </c>
      <c r="G14" s="83">
        <v>1704.163</v>
      </c>
      <c r="H14" s="83">
        <v>1770.32</v>
      </c>
      <c r="I14" s="83">
        <v>1805.84</v>
      </c>
      <c r="J14" s="83">
        <v>1810.7149999999999</v>
      </c>
      <c r="K14" s="83">
        <v>1811.92</v>
      </c>
      <c r="L14" s="83">
        <v>1838.6289999999999</v>
      </c>
      <c r="M14" s="83">
        <v>1852.6469999999999</v>
      </c>
      <c r="N14" s="83">
        <v>1885.9849999999999</v>
      </c>
      <c r="O14" s="83">
        <v>1913.5640000000001</v>
      </c>
      <c r="P14" s="83">
        <v>1893.9849999999999</v>
      </c>
      <c r="Q14" s="83">
        <v>1793.5060000000001</v>
      </c>
      <c r="R14" s="83">
        <v>1820.931</v>
      </c>
      <c r="S14" s="83">
        <v>1833.595</v>
      </c>
      <c r="T14" s="83">
        <v>1776.2909999999999</v>
      </c>
      <c r="U14" s="83">
        <v>1743.9960000000001</v>
      </c>
      <c r="V14" s="83">
        <v>1743.972</v>
      </c>
      <c r="W14" s="83">
        <v>1759.4179999999999</v>
      </c>
      <c r="X14" s="83">
        <v>1781.17</v>
      </c>
      <c r="Y14" s="83">
        <v>1809.7329999999999</v>
      </c>
      <c r="Z14" s="83">
        <v>1824.694</v>
      </c>
      <c r="AA14" s="83">
        <v>1832.5250000000001</v>
      </c>
      <c r="AB14" s="83">
        <v>1670.0129999999999</v>
      </c>
      <c r="AC14" s="83">
        <v>1819.162</v>
      </c>
      <c r="AD14" s="83">
        <v>1906.866</v>
      </c>
      <c r="AE14" s="84">
        <v>1920.508</v>
      </c>
      <c r="AF14" s="83">
        <v>1934.4449999999999</v>
      </c>
      <c r="AG14" s="83">
        <v>1944.9977039872399</v>
      </c>
      <c r="AH14" s="83">
        <v>1959.75491572534</v>
      </c>
      <c r="AI14" s="83">
        <v>1970.8839975666599</v>
      </c>
      <c r="AJ14" s="83">
        <v>1984.3577944398401</v>
      </c>
      <c r="AK14" s="83">
        <v>1998.62503941761</v>
      </c>
      <c r="AL14" s="83">
        <v>2012.9855907850999</v>
      </c>
      <c r="AM14" s="82"/>
      <c r="AN14" s="82"/>
    </row>
    <row r="15" spans="1:40" x14ac:dyDescent="0.65">
      <c r="A15" s="82" t="s">
        <v>118</v>
      </c>
      <c r="B15" s="81" t="str">
        <f t="shared" si="3"/>
        <v>IMF.RES.GAS:GAS_LIVE_2026_JAN_GAS1_VINTAGE</v>
      </c>
      <c r="C15" s="81" t="s">
        <v>409</v>
      </c>
      <c r="D15" s="82"/>
      <c r="E15" s="83">
        <v>1747.0840000000001</v>
      </c>
      <c r="F15" s="83">
        <v>1807.6389999999999</v>
      </c>
      <c r="G15" s="83">
        <v>1866.5809999999999</v>
      </c>
      <c r="H15" s="83">
        <v>1948.0820000000001</v>
      </c>
      <c r="I15" s="83">
        <v>1983.982</v>
      </c>
      <c r="J15" s="83">
        <v>2006.2550000000001</v>
      </c>
      <c r="K15" s="83">
        <v>2026.1320000000001</v>
      </c>
      <c r="L15" s="83">
        <v>2077.2719999999999</v>
      </c>
      <c r="M15" s="83">
        <v>2118.498</v>
      </c>
      <c r="N15" s="83">
        <v>2180.5740000000001</v>
      </c>
      <c r="O15" s="83">
        <v>2234.7579999999998</v>
      </c>
      <c r="P15" s="83">
        <v>2240.62</v>
      </c>
      <c r="Q15" s="83">
        <v>2179.4360000000001</v>
      </c>
      <c r="R15" s="83">
        <v>2219.5</v>
      </c>
      <c r="S15" s="83">
        <v>2274.6309999999999</v>
      </c>
      <c r="T15" s="83">
        <v>2279.8530000000001</v>
      </c>
      <c r="U15" s="83">
        <v>2300.951</v>
      </c>
      <c r="V15" s="83">
        <v>2323.982</v>
      </c>
      <c r="W15" s="83">
        <v>2347.165</v>
      </c>
      <c r="X15" s="83">
        <v>2364.41</v>
      </c>
      <c r="Y15" s="83">
        <v>2418.0340000000001</v>
      </c>
      <c r="Z15" s="83">
        <v>2456.56</v>
      </c>
      <c r="AA15" s="83">
        <v>2507.915</v>
      </c>
      <c r="AB15" s="83">
        <v>2317.2289999999998</v>
      </c>
      <c r="AC15" s="83">
        <v>2474.6529999999998</v>
      </c>
      <c r="AD15" s="83">
        <v>2543.9659999999999</v>
      </c>
      <c r="AE15" s="84">
        <v>2585.16</v>
      </c>
      <c r="AF15" s="83">
        <v>2613.6579999999999</v>
      </c>
      <c r="AG15" s="83">
        <v>2631.20476646308</v>
      </c>
      <c r="AH15" s="83">
        <v>2655.1787728842601</v>
      </c>
      <c r="AI15" s="83">
        <v>2686.63899329586</v>
      </c>
      <c r="AJ15" s="83">
        <v>2720.7750559916099</v>
      </c>
      <c r="AK15" s="83">
        <v>2754.6061949155901</v>
      </c>
      <c r="AL15" s="83">
        <v>2787.9603552786698</v>
      </c>
      <c r="AM15" s="82"/>
      <c r="AN15" s="82"/>
    </row>
    <row r="16" spans="1:40" x14ac:dyDescent="0.65">
      <c r="A16" s="82" t="s">
        <v>147</v>
      </c>
      <c r="B16" s="81" t="str">
        <f t="shared" si="3"/>
        <v>IMF.RES.GAS:GAS_LIVE_2026_JAN_GAS1_VINTAGE</v>
      </c>
      <c r="C16" s="81" t="s">
        <v>410</v>
      </c>
      <c r="D16" s="82"/>
      <c r="E16" s="83">
        <v>808.88678555561</v>
      </c>
      <c r="F16" s="83">
        <v>845.03412445088702</v>
      </c>
      <c r="G16" s="83">
        <v>885.13326245368796</v>
      </c>
      <c r="H16" s="83">
        <v>929.85833000000002</v>
      </c>
      <c r="I16" s="83">
        <v>966.30088000000001</v>
      </c>
      <c r="J16" s="83">
        <v>992.92746999999997</v>
      </c>
      <c r="K16" s="83">
        <v>1022.112</v>
      </c>
      <c r="L16" s="83">
        <v>1053.94625</v>
      </c>
      <c r="M16" s="83">
        <v>1091.3737599999999</v>
      </c>
      <c r="N16" s="83">
        <v>1135.5025900000001</v>
      </c>
      <c r="O16" s="83">
        <v>1175.62582</v>
      </c>
      <c r="P16" s="83">
        <v>1184.6451400000001</v>
      </c>
      <c r="Q16" s="83">
        <v>1140.00647</v>
      </c>
      <c r="R16" s="83">
        <v>1141.0792200000001</v>
      </c>
      <c r="S16" s="83">
        <v>1133.7771499999999</v>
      </c>
      <c r="T16" s="83">
        <v>1101.2933399999999</v>
      </c>
      <c r="U16" s="83">
        <v>1085.57384</v>
      </c>
      <c r="V16" s="83">
        <v>1102.0798400000001</v>
      </c>
      <c r="W16" s="83">
        <v>1146.8334199999999</v>
      </c>
      <c r="X16" s="83">
        <v>1180.26577</v>
      </c>
      <c r="Y16" s="83">
        <v>1214.4470799999999</v>
      </c>
      <c r="Z16" s="83">
        <v>1243.5381600000001</v>
      </c>
      <c r="AA16" s="83">
        <v>1267.92608</v>
      </c>
      <c r="AB16" s="83">
        <v>1129.21399</v>
      </c>
      <c r="AC16" s="83">
        <v>1204.6810700000001</v>
      </c>
      <c r="AD16" s="83">
        <v>1281.42329</v>
      </c>
      <c r="AE16" s="84">
        <v>1312.9577300000001</v>
      </c>
      <c r="AF16" s="83">
        <v>1358.32277</v>
      </c>
      <c r="AG16" s="83">
        <v>1397.8206096710401</v>
      </c>
      <c r="AH16" s="83">
        <v>1425.1835902825701</v>
      </c>
      <c r="AI16" s="83">
        <v>1449.8586722192599</v>
      </c>
      <c r="AJ16" s="83">
        <v>1473.0549892506799</v>
      </c>
      <c r="AK16" s="83">
        <v>1496.59555588384</v>
      </c>
      <c r="AL16" s="83">
        <v>1520.4000065643099</v>
      </c>
      <c r="AM16" s="82"/>
      <c r="AN16" s="82"/>
    </row>
    <row r="17" spans="1:40" x14ac:dyDescent="0.65">
      <c r="A17" s="82" t="s">
        <v>47</v>
      </c>
      <c r="B17" s="81" t="str">
        <f t="shared" si="3"/>
        <v>IMF.RES.GAS:GAS_LIVE_2026_JAN_GAS1_VINTAGE</v>
      </c>
      <c r="C17" s="81" t="s">
        <v>411</v>
      </c>
      <c r="D17" s="82"/>
      <c r="E17" s="83">
        <v>477269.5</v>
      </c>
      <c r="F17" s="83">
        <v>471206.7</v>
      </c>
      <c r="G17" s="83">
        <v>469633.1</v>
      </c>
      <c r="H17" s="83">
        <v>482616.9</v>
      </c>
      <c r="I17" s="83">
        <v>484480.2</v>
      </c>
      <c r="J17" s="83">
        <v>484683.5</v>
      </c>
      <c r="K17" s="83">
        <v>492124.1</v>
      </c>
      <c r="L17" s="83">
        <v>502882.4</v>
      </c>
      <c r="M17" s="83">
        <v>511954</v>
      </c>
      <c r="N17" s="83">
        <v>518979.7</v>
      </c>
      <c r="O17" s="83">
        <v>526681.19999999995</v>
      </c>
      <c r="P17" s="83">
        <v>520233.1</v>
      </c>
      <c r="Q17" s="83">
        <v>490615.1</v>
      </c>
      <c r="R17" s="83">
        <v>510720</v>
      </c>
      <c r="S17" s="83">
        <v>510841.59999999998</v>
      </c>
      <c r="T17" s="83">
        <v>517864.4</v>
      </c>
      <c r="U17" s="83">
        <v>528248.1</v>
      </c>
      <c r="V17" s="83">
        <v>529812.69999999995</v>
      </c>
      <c r="W17" s="83">
        <v>538081.19999999995</v>
      </c>
      <c r="X17" s="83">
        <v>542137.5</v>
      </c>
      <c r="Y17" s="83">
        <v>551220</v>
      </c>
      <c r="Z17" s="83">
        <v>554766.6</v>
      </c>
      <c r="AA17" s="83">
        <v>552535.4</v>
      </c>
      <c r="AB17" s="83">
        <v>529501.4</v>
      </c>
      <c r="AC17" s="83">
        <v>543779.9</v>
      </c>
      <c r="AD17" s="83">
        <v>549002.4</v>
      </c>
      <c r="AE17" s="84">
        <v>555837.9</v>
      </c>
      <c r="AF17" s="83">
        <v>556417.69999999995</v>
      </c>
      <c r="AG17" s="83">
        <v>562403.88886013802</v>
      </c>
      <c r="AH17" s="83">
        <v>565961.74227811</v>
      </c>
      <c r="AI17" s="83">
        <v>569552.67903190805</v>
      </c>
      <c r="AJ17" s="83">
        <v>572693.75417116703</v>
      </c>
      <c r="AK17" s="83">
        <v>575692.69375946105</v>
      </c>
      <c r="AL17" s="83">
        <v>578546.14225804596</v>
      </c>
      <c r="AM17" s="82"/>
      <c r="AN17" s="82"/>
    </row>
    <row r="18" spans="1:40" x14ac:dyDescent="0.65">
      <c r="A18" s="82" t="s">
        <v>49</v>
      </c>
      <c r="B18" s="81" t="str">
        <f t="shared" si="3"/>
        <v>IMF.RES.GAS:GAS_LIVE_2026_JAN_GAS1_VINTAGE</v>
      </c>
      <c r="C18" s="81" t="s">
        <v>412</v>
      </c>
      <c r="D18" s="82"/>
      <c r="E18" s="83">
        <v>1615.6780000000001</v>
      </c>
      <c r="F18" s="83">
        <v>1670.654</v>
      </c>
      <c r="G18" s="83">
        <v>1721.748</v>
      </c>
      <c r="H18" s="83">
        <v>1796.5</v>
      </c>
      <c r="I18" s="83">
        <v>1842.72</v>
      </c>
      <c r="J18" s="83">
        <v>1875.809</v>
      </c>
      <c r="K18" s="83">
        <v>1934.941</v>
      </c>
      <c r="L18" s="83">
        <v>1982.5</v>
      </c>
      <c r="M18" s="83">
        <v>2036.675</v>
      </c>
      <c r="N18" s="83">
        <v>2085.1619999999998</v>
      </c>
      <c r="O18" s="83">
        <v>2139.895</v>
      </c>
      <c r="P18" s="83">
        <v>2134.5709999999999</v>
      </c>
      <c r="Q18" s="83">
        <v>2035.942</v>
      </c>
      <c r="R18" s="83">
        <v>2081.4110000000001</v>
      </c>
      <c r="S18" s="83">
        <v>2105.105</v>
      </c>
      <c r="T18" s="83">
        <v>2136.8710000000001</v>
      </c>
      <c r="U18" s="83">
        <v>2175.3330000000001</v>
      </c>
      <c r="V18" s="83">
        <v>2244.8270000000002</v>
      </c>
      <c r="W18" s="83">
        <v>2294.7269999999999</v>
      </c>
      <c r="X18" s="83">
        <v>2338.8249999999998</v>
      </c>
      <c r="Y18" s="83">
        <v>2400.9560000000001</v>
      </c>
      <c r="Z18" s="83">
        <v>2434.694</v>
      </c>
      <c r="AA18" s="83">
        <v>2474.2449999999999</v>
      </c>
      <c r="AB18" s="83">
        <v>2219.4740000000002</v>
      </c>
      <c r="AC18" s="83">
        <v>2409.8150000000001</v>
      </c>
      <c r="AD18" s="83">
        <v>2526.4279999999999</v>
      </c>
      <c r="AE18" s="84">
        <v>2536.46</v>
      </c>
      <c r="AF18" s="83">
        <v>2564.3780000000002</v>
      </c>
      <c r="AG18" s="83">
        <v>2597.9237643669999</v>
      </c>
      <c r="AH18" s="83">
        <v>2630.7485315075401</v>
      </c>
      <c r="AI18" s="83">
        <v>2671.2641961938598</v>
      </c>
      <c r="AJ18" s="83">
        <v>2709.6943945282701</v>
      </c>
      <c r="AK18" s="83">
        <v>2748.50935448164</v>
      </c>
      <c r="AL18" s="83">
        <v>2788.1620942011</v>
      </c>
      <c r="AM18" s="82"/>
      <c r="AN18" s="82"/>
    </row>
    <row r="19" spans="1:40" x14ac:dyDescent="0.65">
      <c r="A19" s="82" t="s">
        <v>48</v>
      </c>
      <c r="B19" s="81" t="str">
        <f t="shared" si="3"/>
        <v>IMF.RES.GAS:GAS_LIVE_2026_JAN_GAS1_VINTAGE</v>
      </c>
      <c r="C19" s="81" t="s">
        <v>413</v>
      </c>
      <c r="D19" s="82"/>
      <c r="E19" s="83">
        <v>1338.011</v>
      </c>
      <c r="F19" s="83">
        <v>1390.09825</v>
      </c>
      <c r="G19" s="83">
        <v>1461.5632499999999</v>
      </c>
      <c r="H19" s="83">
        <v>1536.66625</v>
      </c>
      <c r="I19" s="83">
        <v>1565.4802500000001</v>
      </c>
      <c r="J19" s="83">
        <v>1612.433</v>
      </c>
      <c r="K19" s="83">
        <v>1641.5597499999999</v>
      </c>
      <c r="L19" s="83">
        <v>1692.32275</v>
      </c>
      <c r="M19" s="83">
        <v>1746.654</v>
      </c>
      <c r="N19" s="83">
        <v>1792.72975</v>
      </c>
      <c r="O19" s="83">
        <v>1829.479</v>
      </c>
      <c r="P19" s="83">
        <v>1847.68975</v>
      </c>
      <c r="Q19" s="83">
        <v>1793.828</v>
      </c>
      <c r="R19" s="83">
        <v>1849.2717500000001</v>
      </c>
      <c r="S19" s="83">
        <v>1907.287</v>
      </c>
      <c r="T19" s="83">
        <v>1940.7725</v>
      </c>
      <c r="U19" s="83">
        <v>1985.9112500000001</v>
      </c>
      <c r="V19" s="83">
        <v>2042.9757500000001</v>
      </c>
      <c r="W19" s="83">
        <v>2056.2545</v>
      </c>
      <c r="X19" s="83">
        <v>2077.6097500000001</v>
      </c>
      <c r="Y19" s="83">
        <v>2140.6410000000001</v>
      </c>
      <c r="Z19" s="83">
        <v>2199.3580000000002</v>
      </c>
      <c r="AA19" s="83">
        <v>2241.3312500000002</v>
      </c>
      <c r="AB19" s="83">
        <v>2128.4077499999999</v>
      </c>
      <c r="AC19" s="83">
        <v>2255.0592499999998</v>
      </c>
      <c r="AD19" s="83">
        <v>2349.5245</v>
      </c>
      <c r="AE19" s="84">
        <v>2385.4427500000002</v>
      </c>
      <c r="AF19" s="83">
        <v>2422.5315000000001</v>
      </c>
      <c r="AG19" s="83">
        <v>2450.4538033152298</v>
      </c>
      <c r="AH19" s="83">
        <v>2488.2160282959899</v>
      </c>
      <c r="AI19" s="83">
        <v>2534.9855591462301</v>
      </c>
      <c r="AJ19" s="83">
        <v>2577.69188683124</v>
      </c>
      <c r="AK19" s="83">
        <v>2622.3134243034701</v>
      </c>
      <c r="AL19" s="83">
        <v>2665.1822611154098</v>
      </c>
      <c r="AM19" s="82"/>
      <c r="AN19" s="82"/>
    </row>
    <row r="20" spans="1:40" x14ac:dyDescent="0.65">
      <c r="A20" s="82" t="s">
        <v>16</v>
      </c>
      <c r="B20" s="112" t="str">
        <f>$B$4</f>
        <v>IMF.RES.GAS:GAS_LIVE</v>
      </c>
      <c r="C20" s="81" t="s">
        <v>414</v>
      </c>
      <c r="D20" s="82"/>
      <c r="E20" s="83">
        <v>74.066187631884503</v>
      </c>
      <c r="F20" s="83">
        <v>74.819165646058295</v>
      </c>
      <c r="G20" s="83">
        <v>79.001161175979405</v>
      </c>
      <c r="H20" s="83">
        <v>83.671602851551398</v>
      </c>
      <c r="I20" s="83">
        <v>85.473353387761406</v>
      </c>
      <c r="J20" s="83">
        <v>88.836945841456199</v>
      </c>
      <c r="K20" s="83">
        <v>91.2499746902608</v>
      </c>
      <c r="L20" s="83">
        <v>95.999600745082404</v>
      </c>
      <c r="M20" s="83">
        <v>99.999999999999901</v>
      </c>
      <c r="N20" s="83">
        <v>104.845155972824</v>
      </c>
      <c r="O20" s="83">
        <v>110.261300760485</v>
      </c>
      <c r="P20" s="83">
        <v>112.27825416213599</v>
      </c>
      <c r="Q20" s="83">
        <v>111.321055423621</v>
      </c>
      <c r="R20" s="83">
        <v>117.95943172789499</v>
      </c>
      <c r="S20" s="83">
        <v>122.008143299257</v>
      </c>
      <c r="T20" s="83">
        <v>124.761898902837</v>
      </c>
      <c r="U20" s="83">
        <v>128.00149167140299</v>
      </c>
      <c r="V20" s="83">
        <v>131.79556750714499</v>
      </c>
      <c r="W20" s="83">
        <v>134.88771846382301</v>
      </c>
      <c r="X20" s="83">
        <v>138.51244314244499</v>
      </c>
      <c r="Y20" s="83">
        <v>142.963551800484</v>
      </c>
      <c r="Z20" s="83">
        <v>146.963202828948</v>
      </c>
      <c r="AA20" s="83">
        <v>149.970070344112</v>
      </c>
      <c r="AB20" s="83">
        <v>147.58993684759801</v>
      </c>
      <c r="AC20" s="83">
        <v>156.205431667178</v>
      </c>
      <c r="AD20" s="83">
        <v>160.472458838091</v>
      </c>
      <c r="AE20" s="84">
        <v>163.42698329186601</v>
      </c>
      <c r="AF20" s="83">
        <v>167.22768949323299</v>
      </c>
      <c r="AG20" s="83">
        <v>170.315162960143</v>
      </c>
      <c r="AH20" s="83">
        <v>173.75237620201301</v>
      </c>
      <c r="AI20" s="83">
        <v>177.44738219020999</v>
      </c>
      <c r="AJ20" s="83">
        <v>181.28279330007101</v>
      </c>
      <c r="AK20" s="83">
        <v>185.03205357662699</v>
      </c>
      <c r="AL20" s="83">
        <v>188.862930459121</v>
      </c>
      <c r="AM20" s="82"/>
      <c r="AN20" s="82"/>
    </row>
    <row r="21" spans="1:40" x14ac:dyDescent="0.65">
      <c r="A21" s="82" t="s">
        <v>50</v>
      </c>
      <c r="B21" s="112" t="str">
        <f t="shared" ref="B21:B24" si="4">$B$4</f>
        <v>IMF.RES.GAS:GAS_LIVE</v>
      </c>
      <c r="C21" s="81" t="s">
        <v>415</v>
      </c>
      <c r="D21" s="82"/>
      <c r="E21" s="83">
        <v>82.568892340837607</v>
      </c>
      <c r="F21" s="83">
        <v>84.995723494462396</v>
      </c>
      <c r="G21" s="83">
        <v>87.480054775796702</v>
      </c>
      <c r="H21" s="83">
        <v>90.941921668905195</v>
      </c>
      <c r="I21" s="83">
        <v>92.990682661031002</v>
      </c>
      <c r="J21" s="83">
        <v>94.165751154057801</v>
      </c>
      <c r="K21" s="83">
        <v>95.248124279820601</v>
      </c>
      <c r="L21" s="83">
        <v>97.8745597229899</v>
      </c>
      <c r="M21" s="83">
        <v>100</v>
      </c>
      <c r="N21" s="83">
        <v>103.78948154581801</v>
      </c>
      <c r="O21" s="83">
        <v>107.253092774065</v>
      </c>
      <c r="P21" s="83">
        <v>108.195198138164</v>
      </c>
      <c r="Q21" s="83">
        <v>103.67097574684399</v>
      </c>
      <c r="R21" s="83">
        <v>105.779623211143</v>
      </c>
      <c r="S21" s="83">
        <v>107.90646819542</v>
      </c>
      <c r="T21" s="83">
        <v>107.133750356901</v>
      </c>
      <c r="U21" s="83">
        <v>107.10833787481</v>
      </c>
      <c r="V21" s="83">
        <v>108.973223359042</v>
      </c>
      <c r="W21" s="83">
        <v>111.736926106075</v>
      </c>
      <c r="X21" s="83">
        <v>113.938172584445</v>
      </c>
      <c r="Y21" s="83">
        <v>117.40355670752599</v>
      </c>
      <c r="Z21" s="83">
        <v>120.085946987109</v>
      </c>
      <c r="AA21" s="83">
        <v>122.53889155436499</v>
      </c>
      <c r="AB21" s="83">
        <v>115.775258921827</v>
      </c>
      <c r="AC21" s="83">
        <v>123.22700141647999</v>
      </c>
      <c r="AD21" s="83">
        <v>127.845417792014</v>
      </c>
      <c r="AE21" s="84">
        <v>128.59336965426701</v>
      </c>
      <c r="AF21" s="83">
        <v>130.07952024143</v>
      </c>
      <c r="AG21" s="83">
        <v>132.059964650783</v>
      </c>
      <c r="AH21" s="83">
        <v>134.099128345731</v>
      </c>
      <c r="AI21" s="83">
        <v>136.23997324031001</v>
      </c>
      <c r="AJ21" s="83">
        <v>138.33495211726401</v>
      </c>
      <c r="AK21" s="83">
        <v>140.35388571464301</v>
      </c>
      <c r="AL21" s="83">
        <v>142.314587466783</v>
      </c>
      <c r="AM21" s="82"/>
      <c r="AN21" s="82"/>
    </row>
    <row r="22" spans="1:40" x14ac:dyDescent="0.65">
      <c r="A22" s="82" t="s">
        <v>175</v>
      </c>
      <c r="B22" s="112" t="str">
        <f t="shared" si="4"/>
        <v>IMF.RES.GAS:GAS_LIVE</v>
      </c>
      <c r="C22" s="81" t="s">
        <v>416</v>
      </c>
      <c r="D22" s="82"/>
      <c r="E22" s="85">
        <v>67.406488026690596</v>
      </c>
      <c r="F22" s="83">
        <v>69.033935385200294</v>
      </c>
      <c r="G22" s="83">
        <v>71.483186063439604</v>
      </c>
      <c r="H22" s="83">
        <v>75.526589328167404</v>
      </c>
      <c r="I22" s="83">
        <v>78.354248785852405</v>
      </c>
      <c r="J22" s="83">
        <v>81.805674286278304</v>
      </c>
      <c r="K22" s="83">
        <v>86.793179686696504</v>
      </c>
      <c r="L22" s="83">
        <v>93.524168661202694</v>
      </c>
      <c r="M22" s="83">
        <v>100</v>
      </c>
      <c r="N22" s="83">
        <v>107.76243308946199</v>
      </c>
      <c r="O22" s="83">
        <v>116.51250789298</v>
      </c>
      <c r="P22" s="83">
        <v>123.019858559987</v>
      </c>
      <c r="Q22" s="83">
        <v>126.231493887656</v>
      </c>
      <c r="R22" s="83">
        <v>135.396357211924</v>
      </c>
      <c r="S22" s="83">
        <v>143.79922834836299</v>
      </c>
      <c r="T22" s="83">
        <v>151.41214484588201</v>
      </c>
      <c r="U22" s="83">
        <v>158.94245586717901</v>
      </c>
      <c r="V22" s="83">
        <v>166.45941575715901</v>
      </c>
      <c r="W22" s="83">
        <v>173.55565172458699</v>
      </c>
      <c r="X22" s="83">
        <v>181.03781118151099</v>
      </c>
      <c r="Y22" s="83">
        <v>189.70817375086901</v>
      </c>
      <c r="Z22" s="83">
        <v>198.52059681476001</v>
      </c>
      <c r="AA22" s="83">
        <v>205.99512712488001</v>
      </c>
      <c r="AB22" s="83">
        <v>202.217998109072</v>
      </c>
      <c r="AC22" s="83">
        <v>216.44092862082499</v>
      </c>
      <c r="AD22" s="83">
        <v>225.715941224315</v>
      </c>
      <c r="AE22" s="84">
        <v>236.37509239540501</v>
      </c>
      <c r="AF22" s="83">
        <v>246.65623274665299</v>
      </c>
      <c r="AG22" s="83">
        <v>257.429304757137</v>
      </c>
      <c r="AH22" s="83">
        <v>268.19845326838498</v>
      </c>
      <c r="AI22" s="83">
        <v>279.28973802584801</v>
      </c>
      <c r="AJ22" s="83">
        <v>290.78147240901399</v>
      </c>
      <c r="AK22" s="83">
        <v>302.61545208321297</v>
      </c>
      <c r="AL22" s="83">
        <v>314.589259311136</v>
      </c>
      <c r="AM22" s="82"/>
      <c r="AN22" s="82"/>
    </row>
    <row r="23" spans="1:40" x14ac:dyDescent="0.65">
      <c r="A23" s="82" t="s">
        <v>17</v>
      </c>
      <c r="B23" s="112" t="str">
        <f t="shared" si="4"/>
        <v>IMF.RES.GAS:GAS_LIVE</v>
      </c>
      <c r="C23" s="81" t="s">
        <v>417</v>
      </c>
      <c r="D23" s="82"/>
      <c r="E23" s="85">
        <v>61.975571136238798</v>
      </c>
      <c r="F23" s="83">
        <v>63.4532117690447</v>
      </c>
      <c r="G23" s="83">
        <v>66.325249876978901</v>
      </c>
      <c r="H23" s="83">
        <v>71.089756770269503</v>
      </c>
      <c r="I23" s="83">
        <v>74.536027050420898</v>
      </c>
      <c r="J23" s="83">
        <v>78.387566172607904</v>
      </c>
      <c r="K23" s="83">
        <v>84.569935948321003</v>
      </c>
      <c r="L23" s="83">
        <v>92.279415158395807</v>
      </c>
      <c r="M23" s="83">
        <v>99.999999999999901</v>
      </c>
      <c r="N23" s="83">
        <v>109.36478043695899</v>
      </c>
      <c r="O23" s="83">
        <v>120.488334298898</v>
      </c>
      <c r="P23" s="83">
        <v>128.69612077588701</v>
      </c>
      <c r="Q23" s="83">
        <v>132.99339770458701</v>
      </c>
      <c r="R23" s="83">
        <v>143.75329825732101</v>
      </c>
      <c r="S23" s="83">
        <v>154.27177756573701</v>
      </c>
      <c r="T23" s="83">
        <v>164.125940704671</v>
      </c>
      <c r="U23" s="83">
        <v>172.80532675788001</v>
      </c>
      <c r="V23" s="83">
        <v>181.49422442602599</v>
      </c>
      <c r="W23" s="83">
        <v>189.81391725387999</v>
      </c>
      <c r="X23" s="83">
        <v>198.86492285152801</v>
      </c>
      <c r="Y23" s="83">
        <v>208.600827883195</v>
      </c>
      <c r="Z23" s="83">
        <v>218.50361700602301</v>
      </c>
      <c r="AA23" s="83">
        <v>227.77504850139999</v>
      </c>
      <c r="AB23" s="83">
        <v>227.72942533554101</v>
      </c>
      <c r="AC23" s="83">
        <v>244.064392460926</v>
      </c>
      <c r="AD23" s="83">
        <v>252.71701386136701</v>
      </c>
      <c r="AE23" s="84">
        <v>264.00676516852002</v>
      </c>
      <c r="AF23" s="83">
        <v>275.73403948438499</v>
      </c>
      <c r="AG23" s="83">
        <v>287.07818550405301</v>
      </c>
      <c r="AH23" s="83">
        <v>298.27423285185199</v>
      </c>
      <c r="AI23" s="83">
        <v>309.03705596411999</v>
      </c>
      <c r="AJ23" s="83">
        <v>319.91873441567299</v>
      </c>
      <c r="AK23" s="83">
        <v>330.646732444252</v>
      </c>
      <c r="AL23" s="83">
        <v>341.01965847860498</v>
      </c>
      <c r="AM23" s="82"/>
      <c r="AN23" s="82"/>
    </row>
    <row r="24" spans="1:40" x14ac:dyDescent="0.65">
      <c r="A24" s="82" t="s">
        <v>18</v>
      </c>
      <c r="B24" s="112" t="str">
        <f t="shared" si="4"/>
        <v>IMF.RES.GAS:GAS_LIVE</v>
      </c>
      <c r="C24" s="81" t="s">
        <v>418</v>
      </c>
      <c r="D24" s="82"/>
      <c r="E24" s="85">
        <v>72.203999503585607</v>
      </c>
      <c r="F24" s="85">
        <v>73.948489338125199</v>
      </c>
      <c r="G24" s="85">
        <v>76.056629674049901</v>
      </c>
      <c r="H24" s="85">
        <v>79.475581143552603</v>
      </c>
      <c r="I24" s="85">
        <v>81.748191561073398</v>
      </c>
      <c r="J24" s="85">
        <v>84.836156194332602</v>
      </c>
      <c r="K24" s="83">
        <v>88.780242822224295</v>
      </c>
      <c r="L24" s="83">
        <v>94.638099625269106</v>
      </c>
      <c r="M24" s="83">
        <v>100</v>
      </c>
      <c r="N24" s="83">
        <v>106.33700275888</v>
      </c>
      <c r="O24" s="83">
        <v>112.95365951303199</v>
      </c>
      <c r="P24" s="83">
        <v>117.948777228566</v>
      </c>
      <c r="Q24" s="83">
        <v>120.175223862191</v>
      </c>
      <c r="R24" s="83">
        <v>127.950481425204</v>
      </c>
      <c r="S24" s="83">
        <v>134.472512193629</v>
      </c>
      <c r="T24" s="83">
        <v>140.097114230941</v>
      </c>
      <c r="U24" s="83">
        <v>146.61381621938301</v>
      </c>
      <c r="V24" s="83">
        <v>153.09760629534</v>
      </c>
      <c r="W24" s="83">
        <v>159.11593274782399</v>
      </c>
      <c r="X24" s="83">
        <v>165.216419453144</v>
      </c>
      <c r="Y24" s="83">
        <v>172.94524768188199</v>
      </c>
      <c r="Z24" s="83">
        <v>180.79339081631801</v>
      </c>
      <c r="AA24" s="83">
        <v>186.69342597088701</v>
      </c>
      <c r="AB24" s="83">
        <v>179.66931715338299</v>
      </c>
      <c r="AC24" s="83">
        <v>192.03380882891301</v>
      </c>
      <c r="AD24" s="83">
        <v>201.787289890648</v>
      </c>
      <c r="AE24" s="84">
        <v>211.86607824434299</v>
      </c>
      <c r="AF24" s="83">
        <v>220.871358168961</v>
      </c>
      <c r="AG24" s="83">
        <v>231.11368660194699</v>
      </c>
      <c r="AH24" s="83">
        <v>241.474583061939</v>
      </c>
      <c r="AI24" s="83">
        <v>252.79324397893399</v>
      </c>
      <c r="AJ24" s="83">
        <v>264.74748841873401</v>
      </c>
      <c r="AK24" s="83">
        <v>277.45813316219198</v>
      </c>
      <c r="AL24" s="83">
        <v>290.72208916368999</v>
      </c>
      <c r="AM24" s="82"/>
      <c r="AN24" s="82"/>
    </row>
    <row r="25" spans="1:40" x14ac:dyDescent="0.65">
      <c r="B25" s="1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40" x14ac:dyDescent="0.65">
      <c r="A26" s="1" t="s">
        <v>3</v>
      </c>
      <c r="B26" s="2"/>
      <c r="AF26" s="5"/>
      <c r="AG26" s="5"/>
      <c r="AH26" s="5"/>
      <c r="AI26" s="5"/>
      <c r="AJ26" s="5"/>
      <c r="AK26" s="5"/>
      <c r="AL26" s="5"/>
    </row>
    <row r="27" spans="1:40" x14ac:dyDescent="0.65">
      <c r="A27" s="82" t="s">
        <v>4</v>
      </c>
      <c r="B27" s="112" t="str">
        <f>$B$4</f>
        <v>IMF.RES.GAS:GAS_LIVE</v>
      </c>
      <c r="C27" s="81" t="s">
        <v>419</v>
      </c>
      <c r="D27" s="82"/>
      <c r="E27" s="83">
        <v>79.685077290262697</v>
      </c>
      <c r="F27" s="83">
        <v>82.204545348790901</v>
      </c>
      <c r="G27" s="83">
        <v>85.580143279825805</v>
      </c>
      <c r="H27" s="83">
        <v>89.199754482748006</v>
      </c>
      <c r="I27" s="83">
        <v>90.5679393867985</v>
      </c>
      <c r="J27" s="83">
        <v>92.076935782092207</v>
      </c>
      <c r="K27" s="83">
        <v>94.148821311224793</v>
      </c>
      <c r="L27" s="83">
        <v>97.130191641344396</v>
      </c>
      <c r="M27" s="83">
        <v>100</v>
      </c>
      <c r="N27" s="83">
        <v>102.87534658001201</v>
      </c>
      <c r="O27" s="83">
        <v>105.41449402784301</v>
      </c>
      <c r="P27" s="83">
        <v>105.30624570575699</v>
      </c>
      <c r="Q27" s="83">
        <v>101.51559035842</v>
      </c>
      <c r="R27" s="83">
        <v>104.533063683219</v>
      </c>
      <c r="S27" s="83">
        <v>105.99343940519</v>
      </c>
      <c r="T27" s="83">
        <v>106.830619339433</v>
      </c>
      <c r="U27" s="83">
        <v>108.161647358588</v>
      </c>
      <c r="V27" s="83">
        <v>110.573131912954</v>
      </c>
      <c r="W27" s="83">
        <v>113.60169171738001</v>
      </c>
      <c r="X27" s="83">
        <v>115.881527301788</v>
      </c>
      <c r="Y27" s="83">
        <v>118.93213519448101</v>
      </c>
      <c r="Z27" s="83">
        <v>121.78638369440201</v>
      </c>
      <c r="AA27" s="83">
        <v>124.382538915179</v>
      </c>
      <c r="AB27" s="83">
        <v>119.610577269936</v>
      </c>
      <c r="AC27" s="83">
        <v>126.928906488038</v>
      </c>
      <c r="AD27" s="83">
        <v>131.30379797713701</v>
      </c>
      <c r="AE27" s="84">
        <v>132.78031882885099</v>
      </c>
      <c r="AF27" s="83">
        <v>135.186407664021</v>
      </c>
      <c r="AG27" s="83">
        <v>137.92872654938199</v>
      </c>
      <c r="AH27" s="83">
        <v>140.33962738052099</v>
      </c>
      <c r="AI27" s="83">
        <v>142.68671658317101</v>
      </c>
      <c r="AJ27" s="83">
        <v>145.03792451910201</v>
      </c>
      <c r="AK27" s="83">
        <v>147.332317238543</v>
      </c>
      <c r="AL27" s="83">
        <v>149.55377692230999</v>
      </c>
      <c r="AM27" s="82"/>
      <c r="AN27" s="82"/>
    </row>
    <row r="28" spans="1:40" x14ac:dyDescent="0.65">
      <c r="B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40" x14ac:dyDescent="0.65">
      <c r="A29" s="1" t="s">
        <v>5</v>
      </c>
      <c r="B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40" x14ac:dyDescent="0.65">
      <c r="A30" s="82" t="s">
        <v>4</v>
      </c>
      <c r="B30" s="112" t="str">
        <f>$B$4</f>
        <v>IMF.RES.GAS:GAS_LIVE</v>
      </c>
      <c r="C30" s="81" t="s">
        <v>420</v>
      </c>
      <c r="D30" s="82"/>
      <c r="E30" s="83">
        <v>87.677696854357805</v>
      </c>
      <c r="F30" s="83">
        <v>88.907124378418501</v>
      </c>
      <c r="G30" s="83">
        <v>89.716945756131693</v>
      </c>
      <c r="H30" s="83">
        <v>91.197188395304295</v>
      </c>
      <c r="I30" s="83">
        <v>92.975923713927102</v>
      </c>
      <c r="J30" s="83">
        <v>94.428605001381499</v>
      </c>
      <c r="K30" s="83">
        <v>95.996762691547502</v>
      </c>
      <c r="L30" s="83">
        <v>97.935374377112097</v>
      </c>
      <c r="M30" s="83">
        <v>99.999999999999901</v>
      </c>
      <c r="N30" s="83">
        <v>102.139472589861</v>
      </c>
      <c r="O30" s="83">
        <v>104.45489352426</v>
      </c>
      <c r="P30" s="83">
        <v>106.516277521555</v>
      </c>
      <c r="Q30" s="83">
        <v>107.32123109510199</v>
      </c>
      <c r="R30" s="83">
        <v>108.314005775185</v>
      </c>
      <c r="S30" s="83">
        <v>109.841090815329</v>
      </c>
      <c r="T30" s="83">
        <v>111.22159283525799</v>
      </c>
      <c r="U30" s="83">
        <v>112.688962148109</v>
      </c>
      <c r="V30" s="83">
        <v>114.267526941496</v>
      </c>
      <c r="W30" s="83">
        <v>115.678189532856</v>
      </c>
      <c r="X30" s="83">
        <v>116.795685677533</v>
      </c>
      <c r="Y30" s="83">
        <v>118.473146445035</v>
      </c>
      <c r="Z30" s="83">
        <v>120.485247763559</v>
      </c>
      <c r="AA30" s="83">
        <v>122.313619097301</v>
      </c>
      <c r="AB30" s="83">
        <v>124.332975301167</v>
      </c>
      <c r="AC30" s="83">
        <v>128.451454151467</v>
      </c>
      <c r="AD30" s="83">
        <v>135.904181814715</v>
      </c>
      <c r="AE30" s="84">
        <v>141.65836418020601</v>
      </c>
      <c r="AF30" s="83">
        <v>145.72090511797899</v>
      </c>
      <c r="AG30" s="83">
        <v>149.456806642956</v>
      </c>
      <c r="AH30" s="83">
        <v>152.45060357289699</v>
      </c>
      <c r="AI30" s="83">
        <v>155.363046426263</v>
      </c>
      <c r="AJ30" s="83">
        <v>158.42485059779099</v>
      </c>
      <c r="AK30" s="83">
        <v>161.56114022599601</v>
      </c>
      <c r="AL30" s="83">
        <v>164.75576308280699</v>
      </c>
      <c r="AM30" s="82"/>
      <c r="AN30" s="82"/>
    </row>
    <row r="31" spans="1:40" x14ac:dyDescent="0.65">
      <c r="A31" s="3" t="s">
        <v>19</v>
      </c>
      <c r="B31" s="114"/>
      <c r="D31" s="82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</row>
    <row r="32" spans="1:40" x14ac:dyDescent="0.65">
      <c r="A32" s="82" t="s">
        <v>46</v>
      </c>
      <c r="B32" s="81" t="str">
        <f>$A$4</f>
        <v>IMF.RES.GAS:GAS_LIVE_2026_JAN_GAS1_VINTAGE</v>
      </c>
      <c r="C32" s="81" t="s">
        <v>421</v>
      </c>
      <c r="D32" s="82"/>
      <c r="E32" s="83">
        <v>69.339870496269199</v>
      </c>
      <c r="F32" s="83">
        <v>70.119246801226296</v>
      </c>
      <c r="G32" s="83">
        <v>71.111451570924601</v>
      </c>
      <c r="H32" s="83">
        <v>72.7222745419364</v>
      </c>
      <c r="I32" s="83">
        <v>74.359704090972102</v>
      </c>
      <c r="J32" s="83">
        <v>75.515280493619002</v>
      </c>
      <c r="K32" s="83">
        <v>77.006115010594897</v>
      </c>
      <c r="L32" s="83">
        <v>79.076717945730607</v>
      </c>
      <c r="M32" s="83">
        <v>81.556422180454604</v>
      </c>
      <c r="N32" s="83">
        <v>84.071526152928598</v>
      </c>
      <c r="O32" s="83">
        <v>86.349250855334304</v>
      </c>
      <c r="P32" s="83">
        <v>88.012692548341903</v>
      </c>
      <c r="Q32" s="83">
        <v>88.555503734909294</v>
      </c>
      <c r="R32" s="83">
        <v>89.631784821416602</v>
      </c>
      <c r="S32" s="83">
        <v>91.481111163237998</v>
      </c>
      <c r="T32" s="83">
        <v>93.184427363191901</v>
      </c>
      <c r="U32" s="83">
        <v>94.770430899090002</v>
      </c>
      <c r="V32" s="83">
        <v>96.421061566009698</v>
      </c>
      <c r="W32" s="83">
        <v>97.315900338304999</v>
      </c>
      <c r="X32" s="83">
        <v>98.240618963596404</v>
      </c>
      <c r="Y32" s="83">
        <v>100</v>
      </c>
      <c r="Z32" s="83">
        <v>102.290787947365</v>
      </c>
      <c r="AA32" s="83">
        <v>103.979237919157</v>
      </c>
      <c r="AB32" s="83">
        <v>105.377381744681</v>
      </c>
      <c r="AC32" s="83">
        <v>110.185940937773</v>
      </c>
      <c r="AD32" s="83">
        <v>118.02282126663</v>
      </c>
      <c r="AE32" s="84">
        <v>122.38970503295501</v>
      </c>
      <c r="AF32" s="83">
        <v>125.428084299348</v>
      </c>
      <c r="AG32" s="83">
        <v>128.47859899778601</v>
      </c>
      <c r="AH32" s="83">
        <v>130.78840095258201</v>
      </c>
      <c r="AI32" s="83">
        <v>132.98216901590001</v>
      </c>
      <c r="AJ32" s="83">
        <v>135.14181922695499</v>
      </c>
      <c r="AK32" s="83">
        <v>137.50824968882799</v>
      </c>
      <c r="AL32" s="83">
        <v>140.08750967834999</v>
      </c>
      <c r="AM32" s="82"/>
      <c r="AN32" s="82"/>
    </row>
    <row r="33" spans="1:40" x14ac:dyDescent="0.65">
      <c r="A33" s="82" t="s">
        <v>132</v>
      </c>
      <c r="B33" s="81" t="str">
        <f t="shared" ref="B33:B39" si="5">$A$4</f>
        <v>IMF.RES.GAS:GAS_LIVE_2026_JAN_GAS1_VINTAGE</v>
      </c>
      <c r="C33" s="81" t="s">
        <v>422</v>
      </c>
      <c r="D33" s="82"/>
      <c r="E33" s="85">
        <v>69.503095171503503</v>
      </c>
      <c r="F33" s="85">
        <v>70.250985745456404</v>
      </c>
      <c r="G33" s="85">
        <v>71.412133947034803</v>
      </c>
      <c r="H33" s="85">
        <v>72.414583572580199</v>
      </c>
      <c r="I33" s="85">
        <v>74.2365905506649</v>
      </c>
      <c r="J33" s="85">
        <v>76.092737352856602</v>
      </c>
      <c r="K33" s="85">
        <v>77.791072019157895</v>
      </c>
      <c r="L33" s="85">
        <v>79.311425303268905</v>
      </c>
      <c r="M33" s="85">
        <v>80.847037216842594</v>
      </c>
      <c r="N33" s="85">
        <v>82.492839128268201</v>
      </c>
      <c r="O33" s="85">
        <v>84.545930106050093</v>
      </c>
      <c r="P33" s="83">
        <v>86.327260250641203</v>
      </c>
      <c r="Q33" s="83">
        <v>87.206487906148695</v>
      </c>
      <c r="R33" s="83">
        <v>87.836565666196805</v>
      </c>
      <c r="S33" s="83">
        <v>88.816585878786199</v>
      </c>
      <c r="T33" s="83">
        <v>89.947049286994101</v>
      </c>
      <c r="U33" s="83">
        <v>91.067379548868104</v>
      </c>
      <c r="V33" s="83">
        <v>91.926485138174399</v>
      </c>
      <c r="W33" s="83">
        <v>93.202229094571805</v>
      </c>
      <c r="X33" s="83">
        <v>94.049439087738307</v>
      </c>
      <c r="Y33" s="83">
        <v>95.126749067494899</v>
      </c>
      <c r="Z33" s="83">
        <v>96.578487399111495</v>
      </c>
      <c r="AA33" s="83">
        <v>98.219076700211602</v>
      </c>
      <c r="AB33" s="83">
        <v>100</v>
      </c>
      <c r="AC33" s="83">
        <v>102.097887251221</v>
      </c>
      <c r="AD33" s="83">
        <v>107.414718818458</v>
      </c>
      <c r="AE33" s="84">
        <v>113.82416046798799</v>
      </c>
      <c r="AF33" s="83">
        <v>117.200925165519</v>
      </c>
      <c r="AG33" s="83">
        <v>119.72418801172201</v>
      </c>
      <c r="AH33" s="83">
        <v>122.08704112756</v>
      </c>
      <c r="AI33" s="83">
        <v>124.649747662192</v>
      </c>
      <c r="AJ33" s="83">
        <v>127.225803546316</v>
      </c>
      <c r="AK33" s="83">
        <v>129.873278811755</v>
      </c>
      <c r="AL33" s="83">
        <v>132.59958960384799</v>
      </c>
      <c r="AM33" s="82"/>
      <c r="AN33" s="82"/>
    </row>
    <row r="34" spans="1:40" x14ac:dyDescent="0.65">
      <c r="A34" s="82" t="s">
        <v>116</v>
      </c>
      <c r="B34" s="81" t="str">
        <f t="shared" si="5"/>
        <v>IMF.RES.GAS:GAS_LIVE_2026_JAN_GAS1_VINTAGE</v>
      </c>
      <c r="C34" s="81" t="s">
        <v>423</v>
      </c>
      <c r="D34" s="82"/>
      <c r="E34" s="83">
        <v>74.668822640764603</v>
      </c>
      <c r="F34" s="83">
        <v>75.181046276469104</v>
      </c>
      <c r="G34" s="83">
        <v>75.614914474378693</v>
      </c>
      <c r="H34" s="83">
        <v>75.353652581893797</v>
      </c>
      <c r="I34" s="83">
        <v>76.431127635280006</v>
      </c>
      <c r="J34" s="83">
        <v>77.5817128022248</v>
      </c>
      <c r="K34" s="83">
        <v>78.607260124042298</v>
      </c>
      <c r="L34" s="83">
        <v>79.512875104894107</v>
      </c>
      <c r="M34" s="83">
        <v>79.9353151239564</v>
      </c>
      <c r="N34" s="83">
        <v>80.291888671939603</v>
      </c>
      <c r="O34" s="83">
        <v>81.7673338500976</v>
      </c>
      <c r="P34" s="83">
        <v>82.547637492787004</v>
      </c>
      <c r="Q34" s="83">
        <v>84.181515623048597</v>
      </c>
      <c r="R34" s="83">
        <v>84.7629789523494</v>
      </c>
      <c r="S34" s="83">
        <v>85.805542713630601</v>
      </c>
      <c r="T34" s="83">
        <v>87.035793348755007</v>
      </c>
      <c r="U34" s="83">
        <v>88.774919245694306</v>
      </c>
      <c r="V34" s="83">
        <v>90.459592086638395</v>
      </c>
      <c r="W34" s="83">
        <v>92.037506335529599</v>
      </c>
      <c r="X34" s="83">
        <v>93.196382059635894</v>
      </c>
      <c r="Y34" s="83">
        <v>94.565433261647897</v>
      </c>
      <c r="Z34" s="83">
        <v>96.337036413622798</v>
      </c>
      <c r="AA34" s="83">
        <v>98.277433264430599</v>
      </c>
      <c r="AB34" s="83">
        <v>100</v>
      </c>
      <c r="AC34" s="83">
        <v>102.694290981194</v>
      </c>
      <c r="AD34" s="83">
        <v>109.282787109781</v>
      </c>
      <c r="AE34" s="84">
        <v>116.59771906408101</v>
      </c>
      <c r="AF34" s="83">
        <v>120.224453862261</v>
      </c>
      <c r="AG34" s="83">
        <v>123.03359847185899</v>
      </c>
      <c r="AH34" s="83">
        <v>125.36169423165499</v>
      </c>
      <c r="AI34" s="83">
        <v>127.82502434043801</v>
      </c>
      <c r="AJ34" s="83">
        <v>130.57212150605301</v>
      </c>
      <c r="AK34" s="83">
        <v>133.401857607897</v>
      </c>
      <c r="AL34" s="83">
        <v>136.36821165161501</v>
      </c>
      <c r="AM34" s="82"/>
      <c r="AN34" s="82"/>
    </row>
    <row r="35" spans="1:40" x14ac:dyDescent="0.65">
      <c r="A35" s="82" t="s">
        <v>117</v>
      </c>
      <c r="B35" s="81" t="str">
        <f t="shared" si="5"/>
        <v>IMF.RES.GAS:GAS_LIVE_2026_JAN_GAS1_VINTAGE</v>
      </c>
      <c r="C35" s="81" t="s">
        <v>424</v>
      </c>
      <c r="D35" s="82"/>
      <c r="E35" s="83">
        <v>66.516940061980094</v>
      </c>
      <c r="F35" s="83">
        <v>68.092408295744704</v>
      </c>
      <c r="G35" s="83">
        <v>69.098437180011501</v>
      </c>
      <c r="H35" s="83">
        <v>70.311808034705507</v>
      </c>
      <c r="I35" s="83">
        <v>72.466165330261802</v>
      </c>
      <c r="J35" s="83">
        <v>74.861201238184904</v>
      </c>
      <c r="K35" s="83">
        <v>77.232217757958395</v>
      </c>
      <c r="L35" s="83">
        <v>79.263244515342606</v>
      </c>
      <c r="M35" s="83">
        <v>80.915198632011297</v>
      </c>
      <c r="N35" s="83">
        <v>82.708186968613205</v>
      </c>
      <c r="O35" s="83">
        <v>84.748354379576497</v>
      </c>
      <c r="P35" s="83">
        <v>86.786220587808202</v>
      </c>
      <c r="Q35" s="83">
        <v>88.324599973459797</v>
      </c>
      <c r="R35" s="83">
        <v>88.8525704708196</v>
      </c>
      <c r="S35" s="83">
        <v>90.388662709049697</v>
      </c>
      <c r="T35" s="83">
        <v>91.927448824544996</v>
      </c>
      <c r="U35" s="83">
        <v>92.962483858907902</v>
      </c>
      <c r="V35" s="83">
        <v>93.801391306741095</v>
      </c>
      <c r="W35" s="83">
        <v>94.535693053043602</v>
      </c>
      <c r="X35" s="83">
        <v>95.715512837067706</v>
      </c>
      <c r="Y35" s="83">
        <v>96.395103587103705</v>
      </c>
      <c r="Z35" s="83">
        <v>97.426965836463495</v>
      </c>
      <c r="AA35" s="83">
        <v>98.447115319027006</v>
      </c>
      <c r="AB35" s="83">
        <v>100</v>
      </c>
      <c r="AC35" s="83">
        <v>101.283338152402</v>
      </c>
      <c r="AD35" s="83">
        <v>104.783083866407</v>
      </c>
      <c r="AE35" s="84">
        <v>110.98053223417899</v>
      </c>
      <c r="AF35" s="83">
        <v>113.323511394741</v>
      </c>
      <c r="AG35" s="83">
        <v>115.781294319295</v>
      </c>
      <c r="AH35" s="83">
        <v>118.1128127069</v>
      </c>
      <c r="AI35" s="83">
        <v>120.475068961038</v>
      </c>
      <c r="AJ35" s="83">
        <v>122.884570340259</v>
      </c>
      <c r="AK35" s="83">
        <v>125.342261747064</v>
      </c>
      <c r="AL35" s="83">
        <v>127.84910698200601</v>
      </c>
      <c r="AM35" s="82"/>
      <c r="AN35" s="82"/>
    </row>
    <row r="36" spans="1:40" x14ac:dyDescent="0.65">
      <c r="A36" s="82" t="s">
        <v>118</v>
      </c>
      <c r="B36" s="81" t="str">
        <f t="shared" si="5"/>
        <v>IMF.RES.GAS:GAS_LIVE_2026_JAN_GAS1_VINTAGE</v>
      </c>
      <c r="C36" s="81" t="s">
        <v>425</v>
      </c>
      <c r="D36" s="82"/>
      <c r="E36" s="83">
        <v>73.818373930503597</v>
      </c>
      <c r="F36" s="83">
        <v>74.479362306301198</v>
      </c>
      <c r="G36" s="83">
        <v>74.743501621413699</v>
      </c>
      <c r="H36" s="83">
        <v>75.639372469947304</v>
      </c>
      <c r="I36" s="83">
        <v>77.121213801334804</v>
      </c>
      <c r="J36" s="83">
        <v>78.6704581421603</v>
      </c>
      <c r="K36" s="83">
        <v>80.0694624042263</v>
      </c>
      <c r="L36" s="83">
        <v>81.650741934614203</v>
      </c>
      <c r="M36" s="83">
        <v>83.174399975831903</v>
      </c>
      <c r="N36" s="83">
        <v>84.657571813659999</v>
      </c>
      <c r="O36" s="83">
        <v>86.715250599841198</v>
      </c>
      <c r="P36" s="83">
        <v>88.814703073256496</v>
      </c>
      <c r="Q36" s="83">
        <v>88.822979890210107</v>
      </c>
      <c r="R36" s="83">
        <v>89.933543590898793</v>
      </c>
      <c r="S36" s="83">
        <v>90.658265010896201</v>
      </c>
      <c r="T36" s="83">
        <v>91.597440712186199</v>
      </c>
      <c r="U36" s="83">
        <v>92.151114908574698</v>
      </c>
      <c r="V36" s="83">
        <v>92.674254791990606</v>
      </c>
      <c r="W36" s="83">
        <v>93.789827302298704</v>
      </c>
      <c r="X36" s="83">
        <v>94.392216239992194</v>
      </c>
      <c r="Y36" s="83">
        <v>94.774556519883504</v>
      </c>
      <c r="Z36" s="83">
        <v>95.880540267691401</v>
      </c>
      <c r="AA36" s="83">
        <v>96.981237402383996</v>
      </c>
      <c r="AB36" s="83">
        <v>100.04518327709501</v>
      </c>
      <c r="AC36" s="83">
        <v>101.351664253533</v>
      </c>
      <c r="AD36" s="83">
        <v>104.325175729549</v>
      </c>
      <c r="AE36" s="84">
        <v>109.478871713936</v>
      </c>
      <c r="AF36" s="83">
        <v>111.766879982002</v>
      </c>
      <c r="AG36" s="83">
        <v>113.104885681319</v>
      </c>
      <c r="AH36" s="83">
        <v>114.833224180256</v>
      </c>
      <c r="AI36" s="83">
        <v>117.06100997972899</v>
      </c>
      <c r="AJ36" s="83">
        <v>119.330937808618</v>
      </c>
      <c r="AK36" s="83">
        <v>121.647069561762</v>
      </c>
      <c r="AL36" s="83">
        <v>123.980892084646</v>
      </c>
      <c r="AM36" s="82"/>
      <c r="AN36" s="82"/>
    </row>
    <row r="37" spans="1:40" x14ac:dyDescent="0.65">
      <c r="A37" s="82" t="s">
        <v>47</v>
      </c>
      <c r="B37" s="81" t="str">
        <f t="shared" si="5"/>
        <v>IMF.RES.GAS:GAS_LIVE_2026_JAN_GAS1_VINTAGE</v>
      </c>
      <c r="C37" s="81" t="s">
        <v>426</v>
      </c>
      <c r="D37" s="82"/>
      <c r="E37" s="83">
        <v>113.88645199410399</v>
      </c>
      <c r="F37" s="83">
        <v>113.856063591625</v>
      </c>
      <c r="G37" s="83">
        <v>112.443075243205</v>
      </c>
      <c r="H37" s="83">
        <v>110.94054103782899</v>
      </c>
      <c r="I37" s="83">
        <v>109.736971706996</v>
      </c>
      <c r="J37" s="83">
        <v>108.21055389754299</v>
      </c>
      <c r="K37" s="83">
        <v>106.47084749558</v>
      </c>
      <c r="L37" s="83">
        <v>105.27330047740701</v>
      </c>
      <c r="M37" s="83">
        <v>104.01629833930301</v>
      </c>
      <c r="N37" s="83">
        <v>103.119678862198</v>
      </c>
      <c r="O37" s="83">
        <v>102.392433980935</v>
      </c>
      <c r="P37" s="83">
        <v>101.45909593218801</v>
      </c>
      <c r="Q37" s="83">
        <v>100.88119994676001</v>
      </c>
      <c r="R37" s="83">
        <v>98.983905075187906</v>
      </c>
      <c r="S37" s="83">
        <v>97.378326275698697</v>
      </c>
      <c r="T37" s="83">
        <v>96.642016713255401</v>
      </c>
      <c r="U37" s="83">
        <v>96.299560755637302</v>
      </c>
      <c r="V37" s="83">
        <v>97.9234925852098</v>
      </c>
      <c r="W37" s="83">
        <v>99.990930736847901</v>
      </c>
      <c r="X37" s="83">
        <v>100.410799843213</v>
      </c>
      <c r="Y37" s="83">
        <v>100.336163419324</v>
      </c>
      <c r="Z37" s="83">
        <v>100.335907028289</v>
      </c>
      <c r="AA37" s="83">
        <v>100.97287884179001</v>
      </c>
      <c r="AB37" s="83">
        <v>101.91589672850699</v>
      </c>
      <c r="AC37" s="83">
        <v>101.70811756742</v>
      </c>
      <c r="AD37" s="83">
        <v>102.11374303645999</v>
      </c>
      <c r="AE37" s="84">
        <v>106.27290798270499</v>
      </c>
      <c r="AF37" s="83">
        <v>109.34211834023201</v>
      </c>
      <c r="AG37" s="83">
        <v>112.38422808578601</v>
      </c>
      <c r="AH37" s="83">
        <v>114.584323934502</v>
      </c>
      <c r="AI37" s="83">
        <v>116.900073025151</v>
      </c>
      <c r="AJ37" s="83">
        <v>119.2378410279</v>
      </c>
      <c r="AK37" s="83">
        <v>121.59358324011301</v>
      </c>
      <c r="AL37" s="83">
        <v>123.974926325548</v>
      </c>
      <c r="AM37" s="82"/>
      <c r="AN37" s="82"/>
    </row>
    <row r="38" spans="1:40" x14ac:dyDescent="0.65">
      <c r="A38" s="82" t="s">
        <v>49</v>
      </c>
      <c r="B38" s="81" t="str">
        <f t="shared" si="5"/>
        <v>IMF.RES.GAS:GAS_LIVE_2026_JAN_GAS1_VINTAGE</v>
      </c>
      <c r="C38" s="81" t="s">
        <v>427</v>
      </c>
      <c r="D38" s="82"/>
      <c r="E38" s="83">
        <v>59.009592257863197</v>
      </c>
      <c r="F38" s="83">
        <v>59.767073253947203</v>
      </c>
      <c r="G38" s="83">
        <v>60.592374726150403</v>
      </c>
      <c r="H38" s="83">
        <v>61.272028945171101</v>
      </c>
      <c r="I38" s="83">
        <v>62.198000781453501</v>
      </c>
      <c r="J38" s="83">
        <v>63.516008292955199</v>
      </c>
      <c r="K38" s="83">
        <v>65.032163771401798</v>
      </c>
      <c r="L38" s="83">
        <v>66.715611601513203</v>
      </c>
      <c r="M38" s="83">
        <v>68.678065965360204</v>
      </c>
      <c r="N38" s="83">
        <v>70.595857779875104</v>
      </c>
      <c r="O38" s="83">
        <v>72.182840746859</v>
      </c>
      <c r="P38" s="83">
        <v>74.656687456168001</v>
      </c>
      <c r="Q38" s="83">
        <v>76.072992256164397</v>
      </c>
      <c r="R38" s="83">
        <v>77.281853511872399</v>
      </c>
      <c r="S38" s="83">
        <v>78.978958294241806</v>
      </c>
      <c r="T38" s="83">
        <v>80.197400778989405</v>
      </c>
      <c r="U38" s="83">
        <v>81.8891176661228</v>
      </c>
      <c r="V38" s="83">
        <v>82.969155306845394</v>
      </c>
      <c r="W38" s="83">
        <v>83.5154247106518</v>
      </c>
      <c r="X38" s="83">
        <v>85.15579404188</v>
      </c>
      <c r="Y38" s="83">
        <v>86.735533679084497</v>
      </c>
      <c r="Z38" s="83">
        <v>88.401417180146595</v>
      </c>
      <c r="AA38" s="83">
        <v>90.286976431194105</v>
      </c>
      <c r="AB38" s="83">
        <v>94.774077101150894</v>
      </c>
      <c r="AC38" s="83">
        <v>94.837155549284901</v>
      </c>
      <c r="AD38" s="83">
        <v>100</v>
      </c>
      <c r="AE38" s="84">
        <v>106.888537568106</v>
      </c>
      <c r="AF38" s="83">
        <v>111.176628406576</v>
      </c>
      <c r="AG38" s="83">
        <v>115.103982123294</v>
      </c>
      <c r="AH38" s="83">
        <v>117.790544375485</v>
      </c>
      <c r="AI38" s="83">
        <v>120.28060863866</v>
      </c>
      <c r="AJ38" s="83">
        <v>122.773017453584</v>
      </c>
      <c r="AK38" s="83">
        <v>125.461289575622</v>
      </c>
      <c r="AL38" s="83">
        <v>128.37016885947401</v>
      </c>
      <c r="AM38" s="82"/>
      <c r="AN38" s="82"/>
    </row>
    <row r="39" spans="1:40" x14ac:dyDescent="0.65">
      <c r="A39" s="82" t="s">
        <v>48</v>
      </c>
      <c r="B39" s="81" t="str">
        <f t="shared" si="5"/>
        <v>IMF.RES.GAS:GAS_LIVE_2026_JAN_GAS1_VINTAGE</v>
      </c>
      <c r="C39" s="81" t="s">
        <v>428</v>
      </c>
      <c r="D39" s="82"/>
      <c r="E39" s="83">
        <v>67.781655008815306</v>
      </c>
      <c r="F39" s="83">
        <v>67.660541260303006</v>
      </c>
      <c r="G39" s="83">
        <v>68.962256679620197</v>
      </c>
      <c r="H39" s="83">
        <v>71.978609538668493</v>
      </c>
      <c r="I39" s="83">
        <v>73.111302426204304</v>
      </c>
      <c r="J39" s="83">
        <v>74.030610884297204</v>
      </c>
      <c r="K39" s="83">
        <v>76.436267397516303</v>
      </c>
      <c r="L39" s="83">
        <v>78.928856803467298</v>
      </c>
      <c r="M39" s="83">
        <v>81.389330685985797</v>
      </c>
      <c r="N39" s="83">
        <v>83.481852186588597</v>
      </c>
      <c r="O39" s="83">
        <v>86.235534816196306</v>
      </c>
      <c r="P39" s="83">
        <v>89.681776932518005</v>
      </c>
      <c r="Q39" s="83">
        <v>87.596692659496895</v>
      </c>
      <c r="R39" s="83">
        <v>90.092113287298005</v>
      </c>
      <c r="S39" s="83">
        <v>93.014999840086901</v>
      </c>
      <c r="T39" s="83">
        <v>94.148129159909203</v>
      </c>
      <c r="U39" s="83">
        <v>95.787110325297704</v>
      </c>
      <c r="V39" s="83">
        <v>97.646680338716706</v>
      </c>
      <c r="W39" s="83">
        <v>96.799350469506507</v>
      </c>
      <c r="X39" s="83">
        <v>97.493525913612899</v>
      </c>
      <c r="Y39" s="83">
        <v>100</v>
      </c>
      <c r="Z39" s="83">
        <v>101.651254593385</v>
      </c>
      <c r="AA39" s="83">
        <v>103.222716410169</v>
      </c>
      <c r="AB39" s="83">
        <v>104.328082812139</v>
      </c>
      <c r="AC39" s="83">
        <v>112.450171763779</v>
      </c>
      <c r="AD39" s="83">
        <v>121.34114796419399</v>
      </c>
      <c r="AE39" s="84">
        <v>122.988070034378</v>
      </c>
      <c r="AF39" s="83">
        <v>126.823779174801</v>
      </c>
      <c r="AG39" s="83">
        <v>129.86363846577001</v>
      </c>
      <c r="AH39" s="83">
        <v>133.02775462814299</v>
      </c>
      <c r="AI39" s="83">
        <v>136.07692189745401</v>
      </c>
      <c r="AJ39" s="83">
        <v>138.86797798955701</v>
      </c>
      <c r="AK39" s="83">
        <v>141.697637512466</v>
      </c>
      <c r="AL39" s="83">
        <v>145.418645769264</v>
      </c>
      <c r="AM39" s="82"/>
      <c r="AN39" s="82"/>
    </row>
    <row r="40" spans="1:40" x14ac:dyDescent="0.65">
      <c r="B40" s="1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40" x14ac:dyDescent="0.65">
      <c r="A41" s="82" t="s">
        <v>14</v>
      </c>
      <c r="B41" s="81" t="str">
        <f>$A$4</f>
        <v>IMF.RES.GAS:GAS_LIVE_2026_JAN_GAS1_VINTAGE</v>
      </c>
      <c r="C41" s="81" t="s">
        <v>429</v>
      </c>
      <c r="D41" s="82"/>
      <c r="E41" s="83">
        <v>91.352504872301793</v>
      </c>
      <c r="F41" s="83">
        <v>91.184196990487607</v>
      </c>
      <c r="G41" s="83">
        <v>91.227692442701098</v>
      </c>
      <c r="H41" s="83">
        <v>92.466774725266106</v>
      </c>
      <c r="I41" s="83">
        <v>93.366462244385303</v>
      </c>
      <c r="J41" s="83">
        <v>93.134526667430904</v>
      </c>
      <c r="K41" s="83">
        <v>94.232050804696797</v>
      </c>
      <c r="L41" s="83">
        <v>94.519719247873596</v>
      </c>
      <c r="M41" s="83">
        <v>95.390190429267093</v>
      </c>
      <c r="N41" s="83">
        <v>97.436981514343003</v>
      </c>
      <c r="O41" s="83">
        <v>99.7525171781746</v>
      </c>
      <c r="P41" s="83">
        <v>101.20049243872501</v>
      </c>
      <c r="Q41" s="83">
        <v>101.67236769011799</v>
      </c>
      <c r="R41" s="83">
        <v>101.98978482760801</v>
      </c>
      <c r="S41" s="83">
        <v>101.96501780386799</v>
      </c>
      <c r="T41" s="83">
        <v>102.025550450086</v>
      </c>
      <c r="U41" s="83">
        <v>101.934295115412</v>
      </c>
      <c r="V41" s="83">
        <v>101.27026270958601</v>
      </c>
      <c r="W41" s="83">
        <v>100</v>
      </c>
      <c r="X41" s="83">
        <v>99.412884791493696</v>
      </c>
      <c r="Y41" s="83">
        <v>99.045927243166403</v>
      </c>
      <c r="Z41" s="83">
        <v>99.802164506729298</v>
      </c>
      <c r="AA41" s="83">
        <v>99.698799785524102</v>
      </c>
      <c r="AB41" s="83">
        <v>99.006906436097395</v>
      </c>
      <c r="AC41" s="83">
        <v>100.309724497714</v>
      </c>
      <c r="AD41" s="83">
        <v>103.356962894559</v>
      </c>
      <c r="AE41" s="84">
        <v>104.273019854468</v>
      </c>
      <c r="AF41" s="83">
        <v>105.68620516523799</v>
      </c>
      <c r="AG41" s="83">
        <v>105.775761970083</v>
      </c>
      <c r="AH41" s="83">
        <v>106.43196314400799</v>
      </c>
      <c r="AI41" s="83">
        <v>107.15420950545101</v>
      </c>
      <c r="AJ41" s="83">
        <v>107.900041992065</v>
      </c>
      <c r="AK41" s="83">
        <v>108.616920093313</v>
      </c>
      <c r="AL41" s="83">
        <v>109.34567988898399</v>
      </c>
      <c r="AM41" s="82"/>
      <c r="AN41" s="82"/>
    </row>
    <row r="42" spans="1:40" x14ac:dyDescent="0.65">
      <c r="A42" s="82" t="s">
        <v>50</v>
      </c>
      <c r="B42" s="112" t="str">
        <f>$B$4</f>
        <v>IMF.RES.GAS:GAS_LIVE</v>
      </c>
      <c r="C42" s="81" t="s">
        <v>430</v>
      </c>
      <c r="D42" s="82"/>
      <c r="E42" s="83">
        <v>79.767710181811907</v>
      </c>
      <c r="F42" s="83">
        <v>82.702799938522304</v>
      </c>
      <c r="G42" s="83">
        <v>84.717671280677294</v>
      </c>
      <c r="H42" s="83">
        <v>87.039795894854294</v>
      </c>
      <c r="I42" s="83">
        <v>90.108693214869803</v>
      </c>
      <c r="J42" s="83">
        <v>92.845987159674195</v>
      </c>
      <c r="K42" s="83">
        <v>95.353592148935604</v>
      </c>
      <c r="L42" s="83">
        <v>97.820963949034507</v>
      </c>
      <c r="M42" s="83">
        <v>100</v>
      </c>
      <c r="N42" s="83">
        <v>102.266312260755</v>
      </c>
      <c r="O42" s="83">
        <v>105.374672203975</v>
      </c>
      <c r="P42" s="83">
        <v>108.251297126975</v>
      </c>
      <c r="Q42" s="83">
        <v>109.728136286676</v>
      </c>
      <c r="R42" s="83">
        <v>110.780054322526</v>
      </c>
      <c r="S42" s="83">
        <v>112.238304892004</v>
      </c>
      <c r="T42" s="83">
        <v>113.806099538973</v>
      </c>
      <c r="U42" s="83">
        <v>115.135499403677</v>
      </c>
      <c r="V42" s="83">
        <v>116.314743948703</v>
      </c>
      <c r="W42" s="83">
        <v>118.00449727391501</v>
      </c>
      <c r="X42" s="83">
        <v>119.14927634373601</v>
      </c>
      <c r="Y42" s="83">
        <v>120.777169338755</v>
      </c>
      <c r="Z42" s="83">
        <v>122.90588869382</v>
      </c>
      <c r="AA42" s="83">
        <v>125.423653722643</v>
      </c>
      <c r="AB42" s="83">
        <v>128.24228297500301</v>
      </c>
      <c r="AC42" s="83">
        <v>131.601339802973</v>
      </c>
      <c r="AD42" s="83">
        <v>139.76399626845401</v>
      </c>
      <c r="AE42" s="84">
        <v>148.98615404309999</v>
      </c>
      <c r="AF42" s="83">
        <v>153.85593101158099</v>
      </c>
      <c r="AG42" s="83">
        <v>157.737656284124</v>
      </c>
      <c r="AH42" s="83">
        <v>161.27149703626199</v>
      </c>
      <c r="AI42" s="83">
        <v>164.76963196659</v>
      </c>
      <c r="AJ42" s="83">
        <v>168.478627200359</v>
      </c>
      <c r="AK42" s="83">
        <v>172.06599897763201</v>
      </c>
      <c r="AL42" s="83">
        <v>175.729400270078</v>
      </c>
      <c r="AM42" s="82"/>
      <c r="AN42" s="82"/>
    </row>
    <row r="43" spans="1:40" x14ac:dyDescent="0.65">
      <c r="B43" s="1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0" x14ac:dyDescent="0.65">
      <c r="A44" s="1" t="s">
        <v>6</v>
      </c>
      <c r="B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40" x14ac:dyDescent="0.65">
      <c r="A45" s="82" t="s">
        <v>4</v>
      </c>
      <c r="B45" s="81" t="str">
        <f>$B$41</f>
        <v>IMF.RES.GAS:GAS_LIVE_2026_JAN_GAS1_VINTAGE</v>
      </c>
      <c r="C45" s="81" t="s">
        <v>431</v>
      </c>
      <c r="D45" s="82"/>
      <c r="E45" s="83">
        <v>86.019280396959203</v>
      </c>
      <c r="F45" s="83">
        <v>87.373890331424306</v>
      </c>
      <c r="G45" s="83">
        <v>88.596059614289601</v>
      </c>
      <c r="H45" s="83">
        <v>90.594702064874994</v>
      </c>
      <c r="I45" s="83">
        <v>92.572885952833005</v>
      </c>
      <c r="J45" s="83">
        <v>94.030436202289906</v>
      </c>
      <c r="K45" s="83">
        <v>95.775339068691906</v>
      </c>
      <c r="L45" s="83">
        <v>97.7205589415519</v>
      </c>
      <c r="M45" s="83">
        <v>99.999999999999901</v>
      </c>
      <c r="N45" s="83">
        <v>102.362765438149</v>
      </c>
      <c r="O45" s="83">
        <v>104.608485824792</v>
      </c>
      <c r="P45" s="83">
        <v>108.216514413372</v>
      </c>
      <c r="Q45" s="83">
        <v>108.421201074587</v>
      </c>
      <c r="R45" s="83">
        <v>110.103710111262</v>
      </c>
      <c r="S45" s="83">
        <v>113.084137358433</v>
      </c>
      <c r="T45" s="83">
        <v>115.352847222466</v>
      </c>
      <c r="U45" s="83">
        <v>116.946674484833</v>
      </c>
      <c r="V45" s="83">
        <v>118.528266593071</v>
      </c>
      <c r="W45" s="83">
        <v>118.890439677982</v>
      </c>
      <c r="X45" s="83">
        <v>119.77867692741</v>
      </c>
      <c r="Y45" s="83">
        <v>121.823578306062</v>
      </c>
      <c r="Z45" s="83">
        <v>124.209664619988</v>
      </c>
      <c r="AA45" s="83">
        <v>125.947274495662</v>
      </c>
      <c r="AB45" s="83">
        <v>126.8050741516</v>
      </c>
      <c r="AC45" s="83">
        <v>130.736196612425</v>
      </c>
      <c r="AD45" s="83">
        <v>140.29448260411499</v>
      </c>
      <c r="AE45" s="84">
        <v>146.78290934258399</v>
      </c>
      <c r="AF45" s="83">
        <v>150.631851814469</v>
      </c>
      <c r="AG45" s="83">
        <v>154.33401681378001</v>
      </c>
      <c r="AH45" s="83">
        <v>157.67663329394699</v>
      </c>
      <c r="AI45" s="83">
        <v>160.98023742051799</v>
      </c>
      <c r="AJ45" s="83">
        <v>164.32009482320001</v>
      </c>
      <c r="AK45" s="83">
        <v>167.73867060043699</v>
      </c>
      <c r="AL45" s="83">
        <v>171.21808833157701</v>
      </c>
      <c r="AM45" s="82"/>
      <c r="AN45" s="82"/>
    </row>
    <row r="46" spans="1:40" x14ac:dyDescent="0.65">
      <c r="B46" s="1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40" x14ac:dyDescent="0.65">
      <c r="A47" s="1" t="s">
        <v>20</v>
      </c>
      <c r="B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40" x14ac:dyDescent="0.65">
      <c r="A48" s="82" t="s">
        <v>21</v>
      </c>
      <c r="B48" s="112" t="str">
        <f>$B$4</f>
        <v>IMF.RES.GAS:GAS_LIVE</v>
      </c>
      <c r="C48" s="81" t="s">
        <v>432</v>
      </c>
      <c r="D48" s="82"/>
      <c r="E48" s="85">
        <v>61.1277805572266</v>
      </c>
      <c r="F48" s="85">
        <v>64.084084879190897</v>
      </c>
      <c r="G48" s="85">
        <v>67.355346012827397</v>
      </c>
      <c r="H48" s="85">
        <v>75.763660451024293</v>
      </c>
      <c r="I48" s="85">
        <v>76.215440433729498</v>
      </c>
      <c r="J48" s="85">
        <v>79.165105382525496</v>
      </c>
      <c r="K48" s="85">
        <v>83.7008530604312</v>
      </c>
      <c r="L48" s="85">
        <v>92.765907899286006</v>
      </c>
      <c r="M48" s="83">
        <v>100</v>
      </c>
      <c r="N48" s="83">
        <v>109.118406849244</v>
      </c>
      <c r="O48" s="83">
        <v>117.61625028482401</v>
      </c>
      <c r="P48" s="83">
        <v>120.75623621034499</v>
      </c>
      <c r="Q48" s="83">
        <v>108.438312196309</v>
      </c>
      <c r="R48" s="83">
        <v>121.38284750696501</v>
      </c>
      <c r="S48" s="83">
        <v>129.84778631114099</v>
      </c>
      <c r="T48" s="83">
        <v>133.73852609892799</v>
      </c>
      <c r="U48" s="83">
        <v>138.61146426366099</v>
      </c>
      <c r="V48" s="83">
        <v>144.280364694144</v>
      </c>
      <c r="W48" s="83">
        <v>148.771967653221</v>
      </c>
      <c r="X48" s="83">
        <v>152.417928046713</v>
      </c>
      <c r="Y48" s="83">
        <v>160.672531065762</v>
      </c>
      <c r="Z48" s="83">
        <v>167.095115851809</v>
      </c>
      <c r="AA48" s="83">
        <v>169.00932435133799</v>
      </c>
      <c r="AB48" s="85">
        <v>154.99146128909501</v>
      </c>
      <c r="AC48" s="85">
        <v>171.66225782463999</v>
      </c>
      <c r="AD48" s="85">
        <v>181.735978409485</v>
      </c>
      <c r="AE48" s="84">
        <v>183.52857533888999</v>
      </c>
      <c r="AF48" s="83">
        <v>190.177106297661</v>
      </c>
      <c r="AG48" s="83">
        <v>197.88433267580299</v>
      </c>
      <c r="AH48" s="83">
        <v>202.984125155301</v>
      </c>
      <c r="AI48" s="83">
        <v>209.343322463287</v>
      </c>
      <c r="AJ48" s="83">
        <v>215.92450432437801</v>
      </c>
      <c r="AK48" s="83">
        <v>222.53417238204801</v>
      </c>
      <c r="AL48" s="83">
        <v>229.233528178239</v>
      </c>
      <c r="AM48" s="82"/>
      <c r="AN48" s="82"/>
    </row>
    <row r="49" spans="1:40" x14ac:dyDescent="0.65">
      <c r="A49" s="3" t="s">
        <v>22</v>
      </c>
      <c r="B49" s="1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40" x14ac:dyDescent="0.65">
      <c r="A50" s="82" t="s">
        <v>2</v>
      </c>
      <c r="B50" s="112" t="str">
        <f t="shared" ref="B50:B51" si="6">$B$4</f>
        <v>IMF.RES.GAS:GAS_LIVE</v>
      </c>
      <c r="C50" s="81" t="s">
        <v>433</v>
      </c>
      <c r="D50" s="82"/>
      <c r="E50" s="83">
        <v>62.301500735266401</v>
      </c>
      <c r="F50" s="83">
        <v>66.007968397007502</v>
      </c>
      <c r="G50" s="83">
        <v>71.233115743926305</v>
      </c>
      <c r="H50" s="83">
        <v>79.852412486390307</v>
      </c>
      <c r="I50" s="83">
        <v>79.866678541731105</v>
      </c>
      <c r="J50" s="83">
        <v>82.221448299277696</v>
      </c>
      <c r="K50" s="83">
        <v>85.796705172764604</v>
      </c>
      <c r="L50" s="83">
        <v>93.634204368584193</v>
      </c>
      <c r="M50" s="83">
        <v>100</v>
      </c>
      <c r="N50" s="83">
        <v>107.84658354534901</v>
      </c>
      <c r="O50" s="83">
        <v>113.69687006163301</v>
      </c>
      <c r="P50" s="83">
        <v>114.092480558058</v>
      </c>
      <c r="Q50" s="83">
        <v>101.171998889286</v>
      </c>
      <c r="R50" s="83">
        <v>112.75501008651599</v>
      </c>
      <c r="S50" s="83">
        <v>118.716085229521</v>
      </c>
      <c r="T50" s="83">
        <v>120.18134353396999</v>
      </c>
      <c r="U50" s="83">
        <v>123.28871485979001</v>
      </c>
      <c r="V50" s="83">
        <v>128.29210916964999</v>
      </c>
      <c r="W50" s="83">
        <v>134.469367611015</v>
      </c>
      <c r="X50" s="83">
        <v>138.04512287207001</v>
      </c>
      <c r="Y50" s="83">
        <v>144.57491055777999</v>
      </c>
      <c r="Z50" s="83">
        <v>150.03866500531399</v>
      </c>
      <c r="AA50" s="83">
        <v>153.08408990130201</v>
      </c>
      <c r="AB50" s="83">
        <v>140.63053008682201</v>
      </c>
      <c r="AC50" s="83">
        <v>154.84577594692399</v>
      </c>
      <c r="AD50" s="83">
        <v>166.33942989602801</v>
      </c>
      <c r="AE50" s="84">
        <v>165.13931474985301</v>
      </c>
      <c r="AF50" s="83">
        <v>168.62870956181101</v>
      </c>
      <c r="AG50" s="83">
        <v>174.40212749459701</v>
      </c>
      <c r="AH50" s="83">
        <v>177.53130433226701</v>
      </c>
      <c r="AI50" s="83">
        <v>181.674417249058</v>
      </c>
      <c r="AJ50" s="83">
        <v>186.077537464947</v>
      </c>
      <c r="AK50" s="83">
        <v>190.62904454049601</v>
      </c>
      <c r="AL50" s="83">
        <v>195.24171310815399</v>
      </c>
      <c r="AM50" s="82"/>
      <c r="AN50" s="82"/>
    </row>
    <row r="51" spans="1:40" x14ac:dyDescent="0.65">
      <c r="A51" s="82" t="s">
        <v>176</v>
      </c>
      <c r="B51" s="112" t="str">
        <f t="shared" si="6"/>
        <v>IMF.RES.GAS:GAS_LIVE</v>
      </c>
      <c r="C51" s="81" t="s">
        <v>434</v>
      </c>
      <c r="D51" s="82"/>
      <c r="E51" s="85">
        <v>54.371645590879403</v>
      </c>
      <c r="F51" s="85">
        <v>55.799667149943197</v>
      </c>
      <c r="G51" s="85">
        <v>54.494764454495602</v>
      </c>
      <c r="H51" s="85">
        <v>62.158613500952697</v>
      </c>
      <c r="I51" s="85">
        <v>64.102982008520499</v>
      </c>
      <c r="J51" s="85">
        <v>68.631738059625405</v>
      </c>
      <c r="K51" s="85">
        <v>76.681587505990095</v>
      </c>
      <c r="L51" s="85">
        <v>88.9625348193794</v>
      </c>
      <c r="M51" s="83">
        <v>99.999999999999901</v>
      </c>
      <c r="N51" s="83">
        <v>112.616034334104</v>
      </c>
      <c r="O51" s="83">
        <v>130.29084478487701</v>
      </c>
      <c r="P51" s="83">
        <v>142.13795054806499</v>
      </c>
      <c r="Q51" s="83">
        <v>128.75983452821899</v>
      </c>
      <c r="R51" s="83">
        <v>147.45570407691301</v>
      </c>
      <c r="S51" s="83">
        <v>164.47468691821999</v>
      </c>
      <c r="T51" s="83">
        <v>173.779296336036</v>
      </c>
      <c r="U51" s="83">
        <v>183.17067757133501</v>
      </c>
      <c r="V51" s="83">
        <v>191.120361362643</v>
      </c>
      <c r="W51" s="83">
        <v>189.77318490724301</v>
      </c>
      <c r="X51" s="83">
        <v>193.237551552262</v>
      </c>
      <c r="Y51" s="83">
        <v>206.81926161775601</v>
      </c>
      <c r="Z51" s="83">
        <v>217.62180292480599</v>
      </c>
      <c r="AA51" s="83">
        <v>216.482098754942</v>
      </c>
      <c r="AB51" s="83">
        <v>195.702434779958</v>
      </c>
      <c r="AC51" s="83">
        <v>219.07567269288799</v>
      </c>
      <c r="AD51" s="83">
        <v>228.110398023415</v>
      </c>
      <c r="AE51" s="84">
        <v>236.57971017713601</v>
      </c>
      <c r="AF51" s="83">
        <v>250.45357692299501</v>
      </c>
      <c r="AG51" s="83">
        <v>263.32391571388001</v>
      </c>
      <c r="AH51" s="83">
        <v>272.93472142934303</v>
      </c>
      <c r="AI51" s="83">
        <v>285.193388143493</v>
      </c>
      <c r="AJ51" s="83">
        <v>297.65228076576801</v>
      </c>
      <c r="AK51" s="83">
        <v>310.10201426257299</v>
      </c>
      <c r="AL51" s="83">
        <v>322.69852046066302</v>
      </c>
      <c r="AM51" s="82"/>
      <c r="AN51" s="82"/>
    </row>
    <row r="52" spans="1:40" x14ac:dyDescent="0.65">
      <c r="B52" s="1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40" x14ac:dyDescent="0.65">
      <c r="A53" s="1" t="s">
        <v>73</v>
      </c>
      <c r="B53" s="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40" x14ac:dyDescent="0.65">
      <c r="A54" s="82" t="s">
        <v>146</v>
      </c>
      <c r="B54" s="112" t="str">
        <f>$B$4</f>
        <v>IMF.RES.GAS:GAS_LIVE</v>
      </c>
      <c r="C54" s="81" t="s">
        <v>435</v>
      </c>
      <c r="D54" s="82"/>
      <c r="E54" s="83">
        <v>92.381242974142594</v>
      </c>
      <c r="F54" s="83">
        <v>88.260288088650199</v>
      </c>
      <c r="G54" s="83">
        <v>85.750281240543899</v>
      </c>
      <c r="H54" s="83">
        <v>83.259080854218794</v>
      </c>
      <c r="I54" s="83">
        <v>80.045365283279807</v>
      </c>
      <c r="J54" s="83">
        <v>80.644234910055104</v>
      </c>
      <c r="K54" s="83">
        <v>89.105919193589102</v>
      </c>
      <c r="L54" s="83">
        <v>96.911201494968495</v>
      </c>
      <c r="M54" s="83">
        <v>100</v>
      </c>
      <c r="N54" s="83">
        <v>103.439555715007</v>
      </c>
      <c r="O54" s="83">
        <v>111.086836116819</v>
      </c>
      <c r="P54" s="83">
        <v>121.509361332571</v>
      </c>
      <c r="Q54" s="83">
        <v>109.59192443072899</v>
      </c>
      <c r="R54" s="83">
        <v>113.51597811582</v>
      </c>
      <c r="S54" s="83">
        <v>124.86102161785</v>
      </c>
      <c r="T54" s="83">
        <v>121.39219730881599</v>
      </c>
      <c r="U54" s="83">
        <v>120.640326216266</v>
      </c>
      <c r="V54" s="83">
        <v>118.14436744653101</v>
      </c>
      <c r="W54" s="83">
        <v>102.079930798143</v>
      </c>
      <c r="X54" s="83">
        <v>98.943480002353496</v>
      </c>
      <c r="Y54" s="83">
        <v>103.159684691001</v>
      </c>
      <c r="Z54" s="83">
        <v>108.40697782810599</v>
      </c>
      <c r="AA54" s="83">
        <v>104.51275864835399</v>
      </c>
      <c r="AB54" s="83">
        <v>102.998741415906</v>
      </c>
      <c r="AC54" s="83">
        <v>116.35131266194701</v>
      </c>
      <c r="AD54" s="83">
        <v>123.253552296347</v>
      </c>
      <c r="AE54" s="84">
        <v>119.84077585582099</v>
      </c>
      <c r="AF54" s="83">
        <v>119.784892142023</v>
      </c>
      <c r="AG54" s="83">
        <v>123.218792046521</v>
      </c>
      <c r="AH54" s="83">
        <v>124.955547484897</v>
      </c>
      <c r="AI54" s="83">
        <v>125.02446044582901</v>
      </c>
      <c r="AJ54" s="83">
        <v>125.58582796573199</v>
      </c>
      <c r="AK54" s="83">
        <v>126.669962529636</v>
      </c>
      <c r="AL54" s="83">
        <v>128.048691184001</v>
      </c>
      <c r="AM54" s="82"/>
      <c r="AN54" s="82"/>
    </row>
    <row r="55" spans="1:40" x14ac:dyDescent="0.65">
      <c r="A55" s="82" t="s">
        <v>145</v>
      </c>
      <c r="B55" s="112" t="str">
        <f t="shared" ref="B55:B56" si="7">$B$4</f>
        <v>IMF.RES.GAS:GAS_LIVE</v>
      </c>
      <c r="C55" s="81" t="s">
        <v>436</v>
      </c>
      <c r="D55" s="82"/>
      <c r="E55" s="85">
        <v>95.620137701832107</v>
      </c>
      <c r="F55" s="85">
        <v>92.149194169610297</v>
      </c>
      <c r="G55" s="85">
        <v>88.350246972099995</v>
      </c>
      <c r="H55" s="85">
        <v>84.671438117178397</v>
      </c>
      <c r="I55" s="85">
        <v>81.786813994476802</v>
      </c>
      <c r="J55" s="85">
        <v>82.269895854684606</v>
      </c>
      <c r="K55" s="85">
        <v>90.869230373547595</v>
      </c>
      <c r="L55" s="85">
        <v>98.117290661075799</v>
      </c>
      <c r="M55" s="85">
        <v>100</v>
      </c>
      <c r="N55" s="85">
        <v>102.720552482165</v>
      </c>
      <c r="O55" s="85">
        <v>110.40375724810001</v>
      </c>
      <c r="P55" s="85">
        <v>119.504386041267</v>
      </c>
      <c r="Q55" s="85">
        <v>109.63075855954899</v>
      </c>
      <c r="R55" s="85">
        <v>112.435405412554</v>
      </c>
      <c r="S55" s="85">
        <v>122.33486985140399</v>
      </c>
      <c r="T55" s="85">
        <v>118.573448749566</v>
      </c>
      <c r="U55" s="85">
        <v>117.945804854158</v>
      </c>
      <c r="V55" s="85">
        <v>115.858000496673</v>
      </c>
      <c r="W55" s="85">
        <v>102.709420832673</v>
      </c>
      <c r="X55" s="85">
        <v>100.204107219164</v>
      </c>
      <c r="Y55" s="85">
        <v>103.720608330837</v>
      </c>
      <c r="Z55" s="85">
        <v>107.900798881578</v>
      </c>
      <c r="AA55" s="85">
        <v>104.497530333272</v>
      </c>
      <c r="AB55" s="85">
        <v>104.91124434285901</v>
      </c>
      <c r="AC55" s="85">
        <v>115.96354179018201</v>
      </c>
      <c r="AD55" s="85">
        <v>119.790215877373</v>
      </c>
      <c r="AE55" s="84">
        <v>118.255340789854</v>
      </c>
      <c r="AF55" s="83">
        <v>118.570856633453</v>
      </c>
      <c r="AG55" s="83">
        <v>123.777906016214</v>
      </c>
      <c r="AH55" s="83">
        <v>125.86227966365701</v>
      </c>
      <c r="AI55" s="83">
        <v>125.998822547071</v>
      </c>
      <c r="AJ55" s="83">
        <v>126.598365277578</v>
      </c>
      <c r="AK55" s="83">
        <v>127.749521485893</v>
      </c>
      <c r="AL55" s="83">
        <v>129.24001124349999</v>
      </c>
      <c r="AM55" s="82"/>
      <c r="AN55" s="82"/>
    </row>
    <row r="56" spans="1:40" x14ac:dyDescent="0.65">
      <c r="A56" s="82" t="s">
        <v>144</v>
      </c>
      <c r="B56" s="112" t="str">
        <f t="shared" si="7"/>
        <v>IMF.RES.GAS:GAS_LIVE</v>
      </c>
      <c r="C56" s="81" t="s">
        <v>437</v>
      </c>
      <c r="D56" s="82"/>
      <c r="E56" s="85">
        <v>97.6795981652959</v>
      </c>
      <c r="F56" s="85">
        <v>93.381993705071295</v>
      </c>
      <c r="G56" s="85">
        <v>92.353760725916004</v>
      </c>
      <c r="H56" s="85">
        <v>92.549664427455795</v>
      </c>
      <c r="I56" s="85">
        <v>89.4759740176452</v>
      </c>
      <c r="J56" s="85">
        <v>87.7105974073515</v>
      </c>
      <c r="K56" s="85">
        <v>90.184704465011194</v>
      </c>
      <c r="L56" s="85">
        <v>96.098220169335505</v>
      </c>
      <c r="M56" s="85">
        <v>100</v>
      </c>
      <c r="N56" s="85">
        <v>102.26647412253899</v>
      </c>
      <c r="O56" s="85">
        <v>105.64631376109</v>
      </c>
      <c r="P56" s="85">
        <v>112.03940053213201</v>
      </c>
      <c r="Q56" s="85">
        <v>109.866744516917</v>
      </c>
      <c r="R56" s="85">
        <v>112.188362260029</v>
      </c>
      <c r="S56" s="83">
        <v>117.276780788539</v>
      </c>
      <c r="T56" s="83">
        <v>120.12045412413499</v>
      </c>
      <c r="U56" s="83">
        <v>116.63537887859</v>
      </c>
      <c r="V56" s="83">
        <v>116.004688029012</v>
      </c>
      <c r="W56" s="83">
        <v>112.4782346881</v>
      </c>
      <c r="X56" s="83">
        <v>106.786197555396</v>
      </c>
      <c r="Y56" s="83">
        <v>106.936239732171</v>
      </c>
      <c r="Z56" s="83">
        <v>109.11583599338999</v>
      </c>
      <c r="AA56" s="83">
        <v>109.52693904671</v>
      </c>
      <c r="AB56" s="83">
        <v>106.14017968724001</v>
      </c>
      <c r="AC56" s="85">
        <v>113.297156911456</v>
      </c>
      <c r="AD56" s="85">
        <v>124.926463800569</v>
      </c>
      <c r="AE56" s="84">
        <v>122.75266538359099</v>
      </c>
      <c r="AF56" s="83">
        <v>124.214478350665</v>
      </c>
      <c r="AG56" s="83">
        <v>125.064216435893</v>
      </c>
      <c r="AH56" s="83">
        <v>125.124738134654</v>
      </c>
      <c r="AI56" s="83">
        <v>124.907027287472</v>
      </c>
      <c r="AJ56" s="83">
        <v>125.564195411068</v>
      </c>
      <c r="AK56" s="83">
        <v>126.716806131775</v>
      </c>
      <c r="AL56" s="83">
        <v>128.27487485600699</v>
      </c>
      <c r="AM56" s="82"/>
      <c r="AN56" s="82"/>
    </row>
    <row r="57" spans="1:40" x14ac:dyDescent="0.65">
      <c r="B57" s="1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40" x14ac:dyDescent="0.65">
      <c r="A58" s="82" t="s">
        <v>177</v>
      </c>
      <c r="B58" s="81" t="str">
        <f>$A$4</f>
        <v>IMF.RES.GAS:GAS_LIVE_2026_JAN_GAS1_VINTAGE</v>
      </c>
      <c r="C58" s="81" t="s">
        <v>438</v>
      </c>
      <c r="D58" s="82"/>
      <c r="E58" s="85">
        <v>74.113504198814894</v>
      </c>
      <c r="F58" s="85">
        <v>65.235116731293402</v>
      </c>
      <c r="G58" s="85">
        <v>67.455956894493994</v>
      </c>
      <c r="H58" s="85">
        <v>74.4325479379212</v>
      </c>
      <c r="I58" s="85">
        <v>70.488080055189798</v>
      </c>
      <c r="J58" s="85">
        <v>71.253158117394193</v>
      </c>
      <c r="K58" s="85">
        <v>77.007433562780605</v>
      </c>
      <c r="L58" s="85">
        <v>87.258373164773502</v>
      </c>
      <c r="M58" s="85">
        <v>100</v>
      </c>
      <c r="N58" s="85">
        <v>111.441717538609</v>
      </c>
      <c r="O58" s="85">
        <v>123.386410663013</v>
      </c>
      <c r="P58" s="85">
        <v>146.449497409266</v>
      </c>
      <c r="Q58" s="83">
        <v>123.872929909669</v>
      </c>
      <c r="R58" s="83">
        <v>142.34095981173499</v>
      </c>
      <c r="S58" s="83">
        <v>167.097447771459</v>
      </c>
      <c r="T58" s="83">
        <v>166.016685586216</v>
      </c>
      <c r="U58" s="83">
        <v>163.369848807544</v>
      </c>
      <c r="V58" s="83">
        <v>157.49532098210099</v>
      </c>
      <c r="W58" s="83">
        <v>129.55943979892899</v>
      </c>
      <c r="X58" s="83">
        <v>119.339748615907</v>
      </c>
      <c r="Y58" s="83">
        <v>128.04787547184</v>
      </c>
      <c r="Z58" s="83">
        <v>137.17957570578901</v>
      </c>
      <c r="AA58" s="83">
        <v>133.87546708597699</v>
      </c>
      <c r="AB58" s="83">
        <v>130.43911117367699</v>
      </c>
      <c r="AC58" s="83">
        <v>153.88415264096901</v>
      </c>
      <c r="AD58" s="85">
        <v>171.197611582766</v>
      </c>
      <c r="AE58" s="84">
        <v>159.93016995448201</v>
      </c>
      <c r="AF58" s="83">
        <v>157.79345034941201</v>
      </c>
      <c r="AG58" s="83">
        <v>154.19332437057301</v>
      </c>
      <c r="AH58" s="83">
        <v>154.31062394886101</v>
      </c>
      <c r="AI58" s="83">
        <v>154.812607873649</v>
      </c>
      <c r="AJ58" s="83">
        <v>155.797762258029</v>
      </c>
      <c r="AK58" s="83">
        <v>157.299489452762</v>
      </c>
      <c r="AL58" s="83">
        <v>158.74155876258101</v>
      </c>
      <c r="AM58" s="82"/>
      <c r="AN58" s="82"/>
    </row>
    <row r="59" spans="1:40" x14ac:dyDescent="0.65">
      <c r="B59" s="1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40" x14ac:dyDescent="0.65">
      <c r="A60" s="1" t="s">
        <v>196</v>
      </c>
      <c r="B60" s="1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40" x14ac:dyDescent="0.65">
      <c r="A61" s="82" t="s">
        <v>178</v>
      </c>
      <c r="B61" s="112" t="str">
        <f>$B$4</f>
        <v>IMF.RES.GAS:GAS_LIVE</v>
      </c>
      <c r="C61" s="81" t="s">
        <v>439</v>
      </c>
      <c r="D61" s="82"/>
      <c r="E61" s="83">
        <v>56.122604860019898</v>
      </c>
      <c r="F61" s="83">
        <v>75.6768499818821</v>
      </c>
      <c r="G61" s="83">
        <v>70.949348233217194</v>
      </c>
      <c r="H61" s="83">
        <v>69.051092007848396</v>
      </c>
      <c r="I61" s="83">
        <v>64.058421769314606</v>
      </c>
      <c r="J61" s="83">
        <v>82.580299301893604</v>
      </c>
      <c r="K61" s="83">
        <v>68.883270217217799</v>
      </c>
      <c r="L61" s="83">
        <v>83.478696930221005</v>
      </c>
      <c r="M61" s="83">
        <v>103.891828538669</v>
      </c>
      <c r="N61" s="83">
        <v>121.298417246439</v>
      </c>
      <c r="O61" s="83">
        <v>137.65706524737499</v>
      </c>
      <c r="P61" s="83">
        <v>173.573911744317</v>
      </c>
      <c r="Q61" s="83">
        <v>119.02887589161401</v>
      </c>
      <c r="R61" s="83">
        <v>147.15829931084099</v>
      </c>
      <c r="S61" s="83">
        <v>180.12311760538699</v>
      </c>
      <c r="T61" s="83">
        <v>173.46638148475799</v>
      </c>
      <c r="U61" s="83">
        <v>166.047835663916</v>
      </c>
      <c r="V61" s="83">
        <v>158.100375534867</v>
      </c>
      <c r="W61" s="83">
        <v>107.924426231879</v>
      </c>
      <c r="X61" s="83">
        <v>100</v>
      </c>
      <c r="Y61" s="83">
        <v>113.32565927350799</v>
      </c>
      <c r="Z61" s="83">
        <v>127.725339199741</v>
      </c>
      <c r="AA61" s="83">
        <v>117.02246125337</v>
      </c>
      <c r="AB61" s="83">
        <v>105.86421374309801</v>
      </c>
      <c r="AC61" s="83">
        <v>161.502619756542</v>
      </c>
      <c r="AD61" s="83">
        <v>215.917062501804</v>
      </c>
      <c r="AE61" s="83">
        <v>165.64825317960401</v>
      </c>
      <c r="AF61" s="82">
        <v>164.817760433849</v>
      </c>
      <c r="AG61" s="82">
        <v>166.92988800067599</v>
      </c>
      <c r="AH61" s="82">
        <v>180.69039681306</v>
      </c>
      <c r="AI61" s="82">
        <v>180.15546949087701</v>
      </c>
      <c r="AJ61" s="82">
        <v>179.91589327113499</v>
      </c>
      <c r="AK61" s="82">
        <v>179.57509468364901</v>
      </c>
      <c r="AL61" s="82">
        <v>180.04521445118399</v>
      </c>
      <c r="AM61" s="82"/>
      <c r="AN61" s="82"/>
    </row>
    <row r="62" spans="1:40" x14ac:dyDescent="0.65">
      <c r="A62" s="82" t="s">
        <v>135</v>
      </c>
      <c r="B62" s="112" t="str">
        <f t="shared" ref="B62:B124" si="8">$B$4</f>
        <v>IMF.RES.GAS:GAS_LIVE</v>
      </c>
      <c r="C62" s="81" t="s">
        <v>440</v>
      </c>
      <c r="D62" s="82"/>
      <c r="E62" s="85">
        <v>51.019194178627799</v>
      </c>
      <c r="F62" s="85">
        <v>37.295675486647298</v>
      </c>
      <c r="G62" s="85">
        <v>45.8676666281603</v>
      </c>
      <c r="H62" s="85">
        <v>73.620515764565795</v>
      </c>
      <c r="I62" s="85">
        <v>66.356471721530497</v>
      </c>
      <c r="J62" s="85">
        <v>62.519301467370703</v>
      </c>
      <c r="K62" s="85">
        <v>80.431196535375705</v>
      </c>
      <c r="L62" s="85">
        <v>97.489736265018394</v>
      </c>
      <c r="M62" s="85">
        <v>135.52178028868801</v>
      </c>
      <c r="N62" s="85">
        <v>153.54751663074799</v>
      </c>
      <c r="O62" s="85">
        <v>167.66301137378201</v>
      </c>
      <c r="P62" s="83">
        <v>232.54703519411899</v>
      </c>
      <c r="Q62" s="83">
        <v>142.77169888323701</v>
      </c>
      <c r="R62" s="83">
        <v>178.526562729223</v>
      </c>
      <c r="S62" s="83">
        <v>231.51176672663399</v>
      </c>
      <c r="T62" s="83">
        <v>228.12097589222</v>
      </c>
      <c r="U62" s="83">
        <v>225.879892740202</v>
      </c>
      <c r="V62" s="83">
        <v>212.32069537862199</v>
      </c>
      <c r="W62" s="83">
        <v>118.982121206987</v>
      </c>
      <c r="X62" s="83">
        <v>100</v>
      </c>
      <c r="Y62" s="83">
        <v>123.300697947725</v>
      </c>
      <c r="Z62" s="85">
        <v>156.53475717045899</v>
      </c>
      <c r="AA62" s="85">
        <v>129.28497919466599</v>
      </c>
      <c r="AB62" s="85">
        <v>91.704892627127407</v>
      </c>
      <c r="AC62" s="85">
        <v>183.088722698955</v>
      </c>
      <c r="AD62" s="85">
        <v>299.51108416295699</v>
      </c>
      <c r="AE62" s="84">
        <v>189.505014922539</v>
      </c>
      <c r="AF62" s="85">
        <v>179.50369051025501</v>
      </c>
      <c r="AG62" s="85">
        <v>163.13710905104199</v>
      </c>
      <c r="AH62" s="85">
        <v>156.122645606867</v>
      </c>
      <c r="AI62" s="85">
        <v>150.5663442746</v>
      </c>
      <c r="AJ62" s="85">
        <v>148.87549252692099</v>
      </c>
      <c r="AK62" s="85">
        <v>149.26214166285601</v>
      </c>
      <c r="AL62" s="85">
        <v>150.46166091863199</v>
      </c>
      <c r="AM62" s="82"/>
      <c r="AN62" s="82"/>
    </row>
    <row r="63" spans="1:40" x14ac:dyDescent="0.65">
      <c r="A63" s="82" t="s">
        <v>137</v>
      </c>
      <c r="B63" s="112" t="str">
        <f t="shared" si="8"/>
        <v>IMF.RES.GAS:GAS_LIVE</v>
      </c>
      <c r="C63" s="81" t="s">
        <v>441</v>
      </c>
      <c r="D63" s="82"/>
      <c r="E63" s="83">
        <v>19.351729879017899</v>
      </c>
      <c r="F63" s="83">
        <v>13.235742442541399</v>
      </c>
      <c r="G63" s="83">
        <v>18.1792523161219</v>
      </c>
      <c r="H63" s="83">
        <v>28.471002431143699</v>
      </c>
      <c r="I63" s="83">
        <v>24.489567028985501</v>
      </c>
      <c r="J63" s="83">
        <v>25.000525066921799</v>
      </c>
      <c r="K63" s="83">
        <v>28.908934664972701</v>
      </c>
      <c r="L63" s="83">
        <v>37.806715958759398</v>
      </c>
      <c r="M63" s="83">
        <v>53.506304810527602</v>
      </c>
      <c r="N63" s="83">
        <v>64.401517804860106</v>
      </c>
      <c r="O63" s="83">
        <v>71.189201134010901</v>
      </c>
      <c r="P63" s="83">
        <v>96.767401956940006</v>
      </c>
      <c r="Q63" s="83">
        <v>61.5014706955685</v>
      </c>
      <c r="R63" s="83">
        <v>79.144482318003995</v>
      </c>
      <c r="S63" s="83">
        <v>104.068651397515</v>
      </c>
      <c r="T63" s="83">
        <v>105.096616990296</v>
      </c>
      <c r="U63" s="83">
        <v>104.17181542390701</v>
      </c>
      <c r="V63" s="83">
        <v>96.326127627203704</v>
      </c>
      <c r="W63" s="83">
        <v>50.9119223445636</v>
      </c>
      <c r="X63" s="83">
        <v>43.263857257879003</v>
      </c>
      <c r="Y63" s="83">
        <v>52.977644966748201</v>
      </c>
      <c r="Z63" s="83">
        <v>68.532530684693697</v>
      </c>
      <c r="AA63" s="83">
        <v>61.432334067904698</v>
      </c>
      <c r="AB63" s="83">
        <v>41.765497534872502</v>
      </c>
      <c r="AC63" s="83">
        <v>69.249978185059703</v>
      </c>
      <c r="AD63" s="83">
        <v>96.362059361733202</v>
      </c>
      <c r="AE63" s="84">
        <v>80.594907475374796</v>
      </c>
      <c r="AF63" s="83">
        <v>79.170800120772896</v>
      </c>
      <c r="AG63" s="83">
        <v>67.7367838085827</v>
      </c>
      <c r="AH63" s="83">
        <v>64.743372418333294</v>
      </c>
      <c r="AI63" s="83">
        <v>62.927396555555497</v>
      </c>
      <c r="AJ63" s="83">
        <v>63.440084388888799</v>
      </c>
      <c r="AK63" s="83">
        <v>64.429895194444398</v>
      </c>
      <c r="AL63" s="83">
        <v>65.184461083333304</v>
      </c>
      <c r="AM63" s="82"/>
      <c r="AN63" s="82"/>
    </row>
    <row r="64" spans="1:40" x14ac:dyDescent="0.65">
      <c r="A64" s="82" t="s">
        <v>136</v>
      </c>
      <c r="B64" s="112" t="str">
        <f t="shared" si="8"/>
        <v>IMF.RES.GAS:GAS_LIVE</v>
      </c>
      <c r="C64" s="81" t="s">
        <v>442</v>
      </c>
      <c r="D64" s="82"/>
      <c r="E64" s="85">
        <v>69.425183902988195</v>
      </c>
      <c r="F64" s="85">
        <v>56.795122434409897</v>
      </c>
      <c r="G64" s="85">
        <v>58.338939084153303</v>
      </c>
      <c r="H64" s="85">
        <v>106.15427815003299</v>
      </c>
      <c r="I64" s="85">
        <v>102.277363989382</v>
      </c>
      <c r="J64" s="85">
        <v>84.139105980583395</v>
      </c>
      <c r="K64" s="85">
        <v>215.75149278536301</v>
      </c>
      <c r="L64" s="85">
        <v>132.29925377728699</v>
      </c>
      <c r="M64" s="85">
        <v>192.95376102317201</v>
      </c>
      <c r="N64" s="85">
        <v>186.96863798820399</v>
      </c>
      <c r="O64" s="85">
        <v>191.204472662917</v>
      </c>
      <c r="P64" s="83">
        <v>268.200471389499</v>
      </c>
      <c r="Q64" s="83">
        <v>152.893039843575</v>
      </c>
      <c r="R64" s="83">
        <v>162.269404727449</v>
      </c>
      <c r="S64" s="83">
        <v>203.06382476340499</v>
      </c>
      <c r="T64" s="83">
        <v>208.983724728152</v>
      </c>
      <c r="U64" s="83">
        <v>212.04550662275599</v>
      </c>
      <c r="V64" s="83">
        <v>212.11262763329299</v>
      </c>
      <c r="W64" s="83">
        <v>139.384973634087</v>
      </c>
      <c r="X64" s="83">
        <v>99.999999999999901</v>
      </c>
      <c r="Y64" s="83">
        <v>115.884597754304</v>
      </c>
      <c r="Z64" s="83">
        <v>144.58182625904499</v>
      </c>
      <c r="AA64" s="83">
        <v>91.525831706198602</v>
      </c>
      <c r="AB64" s="83">
        <v>71.714192727953701</v>
      </c>
      <c r="AC64" s="83">
        <v>253.67408505466699</v>
      </c>
      <c r="AD64" s="83">
        <v>521.57851665263195</v>
      </c>
      <c r="AE64" s="84">
        <v>193.858539365306</v>
      </c>
      <c r="AF64" s="83">
        <v>167.43170465638499</v>
      </c>
      <c r="AG64" s="83">
        <v>192.839916166363</v>
      </c>
      <c r="AH64" s="83">
        <v>176.79747901905</v>
      </c>
      <c r="AI64" s="83">
        <v>162.22096813647201</v>
      </c>
      <c r="AJ64" s="83">
        <v>147.76761133650601</v>
      </c>
      <c r="AK64" s="83">
        <v>141.377115570488</v>
      </c>
      <c r="AL64" s="83">
        <v>141.21531342978901</v>
      </c>
      <c r="AM64" s="82"/>
      <c r="AN64" s="82"/>
    </row>
    <row r="65" spans="1:40" x14ac:dyDescent="0.65">
      <c r="A65" s="82" t="s">
        <v>138</v>
      </c>
      <c r="B65" s="112" t="str">
        <f t="shared" si="8"/>
        <v>IMF.RES.GAS:GAS_LIVE</v>
      </c>
      <c r="C65" s="81" t="s">
        <v>443</v>
      </c>
      <c r="D65" s="82"/>
      <c r="E65" s="85">
        <v>49.373936981104002</v>
      </c>
      <c r="F65" s="85">
        <v>41.6866241537276</v>
      </c>
      <c r="G65" s="85">
        <v>37.3127593464827</v>
      </c>
      <c r="H65" s="85">
        <v>39.351023029320203</v>
      </c>
      <c r="I65" s="85">
        <v>49.337858728403901</v>
      </c>
      <c r="J65" s="85">
        <v>39.494909164800603</v>
      </c>
      <c r="K65" s="85">
        <v>43.287887695078801</v>
      </c>
      <c r="L65" s="85">
        <v>82.918585805969997</v>
      </c>
      <c r="M65" s="85">
        <v>71.922352609467296</v>
      </c>
      <c r="N65" s="85">
        <v>76.8816561920369</v>
      </c>
      <c r="O65" s="85">
        <v>98.372557735823307</v>
      </c>
      <c r="P65" s="83">
        <v>192.18915521354299</v>
      </c>
      <c r="Q65" s="83">
        <v>104.445153930803</v>
      </c>
      <c r="R65" s="83">
        <v>145.768580585401</v>
      </c>
      <c r="S65" s="83">
        <v>182.63866910128499</v>
      </c>
      <c r="T65" s="83">
        <v>144.50004251568899</v>
      </c>
      <c r="U65" s="83">
        <v>126.651483704299</v>
      </c>
      <c r="V65" s="83">
        <v>110.148597006938</v>
      </c>
      <c r="W65" s="83">
        <v>89.045000824227401</v>
      </c>
      <c r="X65" s="83">
        <v>100</v>
      </c>
      <c r="Y65" s="83">
        <v>132.738944363245</v>
      </c>
      <c r="Z65" s="83">
        <v>156.79133453073999</v>
      </c>
      <c r="AA65" s="83">
        <v>113.95485232278</v>
      </c>
      <c r="AB65" s="83">
        <v>94.845975022747098</v>
      </c>
      <c r="AC65" s="83">
        <v>199.93913111942001</v>
      </c>
      <c r="AD65" s="83">
        <v>484.50447937794797</v>
      </c>
      <c r="AE65" s="84">
        <v>227.80832231288201</v>
      </c>
      <c r="AF65" s="83">
        <v>184.20102348434401</v>
      </c>
      <c r="AG65" s="83">
        <v>149.40252002322001</v>
      </c>
      <c r="AH65" s="83">
        <v>164.38372071961601</v>
      </c>
      <c r="AI65" s="83">
        <v>166.62285650304</v>
      </c>
      <c r="AJ65" s="83">
        <v>170.09996137742499</v>
      </c>
      <c r="AK65" s="83">
        <v>170.264935672402</v>
      </c>
      <c r="AL65" s="83">
        <v>170.40422545031899</v>
      </c>
      <c r="AM65" s="82"/>
      <c r="AN65" s="82"/>
    </row>
    <row r="66" spans="1:40" x14ac:dyDescent="0.65">
      <c r="A66" s="19" t="s">
        <v>179</v>
      </c>
      <c r="B66" s="11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17"/>
      <c r="AF66" s="5"/>
      <c r="AG66" s="5"/>
      <c r="AH66" s="5"/>
      <c r="AI66" s="5"/>
      <c r="AJ66" s="5"/>
      <c r="AK66" s="5"/>
      <c r="AL66" s="5"/>
    </row>
    <row r="67" spans="1:40" x14ac:dyDescent="0.65">
      <c r="A67" s="82" t="s">
        <v>139</v>
      </c>
      <c r="B67" s="112" t="str">
        <f t="shared" si="8"/>
        <v>IMF.RES.GAS:GAS_LIVE</v>
      </c>
      <c r="C67" s="81" t="s">
        <v>444</v>
      </c>
      <c r="D67" s="82"/>
      <c r="E67" s="85">
        <v>59.457185961022198</v>
      </c>
      <c r="F67" s="85">
        <v>75.6768499818821</v>
      </c>
      <c r="G67" s="85">
        <v>70.949348233217194</v>
      </c>
      <c r="H67" s="85">
        <v>69.051092007848396</v>
      </c>
      <c r="I67" s="85">
        <v>64.058421769314606</v>
      </c>
      <c r="J67" s="85">
        <v>82.580299301893604</v>
      </c>
      <c r="K67" s="85">
        <v>59.294886774262103</v>
      </c>
      <c r="L67" s="85">
        <v>70.168015406013495</v>
      </c>
      <c r="M67" s="85">
        <v>73.842936068219899</v>
      </c>
      <c r="N67" s="85">
        <v>90.949218553935395</v>
      </c>
      <c r="O67" s="85">
        <v>109.418868264113</v>
      </c>
      <c r="P67" s="83">
        <v>118.07508928832</v>
      </c>
      <c r="Q67" s="83">
        <v>96.684820824937901</v>
      </c>
      <c r="R67" s="83">
        <v>117.73971868327</v>
      </c>
      <c r="S67" s="83">
        <v>138.07304402747999</v>
      </c>
      <c r="T67" s="83">
        <v>130.07483832042999</v>
      </c>
      <c r="U67" s="83">
        <v>121.89528836762101</v>
      </c>
      <c r="V67" s="83">
        <v>118.08896103060999</v>
      </c>
      <c r="W67" s="83">
        <v>100.279841982618</v>
      </c>
      <c r="X67" s="83">
        <v>100</v>
      </c>
      <c r="Y67" s="83">
        <v>106.42955446085401</v>
      </c>
      <c r="Z67" s="83">
        <v>107.808347155275</v>
      </c>
      <c r="AA67" s="83">
        <v>108.544939335707</v>
      </c>
      <c r="AB67" s="83">
        <v>115.65306426095501</v>
      </c>
      <c r="AC67" s="83">
        <v>146.57936649915101</v>
      </c>
      <c r="AD67" s="83">
        <v>158.125493575203</v>
      </c>
      <c r="AE67" s="84">
        <v>149.15521141375899</v>
      </c>
      <c r="AF67" s="83">
        <v>154.66484610581199</v>
      </c>
      <c r="AG67" s="83">
        <v>169.551973189731</v>
      </c>
      <c r="AH67" s="83">
        <v>197.67497129566499</v>
      </c>
      <c r="AI67" s="83">
        <v>200.91818349468801</v>
      </c>
      <c r="AJ67" s="83">
        <v>201.716279390984</v>
      </c>
      <c r="AK67" s="83">
        <v>202.160119691066</v>
      </c>
      <c r="AL67" s="83">
        <v>200.49739439295601</v>
      </c>
      <c r="AM67" s="82"/>
      <c r="AN67" s="82"/>
    </row>
    <row r="68" spans="1:40" x14ac:dyDescent="0.65">
      <c r="A68" s="82" t="s">
        <v>140</v>
      </c>
      <c r="B68" s="112" t="str">
        <f t="shared" si="8"/>
        <v>IMF.RES.GAS:GAS_LIVE</v>
      </c>
      <c r="C68" s="81" t="s">
        <v>445</v>
      </c>
      <c r="D68" s="82"/>
      <c r="E68" s="83">
        <v>62.165952097489097</v>
      </c>
      <c r="F68" s="83">
        <v>75.6768499818821</v>
      </c>
      <c r="G68" s="83">
        <v>70.949348233217194</v>
      </c>
      <c r="H68" s="83">
        <v>69.051092007848396</v>
      </c>
      <c r="I68" s="83">
        <v>64.058421769314606</v>
      </c>
      <c r="J68" s="83">
        <v>82.580299301893604</v>
      </c>
      <c r="K68" s="83">
        <v>77.557048247453395</v>
      </c>
      <c r="L68" s="83">
        <v>84.095190064752899</v>
      </c>
      <c r="M68" s="83">
        <v>81.239570061548307</v>
      </c>
      <c r="N68" s="83">
        <v>85.335526930463999</v>
      </c>
      <c r="O68" s="83">
        <v>104.378305973352</v>
      </c>
      <c r="P68" s="83">
        <v>118.28187008181899</v>
      </c>
      <c r="Q68" s="83">
        <v>96.792416057457501</v>
      </c>
      <c r="R68" s="83">
        <v>109.15881813541</v>
      </c>
      <c r="S68" s="83">
        <v>122.46714183939901</v>
      </c>
      <c r="T68" s="83">
        <v>119.74851384468801</v>
      </c>
      <c r="U68" s="83">
        <v>120.46474455513599</v>
      </c>
      <c r="V68" s="83">
        <v>118.607957286849</v>
      </c>
      <c r="W68" s="83">
        <v>98.5504928899676</v>
      </c>
      <c r="X68" s="83">
        <v>100</v>
      </c>
      <c r="Y68" s="83">
        <v>103.76374761298401</v>
      </c>
      <c r="Z68" s="83">
        <v>102.498122724382</v>
      </c>
      <c r="AA68" s="83">
        <v>99.366643432680803</v>
      </c>
      <c r="AB68" s="83">
        <v>101.08528568616801</v>
      </c>
      <c r="AC68" s="83">
        <v>128.36467850508399</v>
      </c>
      <c r="AD68" s="83">
        <v>147.402537187696</v>
      </c>
      <c r="AE68" s="84">
        <v>137.427821131455</v>
      </c>
      <c r="AF68" s="83">
        <v>133.137157586771</v>
      </c>
      <c r="AG68" s="83">
        <v>127.064881227047</v>
      </c>
      <c r="AH68" s="83">
        <v>130.48940598744301</v>
      </c>
      <c r="AI68" s="83">
        <v>131.76046023105599</v>
      </c>
      <c r="AJ68" s="83">
        <v>131.99334750682499</v>
      </c>
      <c r="AK68" s="83">
        <v>131.271604035922</v>
      </c>
      <c r="AL68" s="83">
        <v>130.75439281259</v>
      </c>
      <c r="AM68" s="82"/>
      <c r="AN68" s="82"/>
    </row>
    <row r="69" spans="1:40" x14ac:dyDescent="0.65">
      <c r="A69" s="82" t="s">
        <v>141</v>
      </c>
      <c r="B69" s="112" t="str">
        <f t="shared" si="8"/>
        <v>IMF.RES.GAS:GAS_LIVE</v>
      </c>
      <c r="C69" s="81" t="s">
        <v>446</v>
      </c>
      <c r="D69" s="82"/>
      <c r="E69" s="83">
        <v>87.703079501683405</v>
      </c>
      <c r="F69" s="83">
        <v>79.379786978258807</v>
      </c>
      <c r="G69" s="83">
        <v>62.570408589012402</v>
      </c>
      <c r="H69" s="83">
        <v>48.3310123483799</v>
      </c>
      <c r="I69" s="83">
        <v>38.610448314749</v>
      </c>
      <c r="J69" s="83">
        <v>45.193398617970701</v>
      </c>
      <c r="K69" s="83">
        <v>46.469960610388704</v>
      </c>
      <c r="L69" s="83">
        <v>47.491992004899203</v>
      </c>
      <c r="M69" s="83">
        <v>60.466765151147598</v>
      </c>
      <c r="N69" s="83">
        <v>67.638014707445805</v>
      </c>
      <c r="O69" s="83">
        <v>80.906927998344699</v>
      </c>
      <c r="P69" s="83">
        <v>98.135428270435995</v>
      </c>
      <c r="Q69" s="83">
        <v>90.144888204561994</v>
      </c>
      <c r="R69" s="83">
        <v>105.458877866352</v>
      </c>
      <c r="S69" s="83">
        <v>131.97171935687101</v>
      </c>
      <c r="T69" s="83">
        <v>105.287163373167</v>
      </c>
      <c r="U69" s="83">
        <v>92.291639252634397</v>
      </c>
      <c r="V69" s="83">
        <v>111.30784076626701</v>
      </c>
      <c r="W69" s="83">
        <v>103.04078765173099</v>
      </c>
      <c r="X69" s="83">
        <v>100</v>
      </c>
      <c r="Y69" s="83">
        <v>96.206742512485405</v>
      </c>
      <c r="Z69" s="83">
        <v>87.325649308825902</v>
      </c>
      <c r="AA69" s="83">
        <v>82.362063336050596</v>
      </c>
      <c r="AB69" s="83">
        <v>84.376443932733594</v>
      </c>
      <c r="AC69" s="83">
        <v>103.312523657998</v>
      </c>
      <c r="AD69" s="83">
        <v>117.91599007833</v>
      </c>
      <c r="AE69" s="84">
        <v>122.629690931409</v>
      </c>
      <c r="AF69" s="83">
        <v>201.542833773257</v>
      </c>
      <c r="AG69" s="83">
        <v>236.62794238183201</v>
      </c>
      <c r="AH69" s="83">
        <v>172.10916276598201</v>
      </c>
      <c r="AI69" s="83">
        <v>162.20156156882501</v>
      </c>
      <c r="AJ69" s="83">
        <v>159.77635192441801</v>
      </c>
      <c r="AK69" s="83">
        <v>159.77635192441801</v>
      </c>
      <c r="AL69" s="83">
        <v>159.77635192441801</v>
      </c>
      <c r="AM69" s="82"/>
      <c r="AN69" s="82"/>
    </row>
    <row r="70" spans="1:40" x14ac:dyDescent="0.65">
      <c r="A70" s="82" t="s">
        <v>142</v>
      </c>
      <c r="B70" s="112" t="str">
        <f t="shared" si="8"/>
        <v>IMF.RES.GAS:GAS_LIVE</v>
      </c>
      <c r="C70" s="81" t="s">
        <v>447</v>
      </c>
      <c r="D70" s="82"/>
      <c r="E70" s="83">
        <v>86.862244412827806</v>
      </c>
      <c r="F70" s="83">
        <v>71.344441781553101</v>
      </c>
      <c r="G70" s="83">
        <v>70.376412307907799</v>
      </c>
      <c r="H70" s="83">
        <v>72.344672187535807</v>
      </c>
      <c r="I70" s="83">
        <v>65.034155149924999</v>
      </c>
      <c r="J70" s="83">
        <v>67.013161221229097</v>
      </c>
      <c r="K70" s="83">
        <v>76.839026185169203</v>
      </c>
      <c r="L70" s="83">
        <v>85.428394609494603</v>
      </c>
      <c r="M70" s="83">
        <v>88.029880396775596</v>
      </c>
      <c r="N70" s="83">
        <v>100.133259770547</v>
      </c>
      <c r="O70" s="83">
        <v>104.605587212101</v>
      </c>
      <c r="P70" s="83">
        <v>111.45537429693</v>
      </c>
      <c r="Q70" s="83">
        <v>96.583139539390103</v>
      </c>
      <c r="R70" s="83">
        <v>128.44464390437301</v>
      </c>
      <c r="S70" s="83">
        <v>162.748795696505</v>
      </c>
      <c r="T70" s="83">
        <v>128.29052632619801</v>
      </c>
      <c r="U70" s="83">
        <v>122.251483990899</v>
      </c>
      <c r="V70" s="83">
        <v>112.901492306674</v>
      </c>
      <c r="W70" s="83">
        <v>100.178534831972</v>
      </c>
      <c r="X70" s="83">
        <v>100</v>
      </c>
      <c r="Y70" s="83">
        <v>105.38353817705</v>
      </c>
      <c r="Z70" s="83">
        <v>107.49071089230701</v>
      </c>
      <c r="AA70" s="83">
        <v>101.661835096299</v>
      </c>
      <c r="AB70" s="83">
        <v>98.192672928470003</v>
      </c>
      <c r="AC70" s="83">
        <v>113.381317377817</v>
      </c>
      <c r="AD70" s="83">
        <v>119.892901300131</v>
      </c>
      <c r="AE70" s="84">
        <v>101.236416184041</v>
      </c>
      <c r="AF70" s="83">
        <v>105.608346993109</v>
      </c>
      <c r="AG70" s="83">
        <v>103.550463209358</v>
      </c>
      <c r="AH70" s="83">
        <v>99.072594677055804</v>
      </c>
      <c r="AI70" s="83">
        <v>101.376042660011</v>
      </c>
      <c r="AJ70" s="83">
        <v>101.574372595879</v>
      </c>
      <c r="AK70" s="83">
        <v>101.44816263618399</v>
      </c>
      <c r="AL70" s="83">
        <v>101.44816263618399</v>
      </c>
      <c r="AM70" s="82"/>
      <c r="AN70" s="82"/>
    </row>
    <row r="71" spans="1:40" x14ac:dyDescent="0.65">
      <c r="A71" s="82" t="s">
        <v>143</v>
      </c>
      <c r="B71" s="112" t="str">
        <f t="shared" si="8"/>
        <v>IMF.RES.GAS:GAS_LIVE</v>
      </c>
      <c r="C71" s="81" t="s">
        <v>448</v>
      </c>
      <c r="D71" s="82"/>
      <c r="E71" s="83">
        <v>50.906026788650898</v>
      </c>
      <c r="F71" s="83">
        <v>41.0349745228324</v>
      </c>
      <c r="G71" s="83">
        <v>41.389527389192402</v>
      </c>
      <c r="H71" s="83">
        <v>47.932397783575801</v>
      </c>
      <c r="I71" s="83">
        <v>41.794200751115099</v>
      </c>
      <c r="J71" s="83">
        <v>41.3298132613645</v>
      </c>
      <c r="K71" s="83">
        <v>59.889723598123602</v>
      </c>
      <c r="L71" s="83">
        <v>84.938246046198699</v>
      </c>
      <c r="M71" s="83">
        <v>97.481983306800004</v>
      </c>
      <c r="N71" s="83">
        <v>160.63418289644201</v>
      </c>
      <c r="O71" s="83">
        <v>194.449564154412</v>
      </c>
      <c r="P71" s="83">
        <v>157.14353172895301</v>
      </c>
      <c r="Q71" s="83">
        <v>111.86916424611501</v>
      </c>
      <c r="R71" s="83">
        <v>157.186180817679</v>
      </c>
      <c r="S71" s="83">
        <v>174.31299537684899</v>
      </c>
      <c r="T71" s="83">
        <v>150.05315940802299</v>
      </c>
      <c r="U71" s="83">
        <v>136.67488321486599</v>
      </c>
      <c r="V71" s="83">
        <v>136.699007608085</v>
      </c>
      <c r="W71" s="83">
        <v>105.60449728518</v>
      </c>
      <c r="X71" s="83">
        <v>100</v>
      </c>
      <c r="Y71" s="83">
        <v>122.188691334713</v>
      </c>
      <c r="Z71" s="83">
        <v>130.28732293519201</v>
      </c>
      <c r="AA71" s="83">
        <v>135.320330224771</v>
      </c>
      <c r="AB71" s="83">
        <v>140.01003333317101</v>
      </c>
      <c r="AC71" s="83">
        <v>205.41254005035</v>
      </c>
      <c r="AD71" s="83">
        <v>193.895128703437</v>
      </c>
      <c r="AE71" s="84">
        <v>188.54756853841201</v>
      </c>
      <c r="AF71" s="83">
        <v>184.94947993190399</v>
      </c>
      <c r="AG71" s="83">
        <v>188.82544460817499</v>
      </c>
      <c r="AH71" s="83">
        <v>217.49363854753699</v>
      </c>
      <c r="AI71" s="83">
        <v>216.616779715219</v>
      </c>
      <c r="AJ71" s="83">
        <v>215.679344895979</v>
      </c>
      <c r="AK71" s="83">
        <v>214.30038621879399</v>
      </c>
      <c r="AL71" s="83">
        <v>214.05084641839699</v>
      </c>
      <c r="AM71" s="82"/>
      <c r="AN71" s="82"/>
    </row>
    <row r="72" spans="1:40" x14ac:dyDescent="0.65">
      <c r="B72" s="11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17"/>
      <c r="AF72" s="5"/>
      <c r="AG72" s="5"/>
      <c r="AH72" s="5"/>
      <c r="AI72" s="5"/>
      <c r="AJ72" s="5"/>
      <c r="AK72" s="5"/>
      <c r="AL72" s="5"/>
    </row>
    <row r="73" spans="1:40" x14ac:dyDescent="0.65">
      <c r="A73" s="82" t="s">
        <v>180</v>
      </c>
      <c r="B73" s="112" t="str">
        <f t="shared" si="8"/>
        <v>IMF.RES.GAS:GAS_LIVE</v>
      </c>
      <c r="C73" s="81" t="s">
        <v>449</v>
      </c>
      <c r="D73" s="82"/>
      <c r="E73" s="83">
        <v>67.082094361342499</v>
      </c>
      <c r="F73" s="83">
        <v>75.6768499818821</v>
      </c>
      <c r="G73" s="83">
        <v>70.949348233217194</v>
      </c>
      <c r="H73" s="83">
        <v>69.051092007848396</v>
      </c>
      <c r="I73" s="83">
        <v>64.058421769314606</v>
      </c>
      <c r="J73" s="83">
        <v>82.580299301893604</v>
      </c>
      <c r="K73" s="83">
        <v>74.037984962589803</v>
      </c>
      <c r="L73" s="83">
        <v>80.933735537726093</v>
      </c>
      <c r="M73" s="83">
        <v>80.542191828415099</v>
      </c>
      <c r="N73" s="83">
        <v>86.361374092109301</v>
      </c>
      <c r="O73" s="83">
        <v>102.274541629631</v>
      </c>
      <c r="P73" s="83">
        <v>115.222152707022</v>
      </c>
      <c r="Q73" s="83">
        <v>96.147721081229804</v>
      </c>
      <c r="R73" s="83">
        <v>112.368745085228</v>
      </c>
      <c r="S73" s="83">
        <v>128.96765649624101</v>
      </c>
      <c r="T73" s="83">
        <v>119.94124131396801</v>
      </c>
      <c r="U73" s="83">
        <v>118.78013567989299</v>
      </c>
      <c r="V73" s="83">
        <v>117.376901236915</v>
      </c>
      <c r="W73" s="83">
        <v>99.065336470405597</v>
      </c>
      <c r="X73" s="83">
        <v>100</v>
      </c>
      <c r="Y73" s="83">
        <v>103.458762291185</v>
      </c>
      <c r="Z73" s="83">
        <v>102.10994402131401</v>
      </c>
      <c r="AA73" s="83">
        <v>98.506559196662494</v>
      </c>
      <c r="AB73" s="83">
        <v>99.577176657986399</v>
      </c>
      <c r="AC73" s="83">
        <v>124.73239965159399</v>
      </c>
      <c r="AD73" s="83">
        <v>141.855658743459</v>
      </c>
      <c r="AE73" s="84">
        <v>131.761103544825</v>
      </c>
      <c r="AF73" s="83">
        <v>134.24082300320299</v>
      </c>
      <c r="AG73" s="83">
        <v>131.48271418962099</v>
      </c>
      <c r="AH73" s="83">
        <v>129.27190418998001</v>
      </c>
      <c r="AI73" s="83">
        <v>129.88779634594701</v>
      </c>
      <c r="AJ73" s="83">
        <v>129.93064394228699</v>
      </c>
      <c r="AK73" s="83">
        <v>128.93020421864799</v>
      </c>
      <c r="AL73" s="83">
        <v>128.95252780564601</v>
      </c>
      <c r="AM73" s="82"/>
      <c r="AN73" s="82"/>
    </row>
    <row r="74" spans="1:40" x14ac:dyDescent="0.65">
      <c r="A74" s="82" t="s">
        <v>181</v>
      </c>
      <c r="B74" s="112" t="str">
        <f t="shared" si="8"/>
        <v>IMF.RES.GAS:GAS_LIVE</v>
      </c>
      <c r="C74" s="81" t="s">
        <v>450</v>
      </c>
      <c r="D74" s="82"/>
      <c r="E74" s="83">
        <v>88.621355534455006</v>
      </c>
      <c r="F74" s="83">
        <v>74.460010574763302</v>
      </c>
      <c r="G74" s="83">
        <v>64.201021417568896</v>
      </c>
      <c r="H74" s="83">
        <v>62.606683794062597</v>
      </c>
      <c r="I74" s="83">
        <v>64.664827191903598</v>
      </c>
      <c r="J74" s="83">
        <v>76.282558337913798</v>
      </c>
      <c r="K74" s="83">
        <v>80.732804813858095</v>
      </c>
      <c r="L74" s="83">
        <v>82.915215277580501</v>
      </c>
      <c r="M74" s="83">
        <v>77.501345133033894</v>
      </c>
      <c r="N74" s="83">
        <v>99.194306035321802</v>
      </c>
      <c r="O74" s="83">
        <v>134.667198744508</v>
      </c>
      <c r="P74" s="83">
        <v>174.96361278454501</v>
      </c>
      <c r="Q74" s="83">
        <v>119.971355887038</v>
      </c>
      <c r="R74" s="83">
        <v>127.334627241885</v>
      </c>
      <c r="S74" s="83">
        <v>180.64860773338799</v>
      </c>
      <c r="T74" s="83">
        <v>182.37294605766201</v>
      </c>
      <c r="U74" s="83">
        <v>170.48710459755301</v>
      </c>
      <c r="V74" s="83">
        <v>140.837569921366</v>
      </c>
      <c r="W74" s="83">
        <v>115.004075088319</v>
      </c>
      <c r="X74" s="83">
        <v>100</v>
      </c>
      <c r="Y74" s="83">
        <v>100.981609132339</v>
      </c>
      <c r="Z74" s="83">
        <v>114.880556001144</v>
      </c>
      <c r="AA74" s="83">
        <v>109.881456736326</v>
      </c>
      <c r="AB74" s="83">
        <v>119.121316701504</v>
      </c>
      <c r="AC74" s="83">
        <v>167.56642038039001</v>
      </c>
      <c r="AD74" s="83">
        <v>209.11417941163899</v>
      </c>
      <c r="AE74" s="84">
        <v>169.706124559655</v>
      </c>
      <c r="AF74" s="83">
        <v>135.64522651731801</v>
      </c>
      <c r="AG74" s="83">
        <v>119.976711091239</v>
      </c>
      <c r="AH74" s="83">
        <v>131.83692386257999</v>
      </c>
      <c r="AI74" s="83">
        <v>143.884639890399</v>
      </c>
      <c r="AJ74" s="83">
        <v>145.61690570078201</v>
      </c>
      <c r="AK74" s="83">
        <v>143.18896341610301</v>
      </c>
      <c r="AL74" s="83">
        <v>143.18896341610301</v>
      </c>
      <c r="AM74" s="82"/>
      <c r="AN74" s="82"/>
    </row>
    <row r="75" spans="1:40" x14ac:dyDescent="0.65">
      <c r="A75" s="82" t="s">
        <v>182</v>
      </c>
      <c r="B75" s="112" t="str">
        <f t="shared" si="8"/>
        <v>IMF.RES.GAS:GAS_LIVE</v>
      </c>
      <c r="C75" s="81" t="s">
        <v>451</v>
      </c>
      <c r="D75" s="82"/>
      <c r="E75" s="83">
        <v>102.04558015678801</v>
      </c>
      <c r="F75" s="83">
        <v>88.017492888108194</v>
      </c>
      <c r="G75" s="83">
        <v>69.870640660394102</v>
      </c>
      <c r="H75" s="83">
        <v>50.060811130636097</v>
      </c>
      <c r="I75" s="83">
        <v>34.5721512388698</v>
      </c>
      <c r="J75" s="83">
        <v>35.678698431885998</v>
      </c>
      <c r="K75" s="83">
        <v>40.413129531422001</v>
      </c>
      <c r="L75" s="83">
        <v>44.857292437854703</v>
      </c>
      <c r="M75" s="83">
        <v>63.578782182984597</v>
      </c>
      <c r="N75" s="83">
        <v>73.0448297324061</v>
      </c>
      <c r="O75" s="83">
        <v>86.606785448602906</v>
      </c>
      <c r="P75" s="83">
        <v>101.99154961471601</v>
      </c>
      <c r="Q75" s="83">
        <v>85.930212255249899</v>
      </c>
      <c r="R75" s="83">
        <v>104.251590905737</v>
      </c>
      <c r="S75" s="83">
        <v>144.370825796464</v>
      </c>
      <c r="T75" s="83">
        <v>114.92451654684901</v>
      </c>
      <c r="U75" s="83">
        <v>95.671001964972703</v>
      </c>
      <c r="V75" s="83">
        <v>117.80307864695899</v>
      </c>
      <c r="W75" s="83">
        <v>98.471297442681404</v>
      </c>
      <c r="X75" s="83">
        <v>100</v>
      </c>
      <c r="Y75" s="83">
        <v>102.971203255549</v>
      </c>
      <c r="Z75" s="83">
        <v>88.333501112480903</v>
      </c>
      <c r="AA75" s="83">
        <v>81.350010776531093</v>
      </c>
      <c r="AB75" s="83">
        <v>84.824064939201193</v>
      </c>
      <c r="AC75" s="83">
        <v>113.148948544612</v>
      </c>
      <c r="AD75" s="83">
        <v>136.43271640894</v>
      </c>
      <c r="AE75" s="84">
        <v>130.068603715688</v>
      </c>
      <c r="AF75" s="83">
        <v>191.22393580229999</v>
      </c>
      <c r="AG75" s="83">
        <v>241.17042164878001</v>
      </c>
      <c r="AH75" s="83">
        <v>191.19902607064901</v>
      </c>
      <c r="AI75" s="83">
        <v>174.445349964065</v>
      </c>
      <c r="AJ75" s="83">
        <v>170.560479358203</v>
      </c>
      <c r="AK75" s="83">
        <v>170.560479358203</v>
      </c>
      <c r="AL75" s="83">
        <v>170.560479358203</v>
      </c>
      <c r="AM75" s="82"/>
      <c r="AN75" s="82"/>
    </row>
    <row r="76" spans="1:40" x14ac:dyDescent="0.65">
      <c r="A76" s="82" t="s">
        <v>183</v>
      </c>
      <c r="B76" s="112" t="str">
        <f t="shared" si="8"/>
        <v>IMF.RES.GAS:GAS_LIVE</v>
      </c>
      <c r="C76" s="81" t="s">
        <v>452</v>
      </c>
      <c r="D76" s="82"/>
      <c r="E76" s="83">
        <v>64.158084112147904</v>
      </c>
      <c r="F76" s="83">
        <v>75.6768499818821</v>
      </c>
      <c r="G76" s="83">
        <v>70.949348233217194</v>
      </c>
      <c r="H76" s="83">
        <v>69.051092007848396</v>
      </c>
      <c r="I76" s="83">
        <v>64.058421769314606</v>
      </c>
      <c r="J76" s="83">
        <v>82.580299301893604</v>
      </c>
      <c r="K76" s="83">
        <v>73.721144856496394</v>
      </c>
      <c r="L76" s="83">
        <v>79.935196846097099</v>
      </c>
      <c r="M76" s="83">
        <v>78.878718219629405</v>
      </c>
      <c r="N76" s="83">
        <v>83.367146104140303</v>
      </c>
      <c r="O76" s="83">
        <v>101.767735075522</v>
      </c>
      <c r="P76" s="83">
        <v>116.04111051739901</v>
      </c>
      <c r="Q76" s="83">
        <v>96.053054151490201</v>
      </c>
      <c r="R76" s="83">
        <v>108.747297499493</v>
      </c>
      <c r="S76" s="83">
        <v>123.26001734190901</v>
      </c>
      <c r="T76" s="83">
        <v>118.610579157042</v>
      </c>
      <c r="U76" s="83">
        <v>118.266981939133</v>
      </c>
      <c r="V76" s="83">
        <v>118.038480723682</v>
      </c>
      <c r="W76" s="83">
        <v>98.900777384924098</v>
      </c>
      <c r="X76" s="83">
        <v>100</v>
      </c>
      <c r="Y76" s="83">
        <v>103.174231366177</v>
      </c>
      <c r="Z76" s="83">
        <v>101.31452955966</v>
      </c>
      <c r="AA76" s="83">
        <v>98.040129012777797</v>
      </c>
      <c r="AB76" s="83">
        <v>99.781841590527407</v>
      </c>
      <c r="AC76" s="83">
        <v>126.41037887137</v>
      </c>
      <c r="AD76" s="83">
        <v>145.10231397068901</v>
      </c>
      <c r="AE76" s="84">
        <v>136.273430197576</v>
      </c>
      <c r="AF76" s="83">
        <v>138.473432599087</v>
      </c>
      <c r="AG76" s="83">
        <v>135.61181268225701</v>
      </c>
      <c r="AH76" s="83">
        <v>133.73613170521199</v>
      </c>
      <c r="AI76" s="83">
        <v>134.10256010595299</v>
      </c>
      <c r="AJ76" s="83">
        <v>134.19175316014599</v>
      </c>
      <c r="AK76" s="83">
        <v>132.9927502896</v>
      </c>
      <c r="AL76" s="83">
        <v>133.018373871628</v>
      </c>
      <c r="AM76" s="82"/>
      <c r="AN76" s="82"/>
    </row>
    <row r="77" spans="1:40" x14ac:dyDescent="0.65">
      <c r="A77" s="82" t="s">
        <v>184</v>
      </c>
      <c r="B77" s="112" t="str">
        <f t="shared" si="8"/>
        <v>IMF.RES.GAS:GAS_LIVE</v>
      </c>
      <c r="C77" s="81" t="s">
        <v>453</v>
      </c>
      <c r="D77" s="82"/>
      <c r="E77" s="83">
        <v>88.797015131857705</v>
      </c>
      <c r="F77" s="83">
        <v>63.787820098202999</v>
      </c>
      <c r="G77" s="83">
        <v>77.638553793029601</v>
      </c>
      <c r="H77" s="83">
        <v>77.762671499308397</v>
      </c>
      <c r="I77" s="83">
        <v>63.900216411181702</v>
      </c>
      <c r="J77" s="83">
        <v>66.943393239075107</v>
      </c>
      <c r="K77" s="83">
        <v>72.646093519450602</v>
      </c>
      <c r="L77" s="83">
        <v>76.762553706557995</v>
      </c>
      <c r="M77" s="83">
        <v>84.956250068774096</v>
      </c>
      <c r="N77" s="83">
        <v>97.429575972590598</v>
      </c>
      <c r="O77" s="83">
        <v>105.897571321629</v>
      </c>
      <c r="P77" s="83">
        <v>116.443048638652</v>
      </c>
      <c r="Q77" s="83">
        <v>107.79583297418201</v>
      </c>
      <c r="R77" s="83">
        <v>111.02456345974799</v>
      </c>
      <c r="S77" s="83">
        <v>131.42128164963299</v>
      </c>
      <c r="T77" s="83">
        <v>122.206339179742</v>
      </c>
      <c r="U77" s="83">
        <v>114.26328946938099</v>
      </c>
      <c r="V77" s="83">
        <v>116.250603139704</v>
      </c>
      <c r="W77" s="83">
        <v>106.263052780001</v>
      </c>
      <c r="X77" s="83">
        <v>100</v>
      </c>
      <c r="Y77" s="83">
        <v>95.506776122105805</v>
      </c>
      <c r="Z77" s="83">
        <v>98.457065325720393</v>
      </c>
      <c r="AA77" s="83">
        <v>95.689689864545301</v>
      </c>
      <c r="AB77" s="83">
        <v>96.952154839105006</v>
      </c>
      <c r="AC77" s="83">
        <v>100.765874740613</v>
      </c>
      <c r="AD77" s="83">
        <v>88.980104218300795</v>
      </c>
      <c r="AE77" s="84">
        <v>87.690655562038899</v>
      </c>
      <c r="AF77" s="83">
        <v>87.914809262064793</v>
      </c>
      <c r="AG77" s="83">
        <v>90.285183481863996</v>
      </c>
      <c r="AH77" s="83">
        <v>91.144311195697696</v>
      </c>
      <c r="AI77" s="83">
        <v>91.144311195697696</v>
      </c>
      <c r="AJ77" s="83">
        <v>91.144311195697696</v>
      </c>
      <c r="AK77" s="83">
        <v>91.144311195697696</v>
      </c>
      <c r="AL77" s="83">
        <v>91.144311195697696</v>
      </c>
      <c r="AM77" s="82"/>
      <c r="AN77" s="82"/>
    </row>
    <row r="78" spans="1:40" x14ac:dyDescent="0.65">
      <c r="A78" s="82" t="s">
        <v>185</v>
      </c>
      <c r="B78" s="112" t="str">
        <f t="shared" si="8"/>
        <v>IMF.RES.GAS:GAS_LIVE</v>
      </c>
      <c r="C78" s="81" t="s">
        <v>454</v>
      </c>
      <c r="D78" s="82"/>
      <c r="E78" s="83">
        <v>61.132865134531698</v>
      </c>
      <c r="F78" s="83">
        <v>49.655737286162598</v>
      </c>
      <c r="G78" s="83">
        <v>49.634114996066302</v>
      </c>
      <c r="H78" s="83">
        <v>54.875852920990198</v>
      </c>
      <c r="I78" s="83">
        <v>48.404219059672201</v>
      </c>
      <c r="J78" s="83">
        <v>48.634793181997999</v>
      </c>
      <c r="K78" s="83">
        <v>63.407044951266698</v>
      </c>
      <c r="L78" s="83">
        <v>85.1138711363119</v>
      </c>
      <c r="M78" s="83">
        <v>94.095201115355806</v>
      </c>
      <c r="N78" s="83">
        <v>138.956102266215</v>
      </c>
      <c r="O78" s="83">
        <v>162.257576401715</v>
      </c>
      <c r="P78" s="83">
        <v>140.77301191726499</v>
      </c>
      <c r="Q78" s="83">
        <v>106.392030030849</v>
      </c>
      <c r="R78" s="83">
        <v>146.652075323498</v>
      </c>
      <c r="S78" s="83">
        <v>170.07458252662599</v>
      </c>
      <c r="T78" s="83">
        <v>142.07690283529399</v>
      </c>
      <c r="U78" s="83">
        <v>131.283260494915</v>
      </c>
      <c r="V78" s="83">
        <v>127.803238851698</v>
      </c>
      <c r="W78" s="83">
        <v>104.06121924228501</v>
      </c>
      <c r="X78" s="83">
        <v>100</v>
      </c>
      <c r="Y78" s="83">
        <v>117.40888976045601</v>
      </c>
      <c r="Z78" s="83">
        <v>123.80340213375401</v>
      </c>
      <c r="AA78" s="83">
        <v>125.74702098487001</v>
      </c>
      <c r="AB78" s="83">
        <v>128.11614083374201</v>
      </c>
      <c r="AC78" s="83">
        <v>179.23658206389001</v>
      </c>
      <c r="AD78" s="83">
        <v>172.847063284314</v>
      </c>
      <c r="AE78" s="84">
        <v>163.71411539708501</v>
      </c>
      <c r="AF78" s="83">
        <v>162.38289761240301</v>
      </c>
      <c r="AG78" s="83">
        <v>164.571128892583</v>
      </c>
      <c r="AH78" s="83">
        <v>183.81176212505201</v>
      </c>
      <c r="AI78" s="83">
        <v>183.839461280373</v>
      </c>
      <c r="AJ78" s="83">
        <v>183.22506607365699</v>
      </c>
      <c r="AK78" s="83">
        <v>182.20242014386699</v>
      </c>
      <c r="AL78" s="83">
        <v>182.02385564012999</v>
      </c>
      <c r="AM78" s="82"/>
      <c r="AN78" s="82"/>
    </row>
    <row r="79" spans="1:40" x14ac:dyDescent="0.65">
      <c r="A79" s="82" t="s">
        <v>186</v>
      </c>
      <c r="B79" s="112" t="str">
        <f t="shared" si="8"/>
        <v>IMF.RES.GAS:GAS_LIVE</v>
      </c>
      <c r="C79" s="81" t="s">
        <v>455</v>
      </c>
      <c r="D79" s="82"/>
      <c r="E79" s="83">
        <v>78.171316363146602</v>
      </c>
      <c r="F79" s="83">
        <v>61.105869130942303</v>
      </c>
      <c r="G79" s="83">
        <v>61.058963808951397</v>
      </c>
      <c r="H79" s="83">
        <v>69.256173830217193</v>
      </c>
      <c r="I79" s="83">
        <v>74.420935008650602</v>
      </c>
      <c r="J79" s="83">
        <v>68.154286194939104</v>
      </c>
      <c r="K79" s="83">
        <v>75.275055611573094</v>
      </c>
      <c r="L79" s="83">
        <v>95.772521306521</v>
      </c>
      <c r="M79" s="83">
        <v>91.890201848924704</v>
      </c>
      <c r="N79" s="83">
        <v>86.5330012170039</v>
      </c>
      <c r="O79" s="83">
        <v>89.50393077791</v>
      </c>
      <c r="P79" s="83">
        <v>92.728240608639894</v>
      </c>
      <c r="Q79" s="83">
        <v>84.438236763929496</v>
      </c>
      <c r="R79" s="83">
        <v>102.69086725543301</v>
      </c>
      <c r="S79" s="83">
        <v>114.48616163322301</v>
      </c>
      <c r="T79" s="83">
        <v>110.081813703587</v>
      </c>
      <c r="U79" s="83">
        <v>112.97668564657501</v>
      </c>
      <c r="V79" s="83">
        <v>134.01285816435501</v>
      </c>
      <c r="W79" s="83">
        <v>109.556266083398</v>
      </c>
      <c r="X79" s="83">
        <v>100</v>
      </c>
      <c r="Y79" s="83">
        <v>109.891331676991</v>
      </c>
      <c r="Z79" s="83">
        <v>106.51294998147399</v>
      </c>
      <c r="AA79" s="83">
        <v>111.868709149382</v>
      </c>
      <c r="AB79" s="83">
        <v>102.759871969412</v>
      </c>
      <c r="AC79" s="83">
        <v>136.328388900303</v>
      </c>
      <c r="AD79" s="83">
        <v>152.16311993199301</v>
      </c>
      <c r="AE79" s="84">
        <v>129.37829475570101</v>
      </c>
      <c r="AF79" s="83">
        <v>142.439737546456</v>
      </c>
      <c r="AG79" s="83">
        <v>159.679185876861</v>
      </c>
      <c r="AH79" s="83">
        <v>164.423448681304</v>
      </c>
      <c r="AI79" s="83">
        <v>161.579344726752</v>
      </c>
      <c r="AJ79" s="83">
        <v>161.04349467914199</v>
      </c>
      <c r="AK79" s="83">
        <v>161.04349467914199</v>
      </c>
      <c r="AL79" s="83">
        <v>161.04349467914199</v>
      </c>
      <c r="AM79" s="82"/>
      <c r="AN79" s="82"/>
    </row>
    <row r="80" spans="1:40" x14ac:dyDescent="0.65">
      <c r="A80" s="82" t="s">
        <v>187</v>
      </c>
      <c r="B80" s="112" t="str">
        <f t="shared" si="8"/>
        <v>IMF.RES.GAS:GAS_LIVE</v>
      </c>
      <c r="C80" s="81" t="s">
        <v>456</v>
      </c>
      <c r="D80" s="82"/>
      <c r="E80" s="83">
        <v>27.212384939088299</v>
      </c>
      <c r="F80" s="83">
        <v>25.1918862985112</v>
      </c>
      <c r="G80" s="83">
        <v>24.332236340990899</v>
      </c>
      <c r="H80" s="83">
        <v>26.2545428493037</v>
      </c>
      <c r="I80" s="83">
        <v>25.103017630733898</v>
      </c>
      <c r="J80" s="83">
        <v>26.8515646046223</v>
      </c>
      <c r="K80" s="83">
        <v>29.082241165980999</v>
      </c>
      <c r="L80" s="83">
        <v>33.1537970967576</v>
      </c>
      <c r="M80" s="83">
        <v>36.072957842196203</v>
      </c>
      <c r="N80" s="83">
        <v>49.588997769111103</v>
      </c>
      <c r="O80" s="83">
        <v>57.184304366331403</v>
      </c>
      <c r="P80" s="83">
        <v>70.930160483371495</v>
      </c>
      <c r="Q80" s="83">
        <v>78.415629570678306</v>
      </c>
      <c r="R80" s="83">
        <v>99.312308001095104</v>
      </c>
      <c r="S80" s="83">
        <v>130.52570310426799</v>
      </c>
      <c r="T80" s="83">
        <v>136.64696243484099</v>
      </c>
      <c r="U80" s="83">
        <v>116.098044640647</v>
      </c>
      <c r="V80" s="83">
        <v>104.234871190454</v>
      </c>
      <c r="W80" s="83">
        <v>93.898107313473702</v>
      </c>
      <c r="X80" s="83">
        <v>100</v>
      </c>
      <c r="Y80" s="83">
        <v>101.528164765714</v>
      </c>
      <c r="Z80" s="83">
        <v>102.330302161858</v>
      </c>
      <c r="AA80" s="83">
        <v>113.21863212858899</v>
      </c>
      <c r="AB80" s="83">
        <v>144.04843494244901</v>
      </c>
      <c r="AC80" s="83">
        <v>149.38835312177099</v>
      </c>
      <c r="AD80" s="83">
        <v>146.66429760999301</v>
      </c>
      <c r="AE80" s="84">
        <v>153.99905863165</v>
      </c>
      <c r="AF80" s="83">
        <v>185.36944214573799</v>
      </c>
      <c r="AG80" s="83">
        <v>265.40481838528001</v>
      </c>
      <c r="AH80" s="83">
        <v>388.38998797031098</v>
      </c>
      <c r="AI80" s="83">
        <v>402.42184653843202</v>
      </c>
      <c r="AJ80" s="83">
        <v>406.92701605964999</v>
      </c>
      <c r="AK80" s="83">
        <v>407.10958594764799</v>
      </c>
      <c r="AL80" s="83">
        <v>407.10958594764799</v>
      </c>
      <c r="AM80" s="82"/>
      <c r="AN80" s="82"/>
    </row>
    <row r="81" spans="1:40" x14ac:dyDescent="0.65">
      <c r="A81" s="82" t="s">
        <v>188</v>
      </c>
      <c r="B81" s="112" t="str">
        <f t="shared" si="8"/>
        <v>IMF.RES.GAS:GAS_LIVE</v>
      </c>
      <c r="C81" s="81" t="s">
        <v>457</v>
      </c>
      <c r="D81" s="82"/>
      <c r="E81" s="83">
        <v>38.859251269008503</v>
      </c>
      <c r="F81" s="83">
        <v>32.979727947059096</v>
      </c>
      <c r="G81" s="83">
        <v>32.716932541360599</v>
      </c>
      <c r="H81" s="83">
        <v>36.910527283521397</v>
      </c>
      <c r="I81" s="83">
        <v>33.307749513050602</v>
      </c>
      <c r="J81" s="83">
        <v>33.968504578100301</v>
      </c>
      <c r="K81" s="83">
        <v>41.631218085677702</v>
      </c>
      <c r="L81" s="83">
        <v>54.247434205765401</v>
      </c>
      <c r="M81" s="83">
        <v>61.087025282265998</v>
      </c>
      <c r="N81" s="83">
        <v>94.821628130118299</v>
      </c>
      <c r="O81" s="83">
        <v>113.097298255102</v>
      </c>
      <c r="P81" s="83">
        <v>106.047915019564</v>
      </c>
      <c r="Q81" s="83">
        <v>92.042437131114895</v>
      </c>
      <c r="R81" s="83">
        <v>122.886382767783</v>
      </c>
      <c r="S81" s="83">
        <v>148.36181552646801</v>
      </c>
      <c r="T81" s="83">
        <v>142.10778049317901</v>
      </c>
      <c r="U81" s="83">
        <v>124.156505467584</v>
      </c>
      <c r="V81" s="83">
        <v>116.948727629489</v>
      </c>
      <c r="W81" s="83">
        <v>99.652510125378299</v>
      </c>
      <c r="X81" s="83">
        <v>100</v>
      </c>
      <c r="Y81" s="83">
        <v>111.684070426761</v>
      </c>
      <c r="Z81" s="83">
        <v>116.072878595701</v>
      </c>
      <c r="AA81" s="83">
        <v>124.08296126677099</v>
      </c>
      <c r="AB81" s="83">
        <v>142.06331488133699</v>
      </c>
      <c r="AC81" s="83">
        <v>176.927649145196</v>
      </c>
      <c r="AD81" s="83">
        <v>169.88112430973499</v>
      </c>
      <c r="AE81" s="84">
        <v>170.98175295800399</v>
      </c>
      <c r="AF81" s="83">
        <v>185.163005169863</v>
      </c>
      <c r="AG81" s="83">
        <v>227.76139758160599</v>
      </c>
      <c r="AH81" s="83">
        <v>304.38403600395401</v>
      </c>
      <c r="AI81" s="83">
        <v>311.08735302012502</v>
      </c>
      <c r="AJ81" s="83">
        <v>312.91715141527402</v>
      </c>
      <c r="AK81" s="83">
        <v>312.332135020218</v>
      </c>
      <c r="AL81" s="83">
        <v>312.20947102794003</v>
      </c>
      <c r="AM81" s="82"/>
      <c r="AN81" s="82"/>
    </row>
    <row r="82" spans="1:40" x14ac:dyDescent="0.65">
      <c r="A82" s="82" t="s">
        <v>189</v>
      </c>
      <c r="B82" s="112" t="str">
        <f t="shared" si="8"/>
        <v>IMF.RES.GAS:GAS_LIVE</v>
      </c>
      <c r="C82" s="81" t="s">
        <v>458</v>
      </c>
      <c r="D82" s="82"/>
      <c r="E82" s="83">
        <v>48.840938317323001</v>
      </c>
      <c r="F82" s="83">
        <v>40.594577362147099</v>
      </c>
      <c r="G82" s="83">
        <v>41.108129729846503</v>
      </c>
      <c r="H82" s="83">
        <v>48.673380043515202</v>
      </c>
      <c r="I82" s="83">
        <v>42.683359779425999</v>
      </c>
      <c r="J82" s="83">
        <v>41.353196169569102</v>
      </c>
      <c r="K82" s="83">
        <v>57.325659318555203</v>
      </c>
      <c r="L82" s="83">
        <v>81.174938425559702</v>
      </c>
      <c r="M82" s="83">
        <v>93.009650605220898</v>
      </c>
      <c r="N82" s="83">
        <v>153.03745320153399</v>
      </c>
      <c r="O82" s="83">
        <v>184.96038542872901</v>
      </c>
      <c r="P82" s="83">
        <v>151.47941136995601</v>
      </c>
      <c r="Q82" s="83">
        <v>109.72977510637401</v>
      </c>
      <c r="R82" s="83">
        <v>153.973385487922</v>
      </c>
      <c r="S82" s="83">
        <v>176.84637357198201</v>
      </c>
      <c r="T82" s="83">
        <v>152.67537322072999</v>
      </c>
      <c r="U82" s="83">
        <v>136.952954436103</v>
      </c>
      <c r="V82" s="83">
        <v>134.80055464352299</v>
      </c>
      <c r="W82" s="83">
        <v>105.08627235566</v>
      </c>
      <c r="X82" s="83">
        <v>100</v>
      </c>
      <c r="Y82" s="83">
        <v>120.562647624508</v>
      </c>
      <c r="Z82" s="83">
        <v>127.72209400781</v>
      </c>
      <c r="AA82" s="83">
        <v>134.23972528110701</v>
      </c>
      <c r="AB82" s="83">
        <v>142.315349699889</v>
      </c>
      <c r="AC82" s="83">
        <v>203.41298951350601</v>
      </c>
      <c r="AD82" s="83">
        <v>190.55479330430799</v>
      </c>
      <c r="AE82" s="84">
        <v>183.377314593557</v>
      </c>
      <c r="AF82" s="83">
        <v>180.256882118665</v>
      </c>
      <c r="AG82" s="83">
        <v>189.108073215464</v>
      </c>
      <c r="AH82" s="83">
        <v>231.16398007034201</v>
      </c>
      <c r="AI82" s="83">
        <v>231.22455706615699</v>
      </c>
      <c r="AJ82" s="83">
        <v>230.736555953731</v>
      </c>
      <c r="AK82" s="83">
        <v>229.67849555407599</v>
      </c>
      <c r="AL82" s="83">
        <v>229.45664551057499</v>
      </c>
      <c r="AM82" s="82"/>
      <c r="AN82" s="82"/>
    </row>
    <row r="83" spans="1:40" x14ac:dyDescent="0.65">
      <c r="A83" s="82" t="s">
        <v>190</v>
      </c>
      <c r="B83" s="112" t="str">
        <f t="shared" si="8"/>
        <v>IMF.RES.GAS:GAS_LIVE</v>
      </c>
      <c r="C83" s="81" t="s">
        <v>459</v>
      </c>
      <c r="D83" s="82"/>
      <c r="E83" s="83">
        <v>66.648532537395894</v>
      </c>
      <c r="F83" s="83">
        <v>65.907977730595206</v>
      </c>
      <c r="G83" s="83">
        <v>62.129923836896701</v>
      </c>
      <c r="H83" s="83">
        <v>63.888983197287999</v>
      </c>
      <c r="I83" s="83">
        <v>57.042104828931997</v>
      </c>
      <c r="J83" s="83">
        <v>53.072208970921999</v>
      </c>
      <c r="K83" s="83">
        <v>56.490750568710801</v>
      </c>
      <c r="L83" s="83">
        <v>78.112137330496495</v>
      </c>
      <c r="M83" s="83">
        <v>76.575137913522596</v>
      </c>
      <c r="N83" s="83">
        <v>79.839290510275006</v>
      </c>
      <c r="O83" s="83">
        <v>77.531823631658895</v>
      </c>
      <c r="P83" s="83">
        <v>82.487425263024704</v>
      </c>
      <c r="Q83" s="83">
        <v>74.530228172722502</v>
      </c>
      <c r="R83" s="83">
        <v>81.191462937534894</v>
      </c>
      <c r="S83" s="83">
        <v>86.489797011316597</v>
      </c>
      <c r="T83" s="83">
        <v>74.102584917383794</v>
      </c>
      <c r="U83" s="83">
        <v>96.0136939042048</v>
      </c>
      <c r="V83" s="83">
        <v>101.894217366554</v>
      </c>
      <c r="W83" s="83">
        <v>83.120801303322196</v>
      </c>
      <c r="X83" s="83">
        <v>100</v>
      </c>
      <c r="Y83" s="83">
        <v>104.663865184557</v>
      </c>
      <c r="Z83" s="83">
        <v>103.119860374418</v>
      </c>
      <c r="AA83" s="83">
        <v>95.007285975168102</v>
      </c>
      <c r="AB83" s="83">
        <v>85.547733770045198</v>
      </c>
      <c r="AC83" s="83">
        <v>94.106289456541404</v>
      </c>
      <c r="AD83" s="83">
        <v>109.401807045765</v>
      </c>
      <c r="AE83" s="84">
        <v>109.55679456657199</v>
      </c>
      <c r="AF83" s="83">
        <v>109.89513471961401</v>
      </c>
      <c r="AG83" s="83">
        <v>99.529076178148799</v>
      </c>
      <c r="AH83" s="83">
        <v>109.99033930835699</v>
      </c>
      <c r="AI83" s="83">
        <v>111.648850099865</v>
      </c>
      <c r="AJ83" s="83">
        <v>114.149096697913</v>
      </c>
      <c r="AK83" s="83">
        <v>106.086707316557</v>
      </c>
      <c r="AL83" s="83">
        <v>106.086707316557</v>
      </c>
      <c r="AM83" s="82"/>
      <c r="AN83" s="82"/>
    </row>
    <row r="84" spans="1:40" x14ac:dyDescent="0.65">
      <c r="A84" s="82" t="s">
        <v>191</v>
      </c>
      <c r="B84" s="112" t="str">
        <f t="shared" si="8"/>
        <v>IMF.RES.GAS:GAS_LIVE</v>
      </c>
      <c r="C84" s="81" t="s">
        <v>460</v>
      </c>
      <c r="D84" s="82"/>
      <c r="E84" s="83">
        <v>94.259104205441602</v>
      </c>
      <c r="F84" s="83">
        <v>87.171385973108102</v>
      </c>
      <c r="G84" s="83">
        <v>92.602888288665696</v>
      </c>
      <c r="H84" s="83">
        <v>90.672528428701696</v>
      </c>
      <c r="I84" s="83">
        <v>87.468087115139198</v>
      </c>
      <c r="J84" s="83">
        <v>83.529466443113904</v>
      </c>
      <c r="K84" s="83">
        <v>86.402256601424796</v>
      </c>
      <c r="L84" s="83">
        <v>99.577765488194402</v>
      </c>
      <c r="M84" s="83">
        <v>101.28826416670699</v>
      </c>
      <c r="N84" s="83">
        <v>105.984991422033</v>
      </c>
      <c r="O84" s="83">
        <v>98.842628569633206</v>
      </c>
      <c r="P84" s="83">
        <v>95.855347526946304</v>
      </c>
      <c r="Q84" s="83">
        <v>93.4578352584047</v>
      </c>
      <c r="R84" s="83">
        <v>92.9069195997522</v>
      </c>
      <c r="S84" s="83">
        <v>92.372961411425095</v>
      </c>
      <c r="T84" s="83">
        <v>95.370737743975596</v>
      </c>
      <c r="U84" s="83">
        <v>100.866813496444</v>
      </c>
      <c r="V84" s="83">
        <v>102.012398583167</v>
      </c>
      <c r="W84" s="83">
        <v>98.076662182175596</v>
      </c>
      <c r="X84" s="83">
        <v>100</v>
      </c>
      <c r="Y84" s="83">
        <v>99.710272815220193</v>
      </c>
      <c r="Z84" s="83">
        <v>108.13448770798099</v>
      </c>
      <c r="AA84" s="83">
        <v>107.234086393929</v>
      </c>
      <c r="AB84" s="83">
        <v>107.487724917101</v>
      </c>
      <c r="AC84" s="83">
        <v>113.220720353283</v>
      </c>
      <c r="AD84" s="83">
        <v>128.662662659841</v>
      </c>
      <c r="AE84" s="84">
        <v>102.39216018420299</v>
      </c>
      <c r="AF84" s="83">
        <v>100.505373224523</v>
      </c>
      <c r="AG84" s="83">
        <v>100.284372115746</v>
      </c>
      <c r="AH84" s="83">
        <v>96.036822395017595</v>
      </c>
      <c r="AI84" s="83">
        <v>98.7962415825194</v>
      </c>
      <c r="AJ84" s="83">
        <v>98.7962415825194</v>
      </c>
      <c r="AK84" s="83">
        <v>98.7962415825194</v>
      </c>
      <c r="AL84" s="83">
        <v>98.7962415825194</v>
      </c>
      <c r="AM84" s="82"/>
      <c r="AN84" s="82"/>
    </row>
    <row r="85" spans="1:40" x14ac:dyDescent="0.65">
      <c r="A85" s="82" t="s">
        <v>192</v>
      </c>
      <c r="B85" s="112" t="str">
        <f t="shared" si="8"/>
        <v>IMF.RES.GAS:GAS_LIVE</v>
      </c>
      <c r="C85" s="81" t="s">
        <v>461</v>
      </c>
      <c r="D85" s="82"/>
      <c r="E85" s="83">
        <v>64.4982697626196</v>
      </c>
      <c r="F85" s="83">
        <v>52.222470633114902</v>
      </c>
      <c r="G85" s="83">
        <v>38.725904178886502</v>
      </c>
      <c r="H85" s="83">
        <v>47.0989435971928</v>
      </c>
      <c r="I85" s="83">
        <v>48.554010401595498</v>
      </c>
      <c r="J85" s="83">
        <v>38.516296749818501</v>
      </c>
      <c r="K85" s="83">
        <v>42.135229684943702</v>
      </c>
      <c r="L85" s="83">
        <v>44.8715192480038</v>
      </c>
      <c r="M85" s="83">
        <v>57.576932989859301</v>
      </c>
      <c r="N85" s="83">
        <v>81.3619420354472</v>
      </c>
      <c r="O85" s="83">
        <v>56.903242213873902</v>
      </c>
      <c r="P85" s="83">
        <v>69.485031507876201</v>
      </c>
      <c r="Q85" s="83">
        <v>98.840366640871096</v>
      </c>
      <c r="R85" s="83">
        <v>114.86504222988199</v>
      </c>
      <c r="S85" s="83">
        <v>143.73678996355</v>
      </c>
      <c r="T85" s="83">
        <v>116.48359038978199</v>
      </c>
      <c r="U85" s="83">
        <v>95.519219080644604</v>
      </c>
      <c r="V85" s="83">
        <v>93.954842954136893</v>
      </c>
      <c r="W85" s="83">
        <v>74.537651007593098</v>
      </c>
      <c r="X85" s="83">
        <v>100</v>
      </c>
      <c r="Y85" s="83">
        <v>88.646398000902295</v>
      </c>
      <c r="Z85" s="83">
        <v>69.942262931504999</v>
      </c>
      <c r="AA85" s="83">
        <v>70.715721280016894</v>
      </c>
      <c r="AB85" s="83">
        <v>73.666183444255395</v>
      </c>
      <c r="AC85" s="83">
        <v>100.749638143844</v>
      </c>
      <c r="AD85" s="83">
        <v>106.315028931795</v>
      </c>
      <c r="AE85" s="84">
        <v>133.94014925916699</v>
      </c>
      <c r="AF85" s="83">
        <v>116.728317955546</v>
      </c>
      <c r="AG85" s="83">
        <v>97.186638027082395</v>
      </c>
      <c r="AH85" s="83">
        <v>81.549332259470205</v>
      </c>
      <c r="AI85" s="83">
        <v>85.607797498152294</v>
      </c>
      <c r="AJ85" s="83">
        <v>88.964106450120397</v>
      </c>
      <c r="AK85" s="83">
        <v>89.460147032569907</v>
      </c>
      <c r="AL85" s="83">
        <v>89.460147032569907</v>
      </c>
      <c r="AM85" s="82"/>
      <c r="AN85" s="82"/>
    </row>
    <row r="86" spans="1:40" x14ac:dyDescent="0.65">
      <c r="A86" s="82" t="s">
        <v>193</v>
      </c>
      <c r="B86" s="112" t="str">
        <f t="shared" si="8"/>
        <v>IMF.RES.GAS:GAS_LIVE</v>
      </c>
      <c r="C86" s="81" t="s">
        <v>462</v>
      </c>
      <c r="D86" s="82"/>
      <c r="E86" s="83">
        <v>91.817906835221294</v>
      </c>
      <c r="F86" s="83">
        <v>76.720457994605397</v>
      </c>
      <c r="G86" s="83">
        <v>85.914807313473105</v>
      </c>
      <c r="H86" s="83">
        <v>84.902664854273297</v>
      </c>
      <c r="I86" s="83">
        <v>76.934786905436994</v>
      </c>
      <c r="J86" s="83">
        <v>76.116574096886694</v>
      </c>
      <c r="K86" s="83">
        <v>80.2541494051423</v>
      </c>
      <c r="L86" s="83">
        <v>89.380854735567596</v>
      </c>
      <c r="M86" s="83">
        <v>93.988919687191697</v>
      </c>
      <c r="N86" s="83">
        <v>102.16127903993601</v>
      </c>
      <c r="O86" s="83">
        <v>101.995727576362</v>
      </c>
      <c r="P86" s="83">
        <v>105.05670637678099</v>
      </c>
      <c r="Q86" s="83">
        <v>99.865984543997996</v>
      </c>
      <c r="R86" s="83">
        <v>101.004324053256</v>
      </c>
      <c r="S86" s="83">
        <v>109.825012276431</v>
      </c>
      <c r="T86" s="83">
        <v>107.364500302595</v>
      </c>
      <c r="U86" s="83">
        <v>106.85416400640899</v>
      </c>
      <c r="V86" s="83">
        <v>108.375946839051</v>
      </c>
      <c r="W86" s="83">
        <v>101.73544453804899</v>
      </c>
      <c r="X86" s="83">
        <v>100</v>
      </c>
      <c r="Y86" s="83">
        <v>97.831584112310594</v>
      </c>
      <c r="Z86" s="83">
        <v>103.809311448744</v>
      </c>
      <c r="AA86" s="83">
        <v>102.07449452909199</v>
      </c>
      <c r="AB86" s="83">
        <v>102.77901264032801</v>
      </c>
      <c r="AC86" s="83">
        <v>107.65421716384699</v>
      </c>
      <c r="AD86" s="83">
        <v>110.92714870813801</v>
      </c>
      <c r="AE86" s="84">
        <v>95.821547033805203</v>
      </c>
      <c r="AF86" s="83">
        <v>94.878212789670101</v>
      </c>
      <c r="AG86" s="83">
        <v>95.815387340402694</v>
      </c>
      <c r="AH86" s="83">
        <v>93.850189172710898</v>
      </c>
      <c r="AI86" s="83">
        <v>95.376328062254203</v>
      </c>
      <c r="AJ86" s="83">
        <v>95.376328062254203</v>
      </c>
      <c r="AK86" s="83">
        <v>95.376328062254203</v>
      </c>
      <c r="AL86" s="83">
        <v>95.376328062254203</v>
      </c>
      <c r="AM86" s="82"/>
      <c r="AN86" s="82"/>
    </row>
    <row r="87" spans="1:40" x14ac:dyDescent="0.65">
      <c r="A87" s="82" t="s">
        <v>194</v>
      </c>
      <c r="B87" s="112" t="str">
        <f t="shared" si="8"/>
        <v>IMF.RES.GAS:GAS_LIVE</v>
      </c>
      <c r="C87" s="81" t="s">
        <v>463</v>
      </c>
      <c r="D87" s="82"/>
      <c r="E87" s="83">
        <v>75.875730243679996</v>
      </c>
      <c r="F87" s="83">
        <v>70.820911115533505</v>
      </c>
      <c r="G87" s="83">
        <v>52.764885732110699</v>
      </c>
      <c r="H87" s="83">
        <v>47.951001699501703</v>
      </c>
      <c r="I87" s="83">
        <v>46.508323951429098</v>
      </c>
      <c r="J87" s="83">
        <v>55.775958433616303</v>
      </c>
      <c r="K87" s="83">
        <v>64.014911712629001</v>
      </c>
      <c r="L87" s="83">
        <v>73.800330172861607</v>
      </c>
      <c r="M87" s="83">
        <v>60.372361864322102</v>
      </c>
      <c r="N87" s="83">
        <v>61.683801405263402</v>
      </c>
      <c r="O87" s="83">
        <v>93.636387484440903</v>
      </c>
      <c r="P87" s="83">
        <v>126.016938731672</v>
      </c>
      <c r="Q87" s="83">
        <v>103.330998305557</v>
      </c>
      <c r="R87" s="83">
        <v>113.25311699331699</v>
      </c>
      <c r="S87" s="83">
        <v>140.57774836423499</v>
      </c>
      <c r="T87" s="83">
        <v>146.065550697231</v>
      </c>
      <c r="U87" s="83">
        <v>132.13897219659901</v>
      </c>
      <c r="V87" s="83">
        <v>118.860685119995</v>
      </c>
      <c r="W87" s="83">
        <v>95.706298573564894</v>
      </c>
      <c r="X87" s="83">
        <v>100</v>
      </c>
      <c r="Y87" s="83">
        <v>101.160074210839</v>
      </c>
      <c r="Z87" s="83">
        <v>95.445853945740893</v>
      </c>
      <c r="AA87" s="83">
        <v>90.542524438736805</v>
      </c>
      <c r="AB87" s="83">
        <v>99.517635018944006</v>
      </c>
      <c r="AC87" s="83">
        <v>151.43488533422999</v>
      </c>
      <c r="AD87" s="83">
        <v>171.89341093539099</v>
      </c>
      <c r="AE87" s="84">
        <v>140.28922725411201</v>
      </c>
      <c r="AF87" s="83">
        <v>128.224967932303</v>
      </c>
      <c r="AG87" s="83">
        <v>126.880668158567</v>
      </c>
      <c r="AH87" s="83">
        <v>135.92059035242801</v>
      </c>
      <c r="AI87" s="83">
        <v>135.70750700692901</v>
      </c>
      <c r="AJ87" s="83">
        <v>135.283090740902</v>
      </c>
      <c r="AK87" s="83">
        <v>135.446259980441</v>
      </c>
      <c r="AL87" s="83">
        <v>135.58025689977799</v>
      </c>
      <c r="AM87" s="82"/>
      <c r="AN87" s="82"/>
    </row>
    <row r="88" spans="1:40" x14ac:dyDescent="0.65">
      <c r="A88" s="82" t="s">
        <v>195</v>
      </c>
      <c r="B88" s="112" t="str">
        <f t="shared" si="8"/>
        <v>IMF.RES.GAS:GAS_LIVE</v>
      </c>
      <c r="C88" s="81" t="s">
        <v>464</v>
      </c>
      <c r="D88" s="82"/>
      <c r="E88" s="83">
        <v>55.901786534481502</v>
      </c>
      <c r="F88" s="83">
        <v>41.370625350765998</v>
      </c>
      <c r="G88" s="83">
        <v>41.409769566897403</v>
      </c>
      <c r="H88" s="83">
        <v>46.765829323966102</v>
      </c>
      <c r="I88" s="83">
        <v>44.348720822887401</v>
      </c>
      <c r="J88" s="83">
        <v>56.755301209701997</v>
      </c>
      <c r="K88" s="83">
        <v>62.902522336425299</v>
      </c>
      <c r="L88" s="83">
        <v>64.347209152047498</v>
      </c>
      <c r="M88" s="83">
        <v>60.8201217231559</v>
      </c>
      <c r="N88" s="83">
        <v>64.324884730714402</v>
      </c>
      <c r="O88" s="83">
        <v>87.4116459788833</v>
      </c>
      <c r="P88" s="83">
        <v>86.967965016807398</v>
      </c>
      <c r="Q88" s="83">
        <v>69.926506726040799</v>
      </c>
      <c r="R88" s="83">
        <v>85.822720723974399</v>
      </c>
      <c r="S88" s="83">
        <v>132.565297224652</v>
      </c>
      <c r="T88" s="83">
        <v>119.755356902635</v>
      </c>
      <c r="U88" s="83">
        <v>108.80198730784301</v>
      </c>
      <c r="V88" s="83">
        <v>98.6447920263263</v>
      </c>
      <c r="W88" s="83">
        <v>90.992375659441095</v>
      </c>
      <c r="X88" s="83">
        <v>100</v>
      </c>
      <c r="Y88" s="83">
        <v>117.97623034451399</v>
      </c>
      <c r="Z88" s="83">
        <v>149.44115186249601</v>
      </c>
      <c r="AA88" s="83">
        <v>132.62554382874501</v>
      </c>
      <c r="AB88" s="83">
        <v>86.598643604278294</v>
      </c>
      <c r="AC88" s="83">
        <v>99.816196677047401</v>
      </c>
      <c r="AD88" s="83">
        <v>95.1772517706993</v>
      </c>
      <c r="AE88" s="84">
        <v>89.173208410936297</v>
      </c>
      <c r="AF88" s="83">
        <v>84.929131427758506</v>
      </c>
      <c r="AG88" s="83">
        <v>95.695584459429597</v>
      </c>
      <c r="AH88" s="83">
        <v>44.540594276458201</v>
      </c>
      <c r="AI88" s="83">
        <v>44.540594276458201</v>
      </c>
      <c r="AJ88" s="83">
        <v>44.540594276458201</v>
      </c>
      <c r="AK88" s="83">
        <v>44.540594276458201</v>
      </c>
      <c r="AL88" s="83">
        <v>44.540594276458201</v>
      </c>
      <c r="AM88" s="82"/>
      <c r="AN88" s="82"/>
    </row>
    <row r="89" spans="1:40" x14ac:dyDescent="0.65">
      <c r="B89" s="11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40" x14ac:dyDescent="0.65">
      <c r="A90" s="1" t="s">
        <v>23</v>
      </c>
      <c r="B90" s="11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40" x14ac:dyDescent="0.65">
      <c r="A91" s="3" t="s">
        <v>180</v>
      </c>
      <c r="B91" s="11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17"/>
      <c r="AF91" s="5"/>
      <c r="AG91" s="5"/>
      <c r="AH91" s="5"/>
      <c r="AI91" s="5"/>
      <c r="AJ91" s="5"/>
      <c r="AK91" s="5"/>
      <c r="AL91" s="5"/>
    </row>
    <row r="92" spans="1:40" x14ac:dyDescent="0.65">
      <c r="A92" s="19" t="s">
        <v>197</v>
      </c>
      <c r="B92" s="11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17"/>
      <c r="AF92" s="5"/>
      <c r="AG92" s="5"/>
      <c r="AH92" s="5"/>
      <c r="AI92" s="5"/>
      <c r="AJ92" s="5"/>
      <c r="AK92" s="5"/>
      <c r="AL92" s="5"/>
    </row>
    <row r="93" spans="1:40" x14ac:dyDescent="0.65">
      <c r="A93" s="90" t="s">
        <v>28</v>
      </c>
      <c r="B93" s="112" t="str">
        <f t="shared" si="8"/>
        <v>IMF.RES.GAS:GAS_LIVE</v>
      </c>
      <c r="C93" s="81" t="s">
        <v>465</v>
      </c>
      <c r="D93" s="82"/>
      <c r="E93" s="83">
        <v>79.228665669759096</v>
      </c>
      <c r="F93" s="83">
        <v>65.530375162760393</v>
      </c>
      <c r="G93" s="83">
        <v>53.126085444616898</v>
      </c>
      <c r="H93" s="83">
        <v>59.047715325864097</v>
      </c>
      <c r="I93" s="83">
        <v>47.996912097987597</v>
      </c>
      <c r="J93" s="83">
        <v>46.260129632794097</v>
      </c>
      <c r="K93" s="83">
        <v>63.445350270438901</v>
      </c>
      <c r="L93" s="83">
        <v>62.005999768993199</v>
      </c>
      <c r="M93" s="83">
        <v>55.168262835118099</v>
      </c>
      <c r="N93" s="83">
        <v>58.052463008641503</v>
      </c>
      <c r="O93" s="83">
        <v>63.283691939416997</v>
      </c>
      <c r="P93" s="83">
        <v>71.399862815801001</v>
      </c>
      <c r="Q93" s="83">
        <v>62.752033847794699</v>
      </c>
      <c r="R93" s="83">
        <v>103.543723181058</v>
      </c>
      <c r="S93" s="83">
        <v>154.983129470167</v>
      </c>
      <c r="T93" s="83">
        <v>89.240966835732195</v>
      </c>
      <c r="U93" s="83">
        <v>90.400612569797303</v>
      </c>
      <c r="V93" s="83">
        <v>83.096740777338596</v>
      </c>
      <c r="W93" s="83">
        <v>70.417182467449805</v>
      </c>
      <c r="X93" s="83">
        <v>74.213818542568504</v>
      </c>
      <c r="Y93" s="83">
        <v>83.598313610387393</v>
      </c>
      <c r="Z93" s="85">
        <v>91.378536113009801</v>
      </c>
      <c r="AA93" s="85">
        <v>77.879067970073393</v>
      </c>
      <c r="AB93" s="85">
        <v>71.937989468896205</v>
      </c>
      <c r="AC93" s="85">
        <v>101.185177741785</v>
      </c>
      <c r="AD93" s="85">
        <v>130.13901322187201</v>
      </c>
      <c r="AE93" s="84">
        <v>95.010600374866598</v>
      </c>
      <c r="AF93" s="85">
        <v>86.647668376309596</v>
      </c>
      <c r="AG93" s="85">
        <v>77.435111950247801</v>
      </c>
      <c r="AH93" s="85">
        <v>75.522969900097607</v>
      </c>
      <c r="AI93" s="85">
        <v>80.867732117499997</v>
      </c>
      <c r="AJ93" s="85">
        <v>81.669528564999993</v>
      </c>
      <c r="AK93" s="85">
        <v>81.159294459999998</v>
      </c>
      <c r="AL93" s="85">
        <v>81.159294459999998</v>
      </c>
      <c r="AM93" s="82"/>
      <c r="AN93" s="82"/>
    </row>
    <row r="94" spans="1:40" x14ac:dyDescent="0.65">
      <c r="A94" s="90" t="s">
        <v>29</v>
      </c>
      <c r="B94" s="112" t="str">
        <f t="shared" si="8"/>
        <v>IMF.RES.GAS:GAS_LIVE</v>
      </c>
      <c r="C94" s="81" t="s">
        <v>466</v>
      </c>
      <c r="D94" s="82"/>
      <c r="E94" s="83">
        <v>86.194448242701796</v>
      </c>
      <c r="F94" s="83">
        <v>75.989121187599594</v>
      </c>
      <c r="G94" s="83">
        <v>61.655330454168897</v>
      </c>
      <c r="H94" s="83">
        <v>65.571231632412804</v>
      </c>
      <c r="I94" s="83">
        <v>70.677707128061797</v>
      </c>
      <c r="J94" s="83">
        <v>66.826209680508697</v>
      </c>
      <c r="K94" s="83">
        <v>69.041137524706599</v>
      </c>
      <c r="L94" s="83">
        <v>67.983622045152202</v>
      </c>
      <c r="M94" s="83">
        <v>64.937980709654198</v>
      </c>
      <c r="N94" s="83">
        <v>68.732838936130193</v>
      </c>
      <c r="O94" s="83">
        <v>72.750383872045902</v>
      </c>
      <c r="P94" s="83">
        <v>65.068889825683002</v>
      </c>
      <c r="Q94" s="83">
        <v>40.786567711559698</v>
      </c>
      <c r="R94" s="83">
        <v>69.4739061590425</v>
      </c>
      <c r="S94" s="83">
        <v>81.476560600914397</v>
      </c>
      <c r="T94" s="83">
        <v>81.639780044734593</v>
      </c>
      <c r="U94" s="83">
        <v>96.339617148120098</v>
      </c>
      <c r="V94" s="83">
        <v>106.56916381939899</v>
      </c>
      <c r="W94" s="83">
        <v>87.886698373284105</v>
      </c>
      <c r="X94" s="83">
        <v>73.277291677094297</v>
      </c>
      <c r="Y94" s="83">
        <v>69.203907945712899</v>
      </c>
      <c r="Z94" s="85">
        <v>59.950530316336597</v>
      </c>
      <c r="AA94" s="85">
        <v>40.807021116357802</v>
      </c>
      <c r="AB94" s="85">
        <v>33.5672133744118</v>
      </c>
      <c r="AC94" s="85">
        <v>47.418791931840197</v>
      </c>
      <c r="AD94" s="85">
        <v>57.556471798506998</v>
      </c>
      <c r="AE94" s="84">
        <v>58.6339731316666</v>
      </c>
      <c r="AF94" s="85">
        <v>58.652686283333303</v>
      </c>
      <c r="AG94" s="85">
        <v>57.765023227804299</v>
      </c>
      <c r="AH94" s="85">
        <v>57.423233032226499</v>
      </c>
      <c r="AI94" s="85">
        <v>57.423233032226499</v>
      </c>
      <c r="AJ94" s="85">
        <v>57.423233032226499</v>
      </c>
      <c r="AK94" s="85">
        <v>57.423233032226499</v>
      </c>
      <c r="AL94" s="85">
        <v>57.423233032226499</v>
      </c>
      <c r="AM94" s="82"/>
      <c r="AN94" s="82"/>
    </row>
    <row r="95" spans="1:40" x14ac:dyDescent="0.65">
      <c r="A95" s="90" t="s">
        <v>33</v>
      </c>
      <c r="B95" s="112" t="str">
        <f t="shared" si="8"/>
        <v>IMF.RES.GAS:GAS_LIVE</v>
      </c>
      <c r="C95" s="81" t="s">
        <v>467</v>
      </c>
      <c r="D95" s="82"/>
      <c r="E95" s="83">
        <v>46.159007072448702</v>
      </c>
      <c r="F95" s="83">
        <v>32.735296885172502</v>
      </c>
      <c r="G95" s="83">
        <v>28.8323588587964</v>
      </c>
      <c r="H95" s="83">
        <v>30.298280576936701</v>
      </c>
      <c r="I95" s="83">
        <v>26.086125774762198</v>
      </c>
      <c r="J95" s="83">
        <v>34.702646181357899</v>
      </c>
      <c r="K95" s="83">
        <v>48.646211024879797</v>
      </c>
      <c r="L95" s="83">
        <v>58.118277416140003</v>
      </c>
      <c r="M95" s="83">
        <v>67.494336760078497</v>
      </c>
      <c r="N95" s="83">
        <v>94.2756558913307</v>
      </c>
      <c r="O95" s="83">
        <v>102.602473614063</v>
      </c>
      <c r="P95" s="83">
        <v>117.41399172677301</v>
      </c>
      <c r="Q95" s="83">
        <v>87.157740380241904</v>
      </c>
      <c r="R95" s="83">
        <v>165.719133802611</v>
      </c>
      <c r="S95" s="83">
        <v>218.514634700969</v>
      </c>
      <c r="T95" s="83">
        <v>153.19015227890799</v>
      </c>
      <c r="U95" s="83">
        <v>126.758696385528</v>
      </c>
      <c r="V95" s="83">
        <v>88.7512551858335</v>
      </c>
      <c r="W95" s="83">
        <v>70.731278893241594</v>
      </c>
      <c r="X95" s="83">
        <v>74.483557783072499</v>
      </c>
      <c r="Y95" s="83">
        <v>90.790599336137902</v>
      </c>
      <c r="Z95" s="83">
        <v>70.411335160880398</v>
      </c>
      <c r="AA95" s="83">
        <v>74.835670407067894</v>
      </c>
      <c r="AB95" s="83">
        <v>79.898454936443301</v>
      </c>
      <c r="AC95" s="83">
        <v>94.520037182146297</v>
      </c>
      <c r="AD95" s="83">
        <v>83.285833617350804</v>
      </c>
      <c r="AE95" s="85">
        <v>71.7959203225371</v>
      </c>
      <c r="AF95" s="83">
        <v>105.068179728364</v>
      </c>
      <c r="AG95" s="83">
        <v>100.395307814224</v>
      </c>
      <c r="AH95" s="83">
        <v>97.778105754781905</v>
      </c>
      <c r="AI95" s="83">
        <v>98.746952429999993</v>
      </c>
      <c r="AJ95" s="83">
        <v>98.746952429999993</v>
      </c>
      <c r="AK95" s="83">
        <v>98.746952429999993</v>
      </c>
      <c r="AL95" s="83">
        <v>98.746952429999993</v>
      </c>
      <c r="AM95" s="82"/>
      <c r="AN95" s="82"/>
    </row>
    <row r="96" spans="1:40" x14ac:dyDescent="0.65">
      <c r="A96" s="20" t="s">
        <v>193</v>
      </c>
      <c r="B96" s="11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  <c r="AA96" s="6"/>
      <c r="AB96" s="6"/>
      <c r="AC96" s="6"/>
      <c r="AD96" s="6"/>
      <c r="AE96" s="17"/>
      <c r="AF96" s="6"/>
      <c r="AG96" s="6"/>
      <c r="AH96" s="6"/>
      <c r="AI96" s="6"/>
      <c r="AJ96" s="6"/>
      <c r="AK96" s="6"/>
      <c r="AL96" s="6"/>
    </row>
    <row r="97" spans="1:40" x14ac:dyDescent="0.65">
      <c r="A97" s="21" t="s">
        <v>184</v>
      </c>
      <c r="B97" s="11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  <c r="AA97" s="6"/>
      <c r="AB97" s="6"/>
      <c r="AC97" s="6"/>
      <c r="AD97" s="6"/>
      <c r="AE97" s="17"/>
      <c r="AF97" s="6"/>
      <c r="AG97" s="6"/>
      <c r="AH97" s="6"/>
      <c r="AI97" s="6"/>
      <c r="AJ97" s="6"/>
      <c r="AK97" s="6"/>
      <c r="AL97" s="6"/>
    </row>
    <row r="98" spans="1:40" x14ac:dyDescent="0.65">
      <c r="A98" s="91" t="s">
        <v>198</v>
      </c>
      <c r="B98" s="112" t="str">
        <f t="shared" si="8"/>
        <v>IMF.RES.GAS:GAS_LIVE</v>
      </c>
      <c r="C98" s="81" t="s">
        <v>468</v>
      </c>
      <c r="D98" s="82"/>
      <c r="E98" s="83">
        <v>237.742388407389</v>
      </c>
      <c r="F98" s="83">
        <v>162.86000569661499</v>
      </c>
      <c r="G98" s="83">
        <v>187.025362940241</v>
      </c>
      <c r="H98" s="83">
        <v>190.062797600219</v>
      </c>
      <c r="I98" s="83">
        <v>159.87595263516701</v>
      </c>
      <c r="J98" s="83">
        <v>162.403451278299</v>
      </c>
      <c r="K98" s="83">
        <v>187.151810831201</v>
      </c>
      <c r="L98" s="83">
        <v>197.25556807500001</v>
      </c>
      <c r="M98" s="83">
        <v>203.12027512500001</v>
      </c>
      <c r="N98" s="83">
        <v>239.429147075</v>
      </c>
      <c r="O98" s="83">
        <v>267.98065534166602</v>
      </c>
      <c r="P98" s="83">
        <v>292.29698199166597</v>
      </c>
      <c r="Q98" s="83">
        <v>287.20279327499998</v>
      </c>
      <c r="R98" s="83">
        <v>278.17198678333301</v>
      </c>
      <c r="S98" s="83">
        <v>390.51220016666599</v>
      </c>
      <c r="T98" s="83">
        <v>360.510302516666</v>
      </c>
      <c r="U98" s="83">
        <v>305.43418248333302</v>
      </c>
      <c r="V98" s="83">
        <v>282.04117576666602</v>
      </c>
      <c r="W98" s="83">
        <v>246.015833108333</v>
      </c>
      <c r="X98" s="83">
        <v>274.37688335000001</v>
      </c>
      <c r="Y98" s="83">
        <v>265.429433108333</v>
      </c>
      <c r="Z98" s="85">
        <v>269.703938208333</v>
      </c>
      <c r="AA98" s="85">
        <v>273.10311432499998</v>
      </c>
      <c r="AB98" s="85">
        <v>278.99057239166598</v>
      </c>
      <c r="AC98" s="85">
        <v>271.35119358333299</v>
      </c>
      <c r="AD98" s="85">
        <v>227.990216483333</v>
      </c>
      <c r="AE98" s="84">
        <v>212.376193616666</v>
      </c>
      <c r="AF98" s="85">
        <v>196.74955603333299</v>
      </c>
      <c r="AG98" s="85">
        <v>199.10008426666599</v>
      </c>
      <c r="AH98" s="85">
        <v>189.99415588378901</v>
      </c>
      <c r="AI98" s="85">
        <v>189.99415588378901</v>
      </c>
      <c r="AJ98" s="85">
        <v>189.99415588378901</v>
      </c>
      <c r="AK98" s="85">
        <v>189.99415588378901</v>
      </c>
      <c r="AL98" s="85">
        <v>189.99415588378901</v>
      </c>
      <c r="AM98" s="82"/>
      <c r="AN98" s="82"/>
    </row>
    <row r="99" spans="1:40" x14ac:dyDescent="0.65">
      <c r="A99" s="91" t="s">
        <v>199</v>
      </c>
      <c r="B99" s="112" t="str">
        <f t="shared" si="8"/>
        <v>IMF.RES.GAS:GAS_LIVE</v>
      </c>
      <c r="C99" s="81" t="s">
        <v>469</v>
      </c>
      <c r="D99" s="82"/>
      <c r="E99" s="83">
        <v>662.328819274902</v>
      </c>
      <c r="F99" s="83">
        <v>484.15458679199202</v>
      </c>
      <c r="G99" s="83">
        <v>601.10722688972805</v>
      </c>
      <c r="H99" s="83">
        <v>599.17646034246798</v>
      </c>
      <c r="I99" s="83">
        <v>488.46180170290802</v>
      </c>
      <c r="J99" s="83">
        <v>517.09538814281905</v>
      </c>
      <c r="K99" s="83">
        <v>549.62051837051797</v>
      </c>
      <c r="L99" s="83">
        <v>581.29370628333299</v>
      </c>
      <c r="M99" s="83">
        <v>659.38228437500004</v>
      </c>
      <c r="N99" s="83">
        <v>749.34343862499998</v>
      </c>
      <c r="O99" s="83">
        <v>806.29676546666599</v>
      </c>
      <c r="P99" s="83">
        <v>889.09163147499896</v>
      </c>
      <c r="Q99" s="83">
        <v>805.52443749999998</v>
      </c>
      <c r="R99" s="83">
        <v>848.27195666666603</v>
      </c>
      <c r="S99" s="83">
        <v>939.4469775</v>
      </c>
      <c r="T99" s="83">
        <v>876.34201944999995</v>
      </c>
      <c r="U99" s="83">
        <v>852.79773030000001</v>
      </c>
      <c r="V99" s="83">
        <v>897.94199999999898</v>
      </c>
      <c r="W99" s="83">
        <v>833.25049999999999</v>
      </c>
      <c r="X99" s="83">
        <v>738.87920833333305</v>
      </c>
      <c r="Y99" s="83">
        <v>702.10954166666602</v>
      </c>
      <c r="Z99" s="85">
        <v>727.94287499999996</v>
      </c>
      <c r="AA99" s="85">
        <v>695.88779166666598</v>
      </c>
      <c r="AB99" s="85">
        <v>702.65667499999995</v>
      </c>
      <c r="AC99" s="85">
        <v>749.95216666666602</v>
      </c>
      <c r="AD99" s="85">
        <v>674.51016666666601</v>
      </c>
      <c r="AE99" s="84">
        <v>677.73474999999996</v>
      </c>
      <c r="AF99" s="85">
        <v>696.54179166666597</v>
      </c>
      <c r="AG99" s="85">
        <v>718.44170833333305</v>
      </c>
      <c r="AH99" s="85">
        <v>736.89447021484398</v>
      </c>
      <c r="AI99" s="85">
        <v>736.89447021484398</v>
      </c>
      <c r="AJ99" s="85">
        <v>736.89447021484398</v>
      </c>
      <c r="AK99" s="85">
        <v>736.89447021484398</v>
      </c>
      <c r="AL99" s="85">
        <v>736.89447021484398</v>
      </c>
      <c r="AM99" s="82"/>
      <c r="AN99" s="82"/>
    </row>
    <row r="100" spans="1:40" x14ac:dyDescent="0.65">
      <c r="A100" s="21" t="s">
        <v>191</v>
      </c>
      <c r="B100" s="11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17"/>
      <c r="AF100" s="5"/>
      <c r="AG100" s="5"/>
      <c r="AH100" s="5"/>
      <c r="AI100" s="5"/>
      <c r="AJ100" s="5"/>
      <c r="AK100" s="5"/>
      <c r="AL100" s="5"/>
    </row>
    <row r="101" spans="1:40" x14ac:dyDescent="0.65">
      <c r="A101" s="91" t="s">
        <v>200</v>
      </c>
      <c r="B101" s="112" t="str">
        <f t="shared" si="8"/>
        <v>IMF.RES.GAS:GAS_LIVE</v>
      </c>
      <c r="C101" s="81" t="s">
        <v>470</v>
      </c>
      <c r="D101" s="82"/>
      <c r="E101" s="83">
        <v>196.45696429275901</v>
      </c>
      <c r="F101" s="83">
        <v>166.439500061589</v>
      </c>
      <c r="G101" s="83">
        <v>170.367833150742</v>
      </c>
      <c r="H101" s="83">
        <v>185.327866234493</v>
      </c>
      <c r="I101" s="83">
        <v>162.97903512744199</v>
      </c>
      <c r="J101" s="83">
        <v>149.46918991984199</v>
      </c>
      <c r="K101" s="83">
        <v>151.37733274840201</v>
      </c>
      <c r="L101" s="83">
        <v>181.65748214166601</v>
      </c>
      <c r="M101" s="83">
        <v>187.12834018333299</v>
      </c>
      <c r="N101" s="83">
        <v>197.99323670000001</v>
      </c>
      <c r="O101" s="83">
        <v>171.858607908333</v>
      </c>
      <c r="P101" s="83">
        <v>172.404363591666</v>
      </c>
      <c r="Q101" s="83">
        <v>148.29825270000001</v>
      </c>
      <c r="R101" s="83">
        <v>155.014844741666</v>
      </c>
      <c r="S101" s="83">
        <v>170.90345687499999</v>
      </c>
      <c r="T101" s="83">
        <v>161.17658640833301</v>
      </c>
      <c r="U101" s="83">
        <v>175.47624195833299</v>
      </c>
      <c r="V101" s="83">
        <v>184.22252209166601</v>
      </c>
      <c r="W101" s="83">
        <v>181.08833779166599</v>
      </c>
      <c r="X101" s="83">
        <v>182.81951225</v>
      </c>
      <c r="Y101" s="83">
        <v>190.70759069166601</v>
      </c>
      <c r="Z101" s="85">
        <v>211.4161474</v>
      </c>
      <c r="AA101" s="85">
        <v>185.88833333333301</v>
      </c>
      <c r="AB101" s="85">
        <v>199.77833333333299</v>
      </c>
      <c r="AC101" s="85">
        <v>235.99916666666601</v>
      </c>
      <c r="AD101" s="85">
        <v>270.89833333333303</v>
      </c>
      <c r="AE101" s="84">
        <v>215.60583333333301</v>
      </c>
      <c r="AF101" s="85">
        <v>194.94497251666601</v>
      </c>
      <c r="AG101" s="85">
        <v>205.79967009999999</v>
      </c>
      <c r="AH101" s="85">
        <v>219.27539087991499</v>
      </c>
      <c r="AI101" s="85">
        <v>241.84917200000001</v>
      </c>
      <c r="AJ101" s="85">
        <v>241.84917200000001</v>
      </c>
      <c r="AK101" s="85">
        <v>241.84917200000001</v>
      </c>
      <c r="AL101" s="85">
        <v>241.84917200000001</v>
      </c>
      <c r="AM101" s="82"/>
      <c r="AN101" s="82"/>
    </row>
    <row r="102" spans="1:40" x14ac:dyDescent="0.65">
      <c r="A102" s="91" t="s">
        <v>201</v>
      </c>
      <c r="B102" s="112" t="str">
        <f t="shared" si="8"/>
        <v>IMF.RES.GAS:GAS_LIVE</v>
      </c>
      <c r="C102" s="81" t="s">
        <v>471</v>
      </c>
      <c r="D102" s="82"/>
      <c r="E102" s="83">
        <v>294.12803141275998</v>
      </c>
      <c r="F102" s="83">
        <v>279.81450477092199</v>
      </c>
      <c r="G102" s="83">
        <v>300.54670625747502</v>
      </c>
      <c r="H102" s="83">
        <v>284.80662875966601</v>
      </c>
      <c r="I102" s="83">
        <v>282.82808333333298</v>
      </c>
      <c r="J102" s="83">
        <v>273.25116666666702</v>
      </c>
      <c r="K102" s="83">
        <v>284.30349999999999</v>
      </c>
      <c r="L102" s="83">
        <v>323.9735</v>
      </c>
      <c r="M102" s="83">
        <v>328.33550000000002</v>
      </c>
      <c r="N102" s="83">
        <v>342.440583333333</v>
      </c>
      <c r="O102" s="83">
        <v>325.91083333333302</v>
      </c>
      <c r="P102" s="83">
        <v>313.123083333333</v>
      </c>
      <c r="Q102" s="83">
        <v>315.422784566666</v>
      </c>
      <c r="R102" s="83">
        <v>309.67811809166602</v>
      </c>
      <c r="S102" s="83">
        <v>299.30979469166601</v>
      </c>
      <c r="T102" s="83">
        <v>316.84080748333298</v>
      </c>
      <c r="U102" s="83">
        <v>332.53487235833302</v>
      </c>
      <c r="V102" s="83">
        <v>332.85494244166603</v>
      </c>
      <c r="W102" s="83">
        <v>317.97936234166599</v>
      </c>
      <c r="X102" s="83">
        <v>325.14670895</v>
      </c>
      <c r="Y102" s="83">
        <v>319.896075841666</v>
      </c>
      <c r="Z102" s="83">
        <v>344.57053733333299</v>
      </c>
      <c r="AA102" s="83">
        <v>353.86666666666599</v>
      </c>
      <c r="AB102" s="83">
        <v>347.81916666666598</v>
      </c>
      <c r="AC102" s="83">
        <v>353.28500000000003</v>
      </c>
      <c r="AD102" s="83">
        <v>400.08083333333298</v>
      </c>
      <c r="AE102" s="84">
        <v>318.38166666666598</v>
      </c>
      <c r="AF102" s="83">
        <v>321.05645045</v>
      </c>
      <c r="AG102" s="83">
        <v>314.57513655833299</v>
      </c>
      <c r="AH102" s="83">
        <v>289.89221191406199</v>
      </c>
      <c r="AI102" s="83">
        <v>289.89221191406199</v>
      </c>
      <c r="AJ102" s="83">
        <v>289.89221191406199</v>
      </c>
      <c r="AK102" s="83">
        <v>289.89221191406199</v>
      </c>
      <c r="AL102" s="83">
        <v>289.89221191406199</v>
      </c>
      <c r="AM102" s="82"/>
      <c r="AN102" s="82"/>
    </row>
    <row r="103" spans="1:40" x14ac:dyDescent="0.65">
      <c r="A103" s="20" t="s">
        <v>202</v>
      </c>
      <c r="B103" s="114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17"/>
      <c r="AF103" s="5"/>
      <c r="AG103" s="5"/>
      <c r="AH103" s="5"/>
      <c r="AI103" s="5"/>
      <c r="AJ103" s="5"/>
      <c r="AK103" s="5"/>
      <c r="AL103" s="5"/>
    </row>
    <row r="104" spans="1:40" x14ac:dyDescent="0.65">
      <c r="A104" s="92" t="s">
        <v>203</v>
      </c>
      <c r="B104" s="112" t="str">
        <f t="shared" si="8"/>
        <v>IMF.RES.GAS:GAS_LIVE</v>
      </c>
      <c r="C104" s="81" t="s">
        <v>472</v>
      </c>
      <c r="D104" s="82"/>
      <c r="E104" s="83">
        <v>442.79360500000001</v>
      </c>
      <c r="F104" s="83">
        <v>336.38913250000002</v>
      </c>
      <c r="G104" s="83">
        <v>276.47130666666698</v>
      </c>
      <c r="H104" s="83">
        <v>280.97889328659301</v>
      </c>
      <c r="I104" s="83">
        <v>332.43175022091998</v>
      </c>
      <c r="J104" s="83">
        <v>565.65159744599703</v>
      </c>
      <c r="K104" s="83">
        <v>658.99134714464799</v>
      </c>
      <c r="L104" s="83">
        <v>553.20075759680105</v>
      </c>
      <c r="M104" s="83">
        <v>530.609792183742</v>
      </c>
      <c r="N104" s="83">
        <v>540.58431137566095</v>
      </c>
      <c r="O104" s="83">
        <v>764.86795912307605</v>
      </c>
      <c r="P104" s="83">
        <v>709.20833435185205</v>
      </c>
      <c r="Q104" s="83">
        <v>611.36014476190496</v>
      </c>
      <c r="R104" s="83">
        <v>818.84667828012198</v>
      </c>
      <c r="S104" s="83">
        <v>1200.1559919674801</v>
      </c>
      <c r="T104" s="83">
        <v>1208.3138651510301</v>
      </c>
      <c r="U104" s="83">
        <v>1118.3959126321199</v>
      </c>
      <c r="V104" s="83">
        <v>1023.95878820019</v>
      </c>
      <c r="W104" s="83">
        <v>929.86540309500106</v>
      </c>
      <c r="X104" s="83">
        <v>1017.14146534445</v>
      </c>
      <c r="Y104" s="83">
        <v>1089.20823485651</v>
      </c>
      <c r="Z104" s="83">
        <v>1519.18425391608</v>
      </c>
      <c r="AA104" s="83">
        <v>1393.3735028797</v>
      </c>
      <c r="AB104" s="83">
        <v>869.61989557830896</v>
      </c>
      <c r="AC104" s="83">
        <v>908.67123161530105</v>
      </c>
      <c r="AD104" s="83">
        <v>880.98492368342204</v>
      </c>
      <c r="AE104" s="84">
        <v>882.48895358988</v>
      </c>
      <c r="AF104" s="83">
        <v>880.88179264880898</v>
      </c>
      <c r="AG104" s="83">
        <v>998.447945324074</v>
      </c>
      <c r="AH104" s="83">
        <v>464.778971354166</v>
      </c>
      <c r="AI104" s="83">
        <v>464.778971354166</v>
      </c>
      <c r="AJ104" s="83">
        <v>464.778971354166</v>
      </c>
      <c r="AK104" s="83">
        <v>464.778971354166</v>
      </c>
      <c r="AL104" s="83">
        <v>464.778971354166</v>
      </c>
      <c r="AM104" s="82"/>
      <c r="AN104" s="82"/>
    </row>
    <row r="105" spans="1:40" x14ac:dyDescent="0.65">
      <c r="A105" s="92" t="s">
        <v>204</v>
      </c>
      <c r="B105" s="112" t="str">
        <f t="shared" si="8"/>
        <v>IMF.RES.GAS:GAS_LIVE</v>
      </c>
      <c r="C105" s="81" t="s">
        <v>473</v>
      </c>
      <c r="D105" s="82"/>
      <c r="E105" s="83">
        <v>759.84386166666695</v>
      </c>
      <c r="F105" s="83">
        <v>552.81422499999996</v>
      </c>
      <c r="G105" s="83">
        <v>619.24971000000005</v>
      </c>
      <c r="H105" s="83">
        <v>733.54229133363901</v>
      </c>
      <c r="I105" s="83">
        <v>623.43640392649604</v>
      </c>
      <c r="J105" s="83">
        <v>644.40751404633295</v>
      </c>
      <c r="K105" s="83">
        <v>700.09947835016806</v>
      </c>
      <c r="L105" s="83">
        <v>716.17871410143096</v>
      </c>
      <c r="M105" s="83">
        <v>676.92254475649304</v>
      </c>
      <c r="N105" s="83">
        <v>715.93024527777698</v>
      </c>
      <c r="O105" s="83">
        <v>972.88384437499997</v>
      </c>
      <c r="P105" s="83">
        <v>967.94571473304495</v>
      </c>
      <c r="Q105" s="83">
        <v>778.27579981481404</v>
      </c>
      <c r="R105" s="83">
        <v>1014.3883528661599</v>
      </c>
      <c r="S105" s="83">
        <v>1637.62805063161</v>
      </c>
      <c r="T105" s="85">
        <v>1343.5544331250001</v>
      </c>
      <c r="U105" s="85">
        <v>1198.1256846660001</v>
      </c>
      <c r="V105" s="85">
        <v>1075.3646678075399</v>
      </c>
      <c r="W105" s="85">
        <v>1007.98345261243</v>
      </c>
      <c r="X105" s="85">
        <v>1112.9911048809499</v>
      </c>
      <c r="Y105" s="85">
        <v>1434.28086143518</v>
      </c>
      <c r="Z105" s="85">
        <v>1664.1898977083299</v>
      </c>
      <c r="AA105" s="85">
        <v>1427.54389666666</v>
      </c>
      <c r="AB105" s="85">
        <v>976.10246097883601</v>
      </c>
      <c r="AC105" s="85">
        <v>1227.5915286111101</v>
      </c>
      <c r="AD105" s="85">
        <v>1154.62474875</v>
      </c>
      <c r="AE105" s="84">
        <v>1019.33005054563</v>
      </c>
      <c r="AF105" s="85">
        <v>926.61626259920604</v>
      </c>
      <c r="AG105" s="85">
        <v>1037.6306719772101</v>
      </c>
      <c r="AH105" s="85">
        <v>482.88860066731701</v>
      </c>
      <c r="AI105" s="85">
        <v>482.88860066731701</v>
      </c>
      <c r="AJ105" s="85">
        <v>482.88860066731701</v>
      </c>
      <c r="AK105" s="85">
        <v>482.88860066731701</v>
      </c>
      <c r="AL105" s="85">
        <v>482.88860066731701</v>
      </c>
      <c r="AM105" s="82"/>
      <c r="AN105" s="82"/>
    </row>
    <row r="106" spans="1:40" x14ac:dyDescent="0.65">
      <c r="A106" s="19" t="s">
        <v>205</v>
      </c>
      <c r="B106" s="114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17"/>
      <c r="AF106" s="5"/>
      <c r="AG106" s="5"/>
      <c r="AH106" s="5"/>
      <c r="AI106" s="5"/>
      <c r="AJ106" s="5"/>
      <c r="AK106" s="5"/>
      <c r="AL106" s="5"/>
    </row>
    <row r="107" spans="1:40" x14ac:dyDescent="0.65">
      <c r="A107" s="20" t="s">
        <v>182</v>
      </c>
      <c r="B107" s="11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17"/>
      <c r="AF107" s="5"/>
      <c r="AG107" s="5"/>
      <c r="AH107" s="5"/>
      <c r="AI107" s="5"/>
      <c r="AJ107" s="5"/>
      <c r="AK107" s="5"/>
      <c r="AL107" s="5"/>
    </row>
    <row r="108" spans="1:40" x14ac:dyDescent="0.65">
      <c r="A108" s="92" t="s">
        <v>206</v>
      </c>
      <c r="B108" s="112" t="str">
        <f t="shared" si="8"/>
        <v>IMF.RES.GAS:GAS_LIVE</v>
      </c>
      <c r="C108" s="81" t="s">
        <v>474</v>
      </c>
      <c r="D108" s="82"/>
      <c r="E108" s="83">
        <v>188.928110703306</v>
      </c>
      <c r="F108" s="83">
        <v>135.46926998243299</v>
      </c>
      <c r="G108" s="83">
        <v>103.884424383587</v>
      </c>
      <c r="H108" s="83">
        <v>87.204109887696802</v>
      </c>
      <c r="I108" s="83">
        <v>62.2841325914424</v>
      </c>
      <c r="J108" s="83">
        <v>61.4620682680846</v>
      </c>
      <c r="K108" s="83">
        <v>64.172862052198994</v>
      </c>
      <c r="L108" s="83">
        <v>80.479524852562903</v>
      </c>
      <c r="M108" s="83">
        <v>114.853919278185</v>
      </c>
      <c r="N108" s="83">
        <v>114.408857864357</v>
      </c>
      <c r="O108" s="83">
        <v>123.613877540937</v>
      </c>
      <c r="P108" s="83">
        <v>139.71246561892201</v>
      </c>
      <c r="Q108" s="83">
        <v>143.75475766202399</v>
      </c>
      <c r="R108" s="83">
        <v>196.04909199918399</v>
      </c>
      <c r="S108" s="83">
        <v>271.10805783769302</v>
      </c>
      <c r="T108" s="83">
        <v>186.44158316080001</v>
      </c>
      <c r="U108" s="83">
        <v>139.48433732511401</v>
      </c>
      <c r="V108" s="83">
        <v>200.35589636269501</v>
      </c>
      <c r="W108" s="83">
        <v>159.903685857017</v>
      </c>
      <c r="X108" s="83">
        <v>163.83998470732101</v>
      </c>
      <c r="Y108" s="83">
        <v>150.75595340046399</v>
      </c>
      <c r="Z108" s="83">
        <v>132.71492668140999</v>
      </c>
      <c r="AA108" s="83">
        <v>130.55576145774501</v>
      </c>
      <c r="AB108" s="83">
        <v>150.831950036075</v>
      </c>
      <c r="AC108" s="83">
        <v>204.69402922077899</v>
      </c>
      <c r="AD108" s="83">
        <v>255.465902040592</v>
      </c>
      <c r="AE108" s="84">
        <v>205.95975240761601</v>
      </c>
      <c r="AF108" s="83">
        <v>255.44462944663999</v>
      </c>
      <c r="AG108" s="83">
        <v>383.09798421325002</v>
      </c>
      <c r="AH108" s="83">
        <v>300.253749956673</v>
      </c>
      <c r="AI108" s="83">
        <v>279.34127015000001</v>
      </c>
      <c r="AJ108" s="83">
        <v>268.84510490000002</v>
      </c>
      <c r="AK108" s="83">
        <v>268.84510490000002</v>
      </c>
      <c r="AL108" s="83">
        <v>268.84510490000002</v>
      </c>
      <c r="AM108" s="82"/>
      <c r="AN108" s="82"/>
    </row>
    <row r="109" spans="1:40" x14ac:dyDescent="0.65">
      <c r="A109" s="92" t="s">
        <v>207</v>
      </c>
      <c r="B109" s="112" t="str">
        <f t="shared" si="8"/>
        <v>IMF.RES.GAS:GAS_LIVE</v>
      </c>
      <c r="C109" s="81" t="s">
        <v>475</v>
      </c>
      <c r="D109" s="82"/>
      <c r="E109" s="83">
        <v>78.672791619612298</v>
      </c>
      <c r="F109" s="83">
        <v>82.724811249137304</v>
      </c>
      <c r="G109" s="83">
        <v>67.6459056794655</v>
      </c>
      <c r="H109" s="83">
        <v>41.558163670870201</v>
      </c>
      <c r="I109" s="83">
        <v>27.585614350021999</v>
      </c>
      <c r="J109" s="83">
        <v>29.991422681786801</v>
      </c>
      <c r="K109" s="83">
        <v>36.916231962481902</v>
      </c>
      <c r="L109" s="83">
        <v>35.972930092854</v>
      </c>
      <c r="M109" s="83">
        <v>50.561491451784903</v>
      </c>
      <c r="N109" s="83">
        <v>67.579241985067995</v>
      </c>
      <c r="O109" s="83">
        <v>86.636840720873295</v>
      </c>
      <c r="P109" s="83">
        <v>105.196515731852</v>
      </c>
      <c r="Q109" s="83">
        <v>74.544037635673504</v>
      </c>
      <c r="R109" s="83">
        <v>78.731029761904693</v>
      </c>
      <c r="S109" s="83">
        <v>109.23836603613699</v>
      </c>
      <c r="T109" s="83">
        <v>102.843508846226</v>
      </c>
      <c r="U109" s="83">
        <v>94.117762783110607</v>
      </c>
      <c r="V109" s="83">
        <v>100.41939517849301</v>
      </c>
      <c r="W109" s="83">
        <v>88.036526930798601</v>
      </c>
      <c r="X109" s="83">
        <v>88.616859903381595</v>
      </c>
      <c r="Y109" s="83">
        <v>100.95965205627699</v>
      </c>
      <c r="Z109" s="85">
        <v>84.774638269339306</v>
      </c>
      <c r="AA109" s="85">
        <v>73.565375854821497</v>
      </c>
      <c r="AB109" s="85">
        <v>68.755699142041493</v>
      </c>
      <c r="AC109" s="85">
        <v>89.824322095175305</v>
      </c>
      <c r="AD109" s="85">
        <v>103.629801736307</v>
      </c>
      <c r="AE109" s="84">
        <v>119.127059014053</v>
      </c>
      <c r="AF109" s="85">
        <v>200.74982379697599</v>
      </c>
      <c r="AG109" s="85">
        <v>220.22740186021699</v>
      </c>
      <c r="AH109" s="85">
        <v>176.469567410677</v>
      </c>
      <c r="AI109" s="85">
        <v>158.0874298375</v>
      </c>
      <c r="AJ109" s="85">
        <v>156.87923665</v>
      </c>
      <c r="AK109" s="85">
        <v>156.87923665</v>
      </c>
      <c r="AL109" s="85">
        <v>156.87923665</v>
      </c>
      <c r="AM109" s="82"/>
      <c r="AN109" s="82"/>
    </row>
    <row r="110" spans="1:40" x14ac:dyDescent="0.65">
      <c r="A110" s="90" t="s">
        <v>208</v>
      </c>
      <c r="B110" s="112" t="str">
        <f t="shared" si="8"/>
        <v>IMF.RES.GAS:GAS_LIVE</v>
      </c>
      <c r="C110" s="81" t="s">
        <v>476</v>
      </c>
      <c r="D110" s="82"/>
      <c r="E110" s="85">
        <v>1618.7432556152401</v>
      </c>
      <c r="F110" s="85">
        <v>1676.0034586588499</v>
      </c>
      <c r="G110" s="85">
        <v>1135.0494061256099</v>
      </c>
      <c r="H110" s="85">
        <v>903.90636216958899</v>
      </c>
      <c r="I110" s="83">
        <v>1088.3757943308799</v>
      </c>
      <c r="J110" s="83">
        <v>1779.0412825971</v>
      </c>
      <c r="K110" s="83">
        <v>1752.5034869588701</v>
      </c>
      <c r="L110" s="83">
        <v>1551.0017562283699</v>
      </c>
      <c r="M110" s="83">
        <v>1538.13597059521</v>
      </c>
      <c r="N110" s="83">
        <v>1590.5378367969599</v>
      </c>
      <c r="O110" s="83">
        <v>1954.3908852131599</v>
      </c>
      <c r="P110" s="83">
        <v>2576.9941461130202</v>
      </c>
      <c r="Q110" s="83">
        <v>2890.88132979897</v>
      </c>
      <c r="R110" s="83">
        <v>3130.5988591656901</v>
      </c>
      <c r="S110" s="83">
        <v>2978.4933404375302</v>
      </c>
      <c r="T110" s="83">
        <v>2393.43903327712</v>
      </c>
      <c r="U110" s="83">
        <v>2439.0935379892699</v>
      </c>
      <c r="V110" s="83">
        <v>3062.7681061814101</v>
      </c>
      <c r="W110" s="83">
        <v>3135.1662870763498</v>
      </c>
      <c r="X110" s="83">
        <v>2891.2565729225198</v>
      </c>
      <c r="Y110" s="83">
        <v>2029.33790047095</v>
      </c>
      <c r="Z110" s="85">
        <v>2293.7390665845201</v>
      </c>
      <c r="AA110" s="85">
        <v>2340.82150780643</v>
      </c>
      <c r="AB110" s="85">
        <v>2369.9582449692698</v>
      </c>
      <c r="AC110" s="85">
        <v>2425.5182127724902</v>
      </c>
      <c r="AD110" s="85">
        <v>2369.4028680021502</v>
      </c>
      <c r="AE110" s="84">
        <v>3258.0443992187802</v>
      </c>
      <c r="AF110" s="85">
        <v>7390.5643178258797</v>
      </c>
      <c r="AG110" s="85">
        <v>7788.2664555414403</v>
      </c>
      <c r="AH110" s="85">
        <v>4325.0088209960904</v>
      </c>
      <c r="AI110" s="85">
        <v>4402.5482562500001</v>
      </c>
      <c r="AJ110" s="85">
        <v>4406.9354999999996</v>
      </c>
      <c r="AK110" s="85">
        <v>4406.9354999999996</v>
      </c>
      <c r="AL110" s="85">
        <v>4406.9354999999996</v>
      </c>
      <c r="AM110" s="82"/>
      <c r="AN110" s="82"/>
    </row>
    <row r="111" spans="1:40" x14ac:dyDescent="0.65">
      <c r="A111" s="90" t="s">
        <v>35</v>
      </c>
      <c r="B111" s="112" t="str">
        <f t="shared" si="8"/>
        <v>IMF.RES.GAS:GAS_LIVE</v>
      </c>
      <c r="C111" s="81" t="s">
        <v>477</v>
      </c>
      <c r="D111" s="82"/>
      <c r="E111" s="83">
        <v>237.18896738688201</v>
      </c>
      <c r="F111" s="83">
        <v>238.562549591064</v>
      </c>
      <c r="G111" s="83">
        <v>232.356666666667</v>
      </c>
      <c r="H111" s="83">
        <v>248.11666666666699</v>
      </c>
      <c r="I111" s="83">
        <v>198.12333333333299</v>
      </c>
      <c r="J111" s="83">
        <v>179.1875</v>
      </c>
      <c r="K111" s="83">
        <v>194.32583333333301</v>
      </c>
      <c r="L111" s="83">
        <v>198.150833333333</v>
      </c>
      <c r="M111" s="83">
        <v>216.379166666667</v>
      </c>
      <c r="N111" s="83">
        <v>241.7</v>
      </c>
      <c r="O111" s="83">
        <v>211.92916666666699</v>
      </c>
      <c r="P111" s="83">
        <v>269.50583333333299</v>
      </c>
      <c r="Q111" s="83">
        <v>313.95666666666699</v>
      </c>
      <c r="R111" s="83">
        <v>316.73722551602998</v>
      </c>
      <c r="S111" s="83">
        <v>346.16056135893098</v>
      </c>
      <c r="T111" s="83">
        <v>348.91512448919798</v>
      </c>
      <c r="U111" s="83">
        <v>265.601257308377</v>
      </c>
      <c r="V111" s="83">
        <v>237.85755307774301</v>
      </c>
      <c r="W111" s="83">
        <v>340.38667780189502</v>
      </c>
      <c r="X111" s="83">
        <v>287.42951828417398</v>
      </c>
      <c r="Y111" s="83">
        <v>362.20146089101797</v>
      </c>
      <c r="Z111" s="83">
        <v>298.26014595356401</v>
      </c>
      <c r="AA111" s="83">
        <v>268.27633410966098</v>
      </c>
      <c r="AB111" s="83">
        <v>253.93311836260099</v>
      </c>
      <c r="AC111" s="83">
        <v>267.203414450281</v>
      </c>
      <c r="AD111" s="83">
        <v>277.94792036818501</v>
      </c>
      <c r="AE111" s="84">
        <v>290.21567266645502</v>
      </c>
      <c r="AF111" s="83">
        <v>328.02310780598401</v>
      </c>
      <c r="AG111" s="83">
        <v>316.76503791228799</v>
      </c>
      <c r="AH111" s="83">
        <v>309.80010986328102</v>
      </c>
      <c r="AI111" s="83">
        <v>309.80010986328102</v>
      </c>
      <c r="AJ111" s="83">
        <v>309.80010986328102</v>
      </c>
      <c r="AK111" s="83">
        <v>309.80010986328102</v>
      </c>
      <c r="AL111" s="83">
        <v>309.80010986328102</v>
      </c>
      <c r="AM111" s="82"/>
      <c r="AN111" s="82"/>
    </row>
    <row r="112" spans="1:40" x14ac:dyDescent="0.65">
      <c r="A112" s="19" t="s">
        <v>209</v>
      </c>
      <c r="B112" s="11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  <c r="AA112" s="6"/>
      <c r="AB112" s="6"/>
      <c r="AC112" s="6"/>
      <c r="AD112" s="6"/>
      <c r="AE112" s="17"/>
      <c r="AF112" s="6"/>
      <c r="AG112" s="6"/>
      <c r="AH112" s="6"/>
      <c r="AI112" s="6"/>
      <c r="AJ112" s="6"/>
      <c r="AK112" s="6"/>
      <c r="AL112" s="6"/>
    </row>
    <row r="113" spans="1:40" x14ac:dyDescent="0.65">
      <c r="A113" s="20" t="s">
        <v>210</v>
      </c>
      <c r="B113" s="11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  <c r="AA113" s="6"/>
      <c r="AB113" s="6"/>
      <c r="AC113" s="6"/>
      <c r="AD113" s="6"/>
      <c r="AE113" s="17"/>
      <c r="AF113" s="6"/>
      <c r="AG113" s="6"/>
      <c r="AH113" s="6"/>
      <c r="AI113" s="6"/>
      <c r="AJ113" s="6"/>
      <c r="AK113" s="6"/>
      <c r="AL113" s="6"/>
    </row>
    <row r="114" spans="1:40" x14ac:dyDescent="0.65">
      <c r="A114" s="92" t="s">
        <v>211</v>
      </c>
      <c r="B114" s="112" t="str">
        <f t="shared" si="8"/>
        <v>IMF.RES.GAS:GAS_LIVE</v>
      </c>
      <c r="C114" s="81" t="s">
        <v>478</v>
      </c>
      <c r="D114" s="82"/>
      <c r="E114" s="83">
        <v>97.237180438602607</v>
      </c>
      <c r="F114" s="83">
        <v>85.054020065800501</v>
      </c>
      <c r="G114" s="83">
        <v>75.937004895266298</v>
      </c>
      <c r="H114" s="83">
        <v>77.234862020861499</v>
      </c>
      <c r="I114" s="83">
        <v>93.936141180343895</v>
      </c>
      <c r="J114" s="83">
        <v>108.96743576680601</v>
      </c>
      <c r="K114" s="83">
        <v>104.71754265481199</v>
      </c>
      <c r="L114" s="83">
        <v>98.988547590587899</v>
      </c>
      <c r="M114" s="83">
        <v>95.077129177137195</v>
      </c>
      <c r="N114" s="83">
        <v>116.615095169781</v>
      </c>
      <c r="O114" s="83">
        <v>172.381217293801</v>
      </c>
      <c r="P114" s="83">
        <v>200.47616369564099</v>
      </c>
      <c r="Q114" s="83">
        <v>128.38131363530599</v>
      </c>
      <c r="R114" s="83">
        <v>158.37447380646799</v>
      </c>
      <c r="S114" s="83">
        <v>207.21923684174399</v>
      </c>
      <c r="T114" s="83">
        <v>238.58284230981999</v>
      </c>
      <c r="U114" s="83">
        <v>200.83262211492899</v>
      </c>
      <c r="V114" s="83">
        <v>132.50146391411701</v>
      </c>
      <c r="W114" s="83">
        <v>100.277996094212</v>
      </c>
      <c r="X114" s="83">
        <v>97.809375316514902</v>
      </c>
      <c r="Y114" s="83">
        <v>101.659629248733</v>
      </c>
      <c r="Z114" s="85">
        <v>104.359738492925</v>
      </c>
      <c r="AA114" s="85">
        <v>110.434710892198</v>
      </c>
      <c r="AB114" s="85">
        <v>104.62608243436</v>
      </c>
      <c r="AC114" s="85">
        <v>178.085343764258</v>
      </c>
      <c r="AD114" s="85">
        <v>225.210770379905</v>
      </c>
      <c r="AE114" s="84">
        <v>166.914439852008</v>
      </c>
      <c r="AF114" s="85">
        <v>136.14723681056799</v>
      </c>
      <c r="AG114" s="85">
        <v>115.36240086409801</v>
      </c>
      <c r="AH114" s="85">
        <v>126.259297893566</v>
      </c>
      <c r="AI114" s="85">
        <v>125.0130595</v>
      </c>
      <c r="AJ114" s="85">
        <v>125.0130595</v>
      </c>
      <c r="AK114" s="85">
        <v>125.0130595</v>
      </c>
      <c r="AL114" s="85">
        <v>125.0130595</v>
      </c>
      <c r="AM114" s="82"/>
      <c r="AN114" s="82"/>
    </row>
    <row r="115" spans="1:40" x14ac:dyDescent="0.65">
      <c r="A115" s="92" t="s">
        <v>212</v>
      </c>
      <c r="B115" s="112" t="str">
        <f t="shared" si="8"/>
        <v>IMF.RES.GAS:GAS_LIVE</v>
      </c>
      <c r="C115" s="81" t="s">
        <v>479</v>
      </c>
      <c r="D115" s="82"/>
      <c r="E115" s="85">
        <v>117.172416687012</v>
      </c>
      <c r="F115" s="83">
        <v>101.617841084798</v>
      </c>
      <c r="G115" s="83">
        <v>90.294064397636006</v>
      </c>
      <c r="H115" s="83">
        <v>88.219229338827105</v>
      </c>
      <c r="I115" s="83">
        <v>89.6091379552321</v>
      </c>
      <c r="J115" s="83">
        <v>99.333266908978601</v>
      </c>
      <c r="K115" s="83">
        <v>105.24536300488001</v>
      </c>
      <c r="L115" s="83">
        <v>111.89486578857</v>
      </c>
      <c r="M115" s="83">
        <v>98.507651754124794</v>
      </c>
      <c r="N115" s="83">
        <v>121.647393080133</v>
      </c>
      <c r="O115" s="83">
        <v>163.609891151802</v>
      </c>
      <c r="P115" s="83">
        <v>223.36028937702901</v>
      </c>
      <c r="Q115" s="83">
        <v>165.62834760146899</v>
      </c>
      <c r="R115" s="83">
        <v>185.956504797468</v>
      </c>
      <c r="S115" s="83">
        <v>291.85408311749001</v>
      </c>
      <c r="T115" s="83">
        <v>298.43754856513698</v>
      </c>
      <c r="U115" s="83">
        <v>258.97946566509199</v>
      </c>
      <c r="V115" s="83">
        <v>192.93923405316701</v>
      </c>
      <c r="W115" s="83">
        <v>169.84463653437899</v>
      </c>
      <c r="X115" s="83">
        <v>159.22097156669599</v>
      </c>
      <c r="Y115" s="83">
        <v>154.59502043922799</v>
      </c>
      <c r="Z115" s="83">
        <v>164.51082855791699</v>
      </c>
      <c r="AA115" s="83">
        <v>170.169445036648</v>
      </c>
      <c r="AB115" s="83">
        <v>165.57838848441699</v>
      </c>
      <c r="AC115" s="83">
        <v>259.39483819698302</v>
      </c>
      <c r="AD115" s="83">
        <v>318.36102812364697</v>
      </c>
      <c r="AE115" s="84">
        <v>251.45554120832301</v>
      </c>
      <c r="AF115" s="83">
        <v>190.46164695815901</v>
      </c>
      <c r="AG115" s="83">
        <v>203.00638550580101</v>
      </c>
      <c r="AH115" s="83">
        <v>214.47484419833901</v>
      </c>
      <c r="AI115" s="83">
        <v>228.70556762499999</v>
      </c>
      <c r="AJ115" s="83">
        <v>232.52836404999999</v>
      </c>
      <c r="AK115" s="83">
        <v>228.64536609999999</v>
      </c>
      <c r="AL115" s="83">
        <v>228.64536609999999</v>
      </c>
      <c r="AM115" s="82"/>
      <c r="AN115" s="82"/>
    </row>
    <row r="116" spans="1:40" x14ac:dyDescent="0.65">
      <c r="A116" s="92" t="s">
        <v>213</v>
      </c>
      <c r="B116" s="112" t="str">
        <f t="shared" si="8"/>
        <v>IMF.RES.GAS:GAS_LIVE</v>
      </c>
      <c r="C116" s="81" t="s">
        <v>480</v>
      </c>
      <c r="D116" s="82"/>
      <c r="E116" s="85">
        <v>1.6471248549156201</v>
      </c>
      <c r="F116" s="83">
        <v>1.23088759881423</v>
      </c>
      <c r="G116" s="83">
        <v>1.11383591936445</v>
      </c>
      <c r="H116" s="83">
        <v>1.0967083882301301</v>
      </c>
      <c r="I116" s="83">
        <v>1.3951546936758901</v>
      </c>
      <c r="J116" s="83">
        <v>1.9485101637492901</v>
      </c>
      <c r="K116" s="83">
        <v>1.63087458744852</v>
      </c>
      <c r="L116" s="83">
        <v>1.5127040515897701</v>
      </c>
      <c r="M116" s="83">
        <v>1.61847478947285</v>
      </c>
      <c r="N116" s="83">
        <v>2.0427758976657699</v>
      </c>
      <c r="O116" s="83">
        <v>2.6978790701019602</v>
      </c>
      <c r="P116" s="83">
        <v>3.39223651107346</v>
      </c>
      <c r="Q116" s="83">
        <v>2.1823511667426101</v>
      </c>
      <c r="R116" s="83">
        <v>2.7426258697839798</v>
      </c>
      <c r="S116" s="83">
        <v>3.5417851006179801</v>
      </c>
      <c r="T116" s="83">
        <v>3.4688935133246499</v>
      </c>
      <c r="U116" s="83">
        <v>3.6731462726108699</v>
      </c>
      <c r="V116" s="83">
        <v>3.7441063802870098</v>
      </c>
      <c r="W116" s="83">
        <v>2.50013909062428</v>
      </c>
      <c r="X116" s="83">
        <v>1.96630089933744</v>
      </c>
      <c r="Y116" s="83">
        <v>2.5204368347375299</v>
      </c>
      <c r="Z116" s="85">
        <v>2.5616457630613101</v>
      </c>
      <c r="AA116" s="85">
        <v>2.8663541115634898</v>
      </c>
      <c r="AB116" s="85">
        <v>2.9684515336636998</v>
      </c>
      <c r="AC116" s="85">
        <v>4.8216516980032402</v>
      </c>
      <c r="AD116" s="85">
        <v>5.5441548831523804</v>
      </c>
      <c r="AE116" s="84">
        <v>3.8134717536388698</v>
      </c>
      <c r="AF116" s="85">
        <v>3.5600868447675502</v>
      </c>
      <c r="AG116" s="85">
        <v>3.4316245846075599</v>
      </c>
      <c r="AH116" s="85">
        <v>3.19669622977574</v>
      </c>
      <c r="AI116" s="85">
        <v>3.3584375</v>
      </c>
      <c r="AJ116" s="85">
        <v>3.305625</v>
      </c>
      <c r="AK116" s="85">
        <v>3.23875</v>
      </c>
      <c r="AL116" s="85">
        <v>3.23875</v>
      </c>
      <c r="AM116" s="82"/>
      <c r="AN116" s="82"/>
    </row>
    <row r="117" spans="1:40" x14ac:dyDescent="0.65">
      <c r="A117" s="92" t="s">
        <v>32</v>
      </c>
      <c r="B117" s="112" t="str">
        <f t="shared" si="8"/>
        <v>IMF.RES.GAS:GAS_LIVE</v>
      </c>
      <c r="C117" s="81" t="s">
        <v>481</v>
      </c>
      <c r="D117" s="82"/>
      <c r="E117" s="83">
        <v>302.46944681803399</v>
      </c>
      <c r="F117" s="83">
        <v>305.42361195882199</v>
      </c>
      <c r="G117" s="83">
        <v>248.968054707845</v>
      </c>
      <c r="H117" s="83">
        <v>203.69486636551801</v>
      </c>
      <c r="I117" s="83">
        <v>172.70505207353</v>
      </c>
      <c r="J117" s="83">
        <v>191.82625243114401</v>
      </c>
      <c r="K117" s="83">
        <v>199.46147813539099</v>
      </c>
      <c r="L117" s="83">
        <v>245.78338117196799</v>
      </c>
      <c r="M117" s="83">
        <v>287.81126560637398</v>
      </c>
      <c r="N117" s="83">
        <v>303.51525660329997</v>
      </c>
      <c r="O117" s="83">
        <v>332.39318887634101</v>
      </c>
      <c r="P117" s="83">
        <v>700.19960939789701</v>
      </c>
      <c r="Q117" s="83">
        <v>589.37638888888898</v>
      </c>
      <c r="R117" s="83">
        <v>520.49365353848998</v>
      </c>
      <c r="S117" s="83">
        <v>551.71070016939495</v>
      </c>
      <c r="T117" s="83">
        <v>580.236158626823</v>
      </c>
      <c r="U117" s="83">
        <v>519.30795454545398</v>
      </c>
      <c r="V117" s="83">
        <v>426.475068551795</v>
      </c>
      <c r="W117" s="83">
        <v>380.046568166133</v>
      </c>
      <c r="X117" s="83">
        <v>388.26486134638299</v>
      </c>
      <c r="Y117" s="83">
        <v>399.07462042788097</v>
      </c>
      <c r="Z117" s="85">
        <v>403.08165584415502</v>
      </c>
      <c r="AA117" s="85">
        <v>396.51368341803101</v>
      </c>
      <c r="AB117" s="85">
        <v>477.83823875399901</v>
      </c>
      <c r="AC117" s="85">
        <v>441.96272115565603</v>
      </c>
      <c r="AD117" s="85">
        <v>419.056104523496</v>
      </c>
      <c r="AE117" s="84">
        <v>528.57204576824097</v>
      </c>
      <c r="AF117" s="85">
        <v>565.17614028483604</v>
      </c>
      <c r="AG117" s="85">
        <v>384.133712905452</v>
      </c>
      <c r="AH117" s="85">
        <v>440.969899172135</v>
      </c>
      <c r="AI117" s="85">
        <v>470.40571975</v>
      </c>
      <c r="AJ117" s="85">
        <v>470.40571975</v>
      </c>
      <c r="AK117" s="85">
        <v>470.40571975</v>
      </c>
      <c r="AL117" s="85">
        <v>470.40571975</v>
      </c>
      <c r="AM117" s="82"/>
      <c r="AN117" s="82"/>
    </row>
    <row r="118" spans="1:40" x14ac:dyDescent="0.65">
      <c r="A118" s="92" t="s">
        <v>214</v>
      </c>
      <c r="B118" s="112" t="str">
        <f t="shared" si="8"/>
        <v>IMF.RES.GAS:GAS_LIVE</v>
      </c>
      <c r="C118" s="81" t="s">
        <v>482</v>
      </c>
      <c r="D118" s="82"/>
      <c r="E118" s="83">
        <v>4.9644893805186001</v>
      </c>
      <c r="F118" s="83">
        <v>4.4362517992655404</v>
      </c>
      <c r="G118" s="83">
        <v>3.82345492095321</v>
      </c>
      <c r="H118" s="83">
        <v>3.9828592903333302</v>
      </c>
      <c r="I118" s="83">
        <v>4.3343426706666701</v>
      </c>
      <c r="J118" s="83">
        <v>4.5638902655000004</v>
      </c>
      <c r="K118" s="83">
        <v>4.8211823428996503</v>
      </c>
      <c r="L118" s="83">
        <v>4.9484538583333304</v>
      </c>
      <c r="M118" s="83">
        <v>4.3379324973333304</v>
      </c>
      <c r="N118" s="83">
        <v>5.5849416666666603</v>
      </c>
      <c r="O118" s="83">
        <v>7.3729159469166596</v>
      </c>
      <c r="P118" s="83">
        <v>9.6645416666666595</v>
      </c>
      <c r="Q118" s="83">
        <v>6.9455314394166603</v>
      </c>
      <c r="R118" s="83">
        <v>7.5971666666666602</v>
      </c>
      <c r="S118" s="83">
        <v>12.162333333333301</v>
      </c>
      <c r="T118" s="83">
        <v>12.7296708333333</v>
      </c>
      <c r="U118" s="83">
        <v>12.110799999999999</v>
      </c>
      <c r="V118" s="83">
        <v>8.7988250000000008</v>
      </c>
      <c r="W118" s="83">
        <v>9.1466416666666603</v>
      </c>
      <c r="X118" s="83">
        <v>7.0664999999999996</v>
      </c>
      <c r="Y118" s="83">
        <v>7.3591749999999996</v>
      </c>
      <c r="Z118" s="85">
        <v>7.6483898264166603</v>
      </c>
      <c r="AA118" s="85">
        <v>7.3260874301666599</v>
      </c>
      <c r="AB118" s="85">
        <v>9.1799991516666601</v>
      </c>
      <c r="AC118" s="85">
        <v>15.456457735000001</v>
      </c>
      <c r="AD118" s="85">
        <v>16.807101719166599</v>
      </c>
      <c r="AE118" s="84">
        <v>14.4447418816666</v>
      </c>
      <c r="AF118" s="85">
        <v>10.7634830578333</v>
      </c>
      <c r="AG118" s="85">
        <v>9.0460304442500004</v>
      </c>
      <c r="AH118" s="85">
        <v>8.5226049423217702</v>
      </c>
      <c r="AI118" s="85">
        <v>8.5226049423217702</v>
      </c>
      <c r="AJ118" s="85">
        <v>8.5226049423217702</v>
      </c>
      <c r="AK118" s="85">
        <v>8.5226049423217702</v>
      </c>
      <c r="AL118" s="85">
        <v>8.5226049423217702</v>
      </c>
      <c r="AM118" s="82"/>
      <c r="AN118" s="82"/>
    </row>
    <row r="119" spans="1:40" x14ac:dyDescent="0.65">
      <c r="A119" s="92" t="s">
        <v>37</v>
      </c>
      <c r="B119" s="112" t="str">
        <f t="shared" si="8"/>
        <v>IMF.RES.GAS:GAS_LIVE</v>
      </c>
      <c r="C119" s="81" t="s">
        <v>483</v>
      </c>
      <c r="D119" s="82"/>
      <c r="E119" s="83">
        <v>149.512799873907</v>
      </c>
      <c r="F119" s="83">
        <v>114.464760694502</v>
      </c>
      <c r="G119" s="83">
        <v>98.260947197435001</v>
      </c>
      <c r="H119" s="83">
        <v>100.739016070595</v>
      </c>
      <c r="I119" s="83">
        <v>106.372979259346</v>
      </c>
      <c r="J119" s="83">
        <v>132.16746002208399</v>
      </c>
      <c r="K119" s="83">
        <v>131.91875547099099</v>
      </c>
      <c r="L119" s="83">
        <v>134.39088526096799</v>
      </c>
      <c r="M119" s="83">
        <v>129.673828936798</v>
      </c>
      <c r="N119" s="83">
        <v>169.13863643901399</v>
      </c>
      <c r="O119" s="83">
        <v>231.18493510804001</v>
      </c>
      <c r="P119" s="83">
        <v>292.96747299311397</v>
      </c>
      <c r="Q119" s="83">
        <v>192.10747480649499</v>
      </c>
      <c r="R119" s="83">
        <v>195.22990007850399</v>
      </c>
      <c r="S119" s="83">
        <v>280.28247042585599</v>
      </c>
      <c r="T119" s="83">
        <v>276.33018536569801</v>
      </c>
      <c r="U119" s="83">
        <v>265.686280345017</v>
      </c>
      <c r="V119" s="83">
        <v>242.89891345012799</v>
      </c>
      <c r="W119" s="83">
        <v>185.865979302005</v>
      </c>
      <c r="X119" s="83">
        <v>143.200966957313</v>
      </c>
      <c r="Y119" s="83">
        <v>145.29358652762599</v>
      </c>
      <c r="Z119" s="85">
        <v>186.128985852049</v>
      </c>
      <c r="AA119" s="85">
        <v>163.257673571243</v>
      </c>
      <c r="AB119" s="85">
        <v>185.51317891837201</v>
      </c>
      <c r="AC119" s="85">
        <v>265.793165039624</v>
      </c>
      <c r="AD119" s="85">
        <v>360.17478071481298</v>
      </c>
      <c r="AE119" s="84">
        <v>272.33217123578203</v>
      </c>
      <c r="AF119" s="85">
        <v>201.19487731788499</v>
      </c>
      <c r="AG119" s="85">
        <v>173.09194962609399</v>
      </c>
      <c r="AH119" s="85">
        <v>196.79831069616699</v>
      </c>
      <c r="AI119" s="85">
        <v>220.86222638749999</v>
      </c>
      <c r="AJ119" s="85">
        <v>225.32910287499999</v>
      </c>
      <c r="AK119" s="85">
        <v>222.88059279999999</v>
      </c>
      <c r="AL119" s="85">
        <v>222.88059279999999</v>
      </c>
      <c r="AM119" s="82"/>
      <c r="AN119" s="82"/>
    </row>
    <row r="120" spans="1:40" x14ac:dyDescent="0.65">
      <c r="A120" s="20" t="s">
        <v>186</v>
      </c>
      <c r="B120" s="11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  <c r="AA120" s="6"/>
      <c r="AB120" s="6"/>
      <c r="AC120" s="6"/>
      <c r="AD120" s="6"/>
      <c r="AE120" s="17"/>
      <c r="AF120" s="6"/>
      <c r="AG120" s="6"/>
      <c r="AH120" s="6"/>
      <c r="AI120" s="6"/>
      <c r="AJ120" s="6"/>
      <c r="AK120" s="6"/>
      <c r="AL120" s="6"/>
    </row>
    <row r="121" spans="1:40" x14ac:dyDescent="0.65">
      <c r="A121" s="92" t="s">
        <v>26</v>
      </c>
      <c r="B121" s="112" t="str">
        <f t="shared" si="8"/>
        <v>IMF.RES.GAS:GAS_LIVE</v>
      </c>
      <c r="C121" s="81" t="s">
        <v>484</v>
      </c>
      <c r="D121" s="82"/>
      <c r="E121" s="83">
        <v>84.168419520060198</v>
      </c>
      <c r="F121" s="83">
        <v>78.294997533162402</v>
      </c>
      <c r="G121" s="83">
        <v>83.139349872582002</v>
      </c>
      <c r="H121" s="83">
        <v>87.789125650919104</v>
      </c>
      <c r="I121" s="83">
        <v>96.540795689817401</v>
      </c>
      <c r="J121" s="83">
        <v>95.403771140631605</v>
      </c>
      <c r="K121" s="83">
        <v>89.735416666666694</v>
      </c>
      <c r="L121" s="83">
        <v>113.90708333333301</v>
      </c>
      <c r="M121" s="83">
        <v>118.729166666667</v>
      </c>
      <c r="N121" s="83">
        <v>115.635416666667</v>
      </c>
      <c r="O121" s="83">
        <v>118.038333333333</v>
      </c>
      <c r="P121" s="83">
        <v>121.103472222222</v>
      </c>
      <c r="Q121" s="83">
        <v>119.622916666667</v>
      </c>
      <c r="R121" s="83">
        <v>152.47455808080801</v>
      </c>
      <c r="S121" s="83">
        <v>183.178349194585</v>
      </c>
      <c r="T121" s="83">
        <v>187.942903413012</v>
      </c>
      <c r="U121" s="83">
        <v>183.561946441949</v>
      </c>
      <c r="V121" s="83">
        <v>224.058433716042</v>
      </c>
      <c r="W121" s="83">
        <v>200.494371118012</v>
      </c>
      <c r="X121" s="83">
        <v>178.20826275174099</v>
      </c>
      <c r="Y121" s="83">
        <v>191.510589983687</v>
      </c>
      <c r="Z121" s="85">
        <v>183.55703149507499</v>
      </c>
      <c r="AA121" s="85">
        <v>209.697046944601</v>
      </c>
      <c r="AB121" s="85">
        <v>200.435439409624</v>
      </c>
      <c r="AC121" s="85">
        <v>235.95782553798799</v>
      </c>
      <c r="AD121" s="85">
        <v>254.20606884057901</v>
      </c>
      <c r="AE121" s="84">
        <v>225.27680649664299</v>
      </c>
      <c r="AF121" s="85">
        <v>261.76294584039101</v>
      </c>
      <c r="AG121" s="85">
        <v>303.940376199887</v>
      </c>
      <c r="AH121" s="85">
        <v>319.29369186305303</v>
      </c>
      <c r="AI121" s="85">
        <v>319.73028956249999</v>
      </c>
      <c r="AJ121" s="85">
        <v>313.437072</v>
      </c>
      <c r="AK121" s="85">
        <v>313.437072</v>
      </c>
      <c r="AL121" s="85">
        <v>313.437072</v>
      </c>
      <c r="AM121" s="82"/>
      <c r="AN121" s="82"/>
    </row>
    <row r="122" spans="1:40" x14ac:dyDescent="0.65">
      <c r="A122" s="92" t="s">
        <v>215</v>
      </c>
      <c r="B122" s="112" t="str">
        <f t="shared" si="8"/>
        <v>IMF.RES.GAS:GAS_LIVE</v>
      </c>
      <c r="C122" s="81" t="s">
        <v>485</v>
      </c>
      <c r="D122" s="82"/>
      <c r="E122" s="83">
        <v>150.28122456833299</v>
      </c>
      <c r="F122" s="83">
        <v>116.01231511500001</v>
      </c>
      <c r="G122" s="83">
        <v>115.81920319916701</v>
      </c>
      <c r="H122" s="83">
        <v>112.853865535</v>
      </c>
      <c r="I122" s="83">
        <v>130.247730206667</v>
      </c>
      <c r="J122" s="83">
        <v>146.042941085</v>
      </c>
      <c r="K122" s="83">
        <v>159.8134229625</v>
      </c>
      <c r="L122" s="83">
        <v>165.763878715</v>
      </c>
      <c r="M122" s="83">
        <v>160.91978680833299</v>
      </c>
      <c r="N122" s="83">
        <v>153.60494232666699</v>
      </c>
      <c r="O122" s="83">
        <v>161.70940664</v>
      </c>
      <c r="P122" s="83">
        <v>170.72394418833301</v>
      </c>
      <c r="Q122" s="83">
        <v>146.94264708166699</v>
      </c>
      <c r="R122" s="83">
        <v>145.62290317577001</v>
      </c>
      <c r="S122" s="83">
        <v>149.15288980966099</v>
      </c>
      <c r="T122" s="83">
        <v>101.31329586152999</v>
      </c>
      <c r="U122" s="83">
        <v>105.845248636178</v>
      </c>
      <c r="V122" s="83">
        <v>136.40099746737101</v>
      </c>
      <c r="W122" s="83">
        <v>104.487139558962</v>
      </c>
      <c r="X122" s="83">
        <v>91.348412279308107</v>
      </c>
      <c r="Y122" s="83">
        <v>108.524015692131</v>
      </c>
      <c r="Z122" s="83">
        <v>115.702137949822</v>
      </c>
      <c r="AA122" s="83">
        <v>115.84218670201</v>
      </c>
      <c r="AB122" s="83">
        <v>116.164246597974</v>
      </c>
      <c r="AC122" s="83">
        <v>146.565012682022</v>
      </c>
      <c r="AD122" s="83">
        <v>138.52654338647301</v>
      </c>
      <c r="AE122" s="84">
        <v>95.181860776530598</v>
      </c>
      <c r="AF122" s="83">
        <v>113.24788848054899</v>
      </c>
      <c r="AG122" s="83">
        <v>154.31252062016301</v>
      </c>
      <c r="AH122" s="83">
        <v>168.55284118652301</v>
      </c>
      <c r="AI122" s="83">
        <v>168.55284118652301</v>
      </c>
      <c r="AJ122" s="83">
        <v>168.55284118652301</v>
      </c>
      <c r="AK122" s="83">
        <v>168.55284118652301</v>
      </c>
      <c r="AL122" s="83">
        <v>168.55284118652301</v>
      </c>
      <c r="AM122" s="82"/>
      <c r="AN122" s="82"/>
    </row>
    <row r="123" spans="1:40" x14ac:dyDescent="0.65">
      <c r="A123" s="92" t="s">
        <v>216</v>
      </c>
      <c r="B123" s="112" t="str">
        <f t="shared" si="8"/>
        <v>IMF.RES.GAS:GAS_LIVE</v>
      </c>
      <c r="C123" s="81" t="s">
        <v>486</v>
      </c>
      <c r="D123" s="82"/>
      <c r="E123" s="83">
        <v>60.988586070362402</v>
      </c>
      <c r="F123" s="83">
        <v>63.154075091575102</v>
      </c>
      <c r="G123" s="83">
        <v>59.964894133644101</v>
      </c>
      <c r="H123" s="83">
        <v>59.449891072409699</v>
      </c>
      <c r="I123" s="83">
        <v>63.627346611721599</v>
      </c>
      <c r="J123" s="83">
        <v>63.082232004106999</v>
      </c>
      <c r="K123" s="83">
        <v>66.175227260161805</v>
      </c>
      <c r="L123" s="83">
        <v>75.712972767357996</v>
      </c>
      <c r="M123" s="83">
        <v>73.906155847771601</v>
      </c>
      <c r="N123" s="83">
        <v>69.233274314768295</v>
      </c>
      <c r="O123" s="83">
        <v>78.1930494942698</v>
      </c>
      <c r="P123" s="83">
        <v>84.624893959421598</v>
      </c>
      <c r="Q123" s="83">
        <v>85.673206357227699</v>
      </c>
      <c r="R123" s="83">
        <v>85.851263261124103</v>
      </c>
      <c r="S123" s="83">
        <v>87.392385162670905</v>
      </c>
      <c r="T123" s="83">
        <v>94.308193212321598</v>
      </c>
      <c r="U123" s="83">
        <v>103.866129739287</v>
      </c>
      <c r="V123" s="83">
        <v>110.101695100219</v>
      </c>
      <c r="W123" s="83">
        <v>114.68000915506801</v>
      </c>
      <c r="X123" s="83">
        <v>111.430505903342</v>
      </c>
      <c r="Y123" s="83">
        <v>125.610829692542</v>
      </c>
      <c r="Z123" s="83">
        <v>131.30399886014001</v>
      </c>
      <c r="AA123" s="83">
        <v>119.29164217623899</v>
      </c>
      <c r="AB123" s="83">
        <v>98.653592496528901</v>
      </c>
      <c r="AC123" s="83">
        <v>136.027843938746</v>
      </c>
      <c r="AD123" s="83">
        <v>188.54149409158299</v>
      </c>
      <c r="AE123" s="84">
        <v>164.58623543964299</v>
      </c>
      <c r="AF123" s="83">
        <v>170.80479886312099</v>
      </c>
      <c r="AG123" s="83">
        <v>171.733424961384</v>
      </c>
      <c r="AH123" s="83">
        <v>168.220779418945</v>
      </c>
      <c r="AI123" s="83">
        <v>168.220779418945</v>
      </c>
      <c r="AJ123" s="83">
        <v>168.220779418945</v>
      </c>
      <c r="AK123" s="83">
        <v>168.220779418945</v>
      </c>
      <c r="AL123" s="83">
        <v>168.220779418945</v>
      </c>
      <c r="AM123" s="82"/>
      <c r="AN123" s="82"/>
    </row>
    <row r="124" spans="1:40" x14ac:dyDescent="0.65">
      <c r="A124" s="92" t="s">
        <v>217</v>
      </c>
      <c r="B124" s="112" t="str">
        <f t="shared" si="8"/>
        <v>IMF.RES.GAS:GAS_LIVE</v>
      </c>
      <c r="C124" s="81" t="s">
        <v>487</v>
      </c>
      <c r="D124" s="82"/>
      <c r="E124" s="83">
        <v>72.858429501784798</v>
      </c>
      <c r="F124" s="83">
        <v>45.617312645084397</v>
      </c>
      <c r="G124" s="83">
        <v>44.405343000947703</v>
      </c>
      <c r="H124" s="83">
        <v>59.286740718314199</v>
      </c>
      <c r="I124" s="83">
        <v>61.433406285944301</v>
      </c>
      <c r="J124" s="83">
        <v>47.259578668344098</v>
      </c>
      <c r="K124" s="83">
        <v>53.394999626591698</v>
      </c>
      <c r="L124" s="83">
        <v>71.008409614423599</v>
      </c>
      <c r="M124" s="83">
        <v>67.672460868079199</v>
      </c>
      <c r="N124" s="83">
        <v>63.859127206328303</v>
      </c>
      <c r="O124" s="83">
        <v>63.665922871655397</v>
      </c>
      <c r="P124" s="83">
        <v>64.649324568557901</v>
      </c>
      <c r="Q124" s="83">
        <v>55.747849956330199</v>
      </c>
      <c r="R124" s="83">
        <v>74.445772269524198</v>
      </c>
      <c r="S124" s="83">
        <v>89.365260924462007</v>
      </c>
      <c r="T124" s="83">
        <v>82.778883484237596</v>
      </c>
      <c r="U124" s="83">
        <v>86.546354997341794</v>
      </c>
      <c r="V124" s="83">
        <v>102.81389625579099</v>
      </c>
      <c r="W124" s="83">
        <v>67.909394041345095</v>
      </c>
      <c r="X124" s="83">
        <v>62.409560606060602</v>
      </c>
      <c r="Y124" s="83">
        <v>68.296554363510793</v>
      </c>
      <c r="Z124" s="85">
        <v>62.170229364584003</v>
      </c>
      <c r="AA124" s="85">
        <v>64.841755911517893</v>
      </c>
      <c r="AB124" s="85">
        <v>58.374961038960997</v>
      </c>
      <c r="AC124" s="85">
        <v>90.921526334776303</v>
      </c>
      <c r="AD124" s="85">
        <v>96.212766100445407</v>
      </c>
      <c r="AE124" s="84">
        <v>79.237463046615204</v>
      </c>
      <c r="AF124" s="85">
        <v>83.231416862726604</v>
      </c>
      <c r="AG124" s="85">
        <v>91.451036519598304</v>
      </c>
      <c r="AH124" s="85">
        <v>92.866518159677696</v>
      </c>
      <c r="AI124" s="85">
        <v>86.945212634999905</v>
      </c>
      <c r="AJ124" s="85">
        <v>88.859062953333293</v>
      </c>
      <c r="AK124" s="85">
        <v>88.859062953333293</v>
      </c>
      <c r="AL124" s="85">
        <v>88.859062953333293</v>
      </c>
      <c r="AM124" s="82"/>
      <c r="AN124" s="82"/>
    </row>
    <row r="125" spans="1:40" x14ac:dyDescent="0.65">
      <c r="A125" s="20" t="s">
        <v>190</v>
      </c>
      <c r="B125" s="11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17"/>
      <c r="AF125" s="5"/>
      <c r="AG125" s="5"/>
      <c r="AH125" s="5"/>
      <c r="AI125" s="5"/>
      <c r="AJ125" s="5"/>
      <c r="AK125" s="5"/>
      <c r="AL125" s="5"/>
    </row>
    <row r="126" spans="1:40" x14ac:dyDescent="0.65">
      <c r="A126" s="92" t="s">
        <v>218</v>
      </c>
      <c r="B126" s="112" t="str">
        <f t="shared" ref="B126:B168" si="9">$B$4</f>
        <v>IMF.RES.GAS:GAS_LIVE</v>
      </c>
      <c r="C126" s="81" t="s">
        <v>488</v>
      </c>
      <c r="D126" s="82"/>
      <c r="E126" s="83">
        <v>7.8866445917983299</v>
      </c>
      <c r="F126" s="83">
        <v>7.7266152311266802</v>
      </c>
      <c r="G126" s="83">
        <v>7.1481303596749903</v>
      </c>
      <c r="H126" s="83">
        <v>7.4025681120682902</v>
      </c>
      <c r="I126" s="83">
        <v>7.3814638603551401</v>
      </c>
      <c r="J126" s="83">
        <v>6.3429898156306797</v>
      </c>
      <c r="K126" s="83">
        <v>7.0352645061688301</v>
      </c>
      <c r="L126" s="83">
        <v>6.6788697916666599</v>
      </c>
      <c r="M126" s="83">
        <v>6.5474507916666598</v>
      </c>
      <c r="N126" s="83">
        <v>6.8265476249999999</v>
      </c>
      <c r="O126" s="83">
        <v>6.6292508750000003</v>
      </c>
      <c r="P126" s="83">
        <v>7.0529727083333302</v>
      </c>
      <c r="Q126" s="83">
        <v>6.372603625</v>
      </c>
      <c r="R126" s="83">
        <v>6.9421632500000001</v>
      </c>
      <c r="S126" s="83">
        <v>7.8563576250000002</v>
      </c>
      <c r="T126" s="83">
        <v>7.4926158749999896</v>
      </c>
      <c r="U126" s="83">
        <v>8.5035567499999907</v>
      </c>
      <c r="V126" s="83">
        <v>10.14118425</v>
      </c>
      <c r="W126" s="83">
        <v>8.4393160833333294</v>
      </c>
      <c r="X126" s="83">
        <v>8.5503610833333301</v>
      </c>
      <c r="Y126" s="83">
        <v>9.0080694166666593</v>
      </c>
      <c r="Z126" s="85">
        <v>8.4724302083333303</v>
      </c>
      <c r="AA126" s="85">
        <v>7.8307130833333298</v>
      </c>
      <c r="AB126" s="85">
        <v>7.3303244689999998</v>
      </c>
      <c r="AC126" s="85">
        <v>7.7370197764166599</v>
      </c>
      <c r="AD126" s="85">
        <v>8.0541189068333292</v>
      </c>
      <c r="AE126" s="84">
        <v>6.95906870525</v>
      </c>
      <c r="AF126" s="85">
        <v>7.4253949666666603</v>
      </c>
      <c r="AG126" s="85">
        <v>6.9910676653333299</v>
      </c>
      <c r="AH126" s="85">
        <v>7.2749657630920401</v>
      </c>
      <c r="AI126" s="85">
        <v>7.2749657630920401</v>
      </c>
      <c r="AJ126" s="85">
        <v>7.2749657630920401</v>
      </c>
      <c r="AK126" s="85">
        <v>7.2749657630920401</v>
      </c>
      <c r="AL126" s="85">
        <v>7.2749657630920401</v>
      </c>
      <c r="AM126" s="82"/>
      <c r="AN126" s="82"/>
    </row>
    <row r="127" spans="1:40" x14ac:dyDescent="0.65">
      <c r="A127" s="92" t="s">
        <v>219</v>
      </c>
      <c r="B127" s="112" t="str">
        <f t="shared" si="9"/>
        <v>IMF.RES.GAS:GAS_LIVE</v>
      </c>
      <c r="C127" s="81" t="s">
        <v>489</v>
      </c>
      <c r="D127" s="82"/>
      <c r="E127" s="83">
        <v>3.7259244261981301</v>
      </c>
      <c r="F127" s="83">
        <v>3.7186772617107402</v>
      </c>
      <c r="G127" s="83">
        <v>3.5694646617952701</v>
      </c>
      <c r="H127" s="83">
        <v>3.6459689099414399</v>
      </c>
      <c r="I127" s="83">
        <v>2.8909532049516899</v>
      </c>
      <c r="J127" s="83">
        <v>2.9373007781828901</v>
      </c>
      <c r="K127" s="83">
        <v>2.9926678173163999</v>
      </c>
      <c r="L127" s="83">
        <v>3.3433640945930301</v>
      </c>
      <c r="M127" s="83">
        <v>4.0629145288072399</v>
      </c>
      <c r="N127" s="83">
        <v>5.06157980753727</v>
      </c>
      <c r="O127" s="83">
        <v>4.5445066517541202</v>
      </c>
      <c r="P127" s="83">
        <v>4.8484015513734198</v>
      </c>
      <c r="Q127" s="83">
        <v>4.9230205085703904</v>
      </c>
      <c r="R127" s="83">
        <v>6.1431494171650796</v>
      </c>
      <c r="S127" s="83">
        <v>5.9569883914531196</v>
      </c>
      <c r="T127" s="83">
        <v>4.7446104882576998</v>
      </c>
      <c r="U127" s="83">
        <v>6.7157435064950999</v>
      </c>
      <c r="V127" s="83">
        <v>6.6002191416916904</v>
      </c>
      <c r="W127" s="83">
        <v>5.3055824768091497</v>
      </c>
      <c r="X127" s="83">
        <v>7.1390364824083896</v>
      </c>
      <c r="Y127" s="83">
        <v>7.4441915881742897</v>
      </c>
      <c r="Z127" s="83">
        <v>7.5243675094905296</v>
      </c>
      <c r="AA127" s="83">
        <v>6.9207071369714699</v>
      </c>
      <c r="AB127" s="83">
        <v>6.09988504646339</v>
      </c>
      <c r="AC127" s="83">
        <v>6.86424137320315</v>
      </c>
      <c r="AD127" s="83">
        <v>8.4235543931478105</v>
      </c>
      <c r="AE127" s="84">
        <v>8.9574459513215405</v>
      </c>
      <c r="AF127" s="83">
        <v>8.7752639329005593</v>
      </c>
      <c r="AG127" s="83">
        <v>7.8219983562134301</v>
      </c>
      <c r="AH127" s="83">
        <v>8.8568637121630793</v>
      </c>
      <c r="AI127" s="83">
        <v>9.04216176824999</v>
      </c>
      <c r="AJ127" s="83">
        <v>9.3215032333333294</v>
      </c>
      <c r="AK127" s="83">
        <v>8.4207282203333307</v>
      </c>
      <c r="AL127" s="83">
        <v>8.4207282203333307</v>
      </c>
      <c r="AM127" s="82"/>
      <c r="AN127" s="82"/>
    </row>
    <row r="128" spans="1:40" x14ac:dyDescent="0.65">
      <c r="A128" s="20" t="s">
        <v>192</v>
      </c>
      <c r="B128" s="11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17"/>
      <c r="AF128" s="5"/>
      <c r="AG128" s="5"/>
      <c r="AH128" s="5"/>
      <c r="AI128" s="5"/>
      <c r="AJ128" s="5"/>
      <c r="AK128" s="5"/>
      <c r="AL128" s="5"/>
    </row>
    <row r="129" spans="1:40" x14ac:dyDescent="0.65">
      <c r="A129" s="92" t="s">
        <v>34</v>
      </c>
      <c r="B129" s="112" t="str">
        <f t="shared" si="9"/>
        <v>IMF.RES.GAS:GAS_LIVE</v>
      </c>
      <c r="C129" s="81" t="s">
        <v>490</v>
      </c>
      <c r="D129" s="82"/>
      <c r="E129" s="83">
        <v>21.934002876281699</v>
      </c>
      <c r="F129" s="83">
        <v>22.062626679738401</v>
      </c>
      <c r="G129" s="83">
        <v>21.139583757067498</v>
      </c>
      <c r="H129" s="83">
        <v>19.396413686555</v>
      </c>
      <c r="I129" s="83">
        <v>21.337572437157402</v>
      </c>
      <c r="J129" s="83">
        <v>20.940597911527799</v>
      </c>
      <c r="K129" s="83">
        <v>21.499826604554901</v>
      </c>
      <c r="L129" s="83">
        <v>20.571095142748199</v>
      </c>
      <c r="M129" s="83">
        <v>21.068362263943801</v>
      </c>
      <c r="N129" s="83">
        <v>22.1194531152486</v>
      </c>
      <c r="O129" s="83">
        <v>20.763158626143799</v>
      </c>
      <c r="P129" s="83">
        <v>21.323397003708202</v>
      </c>
      <c r="Q129" s="83">
        <v>24.3357318886661</v>
      </c>
      <c r="R129" s="83">
        <v>31.051212183125799</v>
      </c>
      <c r="S129" s="83">
        <v>37.572475197380797</v>
      </c>
      <c r="T129" s="83">
        <v>28.8954295187078</v>
      </c>
      <c r="U129" s="83">
        <v>21.214537049970101</v>
      </c>
      <c r="V129" s="83">
        <v>24.862270485997598</v>
      </c>
      <c r="W129" s="83">
        <v>24.827514600896102</v>
      </c>
      <c r="X129" s="83">
        <v>27.631590742336702</v>
      </c>
      <c r="Y129" s="83">
        <v>27.908144140819701</v>
      </c>
      <c r="Z129" s="83">
        <v>25.3398924439722</v>
      </c>
      <c r="AA129" s="83">
        <v>26.1184263252003</v>
      </c>
      <c r="AB129" s="83">
        <v>26.955637873091799</v>
      </c>
      <c r="AC129" s="83">
        <v>33.645142756429898</v>
      </c>
      <c r="AD129" s="83">
        <v>35.735225134228799</v>
      </c>
      <c r="AE129" s="84">
        <v>40.566509928477302</v>
      </c>
      <c r="AF129" s="83">
        <v>38.222247811970597</v>
      </c>
      <c r="AG129" s="83">
        <v>35.919503184013998</v>
      </c>
      <c r="AH129" s="83">
        <v>32.489545586903901</v>
      </c>
      <c r="AI129" s="83">
        <v>33.384999999999998</v>
      </c>
      <c r="AJ129" s="83">
        <v>33.51</v>
      </c>
      <c r="AK129" s="83">
        <v>33.51</v>
      </c>
      <c r="AL129" s="83">
        <v>33.51</v>
      </c>
      <c r="AM129" s="82"/>
      <c r="AN129" s="82"/>
    </row>
    <row r="130" spans="1:40" x14ac:dyDescent="0.65">
      <c r="A130" s="92" t="s">
        <v>220</v>
      </c>
      <c r="B130" s="112" t="str">
        <f t="shared" si="9"/>
        <v>IMF.RES.GAS:GAS_LIVE</v>
      </c>
      <c r="C130" s="81" t="s">
        <v>491</v>
      </c>
      <c r="D130" s="82"/>
      <c r="E130" s="83">
        <v>11.4023442268371</v>
      </c>
      <c r="F130" s="83">
        <v>8.9182029167811105</v>
      </c>
      <c r="G130" s="83">
        <v>6.2646874975601401</v>
      </c>
      <c r="H130" s="83">
        <v>8.0798415929481102</v>
      </c>
      <c r="I130" s="83">
        <v>8.2315534814473601</v>
      </c>
      <c r="J130" s="83">
        <v>6.2369491341991301</v>
      </c>
      <c r="K130" s="83">
        <v>6.9257124558211496</v>
      </c>
      <c r="L130" s="83">
        <v>7.54509763332904</v>
      </c>
      <c r="M130" s="83">
        <v>10.0701835389693</v>
      </c>
      <c r="N130" s="83">
        <v>14.788469887663799</v>
      </c>
      <c r="O130" s="83">
        <v>9.9566371458124898</v>
      </c>
      <c r="P130" s="83">
        <v>12.4522065068799</v>
      </c>
      <c r="Q130" s="83">
        <v>18.1503608642819</v>
      </c>
      <c r="R130" s="83">
        <v>20.8909254897785</v>
      </c>
      <c r="S130" s="83">
        <v>26.235583629693501</v>
      </c>
      <c r="T130" s="83">
        <v>21.374501965140102</v>
      </c>
      <c r="U130" s="83">
        <v>17.708547544338401</v>
      </c>
      <c r="V130" s="83">
        <v>17.127041227905</v>
      </c>
      <c r="W130" s="83">
        <v>13.2151408065618</v>
      </c>
      <c r="X130" s="83">
        <v>18.143677310866099</v>
      </c>
      <c r="Y130" s="83">
        <v>15.834654959203</v>
      </c>
      <c r="Z130" s="83">
        <v>12.2513446779828</v>
      </c>
      <c r="AA130" s="83">
        <v>12.350470322297801</v>
      </c>
      <c r="AB130" s="83">
        <v>12.8841910742766</v>
      </c>
      <c r="AC130" s="83">
        <v>17.856061031201101</v>
      </c>
      <c r="AD130" s="83">
        <v>18.8255342382636</v>
      </c>
      <c r="AE130" s="84">
        <v>24.0421752697785</v>
      </c>
      <c r="AF130" s="83">
        <v>20.743366091034499</v>
      </c>
      <c r="AG130" s="83">
        <v>16.9718387367463</v>
      </c>
      <c r="AH130" s="83">
        <v>14.069659128189</v>
      </c>
      <c r="AI130" s="83">
        <v>14.8225</v>
      </c>
      <c r="AJ130" s="83">
        <v>15.49</v>
      </c>
      <c r="AK130" s="83">
        <v>15.59</v>
      </c>
      <c r="AL130" s="83">
        <v>15.59</v>
      </c>
      <c r="AM130" s="82"/>
      <c r="AN130" s="82"/>
    </row>
    <row r="131" spans="1:40" x14ac:dyDescent="0.65">
      <c r="A131" s="20" t="s">
        <v>221</v>
      </c>
      <c r="B131" s="11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17"/>
      <c r="AF131" s="5"/>
      <c r="AG131" s="5"/>
      <c r="AH131" s="5"/>
      <c r="AI131" s="5"/>
      <c r="AJ131" s="5"/>
      <c r="AK131" s="5"/>
      <c r="AL131" s="5"/>
    </row>
    <row r="132" spans="1:40" x14ac:dyDescent="0.65">
      <c r="A132" s="92" t="s">
        <v>222</v>
      </c>
      <c r="B132" s="112" t="str">
        <f t="shared" si="9"/>
        <v>IMF.RES.GAS:GAS_LIVE</v>
      </c>
      <c r="C132" s="81" t="s">
        <v>854</v>
      </c>
      <c r="D132" s="82"/>
      <c r="E132" s="83">
        <v>4236.4825000000001</v>
      </c>
      <c r="F132" s="83">
        <v>3227.04792083333</v>
      </c>
      <c r="G132" s="83">
        <v>3650.4376333333298</v>
      </c>
      <c r="H132" s="83">
        <v>2980.1161999999999</v>
      </c>
      <c r="I132" s="83">
        <v>2667.2750000000001</v>
      </c>
      <c r="J132" s="83">
        <v>2900.5102375981101</v>
      </c>
      <c r="K132" s="83">
        <v>3796.7667397774298</v>
      </c>
      <c r="L132" s="83">
        <v>4630.9342190981997</v>
      </c>
      <c r="M132" s="83">
        <v>5519.1558153171</v>
      </c>
      <c r="N132" s="83">
        <v>5487.6948119363697</v>
      </c>
      <c r="O132" s="83">
        <v>4561.0261189862904</v>
      </c>
      <c r="P132" s="83">
        <v>4167.4531058022803</v>
      </c>
      <c r="Q132" s="83">
        <v>3509.3311856089599</v>
      </c>
      <c r="R132" s="83">
        <v>3171.2648531050399</v>
      </c>
      <c r="S132" s="83">
        <v>3062.2392794531502</v>
      </c>
      <c r="T132" s="83">
        <v>3019.36752890551</v>
      </c>
      <c r="U132" s="83">
        <v>3894.4577274360099</v>
      </c>
      <c r="V132" s="83">
        <v>3780.5559752837698</v>
      </c>
      <c r="W132" s="83">
        <v>4292.8348580618103</v>
      </c>
      <c r="X132" s="83">
        <v>3978.4662626978402</v>
      </c>
      <c r="Y132" s="83">
        <v>4529.7967719696899</v>
      </c>
      <c r="Z132" s="83">
        <v>3911.7289893591801</v>
      </c>
      <c r="AA132" s="83">
        <v>3166.3334533217899</v>
      </c>
      <c r="AB132" s="83">
        <v>2628.3420388550198</v>
      </c>
      <c r="AC132" s="83">
        <v>4184.7630910177904</v>
      </c>
      <c r="AD132" s="83">
        <v>4469.8851626176602</v>
      </c>
      <c r="AE132" s="84">
        <v>7709.6175223357504</v>
      </c>
      <c r="AF132" s="83">
        <v>8860.3424254096008</v>
      </c>
      <c r="AG132" s="83">
        <v>5464.5443706061697</v>
      </c>
      <c r="AH132" s="83">
        <v>6092.9287109375</v>
      </c>
      <c r="AI132" s="83">
        <v>6092.9287109375</v>
      </c>
      <c r="AJ132" s="83">
        <v>6092.9287109375</v>
      </c>
      <c r="AK132" s="83">
        <v>6092.9287109375</v>
      </c>
      <c r="AL132" s="83">
        <v>6092.9287109375</v>
      </c>
      <c r="AM132" s="82"/>
      <c r="AN132" s="82"/>
    </row>
    <row r="133" spans="1:40" x14ac:dyDescent="0.65">
      <c r="A133" s="92" t="s">
        <v>223</v>
      </c>
      <c r="B133" s="112" t="str">
        <f t="shared" si="9"/>
        <v>IMF.RES.GAS:GAS_LIVE</v>
      </c>
      <c r="C133" s="81" t="s">
        <v>492</v>
      </c>
      <c r="D133" s="82"/>
      <c r="E133" s="83">
        <v>490.42820897714802</v>
      </c>
      <c r="F133" s="83">
        <v>600.84686613664405</v>
      </c>
      <c r="G133" s="83">
        <v>377.27701941332299</v>
      </c>
      <c r="H133" s="83">
        <v>261.14356419764198</v>
      </c>
      <c r="I133" s="83">
        <v>238.39802141048</v>
      </c>
      <c r="J133" s="83">
        <v>356.74418406864498</v>
      </c>
      <c r="K133" s="83">
        <v>410.37355950832898</v>
      </c>
      <c r="L133" s="83">
        <v>434.72231515450301</v>
      </c>
      <c r="M133" s="83">
        <v>367.68474557353301</v>
      </c>
      <c r="N133" s="83">
        <v>416.82664975189999</v>
      </c>
      <c r="O133" s="83">
        <v>719.14841405659899</v>
      </c>
      <c r="P133" s="83">
        <v>863.11189882063002</v>
      </c>
      <c r="Q133" s="83">
        <v>644.00556373925394</v>
      </c>
      <c r="R133" s="83">
        <v>859.94160786906298</v>
      </c>
      <c r="S133" s="83">
        <v>1076.5022015854299</v>
      </c>
      <c r="T133" s="83">
        <v>939.83421985606003</v>
      </c>
      <c r="U133" s="83">
        <v>764.19702162175304</v>
      </c>
      <c r="V133" s="83">
        <v>739.40836147249104</v>
      </c>
      <c r="W133" s="83">
        <v>565.08991907157804</v>
      </c>
      <c r="X133" s="83">
        <v>639.84646644072097</v>
      </c>
      <c r="Y133" s="83">
        <v>647.80117143423297</v>
      </c>
      <c r="Z133" s="83">
        <v>559.85913088926998</v>
      </c>
      <c r="AA133" s="83">
        <v>523.951361907771</v>
      </c>
      <c r="AB133" s="83">
        <v>666.05656047197795</v>
      </c>
      <c r="AC133" s="83">
        <v>1073.51836994114</v>
      </c>
      <c r="AD133" s="83">
        <v>1177.00084871882</v>
      </c>
      <c r="AE133" s="84">
        <v>838.35423923731003</v>
      </c>
      <c r="AF133" s="83">
        <v>923.90585519539195</v>
      </c>
      <c r="AG133" s="83">
        <v>996.79131975748101</v>
      </c>
      <c r="AH133" s="83">
        <v>1054.06205563151</v>
      </c>
      <c r="AI133" s="83">
        <v>1037.0534574999999</v>
      </c>
      <c r="AJ133" s="83">
        <v>1029.38941</v>
      </c>
      <c r="AK133" s="83">
        <v>1029.38941</v>
      </c>
      <c r="AL133" s="83">
        <v>1029.38941</v>
      </c>
      <c r="AM133" s="82"/>
      <c r="AN133" s="82"/>
    </row>
    <row r="134" spans="1:40" x14ac:dyDescent="0.65">
      <c r="A134" s="92" t="s">
        <v>224</v>
      </c>
      <c r="B134" s="112" t="str">
        <f t="shared" si="9"/>
        <v>IMF.RES.GAS:GAS_LIVE</v>
      </c>
      <c r="C134" s="81" t="s">
        <v>493</v>
      </c>
      <c r="D134" s="82"/>
      <c r="E134" s="83">
        <v>562.83249999999998</v>
      </c>
      <c r="F134" s="83">
        <v>630.47500000000002</v>
      </c>
      <c r="G134" s="83">
        <v>428.68833333333299</v>
      </c>
      <c r="H134" s="83">
        <v>346.24</v>
      </c>
      <c r="I134" s="83">
        <v>391.879166666667</v>
      </c>
      <c r="J134" s="83">
        <v>479.1825</v>
      </c>
      <c r="K134" s="83">
        <v>603.57833333333303</v>
      </c>
      <c r="L134" s="83">
        <v>713.20083333333298</v>
      </c>
      <c r="M134" s="83">
        <v>720.96583333333297</v>
      </c>
      <c r="N134" s="83">
        <v>851.31833333333304</v>
      </c>
      <c r="O134" s="83">
        <v>1011.855</v>
      </c>
      <c r="P134" s="83">
        <v>1423.71</v>
      </c>
      <c r="Q134" s="83">
        <v>856.17833333333294</v>
      </c>
      <c r="R134" s="83">
        <v>1011.74786795008</v>
      </c>
      <c r="S134" s="83">
        <v>1366.6273356860499</v>
      </c>
      <c r="T134" s="83">
        <v>1239.0813405546901</v>
      </c>
      <c r="U134" s="83">
        <v>1080.86190918283</v>
      </c>
      <c r="V134" s="83">
        <v>904.36827146171299</v>
      </c>
      <c r="W134" s="83">
        <v>774.60890576657096</v>
      </c>
      <c r="X134" s="83">
        <v>821.95133587929001</v>
      </c>
      <c r="Y134" s="83">
        <v>871.95002588408897</v>
      </c>
      <c r="Z134" s="83">
        <v>829.63063715101305</v>
      </c>
      <c r="AA134" s="83">
        <v>853.66395409449206</v>
      </c>
      <c r="AB134" s="83">
        <v>903.11413769147202</v>
      </c>
      <c r="AC134" s="83">
        <v>1510.04492070471</v>
      </c>
      <c r="AD134" s="83">
        <v>1763.2955655742201</v>
      </c>
      <c r="AE134" s="84">
        <v>1038.9738489338999</v>
      </c>
      <c r="AF134" s="83">
        <v>1063.65349854907</v>
      </c>
      <c r="AG134" s="83">
        <v>1224.20200827914</v>
      </c>
      <c r="AH134" s="83">
        <v>1224.50463867187</v>
      </c>
      <c r="AI134" s="83">
        <v>1224.50463867187</v>
      </c>
      <c r="AJ134" s="83">
        <v>1224.50463867187</v>
      </c>
      <c r="AK134" s="83">
        <v>1224.50463867187</v>
      </c>
      <c r="AL134" s="83">
        <v>1224.50463867187</v>
      </c>
      <c r="AM134" s="82"/>
      <c r="AN134" s="82"/>
    </row>
    <row r="135" spans="1:40" x14ac:dyDescent="0.65">
      <c r="A135" s="92" t="s">
        <v>225</v>
      </c>
      <c r="B135" s="112" t="str">
        <f t="shared" si="9"/>
        <v>IMF.RES.GAS:GAS_LIVE</v>
      </c>
      <c r="C135" s="81" t="s">
        <v>494</v>
      </c>
      <c r="D135" s="82"/>
      <c r="E135" s="83">
        <v>280.60253453489599</v>
      </c>
      <c r="F135" s="83">
        <v>223.29003481354201</v>
      </c>
      <c r="G135" s="83">
        <v>174.91939512552099</v>
      </c>
      <c r="H135" s="83">
        <v>183.051664663542</v>
      </c>
      <c r="I135" s="83">
        <v>168.75464102291701</v>
      </c>
      <c r="J135" s="83">
        <v>188.866170395833</v>
      </c>
      <c r="K135" s="83">
        <v>233.187498383399</v>
      </c>
      <c r="L135" s="83">
        <v>276.632994706224</v>
      </c>
      <c r="M135" s="83">
        <v>223.150343252803</v>
      </c>
      <c r="N135" s="83">
        <v>217.45390259986399</v>
      </c>
      <c r="O135" s="83">
        <v>317.31973078254202</v>
      </c>
      <c r="P135" s="83">
        <v>452.94251915134902</v>
      </c>
      <c r="Q135" s="83">
        <v>378.54555115436102</v>
      </c>
      <c r="R135" s="83">
        <v>384.94525426413298</v>
      </c>
      <c r="S135" s="83">
        <v>484.24591314546399</v>
      </c>
      <c r="T135" s="83">
        <v>537.76183674791196</v>
      </c>
      <c r="U135" s="83">
        <v>517.20377839988998</v>
      </c>
      <c r="V135" s="83">
        <v>457.813518627843</v>
      </c>
      <c r="W135" s="83">
        <v>347.35556368638299</v>
      </c>
      <c r="X135" s="83">
        <v>362.706820885551</v>
      </c>
      <c r="Y135" s="83">
        <v>358.82420223778502</v>
      </c>
      <c r="Z135" s="83">
        <v>342.52824706481698</v>
      </c>
      <c r="AA135" s="83">
        <v>327.00207535516898</v>
      </c>
      <c r="AB135" s="83">
        <v>349.87749139194</v>
      </c>
      <c r="AC135" s="83">
        <v>505.10090437460298</v>
      </c>
      <c r="AD135" s="83">
        <v>569.69176290944904</v>
      </c>
      <c r="AE135" s="84">
        <v>520.47681468949702</v>
      </c>
      <c r="AF135" s="83">
        <v>405.20999654056698</v>
      </c>
      <c r="AG135" s="83">
        <v>380.67648838368501</v>
      </c>
      <c r="AH135" s="83">
        <v>406.278197580631</v>
      </c>
      <c r="AI135" s="83">
        <v>405.56970324166599</v>
      </c>
      <c r="AJ135" s="83">
        <v>403.72103750000002</v>
      </c>
      <c r="AK135" s="83">
        <v>403.72103750000002</v>
      </c>
      <c r="AL135" s="83">
        <v>403.72103750000002</v>
      </c>
      <c r="AM135" s="82"/>
      <c r="AN135" s="82"/>
    </row>
    <row r="136" spans="1:40" x14ac:dyDescent="0.65">
      <c r="A136" s="92" t="s">
        <v>226</v>
      </c>
      <c r="B136" s="112" t="str">
        <f t="shared" si="9"/>
        <v>IMF.RES.GAS:GAS_LIVE</v>
      </c>
      <c r="C136" s="81" t="s">
        <v>495</v>
      </c>
      <c r="D136" s="82"/>
      <c r="E136" s="83">
        <v>525.85698549999995</v>
      </c>
      <c r="F136" s="83">
        <v>562.49042116666703</v>
      </c>
      <c r="G136" s="83">
        <v>392.40398816666698</v>
      </c>
      <c r="H136" s="83">
        <v>351.82060833333298</v>
      </c>
      <c r="I136" s="83">
        <v>346.98881616666699</v>
      </c>
      <c r="J136" s="83">
        <v>409.83885800000002</v>
      </c>
      <c r="K136" s="83">
        <v>500.20135886990101</v>
      </c>
      <c r="L136" s="83">
        <v>590.41716144140298</v>
      </c>
      <c r="M136" s="83">
        <v>495.799622216952</v>
      </c>
      <c r="N136" s="83">
        <v>551.49629632889605</v>
      </c>
      <c r="O136" s="83">
        <v>799.65573294840897</v>
      </c>
      <c r="P136" s="83">
        <v>1133.7853730383599</v>
      </c>
      <c r="Q136" s="83">
        <v>787.03713020263103</v>
      </c>
      <c r="R136" s="83">
        <v>924.82200962732497</v>
      </c>
      <c r="S136" s="83">
        <v>1215.81972871623</v>
      </c>
      <c r="T136" s="83">
        <v>1151.7518629275201</v>
      </c>
      <c r="U136" s="83">
        <v>1011.1126111045299</v>
      </c>
      <c r="V136" s="83">
        <v>812.71032055436501</v>
      </c>
      <c r="W136" s="83">
        <v>672.16486742616905</v>
      </c>
      <c r="X136" s="83">
        <v>721.16395959743295</v>
      </c>
      <c r="Y136" s="83">
        <v>735.279100534294</v>
      </c>
      <c r="Z136" s="83">
        <v>658.63082105130695</v>
      </c>
      <c r="AA136" s="83">
        <v>645.32422967356001</v>
      </c>
      <c r="AB136" s="83">
        <v>690.00832825603595</v>
      </c>
      <c r="AC136" s="83">
        <v>1277.44248487344</v>
      </c>
      <c r="AD136" s="83">
        <v>1566.0822987792301</v>
      </c>
      <c r="AE136" s="84">
        <v>1272.78519074461</v>
      </c>
      <c r="AF136" s="83">
        <v>978.80698237351601</v>
      </c>
      <c r="AG136" s="83">
        <v>1076.77533469999</v>
      </c>
      <c r="AH136" s="83">
        <v>1202.6887088609999</v>
      </c>
      <c r="AI136" s="83">
        <v>1196.74393775</v>
      </c>
      <c r="AJ136" s="83">
        <v>1166.74266595833</v>
      </c>
      <c r="AK136" s="83">
        <v>1154.78257525</v>
      </c>
      <c r="AL136" s="83">
        <v>1147.5073130000001</v>
      </c>
      <c r="AM136" s="82"/>
      <c r="AN136" s="82"/>
    </row>
    <row r="137" spans="1:40" x14ac:dyDescent="0.65">
      <c r="A137" s="92" t="s">
        <v>227</v>
      </c>
      <c r="B137" s="112" t="str">
        <f t="shared" si="9"/>
        <v>IMF.RES.GAS:GAS_LIVE</v>
      </c>
      <c r="C137" s="81" t="s">
        <v>496</v>
      </c>
      <c r="D137" s="82"/>
      <c r="E137" s="83">
        <v>279.87500442348301</v>
      </c>
      <c r="F137" s="83">
        <v>174.7273657481</v>
      </c>
      <c r="G137" s="83">
        <v>152.56539686055001</v>
      </c>
      <c r="H137" s="83">
        <v>187.169704659725</v>
      </c>
      <c r="I137" s="83">
        <v>180.611870957983</v>
      </c>
      <c r="J137" s="83">
        <v>183.98126919555</v>
      </c>
      <c r="K137" s="83">
        <v>214.65523278718501</v>
      </c>
      <c r="L137" s="83">
        <v>257.14488369001401</v>
      </c>
      <c r="M137" s="83">
        <v>205.777892826418</v>
      </c>
      <c r="N137" s="83">
        <v>193.97492777968901</v>
      </c>
      <c r="O137" s="83">
        <v>263.67282684184499</v>
      </c>
      <c r="P137" s="83">
        <v>367.937774346244</v>
      </c>
      <c r="Q137" s="83">
        <v>359.28444913187002</v>
      </c>
      <c r="R137" s="83">
        <v>331.31670634697099</v>
      </c>
      <c r="S137" s="83">
        <v>378.86101772616001</v>
      </c>
      <c r="T137" s="83">
        <v>473.28444218058002</v>
      </c>
      <c r="U137" s="83">
        <v>477.29927940486198</v>
      </c>
      <c r="V137" s="83">
        <v>466.96573305556802</v>
      </c>
      <c r="W137" s="83">
        <v>352.72179904465298</v>
      </c>
      <c r="X137" s="83">
        <v>350.16760376971399</v>
      </c>
      <c r="Y137" s="83">
        <v>348.61366891941401</v>
      </c>
      <c r="Z137" s="83">
        <v>373.312233318023</v>
      </c>
      <c r="AA137" s="83">
        <v>334.56066187431298</v>
      </c>
      <c r="AB137" s="83">
        <v>351.12579990398501</v>
      </c>
      <c r="AC137" s="83">
        <v>421.99504475546399</v>
      </c>
      <c r="AD137" s="83">
        <v>487.89497861606998</v>
      </c>
      <c r="AE137" s="84">
        <v>482.45232748814698</v>
      </c>
      <c r="AF137" s="83">
        <v>369.15316609277897</v>
      </c>
      <c r="AG137" s="83">
        <v>309.64166027251599</v>
      </c>
      <c r="AH137" s="83">
        <v>339.09683188479801</v>
      </c>
      <c r="AI137" s="83">
        <v>349.24896672083298</v>
      </c>
      <c r="AJ137" s="83">
        <v>354.02564906250001</v>
      </c>
      <c r="AK137" s="83">
        <v>360.04243159999999</v>
      </c>
      <c r="AL137" s="83">
        <v>364.53435020000001</v>
      </c>
      <c r="AM137" s="82"/>
      <c r="AN137" s="82"/>
    </row>
    <row r="138" spans="1:40" x14ac:dyDescent="0.65">
      <c r="A138" s="92" t="s">
        <v>228</v>
      </c>
      <c r="B138" s="112" t="str">
        <f t="shared" si="9"/>
        <v>IMF.RES.GAS:GAS_LIVE</v>
      </c>
      <c r="C138" s="81" t="s">
        <v>497</v>
      </c>
      <c r="D138" s="82"/>
      <c r="E138" s="83">
        <v>556.89159373235498</v>
      </c>
      <c r="F138" s="83">
        <v>665.22844673442501</v>
      </c>
      <c r="G138" s="83">
        <v>466.46290702051601</v>
      </c>
      <c r="H138" s="83">
        <v>379.327177050003</v>
      </c>
      <c r="I138" s="83">
        <v>436.109329318025</v>
      </c>
      <c r="J138" s="83">
        <v>605.82665474622002</v>
      </c>
      <c r="K138" s="83">
        <v>649.99703086768295</v>
      </c>
      <c r="L138" s="83">
        <v>734.40665976535502</v>
      </c>
      <c r="M138" s="83">
        <v>1144.5401028922799</v>
      </c>
      <c r="N138" s="83">
        <v>713.11072134387302</v>
      </c>
      <c r="O138" s="83">
        <v>673</v>
      </c>
      <c r="P138" s="83">
        <v>1693.6484597528099</v>
      </c>
      <c r="Q138" s="83">
        <v>1041.6687888198701</v>
      </c>
      <c r="R138" s="83">
        <v>1186.0023009599099</v>
      </c>
      <c r="S138" s="83">
        <v>1621.83838383838</v>
      </c>
      <c r="T138" s="83">
        <v>1489.4795821422699</v>
      </c>
      <c r="U138" s="83">
        <v>1341.21795621554</v>
      </c>
      <c r="V138" s="83">
        <v>1080.3121561358601</v>
      </c>
      <c r="W138" s="83">
        <v>1022.17807859957</v>
      </c>
      <c r="X138" s="83">
        <v>1009.73505385641</v>
      </c>
      <c r="Y138" s="83">
        <v>953.03206776875902</v>
      </c>
      <c r="Z138" s="83">
        <v>900.80624991001503</v>
      </c>
      <c r="AA138" s="83">
        <v>883.51149467255198</v>
      </c>
      <c r="AB138" s="83">
        <v>1056.5060463831001</v>
      </c>
      <c r="AC138" s="83">
        <v>1718.9084801337001</v>
      </c>
      <c r="AD138" s="83">
        <v>1934.1621353841099</v>
      </c>
      <c r="AE138" s="84">
        <v>1218.0685670565999</v>
      </c>
      <c r="AF138" s="83">
        <v>1270.1652980465301</v>
      </c>
      <c r="AG138" s="83">
        <v>1525.6655314539901</v>
      </c>
      <c r="AH138" s="83">
        <v>1786.51245117187</v>
      </c>
      <c r="AI138" s="83">
        <v>1786.51245117187</v>
      </c>
      <c r="AJ138" s="83">
        <v>1786.51245117187</v>
      </c>
      <c r="AK138" s="83">
        <v>1786.51245117187</v>
      </c>
      <c r="AL138" s="83">
        <v>1786.51245117187</v>
      </c>
      <c r="AM138" s="82"/>
      <c r="AN138" s="82"/>
    </row>
    <row r="139" spans="1:40" x14ac:dyDescent="0.65">
      <c r="A139" s="20" t="s">
        <v>229</v>
      </c>
      <c r="B139" s="11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17"/>
      <c r="AF139" s="5"/>
      <c r="AG139" s="5"/>
      <c r="AH139" s="5"/>
      <c r="AI139" s="5"/>
      <c r="AJ139" s="5"/>
      <c r="AK139" s="5"/>
      <c r="AL139" s="5"/>
    </row>
    <row r="140" spans="1:40" x14ac:dyDescent="0.65">
      <c r="A140" s="92" t="s">
        <v>25</v>
      </c>
      <c r="B140" s="112" t="str">
        <f t="shared" si="9"/>
        <v>IMF.RES.GAS:GAS_LIVE</v>
      </c>
      <c r="C140" s="81" t="s">
        <v>498</v>
      </c>
      <c r="D140" s="82"/>
      <c r="E140" s="83">
        <v>522.55985267034998</v>
      </c>
      <c r="F140" s="83">
        <v>492.18462246777199</v>
      </c>
      <c r="G140" s="83">
        <v>373.91804788213602</v>
      </c>
      <c r="H140" s="83">
        <v>422.27392248035397</v>
      </c>
      <c r="I140" s="83">
        <v>584.69457993164394</v>
      </c>
      <c r="J140" s="83">
        <v>527.61237789622999</v>
      </c>
      <c r="K140" s="83">
        <v>375.19088226210499</v>
      </c>
      <c r="L140" s="83">
        <v>524.83615235086495</v>
      </c>
      <c r="M140" s="83">
        <v>576.77157413675502</v>
      </c>
      <c r="N140" s="83">
        <v>682.85037802963598</v>
      </c>
      <c r="O140" s="83">
        <v>676.925423810182</v>
      </c>
      <c r="P140" s="83">
        <v>843.62975349043097</v>
      </c>
      <c r="Q140" s="83">
        <v>847.95119705340699</v>
      </c>
      <c r="R140" s="83">
        <v>881.72169431177304</v>
      </c>
      <c r="S140" s="83">
        <v>975.674513361805</v>
      </c>
      <c r="T140" s="83">
        <v>984.28164608567204</v>
      </c>
      <c r="U140" s="83">
        <v>926.38437695619598</v>
      </c>
      <c r="V140" s="83">
        <v>931.87536091119102</v>
      </c>
      <c r="W140" s="83">
        <v>958.70869850246197</v>
      </c>
      <c r="X140" s="83">
        <v>1002.43028925957</v>
      </c>
      <c r="Y140" s="83">
        <v>1074.22575086917</v>
      </c>
      <c r="Z140" s="83">
        <v>1147.7493017853201</v>
      </c>
      <c r="AA140" s="83">
        <v>1142.45991678169</v>
      </c>
      <c r="AB140" s="83">
        <v>1217.1994958110799</v>
      </c>
      <c r="AC140" s="83">
        <v>1208.37292072026</v>
      </c>
      <c r="AD140" s="83">
        <v>1492.5728639274901</v>
      </c>
      <c r="AE140" s="84">
        <v>1599.83627649698</v>
      </c>
      <c r="AF140" s="83">
        <v>1235.82193459716</v>
      </c>
      <c r="AG140" s="83">
        <v>1100.42718114792</v>
      </c>
      <c r="AH140" s="83">
        <v>1207.93566894531</v>
      </c>
      <c r="AI140" s="83">
        <v>1207.93566894531</v>
      </c>
      <c r="AJ140" s="83">
        <v>1207.93566894531</v>
      </c>
      <c r="AK140" s="83">
        <v>1207.93566894531</v>
      </c>
      <c r="AL140" s="83">
        <v>1207.93566894531</v>
      </c>
      <c r="AM140" s="82"/>
      <c r="AN140" s="82"/>
    </row>
    <row r="141" spans="1:40" x14ac:dyDescent="0.65">
      <c r="A141" s="92" t="s">
        <v>230</v>
      </c>
      <c r="B141" s="112" t="str">
        <f t="shared" si="9"/>
        <v>IMF.RES.GAS:GAS_LIVE</v>
      </c>
      <c r="C141" s="81" t="s">
        <v>499</v>
      </c>
      <c r="D141" s="82"/>
      <c r="E141" s="83">
        <v>0.77081099279407295</v>
      </c>
      <c r="F141" s="83">
        <v>1.05798814935065</v>
      </c>
      <c r="G141" s="83">
        <v>0.89750898542882296</v>
      </c>
      <c r="H141" s="83">
        <v>0.79401777209410196</v>
      </c>
      <c r="I141" s="83">
        <v>0.805457641675004</v>
      </c>
      <c r="J141" s="83">
        <v>0.94448529226145095</v>
      </c>
      <c r="K141" s="83">
        <v>0.80432144054140597</v>
      </c>
      <c r="L141" s="83">
        <v>0.67798805030940301</v>
      </c>
      <c r="M141" s="83">
        <v>0.98954116464993103</v>
      </c>
      <c r="N141" s="83">
        <v>1.62543905849109</v>
      </c>
      <c r="O141" s="83">
        <v>1.56909016755079</v>
      </c>
      <c r="P141" s="83">
        <v>1.06536369813284</v>
      </c>
      <c r="Q141" s="83">
        <v>0.92141825396825305</v>
      </c>
      <c r="R141" s="83">
        <v>1.4487039138937501</v>
      </c>
      <c r="S141" s="83">
        <v>1.7586968660534701</v>
      </c>
      <c r="T141" s="83">
        <v>1.3957662697587101</v>
      </c>
      <c r="U141" s="83">
        <v>1.3435559686229701</v>
      </c>
      <c r="V141" s="83">
        <v>1.4793028559128301</v>
      </c>
      <c r="W141" s="83">
        <v>1.27611888765474</v>
      </c>
      <c r="X141" s="83">
        <v>1.6830794654414301</v>
      </c>
      <c r="Y141" s="83">
        <v>1.53764389337143</v>
      </c>
      <c r="Z141" s="83">
        <v>1.4932256879847801</v>
      </c>
      <c r="AA141" s="83">
        <v>1.0550896535228</v>
      </c>
      <c r="AB141" s="83">
        <v>1.1415030454925199</v>
      </c>
      <c r="AC141" s="83">
        <v>1.23203275955864</v>
      </c>
      <c r="AD141" s="83">
        <v>1.75098776166783</v>
      </c>
      <c r="AE141" s="84">
        <v>3.0088426497113998</v>
      </c>
      <c r="AF141" s="83">
        <v>4.3166812950937903</v>
      </c>
      <c r="AG141" s="83">
        <v>2.6815570169866301</v>
      </c>
      <c r="AH141" s="83">
        <v>1.69318371820449</v>
      </c>
      <c r="AI141" s="83">
        <v>1.6924999999999999</v>
      </c>
      <c r="AJ141" s="83">
        <v>1.6375</v>
      </c>
      <c r="AK141" s="83">
        <v>1.615</v>
      </c>
      <c r="AL141" s="83">
        <v>1.615</v>
      </c>
      <c r="AM141" s="82"/>
      <c r="AN141" s="82"/>
    </row>
    <row r="142" spans="1:40" x14ac:dyDescent="0.65">
      <c r="A142" s="92" t="s">
        <v>231</v>
      </c>
      <c r="B142" s="112" t="str">
        <f t="shared" si="9"/>
        <v>IMF.RES.GAS:GAS_LIVE</v>
      </c>
      <c r="C142" s="81" t="s">
        <v>500</v>
      </c>
      <c r="D142" s="82"/>
      <c r="E142" s="83">
        <v>12.666998306041799</v>
      </c>
      <c r="F142" s="83">
        <v>14.1636150323107</v>
      </c>
      <c r="G142" s="83">
        <v>12.655218206913901</v>
      </c>
      <c r="H142" s="83">
        <v>9.7539744180939802</v>
      </c>
      <c r="I142" s="83">
        <v>12.9745835529205</v>
      </c>
      <c r="J142" s="83">
        <v>10.429161976912001</v>
      </c>
      <c r="K142" s="83">
        <v>12.4467927355663</v>
      </c>
      <c r="L142" s="83">
        <v>16.830179002347101</v>
      </c>
      <c r="M142" s="83">
        <v>15.468268850727</v>
      </c>
      <c r="N142" s="83">
        <v>12.9436446664219</v>
      </c>
      <c r="O142" s="83">
        <v>18.1943377617871</v>
      </c>
      <c r="P142" s="83">
        <v>17.465768010461701</v>
      </c>
      <c r="Q142" s="83">
        <v>11.3107447769621</v>
      </c>
      <c r="R142" s="83">
        <v>14.402411245686601</v>
      </c>
      <c r="S142" s="83">
        <v>18.174983880340601</v>
      </c>
      <c r="T142" s="83">
        <v>17.4304447101214</v>
      </c>
      <c r="U142" s="83">
        <v>17.995220063790001</v>
      </c>
      <c r="V142" s="83">
        <v>22.211780249733302</v>
      </c>
      <c r="W142" s="83">
        <v>15.8377491262783</v>
      </c>
      <c r="X142" s="83">
        <v>14.8869886191103</v>
      </c>
      <c r="Y142" s="83">
        <v>16.130989388143799</v>
      </c>
      <c r="Z142" s="83">
        <v>14.7095149643798</v>
      </c>
      <c r="AA142" s="83">
        <v>16.920447777048398</v>
      </c>
      <c r="AB142" s="83">
        <v>18.076845318911101</v>
      </c>
      <c r="AC142" s="83">
        <v>17.8026454108428</v>
      </c>
      <c r="AD142" s="83">
        <v>27.518830260089601</v>
      </c>
      <c r="AE142" s="84">
        <v>21.524495360305799</v>
      </c>
      <c r="AF142" s="83">
        <v>23.484451886674101</v>
      </c>
      <c r="AG142" s="83">
        <v>19.821048142717199</v>
      </c>
      <c r="AH142" s="83">
        <v>17.370653638839698</v>
      </c>
      <c r="AI142" s="83">
        <v>17.2158333333333</v>
      </c>
      <c r="AJ142" s="83">
        <v>16.45</v>
      </c>
      <c r="AK142" s="83">
        <v>16.45</v>
      </c>
      <c r="AL142" s="83">
        <v>16.45</v>
      </c>
      <c r="AM142" s="82"/>
      <c r="AN142" s="82"/>
    </row>
    <row r="143" spans="1:40" x14ac:dyDescent="0.65">
      <c r="A143" s="92" t="s">
        <v>232</v>
      </c>
      <c r="B143" s="112" t="str">
        <f t="shared" si="9"/>
        <v>IMF.RES.GAS:GAS_LIVE</v>
      </c>
      <c r="C143" s="81" t="s">
        <v>501</v>
      </c>
      <c r="D143" s="82"/>
      <c r="E143" s="83">
        <v>645.95449803077304</v>
      </c>
      <c r="F143" s="83">
        <v>708.99748934139495</v>
      </c>
      <c r="G143" s="83">
        <v>433.11131451275202</v>
      </c>
      <c r="H143" s="83">
        <v>452.09040421411299</v>
      </c>
      <c r="I143" s="83">
        <v>530.05089874811802</v>
      </c>
      <c r="J143" s="83">
        <v>645.55585145006</v>
      </c>
      <c r="K143" s="83">
        <v>650.19581652965996</v>
      </c>
      <c r="L143" s="83">
        <v>692.89816388496797</v>
      </c>
      <c r="M143" s="83">
        <v>744.22802949447896</v>
      </c>
      <c r="N143" s="83">
        <v>1074.2790439637099</v>
      </c>
      <c r="O143" s="83">
        <v>1185.45770226488</v>
      </c>
      <c r="P143" s="83">
        <v>1160.1888529832499</v>
      </c>
      <c r="Q143" s="83">
        <v>1255.8515597210501</v>
      </c>
      <c r="R143" s="83">
        <v>1739.21871624867</v>
      </c>
      <c r="S143" s="83">
        <v>1519.2507386873399</v>
      </c>
      <c r="T143" s="83">
        <v>1624.3024835016799</v>
      </c>
      <c r="U143" s="83">
        <v>1711.7959673885</v>
      </c>
      <c r="V143" s="83">
        <v>1921.4705412605599</v>
      </c>
      <c r="W143" s="83">
        <v>1759.2116988631001</v>
      </c>
      <c r="X143" s="83">
        <v>1418.45399400781</v>
      </c>
      <c r="Y143" s="83">
        <v>1161.2816121385499</v>
      </c>
      <c r="Z143" s="83">
        <v>1350.0985317760999</v>
      </c>
      <c r="AA143" s="83">
        <v>1251.0320447132001</v>
      </c>
      <c r="AB143" s="83">
        <v>1290.04653167897</v>
      </c>
      <c r="AC143" s="83">
        <v>1442.44986954823</v>
      </c>
      <c r="AD143" s="83">
        <v>1415.18620814625</v>
      </c>
      <c r="AE143" s="84">
        <v>1653.2708974919699</v>
      </c>
      <c r="AF143" s="83">
        <v>1434.9092803742001</v>
      </c>
      <c r="AG143" s="83">
        <v>1510.7507052487699</v>
      </c>
      <c r="AH143" s="83">
        <v>1996.48718261718</v>
      </c>
      <c r="AI143" s="83">
        <v>1996.48718261718</v>
      </c>
      <c r="AJ143" s="83">
        <v>1996.48718261718</v>
      </c>
      <c r="AK143" s="83">
        <v>1996.48718261718</v>
      </c>
      <c r="AL143" s="83">
        <v>1996.48718261718</v>
      </c>
      <c r="AM143" s="82"/>
      <c r="AN143" s="82"/>
    </row>
    <row r="144" spans="1:40" x14ac:dyDescent="0.65">
      <c r="A144" s="92" t="s">
        <v>233</v>
      </c>
      <c r="B144" s="112" t="str">
        <f t="shared" si="9"/>
        <v>IMF.RES.GAS:GAS_LIVE</v>
      </c>
      <c r="C144" s="81" t="s">
        <v>502</v>
      </c>
      <c r="D144" s="82"/>
      <c r="E144" s="83">
        <v>874.20916666666699</v>
      </c>
      <c r="F144" s="83">
        <v>795.10416666666697</v>
      </c>
      <c r="G144" s="83">
        <v>762.64</v>
      </c>
      <c r="H144" s="83">
        <v>785.50916666666706</v>
      </c>
      <c r="I144" s="83">
        <v>753.25416666666695</v>
      </c>
      <c r="J144" s="83">
        <v>654.92750000000001</v>
      </c>
      <c r="K144" s="83">
        <v>855.90250000000003</v>
      </c>
      <c r="L144" s="83">
        <v>910</v>
      </c>
      <c r="M144" s="83">
        <v>769.105339105339</v>
      </c>
      <c r="N144" s="83">
        <v>828.855950812473</v>
      </c>
      <c r="O144" s="83">
        <v>1177.4684735554299</v>
      </c>
      <c r="P144" s="83">
        <v>1567.7200420352599</v>
      </c>
      <c r="Q144" s="83">
        <v>994.61496957149097</v>
      </c>
      <c r="R144" s="83">
        <v>1239.38388543823</v>
      </c>
      <c r="S144" s="83">
        <v>1724.0375136411101</v>
      </c>
      <c r="T144" s="83">
        <v>1688.1776310826799</v>
      </c>
      <c r="U144" s="83">
        <v>2318.1638514155402</v>
      </c>
      <c r="V144" s="83">
        <v>2148.2645110380299</v>
      </c>
      <c r="W144" s="83">
        <v>1946.2119288691599</v>
      </c>
      <c r="X144" s="83">
        <v>1798.2977251730099</v>
      </c>
      <c r="Y144" s="83">
        <v>1949.4047224727101</v>
      </c>
      <c r="Z144" s="83">
        <v>2048.3782088866401</v>
      </c>
      <c r="AA144" s="83">
        <v>1846.8526001591099</v>
      </c>
      <c r="AB144" s="83">
        <v>1935.2915287583101</v>
      </c>
      <c r="AC144" s="83">
        <v>2085.8549816270502</v>
      </c>
      <c r="AD144" s="83">
        <v>2426.1604102814599</v>
      </c>
      <c r="AE144" s="84">
        <v>2545.5635760591299</v>
      </c>
      <c r="AF144" s="83">
        <v>2482.24621720698</v>
      </c>
      <c r="AG144" s="83">
        <v>2437.9534219848802</v>
      </c>
      <c r="AH144" s="83">
        <v>2406.171875</v>
      </c>
      <c r="AI144" s="83">
        <v>2406.171875</v>
      </c>
      <c r="AJ144" s="83">
        <v>2406.171875</v>
      </c>
      <c r="AK144" s="83">
        <v>2406.171875</v>
      </c>
      <c r="AL144" s="83">
        <v>2406.171875</v>
      </c>
      <c r="AM144" s="82"/>
      <c r="AN144" s="82"/>
    </row>
    <row r="145" spans="1:40" x14ac:dyDescent="0.65">
      <c r="A145" s="92" t="s">
        <v>234</v>
      </c>
      <c r="B145" s="112" t="str">
        <f t="shared" si="9"/>
        <v>IMF.RES.GAS:GAS_LIVE</v>
      </c>
      <c r="C145" s="81" t="s">
        <v>503</v>
      </c>
      <c r="D145" s="82"/>
      <c r="E145" s="83"/>
      <c r="F145" s="83"/>
      <c r="G145" s="83"/>
      <c r="H145" s="83"/>
      <c r="I145" s="83"/>
      <c r="J145" s="83"/>
      <c r="K145" s="83"/>
      <c r="L145" s="83"/>
      <c r="M145" s="83"/>
      <c r="N145" s="83">
        <v>54.511770484421199</v>
      </c>
      <c r="O145" s="83">
        <v>56.376093122396298</v>
      </c>
      <c r="P145" s="83">
        <v>56.237818121472102</v>
      </c>
      <c r="Q145" s="83">
        <v>47.224512415371699</v>
      </c>
      <c r="R145" s="83">
        <v>49.586807209884398</v>
      </c>
      <c r="S145" s="83">
        <v>60.622374003123298</v>
      </c>
      <c r="T145" s="83">
        <v>77.710975365259699</v>
      </c>
      <c r="U145" s="83">
        <v>56.5369523437315</v>
      </c>
      <c r="V145" s="83">
        <v>48.836315136158298</v>
      </c>
      <c r="W145" s="83">
        <v>68.865691706700602</v>
      </c>
      <c r="X145" s="83">
        <v>108.237119759379</v>
      </c>
      <c r="Y145" s="83">
        <v>84.432026556818101</v>
      </c>
      <c r="Z145" s="83">
        <v>60.325243884968103</v>
      </c>
      <c r="AA145" s="83">
        <v>62.995336176606202</v>
      </c>
      <c r="AB145" s="83">
        <v>62.002191792447498</v>
      </c>
      <c r="AC145" s="83">
        <v>68.949158708535606</v>
      </c>
      <c r="AD145" s="83">
        <v>61.501536072652598</v>
      </c>
      <c r="AE145" s="84">
        <v>65.413175257334501</v>
      </c>
      <c r="AF145" s="83">
        <v>79.818946739410805</v>
      </c>
      <c r="AG145" s="83">
        <v>67.079843362193401</v>
      </c>
      <c r="AH145" s="83">
        <v>75.910233815511006</v>
      </c>
      <c r="AI145" s="83">
        <v>75.910233815511006</v>
      </c>
      <c r="AJ145" s="83">
        <v>75.910233815511006</v>
      </c>
      <c r="AK145" s="83">
        <v>75.910233815511006</v>
      </c>
      <c r="AL145" s="83">
        <v>75.910233815511006</v>
      </c>
      <c r="AM145" s="82"/>
      <c r="AN145" s="82"/>
    </row>
    <row r="146" spans="1:40" x14ac:dyDescent="0.65">
      <c r="A146" s="92" t="s">
        <v>235</v>
      </c>
      <c r="B146" s="112" t="str">
        <f t="shared" si="9"/>
        <v>IMF.RES.GAS:GAS_LIVE</v>
      </c>
      <c r="C146" s="81" t="s">
        <v>504</v>
      </c>
      <c r="D146" s="82"/>
      <c r="E146" s="83">
        <v>0</v>
      </c>
      <c r="F146" s="83">
        <v>1.9339123355000001</v>
      </c>
      <c r="G146" s="83">
        <v>1.8354522922500001</v>
      </c>
      <c r="H146" s="83">
        <v>1.60720408741666</v>
      </c>
      <c r="I146" s="83">
        <v>1.7018641436666599</v>
      </c>
      <c r="J146" s="83">
        <v>1.996112135</v>
      </c>
      <c r="K146" s="83">
        <v>2.4465009439999998</v>
      </c>
      <c r="L146" s="83">
        <v>2.8435554920833299</v>
      </c>
      <c r="M146" s="83">
        <v>2.5646648191666599</v>
      </c>
      <c r="N146" s="83">
        <v>2.7354041302500001</v>
      </c>
      <c r="O146" s="83">
        <v>3.0978537855833301</v>
      </c>
      <c r="P146" s="83">
        <v>3.4282369270833302</v>
      </c>
      <c r="Q146" s="83">
        <v>3.0001163766666599</v>
      </c>
      <c r="R146" s="83">
        <v>2.9261049534166599</v>
      </c>
      <c r="S146" s="83">
        <v>3.23417067083333</v>
      </c>
      <c r="T146" s="83">
        <v>3.14212372191666</v>
      </c>
      <c r="U146" s="83">
        <v>3.7310971705833298</v>
      </c>
      <c r="V146" s="83">
        <v>3.1700164664999999</v>
      </c>
      <c r="W146" s="83">
        <v>2.7194959802500001</v>
      </c>
      <c r="X146" s="83">
        <v>2.78132794366666</v>
      </c>
      <c r="Y146" s="83">
        <v>2.9832270199166602</v>
      </c>
      <c r="Z146" s="83">
        <v>3.28628681525</v>
      </c>
      <c r="AA146" s="83">
        <v>3.0436060447500002</v>
      </c>
      <c r="AB146" s="83">
        <v>3.1724063931666602</v>
      </c>
      <c r="AC146" s="83">
        <v>3.45864987383333</v>
      </c>
      <c r="AD146" s="83">
        <v>3.0532834955833299</v>
      </c>
      <c r="AE146" s="84">
        <v>3.3603528594999998</v>
      </c>
      <c r="AF146" s="83">
        <v>3.3523389805833301</v>
      </c>
      <c r="AG146" s="83">
        <v>3.4195185992499999</v>
      </c>
      <c r="AH146" s="83">
        <v>3.4737918376922599</v>
      </c>
      <c r="AI146" s="83">
        <v>3.4737918376922599</v>
      </c>
      <c r="AJ146" s="83">
        <v>3.4737918376922599</v>
      </c>
      <c r="AK146" s="83">
        <v>3.4737918376922599</v>
      </c>
      <c r="AL146" s="83">
        <v>3.4737918376922599</v>
      </c>
      <c r="AM146" s="82"/>
      <c r="AN146" s="82"/>
    </row>
    <row r="147" spans="1:40" x14ac:dyDescent="0.65">
      <c r="A147" s="92" t="s">
        <v>236</v>
      </c>
      <c r="B147" s="112" t="str">
        <f t="shared" si="9"/>
        <v>IMF.RES.GAS:GAS_LIVE</v>
      </c>
      <c r="C147" s="81" t="s">
        <v>505</v>
      </c>
      <c r="D147" s="82"/>
      <c r="E147" s="83">
        <v>0</v>
      </c>
      <c r="F147" s="83">
        <v>2.3775101835000001</v>
      </c>
      <c r="G147" s="83">
        <v>2.2189787240833301</v>
      </c>
      <c r="H147" s="83">
        <v>2.2398348482500001</v>
      </c>
      <c r="I147" s="83">
        <v>1.9834523930000001</v>
      </c>
      <c r="J147" s="83">
        <v>2.6455433412499998</v>
      </c>
      <c r="K147" s="83">
        <v>3.0951098675000002</v>
      </c>
      <c r="L147" s="83">
        <v>2.8249157414166599</v>
      </c>
      <c r="M147" s="83">
        <v>3.1947183105833301</v>
      </c>
      <c r="N147" s="83">
        <v>3.1585523764999999</v>
      </c>
      <c r="O147" s="83">
        <v>3.7017591154999998</v>
      </c>
      <c r="P147" s="83">
        <v>3.75326330016666</v>
      </c>
      <c r="Q147" s="83">
        <v>3.4510295286666599</v>
      </c>
      <c r="R147" s="83">
        <v>3.9352479837500001</v>
      </c>
      <c r="S147" s="83">
        <v>3.6487107194166599</v>
      </c>
      <c r="T147" s="83">
        <v>3.72082784683333</v>
      </c>
      <c r="U147" s="83">
        <v>3.6855952728333299</v>
      </c>
      <c r="V147" s="83">
        <v>3.741286181</v>
      </c>
      <c r="W147" s="83">
        <v>3.2985975335000002</v>
      </c>
      <c r="X147" s="83">
        <v>3.0405221832499998</v>
      </c>
      <c r="Y147" s="83">
        <v>3.3975390762500002</v>
      </c>
      <c r="Z147" s="83">
        <v>3.3613216024166599</v>
      </c>
      <c r="AA147" s="83">
        <v>3.3344687937500002</v>
      </c>
      <c r="AB147" s="83">
        <v>3.4557775765833298</v>
      </c>
      <c r="AC147" s="83">
        <v>3.7384270384166598</v>
      </c>
      <c r="AD147" s="83">
        <v>3.7865834795833302</v>
      </c>
      <c r="AE147" s="84">
        <v>4.1687801315000002</v>
      </c>
      <c r="AF147" s="83">
        <v>3.8076193285</v>
      </c>
      <c r="AG147" s="83">
        <v>4.05648761783333</v>
      </c>
      <c r="AH147" s="83">
        <v>4.3422398567199698</v>
      </c>
      <c r="AI147" s="83">
        <v>4.3422398567199698</v>
      </c>
      <c r="AJ147" s="83">
        <v>4.3422398567199698</v>
      </c>
      <c r="AK147" s="83">
        <v>4.3422398567199698</v>
      </c>
      <c r="AL147" s="83">
        <v>4.3422398567199698</v>
      </c>
      <c r="AM147" s="82"/>
      <c r="AN147" s="82"/>
    </row>
    <row r="148" spans="1:40" x14ac:dyDescent="0.65">
      <c r="A148" s="3" t="s">
        <v>237</v>
      </c>
      <c r="B148" s="11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17"/>
      <c r="AF148" s="5"/>
      <c r="AG148" s="5"/>
      <c r="AH148" s="5"/>
      <c r="AI148" s="5"/>
      <c r="AJ148" s="5"/>
      <c r="AK148" s="5"/>
      <c r="AL148" s="5"/>
    </row>
    <row r="149" spans="1:40" x14ac:dyDescent="0.65">
      <c r="A149" s="93" t="s">
        <v>238</v>
      </c>
      <c r="B149" s="112" t="str">
        <f t="shared" si="9"/>
        <v>IMF.RES.GAS:GAS_LIVE</v>
      </c>
      <c r="C149" s="81" t="s">
        <v>506</v>
      </c>
      <c r="D149" s="82"/>
      <c r="E149" s="83">
        <v>143.49958827404501</v>
      </c>
      <c r="F149" s="83">
        <v>116.856984564507</v>
      </c>
      <c r="G149" s="83">
        <v>94.810219168914799</v>
      </c>
      <c r="H149" s="83">
        <v>144.558512140034</v>
      </c>
      <c r="I149" s="83">
        <v>138.56534679089</v>
      </c>
      <c r="J149" s="83">
        <v>115.93011336807101</v>
      </c>
      <c r="K149" s="83">
        <v>174.45732950624199</v>
      </c>
      <c r="L149" s="83">
        <v>205.21240745969001</v>
      </c>
      <c r="M149" s="83">
        <v>258.70874109195699</v>
      </c>
      <c r="N149" s="83">
        <v>231.61711701643699</v>
      </c>
      <c r="O149" s="83">
        <v>349.970020076541</v>
      </c>
      <c r="P149" s="83">
        <v>441.74103563188299</v>
      </c>
      <c r="Q149" s="83">
        <v>162.77005843379001</v>
      </c>
      <c r="R149" s="83">
        <v>218.60368319303799</v>
      </c>
      <c r="S149" s="83">
        <v>320.67720071548598</v>
      </c>
      <c r="T149" s="83">
        <v>303.75339518120501</v>
      </c>
      <c r="U149" s="83">
        <v>260.89518443201598</v>
      </c>
      <c r="V149" s="83">
        <v>236.942214925792</v>
      </c>
      <c r="W149" s="83">
        <v>199.14296618297101</v>
      </c>
      <c r="X149" s="83">
        <v>150.544831344089</v>
      </c>
      <c r="Y149" s="83">
        <v>153.12572852756401</v>
      </c>
      <c r="Z149" s="83">
        <v>183.46711088356801</v>
      </c>
      <c r="AA149" s="83">
        <v>163.594486811134</v>
      </c>
      <c r="AB149" s="83">
        <v>126.415209604914</v>
      </c>
      <c r="AC149" s="83">
        <v>331.42289436799098</v>
      </c>
      <c r="AD149" s="83">
        <v>542.459211871923</v>
      </c>
      <c r="AE149" s="84">
        <v>275.58653909568397</v>
      </c>
      <c r="AF149" s="83">
        <v>218.27773723773399</v>
      </c>
      <c r="AG149" s="83">
        <v>183.70512390136699</v>
      </c>
      <c r="AH149" s="83">
        <v>183.70512390136699</v>
      </c>
      <c r="AI149" s="83">
        <v>183.70512390136699</v>
      </c>
      <c r="AJ149" s="83">
        <v>183.70512390136699</v>
      </c>
      <c r="AK149" s="83">
        <v>183.70512390136699</v>
      </c>
      <c r="AL149" s="83">
        <v>183.70512390136699</v>
      </c>
      <c r="AM149" s="82"/>
      <c r="AN149" s="82"/>
    </row>
    <row r="150" spans="1:40" x14ac:dyDescent="0.65">
      <c r="A150" s="93" t="s">
        <v>239</v>
      </c>
      <c r="B150" s="112" t="str">
        <f t="shared" si="9"/>
        <v>IMF.RES.GAS:GAS_LIVE</v>
      </c>
      <c r="C150" s="81" t="s">
        <v>507</v>
      </c>
      <c r="D150" s="82"/>
      <c r="E150" s="83">
        <v>202.16816848610301</v>
      </c>
      <c r="F150" s="83">
        <v>205.01872558537301</v>
      </c>
      <c r="G150" s="83">
        <v>179.96659922203401</v>
      </c>
      <c r="H150" s="83">
        <v>156.10742616381199</v>
      </c>
      <c r="I150" s="83">
        <v>149.65073404856</v>
      </c>
      <c r="J150" s="83">
        <v>159.45241442704301</v>
      </c>
      <c r="K150" s="83">
        <v>187.50117169297599</v>
      </c>
      <c r="L150" s="83">
        <v>224.69668722945499</v>
      </c>
      <c r="M150" s="83">
        <v>248.11024447302901</v>
      </c>
      <c r="N150" s="83">
        <v>253.560037958533</v>
      </c>
      <c r="O150" s="83">
        <v>428.756628524782</v>
      </c>
      <c r="P150" s="83">
        <v>912.35339723464097</v>
      </c>
      <c r="Q150" s="83">
        <v>301.88289047751903</v>
      </c>
      <c r="R150" s="83">
        <v>388.16891362255802</v>
      </c>
      <c r="S150" s="83">
        <v>438.25057405660499</v>
      </c>
      <c r="T150" s="83">
        <v>464.13755248500701</v>
      </c>
      <c r="U150" s="83">
        <v>425.741867543014</v>
      </c>
      <c r="V150" s="83">
        <v>482.76882449123201</v>
      </c>
      <c r="W150" s="83">
        <v>457.88980617005001</v>
      </c>
      <c r="X150" s="83">
        <v>344.606559999929</v>
      </c>
      <c r="Y150" s="83">
        <v>353.48028201143802</v>
      </c>
      <c r="Z150" s="83">
        <v>430.13258185505998</v>
      </c>
      <c r="AA150" s="83">
        <v>339.62111150941502</v>
      </c>
      <c r="AB150" s="83">
        <v>342.00637205269697</v>
      </c>
      <c r="AC150" s="83">
        <v>659.734956080899</v>
      </c>
      <c r="AD150" s="83">
        <v>854.51586414779695</v>
      </c>
      <c r="AE150" s="84">
        <v>608.97318622568196</v>
      </c>
      <c r="AF150" s="83">
        <v>618.16092609558905</v>
      </c>
      <c r="AG150" s="83">
        <v>754.86392163832397</v>
      </c>
      <c r="AH150" s="83">
        <v>683.05816650390602</v>
      </c>
      <c r="AI150" s="83">
        <v>683.05816650390602</v>
      </c>
      <c r="AJ150" s="83">
        <v>683.05816650390602</v>
      </c>
      <c r="AK150" s="83">
        <v>683.05816650390602</v>
      </c>
      <c r="AL150" s="83">
        <v>683.05816650390602</v>
      </c>
      <c r="AM150" s="82"/>
      <c r="AN150" s="82"/>
    </row>
    <row r="151" spans="1:40" x14ac:dyDescent="0.65">
      <c r="A151" s="93" t="s">
        <v>240</v>
      </c>
      <c r="B151" s="112" t="str">
        <f t="shared" si="9"/>
        <v>IMF.RES.GAS:GAS_LIVE</v>
      </c>
      <c r="C151" s="81" t="s">
        <v>508</v>
      </c>
      <c r="D151" s="82"/>
      <c r="E151" s="83">
        <v>116.52833333333299</v>
      </c>
      <c r="F151" s="83">
        <v>116.886666666667</v>
      </c>
      <c r="G151" s="83">
        <v>121.645</v>
      </c>
      <c r="H151" s="83">
        <v>122.5</v>
      </c>
      <c r="I151" s="83">
        <v>118.083333333333</v>
      </c>
      <c r="J151" s="83">
        <v>113.3125</v>
      </c>
      <c r="K151" s="83">
        <v>93.272640957500002</v>
      </c>
      <c r="L151" s="83">
        <v>102.556815396666</v>
      </c>
      <c r="M151" s="83">
        <v>130.238489591666</v>
      </c>
      <c r="N151" s="83">
        <v>143.68342332500001</v>
      </c>
      <c r="O151" s="83">
        <v>164.803530725</v>
      </c>
      <c r="P151" s="83">
        <v>469.418590841666</v>
      </c>
      <c r="Q151" s="83">
        <v>519.07461806666595</v>
      </c>
      <c r="R151" s="83">
        <v>273.24812237499998</v>
      </c>
      <c r="S151" s="83">
        <v>358.39410884166603</v>
      </c>
      <c r="T151" s="83">
        <v>377.88874813333302</v>
      </c>
      <c r="U151" s="83">
        <v>312.18388195833302</v>
      </c>
      <c r="V151" s="83">
        <v>244.666231141666</v>
      </c>
      <c r="W151" s="83">
        <v>249.42599153333299</v>
      </c>
      <c r="X151" s="83">
        <v>202.20576505833299</v>
      </c>
      <c r="Y151" s="83">
        <v>175.92656314166601</v>
      </c>
      <c r="Z151" s="83">
        <v>177.4360734</v>
      </c>
      <c r="AA151" s="83">
        <v>210.37084347499999</v>
      </c>
      <c r="AB151" s="83">
        <v>196.18648004166599</v>
      </c>
      <c r="AC151" s="83">
        <v>220.16034219166599</v>
      </c>
      <c r="AD151" s="83">
        <v>586.24703997500001</v>
      </c>
      <c r="AE151" s="84">
        <v>518.87140997500001</v>
      </c>
      <c r="AF151" s="83">
        <v>342.175163766666</v>
      </c>
      <c r="AG151" s="83">
        <v>374.26666665833301</v>
      </c>
      <c r="AH151" s="83">
        <v>398</v>
      </c>
      <c r="AI151" s="83">
        <v>398</v>
      </c>
      <c r="AJ151" s="83">
        <v>398</v>
      </c>
      <c r="AK151" s="83">
        <v>398</v>
      </c>
      <c r="AL151" s="83">
        <v>398</v>
      </c>
      <c r="AM151" s="82"/>
      <c r="AN151" s="82"/>
    </row>
    <row r="152" spans="1:40" x14ac:dyDescent="0.65">
      <c r="A152" s="3" t="s">
        <v>241</v>
      </c>
      <c r="B152" s="11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17"/>
      <c r="AF152" s="5"/>
      <c r="AG152" s="5"/>
      <c r="AH152" s="5"/>
      <c r="AI152" s="5"/>
      <c r="AJ152" s="5"/>
      <c r="AK152" s="5"/>
      <c r="AL152" s="5"/>
    </row>
    <row r="153" spans="1:40" x14ac:dyDescent="0.65">
      <c r="A153" s="19" t="s">
        <v>242</v>
      </c>
      <c r="B153" s="11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17"/>
      <c r="AF153" s="5"/>
      <c r="AG153" s="5"/>
      <c r="AH153" s="5"/>
      <c r="AI153" s="5"/>
      <c r="AJ153" s="5"/>
      <c r="AK153" s="5"/>
      <c r="AL153" s="5"/>
    </row>
    <row r="154" spans="1:40" x14ac:dyDescent="0.65">
      <c r="A154" s="90" t="s">
        <v>24</v>
      </c>
      <c r="B154" s="112" t="str">
        <f t="shared" si="9"/>
        <v>IMF.RES.GAS:GAS_LIVE</v>
      </c>
      <c r="C154" s="81" t="s">
        <v>509</v>
      </c>
      <c r="D154" s="82"/>
      <c r="E154" s="83">
        <v>1599.29444376628</v>
      </c>
      <c r="F154" s="83">
        <v>1357.5716959635399</v>
      </c>
      <c r="G154" s="83">
        <v>1359.9888089169101</v>
      </c>
      <c r="H154" s="83">
        <v>1551.4977867965399</v>
      </c>
      <c r="I154" s="83">
        <v>1446.74656952702</v>
      </c>
      <c r="J154" s="83">
        <v>1351.05722982935</v>
      </c>
      <c r="K154" s="83">
        <v>1432.81677916588</v>
      </c>
      <c r="L154" s="83">
        <v>1718.4959719869501</v>
      </c>
      <c r="M154" s="83">
        <v>1900.5060335497801</v>
      </c>
      <c r="N154" s="83">
        <v>2573.0634709302899</v>
      </c>
      <c r="O154" s="83">
        <v>2639.8607875192702</v>
      </c>
      <c r="P154" s="83">
        <v>2577.9158586498302</v>
      </c>
      <c r="Q154" s="83">
        <v>1668.48937849193</v>
      </c>
      <c r="R154" s="83">
        <v>2172.9943531795502</v>
      </c>
      <c r="S154" s="83">
        <v>2400.6433252164502</v>
      </c>
      <c r="T154" s="83">
        <v>2022.79538026142</v>
      </c>
      <c r="U154" s="83">
        <v>1846.6769268774699</v>
      </c>
      <c r="V154" s="83">
        <v>1867.42106095896</v>
      </c>
      <c r="W154" s="83">
        <v>1664.6806731316899</v>
      </c>
      <c r="X154" s="83">
        <v>1604.18192189754</v>
      </c>
      <c r="Y154" s="83">
        <v>1967.6545713482201</v>
      </c>
      <c r="Z154" s="83">
        <v>2108.4741850405799</v>
      </c>
      <c r="AA154" s="83">
        <v>1794.48803685143</v>
      </c>
      <c r="AB154" s="83">
        <v>1704.09603045121</v>
      </c>
      <c r="AC154" s="83">
        <v>2472.9523126293998</v>
      </c>
      <c r="AD154" s="83">
        <v>2706.9881890802399</v>
      </c>
      <c r="AE154" s="84">
        <v>2256.08634516751</v>
      </c>
      <c r="AF154" s="83">
        <v>2420.9452016516002</v>
      </c>
      <c r="AG154" s="83">
        <v>2630.6230798199299</v>
      </c>
      <c r="AH154" s="83">
        <v>3041.7910522460902</v>
      </c>
      <c r="AI154" s="83">
        <v>3019.5833333333298</v>
      </c>
      <c r="AJ154" s="83">
        <v>2992.75</v>
      </c>
      <c r="AK154" s="83">
        <v>2959.4166666666601</v>
      </c>
      <c r="AL154" s="83">
        <v>2911.625</v>
      </c>
      <c r="AM154" s="82"/>
      <c r="AN154" s="82"/>
    </row>
    <row r="155" spans="1:40" x14ac:dyDescent="0.65">
      <c r="A155" s="90" t="s">
        <v>243</v>
      </c>
      <c r="B155" s="112" t="str">
        <f t="shared" si="9"/>
        <v>IMF.RES.GAS:GAS_LIVE</v>
      </c>
      <c r="C155" s="81" t="s">
        <v>510</v>
      </c>
      <c r="D155" s="82"/>
      <c r="E155" s="83">
        <v>23328.749974568698</v>
      </c>
      <c r="F155" s="83">
        <v>21508.194605509401</v>
      </c>
      <c r="G155" s="83">
        <v>16825.520833333299</v>
      </c>
      <c r="H155" s="83">
        <v>15184.4618545706</v>
      </c>
      <c r="I155" s="83">
        <v>10907.901413200299</v>
      </c>
      <c r="J155" s="83">
        <v>6641.1497545329103</v>
      </c>
      <c r="K155" s="83">
        <v>19668.6694175333</v>
      </c>
      <c r="L155" s="83">
        <v>43914.125495337103</v>
      </c>
      <c r="M155" s="83">
        <v>28947.549894955599</v>
      </c>
      <c r="N155" s="83">
        <v>31172.303426912</v>
      </c>
      <c r="O155" s="83">
        <v>54341.499809259498</v>
      </c>
      <c r="P155" s="83">
        <v>70839.254467745894</v>
      </c>
      <c r="Q155" s="83">
        <v>32088.124664011801</v>
      </c>
      <c r="R155" s="83">
        <v>39368.276124237003</v>
      </c>
      <c r="S155" s="83">
        <v>35344.638635317897</v>
      </c>
      <c r="T155" s="83">
        <v>28930.686530122199</v>
      </c>
      <c r="U155" s="83">
        <v>27090.822506313099</v>
      </c>
      <c r="V155" s="83">
        <v>30780.7319565531</v>
      </c>
      <c r="W155" s="83">
        <v>28451.660698559601</v>
      </c>
      <c r="X155" s="83">
        <v>25463.3685425685</v>
      </c>
      <c r="Y155" s="83">
        <v>55832.1709807429</v>
      </c>
      <c r="Z155" s="83">
        <v>72911.236898013303</v>
      </c>
      <c r="AA155" s="83">
        <v>33177.632305390798</v>
      </c>
      <c r="AB155" s="83">
        <v>31444.9269022564</v>
      </c>
      <c r="AC155" s="83">
        <v>51235.518379838701</v>
      </c>
      <c r="AD155" s="83">
        <v>63764.719304065402</v>
      </c>
      <c r="AE155" s="84">
        <v>34275.041504524997</v>
      </c>
      <c r="AF155" s="83">
        <v>26326.827560543301</v>
      </c>
      <c r="AG155" s="83">
        <v>34917.081398613402</v>
      </c>
      <c r="AH155" s="83">
        <v>56555.678059895799</v>
      </c>
      <c r="AI155" s="83">
        <v>57931</v>
      </c>
      <c r="AJ155" s="83">
        <v>58006</v>
      </c>
      <c r="AK155" s="83">
        <v>58006</v>
      </c>
      <c r="AL155" s="83">
        <v>58006</v>
      </c>
      <c r="AM155" s="82"/>
      <c r="AN155" s="82"/>
    </row>
    <row r="156" spans="1:40" x14ac:dyDescent="0.65">
      <c r="A156" s="90" t="s">
        <v>27</v>
      </c>
      <c r="B156" s="112" t="str">
        <f t="shared" si="9"/>
        <v>IMF.RES.GAS:GAS_LIVE</v>
      </c>
      <c r="C156" s="81" t="s">
        <v>511</v>
      </c>
      <c r="D156" s="82"/>
      <c r="E156" s="83">
        <v>2275.18712964007</v>
      </c>
      <c r="F156" s="83">
        <v>1653.70748711904</v>
      </c>
      <c r="G156" s="83">
        <v>1572.52510721511</v>
      </c>
      <c r="H156" s="83">
        <v>1814.5239733907399</v>
      </c>
      <c r="I156" s="83">
        <v>1580.1689744277701</v>
      </c>
      <c r="J156" s="83">
        <v>1560.29019956292</v>
      </c>
      <c r="K156" s="83">
        <v>1779.36156067664</v>
      </c>
      <c r="L156" s="83">
        <v>2863.4687614313202</v>
      </c>
      <c r="M156" s="83">
        <v>3676.4947240259698</v>
      </c>
      <c r="N156" s="83">
        <v>6731.3519071545197</v>
      </c>
      <c r="O156" s="83">
        <v>7131.6300162117504</v>
      </c>
      <c r="P156" s="83">
        <v>6963.4819978037103</v>
      </c>
      <c r="Q156" s="83">
        <v>5164.15877782194</v>
      </c>
      <c r="R156" s="83">
        <v>7538.3621197571501</v>
      </c>
      <c r="S156" s="83">
        <v>8823.4542464630704</v>
      </c>
      <c r="T156" s="83">
        <v>7958.9246782119098</v>
      </c>
      <c r="U156" s="83">
        <v>7331.4907649868201</v>
      </c>
      <c r="V156" s="83">
        <v>6863.3965805179096</v>
      </c>
      <c r="W156" s="83">
        <v>5510.4571127155004</v>
      </c>
      <c r="X156" s="83">
        <v>4867.8974296536799</v>
      </c>
      <c r="Y156" s="83">
        <v>6169.9399418513603</v>
      </c>
      <c r="Z156" s="83">
        <v>6529.7983709685896</v>
      </c>
      <c r="AA156" s="83">
        <v>6010.1454296458296</v>
      </c>
      <c r="AB156" s="83">
        <v>6174.5579173221204</v>
      </c>
      <c r="AC156" s="83">
        <v>9317.4091658824309</v>
      </c>
      <c r="AD156" s="83">
        <v>8828.9168140645506</v>
      </c>
      <c r="AE156" s="84">
        <v>8490.7617314997806</v>
      </c>
      <c r="AF156" s="83">
        <v>9142.1015600257197</v>
      </c>
      <c r="AG156" s="83">
        <v>9946.8819470167491</v>
      </c>
      <c r="AH156" s="83">
        <v>12940.1330501302</v>
      </c>
      <c r="AI156" s="83">
        <v>13005.020833333299</v>
      </c>
      <c r="AJ156" s="83">
        <v>13070.375</v>
      </c>
      <c r="AK156" s="83">
        <v>13116.75</v>
      </c>
      <c r="AL156" s="83">
        <v>13123.083333333299</v>
      </c>
      <c r="AM156" s="82"/>
      <c r="AN156" s="82"/>
    </row>
    <row r="157" spans="1:40" x14ac:dyDescent="0.65">
      <c r="A157" s="90" t="s">
        <v>244</v>
      </c>
      <c r="B157" s="112" t="str">
        <f t="shared" si="9"/>
        <v>IMF.RES.GAS:GAS_LIVE</v>
      </c>
      <c r="C157" s="81" t="s">
        <v>512</v>
      </c>
      <c r="D157" s="82"/>
      <c r="E157" s="83">
        <v>13.04</v>
      </c>
      <c r="F157" s="83">
        <v>13.41</v>
      </c>
      <c r="G157" s="83">
        <v>11.93</v>
      </c>
      <c r="H157" s="83">
        <v>12.45</v>
      </c>
      <c r="I157" s="83">
        <v>12.99</v>
      </c>
      <c r="J157" s="83">
        <v>12.68</v>
      </c>
      <c r="K157" s="83">
        <v>13.82</v>
      </c>
      <c r="L157" s="83">
        <v>16.39</v>
      </c>
      <c r="M157" s="83">
        <v>28.11</v>
      </c>
      <c r="N157" s="83">
        <v>33.450000000000003</v>
      </c>
      <c r="O157" s="83">
        <v>36.630000000000003</v>
      </c>
      <c r="P157" s="83">
        <v>61.565217391304301</v>
      </c>
      <c r="Q157" s="83">
        <v>79.993917748917795</v>
      </c>
      <c r="R157" s="83">
        <v>146.71961062488199</v>
      </c>
      <c r="S157" s="83">
        <v>167.790217600435</v>
      </c>
      <c r="T157" s="83">
        <v>128.52636873805099</v>
      </c>
      <c r="U157" s="83">
        <v>135.36118854173199</v>
      </c>
      <c r="V157" s="83">
        <v>97.387119094673395</v>
      </c>
      <c r="W157" s="83">
        <v>56.137484315201696</v>
      </c>
      <c r="X157" s="83">
        <v>58.565190727147197</v>
      </c>
      <c r="Y157" s="83">
        <v>71.134474402409097</v>
      </c>
      <c r="Z157" s="83">
        <v>70.138404228621596</v>
      </c>
      <c r="AA157" s="83">
        <v>93.624179214505304</v>
      </c>
      <c r="AB157" s="83">
        <v>108.071493271221</v>
      </c>
      <c r="AC157" s="83">
        <v>158.16166811235101</v>
      </c>
      <c r="AD157" s="83">
        <v>120.703864734299</v>
      </c>
      <c r="AE157" s="84">
        <v>120.315316989773</v>
      </c>
      <c r="AF157" s="83">
        <v>111.06139108476</v>
      </c>
      <c r="AG157" s="83">
        <v>103.715133320785</v>
      </c>
      <c r="AH157" s="83">
        <v>100.365454610188</v>
      </c>
      <c r="AI157" s="83">
        <v>96.342500000000001</v>
      </c>
      <c r="AJ157" s="83">
        <v>93.05</v>
      </c>
      <c r="AK157" s="83">
        <v>89.465833333333293</v>
      </c>
      <c r="AL157" s="83">
        <v>88.34</v>
      </c>
      <c r="AM157" s="82"/>
      <c r="AN157" s="82"/>
    </row>
    <row r="158" spans="1:40" x14ac:dyDescent="0.65">
      <c r="A158" s="90" t="s">
        <v>30</v>
      </c>
      <c r="B158" s="112" t="str">
        <f t="shared" si="9"/>
        <v>IMF.RES.GAS:GAS_LIVE</v>
      </c>
      <c r="C158" s="81" t="s">
        <v>513</v>
      </c>
      <c r="D158" s="82"/>
      <c r="E158" s="83">
        <v>623.06424967447902</v>
      </c>
      <c r="F158" s="83">
        <v>526.91854604085302</v>
      </c>
      <c r="G158" s="83">
        <v>501.76420797984298</v>
      </c>
      <c r="H158" s="83">
        <v>454.17234762218402</v>
      </c>
      <c r="I158" s="83">
        <v>476.35659803952302</v>
      </c>
      <c r="J158" s="83">
        <v>452.24575177238199</v>
      </c>
      <c r="K158" s="83">
        <v>514.19058594485205</v>
      </c>
      <c r="L158" s="83">
        <v>881.94283734492706</v>
      </c>
      <c r="M158" s="83">
        <v>974.36787968975398</v>
      </c>
      <c r="N158" s="83">
        <v>1288.4241020280899</v>
      </c>
      <c r="O158" s="83">
        <v>2579.1204211326999</v>
      </c>
      <c r="P158" s="83">
        <v>2093.3210568107502</v>
      </c>
      <c r="Q158" s="83">
        <v>1719.05436540131</v>
      </c>
      <c r="R158" s="83">
        <v>2148.1806437618998</v>
      </c>
      <c r="S158" s="83">
        <v>2400.7046284532698</v>
      </c>
      <c r="T158" s="83">
        <v>2063.5569113206202</v>
      </c>
      <c r="U158" s="83">
        <v>2139.7498950294798</v>
      </c>
      <c r="V158" s="83">
        <v>2095.4581286074999</v>
      </c>
      <c r="W158" s="83">
        <v>1787.81986739741</v>
      </c>
      <c r="X158" s="83">
        <v>1866.65364808802</v>
      </c>
      <c r="Y158" s="83">
        <v>2314.6648101506498</v>
      </c>
      <c r="Z158" s="83">
        <v>2240.4361072208599</v>
      </c>
      <c r="AA158" s="83">
        <v>1996.5066254548501</v>
      </c>
      <c r="AB158" s="83">
        <v>1824.92507408962</v>
      </c>
      <c r="AC158" s="83">
        <v>2200.4249718379401</v>
      </c>
      <c r="AD158" s="83">
        <v>2152.7249836093802</v>
      </c>
      <c r="AE158" s="84">
        <v>2136.20999446326</v>
      </c>
      <c r="AF158" s="83">
        <v>2069.3491257215001</v>
      </c>
      <c r="AG158" s="83">
        <v>1962.2498338979799</v>
      </c>
      <c r="AH158" s="83">
        <v>1987.1110135904901</v>
      </c>
      <c r="AI158" s="83">
        <v>2109.15083333333</v>
      </c>
      <c r="AJ158" s="83">
        <v>2190.88</v>
      </c>
      <c r="AK158" s="83">
        <v>2236.0050000000001</v>
      </c>
      <c r="AL158" s="83">
        <v>2242.46333333333</v>
      </c>
      <c r="AM158" s="82"/>
      <c r="AN158" s="82"/>
    </row>
    <row r="159" spans="1:40" x14ac:dyDescent="0.65">
      <c r="A159" s="90" t="s">
        <v>245</v>
      </c>
      <c r="B159" s="112" t="str">
        <f t="shared" si="9"/>
        <v>IMF.RES.GAS:GAS_LIVE</v>
      </c>
      <c r="C159" s="81" t="s">
        <v>514</v>
      </c>
      <c r="D159" s="82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>
        <v>33774.491521059397</v>
      </c>
      <c r="T159" s="83">
        <v>27797.598323872899</v>
      </c>
      <c r="U159" s="83">
        <v>22506.493314354699</v>
      </c>
      <c r="V159" s="83">
        <v>25067.380540654998</v>
      </c>
      <c r="W159" s="83">
        <v>14523.5344424136</v>
      </c>
      <c r="X159" s="83">
        <v>14016.2488095238</v>
      </c>
      <c r="Y159" s="83">
        <v>15548.228605673699</v>
      </c>
      <c r="Z159" s="83">
        <v>22894.3520026185</v>
      </c>
      <c r="AA159" s="83">
        <v>25590.473834188499</v>
      </c>
      <c r="AB159" s="83">
        <v>19654.370775993801</v>
      </c>
      <c r="AC159" s="83">
        <v>34893.773125950996</v>
      </c>
      <c r="AD159" s="83">
        <v>39173.007669626597</v>
      </c>
      <c r="AE159" s="84">
        <v>56591.2487651747</v>
      </c>
      <c r="AF159" s="83">
        <v>44692.029153295298</v>
      </c>
      <c r="AG159" s="83">
        <v>51900.086936414802</v>
      </c>
      <c r="AH159" s="83">
        <v>53963.650094687502</v>
      </c>
      <c r="AI159" s="83">
        <v>53329.821219999998</v>
      </c>
      <c r="AJ159" s="83">
        <v>53329.821219999998</v>
      </c>
      <c r="AK159" s="83">
        <v>53329.821219999998</v>
      </c>
      <c r="AL159" s="83">
        <v>53329.821219999998</v>
      </c>
      <c r="AM159" s="82"/>
      <c r="AN159" s="82"/>
    </row>
    <row r="160" spans="1:40" x14ac:dyDescent="0.65">
      <c r="A160" s="90" t="s">
        <v>31</v>
      </c>
      <c r="B160" s="112" t="str">
        <f t="shared" si="9"/>
        <v>IMF.RES.GAS:GAS_LIVE</v>
      </c>
      <c r="C160" s="81" t="s">
        <v>515</v>
      </c>
      <c r="D160" s="82"/>
      <c r="E160" s="83">
        <v>6924.7204996744804</v>
      </c>
      <c r="F160" s="83">
        <v>4623.5865478515598</v>
      </c>
      <c r="G160" s="83">
        <v>6002.5060322374602</v>
      </c>
      <c r="H160" s="83">
        <v>8630.5176940209603</v>
      </c>
      <c r="I160" s="83">
        <v>5969.6306401765796</v>
      </c>
      <c r="J160" s="83">
        <v>6783.3064305058897</v>
      </c>
      <c r="K160" s="83">
        <v>9630.23454459188</v>
      </c>
      <c r="L160" s="83">
        <v>13821.0092692163</v>
      </c>
      <c r="M160" s="83">
        <v>14777.814592352001</v>
      </c>
      <c r="N160" s="83">
        <v>24125.614138002002</v>
      </c>
      <c r="O160" s="83">
        <v>37135.841890395102</v>
      </c>
      <c r="P160" s="83">
        <v>21141.4654704118</v>
      </c>
      <c r="Q160" s="83">
        <v>14666.737879922901</v>
      </c>
      <c r="R160" s="83">
        <v>21809.999287125898</v>
      </c>
      <c r="S160" s="83">
        <v>22909.142211517301</v>
      </c>
      <c r="T160" s="83">
        <v>17541.739475696399</v>
      </c>
      <c r="U160" s="83">
        <v>15029.9885795062</v>
      </c>
      <c r="V160" s="83">
        <v>16893.3745478856</v>
      </c>
      <c r="W160" s="83">
        <v>11862.634518990501</v>
      </c>
      <c r="X160" s="83">
        <v>9595.1790809884496</v>
      </c>
      <c r="Y160" s="83">
        <v>10409.634946067599</v>
      </c>
      <c r="Z160" s="83">
        <v>13114.063888847601</v>
      </c>
      <c r="AA160" s="83">
        <v>13913.9086929073</v>
      </c>
      <c r="AB160" s="83">
        <v>13790.4265743876</v>
      </c>
      <c r="AC160" s="83">
        <v>18467.051873713801</v>
      </c>
      <c r="AD160" s="83">
        <v>25867.262713207099</v>
      </c>
      <c r="AE160" s="84">
        <v>21528.674615306802</v>
      </c>
      <c r="AF160" s="83">
        <v>16815.9714879776</v>
      </c>
      <c r="AG160" s="83">
        <v>15161.331557869</v>
      </c>
      <c r="AH160" s="83">
        <v>17241.825247395798</v>
      </c>
      <c r="AI160" s="83">
        <v>17788.493333333299</v>
      </c>
      <c r="AJ160" s="83">
        <v>18336.826666666599</v>
      </c>
      <c r="AK160" s="83">
        <v>18861.16</v>
      </c>
      <c r="AL160" s="83">
        <v>19458.16</v>
      </c>
      <c r="AM160" s="82"/>
      <c r="AN160" s="82"/>
    </row>
    <row r="161" spans="1:40" x14ac:dyDescent="0.65">
      <c r="A161" s="90" t="s">
        <v>36</v>
      </c>
      <c r="B161" s="112" t="str">
        <f t="shared" si="9"/>
        <v>IMF.RES.GAS:GAS_LIVE</v>
      </c>
      <c r="C161" s="81" t="s">
        <v>516</v>
      </c>
      <c r="D161" s="82"/>
      <c r="E161" s="83">
        <v>5640.4804572593703</v>
      </c>
      <c r="F161" s="83">
        <v>5536.2287691169704</v>
      </c>
      <c r="G161" s="83">
        <v>5391.3942611819402</v>
      </c>
      <c r="H161" s="83">
        <v>5435.9025268210098</v>
      </c>
      <c r="I161" s="83">
        <v>4489.4362446415098</v>
      </c>
      <c r="J161" s="83">
        <v>4060.9963153794702</v>
      </c>
      <c r="K161" s="83">
        <v>4889.5855445369798</v>
      </c>
      <c r="L161" s="83">
        <v>8480.9384979287806</v>
      </c>
      <c r="M161" s="83">
        <v>7385.2477362914797</v>
      </c>
      <c r="N161" s="83">
        <v>8754.9030097442392</v>
      </c>
      <c r="O161" s="83">
        <v>14495.4433468525</v>
      </c>
      <c r="P161" s="83">
        <v>18466.644467930299</v>
      </c>
      <c r="Q161" s="83">
        <v>13599.284720055201</v>
      </c>
      <c r="R161" s="83">
        <v>20367.248758795798</v>
      </c>
      <c r="S161" s="83">
        <v>26051.449644281802</v>
      </c>
      <c r="T161" s="83">
        <v>21109.356206897701</v>
      </c>
      <c r="U161" s="83">
        <v>22281.5834868483</v>
      </c>
      <c r="V161" s="83">
        <v>21898.873673850299</v>
      </c>
      <c r="W161" s="83">
        <v>16066.6324391863</v>
      </c>
      <c r="X161" s="83">
        <v>17933.762085137001</v>
      </c>
      <c r="Y161" s="83">
        <v>20061.168945736601</v>
      </c>
      <c r="Z161" s="83">
        <v>20145.205894698</v>
      </c>
      <c r="AA161" s="83">
        <v>18661.1568322981</v>
      </c>
      <c r="AB161" s="83">
        <v>17125.459462184699</v>
      </c>
      <c r="AC161" s="83">
        <v>32387.2890990259</v>
      </c>
      <c r="AD161" s="83">
        <v>31383.286675457999</v>
      </c>
      <c r="AE161" s="84">
        <v>25912.245867400699</v>
      </c>
      <c r="AF161" s="83">
        <v>30059.334260289201</v>
      </c>
      <c r="AG161" s="83">
        <v>34058.324170689797</v>
      </c>
      <c r="AH161" s="83">
        <v>46768.1484375</v>
      </c>
      <c r="AI161" s="83">
        <v>46533.25</v>
      </c>
      <c r="AJ161" s="83">
        <v>46516</v>
      </c>
      <c r="AK161" s="83">
        <v>46516</v>
      </c>
      <c r="AL161" s="83">
        <v>46516</v>
      </c>
      <c r="AM161" s="82"/>
      <c r="AN161" s="82"/>
    </row>
    <row r="162" spans="1:40" x14ac:dyDescent="0.65">
      <c r="A162" s="90" t="s">
        <v>246</v>
      </c>
      <c r="B162" s="112" t="str">
        <f t="shared" si="9"/>
        <v>IMF.RES.GAS:GAS_LIVE</v>
      </c>
      <c r="C162" s="81" t="s">
        <v>517</v>
      </c>
      <c r="D162" s="82"/>
      <c r="E162" s="83">
        <v>12.0978472222222</v>
      </c>
      <c r="F162" s="83">
        <v>10.3871527777778</v>
      </c>
      <c r="G162" s="83">
        <v>10.015277778333299</v>
      </c>
      <c r="H162" s="83">
        <v>8.2845965616666692</v>
      </c>
      <c r="I162" s="83">
        <v>8.6198578041666707</v>
      </c>
      <c r="J162" s="83">
        <v>9.8279189409624195</v>
      </c>
      <c r="K162" s="83">
        <v>11.235977463558999</v>
      </c>
      <c r="L162" s="83">
        <v>18.0458449074074</v>
      </c>
      <c r="M162" s="83">
        <v>27.930869708994699</v>
      </c>
      <c r="N162" s="83">
        <v>47.684933862433901</v>
      </c>
      <c r="O162" s="83">
        <v>99.238029100529005</v>
      </c>
      <c r="P162" s="83">
        <v>64.179836309523793</v>
      </c>
      <c r="Q162" s="83">
        <v>46.671469907407399</v>
      </c>
      <c r="R162" s="83">
        <v>45.961111111111101</v>
      </c>
      <c r="S162" s="83">
        <v>56.235416666666701</v>
      </c>
      <c r="T162" s="83">
        <v>48.898958333333297</v>
      </c>
      <c r="U162" s="83">
        <v>38.574663950733999</v>
      </c>
      <c r="V162" s="83">
        <v>33.489431241936003</v>
      </c>
      <c r="W162" s="83">
        <v>36.815073287220002</v>
      </c>
      <c r="X162" s="83">
        <v>26.485185315891801</v>
      </c>
      <c r="Y162" s="83">
        <v>22.089371980676301</v>
      </c>
      <c r="Z162" s="83">
        <v>24.5441826651609</v>
      </c>
      <c r="AA162" s="83">
        <v>25.906443471986901</v>
      </c>
      <c r="AB162" s="83">
        <v>29.430767888512399</v>
      </c>
      <c r="AC162" s="83">
        <v>32.856292707626601</v>
      </c>
      <c r="AD162" s="83">
        <v>40.772931391177401</v>
      </c>
      <c r="AE162" s="84">
        <v>48.988665638895597</v>
      </c>
      <c r="AF162" s="83">
        <v>69.694411375967206</v>
      </c>
      <c r="AG162" s="83">
        <v>58.765003743651398</v>
      </c>
      <c r="AH162" s="83">
        <v>84.839055633544902</v>
      </c>
      <c r="AI162" s="83">
        <v>91.037499999999895</v>
      </c>
      <c r="AJ162" s="83">
        <v>94.787499999999994</v>
      </c>
      <c r="AK162" s="83">
        <v>97.204166666666595</v>
      </c>
      <c r="AL162" s="83">
        <v>99.8541666666666</v>
      </c>
      <c r="AM162" s="82"/>
      <c r="AN162" s="82"/>
    </row>
    <row r="163" spans="1:40" x14ac:dyDescent="0.65">
      <c r="A163" s="90" t="s">
        <v>38</v>
      </c>
      <c r="B163" s="112" t="str">
        <f t="shared" si="9"/>
        <v>IMF.RES.GAS:GAS_LIVE</v>
      </c>
      <c r="C163" s="81" t="s">
        <v>518</v>
      </c>
      <c r="D163" s="82"/>
      <c r="E163" s="83">
        <v>1314.8982340494799</v>
      </c>
      <c r="F163" s="83">
        <v>1024.28480021159</v>
      </c>
      <c r="G163" s="83">
        <v>1075.7998344513201</v>
      </c>
      <c r="H163" s="83">
        <v>1127.69776373988</v>
      </c>
      <c r="I163" s="83">
        <v>886.81946910033196</v>
      </c>
      <c r="J163" s="83">
        <v>778.901929413179</v>
      </c>
      <c r="K163" s="83">
        <v>827.94800963830801</v>
      </c>
      <c r="L163" s="83">
        <v>1048.02477248787</v>
      </c>
      <c r="M163" s="83">
        <v>1380.52433712121</v>
      </c>
      <c r="N163" s="83">
        <v>3266.1766760789201</v>
      </c>
      <c r="O163" s="83">
        <v>3249.7257353005898</v>
      </c>
      <c r="P163" s="83">
        <v>1884.83080452077</v>
      </c>
      <c r="Q163" s="83">
        <v>1658.3851935277</v>
      </c>
      <c r="R163" s="83">
        <v>2160.34598447493</v>
      </c>
      <c r="S163" s="83">
        <v>2195.5319290864099</v>
      </c>
      <c r="T163" s="83">
        <v>1950.0225201302001</v>
      </c>
      <c r="U163" s="83">
        <v>1910.1660828000499</v>
      </c>
      <c r="V163" s="83">
        <v>2160.9712736840402</v>
      </c>
      <c r="W163" s="83">
        <v>1931.67846958057</v>
      </c>
      <c r="X163" s="83">
        <v>2089.9750360750299</v>
      </c>
      <c r="Y163" s="83">
        <v>2890.8656737157398</v>
      </c>
      <c r="Z163" s="83">
        <v>2922.3790286198</v>
      </c>
      <c r="AA163" s="83">
        <v>2550.4099974904302</v>
      </c>
      <c r="AB163" s="83">
        <v>2266.7708759187899</v>
      </c>
      <c r="AC163" s="83">
        <v>3002.8458971704599</v>
      </c>
      <c r="AD163" s="83">
        <v>3484.8652899334902</v>
      </c>
      <c r="AE163" s="84">
        <v>2652.9528820816799</v>
      </c>
      <c r="AF163" s="83">
        <v>2776.5313300708899</v>
      </c>
      <c r="AG163" s="83">
        <v>2866.5984546552399</v>
      </c>
      <c r="AH163" s="83">
        <v>3294.47358642578</v>
      </c>
      <c r="AI163" s="83">
        <v>3239.2958333333299</v>
      </c>
      <c r="AJ163" s="83">
        <v>3092.4</v>
      </c>
      <c r="AK163" s="83">
        <v>2997.9</v>
      </c>
      <c r="AL163" s="83">
        <v>2997.9</v>
      </c>
      <c r="AM163" s="82"/>
      <c r="AN163" s="82"/>
    </row>
    <row r="164" spans="1:40" x14ac:dyDescent="0.65">
      <c r="A164" s="19" t="s">
        <v>187</v>
      </c>
      <c r="B164" s="11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17"/>
      <c r="AF164" s="5"/>
      <c r="AG164" s="5"/>
      <c r="AH164" s="5"/>
      <c r="AI164" s="5"/>
      <c r="AJ164" s="5"/>
      <c r="AK164" s="5"/>
      <c r="AL164" s="5"/>
    </row>
    <row r="165" spans="1:40" x14ac:dyDescent="0.65">
      <c r="A165" s="90" t="s">
        <v>77</v>
      </c>
      <c r="B165" s="112" t="str">
        <f t="shared" si="9"/>
        <v>IMF.RES.GAS:GAS_LIVE</v>
      </c>
      <c r="C165" s="81" t="s">
        <v>519</v>
      </c>
      <c r="D165" s="82"/>
      <c r="E165" s="83">
        <v>330.99543507893901</v>
      </c>
      <c r="F165" s="83">
        <v>294.13892364501999</v>
      </c>
      <c r="G165" s="83">
        <v>278.87285144999998</v>
      </c>
      <c r="H165" s="83">
        <v>279.17055316666699</v>
      </c>
      <c r="I165" s="83">
        <v>271.05059244166699</v>
      </c>
      <c r="J165" s="83">
        <v>310.035467583333</v>
      </c>
      <c r="K165" s="83">
        <v>363.50905736838803</v>
      </c>
      <c r="L165" s="83">
        <v>409.21152726389403</v>
      </c>
      <c r="M165" s="83">
        <v>444.88172288359698</v>
      </c>
      <c r="N165" s="83">
        <v>604.33585566725606</v>
      </c>
      <c r="O165" s="83">
        <v>696.66159326217405</v>
      </c>
      <c r="P165" s="83">
        <v>871.70709605040201</v>
      </c>
      <c r="Q165" s="83">
        <v>972.97946285138005</v>
      </c>
      <c r="R165" s="83">
        <v>1224.66413599669</v>
      </c>
      <c r="S165" s="83">
        <v>1568.5836453954601</v>
      </c>
      <c r="T165" s="83">
        <v>1668.82069605371</v>
      </c>
      <c r="U165" s="83">
        <v>1411.03134482767</v>
      </c>
      <c r="V165" s="83">
        <v>1266.1938086012899</v>
      </c>
      <c r="W165" s="83">
        <v>1160.11447519696</v>
      </c>
      <c r="X165" s="83">
        <v>1248.3403911135099</v>
      </c>
      <c r="Y165" s="83">
        <v>1257.1272101257</v>
      </c>
      <c r="Z165" s="83">
        <v>1269.14052715453</v>
      </c>
      <c r="AA165" s="83">
        <v>1392.1745391152699</v>
      </c>
      <c r="AB165" s="83">
        <v>1769.5427511074199</v>
      </c>
      <c r="AC165" s="83">
        <v>1799.77063804314</v>
      </c>
      <c r="AD165" s="83">
        <v>1801.5283570957999</v>
      </c>
      <c r="AE165" s="84">
        <v>1943.0678661223999</v>
      </c>
      <c r="AF165" s="83">
        <v>2387.2067896746898</v>
      </c>
      <c r="AG165" s="83">
        <v>3439.9791959658701</v>
      </c>
      <c r="AH165" s="83">
        <v>4930.1421630859304</v>
      </c>
      <c r="AI165" s="83">
        <v>5116.375</v>
      </c>
      <c r="AJ165" s="83">
        <v>5175</v>
      </c>
      <c r="AK165" s="83">
        <v>5175</v>
      </c>
      <c r="AL165" s="83">
        <v>5175</v>
      </c>
      <c r="AM165" s="82"/>
      <c r="AN165" s="82"/>
    </row>
    <row r="166" spans="1:40" x14ac:dyDescent="0.65">
      <c r="A166" s="90" t="s">
        <v>247</v>
      </c>
      <c r="B166" s="112" t="str">
        <f t="shared" si="9"/>
        <v>IMF.RES.GAS:GAS_LIVE</v>
      </c>
      <c r="C166" s="81" t="s">
        <v>520</v>
      </c>
      <c r="D166" s="82"/>
      <c r="E166" s="83">
        <v>4.9036566153732499</v>
      </c>
      <c r="F166" s="83">
        <v>5.5484971202710298</v>
      </c>
      <c r="G166" s="83">
        <v>5.2205958375228301</v>
      </c>
      <c r="H166" s="83">
        <v>4.9531090825094699</v>
      </c>
      <c r="I166" s="83">
        <v>4.3713111441936503</v>
      </c>
      <c r="J166" s="83">
        <v>4.6006029780203699</v>
      </c>
      <c r="K166" s="83">
        <v>4.8759819193487601</v>
      </c>
      <c r="L166" s="83">
        <v>6.6498861075201097</v>
      </c>
      <c r="M166" s="83">
        <v>7.3112107233044696</v>
      </c>
      <c r="N166" s="83">
        <v>11.5724664231464</v>
      </c>
      <c r="O166" s="83">
        <v>13.3948999821688</v>
      </c>
      <c r="P166" s="83">
        <v>15.0200556624598</v>
      </c>
      <c r="Q166" s="83">
        <v>14.6539874932307</v>
      </c>
      <c r="R166" s="83">
        <v>20.157453409132099</v>
      </c>
      <c r="S166" s="83">
        <v>35.111915336072897</v>
      </c>
      <c r="T166" s="83">
        <v>31.149039966104301</v>
      </c>
      <c r="U166" s="83">
        <v>23.829577894629502</v>
      </c>
      <c r="V166" s="83">
        <v>19.078329929732099</v>
      </c>
      <c r="W166" s="83">
        <v>15.69782566842</v>
      </c>
      <c r="X166" s="83">
        <v>17.1014738455988</v>
      </c>
      <c r="Y166" s="83">
        <v>17.053602793833999</v>
      </c>
      <c r="Z166" s="83">
        <v>15.7101732449949</v>
      </c>
      <c r="AA166" s="83">
        <v>16.195985942499501</v>
      </c>
      <c r="AB166" s="83">
        <v>20.514507974481599</v>
      </c>
      <c r="AC166" s="83">
        <v>25.165988628521198</v>
      </c>
      <c r="AD166" s="83">
        <v>21.770857848673</v>
      </c>
      <c r="AE166" s="84">
        <v>23.398423340548302</v>
      </c>
      <c r="AF166" s="83">
        <v>28.225903679653602</v>
      </c>
      <c r="AG166" s="83">
        <v>39.971491839983699</v>
      </c>
      <c r="AH166" s="83">
        <v>78.801375071207602</v>
      </c>
      <c r="AI166" s="83">
        <v>79.245000000000005</v>
      </c>
      <c r="AJ166" s="83">
        <v>79.245000000000005</v>
      </c>
      <c r="AK166" s="83">
        <v>79.245000000000005</v>
      </c>
      <c r="AL166" s="83">
        <v>79.245000000000005</v>
      </c>
      <c r="AM166" s="82"/>
      <c r="AN166" s="82"/>
    </row>
    <row r="167" spans="1:40" x14ac:dyDescent="0.65">
      <c r="A167" s="90" t="s">
        <v>248</v>
      </c>
      <c r="B167" s="112" t="str">
        <f t="shared" si="9"/>
        <v>IMF.RES.GAS:GAS_LIVE</v>
      </c>
      <c r="C167" s="81" t="s">
        <v>521</v>
      </c>
      <c r="D167" s="82"/>
      <c r="E167" s="83">
        <v>177.608402111174</v>
      </c>
      <c r="F167" s="83">
        <v>284.655944538553</v>
      </c>
      <c r="G167" s="83">
        <v>358.41730719461702</v>
      </c>
      <c r="H167" s="83">
        <v>681.68190915364801</v>
      </c>
      <c r="I167" s="83">
        <v>603.32685943283798</v>
      </c>
      <c r="J167" s="83">
        <v>336.54168862538398</v>
      </c>
      <c r="K167" s="83">
        <v>200.18172015182901</v>
      </c>
      <c r="L167" s="83">
        <v>230.14022895884301</v>
      </c>
      <c r="M167" s="83">
        <v>201.40815491875301</v>
      </c>
      <c r="N167" s="83">
        <v>320.18023386034298</v>
      </c>
      <c r="O167" s="83">
        <v>354.53019049187498</v>
      </c>
      <c r="P167" s="83">
        <v>351.53676163812003</v>
      </c>
      <c r="Q167" s="83">
        <v>263.35174493380998</v>
      </c>
      <c r="R167" s="83">
        <v>526.22322997051299</v>
      </c>
      <c r="S167" s="83">
        <v>733.52050081561003</v>
      </c>
      <c r="T167" s="83">
        <v>644.18621855197898</v>
      </c>
      <c r="U167" s="83">
        <v>725.30455721814405</v>
      </c>
      <c r="V167" s="83">
        <v>803.06096916368597</v>
      </c>
      <c r="W167" s="83">
        <v>691.52328016186698</v>
      </c>
      <c r="X167" s="83">
        <v>613.14900166258803</v>
      </c>
      <c r="Y167" s="83">
        <v>870.00359495576799</v>
      </c>
      <c r="Z167" s="83">
        <v>1030.91102719744</v>
      </c>
      <c r="AA167" s="83">
        <v>1538.9686794803199</v>
      </c>
      <c r="AB167" s="83">
        <v>2192.6739538239499</v>
      </c>
      <c r="AC167" s="83">
        <v>2398.1532224418102</v>
      </c>
      <c r="AD167" s="83">
        <v>2107.4029236463998</v>
      </c>
      <c r="AE167" s="84">
        <v>1339.50534381077</v>
      </c>
      <c r="AF167" s="83">
        <v>982.92490824392996</v>
      </c>
      <c r="AG167" s="83">
        <v>1150.4117032122399</v>
      </c>
      <c r="AH167" s="83">
        <v>1673.5397705078101</v>
      </c>
      <c r="AI167" s="83">
        <v>1780.25</v>
      </c>
      <c r="AJ167" s="83">
        <v>1835</v>
      </c>
      <c r="AK167" s="83">
        <v>1851.8</v>
      </c>
      <c r="AL167" s="83">
        <v>1851.8</v>
      </c>
      <c r="AM167" s="82"/>
      <c r="AN167" s="82"/>
    </row>
    <row r="168" spans="1:40" x14ac:dyDescent="0.65">
      <c r="A168" s="90" t="s">
        <v>249</v>
      </c>
      <c r="B168" s="112" t="str">
        <f t="shared" si="9"/>
        <v>IMF.RES.GAS:GAS_LIVE</v>
      </c>
      <c r="C168" s="81" t="s">
        <v>522</v>
      </c>
      <c r="D168" s="82"/>
      <c r="E168" s="83">
        <v>394.91534561453</v>
      </c>
      <c r="F168" s="83">
        <v>372.27895319656199</v>
      </c>
      <c r="G168" s="83">
        <v>376.949987452161</v>
      </c>
      <c r="H168" s="83">
        <v>544.63041164753099</v>
      </c>
      <c r="I168" s="83">
        <v>529.52771056841698</v>
      </c>
      <c r="J168" s="83">
        <v>539.51373556998499</v>
      </c>
      <c r="K168" s="83">
        <v>691.71434798293501</v>
      </c>
      <c r="L168" s="83">
        <v>845.35004509379496</v>
      </c>
      <c r="M168" s="83">
        <v>896.52834988079599</v>
      </c>
      <c r="N168" s="83">
        <v>1140.77910706443</v>
      </c>
      <c r="O168" s="83">
        <v>1304.9403169897701</v>
      </c>
      <c r="P168" s="83">
        <v>1574.49902597403</v>
      </c>
      <c r="Q168" s="83">
        <v>1203.4019621682701</v>
      </c>
      <c r="R168" s="83">
        <v>1609.7550238408901</v>
      </c>
      <c r="S168" s="83">
        <v>1719.4818793525301</v>
      </c>
      <c r="T168" s="83">
        <v>1550.6395860781699</v>
      </c>
      <c r="U168" s="83">
        <v>1486.4883826620201</v>
      </c>
      <c r="V168" s="83">
        <v>1383.80814041031</v>
      </c>
      <c r="W168" s="83">
        <v>1053.2737907020501</v>
      </c>
      <c r="X168" s="83">
        <v>986.47589246502298</v>
      </c>
      <c r="Y168" s="83">
        <v>948.39908792897904</v>
      </c>
      <c r="Z168" s="83">
        <v>879.22993404542297</v>
      </c>
      <c r="AA168" s="83">
        <v>863.63742970733801</v>
      </c>
      <c r="AB168" s="83">
        <v>883.24456992283103</v>
      </c>
      <c r="AC168" s="83">
        <v>1090.8037376874299</v>
      </c>
      <c r="AD168" s="83">
        <v>960.877747976661</v>
      </c>
      <c r="AE168" s="84">
        <v>966.63447910784805</v>
      </c>
      <c r="AF168" s="83">
        <v>954.98212834870401</v>
      </c>
      <c r="AG168" s="83">
        <v>1279.83825365455</v>
      </c>
      <c r="AH168" s="83">
        <v>2018.04696451822</v>
      </c>
      <c r="AI168" s="83">
        <v>2101.5250000000001</v>
      </c>
      <c r="AJ168" s="83">
        <v>2139.9499999999998</v>
      </c>
      <c r="AK168" s="83">
        <v>2169.3000000000002</v>
      </c>
      <c r="AL168" s="83">
        <v>2169.3000000000002</v>
      </c>
      <c r="AM168" s="82"/>
      <c r="AN168" s="82"/>
    </row>
    <row r="169" spans="1:40" x14ac:dyDescent="0.65">
      <c r="B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40" x14ac:dyDescent="0.65">
      <c r="A170" s="1" t="s">
        <v>44</v>
      </c>
      <c r="B170" s="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40" x14ac:dyDescent="0.65">
      <c r="B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40" x14ac:dyDescent="0.65">
      <c r="A172" s="1" t="s">
        <v>39</v>
      </c>
      <c r="B172" s="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40" x14ac:dyDescent="0.65">
      <c r="A173" s="82" t="s">
        <v>11</v>
      </c>
      <c r="B173" s="81" t="str">
        <f>$A$4</f>
        <v>IMF.RES.GAS:GAS_LIVE_2026_JAN_GAS1_VINTAGE</v>
      </c>
      <c r="C173" s="81" t="s">
        <v>523</v>
      </c>
      <c r="D173" s="82"/>
      <c r="E173" s="86">
        <v>1.1325908333333301</v>
      </c>
      <c r="F173" s="86">
        <v>1.1140033333333299</v>
      </c>
      <c r="G173" s="86">
        <v>1.0668346104999999</v>
      </c>
      <c r="H173" s="86">
        <v>0.92402059788333302</v>
      </c>
      <c r="I173" s="86">
        <v>0.89563563535000001</v>
      </c>
      <c r="J173" s="86">
        <v>0.94490556325833297</v>
      </c>
      <c r="K173" s="86">
        <v>1.1308771550833301</v>
      </c>
      <c r="L173" s="86">
        <v>1.2433377025833301</v>
      </c>
      <c r="M173" s="86">
        <v>1.24477792875</v>
      </c>
      <c r="N173" s="86">
        <v>1.25566535075</v>
      </c>
      <c r="O173" s="86">
        <v>1.37063958091666</v>
      </c>
      <c r="P173" s="86">
        <v>1.4705943365833301</v>
      </c>
      <c r="Q173" s="86">
        <v>1.3932679345833301</v>
      </c>
      <c r="R173" s="86">
        <v>1.32679942825</v>
      </c>
      <c r="S173" s="86">
        <v>1.3917103068333301</v>
      </c>
      <c r="T173" s="86">
        <v>1.2856022599166601</v>
      </c>
      <c r="U173" s="86">
        <v>1.3281373947499999</v>
      </c>
      <c r="V173" s="86">
        <v>1.3288431678333299</v>
      </c>
      <c r="W173" s="86">
        <v>1.10962522666666</v>
      </c>
      <c r="X173" s="86">
        <v>1.1065976692499999</v>
      </c>
      <c r="Y173" s="86">
        <v>1.12928252958333</v>
      </c>
      <c r="Z173" s="86">
        <v>1.18149004083333</v>
      </c>
      <c r="AA173" s="86">
        <v>1.1195980593333299</v>
      </c>
      <c r="AB173" s="86">
        <v>1.14128185933333</v>
      </c>
      <c r="AC173" s="86">
        <v>1.18352659516666</v>
      </c>
      <c r="AD173" s="86">
        <v>1.0538770742833301</v>
      </c>
      <c r="AE173" s="115">
        <v>1.08158049375</v>
      </c>
      <c r="AF173" s="86">
        <v>1.0820545774166599</v>
      </c>
      <c r="AG173" s="86">
        <v>1.12836068666923</v>
      </c>
      <c r="AH173" s="86">
        <v>1.1579290059665801</v>
      </c>
      <c r="AI173" s="86">
        <v>1.15515916443936</v>
      </c>
      <c r="AJ173" s="86">
        <v>1.1535055101242899</v>
      </c>
      <c r="AK173" s="86">
        <v>1.15275620964905</v>
      </c>
      <c r="AL173" s="86">
        <v>1.1521448384389299</v>
      </c>
      <c r="AM173" s="82"/>
      <c r="AN173" s="82"/>
    </row>
    <row r="174" spans="1:40" x14ac:dyDescent="0.65">
      <c r="A174" s="82" t="s">
        <v>119</v>
      </c>
      <c r="B174" s="81" t="str">
        <f t="shared" ref="B174:B234" si="10">$A$4</f>
        <v>IMF.RES.GAS:GAS_LIVE_2026_JAN_GAS1_VINTAGE</v>
      </c>
      <c r="C174" s="81" t="s">
        <v>524</v>
      </c>
      <c r="D174" s="82"/>
      <c r="E174" s="86">
        <v>1.12928352533333</v>
      </c>
      <c r="F174" s="86">
        <v>1.1130078185000001</v>
      </c>
      <c r="G174" s="86">
        <v>1.0668346104999999</v>
      </c>
      <c r="H174" s="86">
        <v>0.92402059788333302</v>
      </c>
      <c r="I174" s="86">
        <v>0.89563563535000001</v>
      </c>
      <c r="J174" s="86">
        <v>0.94490556325833297</v>
      </c>
      <c r="K174" s="86">
        <v>1.1308771550833301</v>
      </c>
      <c r="L174" s="86">
        <v>1.2433377025833301</v>
      </c>
      <c r="M174" s="86">
        <v>1.24477792875</v>
      </c>
      <c r="N174" s="86">
        <v>1.25566535075</v>
      </c>
      <c r="O174" s="86">
        <v>1.37063958091666</v>
      </c>
      <c r="P174" s="86">
        <v>1.4705943365833301</v>
      </c>
      <c r="Q174" s="86">
        <v>1.3932679345833301</v>
      </c>
      <c r="R174" s="86">
        <v>1.32679942825</v>
      </c>
      <c r="S174" s="86">
        <v>1.3917103068333301</v>
      </c>
      <c r="T174" s="86">
        <v>1.2856022599166601</v>
      </c>
      <c r="U174" s="86">
        <v>1.3281373947499999</v>
      </c>
      <c r="V174" s="86">
        <v>1.3288431678333299</v>
      </c>
      <c r="W174" s="86">
        <v>1.10962522666666</v>
      </c>
      <c r="X174" s="86">
        <v>1.1065976692499999</v>
      </c>
      <c r="Y174" s="86">
        <v>1.12928252958333</v>
      </c>
      <c r="Z174" s="86">
        <v>1.18149004083333</v>
      </c>
      <c r="AA174" s="86">
        <v>1.1195980593333299</v>
      </c>
      <c r="AB174" s="86">
        <v>1.14128185933333</v>
      </c>
      <c r="AC174" s="86">
        <v>1.18352659516666</v>
      </c>
      <c r="AD174" s="86">
        <v>1.0538770742833301</v>
      </c>
      <c r="AE174" s="115">
        <v>1.08158049375</v>
      </c>
      <c r="AF174" s="86">
        <v>1.0820545774166599</v>
      </c>
      <c r="AG174" s="86">
        <v>1.12836068666923</v>
      </c>
      <c r="AH174" s="86">
        <v>1.1579290059665801</v>
      </c>
      <c r="AI174" s="86">
        <v>1.15515916443936</v>
      </c>
      <c r="AJ174" s="86">
        <v>1.1535055101242899</v>
      </c>
      <c r="AK174" s="86">
        <v>1.15275620964905</v>
      </c>
      <c r="AL174" s="86">
        <v>1.1521448384389299</v>
      </c>
      <c r="AM174" s="82"/>
      <c r="AN174" s="82"/>
    </row>
    <row r="175" spans="1:40" x14ac:dyDescent="0.65">
      <c r="A175" s="82" t="s">
        <v>120</v>
      </c>
      <c r="B175" s="81" t="str">
        <f t="shared" si="10"/>
        <v>IMF.RES.GAS:GAS_LIVE_2026_JAN_GAS1_VINTAGE</v>
      </c>
      <c r="C175" s="81" t="s">
        <v>525</v>
      </c>
      <c r="D175" s="82"/>
      <c r="E175" s="86">
        <v>0.57739349807157703</v>
      </c>
      <c r="F175" s="86">
        <v>0.56907186130696397</v>
      </c>
      <c r="G175" s="86">
        <v>0.54546387492777904</v>
      </c>
      <c r="H175" s="86">
        <v>0.47244422975582401</v>
      </c>
      <c r="I175" s="86">
        <v>0.45793122886447102</v>
      </c>
      <c r="J175" s="86">
        <v>0.483122542991125</v>
      </c>
      <c r="K175" s="86">
        <v>0.57820830802438505</v>
      </c>
      <c r="L175" s="86">
        <v>0.63570847291601695</v>
      </c>
      <c r="M175" s="86">
        <v>0.63644484886211905</v>
      </c>
      <c r="N175" s="86">
        <v>0.64201149933787705</v>
      </c>
      <c r="O175" s="86">
        <v>0.70079688976887899</v>
      </c>
      <c r="P175" s="86">
        <v>0.75190294482819697</v>
      </c>
      <c r="Q175" s="86">
        <v>0.71236658328348201</v>
      </c>
      <c r="R175" s="86">
        <v>0.67838177564000901</v>
      </c>
      <c r="S175" s="86">
        <v>0.71157018086098101</v>
      </c>
      <c r="T175" s="86">
        <v>0.65731799794290202</v>
      </c>
      <c r="U175" s="86">
        <v>0.67906586704877203</v>
      </c>
      <c r="V175" s="86">
        <v>0.67942672309624697</v>
      </c>
      <c r="W175" s="86">
        <v>0.56734236956518003</v>
      </c>
      <c r="X175" s="86">
        <v>0.56579440403818304</v>
      </c>
      <c r="Y175" s="86">
        <v>0.57739298895268598</v>
      </c>
      <c r="Z175" s="86">
        <v>0.60408626559227196</v>
      </c>
      <c r="AA175" s="86">
        <v>0.57244139794017501</v>
      </c>
      <c r="AB175" s="86">
        <v>0.583528148833658</v>
      </c>
      <c r="AC175" s="86">
        <v>0.60512753928852003</v>
      </c>
      <c r="AD175" s="86">
        <v>0.53883879185989203</v>
      </c>
      <c r="AE175" s="115">
        <v>0.55300332531457197</v>
      </c>
      <c r="AF175" s="86">
        <v>0.55324572044434595</v>
      </c>
      <c r="AG175" s="86">
        <v>0.57692944065614504</v>
      </c>
      <c r="AH175" s="86">
        <v>0.59387280238531304</v>
      </c>
      <c r="AI175" s="86">
        <v>0.59630734927440798</v>
      </c>
      <c r="AJ175" s="86">
        <v>0.598706002342549</v>
      </c>
      <c r="AK175" s="86">
        <v>0.60112941053777502</v>
      </c>
      <c r="AL175" s="86">
        <v>0.60356382557972998</v>
      </c>
      <c r="AM175" s="82"/>
      <c r="AN175" s="82"/>
    </row>
    <row r="176" spans="1:40" x14ac:dyDescent="0.65">
      <c r="A176" s="82" t="s">
        <v>121</v>
      </c>
      <c r="B176" s="81" t="str">
        <f t="shared" si="10"/>
        <v>IMF.RES.GAS:GAS_LIVE_2026_JAN_GAS1_VINTAGE</v>
      </c>
      <c r="C176" s="81" t="s">
        <v>526</v>
      </c>
      <c r="D176" s="82"/>
      <c r="E176" s="86">
        <v>1.1251397406666599</v>
      </c>
      <c r="F176" s="86">
        <v>1.1133875325</v>
      </c>
      <c r="G176" s="86">
        <v>1.0668346104999999</v>
      </c>
      <c r="H176" s="86">
        <v>0.92402059788333302</v>
      </c>
      <c r="I176" s="86">
        <v>0.89563563535000001</v>
      </c>
      <c r="J176" s="86">
        <v>0.94490556325833297</v>
      </c>
      <c r="K176" s="86">
        <v>1.1308771550833301</v>
      </c>
      <c r="L176" s="86">
        <v>1.2433377025833301</v>
      </c>
      <c r="M176" s="86">
        <v>1.24477792875</v>
      </c>
      <c r="N176" s="86">
        <v>1.25566535075</v>
      </c>
      <c r="O176" s="86">
        <v>1.37063958091666</v>
      </c>
      <c r="P176" s="86">
        <v>1.4705943365833301</v>
      </c>
      <c r="Q176" s="86">
        <v>1.3932679345833301</v>
      </c>
      <c r="R176" s="86">
        <v>1.32679942825</v>
      </c>
      <c r="S176" s="86">
        <v>1.3917103068333301</v>
      </c>
      <c r="T176" s="86">
        <v>1.2856022599166601</v>
      </c>
      <c r="U176" s="86">
        <v>1.3281373947499999</v>
      </c>
      <c r="V176" s="86">
        <v>1.3288431678333299</v>
      </c>
      <c r="W176" s="86">
        <v>1.10962522666666</v>
      </c>
      <c r="X176" s="86">
        <v>1.1065976692499999</v>
      </c>
      <c r="Y176" s="86">
        <v>1.12928252958333</v>
      </c>
      <c r="Z176" s="86">
        <v>1.18149004083333</v>
      </c>
      <c r="AA176" s="86">
        <v>1.1195980593333299</v>
      </c>
      <c r="AB176" s="86">
        <v>1.14128185933333</v>
      </c>
      <c r="AC176" s="86">
        <v>1.18352659516666</v>
      </c>
      <c r="AD176" s="86">
        <v>1.0538770742833301</v>
      </c>
      <c r="AE176" s="115">
        <v>1.08158049375</v>
      </c>
      <c r="AF176" s="86">
        <v>1.0820545774166599</v>
      </c>
      <c r="AG176" s="86">
        <v>1.12836068666923</v>
      </c>
      <c r="AH176" s="86">
        <v>1.1579290059665801</v>
      </c>
      <c r="AI176" s="86">
        <v>1.15515916443936</v>
      </c>
      <c r="AJ176" s="86">
        <v>1.1535055101242899</v>
      </c>
      <c r="AK176" s="86">
        <v>1.15275620964905</v>
      </c>
      <c r="AL176" s="86">
        <v>1.1521448384389299</v>
      </c>
      <c r="AM176" s="82"/>
      <c r="AN176" s="82"/>
    </row>
    <row r="177" spans="1:40" x14ac:dyDescent="0.65">
      <c r="A177" s="82" t="s">
        <v>122</v>
      </c>
      <c r="B177" s="81" t="str">
        <f t="shared" si="10"/>
        <v>IMF.RES.GAS:GAS_LIVE_2026_JAN_GAS1_VINTAGE</v>
      </c>
      <c r="C177" s="81" t="s">
        <v>527</v>
      </c>
      <c r="D177" s="82"/>
      <c r="E177" s="86">
        <v>0.17152644771938799</v>
      </c>
      <c r="F177" s="86">
        <v>0.16973483513401</v>
      </c>
      <c r="G177" s="86">
        <v>0.16263788792558001</v>
      </c>
      <c r="H177" s="86">
        <v>0.14086603205443801</v>
      </c>
      <c r="I177" s="86">
        <v>0.13653877241191101</v>
      </c>
      <c r="J177" s="86">
        <v>0.14404992450089399</v>
      </c>
      <c r="K177" s="86">
        <v>0.17240111090869201</v>
      </c>
      <c r="L177" s="86">
        <v>0.189545610853048</v>
      </c>
      <c r="M177" s="86">
        <v>0.18976517191675599</v>
      </c>
      <c r="N177" s="86">
        <v>0.19142494870090501</v>
      </c>
      <c r="O177" s="86">
        <v>0.20895265709744101</v>
      </c>
      <c r="P177" s="86">
        <v>0.22419066136703</v>
      </c>
      <c r="Q177" s="86">
        <v>0.21240232737562501</v>
      </c>
      <c r="R177" s="86">
        <v>0.20226926890787</v>
      </c>
      <c r="S177" s="86">
        <v>0.21216486855591599</v>
      </c>
      <c r="T177" s="86">
        <v>0.19598880108248901</v>
      </c>
      <c r="U177" s="86">
        <v>0.202473240585892</v>
      </c>
      <c r="V177" s="86">
        <v>0.202580834998838</v>
      </c>
      <c r="W177" s="86">
        <v>0.16916127530717201</v>
      </c>
      <c r="X177" s="86">
        <v>0.16869972715437101</v>
      </c>
      <c r="Y177" s="86">
        <v>0.17215801181835599</v>
      </c>
      <c r="Z177" s="86">
        <v>0.180116995600829</v>
      </c>
      <c r="AA177" s="86">
        <v>0.170681623846278</v>
      </c>
      <c r="AB177" s="86">
        <v>0.173987297846251</v>
      </c>
      <c r="AC177" s="86">
        <v>0.18042746630749601</v>
      </c>
      <c r="AD177" s="86">
        <v>0.160662524263531</v>
      </c>
      <c r="AE177" s="115">
        <v>0.16488588333533999</v>
      </c>
      <c r="AF177" s="86">
        <v>0.16495815692441201</v>
      </c>
      <c r="AG177" s="86">
        <v>0.171999678168267</v>
      </c>
      <c r="AH177" s="86">
        <v>0.174705213443308</v>
      </c>
      <c r="AI177" s="86">
        <v>0.17123282565553799</v>
      </c>
      <c r="AJ177" s="86">
        <v>0.16776418572111801</v>
      </c>
      <c r="AK177" s="86">
        <v>0.164585267072651</v>
      </c>
      <c r="AL177" s="86">
        <v>0.16154540550184701</v>
      </c>
      <c r="AM177" s="82"/>
      <c r="AN177" s="82"/>
    </row>
    <row r="178" spans="1:40" x14ac:dyDescent="0.65">
      <c r="A178" s="82" t="s">
        <v>123</v>
      </c>
      <c r="B178" s="81" t="str">
        <f t="shared" si="10"/>
        <v>IMF.RES.GAS:GAS_LIVE_2026_JAN_GAS1_VINTAGE</v>
      </c>
      <c r="C178" s="81" t="s">
        <v>528</v>
      </c>
      <c r="D178" s="82"/>
      <c r="E178" s="86">
        <v>1.1381151306666599</v>
      </c>
      <c r="F178" s="86">
        <v>1.11664762283333</v>
      </c>
      <c r="G178" s="86">
        <v>1.0668346104999999</v>
      </c>
      <c r="H178" s="86">
        <v>0.92402059788333302</v>
      </c>
      <c r="I178" s="86">
        <v>0.89563563535000001</v>
      </c>
      <c r="J178" s="86">
        <v>0.94490556325833297</v>
      </c>
      <c r="K178" s="86">
        <v>1.1308771550833301</v>
      </c>
      <c r="L178" s="86">
        <v>1.2433377025833301</v>
      </c>
      <c r="M178" s="86">
        <v>1.24477792875</v>
      </c>
      <c r="N178" s="86">
        <v>1.25566535075</v>
      </c>
      <c r="O178" s="86">
        <v>1.37063958091666</v>
      </c>
      <c r="P178" s="86">
        <v>1.4705943365833301</v>
      </c>
      <c r="Q178" s="86">
        <v>1.3932679345833301</v>
      </c>
      <c r="R178" s="86">
        <v>1.32679942825</v>
      </c>
      <c r="S178" s="86">
        <v>1.3917103068333301</v>
      </c>
      <c r="T178" s="86">
        <v>1.2856022599166601</v>
      </c>
      <c r="U178" s="86">
        <v>1.3281373947499999</v>
      </c>
      <c r="V178" s="86">
        <v>1.3288431678333299</v>
      </c>
      <c r="W178" s="86">
        <v>1.10962522666666</v>
      </c>
      <c r="X178" s="86">
        <v>1.1065976692499999</v>
      </c>
      <c r="Y178" s="86">
        <v>1.12928252958333</v>
      </c>
      <c r="Z178" s="86">
        <v>1.18149004083333</v>
      </c>
      <c r="AA178" s="86">
        <v>1.1195980593333299</v>
      </c>
      <c r="AB178" s="86">
        <v>1.14128185933333</v>
      </c>
      <c r="AC178" s="86">
        <v>1.18352659516666</v>
      </c>
      <c r="AD178" s="86">
        <v>1.0538770742833301</v>
      </c>
      <c r="AE178" s="115">
        <v>1.08158049375</v>
      </c>
      <c r="AF178" s="86">
        <v>1.0820545774166599</v>
      </c>
      <c r="AG178" s="86">
        <v>1.12836068666923</v>
      </c>
      <c r="AH178" s="86">
        <v>1.1579290059665801</v>
      </c>
      <c r="AI178" s="86">
        <v>1.15515916443936</v>
      </c>
      <c r="AJ178" s="86">
        <v>1.1535055101242899</v>
      </c>
      <c r="AK178" s="86">
        <v>1.15275620964905</v>
      </c>
      <c r="AL178" s="86">
        <v>1.1521448384389299</v>
      </c>
      <c r="AM178" s="82"/>
      <c r="AN178" s="82"/>
    </row>
    <row r="179" spans="1:40" x14ac:dyDescent="0.65">
      <c r="A179" s="82" t="s">
        <v>124</v>
      </c>
      <c r="B179" s="81" t="str">
        <f t="shared" si="10"/>
        <v>IMF.RES.GAS:GAS_LIVE_2026_JAN_GAS1_VINTAGE</v>
      </c>
      <c r="C179" s="81" t="s">
        <v>529</v>
      </c>
      <c r="D179" s="82"/>
      <c r="E179" s="86">
        <v>5.8778741119093199E-4</v>
      </c>
      <c r="F179" s="86">
        <v>5.7670036866414899E-4</v>
      </c>
      <c r="G179" s="86">
        <v>5.5097409478017001E-4</v>
      </c>
      <c r="H179" s="86">
        <v>4.7721681267763898E-4</v>
      </c>
      <c r="I179" s="86">
        <v>4.6255720294690299E-4</v>
      </c>
      <c r="J179" s="86">
        <v>4.88002997132803E-4</v>
      </c>
      <c r="K179" s="86">
        <v>5.8404930876547803E-4</v>
      </c>
      <c r="L179" s="86">
        <v>6.4213033439723395E-4</v>
      </c>
      <c r="M179" s="86">
        <v>6.4287414913725797E-4</v>
      </c>
      <c r="N179" s="86">
        <v>6.4849703334245699E-4</v>
      </c>
      <c r="O179" s="86">
        <v>7.0787626772953404E-4</v>
      </c>
      <c r="P179" s="86">
        <v>7.59498590890388E-4</v>
      </c>
      <c r="Q179" s="86">
        <v>7.1956283709572095E-4</v>
      </c>
      <c r="R179" s="86">
        <v>6.8523471842769803E-4</v>
      </c>
      <c r="S179" s="86">
        <v>7.1875838949802097E-4</v>
      </c>
      <c r="T179" s="86">
        <v>6.6395815661899704E-4</v>
      </c>
      <c r="U179" s="86">
        <v>6.8592572045737398E-4</v>
      </c>
      <c r="V179" s="86">
        <v>6.8629022183545299E-4</v>
      </c>
      <c r="W179" s="86">
        <v>5.7307360371573496E-4</v>
      </c>
      <c r="X179" s="86">
        <v>5.71510000800508E-4</v>
      </c>
      <c r="Y179" s="86">
        <v>5.8322575342453905E-4</v>
      </c>
      <c r="Z179" s="86">
        <v>6.1018868279389402E-4</v>
      </c>
      <c r="AA179" s="86">
        <v>5.7822414194989998E-4</v>
      </c>
      <c r="AB179" s="86">
        <v>5.89422890058376E-4</v>
      </c>
      <c r="AC179" s="86">
        <v>6.1124047532971405E-4</v>
      </c>
      <c r="AD179" s="86">
        <v>5.4428208580587E-4</v>
      </c>
      <c r="AE179" s="115">
        <v>5.5858970791779997E-4</v>
      </c>
      <c r="AF179" s="86">
        <v>5.5883455169819605E-4</v>
      </c>
      <c r="AG179" s="86">
        <v>5.8281694020604702E-4</v>
      </c>
      <c r="AH179" s="86">
        <v>6.0345727075558403E-4</v>
      </c>
      <c r="AI179" s="86">
        <v>6.0986101917900101E-4</v>
      </c>
      <c r="AJ179" s="86">
        <v>6.1716244187654098E-4</v>
      </c>
      <c r="AK179" s="86">
        <v>6.2487821385318997E-4</v>
      </c>
      <c r="AL179" s="86">
        <v>6.3369854889938897E-4</v>
      </c>
      <c r="AM179" s="82"/>
      <c r="AN179" s="82"/>
    </row>
    <row r="180" spans="1:40" x14ac:dyDescent="0.65">
      <c r="A180" s="82" t="s">
        <v>12</v>
      </c>
      <c r="B180" s="81" t="str">
        <f t="shared" si="10"/>
        <v>IMF.RES.GAS:GAS_LIVE_2026_JAN_GAS1_VINTAGE</v>
      </c>
      <c r="C180" s="81" t="s">
        <v>530</v>
      </c>
      <c r="D180" s="82"/>
      <c r="E180" s="86">
        <v>8.2650869612522996E-3</v>
      </c>
      <c r="F180" s="86">
        <v>7.6391100701992303E-3</v>
      </c>
      <c r="G180" s="86">
        <v>8.7791067394761505E-3</v>
      </c>
      <c r="H180" s="86">
        <v>9.2794077349675902E-3</v>
      </c>
      <c r="I180" s="86">
        <v>8.2284922290423307E-3</v>
      </c>
      <c r="J180" s="86">
        <v>7.9752436106970605E-3</v>
      </c>
      <c r="K180" s="86">
        <v>8.62563718001985E-3</v>
      </c>
      <c r="L180" s="86">
        <v>9.2427789488777994E-3</v>
      </c>
      <c r="M180" s="86">
        <v>9.0729107723953699E-3</v>
      </c>
      <c r="N180" s="86">
        <v>8.5985031749028808E-3</v>
      </c>
      <c r="O180" s="86">
        <v>8.4923144628551092E-3</v>
      </c>
      <c r="P180" s="86">
        <v>9.6749699594629902E-3</v>
      </c>
      <c r="Q180" s="86">
        <v>1.06871758850565E-2</v>
      </c>
      <c r="R180" s="86">
        <v>1.13921328713175E-2</v>
      </c>
      <c r="S180" s="86">
        <v>1.25302260522105E-2</v>
      </c>
      <c r="T180" s="86">
        <v>1.2532827330072801E-2</v>
      </c>
      <c r="U180" s="86">
        <v>1.02463574507733E-2</v>
      </c>
      <c r="V180" s="86">
        <v>9.4388793029776801E-3</v>
      </c>
      <c r="W180" s="86">
        <v>8.2614568969955702E-3</v>
      </c>
      <c r="X180" s="86">
        <v>9.1917762793188203E-3</v>
      </c>
      <c r="Y180" s="86">
        <v>8.9153463781638399E-3</v>
      </c>
      <c r="Z180" s="86">
        <v>9.0560696308792307E-3</v>
      </c>
      <c r="AA180" s="86">
        <v>9.1734984447789294E-3</v>
      </c>
      <c r="AB180" s="86">
        <v>9.36552479877765E-3</v>
      </c>
      <c r="AC180" s="86">
        <v>9.1112583572847093E-3</v>
      </c>
      <c r="AD180" s="86">
        <v>7.6046702742706496E-3</v>
      </c>
      <c r="AE180" s="115">
        <v>7.1178885923921797E-3</v>
      </c>
      <c r="AF180" s="86">
        <v>6.6064907207851898E-3</v>
      </c>
      <c r="AG180" s="86">
        <v>6.6931122670878902E-3</v>
      </c>
      <c r="AH180" s="86">
        <v>6.5574413597135903E-3</v>
      </c>
      <c r="AI180" s="86">
        <v>6.6077631490724402E-3</v>
      </c>
      <c r="AJ180" s="86">
        <v>6.7045227492655204E-3</v>
      </c>
      <c r="AK180" s="86">
        <v>6.7091388680834202E-3</v>
      </c>
      <c r="AL180" s="86">
        <v>6.7741213064206399E-3</v>
      </c>
      <c r="AM180" s="82"/>
      <c r="AN180" s="82"/>
    </row>
    <row r="181" spans="1:40" x14ac:dyDescent="0.65">
      <c r="A181" s="82" t="s">
        <v>13</v>
      </c>
      <c r="B181" s="81" t="str">
        <f t="shared" si="10"/>
        <v>IMF.RES.GAS:GAS_LIVE_2026_JAN_GAS1_VINTAGE</v>
      </c>
      <c r="C181" s="81" t="s">
        <v>531</v>
      </c>
      <c r="D181" s="82"/>
      <c r="E181" s="86">
        <v>1.63754025541666</v>
      </c>
      <c r="F181" s="86">
        <v>1.65633502766666</v>
      </c>
      <c r="G181" s="86">
        <v>1.6182610210833299</v>
      </c>
      <c r="H181" s="86">
        <v>1.5159546775833299</v>
      </c>
      <c r="I181" s="86">
        <v>1.43984088783333</v>
      </c>
      <c r="J181" s="86">
        <v>1.5011668598333301</v>
      </c>
      <c r="K181" s="86">
        <v>1.6341398704166601</v>
      </c>
      <c r="L181" s="86">
        <v>1.8316579955000001</v>
      </c>
      <c r="M181" s="86">
        <v>1.8202249830833299</v>
      </c>
      <c r="N181" s="86">
        <v>1.84251800158333</v>
      </c>
      <c r="O181" s="86">
        <v>2.0015671342500001</v>
      </c>
      <c r="P181" s="86">
        <v>1.8576746230833301</v>
      </c>
      <c r="Q181" s="86">
        <v>1.56345067125</v>
      </c>
      <c r="R181" s="86">
        <v>1.5466843347499999</v>
      </c>
      <c r="S181" s="86">
        <v>1.6027515459999999</v>
      </c>
      <c r="T181" s="86">
        <v>1.579942621</v>
      </c>
      <c r="U181" s="86">
        <v>1.5643460334166599</v>
      </c>
      <c r="V181" s="86">
        <v>1.646325343</v>
      </c>
      <c r="W181" s="86">
        <v>1.5281152005</v>
      </c>
      <c r="X181" s="86">
        <v>1.3552041774166601</v>
      </c>
      <c r="Y181" s="86">
        <v>1.2880705939999999</v>
      </c>
      <c r="Z181" s="86">
        <v>1.33578912991666</v>
      </c>
      <c r="AA181" s="86">
        <v>1.27715996991666</v>
      </c>
      <c r="AB181" s="86">
        <v>1.2829679825</v>
      </c>
      <c r="AC181" s="86">
        <v>1.37572370583333</v>
      </c>
      <c r="AD181" s="86">
        <v>1.2370841298333299</v>
      </c>
      <c r="AE181" s="115">
        <v>1.24341121733333</v>
      </c>
      <c r="AF181" s="86">
        <v>1.27837586666666</v>
      </c>
      <c r="AG181" s="86">
        <v>1.3165032909258401</v>
      </c>
      <c r="AH181" s="86">
        <v>1.32772196917773</v>
      </c>
      <c r="AI181" s="86">
        <v>1.34808527672916</v>
      </c>
      <c r="AJ181" s="86">
        <v>1.3682312492659601</v>
      </c>
      <c r="AK181" s="86">
        <v>1.3913922095578399</v>
      </c>
      <c r="AL181" s="86">
        <v>1.4138693675985201</v>
      </c>
      <c r="AM181" s="82"/>
      <c r="AN181" s="82"/>
    </row>
    <row r="182" spans="1:40" x14ac:dyDescent="0.65">
      <c r="A182" s="82" t="s">
        <v>51</v>
      </c>
      <c r="B182" s="81" t="str">
        <f t="shared" si="10"/>
        <v>IMF.RES.GAS:GAS_LIVE_2026_JAN_GAS1_VINTAGE</v>
      </c>
      <c r="C182" s="81" t="s">
        <v>532</v>
      </c>
      <c r="D182" s="82"/>
      <c r="E182" s="86">
        <v>0.72223127545003096</v>
      </c>
      <c r="F182" s="86">
        <v>0.67407915486196002</v>
      </c>
      <c r="G182" s="86">
        <v>0.67308121176521796</v>
      </c>
      <c r="H182" s="86">
        <v>0.673222011162525</v>
      </c>
      <c r="I182" s="86">
        <v>0.64564450109007898</v>
      </c>
      <c r="J182" s="86">
        <v>0.63680361907551697</v>
      </c>
      <c r="K182" s="86">
        <v>0.71376846284879003</v>
      </c>
      <c r="L182" s="86">
        <v>0.76847317587179897</v>
      </c>
      <c r="M182" s="86">
        <v>0.82548766864774403</v>
      </c>
      <c r="N182" s="86">
        <v>0.88156622694252196</v>
      </c>
      <c r="O182" s="86">
        <v>0.93105914667220202</v>
      </c>
      <c r="P182" s="86">
        <v>0.93713078365093005</v>
      </c>
      <c r="Q182" s="86">
        <v>0.87601312654500796</v>
      </c>
      <c r="R182" s="86">
        <v>0.97076753430778695</v>
      </c>
      <c r="S182" s="86">
        <v>1.0108584815405399</v>
      </c>
      <c r="T182" s="86">
        <v>1.0006356602122699</v>
      </c>
      <c r="U182" s="86">
        <v>0.97074432516565601</v>
      </c>
      <c r="V182" s="86">
        <v>0.90518451750347495</v>
      </c>
      <c r="W182" s="86">
        <v>0.78199154570771101</v>
      </c>
      <c r="X182" s="86">
        <v>0.75436674787554403</v>
      </c>
      <c r="Y182" s="86">
        <v>0.77045410427267902</v>
      </c>
      <c r="Z182" s="86">
        <v>0.77171335439627797</v>
      </c>
      <c r="AA182" s="86">
        <v>0.75369686656121004</v>
      </c>
      <c r="AB182" s="86">
        <v>0.74562726578648297</v>
      </c>
      <c r="AC182" s="86">
        <v>0.79752645440411896</v>
      </c>
      <c r="AD182" s="86">
        <v>0.76831188314593801</v>
      </c>
      <c r="AE182" s="115">
        <v>0.74079087263414201</v>
      </c>
      <c r="AF182" s="86">
        <v>0.73026827924641002</v>
      </c>
      <c r="AG182" s="86">
        <v>0.71436655959528494</v>
      </c>
      <c r="AH182" s="86">
        <v>0.71476485282118596</v>
      </c>
      <c r="AI182" s="86">
        <v>0.719547034171239</v>
      </c>
      <c r="AJ182" s="86">
        <v>0.72430558515988097</v>
      </c>
      <c r="AK182" s="86">
        <v>0.72911395432084003</v>
      </c>
      <c r="AL182" s="86">
        <v>0.73395569611379796</v>
      </c>
      <c r="AM182" s="82"/>
      <c r="AN182" s="82"/>
    </row>
    <row r="183" spans="1:40" x14ac:dyDescent="0.65">
      <c r="B183" s="114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40" x14ac:dyDescent="0.65">
      <c r="A184" s="82" t="s">
        <v>98</v>
      </c>
      <c r="B184" s="81" t="str">
        <f t="shared" si="10"/>
        <v>IMF.RES.GAS:GAS_LIVE_2026_JAN_GAS1_VINTAGE</v>
      </c>
      <c r="C184" s="81" t="s">
        <v>533</v>
      </c>
      <c r="D184" s="82"/>
      <c r="E184" s="86">
        <v>1.1288738147499999</v>
      </c>
      <c r="F184" s="86">
        <v>1.1131168924166599</v>
      </c>
      <c r="G184" s="86">
        <v>1.0668346104999999</v>
      </c>
      <c r="H184" s="86">
        <v>0.92402059788333302</v>
      </c>
      <c r="I184" s="86">
        <v>0.89563563535000001</v>
      </c>
      <c r="J184" s="86">
        <v>0.94490556325833297</v>
      </c>
      <c r="K184" s="86">
        <v>1.1308771550833301</v>
      </c>
      <c r="L184" s="86">
        <v>1.2433377025833301</v>
      </c>
      <c r="M184" s="86">
        <v>1.24477792875</v>
      </c>
      <c r="N184" s="86">
        <v>1.25566535075</v>
      </c>
      <c r="O184" s="86">
        <v>1.37063958091666</v>
      </c>
      <c r="P184" s="86">
        <v>1.4705943365833301</v>
      </c>
      <c r="Q184" s="86">
        <v>1.3932679345833301</v>
      </c>
      <c r="R184" s="86">
        <v>1.32679942825</v>
      </c>
      <c r="S184" s="86">
        <v>1.3917103068333301</v>
      </c>
      <c r="T184" s="86">
        <v>1.2856022599166601</v>
      </c>
      <c r="U184" s="86">
        <v>1.3281373947499999</v>
      </c>
      <c r="V184" s="86">
        <v>1.3288431678333299</v>
      </c>
      <c r="W184" s="86">
        <v>1.10962522666666</v>
      </c>
      <c r="X184" s="86">
        <v>1.1065976692499999</v>
      </c>
      <c r="Y184" s="86">
        <v>1.12928252958333</v>
      </c>
      <c r="Z184" s="86">
        <v>1.18149004083333</v>
      </c>
      <c r="AA184" s="86">
        <v>1.1195980593333299</v>
      </c>
      <c r="AB184" s="86">
        <v>1.14128185933333</v>
      </c>
      <c r="AC184" s="86">
        <v>1.18352659516666</v>
      </c>
      <c r="AD184" s="86">
        <v>1.0538770742833301</v>
      </c>
      <c r="AE184" s="115">
        <v>1.08158049375</v>
      </c>
      <c r="AF184" s="86">
        <v>1.0820545774166599</v>
      </c>
      <c r="AG184" s="86">
        <v>1.12836068666923</v>
      </c>
      <c r="AH184" s="86">
        <v>1.1579290059665801</v>
      </c>
      <c r="AI184" s="86">
        <v>1.15515916443936</v>
      </c>
      <c r="AJ184" s="86">
        <v>1.1535055101242899</v>
      </c>
      <c r="AK184" s="86">
        <v>1.15275620964905</v>
      </c>
      <c r="AL184" s="86">
        <v>1.1521448384389299</v>
      </c>
      <c r="AM184" s="82"/>
      <c r="AN184" s="82"/>
    </row>
    <row r="185" spans="1:40" x14ac:dyDescent="0.65">
      <c r="A185" s="82" t="s">
        <v>107</v>
      </c>
      <c r="B185" s="81" t="str">
        <f t="shared" si="10"/>
        <v>IMF.RES.GAS:GAS_LIVE_2026_JAN_GAS1_VINTAGE</v>
      </c>
      <c r="C185" s="81" t="s">
        <v>534</v>
      </c>
      <c r="D185" s="82"/>
      <c r="E185" s="86">
        <v>8.2038459535765898E-2</v>
      </c>
      <c r="F185" s="86">
        <v>8.0893359332039699E-2</v>
      </c>
      <c r="G185" s="86">
        <v>7.7529894733399704E-2</v>
      </c>
      <c r="H185" s="86">
        <v>6.7151195677662007E-2</v>
      </c>
      <c r="I185" s="86">
        <v>6.50883800026162E-2</v>
      </c>
      <c r="J185" s="86">
        <v>6.8668965302960905E-2</v>
      </c>
      <c r="K185" s="86">
        <v>8.2184047955592004E-2</v>
      </c>
      <c r="L185" s="86">
        <v>9.0356874674486207E-2</v>
      </c>
      <c r="M185" s="86">
        <v>9.0461539991860601E-2</v>
      </c>
      <c r="N185" s="86">
        <v>9.1252759805382097E-2</v>
      </c>
      <c r="O185" s="86">
        <v>9.9608262967861599E-2</v>
      </c>
      <c r="P185" s="86">
        <v>0.106872258350714</v>
      </c>
      <c r="Q185" s="86">
        <v>0.101252729561371</v>
      </c>
      <c r="R185" s="86">
        <v>9.6422274823223394E-2</v>
      </c>
      <c r="S185" s="86">
        <v>0.1011395323382</v>
      </c>
      <c r="T185" s="86">
        <v>9.3428359840749597E-2</v>
      </c>
      <c r="U185" s="86">
        <v>9.65195086408E-2</v>
      </c>
      <c r="V185" s="86">
        <v>9.6570799171045094E-2</v>
      </c>
      <c r="W185" s="86">
        <v>8.06396100860204E-2</v>
      </c>
      <c r="X185" s="86">
        <v>8.0419588907945302E-2</v>
      </c>
      <c r="Y185" s="86">
        <v>8.2068162001070699E-2</v>
      </c>
      <c r="Z185" s="86">
        <v>8.5862229808458604E-2</v>
      </c>
      <c r="AA185" s="86">
        <v>8.1364364100588907E-2</v>
      </c>
      <c r="AB185" s="86">
        <v>8.2940187302117899E-2</v>
      </c>
      <c r="AC185" s="86">
        <v>8.6010231983798799E-2</v>
      </c>
      <c r="AD185" s="86">
        <v>7.6588233852701804E-2</v>
      </c>
      <c r="AE185" s="115">
        <v>7.8601519861485503E-2</v>
      </c>
      <c r="AF185" s="86">
        <v>7.8635972865174902E-2</v>
      </c>
      <c r="AG185" s="86">
        <v>8.2000257180810096E-2</v>
      </c>
      <c r="AH185" s="86">
        <v>8.4170159093791899E-2</v>
      </c>
      <c r="AI185" s="86">
        <v>8.4064123049483505E-2</v>
      </c>
      <c r="AJ185" s="86">
        <v>8.3909525440579502E-2</v>
      </c>
      <c r="AK185" s="86">
        <v>8.3859003390560599E-2</v>
      </c>
      <c r="AL185" s="86">
        <v>8.3837273578747901E-2</v>
      </c>
      <c r="AM185" s="82"/>
      <c r="AN185" s="82"/>
    </row>
    <row r="186" spans="1:40" x14ac:dyDescent="0.65">
      <c r="A186" s="82" t="s">
        <v>99</v>
      </c>
      <c r="B186" s="81" t="str">
        <f t="shared" si="10"/>
        <v>IMF.RES.GAS:GAS_LIVE_2026_JAN_GAS1_VINTAGE</v>
      </c>
      <c r="C186" s="81" t="s">
        <v>535</v>
      </c>
      <c r="D186" s="82"/>
      <c r="E186" s="86">
        <v>1.1290556295</v>
      </c>
      <c r="F186" s="86">
        <v>1.1128498384166601</v>
      </c>
      <c r="G186" s="86">
        <v>1.0668346104999999</v>
      </c>
      <c r="H186" s="86">
        <v>0.92402059788333302</v>
      </c>
      <c r="I186" s="86">
        <v>0.89563563535000001</v>
      </c>
      <c r="J186" s="86">
        <v>0.94490556325833297</v>
      </c>
      <c r="K186" s="86">
        <v>1.1308771550833301</v>
      </c>
      <c r="L186" s="86">
        <v>1.2433377025833301</v>
      </c>
      <c r="M186" s="86">
        <v>1.24477792875</v>
      </c>
      <c r="N186" s="86">
        <v>1.25566535075</v>
      </c>
      <c r="O186" s="86">
        <v>1.37063958091666</v>
      </c>
      <c r="P186" s="86">
        <v>1.4705943365833301</v>
      </c>
      <c r="Q186" s="86">
        <v>1.3932679345833301</v>
      </c>
      <c r="R186" s="86">
        <v>1.32679942825</v>
      </c>
      <c r="S186" s="86">
        <v>1.3917103068333301</v>
      </c>
      <c r="T186" s="86">
        <v>1.2856022599166601</v>
      </c>
      <c r="U186" s="86">
        <v>1.3281373947499999</v>
      </c>
      <c r="V186" s="86">
        <v>1.3288431678333299</v>
      </c>
      <c r="W186" s="86">
        <v>1.10962522666666</v>
      </c>
      <c r="X186" s="86">
        <v>1.1065976692499999</v>
      </c>
      <c r="Y186" s="86">
        <v>1.12928252958333</v>
      </c>
      <c r="Z186" s="86">
        <v>1.18149004083333</v>
      </c>
      <c r="AA186" s="86">
        <v>1.1195980593333299</v>
      </c>
      <c r="AB186" s="86">
        <v>1.14128185933333</v>
      </c>
      <c r="AC186" s="86">
        <v>1.18352659516666</v>
      </c>
      <c r="AD186" s="86">
        <v>1.0538770742833301</v>
      </c>
      <c r="AE186" s="115">
        <v>1.08158049375</v>
      </c>
      <c r="AF186" s="86">
        <v>1.0820545774166599</v>
      </c>
      <c r="AG186" s="86">
        <v>1.12836068666923</v>
      </c>
      <c r="AH186" s="86">
        <v>1.1579290059665801</v>
      </c>
      <c r="AI186" s="86">
        <v>1.15515916443936</v>
      </c>
      <c r="AJ186" s="86">
        <v>1.1535055101242899</v>
      </c>
      <c r="AK186" s="86">
        <v>1.15275620964905</v>
      </c>
      <c r="AL186" s="86">
        <v>1.1521448384389299</v>
      </c>
      <c r="AM186" s="82"/>
      <c r="AN186" s="82"/>
    </row>
    <row r="187" spans="1:40" x14ac:dyDescent="0.65">
      <c r="A187" s="82" t="s">
        <v>53</v>
      </c>
      <c r="B187" s="81" t="str">
        <f t="shared" si="10"/>
        <v>IMF.RES.GAS:GAS_LIVE_2026_JAN_GAS1_VINTAGE</v>
      </c>
      <c r="C187" s="81" t="s">
        <v>536</v>
      </c>
      <c r="D187" s="82"/>
      <c r="E187" s="86">
        <v>2.7988557966182302E-2</v>
      </c>
      <c r="F187" s="86">
        <v>2.7586826898843699E-2</v>
      </c>
      <c r="G187" s="86">
        <v>2.6446139194692998E-2</v>
      </c>
      <c r="H187" s="86">
        <v>2.2905872297237499E-2</v>
      </c>
      <c r="I187" s="86">
        <v>2.2202227455943101E-2</v>
      </c>
      <c r="J187" s="86">
        <v>2.34235970653951E-2</v>
      </c>
      <c r="K187" s="86">
        <v>2.8033712405913999E-2</v>
      </c>
      <c r="L187" s="86">
        <v>3.0821536557684399E-2</v>
      </c>
      <c r="M187" s="86">
        <v>3.0857238831776899E-2</v>
      </c>
      <c r="N187" s="86">
        <v>3.1127130973304301E-2</v>
      </c>
      <c r="O187" s="86">
        <v>3.3977267690714803E-2</v>
      </c>
      <c r="P187" s="86">
        <v>3.64550813607206E-2</v>
      </c>
      <c r="Q187" s="86">
        <v>3.4538209925739298E-2</v>
      </c>
      <c r="R187" s="86">
        <v>3.2890498693601097E-2</v>
      </c>
      <c r="S187" s="86">
        <v>3.4499597342416102E-2</v>
      </c>
      <c r="T187" s="86">
        <v>3.1869247566718398E-2</v>
      </c>
      <c r="U187" s="86">
        <v>3.29236660167724E-2</v>
      </c>
      <c r="V187" s="86">
        <v>3.2941161674504199E-2</v>
      </c>
      <c r="W187" s="86">
        <v>2.7506890861570401E-2</v>
      </c>
      <c r="X187" s="86">
        <v>2.7431839673623299E-2</v>
      </c>
      <c r="Y187" s="86">
        <v>2.7994182672325198E-2</v>
      </c>
      <c r="Z187" s="86">
        <v>2.9288373070665299E-2</v>
      </c>
      <c r="AA187" s="86">
        <v>2.7754110925741801E-2</v>
      </c>
      <c r="AB187" s="86">
        <v>2.82916382869896E-2</v>
      </c>
      <c r="AC187" s="86">
        <v>2.9338857933873499E-2</v>
      </c>
      <c r="AD187" s="86">
        <v>2.61249302621804E-2</v>
      </c>
      <c r="AE187" s="115">
        <v>2.6811680092166799E-2</v>
      </c>
      <c r="AF187" s="86">
        <v>2.68234323192835E-2</v>
      </c>
      <c r="AG187" s="86">
        <v>2.79684516475215E-2</v>
      </c>
      <c r="AH187" s="86">
        <v>2.8523428761371501E-2</v>
      </c>
      <c r="AI187" s="86">
        <v>2.8251456970554398E-2</v>
      </c>
      <c r="AJ187" s="86">
        <v>2.8081043843286E-2</v>
      </c>
      <c r="AK187" s="86">
        <v>2.8189054233686998E-2</v>
      </c>
      <c r="AL187" s="86">
        <v>2.8020618177488198E-2</v>
      </c>
      <c r="AM187" s="82"/>
      <c r="AN187" s="82"/>
    </row>
    <row r="188" spans="1:40" x14ac:dyDescent="0.65">
      <c r="A188" s="82" t="s">
        <v>166</v>
      </c>
      <c r="B188" s="81" t="str">
        <f t="shared" si="10"/>
        <v>IMF.RES.GAS:GAS_LIVE_2026_JAN_GAS1_VINTAGE</v>
      </c>
      <c r="C188" s="81" t="s">
        <v>537</v>
      </c>
      <c r="D188" s="82"/>
      <c r="E188" s="86">
        <v>1.1398253622500001</v>
      </c>
      <c r="F188" s="86">
        <v>1.1314798096666601</v>
      </c>
      <c r="G188" s="86">
        <v>1.07920723608333</v>
      </c>
      <c r="H188" s="86">
        <v>0.94270049232499997</v>
      </c>
      <c r="I188" s="86">
        <v>0.91066619155833295</v>
      </c>
      <c r="J188" s="86">
        <v>0.961652234091666</v>
      </c>
      <c r="K188" s="86">
        <v>1.13288730391666</v>
      </c>
      <c r="L188" s="86">
        <v>1.25051336808333</v>
      </c>
      <c r="M188" s="86">
        <v>1.2624936762500001</v>
      </c>
      <c r="N188" s="86">
        <v>1.27637276983333</v>
      </c>
      <c r="O188" s="86">
        <v>1.37523032775</v>
      </c>
      <c r="P188" s="86">
        <v>1.4705943365833301</v>
      </c>
      <c r="Q188" s="86">
        <v>1.3932679345833301</v>
      </c>
      <c r="R188" s="86">
        <v>1.32679942825</v>
      </c>
      <c r="S188" s="86">
        <v>1.3917103068333301</v>
      </c>
      <c r="T188" s="86">
        <v>1.2856022599166601</v>
      </c>
      <c r="U188" s="86">
        <v>1.3281373947499999</v>
      </c>
      <c r="V188" s="86">
        <v>1.3288431678333299</v>
      </c>
      <c r="W188" s="86">
        <v>1.10962522666666</v>
      </c>
      <c r="X188" s="86">
        <v>1.1065976692499999</v>
      </c>
      <c r="Y188" s="86">
        <v>1.12928252958333</v>
      </c>
      <c r="Z188" s="86">
        <v>1.18149004083333</v>
      </c>
      <c r="AA188" s="86">
        <v>1.1195980593333299</v>
      </c>
      <c r="AB188" s="86">
        <v>1.14128185933333</v>
      </c>
      <c r="AC188" s="86">
        <v>1.18352659516666</v>
      </c>
      <c r="AD188" s="86">
        <v>1.0538770742833301</v>
      </c>
      <c r="AE188" s="115">
        <v>1.08158049375</v>
      </c>
      <c r="AF188" s="86">
        <v>1.0820545774166599</v>
      </c>
      <c r="AG188" s="86">
        <v>1.12836068666923</v>
      </c>
      <c r="AH188" s="86">
        <v>1.1579290059665801</v>
      </c>
      <c r="AI188" s="86">
        <v>1.15515916443936</v>
      </c>
      <c r="AJ188" s="86">
        <v>1.1535055101242899</v>
      </c>
      <c r="AK188" s="86">
        <v>1.15275620964905</v>
      </c>
      <c r="AL188" s="86">
        <v>1.1521448384389299</v>
      </c>
      <c r="AM188" s="82"/>
      <c r="AN188" s="82"/>
    </row>
    <row r="189" spans="1:40" x14ac:dyDescent="0.65">
      <c r="A189" s="82" t="s">
        <v>167</v>
      </c>
      <c r="B189" s="81" t="str">
        <f t="shared" si="10"/>
        <v>IMF.RES.GAS:GAS_LIVE_2026_JAN_GAS1_VINTAGE</v>
      </c>
      <c r="C189" s="81" t="s">
        <v>538</v>
      </c>
      <c r="D189" s="82"/>
      <c r="E189" s="86">
        <v>1.9475072568574701</v>
      </c>
      <c r="F189" s="86">
        <v>1.9332480336844999</v>
      </c>
      <c r="G189" s="86">
        <v>1.84393503911558</v>
      </c>
      <c r="H189" s="86">
        <v>1.61069941997252</v>
      </c>
      <c r="I189" s="86">
        <v>1.55596556750912</v>
      </c>
      <c r="J189" s="86">
        <v>1.64308039327164</v>
      </c>
      <c r="K189" s="86">
        <v>1.93565288038878</v>
      </c>
      <c r="L189" s="86">
        <v>2.1366289431673602</v>
      </c>
      <c r="M189" s="86">
        <v>2.15709851496905</v>
      </c>
      <c r="N189" s="86">
        <v>2.1808123542705302</v>
      </c>
      <c r="O189" s="86">
        <v>2.3497205202178799</v>
      </c>
      <c r="P189" s="86">
        <v>2.5126596031659201</v>
      </c>
      <c r="Q189" s="86">
        <v>2.3805396012522899</v>
      </c>
      <c r="R189" s="86">
        <v>2.2669714155250298</v>
      </c>
      <c r="S189" s="86">
        <v>2.37787823623351</v>
      </c>
      <c r="T189" s="86">
        <v>2.19658187433008</v>
      </c>
      <c r="U189" s="86">
        <v>2.2692574670154402</v>
      </c>
      <c r="V189" s="86">
        <v>2.2704633519229098</v>
      </c>
      <c r="W189" s="86">
        <v>1.8959072616700301</v>
      </c>
      <c r="X189" s="86">
        <v>1.89073437270406</v>
      </c>
      <c r="Y189" s="86">
        <v>1.9294937577670099</v>
      </c>
      <c r="Z189" s="86">
        <v>2.0186955867394301</v>
      </c>
      <c r="AA189" s="86">
        <v>1.9129468579389</v>
      </c>
      <c r="AB189" s="86">
        <v>1.9499958298734099</v>
      </c>
      <c r="AC189" s="86">
        <v>2.0221752464087999</v>
      </c>
      <c r="AD189" s="86">
        <v>1.8006558881538099</v>
      </c>
      <c r="AE189" s="115">
        <v>1.8479899905856001</v>
      </c>
      <c r="AF189" s="86">
        <v>1.8488000106218001</v>
      </c>
      <c r="AG189" s="86">
        <v>1.9279169007946799</v>
      </c>
      <c r="AH189" s="86">
        <v>1.9784391686057901</v>
      </c>
      <c r="AI189" s="86">
        <v>1.9737066133800001</v>
      </c>
      <c r="AJ189" s="86">
        <v>1.97088117723373</v>
      </c>
      <c r="AK189" s="86">
        <v>1.9696009213617101</v>
      </c>
      <c r="AL189" s="86">
        <v>1.9685563316308701</v>
      </c>
      <c r="AM189" s="82"/>
      <c r="AN189" s="82"/>
    </row>
    <row r="190" spans="1:40" x14ac:dyDescent="0.65">
      <c r="A190" s="82" t="s">
        <v>170</v>
      </c>
      <c r="B190" s="81" t="str">
        <f t="shared" si="10"/>
        <v>IMF.RES.GAS:GAS_LIVE_2026_JAN_GAS1_VINTAGE</v>
      </c>
      <c r="C190" s="81" t="s">
        <v>539</v>
      </c>
      <c r="D190" s="82"/>
      <c r="E190" s="87">
        <v>3.1542297606914703E-2</v>
      </c>
      <c r="F190" s="86">
        <v>3.09658065819855E-2</v>
      </c>
      <c r="G190" s="86">
        <v>2.89274427380686E-2</v>
      </c>
      <c r="H190" s="86">
        <v>2.5907780197821199E-2</v>
      </c>
      <c r="I190" s="86">
        <v>2.6291346599472101E-2</v>
      </c>
      <c r="J190" s="86">
        <v>3.0540509688127399E-2</v>
      </c>
      <c r="K190" s="86">
        <v>3.54620207593443E-2</v>
      </c>
      <c r="L190" s="86">
        <v>3.8910884350651903E-2</v>
      </c>
      <c r="M190" s="86">
        <v>4.1740727470527997E-2</v>
      </c>
      <c r="N190" s="86">
        <v>4.4256388184759E-2</v>
      </c>
      <c r="O190" s="86">
        <v>4.9225591940925302E-2</v>
      </c>
      <c r="P190" s="86">
        <v>5.8654191342189702E-2</v>
      </c>
      <c r="Q190" s="86">
        <v>5.2488926538302998E-2</v>
      </c>
      <c r="R190" s="86">
        <v>5.2360818396534801E-2</v>
      </c>
      <c r="S190" s="86">
        <v>5.6510211865050598E-2</v>
      </c>
      <c r="T190" s="86">
        <v>5.1079044828102597E-2</v>
      </c>
      <c r="U190" s="86">
        <v>5.1097097271714798E-2</v>
      </c>
      <c r="V190" s="86">
        <v>4.8175358292067101E-2</v>
      </c>
      <c r="W190" s="86">
        <v>4.0652472176434702E-2</v>
      </c>
      <c r="X190" s="86">
        <v>4.0916669792073597E-2</v>
      </c>
      <c r="Y190" s="86">
        <v>4.2778308550488697E-2</v>
      </c>
      <c r="Z190" s="86">
        <v>4.6019504594031903E-2</v>
      </c>
      <c r="AA190" s="86">
        <v>4.3606711071067297E-2</v>
      </c>
      <c r="AB190" s="86">
        <v>4.3084413133879097E-2</v>
      </c>
      <c r="AC190" s="86">
        <v>4.6129362112033598E-2</v>
      </c>
      <c r="AD190" s="86">
        <v>4.2813717512234499E-2</v>
      </c>
      <c r="AE190" s="115">
        <v>4.5048934395444801E-2</v>
      </c>
      <c r="AF190" s="86">
        <v>4.3072196157792203E-2</v>
      </c>
      <c r="AG190" s="86">
        <v>4.5653607574650298E-2</v>
      </c>
      <c r="AH190" s="86">
        <v>4.7690740225722797E-2</v>
      </c>
      <c r="AI190" s="86">
        <v>4.7576670726774503E-2</v>
      </c>
      <c r="AJ190" s="86">
        <v>4.7508572365231601E-2</v>
      </c>
      <c r="AK190" s="86">
        <v>4.7477712171725701E-2</v>
      </c>
      <c r="AL190" s="86">
        <v>4.7452532140500998E-2</v>
      </c>
      <c r="AM190" s="82"/>
      <c r="AN190" s="82"/>
    </row>
    <row r="191" spans="1:40" x14ac:dyDescent="0.65">
      <c r="A191" s="82" t="s">
        <v>54</v>
      </c>
      <c r="B191" s="81" t="str">
        <f t="shared" si="10"/>
        <v>IMF.RES.GAS:GAS_LIVE_2026_JAN_GAS1_VINTAGE</v>
      </c>
      <c r="C191" s="81" t="s">
        <v>540</v>
      </c>
      <c r="D191" s="82"/>
      <c r="E191" s="86">
        <v>0.15141285224178799</v>
      </c>
      <c r="F191" s="86">
        <v>0.14923531823129399</v>
      </c>
      <c r="G191" s="86">
        <v>0.143343692300716</v>
      </c>
      <c r="H191" s="86">
        <v>0.123714235363973</v>
      </c>
      <c r="I191" s="86">
        <v>0.12015161932858</v>
      </c>
      <c r="J191" s="86">
        <v>0.12666703047248601</v>
      </c>
      <c r="K191" s="86">
        <v>0.15179866233797301</v>
      </c>
      <c r="L191" s="86">
        <v>0.16691546343873501</v>
      </c>
      <c r="M191" s="86">
        <v>0.16675254422755101</v>
      </c>
      <c r="N191" s="86">
        <v>0.16815827730442801</v>
      </c>
      <c r="O191" s="86">
        <v>0.18369855923959499</v>
      </c>
      <c r="P191" s="86">
        <v>0.19615032110175001</v>
      </c>
      <c r="Q191" s="86">
        <v>0.186537002721546</v>
      </c>
      <c r="R191" s="86">
        <v>0.177807017151977</v>
      </c>
      <c r="S191" s="86">
        <v>0.186264431126894</v>
      </c>
      <c r="T191" s="86">
        <v>0.17263775973064799</v>
      </c>
      <c r="U191" s="86">
        <v>0.17805279619275899</v>
      </c>
      <c r="V191" s="86">
        <v>0.17817477758737199</v>
      </c>
      <c r="W191" s="86">
        <v>0.14863463855925699</v>
      </c>
      <c r="X191" s="86">
        <v>0.148550483213156</v>
      </c>
      <c r="Y191" s="86">
        <v>0.151448755784755</v>
      </c>
      <c r="Z191" s="86">
        <v>0.15836268724022001</v>
      </c>
      <c r="AA191" s="86">
        <v>0.149937477233411</v>
      </c>
      <c r="AB191" s="86">
        <v>0.15285489681404599</v>
      </c>
      <c r="AC191" s="86">
        <v>0.15905551354177699</v>
      </c>
      <c r="AD191" s="86">
        <v>0.14131974826395399</v>
      </c>
      <c r="AE191" s="115">
        <v>0.14514414628311501</v>
      </c>
      <c r="AF191" s="86">
        <v>0.145043541272219</v>
      </c>
      <c r="AG191" s="86">
        <v>0.150915568244822</v>
      </c>
      <c r="AH191" s="86">
        <v>0.155897639375114</v>
      </c>
      <c r="AI191" s="86">
        <v>0.15665941376032799</v>
      </c>
      <c r="AJ191" s="86">
        <v>0.15741269481283701</v>
      </c>
      <c r="AK191" s="86">
        <v>0.15817360985696</v>
      </c>
      <c r="AL191" s="86">
        <v>0.15893850494907799</v>
      </c>
      <c r="AM191" s="82"/>
      <c r="AN191" s="82"/>
    </row>
    <row r="192" spans="1:40" x14ac:dyDescent="0.65">
      <c r="A192" s="82" t="s">
        <v>171</v>
      </c>
      <c r="B192" s="81" t="str">
        <f t="shared" si="10"/>
        <v>IMF.RES.GAS:GAS_LIVE_2026_JAN_GAS1_VINTAGE</v>
      </c>
      <c r="C192" s="81" t="s">
        <v>541</v>
      </c>
      <c r="D192" s="82"/>
      <c r="E192" s="87">
        <v>1.12834467391666</v>
      </c>
      <c r="F192" s="87">
        <v>1.11321149683333</v>
      </c>
      <c r="G192" s="87">
        <v>1.06743249991666</v>
      </c>
      <c r="H192" s="86">
        <v>0.92464697800833295</v>
      </c>
      <c r="I192" s="86">
        <v>0.89723317085833298</v>
      </c>
      <c r="J192" s="86">
        <v>0.94484597638333301</v>
      </c>
      <c r="K192" s="86">
        <v>1.1311760584166599</v>
      </c>
      <c r="L192" s="86">
        <v>1.2435010252500001</v>
      </c>
      <c r="M192" s="86">
        <v>1.24530380225</v>
      </c>
      <c r="N192" s="86">
        <v>1.2563010354999999</v>
      </c>
      <c r="O192" s="86">
        <v>1.3704019406666601</v>
      </c>
      <c r="P192" s="86">
        <v>1.4702695649999999</v>
      </c>
      <c r="Q192" s="86">
        <v>1.39349132741666</v>
      </c>
      <c r="R192" s="86">
        <v>1.32747493041666</v>
      </c>
      <c r="S192" s="86">
        <v>1.3917103068333301</v>
      </c>
      <c r="T192" s="86">
        <v>1.2856022599166601</v>
      </c>
      <c r="U192" s="86">
        <v>1.3281373947499999</v>
      </c>
      <c r="V192" s="86">
        <v>1.3288431678333299</v>
      </c>
      <c r="W192" s="86">
        <v>1.10962522666666</v>
      </c>
      <c r="X192" s="86">
        <v>1.1065976692499999</v>
      </c>
      <c r="Y192" s="86">
        <v>1.12928252958333</v>
      </c>
      <c r="Z192" s="86">
        <v>1.18149004083333</v>
      </c>
      <c r="AA192" s="86">
        <v>1.1195980593333299</v>
      </c>
      <c r="AB192" s="86">
        <v>1.14128185933333</v>
      </c>
      <c r="AC192" s="86">
        <v>1.18352659516666</v>
      </c>
      <c r="AD192" s="86">
        <v>1.0538770742833301</v>
      </c>
      <c r="AE192" s="115">
        <v>1.08158049375</v>
      </c>
      <c r="AF192" s="86">
        <v>1.0820545774166599</v>
      </c>
      <c r="AG192" s="86">
        <v>1.12836068666923</v>
      </c>
      <c r="AH192" s="86">
        <v>1.1579290059665801</v>
      </c>
      <c r="AI192" s="86">
        <v>1.15515916443936</v>
      </c>
      <c r="AJ192" s="86">
        <v>1.1535055101242899</v>
      </c>
      <c r="AK192" s="86">
        <v>1.15275620964905</v>
      </c>
      <c r="AL192" s="86">
        <v>1.1521448384389299</v>
      </c>
      <c r="AM192" s="82"/>
      <c r="AN192" s="82"/>
    </row>
    <row r="193" spans="1:40" x14ac:dyDescent="0.65">
      <c r="A193" s="82" t="s">
        <v>172</v>
      </c>
      <c r="B193" s="81" t="str">
        <f t="shared" si="10"/>
        <v>IMF.RES.GAS:GAS_LIVE_2026_JAN_GAS1_VINTAGE</v>
      </c>
      <c r="C193" s="81" t="s">
        <v>542</v>
      </c>
      <c r="D193" s="82"/>
      <c r="E193" s="86">
        <v>7.2114368228028206E-2</v>
      </c>
      <c r="F193" s="86">
        <v>7.1147181933029102E-2</v>
      </c>
      <c r="G193" s="86">
        <v>6.8221370771711795E-2</v>
      </c>
      <c r="H193" s="86">
        <v>5.9095712679325403E-2</v>
      </c>
      <c r="I193" s="86">
        <v>5.7343651071691801E-2</v>
      </c>
      <c r="J193" s="86">
        <v>6.0386663964269102E-2</v>
      </c>
      <c r="K193" s="86">
        <v>7.2295326679065505E-2</v>
      </c>
      <c r="L193" s="86">
        <v>7.9474200481254698E-2</v>
      </c>
      <c r="M193" s="86">
        <v>7.9589418931269404E-2</v>
      </c>
      <c r="N193" s="86">
        <v>8.0292270237623503E-2</v>
      </c>
      <c r="O193" s="86">
        <v>8.7584647186396095E-2</v>
      </c>
      <c r="P193" s="86">
        <v>9.3967351693019494E-2</v>
      </c>
      <c r="Q193" s="86">
        <v>8.9060327957298499E-2</v>
      </c>
      <c r="R193" s="86">
        <v>8.4841111194551302E-2</v>
      </c>
      <c r="S193" s="86">
        <v>8.8946499995739198E-2</v>
      </c>
      <c r="T193" s="86">
        <v>8.2164959794247094E-2</v>
      </c>
      <c r="U193" s="86">
        <v>8.4883450382191597E-2</v>
      </c>
      <c r="V193" s="86">
        <v>8.4928557503440499E-2</v>
      </c>
      <c r="W193" s="86">
        <v>7.0917977494578094E-2</v>
      </c>
      <c r="X193" s="86">
        <v>7.0724481309038301E-2</v>
      </c>
      <c r="Y193" s="86">
        <v>7.2174308129774697E-2</v>
      </c>
      <c r="Z193" s="86">
        <v>7.5510976239779398E-2</v>
      </c>
      <c r="AA193" s="86">
        <v>7.1555357670889094E-2</v>
      </c>
      <c r="AB193" s="86">
        <v>7.2941205075436999E-2</v>
      </c>
      <c r="AC193" s="86">
        <v>7.5641135784558097E-2</v>
      </c>
      <c r="AD193" s="86">
        <v>6.7355021172863905E-2</v>
      </c>
      <c r="AE193" s="115">
        <v>6.9125592381092296E-2</v>
      </c>
      <c r="AF193" s="86">
        <v>6.9155891849773499E-2</v>
      </c>
      <c r="AG193" s="86">
        <v>7.2094137504175398E-2</v>
      </c>
      <c r="AH193" s="86">
        <v>7.2808529561046498E-2</v>
      </c>
      <c r="AI193" s="86">
        <v>7.1525851268081905E-2</v>
      </c>
      <c r="AJ193" s="86">
        <v>7.0465523643644404E-2</v>
      </c>
      <c r="AK193" s="86">
        <v>6.9480902883291701E-2</v>
      </c>
      <c r="AL193" s="86">
        <v>6.8594299639521794E-2</v>
      </c>
      <c r="AM193" s="82"/>
      <c r="AN193" s="82"/>
    </row>
    <row r="194" spans="1:40" x14ac:dyDescent="0.65">
      <c r="A194" s="82" t="s">
        <v>100</v>
      </c>
      <c r="B194" s="81" t="str">
        <f t="shared" si="10"/>
        <v>IMF.RES.GAS:GAS_LIVE_2026_JAN_GAS1_VINTAGE</v>
      </c>
      <c r="C194" s="81" t="s">
        <v>543</v>
      </c>
      <c r="D194" s="82"/>
      <c r="E194" s="86">
        <v>1.1290556295</v>
      </c>
      <c r="F194" s="86">
        <v>1.1128498384166601</v>
      </c>
      <c r="G194" s="86">
        <v>1.0668346104999999</v>
      </c>
      <c r="H194" s="86">
        <v>0.92402059788333302</v>
      </c>
      <c r="I194" s="86">
        <v>0.89563563535000001</v>
      </c>
      <c r="J194" s="86">
        <v>0.94490556325833297</v>
      </c>
      <c r="K194" s="86">
        <v>1.1308771550833301</v>
      </c>
      <c r="L194" s="86">
        <v>1.2433377025833301</v>
      </c>
      <c r="M194" s="86">
        <v>1.24477792875</v>
      </c>
      <c r="N194" s="86">
        <v>1.25566535075</v>
      </c>
      <c r="O194" s="86">
        <v>1.37063958091666</v>
      </c>
      <c r="P194" s="86">
        <v>1.4705943365833301</v>
      </c>
      <c r="Q194" s="86">
        <v>1.3932679345833301</v>
      </c>
      <c r="R194" s="86">
        <v>1.32679942825</v>
      </c>
      <c r="S194" s="86">
        <v>1.3917103068333301</v>
      </c>
      <c r="T194" s="86">
        <v>1.2856022599166601</v>
      </c>
      <c r="U194" s="86">
        <v>1.3281373947499999</v>
      </c>
      <c r="V194" s="86">
        <v>1.3288431678333299</v>
      </c>
      <c r="W194" s="86">
        <v>1.10962522666666</v>
      </c>
      <c r="X194" s="86">
        <v>1.1065976692499999</v>
      </c>
      <c r="Y194" s="86">
        <v>1.12928252958333</v>
      </c>
      <c r="Z194" s="86">
        <v>1.18149004083333</v>
      </c>
      <c r="AA194" s="86">
        <v>1.1195980593333299</v>
      </c>
      <c r="AB194" s="86">
        <v>1.14128185933333</v>
      </c>
      <c r="AC194" s="86">
        <v>1.18352659516666</v>
      </c>
      <c r="AD194" s="86">
        <v>1.0538770742833301</v>
      </c>
      <c r="AE194" s="115">
        <v>1.08158049375</v>
      </c>
      <c r="AF194" s="86">
        <v>1.0820545774166599</v>
      </c>
      <c r="AG194" s="86">
        <v>1.12836068666923</v>
      </c>
      <c r="AH194" s="86">
        <v>1.1579290059665801</v>
      </c>
      <c r="AI194" s="86">
        <v>1.15515916443936</v>
      </c>
      <c r="AJ194" s="86">
        <v>1.1535055101242899</v>
      </c>
      <c r="AK194" s="86">
        <v>1.15275620964905</v>
      </c>
      <c r="AL194" s="86">
        <v>1.1521448384389299</v>
      </c>
      <c r="AM194" s="82"/>
      <c r="AN194" s="82"/>
    </row>
    <row r="195" spans="1:40" x14ac:dyDescent="0.65">
      <c r="A195" s="82" t="s">
        <v>108</v>
      </c>
      <c r="B195" s="81" t="str">
        <f t="shared" si="10"/>
        <v>IMF.RES.GAS:GAS_LIVE_2026_JAN_GAS1_VINTAGE</v>
      </c>
      <c r="C195" s="81" t="s">
        <v>544</v>
      </c>
      <c r="D195" s="82"/>
      <c r="E195" s="86">
        <v>2.7988557966182302E-2</v>
      </c>
      <c r="F195" s="86">
        <v>2.7586826898843699E-2</v>
      </c>
      <c r="G195" s="86">
        <v>2.6446139194692998E-2</v>
      </c>
      <c r="H195" s="86">
        <v>2.2905872297237499E-2</v>
      </c>
      <c r="I195" s="86">
        <v>2.2202227455943101E-2</v>
      </c>
      <c r="J195" s="86">
        <v>2.34235970653951E-2</v>
      </c>
      <c r="K195" s="86">
        <v>2.8033712405913999E-2</v>
      </c>
      <c r="L195" s="86">
        <v>3.0821536557684399E-2</v>
      </c>
      <c r="M195" s="86">
        <v>3.0857238831776899E-2</v>
      </c>
      <c r="N195" s="86">
        <v>3.1127130973304301E-2</v>
      </c>
      <c r="O195" s="86">
        <v>3.3977267690714803E-2</v>
      </c>
      <c r="P195" s="86">
        <v>3.64550813607206E-2</v>
      </c>
      <c r="Q195" s="86">
        <v>3.4538209925739298E-2</v>
      </c>
      <c r="R195" s="86">
        <v>3.2890498693601097E-2</v>
      </c>
      <c r="S195" s="86">
        <v>3.4499597342416102E-2</v>
      </c>
      <c r="T195" s="86">
        <v>3.1869247566718398E-2</v>
      </c>
      <c r="U195" s="86">
        <v>3.29236660167724E-2</v>
      </c>
      <c r="V195" s="86">
        <v>3.2941161674504199E-2</v>
      </c>
      <c r="W195" s="86">
        <v>2.7506890861570401E-2</v>
      </c>
      <c r="X195" s="86">
        <v>2.7431839673623299E-2</v>
      </c>
      <c r="Y195" s="86">
        <v>2.7994182672325198E-2</v>
      </c>
      <c r="Z195" s="86">
        <v>2.9288373070665299E-2</v>
      </c>
      <c r="AA195" s="86">
        <v>2.7754110925741801E-2</v>
      </c>
      <c r="AB195" s="86">
        <v>2.82916382869896E-2</v>
      </c>
      <c r="AC195" s="86">
        <v>2.9338857933873499E-2</v>
      </c>
      <c r="AD195" s="86">
        <v>2.61249302621804E-2</v>
      </c>
      <c r="AE195" s="115">
        <v>2.6811680092166799E-2</v>
      </c>
      <c r="AF195" s="86">
        <v>2.68234323192835E-2</v>
      </c>
      <c r="AG195" s="86">
        <v>2.7971877248220901E-2</v>
      </c>
      <c r="AH195" s="86">
        <v>2.8764621690150701E-2</v>
      </c>
      <c r="AI195" s="86">
        <v>2.87605581119884E-2</v>
      </c>
      <c r="AJ195" s="86">
        <v>2.8697048687770201E-2</v>
      </c>
      <c r="AK195" s="86">
        <v>2.8621769774965299E-2</v>
      </c>
      <c r="AL195" s="86">
        <v>2.8553228467873299E-2</v>
      </c>
      <c r="AM195" s="82"/>
      <c r="AN195" s="82"/>
    </row>
    <row r="196" spans="1:40" x14ac:dyDescent="0.65">
      <c r="A196" s="82" t="s">
        <v>101</v>
      </c>
      <c r="B196" s="81" t="str">
        <f t="shared" si="10"/>
        <v>IMF.RES.GAS:GAS_LIVE_2026_JAN_GAS1_VINTAGE</v>
      </c>
      <c r="C196" s="81" t="s">
        <v>545</v>
      </c>
      <c r="D196" s="82"/>
      <c r="E196" s="86">
        <v>1.1308320381666599</v>
      </c>
      <c r="F196" s="86">
        <v>1.1123909811666599</v>
      </c>
      <c r="G196" s="86">
        <v>1.0668346104999999</v>
      </c>
      <c r="H196" s="86">
        <v>0.92402059788333302</v>
      </c>
      <c r="I196" s="86">
        <v>0.89563563535000001</v>
      </c>
      <c r="J196" s="86">
        <v>0.94490556325833297</v>
      </c>
      <c r="K196" s="86">
        <v>1.1308771550833301</v>
      </c>
      <c r="L196" s="86">
        <v>1.2433377025833301</v>
      </c>
      <c r="M196" s="86">
        <v>1.24477792875</v>
      </c>
      <c r="N196" s="86">
        <v>1.25566535075</v>
      </c>
      <c r="O196" s="86">
        <v>1.37063958091666</v>
      </c>
      <c r="P196" s="86">
        <v>1.4705943365833301</v>
      </c>
      <c r="Q196" s="86">
        <v>1.3932679345833301</v>
      </c>
      <c r="R196" s="86">
        <v>1.32679942825</v>
      </c>
      <c r="S196" s="86">
        <v>1.3917103068333301</v>
      </c>
      <c r="T196" s="86">
        <v>1.2856022599166601</v>
      </c>
      <c r="U196" s="86">
        <v>1.3281373947499999</v>
      </c>
      <c r="V196" s="86">
        <v>1.3288431678333299</v>
      </c>
      <c r="W196" s="86">
        <v>1.10962522666666</v>
      </c>
      <c r="X196" s="86">
        <v>1.1065976692499999</v>
      </c>
      <c r="Y196" s="86">
        <v>1.12928252958333</v>
      </c>
      <c r="Z196" s="86">
        <v>1.18149004083333</v>
      </c>
      <c r="AA196" s="86">
        <v>1.1195980593333299</v>
      </c>
      <c r="AB196" s="86">
        <v>1.14128185933333</v>
      </c>
      <c r="AC196" s="86">
        <v>1.18352659516666</v>
      </c>
      <c r="AD196" s="86">
        <v>1.0538770742833301</v>
      </c>
      <c r="AE196" s="115">
        <v>1.08158049375</v>
      </c>
      <c r="AF196" s="86">
        <v>1.0820545774166599</v>
      </c>
      <c r="AG196" s="86">
        <v>1.12836068666923</v>
      </c>
      <c r="AH196" s="86">
        <v>1.1579290059665801</v>
      </c>
      <c r="AI196" s="86">
        <v>1.15515916443936</v>
      </c>
      <c r="AJ196" s="86">
        <v>1.1535055101242899</v>
      </c>
      <c r="AK196" s="86">
        <v>1.15275620964905</v>
      </c>
      <c r="AL196" s="86">
        <v>1.1521448384389299</v>
      </c>
      <c r="AM196" s="82"/>
      <c r="AN196" s="82"/>
    </row>
    <row r="197" spans="1:40" x14ac:dyDescent="0.65">
      <c r="A197" s="82" t="s">
        <v>109</v>
      </c>
      <c r="B197" s="81" t="str">
        <f t="shared" si="10"/>
        <v>IMF.RES.GAS:GAS_LIVE_2026_JAN_GAS1_VINTAGE</v>
      </c>
      <c r="C197" s="81" t="s">
        <v>546</v>
      </c>
      <c r="D197" s="82"/>
      <c r="E197" s="86">
        <v>0.51314920664092201</v>
      </c>
      <c r="F197" s="86">
        <v>0.50478101981053103</v>
      </c>
      <c r="G197" s="86">
        <v>0.48410844008512899</v>
      </c>
      <c r="H197" s="86">
        <v>0.41930226657923803</v>
      </c>
      <c r="I197" s="86">
        <v>0.40642173214715099</v>
      </c>
      <c r="J197" s="86">
        <v>0.42877945068014001</v>
      </c>
      <c r="K197" s="86">
        <v>0.51316967980511596</v>
      </c>
      <c r="L197" s="86">
        <v>0.56420205135128099</v>
      </c>
      <c r="M197" s="86">
        <v>0.56485559749240999</v>
      </c>
      <c r="N197" s="86">
        <v>0.56979609420023503</v>
      </c>
      <c r="O197" s="86">
        <v>0.62196912521006198</v>
      </c>
      <c r="P197" s="86">
        <v>0.66732661583571895</v>
      </c>
      <c r="Q197" s="86">
        <v>0.63223742442668596</v>
      </c>
      <c r="R197" s="86">
        <v>0.60207533125955703</v>
      </c>
      <c r="S197" s="86">
        <v>0.63153060376970305</v>
      </c>
      <c r="T197" s="86">
        <v>0.58338087131095495</v>
      </c>
      <c r="U197" s="86">
        <v>0.60268247398704899</v>
      </c>
      <c r="V197" s="86">
        <v>0.60300273984931396</v>
      </c>
      <c r="W197" s="86">
        <v>0.50352597513586905</v>
      </c>
      <c r="X197" s="86">
        <v>0.50215212947710897</v>
      </c>
      <c r="Y197" s="86">
        <v>0.51244607030114298</v>
      </c>
      <c r="Z197" s="86">
        <v>0.53613680603769698</v>
      </c>
      <c r="AA197" s="86">
        <v>0.50805144929837998</v>
      </c>
      <c r="AB197" s="86">
        <v>0.517891128748035</v>
      </c>
      <c r="AC197" s="86">
        <v>0.53706095410315602</v>
      </c>
      <c r="AD197" s="86">
        <v>0.47822856650073398</v>
      </c>
      <c r="AE197" s="115">
        <v>0.49079983017275403</v>
      </c>
      <c r="AF197" s="86">
        <v>0.491014959961458</v>
      </c>
      <c r="AG197" s="86">
        <v>0.512077811056601</v>
      </c>
      <c r="AH197" s="86">
        <v>0.52985574711416905</v>
      </c>
      <c r="AI197" s="86">
        <v>0.53508017981197198</v>
      </c>
      <c r="AJ197" s="86">
        <v>0.54031482186453395</v>
      </c>
      <c r="AK197" s="86">
        <v>0.54561437005021296</v>
      </c>
      <c r="AL197" s="86">
        <v>0.55096699329325605</v>
      </c>
      <c r="AM197" s="82"/>
      <c r="AN197" s="82"/>
    </row>
    <row r="198" spans="1:40" x14ac:dyDescent="0.65">
      <c r="A198" s="82" t="s">
        <v>57</v>
      </c>
      <c r="B198" s="81" t="str">
        <f t="shared" si="10"/>
        <v>IMF.RES.GAS:GAS_LIVE_2026_JAN_GAS1_VINTAGE</v>
      </c>
      <c r="C198" s="81" t="s">
        <v>547</v>
      </c>
      <c r="D198" s="82"/>
      <c r="E198" s="86">
        <v>0.14137471119054701</v>
      </c>
      <c r="F198" s="86">
        <v>0.13253639201166301</v>
      </c>
      <c r="G198" s="86">
        <v>0.128218744608983</v>
      </c>
      <c r="H198" s="86">
        <v>0.113612586741185</v>
      </c>
      <c r="I198" s="86">
        <v>0.111214241730513</v>
      </c>
      <c r="J198" s="86">
        <v>0.125253970701317</v>
      </c>
      <c r="K198" s="86">
        <v>0.141238615574485</v>
      </c>
      <c r="L198" s="86">
        <v>0.14834961057301199</v>
      </c>
      <c r="M198" s="86">
        <v>0.15521924718128</v>
      </c>
      <c r="N198" s="86">
        <v>0.15592515591546099</v>
      </c>
      <c r="O198" s="86">
        <v>0.17059994312546101</v>
      </c>
      <c r="P198" s="86">
        <v>0.17730496454528899</v>
      </c>
      <c r="Q198" s="86">
        <v>0.159024648824619</v>
      </c>
      <c r="R198" s="86">
        <v>0.16544877982039599</v>
      </c>
      <c r="S198" s="86">
        <v>0.17842463266873301</v>
      </c>
      <c r="T198" s="86">
        <v>0.17189514395748801</v>
      </c>
      <c r="U198" s="86">
        <v>0.17021276595499299</v>
      </c>
      <c r="V198" s="86">
        <v>0.15868817772919</v>
      </c>
      <c r="W198" s="86">
        <v>0.124005373557647</v>
      </c>
      <c r="X198" s="86">
        <v>0.119047619037533</v>
      </c>
      <c r="Y198" s="86">
        <v>0.120894620193832</v>
      </c>
      <c r="Z198" s="86">
        <v>0.12296341837721</v>
      </c>
      <c r="AA198" s="86">
        <v>0.113636363654467</v>
      </c>
      <c r="AB198" s="86">
        <v>0.106204088854998</v>
      </c>
      <c r="AC198" s="86">
        <v>0.11641443538733801</v>
      </c>
      <c r="AD198" s="86">
        <v>0.104013175005313</v>
      </c>
      <c r="AE198" s="115">
        <v>9.4667087406325498E-2</v>
      </c>
      <c r="AF198" s="86">
        <v>9.3059325328203102E-2</v>
      </c>
      <c r="AG198" s="86">
        <v>9.6212588108395905E-2</v>
      </c>
      <c r="AH198" s="86">
        <v>9.8157683731567399E-2</v>
      </c>
      <c r="AI198" s="86">
        <v>9.8143916996192099E-2</v>
      </c>
      <c r="AJ198" s="86">
        <v>9.8128440534996794E-2</v>
      </c>
      <c r="AK198" s="86">
        <v>9.8172294273544902E-2</v>
      </c>
      <c r="AL198" s="86">
        <v>9.8259033909913293E-2</v>
      </c>
      <c r="AM198" s="82"/>
      <c r="AN198" s="82"/>
    </row>
    <row r="199" spans="1:40" x14ac:dyDescent="0.65">
      <c r="A199" s="82" t="s">
        <v>58</v>
      </c>
      <c r="B199" s="81" t="str">
        <f t="shared" si="10"/>
        <v>IMF.RES.GAS:GAS_LIVE_2026_JAN_GAS1_VINTAGE</v>
      </c>
      <c r="C199" s="81" t="s">
        <v>548</v>
      </c>
      <c r="D199" s="82"/>
      <c r="E199" s="86">
        <v>0.130977585044256</v>
      </c>
      <c r="F199" s="86">
        <v>0.12578824941431499</v>
      </c>
      <c r="G199" s="86">
        <v>0.12102979411558</v>
      </c>
      <c r="H199" s="86">
        <v>0.109143565899748</v>
      </c>
      <c r="I199" s="86">
        <v>9.6813520128031003E-2</v>
      </c>
      <c r="J199" s="86">
        <v>0.10269973645521301</v>
      </c>
      <c r="K199" s="86">
        <v>0.12366588981064899</v>
      </c>
      <c r="L199" s="86">
        <v>0.13607503359944401</v>
      </c>
      <c r="M199" s="86">
        <v>0.13381348585599101</v>
      </c>
      <c r="N199" s="86">
        <v>0.13553350902663699</v>
      </c>
      <c r="O199" s="86">
        <v>0.14795591505111599</v>
      </c>
      <c r="P199" s="86">
        <v>0.151719762465368</v>
      </c>
      <c r="Q199" s="86">
        <v>0.130653727007806</v>
      </c>
      <c r="R199" s="86">
        <v>0.138743898309374</v>
      </c>
      <c r="S199" s="86">
        <v>0.15399912633162899</v>
      </c>
      <c r="T199" s="86">
        <v>0.147601131065139</v>
      </c>
      <c r="U199" s="86">
        <v>0.15351617281358201</v>
      </c>
      <c r="V199" s="86">
        <v>0.145755915692761</v>
      </c>
      <c r="W199" s="86">
        <v>0.118555882651411</v>
      </c>
      <c r="X199" s="86">
        <v>0.116795255017053</v>
      </c>
      <c r="Y199" s="86">
        <v>0.116974649547229</v>
      </c>
      <c r="Z199" s="86">
        <v>0.11504145998625299</v>
      </c>
      <c r="AA199" s="86">
        <v>0.105726695270091</v>
      </c>
      <c r="AB199" s="86">
        <v>0.108573989965408</v>
      </c>
      <c r="AC199" s="86">
        <v>0.11659677270248101</v>
      </c>
      <c r="AD199" s="86">
        <v>9.88703931238189E-2</v>
      </c>
      <c r="AE199" s="115">
        <v>9.4249274072265798E-2</v>
      </c>
      <c r="AF199" s="86">
        <v>9.4628539336494497E-2</v>
      </c>
      <c r="AG199" s="86">
        <v>0.10170019740036899</v>
      </c>
      <c r="AH199" s="86">
        <v>0.105874911669863</v>
      </c>
      <c r="AI199" s="86">
        <v>0.10624481087415499</v>
      </c>
      <c r="AJ199" s="86">
        <v>0.106514410057132</v>
      </c>
      <c r="AK199" s="86">
        <v>0.106769618841339</v>
      </c>
      <c r="AL199" s="86">
        <v>0.10701671759248101</v>
      </c>
      <c r="AM199" s="82"/>
      <c r="AN199" s="82"/>
    </row>
    <row r="200" spans="1:40" x14ac:dyDescent="0.65">
      <c r="A200" s="82" t="s">
        <v>14</v>
      </c>
      <c r="B200" s="81" t="str">
        <f t="shared" si="10"/>
        <v>IMF.RES.GAS:GAS_LIVE_2026_JAN_GAS1_VINTAGE</v>
      </c>
      <c r="C200" s="81" t="s">
        <v>549</v>
      </c>
      <c r="D200" s="82"/>
      <c r="E200" s="86">
        <v>0.689031480126165</v>
      </c>
      <c r="F200" s="86">
        <v>0.68974397893050199</v>
      </c>
      <c r="G200" s="86">
        <v>0.66571026292552504</v>
      </c>
      <c r="H200" s="86">
        <v>0.59212152702310905</v>
      </c>
      <c r="I200" s="86">
        <v>0.59255221123726398</v>
      </c>
      <c r="J200" s="86">
        <v>0.64159834981120201</v>
      </c>
      <c r="K200" s="86">
        <v>0.74258298829688996</v>
      </c>
      <c r="L200" s="86">
        <v>0.80418443970039999</v>
      </c>
      <c r="M200" s="86">
        <v>0.80309889090638598</v>
      </c>
      <c r="N200" s="86">
        <v>0.797547806357641</v>
      </c>
      <c r="O200" s="86">
        <v>0.83307935982956105</v>
      </c>
      <c r="P200" s="86">
        <v>0.92328430694400199</v>
      </c>
      <c r="Q200" s="86">
        <v>0.91899796083739704</v>
      </c>
      <c r="R200" s="86">
        <v>0.958859513388578</v>
      </c>
      <c r="S200" s="86">
        <v>1.1260728301456</v>
      </c>
      <c r="T200" s="86">
        <v>1.0664568098765701</v>
      </c>
      <c r="U200" s="86">
        <v>1.07886090455045</v>
      </c>
      <c r="V200" s="86">
        <v>1.0915230658547499</v>
      </c>
      <c r="W200" s="86">
        <v>1.0390891541135201</v>
      </c>
      <c r="X200" s="86">
        <v>1.01482209136405</v>
      </c>
      <c r="Y200" s="86">
        <v>1.0155463215929501</v>
      </c>
      <c r="Z200" s="86">
        <v>1.0226081619940399</v>
      </c>
      <c r="AA200" s="86">
        <v>1.00633065839388</v>
      </c>
      <c r="AB200" s="86">
        <v>1.0650024229944199</v>
      </c>
      <c r="AC200" s="86">
        <v>1.09427647796087</v>
      </c>
      <c r="AD200" s="86">
        <v>1.0473041083407</v>
      </c>
      <c r="AE200" s="115">
        <v>1.1129784416055499</v>
      </c>
      <c r="AF200" s="86">
        <v>1.1357946634428</v>
      </c>
      <c r="AG200" s="86">
        <v>1.20277400475161</v>
      </c>
      <c r="AH200" s="86">
        <v>1.26188667547893</v>
      </c>
      <c r="AI200" s="86">
        <v>1.28357470503042</v>
      </c>
      <c r="AJ200" s="86">
        <v>1.30630618587312</v>
      </c>
      <c r="AK200" s="86">
        <v>1.3301476855571699</v>
      </c>
      <c r="AL200" s="86">
        <v>1.3544388736823301</v>
      </c>
      <c r="AM200" s="82"/>
      <c r="AN200" s="82"/>
    </row>
    <row r="201" spans="1:40" x14ac:dyDescent="0.65">
      <c r="A201" s="82" t="s">
        <v>102</v>
      </c>
      <c r="B201" s="81" t="str">
        <f t="shared" si="10"/>
        <v>IMF.RES.GAS:GAS_LIVE_2026_JAN_GAS1_VINTAGE</v>
      </c>
      <c r="C201" s="81" t="s">
        <v>550</v>
      </c>
      <c r="D201" s="82"/>
      <c r="E201" s="86">
        <v>1.14682406116666</v>
      </c>
      <c r="F201" s="86">
        <v>1.1140355365833301</v>
      </c>
      <c r="G201" s="86">
        <v>1.0668346104999999</v>
      </c>
      <c r="H201" s="86">
        <v>0.92402059788333302</v>
      </c>
      <c r="I201" s="86">
        <v>0.89563563535000001</v>
      </c>
      <c r="J201" s="86">
        <v>0.94490556325833297</v>
      </c>
      <c r="K201" s="86">
        <v>1.1308771550833301</v>
      </c>
      <c r="L201" s="86">
        <v>1.2433377025833301</v>
      </c>
      <c r="M201" s="86">
        <v>1.24477792875</v>
      </c>
      <c r="N201" s="86">
        <v>1.25566535075</v>
      </c>
      <c r="O201" s="86">
        <v>1.37063958091666</v>
      </c>
      <c r="P201" s="86">
        <v>1.4705943365833301</v>
      </c>
      <c r="Q201" s="86">
        <v>1.3932679345833301</v>
      </c>
      <c r="R201" s="86">
        <v>1.32679942825</v>
      </c>
      <c r="S201" s="86">
        <v>1.3917103068333301</v>
      </c>
      <c r="T201" s="86">
        <v>1.2856022599166601</v>
      </c>
      <c r="U201" s="86">
        <v>1.3281373947499999</v>
      </c>
      <c r="V201" s="86">
        <v>1.3288431678333299</v>
      </c>
      <c r="W201" s="86">
        <v>1.10962522666666</v>
      </c>
      <c r="X201" s="86">
        <v>1.1065976692499999</v>
      </c>
      <c r="Y201" s="86">
        <v>1.12928252958333</v>
      </c>
      <c r="Z201" s="86">
        <v>1.18149004083333</v>
      </c>
      <c r="AA201" s="86">
        <v>1.1195980593333299</v>
      </c>
      <c r="AB201" s="86">
        <v>1.14128185933333</v>
      </c>
      <c r="AC201" s="86">
        <v>1.18352659516666</v>
      </c>
      <c r="AD201" s="86">
        <v>1.0538770742833301</v>
      </c>
      <c r="AE201" s="115">
        <v>1.08158049375</v>
      </c>
      <c r="AF201" s="86">
        <v>1.0820545774166599</v>
      </c>
      <c r="AG201" s="86">
        <v>1.12836068666923</v>
      </c>
      <c r="AH201" s="86">
        <v>1.1579290059665801</v>
      </c>
      <c r="AI201" s="86">
        <v>1.15515916443936</v>
      </c>
      <c r="AJ201" s="86">
        <v>1.1535055101242899</v>
      </c>
      <c r="AK201" s="86">
        <v>1.15275620964905</v>
      </c>
      <c r="AL201" s="86">
        <v>1.1521448384389299</v>
      </c>
      <c r="AM201" s="82"/>
      <c r="AN201" s="82"/>
    </row>
    <row r="202" spans="1:40" x14ac:dyDescent="0.65">
      <c r="A202" s="82" t="s">
        <v>110</v>
      </c>
      <c r="B202" s="81" t="str">
        <f t="shared" si="10"/>
        <v>IMF.RES.GAS:GAS_LIVE_2026_JAN_GAS1_VINTAGE</v>
      </c>
      <c r="C202" s="81" t="s">
        <v>551</v>
      </c>
      <c r="D202" s="82"/>
      <c r="E202" s="86">
        <v>0.19288196086379</v>
      </c>
      <c r="F202" s="86">
        <v>0.187367326902387</v>
      </c>
      <c r="G202" s="86">
        <v>0.17942870101736799</v>
      </c>
      <c r="H202" s="86">
        <v>0.155409108365723</v>
      </c>
      <c r="I202" s="86">
        <v>0.15063510037455399</v>
      </c>
      <c r="J202" s="86">
        <v>0.15892170738636499</v>
      </c>
      <c r="K202" s="86">
        <v>0.19019988379615799</v>
      </c>
      <c r="L202" s="86">
        <v>0.209114390088909</v>
      </c>
      <c r="M202" s="86">
        <v>0.20935661874151701</v>
      </c>
      <c r="N202" s="86">
        <v>0.21118775167220799</v>
      </c>
      <c r="O202" s="86">
        <v>0.230525029040448</v>
      </c>
      <c r="P202" s="86">
        <v>0.247336212135992</v>
      </c>
      <c r="Q202" s="86">
        <v>0.234330844922883</v>
      </c>
      <c r="R202" s="86">
        <v>0.223151644667686</v>
      </c>
      <c r="S202" s="86">
        <v>0.234068870741411</v>
      </c>
      <c r="T202" s="86">
        <v>0.21622277834961601</v>
      </c>
      <c r="U202" s="86">
        <v>0.22337667447899501</v>
      </c>
      <c r="V202" s="86">
        <v>0.22349537699043401</v>
      </c>
      <c r="W202" s="86">
        <v>0.18662556602245001</v>
      </c>
      <c r="X202" s="86">
        <v>0.18611636741829801</v>
      </c>
      <c r="Y202" s="86">
        <v>0.18993168703982999</v>
      </c>
      <c r="Z202" s="86">
        <v>0.198712360102684</v>
      </c>
      <c r="AA202" s="86">
        <v>0.188302876069605</v>
      </c>
      <c r="AB202" s="86">
        <v>0.191949829429411</v>
      </c>
      <c r="AC202" s="86">
        <v>0.199054883953133</v>
      </c>
      <c r="AD202" s="86">
        <v>0.17724939986903701</v>
      </c>
      <c r="AE202" s="115">
        <v>0.18190878054502899</v>
      </c>
      <c r="AF202" s="86">
        <v>0.18198851569389499</v>
      </c>
      <c r="AG202" s="86">
        <v>0.18979584591759699</v>
      </c>
      <c r="AH202" s="86">
        <v>0.19550006235158701</v>
      </c>
      <c r="AI202" s="86">
        <v>0.19538751466417201</v>
      </c>
      <c r="AJ202" s="86">
        <v>0.195752121457163</v>
      </c>
      <c r="AK202" s="86">
        <v>0.19574118836983601</v>
      </c>
      <c r="AL202" s="86">
        <v>0.195422369719952</v>
      </c>
      <c r="AM202" s="82"/>
      <c r="AN202" s="82"/>
    </row>
    <row r="203" spans="1:40" x14ac:dyDescent="0.65">
      <c r="A203" s="82" t="s">
        <v>103</v>
      </c>
      <c r="B203" s="81" t="str">
        <f t="shared" si="10"/>
        <v>IMF.RES.GAS:GAS_LIVE_2026_JAN_GAS1_VINTAGE</v>
      </c>
      <c r="C203" s="81" t="s">
        <v>552</v>
      </c>
      <c r="D203" s="82"/>
      <c r="E203" s="86">
        <v>1.2494461722500001</v>
      </c>
      <c r="F203" s="86">
        <v>1.1547247977499999</v>
      </c>
      <c r="G203" s="86">
        <v>1.1167730365833299</v>
      </c>
      <c r="H203" s="86">
        <v>0.93593573761666604</v>
      </c>
      <c r="I203" s="86">
        <v>0.89563563535000001</v>
      </c>
      <c r="J203" s="86">
        <v>0.94490556325833297</v>
      </c>
      <c r="K203" s="86">
        <v>1.1308771550833301</v>
      </c>
      <c r="L203" s="86">
        <v>1.2433377025833301</v>
      </c>
      <c r="M203" s="86">
        <v>1.24477792875</v>
      </c>
      <c r="N203" s="86">
        <v>1.25566535075</v>
      </c>
      <c r="O203" s="86">
        <v>1.37063958091666</v>
      </c>
      <c r="P203" s="86">
        <v>1.4705943365833301</v>
      </c>
      <c r="Q203" s="86">
        <v>1.3932679345833301</v>
      </c>
      <c r="R203" s="86">
        <v>1.32679942825</v>
      </c>
      <c r="S203" s="86">
        <v>1.3917103068333301</v>
      </c>
      <c r="T203" s="86">
        <v>1.2856022599166601</v>
      </c>
      <c r="U203" s="86">
        <v>1.3281373947499999</v>
      </c>
      <c r="V203" s="86">
        <v>1.3288431678333299</v>
      </c>
      <c r="W203" s="86">
        <v>1.10962522666666</v>
      </c>
      <c r="X203" s="86">
        <v>1.1065976692499999</v>
      </c>
      <c r="Y203" s="86">
        <v>1.12928252958333</v>
      </c>
      <c r="Z203" s="86">
        <v>1.18149004083333</v>
      </c>
      <c r="AA203" s="86">
        <v>1.1195980593333299</v>
      </c>
      <c r="AB203" s="86">
        <v>1.14128185933333</v>
      </c>
      <c r="AC203" s="86">
        <v>1.18352659516666</v>
      </c>
      <c r="AD203" s="86">
        <v>1.0538770742833301</v>
      </c>
      <c r="AE203" s="115">
        <v>1.08158049375</v>
      </c>
      <c r="AF203" s="86">
        <v>1.0820545774166599</v>
      </c>
      <c r="AG203" s="86">
        <v>1.12836068666923</v>
      </c>
      <c r="AH203" s="86">
        <v>1.1579290059665801</v>
      </c>
      <c r="AI203" s="86">
        <v>1.15515916443936</v>
      </c>
      <c r="AJ203" s="86">
        <v>1.1535055101242899</v>
      </c>
      <c r="AK203" s="86">
        <v>1.15275620964905</v>
      </c>
      <c r="AL203" s="86">
        <v>1.1521448384389299</v>
      </c>
      <c r="AM203" s="82"/>
      <c r="AN203" s="82"/>
    </row>
    <row r="204" spans="1:40" x14ac:dyDescent="0.65">
      <c r="A204" s="82" t="s">
        <v>111</v>
      </c>
      <c r="B204" s="81" t="str">
        <f t="shared" si="10"/>
        <v>IMF.RES.GAS:GAS_LIVE_2026_JAN_GAS1_VINTAGE</v>
      </c>
      <c r="C204" s="81" t="s">
        <v>553</v>
      </c>
      <c r="D204" s="82"/>
      <c r="E204" s="86">
        <v>3.6667532567864901E-3</v>
      </c>
      <c r="F204" s="86">
        <v>3.3887741680117402E-3</v>
      </c>
      <c r="G204" s="86">
        <v>3.2773970259231998E-3</v>
      </c>
      <c r="H204" s="86">
        <v>2.74669328720958E-3</v>
      </c>
      <c r="I204" s="86">
        <v>2.6284244617754901E-3</v>
      </c>
      <c r="J204" s="86">
        <v>2.7730170601858598E-3</v>
      </c>
      <c r="K204" s="86">
        <v>3.3187884228417699E-3</v>
      </c>
      <c r="L204" s="86">
        <v>3.6488267133773498E-3</v>
      </c>
      <c r="M204" s="86">
        <v>3.6530533492296399E-3</v>
      </c>
      <c r="N204" s="86">
        <v>3.6850046977255999E-3</v>
      </c>
      <c r="O204" s="86">
        <v>4.0224198999755396E-3</v>
      </c>
      <c r="P204" s="86">
        <v>4.3157574074345799E-3</v>
      </c>
      <c r="Q204" s="86">
        <v>4.0888273942284101E-3</v>
      </c>
      <c r="R204" s="86">
        <v>3.8937620785033E-3</v>
      </c>
      <c r="S204" s="86">
        <v>4.08425621961359E-3</v>
      </c>
      <c r="T204" s="86">
        <v>3.77286063071655E-3</v>
      </c>
      <c r="U204" s="86">
        <v>3.89768861261922E-3</v>
      </c>
      <c r="V204" s="86">
        <v>3.8997598469063298E-3</v>
      </c>
      <c r="W204" s="86">
        <v>3.25642032770848E-3</v>
      </c>
      <c r="X204" s="86">
        <v>3.24753534629493E-3</v>
      </c>
      <c r="Y204" s="86">
        <v>3.3141086708241602E-3</v>
      </c>
      <c r="Z204" s="86">
        <v>3.4673222034727301E-3</v>
      </c>
      <c r="AA204" s="86">
        <v>3.2856876282709702E-3</v>
      </c>
      <c r="AB204" s="86">
        <v>3.3493231381755899E-3</v>
      </c>
      <c r="AC204" s="86">
        <v>3.4732988853020202E-3</v>
      </c>
      <c r="AD204" s="86">
        <v>3.0928160653949598E-3</v>
      </c>
      <c r="AE204" s="115">
        <v>3.17411736977256E-3</v>
      </c>
      <c r="AF204" s="86">
        <v>3.1755086644656401E-3</v>
      </c>
      <c r="AG204" s="86">
        <v>3.3114882105632101E-3</v>
      </c>
      <c r="AH204" s="86">
        <v>3.3958875492938099E-3</v>
      </c>
      <c r="AI204" s="86">
        <v>3.3748177646333801E-3</v>
      </c>
      <c r="AJ204" s="86">
        <v>3.3714265943618599E-3</v>
      </c>
      <c r="AK204" s="86">
        <v>3.3702855642376598E-3</v>
      </c>
      <c r="AL204" s="86">
        <v>3.37081689073933E-3</v>
      </c>
      <c r="AM204" s="82"/>
      <c r="AN204" s="82"/>
    </row>
    <row r="205" spans="1:40" x14ac:dyDescent="0.65">
      <c r="A205" s="82" t="s">
        <v>61</v>
      </c>
      <c r="B205" s="81" t="str">
        <f t="shared" si="10"/>
        <v>IMF.RES.GAS:GAS_LIVE_2026_JAN_GAS1_VINTAGE</v>
      </c>
      <c r="C205" s="81" t="s">
        <v>554</v>
      </c>
      <c r="D205" s="82"/>
      <c r="E205" s="86">
        <v>1.41035188175836E-2</v>
      </c>
      <c r="F205" s="86">
        <v>1.40927774463781E-2</v>
      </c>
      <c r="G205" s="86">
        <v>1.38245101793559E-2</v>
      </c>
      <c r="H205" s="86">
        <v>1.27200656320875E-2</v>
      </c>
      <c r="I205" s="86">
        <v>1.0264347680343301E-2</v>
      </c>
      <c r="J205" s="86">
        <v>1.0909685982455199E-2</v>
      </c>
      <c r="K205" s="86">
        <v>1.30362829536767E-2</v>
      </c>
      <c r="L205" s="86">
        <v>1.4246705469622501E-2</v>
      </c>
      <c r="M205" s="86">
        <v>1.587763635245E-2</v>
      </c>
      <c r="N205" s="86">
        <v>1.42490737921908E-2</v>
      </c>
      <c r="O205" s="86">
        <v>1.56115837854584E-2</v>
      </c>
      <c r="P205" s="86">
        <v>1.13703659863917E-2</v>
      </c>
      <c r="Q205" s="86">
        <v>8.0881032824282797E-3</v>
      </c>
      <c r="R205" s="86">
        <v>8.1805070564881198E-3</v>
      </c>
      <c r="S205" s="86">
        <v>8.6241066105284207E-3</v>
      </c>
      <c r="T205" s="86">
        <v>7.9947051463786795E-3</v>
      </c>
      <c r="U205" s="86">
        <v>8.1847044761134795E-3</v>
      </c>
      <c r="V205" s="86">
        <v>8.5640376156241298E-3</v>
      </c>
      <c r="W205" s="86">
        <v>7.5804259419344601E-3</v>
      </c>
      <c r="X205" s="86">
        <v>8.2773544142479699E-3</v>
      </c>
      <c r="Y205" s="86">
        <v>9.35982782115043E-3</v>
      </c>
      <c r="Z205" s="86">
        <v>9.2335953097263408E-3</v>
      </c>
      <c r="AA205" s="86">
        <v>8.1561562278203801E-3</v>
      </c>
      <c r="AB205" s="86">
        <v>7.3843402882630398E-3</v>
      </c>
      <c r="AC205" s="86">
        <v>7.8747064795526098E-3</v>
      </c>
      <c r="AD205" s="86">
        <v>7.3920810449067797E-3</v>
      </c>
      <c r="AE205" s="115">
        <v>7.2493736155450298E-3</v>
      </c>
      <c r="AF205" s="86">
        <v>7.2485815225856298E-3</v>
      </c>
      <c r="AG205" s="86">
        <v>7.7935203805463002E-3</v>
      </c>
      <c r="AH205" s="86">
        <v>8.0484640911914207E-3</v>
      </c>
      <c r="AI205" s="86">
        <v>8.2142002890039194E-3</v>
      </c>
      <c r="AJ205" s="86">
        <v>8.37916640495911E-3</v>
      </c>
      <c r="AK205" s="86">
        <v>8.5436480606189101E-3</v>
      </c>
      <c r="AL205" s="86">
        <v>8.7137363795252599E-3</v>
      </c>
      <c r="AM205" s="82"/>
      <c r="AN205" s="82"/>
    </row>
    <row r="206" spans="1:40" x14ac:dyDescent="0.65">
      <c r="A206" s="82" t="s">
        <v>104</v>
      </c>
      <c r="B206" s="81" t="str">
        <f t="shared" si="10"/>
        <v>IMF.RES.GAS:GAS_LIVE_2026_JAN_GAS1_VINTAGE</v>
      </c>
      <c r="C206" s="81" t="s">
        <v>555</v>
      </c>
      <c r="D206" s="82"/>
      <c r="E206" s="86">
        <v>1.1953511616666599</v>
      </c>
      <c r="F206" s="86">
        <v>1.1227678404166599</v>
      </c>
      <c r="G206" s="86">
        <v>1.0668346104999999</v>
      </c>
      <c r="H206" s="86">
        <v>0.92402059788333302</v>
      </c>
      <c r="I206" s="86">
        <v>0.89563563535000001</v>
      </c>
      <c r="J206" s="86">
        <v>0.94490556325833297</v>
      </c>
      <c r="K206" s="86">
        <v>1.1308771550833301</v>
      </c>
      <c r="L206" s="86">
        <v>1.2433377025833301</v>
      </c>
      <c r="M206" s="86">
        <v>1.24477792875</v>
      </c>
      <c r="N206" s="86">
        <v>1.25566535075</v>
      </c>
      <c r="O206" s="86">
        <v>1.37063958091666</v>
      </c>
      <c r="P206" s="86">
        <v>1.4705943365833301</v>
      </c>
      <c r="Q206" s="86">
        <v>1.3932679345833301</v>
      </c>
      <c r="R206" s="86">
        <v>1.32679942825</v>
      </c>
      <c r="S206" s="86">
        <v>1.3917103068333301</v>
      </c>
      <c r="T206" s="86">
        <v>1.2856022599166601</v>
      </c>
      <c r="U206" s="86">
        <v>1.3281373947499999</v>
      </c>
      <c r="V206" s="86">
        <v>1.3288431678333299</v>
      </c>
      <c r="W206" s="86">
        <v>1.10962522666666</v>
      </c>
      <c r="X206" s="86">
        <v>1.1065976692499999</v>
      </c>
      <c r="Y206" s="86">
        <v>1.12928252958333</v>
      </c>
      <c r="Z206" s="86">
        <v>1.18149004083333</v>
      </c>
      <c r="AA206" s="86">
        <v>1.1195980593333299</v>
      </c>
      <c r="AB206" s="86">
        <v>1.14128185933333</v>
      </c>
      <c r="AC206" s="86">
        <v>1.18352659516666</v>
      </c>
      <c r="AD206" s="86">
        <v>1.0538770742833301</v>
      </c>
      <c r="AE206" s="115">
        <v>1.08158049375</v>
      </c>
      <c r="AF206" s="86">
        <v>1.0820545774166599</v>
      </c>
      <c r="AG206" s="86">
        <v>1.12836068666923</v>
      </c>
      <c r="AH206" s="86">
        <v>1.1579290059665801</v>
      </c>
      <c r="AI206" s="86">
        <v>1.15515916443936</v>
      </c>
      <c r="AJ206" s="86">
        <v>1.1535055101242899</v>
      </c>
      <c r="AK206" s="86">
        <v>1.15275620964905</v>
      </c>
      <c r="AL206" s="86">
        <v>1.1521448384389299</v>
      </c>
      <c r="AM206" s="82"/>
      <c r="AN206" s="82"/>
    </row>
    <row r="207" spans="1:40" x14ac:dyDescent="0.65">
      <c r="A207" s="82" t="s">
        <v>112</v>
      </c>
      <c r="B207" s="81" t="str">
        <f t="shared" si="10"/>
        <v>IMF.RES.GAS:GAS_LIVE_2026_JAN_GAS1_VINTAGE</v>
      </c>
      <c r="C207" s="81" t="s">
        <v>556</v>
      </c>
      <c r="D207" s="82"/>
      <c r="E207" s="86">
        <v>1.5177828870627199</v>
      </c>
      <c r="F207" s="86">
        <v>1.42562108021274</v>
      </c>
      <c r="G207" s="86">
        <v>1.35460052833801</v>
      </c>
      <c r="H207" s="86">
        <v>1.1732641383853599</v>
      </c>
      <c r="I207" s="86">
        <v>1.1372226706020001</v>
      </c>
      <c r="J207" s="86">
        <v>1.1997825741886801</v>
      </c>
      <c r="K207" s="86">
        <v>1.4359177858349701</v>
      </c>
      <c r="L207" s="86">
        <v>1.57871322531671</v>
      </c>
      <c r="M207" s="86">
        <v>1.58054193532208</v>
      </c>
      <c r="N207" s="86">
        <v>1.5943661096113999</v>
      </c>
      <c r="O207" s="86">
        <v>1.7403532676921001</v>
      </c>
      <c r="P207" s="86">
        <v>1.8672696270821501</v>
      </c>
      <c r="Q207" s="86">
        <v>1.76908534999483</v>
      </c>
      <c r="R207" s="86">
        <v>1.6846877564870899</v>
      </c>
      <c r="S207" s="86">
        <v>1.7671075707286401</v>
      </c>
      <c r="T207" s="86">
        <v>1.6323781431308</v>
      </c>
      <c r="U207" s="86">
        <v>1.6863866234998</v>
      </c>
      <c r="V207" s="86">
        <v>1.6872827704584401</v>
      </c>
      <c r="W207" s="86">
        <v>1.40893340308427</v>
      </c>
      <c r="X207" s="86">
        <v>1.4050891981477001</v>
      </c>
      <c r="Y207" s="86">
        <v>1.43389302911678</v>
      </c>
      <c r="Z207" s="86">
        <v>1.5001828941309301</v>
      </c>
      <c r="AA207" s="86">
        <v>1.4215962884709401</v>
      </c>
      <c r="AB207" s="86">
        <v>1.44912903501599</v>
      </c>
      <c r="AC207" s="86">
        <v>1.5027687847167499</v>
      </c>
      <c r="AD207" s="86">
        <v>1.33814785120108</v>
      </c>
      <c r="AE207" s="115">
        <v>1.3733239378006099</v>
      </c>
      <c r="AF207" s="86">
        <v>1.3739258998845301</v>
      </c>
      <c r="AG207" s="86">
        <v>1.4324760412692299</v>
      </c>
      <c r="AH207" s="86">
        <v>1.4547343325481401</v>
      </c>
      <c r="AI207" s="86">
        <v>1.44012727927018</v>
      </c>
      <c r="AJ207" s="86">
        <v>1.42507153901582</v>
      </c>
      <c r="AK207" s="86">
        <v>1.41111431615772</v>
      </c>
      <c r="AL207" s="86">
        <v>1.4040755953890001</v>
      </c>
      <c r="AM207" s="82"/>
      <c r="AN207" s="82"/>
    </row>
    <row r="208" spans="1:40" x14ac:dyDescent="0.65">
      <c r="A208" s="82" t="s">
        <v>164</v>
      </c>
      <c r="B208" s="81" t="str">
        <f t="shared" si="10"/>
        <v>IMF.RES.GAS:GAS_LIVE_2026_JAN_GAS1_VINTAGE</v>
      </c>
      <c r="C208" s="81" t="s">
        <v>557</v>
      </c>
      <c r="D208" s="82"/>
      <c r="E208" s="86">
        <v>1.11274783491666</v>
      </c>
      <c r="F208" s="86">
        <v>1.1056715740833301</v>
      </c>
      <c r="G208" s="86">
        <v>1.07666569008333</v>
      </c>
      <c r="H208" s="86">
        <v>0.981129380725</v>
      </c>
      <c r="I208" s="86">
        <v>0.95417118977500004</v>
      </c>
      <c r="J208" s="86">
        <v>0.99162433017499996</v>
      </c>
      <c r="K208" s="86">
        <v>1.139420018</v>
      </c>
      <c r="L208" s="86">
        <v>1.2465047475</v>
      </c>
      <c r="M208" s="86">
        <v>1.24331144716666</v>
      </c>
      <c r="N208" s="86">
        <v>1.2606467458333299</v>
      </c>
      <c r="O208" s="86">
        <v>1.3797416632499999</v>
      </c>
      <c r="P208" s="86">
        <v>1.4705943365833301</v>
      </c>
      <c r="Q208" s="86">
        <v>1.3932679345833301</v>
      </c>
      <c r="R208" s="86">
        <v>1.32679942825</v>
      </c>
      <c r="S208" s="86">
        <v>1.3917103068333301</v>
      </c>
      <c r="T208" s="86">
        <v>1.2856022599166601</v>
      </c>
      <c r="U208" s="86">
        <v>1.3281373947499999</v>
      </c>
      <c r="V208" s="86">
        <v>1.3288431678333299</v>
      </c>
      <c r="W208" s="86">
        <v>1.10962522666666</v>
      </c>
      <c r="X208" s="86">
        <v>1.1065976692499999</v>
      </c>
      <c r="Y208" s="86">
        <v>1.12928252958333</v>
      </c>
      <c r="Z208" s="86">
        <v>1.18149004083333</v>
      </c>
      <c r="AA208" s="86">
        <v>1.1195980593333299</v>
      </c>
      <c r="AB208" s="86">
        <v>1.14128185933333</v>
      </c>
      <c r="AC208" s="86">
        <v>1.18352659516666</v>
      </c>
      <c r="AD208" s="86">
        <v>1.0538770742833301</v>
      </c>
      <c r="AE208" s="115">
        <v>1.08158049375</v>
      </c>
      <c r="AF208" s="86">
        <v>1.0820545774166599</v>
      </c>
      <c r="AG208" s="86">
        <v>1.12836068666923</v>
      </c>
      <c r="AH208" s="86">
        <v>1.1579290059665801</v>
      </c>
      <c r="AI208" s="86">
        <v>1.15515916443936</v>
      </c>
      <c r="AJ208" s="86">
        <v>1.1535055101242899</v>
      </c>
      <c r="AK208" s="86">
        <v>1.15275620964905</v>
      </c>
      <c r="AL208" s="86">
        <v>1.1521448384389299</v>
      </c>
      <c r="AM208" s="82"/>
      <c r="AN208" s="82"/>
    </row>
    <row r="209" spans="1:40" x14ac:dyDescent="0.65">
      <c r="A209" s="82" t="s">
        <v>165</v>
      </c>
      <c r="B209" s="81" t="str">
        <f t="shared" si="10"/>
        <v>IMF.RES.GAS:GAS_LIVE_2026_JAN_GAS1_VINTAGE</v>
      </c>
      <c r="C209" s="81" t="s">
        <v>558</v>
      </c>
      <c r="D209" s="82"/>
      <c r="E209" s="86">
        <v>2.5920052059554299</v>
      </c>
      <c r="F209" s="86">
        <v>2.5755219522090198</v>
      </c>
      <c r="G209" s="86">
        <v>2.50795641761782</v>
      </c>
      <c r="H209" s="86">
        <v>2.2854166800023199</v>
      </c>
      <c r="I209" s="86">
        <v>2.2226209871302101</v>
      </c>
      <c r="J209" s="86">
        <v>2.30986333607034</v>
      </c>
      <c r="K209" s="86">
        <v>2.65413467971115</v>
      </c>
      <c r="L209" s="86">
        <v>2.903575</v>
      </c>
      <c r="M209" s="86">
        <v>2.89613661114993</v>
      </c>
      <c r="N209" s="86">
        <v>2.9365169947200802</v>
      </c>
      <c r="O209" s="86">
        <v>3.2139335272536602</v>
      </c>
      <c r="P209" s="86">
        <v>3.4255633277040101</v>
      </c>
      <c r="Q209" s="86">
        <v>3.2454412638791799</v>
      </c>
      <c r="R209" s="86">
        <v>3.09061129338457</v>
      </c>
      <c r="S209" s="86">
        <v>3.2418129672334799</v>
      </c>
      <c r="T209" s="86">
        <v>2.99464770537308</v>
      </c>
      <c r="U209" s="86">
        <v>3.09372791695783</v>
      </c>
      <c r="V209" s="86">
        <v>3.0953719260035699</v>
      </c>
      <c r="W209" s="86">
        <v>2.5847314853637702</v>
      </c>
      <c r="X209" s="86">
        <v>2.5776791736547802</v>
      </c>
      <c r="Y209" s="86">
        <v>2.6305206838652002</v>
      </c>
      <c r="Z209" s="86">
        <v>2.7521314717757499</v>
      </c>
      <c r="AA209" s="86">
        <v>2.6079619364857498</v>
      </c>
      <c r="AB209" s="86">
        <v>2.6584716033853502</v>
      </c>
      <c r="AC209" s="86">
        <v>2.7568753672645299</v>
      </c>
      <c r="AD209" s="86">
        <v>2.45487322218339</v>
      </c>
      <c r="AE209" s="115">
        <v>2.5194048305380798</v>
      </c>
      <c r="AF209" s="86">
        <v>2.5205091484199</v>
      </c>
      <c r="AG209" s="86">
        <v>2.62837298946625</v>
      </c>
      <c r="AH209" s="86">
        <v>2.69724902391471</v>
      </c>
      <c r="AI209" s="86">
        <v>2.6907970287429901</v>
      </c>
      <c r="AJ209" s="86">
        <v>2.6869450503710599</v>
      </c>
      <c r="AK209" s="86">
        <v>2.6851996497765098</v>
      </c>
      <c r="AL209" s="86">
        <v>2.6837755379430002</v>
      </c>
      <c r="AM209" s="82"/>
      <c r="AN209" s="82"/>
    </row>
    <row r="210" spans="1:40" x14ac:dyDescent="0.65">
      <c r="A210" s="82" t="s">
        <v>105</v>
      </c>
      <c r="B210" s="81" t="str">
        <f t="shared" si="10"/>
        <v>IMF.RES.GAS:GAS_LIVE_2026_JAN_GAS1_VINTAGE</v>
      </c>
      <c r="C210" s="81" t="s">
        <v>559</v>
      </c>
      <c r="D210" s="82"/>
      <c r="E210" s="86">
        <v>1.14541530716666</v>
      </c>
      <c r="F210" s="86">
        <v>1.11468534125</v>
      </c>
      <c r="G210" s="86">
        <v>1.0668346104999999</v>
      </c>
      <c r="H210" s="86">
        <v>0.92402059788333302</v>
      </c>
      <c r="I210" s="86">
        <v>0.89563563535000001</v>
      </c>
      <c r="J210" s="86">
        <v>0.94490556325833297</v>
      </c>
      <c r="K210" s="86">
        <v>1.1308771550833301</v>
      </c>
      <c r="L210" s="86">
        <v>1.2433377025833301</v>
      </c>
      <c r="M210" s="86">
        <v>1.24477792875</v>
      </c>
      <c r="N210" s="86">
        <v>1.25566535075</v>
      </c>
      <c r="O210" s="86">
        <v>1.37063958091666</v>
      </c>
      <c r="P210" s="86">
        <v>1.4705943365833301</v>
      </c>
      <c r="Q210" s="86">
        <v>1.3932679345833301</v>
      </c>
      <c r="R210" s="86">
        <v>1.32679942825</v>
      </c>
      <c r="S210" s="86">
        <v>1.3917103068333301</v>
      </c>
      <c r="T210" s="86">
        <v>1.2856022599166601</v>
      </c>
      <c r="U210" s="86">
        <v>1.3281373947499999</v>
      </c>
      <c r="V210" s="86">
        <v>1.3288431678333299</v>
      </c>
      <c r="W210" s="86">
        <v>1.10962522666666</v>
      </c>
      <c r="X210" s="86">
        <v>1.1065976692499999</v>
      </c>
      <c r="Y210" s="86">
        <v>1.12928252958333</v>
      </c>
      <c r="Z210" s="86">
        <v>1.18149004083333</v>
      </c>
      <c r="AA210" s="86">
        <v>1.1195980593333299</v>
      </c>
      <c r="AB210" s="86">
        <v>1.14128185933333</v>
      </c>
      <c r="AC210" s="86">
        <v>1.18352659516666</v>
      </c>
      <c r="AD210" s="86">
        <v>1.0538770742833301</v>
      </c>
      <c r="AE210" s="115">
        <v>1.08158049375</v>
      </c>
      <c r="AF210" s="86">
        <v>1.0820545774166599</v>
      </c>
      <c r="AG210" s="86">
        <v>1.12836068666923</v>
      </c>
      <c r="AH210" s="86">
        <v>1.1579290059665801</v>
      </c>
      <c r="AI210" s="86">
        <v>1.15515916443936</v>
      </c>
      <c r="AJ210" s="86">
        <v>1.1535055101242899</v>
      </c>
      <c r="AK210" s="86">
        <v>1.15275620964905</v>
      </c>
      <c r="AL210" s="86">
        <v>1.1521448384389299</v>
      </c>
      <c r="AM210" s="82"/>
      <c r="AN210" s="82"/>
    </row>
    <row r="211" spans="1:40" x14ac:dyDescent="0.65">
      <c r="A211" s="82" t="s">
        <v>113</v>
      </c>
      <c r="B211" s="81" t="str">
        <f t="shared" si="10"/>
        <v>IMF.RES.GAS:GAS_LIVE_2026_JAN_GAS1_VINTAGE</v>
      </c>
      <c r="C211" s="81" t="s">
        <v>560</v>
      </c>
      <c r="D211" s="82"/>
      <c r="E211" s="86">
        <v>5.7133074648430598E-3</v>
      </c>
      <c r="F211" s="86">
        <v>5.5600270410809897E-3</v>
      </c>
      <c r="G211" s="86">
        <v>5.3213486023682898E-3</v>
      </c>
      <c r="H211" s="86">
        <v>4.6089953107178302E-3</v>
      </c>
      <c r="I211" s="86">
        <v>4.46741171451801E-3</v>
      </c>
      <c r="J211" s="86">
        <v>4.7131690788117303E-3</v>
      </c>
      <c r="K211" s="86">
        <v>5.6407914679788302E-3</v>
      </c>
      <c r="L211" s="86">
        <v>6.2017423139400698E-3</v>
      </c>
      <c r="M211" s="86">
        <v>6.2089261317724203E-3</v>
      </c>
      <c r="N211" s="86">
        <v>6.26323236375335E-3</v>
      </c>
      <c r="O211" s="86">
        <v>6.8367214059948797E-3</v>
      </c>
      <c r="P211" s="86">
        <v>7.33529362527974E-3</v>
      </c>
      <c r="Q211" s="86">
        <v>6.9495911582253397E-3</v>
      </c>
      <c r="R211" s="86">
        <v>6.61804764642212E-3</v>
      </c>
      <c r="S211" s="86">
        <v>6.9418217437641899E-3</v>
      </c>
      <c r="T211" s="86">
        <v>6.4125570371238597E-3</v>
      </c>
      <c r="U211" s="86">
        <v>6.6247213951875902E-3</v>
      </c>
      <c r="V211" s="86">
        <v>6.62824177648533E-3</v>
      </c>
      <c r="W211" s="86">
        <v>5.5347872959500902E-3</v>
      </c>
      <c r="X211" s="86">
        <v>5.5196859032232296E-3</v>
      </c>
      <c r="Y211" s="86">
        <v>5.6328375095187197E-3</v>
      </c>
      <c r="Z211" s="86">
        <v>5.8932474777452998E-3</v>
      </c>
      <c r="AA211" s="86">
        <v>5.5845315755695402E-3</v>
      </c>
      <c r="AB211" s="86">
        <v>5.6926899139739797E-3</v>
      </c>
      <c r="AC211" s="86">
        <v>5.9034057679326103E-3</v>
      </c>
      <c r="AD211" s="86">
        <v>5.2567166842077198E-3</v>
      </c>
      <c r="AE211" s="115">
        <v>5.3949007579233996E-3</v>
      </c>
      <c r="AF211" s="86">
        <v>5.3972654772830803E-3</v>
      </c>
      <c r="AG211" s="86">
        <v>5.6284947389383701E-3</v>
      </c>
      <c r="AH211" s="86">
        <v>5.7857237881967002E-3</v>
      </c>
      <c r="AI211" s="86">
        <v>5.7738489167151697E-3</v>
      </c>
      <c r="AJ211" s="86">
        <v>5.7732755842425801E-3</v>
      </c>
      <c r="AK211" s="86">
        <v>5.7741167517258198E-3</v>
      </c>
      <c r="AL211" s="86">
        <v>5.77378167228955E-3</v>
      </c>
      <c r="AM211" s="82"/>
      <c r="AN211" s="82"/>
    </row>
    <row r="212" spans="1:40" x14ac:dyDescent="0.65">
      <c r="A212" s="82" t="s">
        <v>168</v>
      </c>
      <c r="B212" s="81" t="str">
        <f t="shared" si="10"/>
        <v>IMF.RES.GAS:GAS_LIVE_2026_JAN_GAS1_VINTAGE</v>
      </c>
      <c r="C212" s="81" t="s">
        <v>561</v>
      </c>
      <c r="D212" s="82"/>
      <c r="E212" s="87">
        <v>0.89659412693333296</v>
      </c>
      <c r="F212" s="87">
        <v>0.85525298215833301</v>
      </c>
      <c r="G212" s="87">
        <v>0.73004356410000004</v>
      </c>
      <c r="H212" s="87">
        <v>0.65473971104166595</v>
      </c>
      <c r="I212" s="87">
        <v>0.62331964357500003</v>
      </c>
      <c r="J212" s="87">
        <v>0.66669800418333303</v>
      </c>
      <c r="K212" s="86">
        <v>0.82173160438333304</v>
      </c>
      <c r="L212" s="86">
        <v>0.93535557754166598</v>
      </c>
      <c r="M212" s="86">
        <v>0.97287563992500004</v>
      </c>
      <c r="N212" s="86">
        <v>1.0200627043916599</v>
      </c>
      <c r="O212" s="86">
        <v>1.22284028525</v>
      </c>
      <c r="P212" s="86">
        <v>1.41667279575</v>
      </c>
      <c r="Q212" s="86">
        <v>1.3932679345833301</v>
      </c>
      <c r="R212" s="86">
        <v>1.32679942825</v>
      </c>
      <c r="S212" s="86">
        <v>1.3917103068333301</v>
      </c>
      <c r="T212" s="86">
        <v>1.2856022599166601</v>
      </c>
      <c r="U212" s="86">
        <v>1.3281373947499999</v>
      </c>
      <c r="V212" s="86">
        <v>1.3288431678333299</v>
      </c>
      <c r="W212" s="86">
        <v>1.10962522666666</v>
      </c>
      <c r="X212" s="86">
        <v>1.1065976692499999</v>
      </c>
      <c r="Y212" s="87">
        <v>1.12928252958333</v>
      </c>
      <c r="Z212" s="86">
        <v>1.18149004083333</v>
      </c>
      <c r="AA212" s="86">
        <v>1.1195980593333299</v>
      </c>
      <c r="AB212" s="86">
        <v>1.14128185933333</v>
      </c>
      <c r="AC212" s="86">
        <v>1.18352659516666</v>
      </c>
      <c r="AD212" s="86">
        <v>1.0538770742833301</v>
      </c>
      <c r="AE212" s="115">
        <v>1.08158049375</v>
      </c>
      <c r="AF212" s="86">
        <v>1.0820545774166599</v>
      </c>
      <c r="AG212" s="86">
        <v>1.12836068666923</v>
      </c>
      <c r="AH212" s="86">
        <v>1.1579290059665801</v>
      </c>
      <c r="AI212" s="86">
        <v>1.15515916443936</v>
      </c>
      <c r="AJ212" s="86">
        <v>1.1535055101242899</v>
      </c>
      <c r="AK212" s="86">
        <v>1.15275620964905</v>
      </c>
      <c r="AL212" s="86">
        <v>1.1521448384389299</v>
      </c>
      <c r="AM212" s="82"/>
      <c r="AN212" s="82"/>
    </row>
    <row r="213" spans="1:40" x14ac:dyDescent="0.65">
      <c r="A213" s="82" t="s">
        <v>169</v>
      </c>
      <c r="B213" s="81" t="str">
        <f t="shared" si="10"/>
        <v>IMF.RES.GAS:GAS_LIVE_2026_JAN_GAS1_VINTAGE</v>
      </c>
      <c r="C213" s="81" t="s">
        <v>562</v>
      </c>
      <c r="D213" s="82"/>
      <c r="E213" s="87">
        <v>2.97614727123857E-2</v>
      </c>
      <c r="F213" s="87">
        <v>2.8389198106563499E-2</v>
      </c>
      <c r="G213" s="87">
        <v>2.4233006841266599E-2</v>
      </c>
      <c r="H213" s="87">
        <v>2.1733376851944E-2</v>
      </c>
      <c r="I213" s="86">
        <v>2.06904216814379E-2</v>
      </c>
      <c r="J213" s="86">
        <v>2.2130319464360702E-2</v>
      </c>
      <c r="K213" s="86">
        <v>2.7276492212153398E-2</v>
      </c>
      <c r="L213" s="86">
        <v>3.10481171593197E-2</v>
      </c>
      <c r="M213" s="86">
        <v>3.22935550662218E-2</v>
      </c>
      <c r="N213" s="86">
        <v>3.3859878656033501E-2</v>
      </c>
      <c r="O213" s="86">
        <v>4.05908612245236E-2</v>
      </c>
      <c r="P213" s="86">
        <v>4.7024921853216398E-2</v>
      </c>
      <c r="Q213" s="86">
        <v>4.6248022790391398E-2</v>
      </c>
      <c r="R213" s="86">
        <v>4.4041672583482697E-2</v>
      </c>
      <c r="S213" s="86">
        <v>4.6196319021221899E-2</v>
      </c>
      <c r="T213" s="86">
        <v>4.2674177119984898E-2</v>
      </c>
      <c r="U213" s="86">
        <v>4.4086084934939901E-2</v>
      </c>
      <c r="V213" s="86">
        <v>4.41095123094115E-2</v>
      </c>
      <c r="W213" s="86">
        <v>3.68328097545862E-2</v>
      </c>
      <c r="X213" s="86">
        <v>3.6732313259310798E-2</v>
      </c>
      <c r="Y213" s="86">
        <v>3.74853126728849E-2</v>
      </c>
      <c r="Z213" s="86">
        <v>3.9218284565934201E-2</v>
      </c>
      <c r="AA213" s="86">
        <v>3.7163847153068197E-2</v>
      </c>
      <c r="AB213" s="86">
        <v>3.7883617451149598E-2</v>
      </c>
      <c r="AC213" s="86">
        <v>3.92858857852574E-2</v>
      </c>
      <c r="AD213" s="86">
        <v>3.4982310106994999E-2</v>
      </c>
      <c r="AE213" s="115">
        <v>3.5901895165305703E-2</v>
      </c>
      <c r="AF213" s="86">
        <v>3.5917631860076502E-2</v>
      </c>
      <c r="AG213" s="86">
        <v>3.7454715386192099E-2</v>
      </c>
      <c r="AH213" s="86">
        <v>3.8436201485978302E-2</v>
      </c>
      <c r="AI213" s="86">
        <v>3.83442595910298E-2</v>
      </c>
      <c r="AJ213" s="86">
        <v>3.8289368323849701E-2</v>
      </c>
      <c r="AK213" s="86">
        <v>3.8264496104662399E-2</v>
      </c>
      <c r="AL213" s="86">
        <v>3.8244202298311297E-2</v>
      </c>
      <c r="AM213" s="82"/>
      <c r="AN213" s="82"/>
    </row>
    <row r="214" spans="1:40" x14ac:dyDescent="0.65">
      <c r="A214" s="82" t="s">
        <v>161</v>
      </c>
      <c r="B214" s="81" t="str">
        <f t="shared" si="10"/>
        <v>IMF.RES.GAS:GAS_LIVE_2026_JAN_GAS1_VINTAGE</v>
      </c>
      <c r="C214" s="81" t="s">
        <v>563</v>
      </c>
      <c r="D214" s="82"/>
      <c r="E214" s="87">
        <v>1.5036145594999999</v>
      </c>
      <c r="F214" s="87">
        <v>1.44400368266666</v>
      </c>
      <c r="G214" s="87">
        <v>1.3217668199166599</v>
      </c>
      <c r="H214" s="87">
        <v>1.08169797825833</v>
      </c>
      <c r="I214" s="87">
        <v>0.98831579275000003</v>
      </c>
      <c r="J214" s="87">
        <v>0.99959293999999999</v>
      </c>
      <c r="K214" s="86">
        <v>1.15851445783333</v>
      </c>
      <c r="L214" s="86">
        <v>1.24684580475</v>
      </c>
      <c r="M214" s="86">
        <v>1.2454832948333301</v>
      </c>
      <c r="N214" s="86">
        <v>1.25559097958333</v>
      </c>
      <c r="O214" s="86">
        <v>1.37063958091666</v>
      </c>
      <c r="P214" s="86">
        <v>1.4705943365833301</v>
      </c>
      <c r="Q214" s="86">
        <v>1.3932679345833301</v>
      </c>
      <c r="R214" s="86">
        <v>1.32679942825</v>
      </c>
      <c r="S214" s="86">
        <v>1.3917103068333301</v>
      </c>
      <c r="T214" s="86">
        <v>1.2856022599166601</v>
      </c>
      <c r="U214" s="86">
        <v>1.3281373947499999</v>
      </c>
      <c r="V214" s="86">
        <v>1.3288431678333299</v>
      </c>
      <c r="W214" s="86">
        <v>1.10962522666666</v>
      </c>
      <c r="X214" s="86">
        <v>1.1065976692499999</v>
      </c>
      <c r="Y214" s="86">
        <v>1.12928252958333</v>
      </c>
      <c r="Z214" s="86">
        <v>1.18149004083333</v>
      </c>
      <c r="AA214" s="86">
        <v>1.1195980593333299</v>
      </c>
      <c r="AB214" s="86">
        <v>1.14128185933333</v>
      </c>
      <c r="AC214" s="86">
        <v>1.18352659516666</v>
      </c>
      <c r="AD214" s="86">
        <v>1.0538770742833301</v>
      </c>
      <c r="AE214" s="115">
        <v>1.08158049375</v>
      </c>
      <c r="AF214" s="86">
        <v>1.0820545774166599</v>
      </c>
      <c r="AG214" s="86">
        <v>1.12836068666923</v>
      </c>
      <c r="AH214" s="86">
        <v>1.1579290059665801</v>
      </c>
      <c r="AI214" s="86">
        <v>1.15515916443936</v>
      </c>
      <c r="AJ214" s="86">
        <v>1.1535055101242899</v>
      </c>
      <c r="AK214" s="86">
        <v>1.15275620964905</v>
      </c>
      <c r="AL214" s="86">
        <v>1.1521448384389299</v>
      </c>
      <c r="AM214" s="82"/>
      <c r="AN214" s="82"/>
    </row>
    <row r="215" spans="1:40" x14ac:dyDescent="0.65">
      <c r="A215" s="82" t="s">
        <v>162</v>
      </c>
      <c r="B215" s="81" t="str">
        <f t="shared" si="10"/>
        <v>IMF.RES.GAS:GAS_LIVE_2026_JAN_GAS1_VINTAGE</v>
      </c>
      <c r="C215" s="81" t="s">
        <v>564</v>
      </c>
      <c r="D215" s="82"/>
      <c r="E215" s="87">
        <v>6.2744723731430396E-3</v>
      </c>
      <c r="F215" s="87">
        <v>6.0257205919990999E-3</v>
      </c>
      <c r="G215" s="87">
        <v>5.5156352024564601E-3</v>
      </c>
      <c r="H215" s="87">
        <v>4.5138456779266097E-3</v>
      </c>
      <c r="I215" s="86">
        <v>4.1241687228759797E-3</v>
      </c>
      <c r="J215" s="86">
        <v>4.1712274244700299E-3</v>
      </c>
      <c r="K215" s="86">
        <v>4.8343951670561398E-3</v>
      </c>
      <c r="L215" s="86">
        <v>5.2029953461442098E-3</v>
      </c>
      <c r="M215" s="86">
        <v>5.1973096930117398E-3</v>
      </c>
      <c r="N215" s="86">
        <v>5.2394883140683196E-3</v>
      </c>
      <c r="O215" s="86">
        <v>5.7195776202498202E-3</v>
      </c>
      <c r="P215" s="86">
        <v>6.1366814245674001E-3</v>
      </c>
      <c r="Q215" s="86">
        <v>5.8140040668641802E-3</v>
      </c>
      <c r="R215" s="86">
        <v>5.5366359048990097E-3</v>
      </c>
      <c r="S215" s="86">
        <v>5.8075042014410503E-3</v>
      </c>
      <c r="T215" s="86">
        <v>5.3647231677377101E-3</v>
      </c>
      <c r="U215" s="86">
        <v>5.54221914016858E-3</v>
      </c>
      <c r="V215" s="86">
        <v>5.5451642790574698E-3</v>
      </c>
      <c r="W215" s="86">
        <v>4.6303840204751498E-3</v>
      </c>
      <c r="X215" s="86">
        <v>4.6177502472458699E-3</v>
      </c>
      <c r="Y215" s="86">
        <v>4.7124124920018898E-3</v>
      </c>
      <c r="Z215" s="86">
        <v>4.93027057600289E-3</v>
      </c>
      <c r="AA215" s="86">
        <v>4.6719999137595199E-3</v>
      </c>
      <c r="AB215" s="86">
        <v>4.7624848077672003E-3</v>
      </c>
      <c r="AC215" s="86">
        <v>4.93876896664441E-3</v>
      </c>
      <c r="AD215" s="86">
        <v>4.3977511028347998E-3</v>
      </c>
      <c r="AE215" s="115">
        <v>4.5133554237606396E-3</v>
      </c>
      <c r="AF215" s="86">
        <v>4.5153337398458797E-3</v>
      </c>
      <c r="AG215" s="86">
        <v>4.7062024420428603E-3</v>
      </c>
      <c r="AH215" s="86">
        <v>4.7470502694455501E-3</v>
      </c>
      <c r="AI215" s="86">
        <v>4.7313630261866801E-3</v>
      </c>
      <c r="AJ215" s="86">
        <v>4.7263631018440097E-3</v>
      </c>
      <c r="AK215" s="86">
        <v>4.7285705363880699E-3</v>
      </c>
      <c r="AL215" s="86">
        <v>4.7247155991796304E-3</v>
      </c>
      <c r="AM215" s="82"/>
      <c r="AN215" s="82"/>
    </row>
    <row r="216" spans="1:40" x14ac:dyDescent="0.65">
      <c r="A216" s="82" t="s">
        <v>106</v>
      </c>
      <c r="B216" s="81" t="str">
        <f t="shared" si="10"/>
        <v>IMF.RES.GAS:GAS_LIVE_2026_JAN_GAS1_VINTAGE</v>
      </c>
      <c r="C216" s="81" t="s">
        <v>565</v>
      </c>
      <c r="D216" s="82"/>
      <c r="E216" s="86">
        <v>1.1378289419166601</v>
      </c>
      <c r="F216" s="86">
        <v>1.1151672151666601</v>
      </c>
      <c r="G216" s="86">
        <v>1.0668346104999999</v>
      </c>
      <c r="H216" s="86">
        <v>0.92402059788333302</v>
      </c>
      <c r="I216" s="86">
        <v>0.89563563535000001</v>
      </c>
      <c r="J216" s="86">
        <v>0.94490556325833297</v>
      </c>
      <c r="K216" s="86">
        <v>1.1308771550833301</v>
      </c>
      <c r="L216" s="86">
        <v>1.2433377025833301</v>
      </c>
      <c r="M216" s="86">
        <v>1.24477792875</v>
      </c>
      <c r="N216" s="86">
        <v>1.25566535075</v>
      </c>
      <c r="O216" s="86">
        <v>1.37063958091666</v>
      </c>
      <c r="P216" s="86">
        <v>1.4705943365833301</v>
      </c>
      <c r="Q216" s="86">
        <v>1.3932679345833301</v>
      </c>
      <c r="R216" s="86">
        <v>1.32679942825</v>
      </c>
      <c r="S216" s="86">
        <v>1.3917103068333301</v>
      </c>
      <c r="T216" s="86">
        <v>1.2856022599166601</v>
      </c>
      <c r="U216" s="86">
        <v>1.3281373947499999</v>
      </c>
      <c r="V216" s="86">
        <v>1.3288431678333299</v>
      </c>
      <c r="W216" s="86">
        <v>1.10962522666666</v>
      </c>
      <c r="X216" s="86">
        <v>1.1065976692499999</v>
      </c>
      <c r="Y216" s="86">
        <v>1.12928252958333</v>
      </c>
      <c r="Z216" s="86">
        <v>1.18149004083333</v>
      </c>
      <c r="AA216" s="86">
        <v>1.1195980593333299</v>
      </c>
      <c r="AB216" s="86">
        <v>1.14128185933333</v>
      </c>
      <c r="AC216" s="86">
        <v>1.18352659516666</v>
      </c>
      <c r="AD216" s="86">
        <v>1.0538770742833301</v>
      </c>
      <c r="AE216" s="115">
        <v>1.08158049375</v>
      </c>
      <c r="AF216" s="86">
        <v>1.0820545774166599</v>
      </c>
      <c r="AG216" s="86">
        <v>1.12836068666923</v>
      </c>
      <c r="AH216" s="86">
        <v>1.1579290059665801</v>
      </c>
      <c r="AI216" s="86">
        <v>1.15515916443936</v>
      </c>
      <c r="AJ216" s="86">
        <v>1.1535055101242899</v>
      </c>
      <c r="AK216" s="86">
        <v>1.15275620964905</v>
      </c>
      <c r="AL216" s="86">
        <v>1.1521448384389299</v>
      </c>
      <c r="AM216" s="82"/>
      <c r="AN216" s="82"/>
    </row>
    <row r="217" spans="1:40" x14ac:dyDescent="0.65">
      <c r="A217" s="82" t="s">
        <v>114</v>
      </c>
      <c r="B217" s="81" t="str">
        <f t="shared" si="10"/>
        <v>IMF.RES.GAS:GAS_LIVE_2026_JAN_GAS1_VINTAGE</v>
      </c>
      <c r="C217" s="81" t="s">
        <v>566</v>
      </c>
      <c r="D217" s="82"/>
      <c r="E217" s="86">
        <v>6.8384896681010802E-3</v>
      </c>
      <c r="F217" s="86">
        <v>6.7022899472712E-3</v>
      </c>
      <c r="G217" s="86">
        <v>6.4118051428605702E-3</v>
      </c>
      <c r="H217" s="86">
        <v>5.5534756402782198E-3</v>
      </c>
      <c r="I217" s="86">
        <v>5.3828785796280901E-3</v>
      </c>
      <c r="J217" s="86">
        <v>5.6789968101783397E-3</v>
      </c>
      <c r="K217" s="86">
        <v>6.79670858776179E-3</v>
      </c>
      <c r="L217" s="86">
        <v>7.4726100908930598E-3</v>
      </c>
      <c r="M217" s="86">
        <v>7.4812660244852301E-3</v>
      </c>
      <c r="N217" s="86">
        <v>7.5467007485605702E-3</v>
      </c>
      <c r="O217" s="86">
        <v>8.2377097887843097E-3</v>
      </c>
      <c r="P217" s="86">
        <v>8.8384499692482094E-3</v>
      </c>
      <c r="Q217" s="86">
        <v>8.37370893334375E-3</v>
      </c>
      <c r="R217" s="86">
        <v>7.9742251646773097E-3</v>
      </c>
      <c r="S217" s="86">
        <v>8.3643474020249995E-3</v>
      </c>
      <c r="T217" s="86">
        <v>7.7266251963306202E-3</v>
      </c>
      <c r="U217" s="86">
        <v>7.9822665052949101E-3</v>
      </c>
      <c r="V217" s="86">
        <v>7.9865082869552302E-3</v>
      </c>
      <c r="W217" s="86">
        <v>6.6689819255626396E-3</v>
      </c>
      <c r="X217" s="86">
        <v>6.6507859390213097E-3</v>
      </c>
      <c r="Y217" s="86">
        <v>6.7871246954872002E-3</v>
      </c>
      <c r="Z217" s="86">
        <v>7.1008981574972197E-3</v>
      </c>
      <c r="AA217" s="86">
        <v>6.7289198570392502E-3</v>
      </c>
      <c r="AB217" s="86">
        <v>6.8592421197296201E-3</v>
      </c>
      <c r="AC217" s="86">
        <v>7.11313809555291E-3</v>
      </c>
      <c r="AD217" s="86">
        <v>6.3339287817684902E-3</v>
      </c>
      <c r="AE217" s="115">
        <v>6.5004296860913698E-3</v>
      </c>
      <c r="AF217" s="86">
        <v>6.5032789863129501E-3</v>
      </c>
      <c r="AG217" s="86">
        <v>6.7818706027792299E-3</v>
      </c>
      <c r="AH217" s="86">
        <v>6.9538830163307199E-3</v>
      </c>
      <c r="AI217" s="86">
        <v>6.9000526446194596E-3</v>
      </c>
      <c r="AJ217" s="86">
        <v>6.8830761213594799E-3</v>
      </c>
      <c r="AK217" s="86">
        <v>6.86555446450853E-3</v>
      </c>
      <c r="AL217" s="86">
        <v>6.8495145898229502E-3</v>
      </c>
      <c r="AM217" s="82"/>
      <c r="AN217" s="82"/>
    </row>
    <row r="218" spans="1:40" x14ac:dyDescent="0.65">
      <c r="A218" s="82" t="s">
        <v>65</v>
      </c>
      <c r="B218" s="81" t="str">
        <f t="shared" si="10"/>
        <v>IMF.RES.GAS:GAS_LIVE_2026_JAN_GAS1_VINTAGE</v>
      </c>
      <c r="C218" s="81" t="s">
        <v>567</v>
      </c>
      <c r="D218" s="82"/>
      <c r="E218" s="86">
        <v>0.744059891941666</v>
      </c>
      <c r="F218" s="86">
        <v>0.62939758736666596</v>
      </c>
      <c r="G218" s="86">
        <v>0.64532955182499996</v>
      </c>
      <c r="H218" s="86">
        <v>0.582283618608333</v>
      </c>
      <c r="I218" s="86">
        <v>0.51761699411666595</v>
      </c>
      <c r="J218" s="86">
        <v>0.54387965323333298</v>
      </c>
      <c r="K218" s="86">
        <v>0.65184775574999998</v>
      </c>
      <c r="L218" s="86">
        <v>0.73657889388333297</v>
      </c>
      <c r="M218" s="86">
        <v>0.76384263162499999</v>
      </c>
      <c r="N218" s="86">
        <v>0.75335057388333304</v>
      </c>
      <c r="O218" s="86">
        <v>0.83856059627500001</v>
      </c>
      <c r="P218" s="86">
        <v>0.85526479069166605</v>
      </c>
      <c r="Q218" s="86">
        <v>0.79130365343333298</v>
      </c>
      <c r="R218" s="86">
        <v>0.91949924254166604</v>
      </c>
      <c r="S218" s="86">
        <v>1.03221243624166</v>
      </c>
      <c r="T218" s="86">
        <v>1.03579979054166</v>
      </c>
      <c r="U218" s="86">
        <v>0.96842658849166596</v>
      </c>
      <c r="V218" s="86">
        <v>0.90269544397500001</v>
      </c>
      <c r="W218" s="86">
        <v>0.75261243220833296</v>
      </c>
      <c r="X218" s="86">
        <v>0.74388885270000005</v>
      </c>
      <c r="Y218" s="86">
        <v>0.76677318411666595</v>
      </c>
      <c r="Z218" s="86">
        <v>0.74814048330000005</v>
      </c>
      <c r="AA218" s="86">
        <v>0.695424136316666</v>
      </c>
      <c r="AB218" s="86">
        <v>0.69042244149166598</v>
      </c>
      <c r="AC218" s="86">
        <v>0.75177929842500002</v>
      </c>
      <c r="AD218" s="86">
        <v>0.694955288575</v>
      </c>
      <c r="AE218" s="115">
        <v>0.66482709230000003</v>
      </c>
      <c r="AF218" s="86">
        <v>0.66008876304999997</v>
      </c>
      <c r="AG218" s="86">
        <v>0.64371361405316196</v>
      </c>
      <c r="AH218" s="86">
        <v>0.65242292013229697</v>
      </c>
      <c r="AI218" s="86">
        <v>0.65032120792143799</v>
      </c>
      <c r="AJ218" s="86">
        <v>0.64999084547426</v>
      </c>
      <c r="AK218" s="86">
        <v>0.649317371243605</v>
      </c>
      <c r="AL218" s="86">
        <v>0.64832238331159997</v>
      </c>
      <c r="AM218" s="82"/>
      <c r="AN218" s="82"/>
    </row>
    <row r="219" spans="1:40" x14ac:dyDescent="0.65">
      <c r="A219" s="82" t="s">
        <v>66</v>
      </c>
      <c r="B219" s="81" t="str">
        <f t="shared" si="10"/>
        <v>IMF.RES.GAS:GAS_LIVE_2026_JAN_GAS1_VINTAGE</v>
      </c>
      <c r="C219" s="81" t="s">
        <v>568</v>
      </c>
      <c r="D219" s="82"/>
      <c r="E219" s="86">
        <v>0.66303300846666602</v>
      </c>
      <c r="F219" s="86">
        <v>0.53664590777499999</v>
      </c>
      <c r="G219" s="86">
        <v>0.52954273024166598</v>
      </c>
      <c r="H219" s="86">
        <v>0.45737164549166598</v>
      </c>
      <c r="I219" s="86">
        <v>0.42064775993333298</v>
      </c>
      <c r="J219" s="86">
        <v>0.46422438052499998</v>
      </c>
      <c r="K219" s="86">
        <v>0.58226576501666605</v>
      </c>
      <c r="L219" s="86">
        <v>0.66400833333333298</v>
      </c>
      <c r="M219" s="86">
        <v>0.70435833333333298</v>
      </c>
      <c r="N219" s="86">
        <v>0.64949999999999997</v>
      </c>
      <c r="O219" s="86">
        <v>0.736123369325</v>
      </c>
      <c r="P219" s="86">
        <v>0.71457499999999996</v>
      </c>
      <c r="Q219" s="86">
        <v>0.63427083559999997</v>
      </c>
      <c r="R219" s="86">
        <v>0.721295853133333</v>
      </c>
      <c r="S219" s="86">
        <v>0.79116837746666602</v>
      </c>
      <c r="T219" s="86">
        <v>0.81057584677500005</v>
      </c>
      <c r="U219" s="86">
        <v>0.82052919670833302</v>
      </c>
      <c r="V219" s="86">
        <v>0.83083981126666595</v>
      </c>
      <c r="W219" s="86">
        <v>0.70027205355</v>
      </c>
      <c r="X219" s="86">
        <v>0.69696344524999998</v>
      </c>
      <c r="Y219" s="86">
        <v>0.71084877260000001</v>
      </c>
      <c r="Z219" s="86">
        <v>0.69295111457500003</v>
      </c>
      <c r="AA219" s="86">
        <v>0.65928354949166601</v>
      </c>
      <c r="AB219" s="86">
        <v>0.65002147585000003</v>
      </c>
      <c r="AC219" s="86">
        <v>0.70752866002500003</v>
      </c>
      <c r="AD219" s="86">
        <v>0.63593989139999996</v>
      </c>
      <c r="AE219" s="115">
        <v>0.61445007024999998</v>
      </c>
      <c r="AF219" s="86">
        <v>0.60545936460000005</v>
      </c>
      <c r="AG219" s="86">
        <v>0.58091952003913705</v>
      </c>
      <c r="AH219" s="86">
        <v>0.56701381516793503</v>
      </c>
      <c r="AI219" s="86">
        <v>0.56406832527851403</v>
      </c>
      <c r="AJ219" s="86">
        <v>0.56234937568781396</v>
      </c>
      <c r="AK219" s="86">
        <v>0.560262119254893</v>
      </c>
      <c r="AL219" s="86">
        <v>0.559000213735241</v>
      </c>
      <c r="AM219" s="82"/>
      <c r="AN219" s="82"/>
    </row>
    <row r="220" spans="1:40" x14ac:dyDescent="0.65">
      <c r="A220" s="82" t="s">
        <v>67</v>
      </c>
      <c r="B220" s="81" t="str">
        <f t="shared" si="10"/>
        <v>IMF.RES.GAS:GAS_LIVE_2026_JAN_GAS1_VINTAGE</v>
      </c>
      <c r="C220" s="81" t="s">
        <v>569</v>
      </c>
      <c r="D220" s="82"/>
      <c r="E220" s="86">
        <v>0.289909693137268</v>
      </c>
      <c r="F220" s="86">
        <v>0.26315270092995202</v>
      </c>
      <c r="G220" s="86">
        <v>0.241562425771568</v>
      </c>
      <c r="H220" s="86">
        <v>0.24525833878186401</v>
      </c>
      <c r="I220" s="86">
        <v>0.237775373598517</v>
      </c>
      <c r="J220" s="86">
        <v>0.21106731464536599</v>
      </c>
      <c r="K220" s="86">
        <v>0.21958074716551301</v>
      </c>
      <c r="L220" s="86">
        <v>0.22311551061822901</v>
      </c>
      <c r="M220" s="86">
        <v>0.22283129442707</v>
      </c>
      <c r="N220" s="86">
        <v>0.224426170341639</v>
      </c>
      <c r="O220" s="86">
        <v>0.24342254340116501</v>
      </c>
      <c r="P220" s="86">
        <v>0.27870515415122199</v>
      </c>
      <c r="Q220" s="86">
        <v>0.25430180247911</v>
      </c>
      <c r="R220" s="86">
        <v>0.26745297844426902</v>
      </c>
      <c r="S220" s="86">
        <v>0.27947564618320497</v>
      </c>
      <c r="T220" s="86">
        <v>0.25934135733767</v>
      </c>
      <c r="U220" s="86">
        <v>0.27695013281922398</v>
      </c>
      <c r="V220" s="86">
        <v>0.27949160477886098</v>
      </c>
      <c r="W220" s="86">
        <v>0.25727884738428197</v>
      </c>
      <c r="X220" s="86">
        <v>0.26037824278349903</v>
      </c>
      <c r="Y220" s="86">
        <v>0.27781207613980202</v>
      </c>
      <c r="Z220" s="86">
        <v>0.27850823316696599</v>
      </c>
      <c r="AA220" s="86">
        <v>0.28054210355438502</v>
      </c>
      <c r="AB220" s="86">
        <v>0.29049450966687901</v>
      </c>
      <c r="AC220" s="86">
        <v>0.30957851504571399</v>
      </c>
      <c r="AD220" s="86">
        <v>0.29765320672015999</v>
      </c>
      <c r="AE220" s="115">
        <v>0.27267461805945498</v>
      </c>
      <c r="AF220" s="86">
        <v>0.27029075029892502</v>
      </c>
      <c r="AG220" s="86">
        <v>0.28947152263044201</v>
      </c>
      <c r="AH220" s="86">
        <v>0.30648630845333302</v>
      </c>
      <c r="AI220" s="86">
        <v>0.30309358922611002</v>
      </c>
      <c r="AJ220" s="86">
        <v>0.29992851659717801</v>
      </c>
      <c r="AK220" s="86">
        <v>0.29693494608529097</v>
      </c>
      <c r="AL220" s="86">
        <v>0.29396453851907201</v>
      </c>
      <c r="AM220" s="82"/>
      <c r="AN220" s="82"/>
    </row>
    <row r="221" spans="1:40" x14ac:dyDescent="0.65">
      <c r="A221" s="82" t="s">
        <v>68</v>
      </c>
      <c r="B221" s="81" t="str">
        <f t="shared" si="10"/>
        <v>IMF.RES.GAS:GAS_LIVE_2026_JAN_GAS1_VINTAGE</v>
      </c>
      <c r="C221" s="81" t="s">
        <v>570</v>
      </c>
      <c r="D221" s="82"/>
      <c r="E221" s="86">
        <v>3.48396649665874E-2</v>
      </c>
      <c r="F221" s="86">
        <v>2.9890451503840201E-2</v>
      </c>
      <c r="G221" s="86">
        <v>3.0988854343250698E-2</v>
      </c>
      <c r="H221" s="86">
        <v>3.20161361541655E-2</v>
      </c>
      <c r="I221" s="86">
        <v>2.9574351150648302E-2</v>
      </c>
      <c r="J221" s="86">
        <v>2.8919355972352699E-2</v>
      </c>
      <c r="K221" s="86">
        <v>2.90535092966136E-2</v>
      </c>
      <c r="L221" s="86">
        <v>2.9916905803203601E-2</v>
      </c>
      <c r="M221" s="86">
        <v>3.10766505636242E-2</v>
      </c>
      <c r="N221" s="86">
        <v>3.0737547434866199E-2</v>
      </c>
      <c r="O221" s="86">
        <v>3.0448197443149999E-2</v>
      </c>
      <c r="P221" s="86">
        <v>3.1711635531115397E-2</v>
      </c>
      <c r="Q221" s="86">
        <v>3.0251236523300799E-2</v>
      </c>
      <c r="R221" s="86">
        <v>3.1598155709899302E-2</v>
      </c>
      <c r="S221" s="86">
        <v>3.3934060464029803E-2</v>
      </c>
      <c r="T221" s="86">
        <v>3.37660072006985E-2</v>
      </c>
      <c r="U221" s="86">
        <v>3.3589923026429103E-2</v>
      </c>
      <c r="V221" s="86">
        <v>3.2926959758419701E-2</v>
      </c>
      <c r="W221" s="86">
        <v>3.1340512065174998E-2</v>
      </c>
      <c r="X221" s="86">
        <v>3.0935489190541201E-2</v>
      </c>
      <c r="Y221" s="86">
        <v>3.2848903251868199E-2</v>
      </c>
      <c r="Z221" s="86">
        <v>3.31535673229287E-2</v>
      </c>
      <c r="AA221" s="86">
        <v>3.2334206352207198E-2</v>
      </c>
      <c r="AB221" s="86">
        <v>3.3802912115696998E-2</v>
      </c>
      <c r="AC221" s="86">
        <v>3.5684336363933297E-2</v>
      </c>
      <c r="AD221" s="86">
        <v>3.3549916695667099E-2</v>
      </c>
      <c r="AE221" s="115">
        <v>3.2094915367595199E-2</v>
      </c>
      <c r="AF221" s="86">
        <v>3.1141652983104302E-2</v>
      </c>
      <c r="AG221" s="86">
        <v>3.2110043978395703E-2</v>
      </c>
      <c r="AH221" s="86">
        <v>3.2611253160768502E-2</v>
      </c>
      <c r="AI221" s="86">
        <v>3.3107489892509098E-2</v>
      </c>
      <c r="AJ221" s="86">
        <v>3.3573354383569502E-2</v>
      </c>
      <c r="AK221" s="86">
        <v>3.4035672217711803E-2</v>
      </c>
      <c r="AL221" s="86">
        <v>3.4441168443277298E-2</v>
      </c>
      <c r="AM221" s="82"/>
      <c r="AN221" s="82"/>
    </row>
    <row r="222" spans="1:40" x14ac:dyDescent="0.65">
      <c r="A222" s="82" t="s">
        <v>69</v>
      </c>
      <c r="B222" s="81" t="str">
        <f t="shared" si="10"/>
        <v>IMF.RES.GAS:GAS_LIVE_2026_JAN_GAS1_VINTAGE</v>
      </c>
      <c r="C222" s="81" t="s">
        <v>571</v>
      </c>
      <c r="D222" s="82"/>
      <c r="E222" s="86">
        <v>0.12916419998481199</v>
      </c>
      <c r="F222" s="86">
        <v>0.12911000170407999</v>
      </c>
      <c r="G222" s="86">
        <v>0.128907508864647</v>
      </c>
      <c r="H222" s="86">
        <v>0.128350482354955</v>
      </c>
      <c r="I222" s="86">
        <v>0.12822567717564901</v>
      </c>
      <c r="J222" s="86">
        <v>0.12822293696260301</v>
      </c>
      <c r="K222" s="86">
        <v>0.128423283130991</v>
      </c>
      <c r="L222" s="86">
        <v>0.12840267077829201</v>
      </c>
      <c r="M222" s="86">
        <v>0.12857877591931299</v>
      </c>
      <c r="N222" s="86">
        <v>0.12873602676628401</v>
      </c>
      <c r="O222" s="86">
        <v>0.12818184729298901</v>
      </c>
      <c r="P222" s="86">
        <v>0.12842190877166901</v>
      </c>
      <c r="Q222" s="86">
        <v>0.12900312833362701</v>
      </c>
      <c r="R222" s="86">
        <v>0.12871393329512501</v>
      </c>
      <c r="S222" s="86">
        <v>0.128468653627897</v>
      </c>
      <c r="T222" s="86">
        <v>0.128925513286621</v>
      </c>
      <c r="U222" s="86">
        <v>0.12893243939207399</v>
      </c>
      <c r="V222" s="86">
        <v>0.12896430913554399</v>
      </c>
      <c r="W222" s="86">
        <v>0.12900312833809799</v>
      </c>
      <c r="X222" s="86">
        <v>0.12882862573123899</v>
      </c>
      <c r="Y222" s="86">
        <v>0.12831617105333501</v>
      </c>
      <c r="Z222" s="86">
        <v>0.127575428967308</v>
      </c>
      <c r="AA222" s="86">
        <v>0.127617487833565</v>
      </c>
      <c r="AB222" s="86">
        <v>0.12891166326630699</v>
      </c>
      <c r="AC222" s="86">
        <v>0.12864631910961899</v>
      </c>
      <c r="AD222" s="86">
        <v>0.12769081796531301</v>
      </c>
      <c r="AE222" s="115">
        <v>0.12772071736015</v>
      </c>
      <c r="AF222" s="86">
        <v>0.12814215234338699</v>
      </c>
      <c r="AG222" s="86">
        <v>0.12829129543484799</v>
      </c>
      <c r="AH222" s="86">
        <v>0.129815794584793</v>
      </c>
      <c r="AI222" s="86">
        <v>0.130841036959053</v>
      </c>
      <c r="AJ222" s="86">
        <v>0.13137115363621901</v>
      </c>
      <c r="AK222" s="86">
        <v>0.13195569848841701</v>
      </c>
      <c r="AL222" s="86">
        <v>0.13233976499661301</v>
      </c>
      <c r="AM222" s="82"/>
      <c r="AN222" s="82"/>
    </row>
    <row r="223" spans="1:40" x14ac:dyDescent="0.65">
      <c r="A223" s="82" t="s">
        <v>70</v>
      </c>
      <c r="B223" s="81" t="str">
        <f t="shared" si="10"/>
        <v>IMF.RES.GAS:GAS_LIVE_2026_JAN_GAS1_VINTAGE</v>
      </c>
      <c r="C223" s="81" t="s">
        <v>572</v>
      </c>
      <c r="D223" s="82"/>
      <c r="E223" s="86">
        <v>1.0527534713882999E-3</v>
      </c>
      <c r="F223" s="86">
        <v>7.1266524925467096E-4</v>
      </c>
      <c r="G223" s="86">
        <v>8.4073236196050298E-4</v>
      </c>
      <c r="H223" s="86">
        <v>8.8467195258158302E-4</v>
      </c>
      <c r="I223" s="86">
        <v>7.7471935791259604E-4</v>
      </c>
      <c r="J223" s="86">
        <v>7.9897571313576003E-4</v>
      </c>
      <c r="K223" s="86">
        <v>8.3917551006136397E-4</v>
      </c>
      <c r="L223" s="86">
        <v>8.7241066696522405E-4</v>
      </c>
      <c r="M223" s="86">
        <v>9.7624947729975896E-4</v>
      </c>
      <c r="N223" s="86">
        <v>1.04674684451479E-3</v>
      </c>
      <c r="O223" s="86">
        <v>1.07599096242104E-3</v>
      </c>
      <c r="P223" s="86">
        <v>9.0898693131562995E-4</v>
      </c>
      <c r="Q223" s="86">
        <v>7.8295967794787303E-4</v>
      </c>
      <c r="R223" s="86">
        <v>8.6462917268482196E-4</v>
      </c>
      <c r="S223" s="86">
        <v>9.0243027406716303E-4</v>
      </c>
      <c r="T223" s="86">
        <v>8.87463687944101E-4</v>
      </c>
      <c r="U223" s="86">
        <v>9.1325660455760698E-4</v>
      </c>
      <c r="V223" s="86">
        <v>9.4981193723642698E-4</v>
      </c>
      <c r="W223" s="86">
        <v>8.8421043324100695E-4</v>
      </c>
      <c r="X223" s="86">
        <v>8.6131630911342701E-4</v>
      </c>
      <c r="Y223" s="86">
        <v>8.8417264649819701E-4</v>
      </c>
      <c r="Z223" s="86">
        <v>9.08955942905447E-4</v>
      </c>
      <c r="AA223" s="86">
        <v>8.5810577440828203E-4</v>
      </c>
      <c r="AB223" s="86">
        <v>8.4745388590805001E-4</v>
      </c>
      <c r="AC223" s="86">
        <v>8.7416280699505005E-4</v>
      </c>
      <c r="AD223" s="86">
        <v>7.7432543349318804E-4</v>
      </c>
      <c r="AE223" s="115">
        <v>7.6589470862493101E-4</v>
      </c>
      <c r="AF223" s="86">
        <v>7.3347391583386795E-4</v>
      </c>
      <c r="AG223" s="86">
        <v>7.0421224495768701E-4</v>
      </c>
      <c r="AH223" s="86">
        <v>6.9206447560243801E-4</v>
      </c>
      <c r="AI223" s="86">
        <v>6.9222818303804503E-4</v>
      </c>
      <c r="AJ223" s="86">
        <v>6.9214709223947696E-4</v>
      </c>
      <c r="AK223" s="86">
        <v>6.9208358040754605E-4</v>
      </c>
      <c r="AL223" s="86">
        <v>6.92021383047898E-4</v>
      </c>
      <c r="AM223" s="82"/>
      <c r="AN223" s="82"/>
    </row>
    <row r="224" spans="1:40" x14ac:dyDescent="0.65">
      <c r="A224" s="82" t="s">
        <v>71</v>
      </c>
      <c r="B224" s="81" t="str">
        <f t="shared" si="10"/>
        <v>IMF.RES.GAS:GAS_LIVE_2026_JAN_GAS1_VINTAGE</v>
      </c>
      <c r="C224" s="81" t="s">
        <v>573</v>
      </c>
      <c r="D224" s="82"/>
      <c r="E224" s="86">
        <v>0.67348873337016302</v>
      </c>
      <c r="F224" s="86">
        <v>0.597513745316817</v>
      </c>
      <c r="G224" s="86">
        <v>0.58998558467974205</v>
      </c>
      <c r="H224" s="86">
        <v>0.58005874061381302</v>
      </c>
      <c r="I224" s="86">
        <v>0.55812214223704204</v>
      </c>
      <c r="J224" s="86">
        <v>0.55847565930676202</v>
      </c>
      <c r="K224" s="86">
        <v>0.57399240415927499</v>
      </c>
      <c r="L224" s="86">
        <v>0.59163604129536296</v>
      </c>
      <c r="M224" s="86">
        <v>0.60081801370420895</v>
      </c>
      <c r="N224" s="86">
        <v>0.62935302508470303</v>
      </c>
      <c r="O224" s="86">
        <v>0.66352524327443296</v>
      </c>
      <c r="P224" s="86">
        <v>0.706783293768104</v>
      </c>
      <c r="Q224" s="86">
        <v>0.68751453027932197</v>
      </c>
      <c r="R224" s="86">
        <v>0.73340219164037701</v>
      </c>
      <c r="S224" s="86">
        <v>0.79505420490904599</v>
      </c>
      <c r="T224" s="86">
        <v>0.80020728332895896</v>
      </c>
      <c r="U224" s="86">
        <v>0.79916886437408396</v>
      </c>
      <c r="V224" s="86">
        <v>0.78923483683602502</v>
      </c>
      <c r="W224" s="86">
        <v>0.72736530104187802</v>
      </c>
      <c r="X224" s="86">
        <v>0.72382659483856604</v>
      </c>
      <c r="Y224" s="86">
        <v>0.72415228922891905</v>
      </c>
      <c r="Z224" s="86">
        <v>0.74137686039388995</v>
      </c>
      <c r="AA224" s="86">
        <v>0.73305273704140195</v>
      </c>
      <c r="AB224" s="86">
        <v>0.72477335732262105</v>
      </c>
      <c r="AC224" s="86">
        <v>0.74433375926273704</v>
      </c>
      <c r="AD224" s="86">
        <v>0.72533849129213102</v>
      </c>
      <c r="AE224" s="115">
        <v>0.74473102797288804</v>
      </c>
      <c r="AF224" s="86">
        <v>0.74837229028008201</v>
      </c>
      <c r="AG224" s="86">
        <v>0.76450846859426103</v>
      </c>
      <c r="AH224" s="86">
        <v>0.773540709519426</v>
      </c>
      <c r="AI224" s="86">
        <v>0.77448972749796097</v>
      </c>
      <c r="AJ224" s="86">
        <v>0.77461754764382895</v>
      </c>
      <c r="AK224" s="86">
        <v>0.77476505280361696</v>
      </c>
      <c r="AL224" s="86">
        <v>0.77491405212548103</v>
      </c>
      <c r="AM224" s="82"/>
      <c r="AN224" s="82"/>
    </row>
    <row r="225" spans="1:40" x14ac:dyDescent="0.65">
      <c r="B225" s="114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40" x14ac:dyDescent="0.65">
      <c r="A226" s="1" t="s">
        <v>134</v>
      </c>
      <c r="B226" s="114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40" x14ac:dyDescent="0.65">
      <c r="A227" s="82" t="s">
        <v>7</v>
      </c>
      <c r="B227" s="81" t="str">
        <f t="shared" si="10"/>
        <v>IMF.RES.GAS:GAS_LIVE_2026_JAN_GAS1_VINTAGE</v>
      </c>
      <c r="C227" s="81" t="s">
        <v>574</v>
      </c>
      <c r="D227" s="82"/>
      <c r="E227" s="86">
        <v>1.1040399999999999</v>
      </c>
      <c r="F227" s="86">
        <v>1.17127</v>
      </c>
      <c r="G227" s="86">
        <v>1.0110136359999999</v>
      </c>
      <c r="H227" s="86">
        <v>0.89731578950000002</v>
      </c>
      <c r="I227" s="86">
        <v>0.89237222220000001</v>
      </c>
      <c r="J227" s="86">
        <v>1.0182549999999999</v>
      </c>
      <c r="K227" s="86">
        <v>1.2285619050000001</v>
      </c>
      <c r="L227" s="86">
        <v>1.34076087</v>
      </c>
      <c r="M227" s="86">
        <v>1.185609524</v>
      </c>
      <c r="N227" s="86">
        <v>1.3212789469999999</v>
      </c>
      <c r="O227" s="86">
        <v>1.4570368419999999</v>
      </c>
      <c r="P227" s="86">
        <v>1.3449428569999999</v>
      </c>
      <c r="Q227" s="86">
        <v>1.4613590910000001</v>
      </c>
      <c r="R227" s="86">
        <v>1.3220130430000001</v>
      </c>
      <c r="S227" s="86">
        <v>1.317904762</v>
      </c>
      <c r="T227" s="86">
        <v>1.3119368419999999</v>
      </c>
      <c r="U227" s="86">
        <v>1.37036</v>
      </c>
      <c r="V227" s="86">
        <v>1.2331333330000001</v>
      </c>
      <c r="W227" s="86">
        <v>1.0877181819999999</v>
      </c>
      <c r="X227" s="86">
        <v>1.054290476</v>
      </c>
      <c r="Y227" s="86">
        <v>1.183621053</v>
      </c>
      <c r="Z227" s="86">
        <v>1.1384210530000001</v>
      </c>
      <c r="AA227" s="86">
        <v>1.111345</v>
      </c>
      <c r="AB227" s="86">
        <v>1.2169727269999999</v>
      </c>
      <c r="AC227" s="86">
        <v>1.1303782609999999</v>
      </c>
      <c r="AD227" s="86">
        <v>1.058880952</v>
      </c>
      <c r="AE227" s="115">
        <v>1.0903052630000001</v>
      </c>
      <c r="AF227" s="86">
        <v>1.0478749999999999</v>
      </c>
      <c r="AG227" s="86">
        <v>1.15772448863582</v>
      </c>
      <c r="AH227" s="86">
        <v>1.1565184170231899</v>
      </c>
      <c r="AI227" s="86">
        <v>1.15427011355475</v>
      </c>
      <c r="AJ227" s="86">
        <v>1.1531415271204299</v>
      </c>
      <c r="AK227" s="86">
        <v>1.15247291290881</v>
      </c>
      <c r="AL227" s="86">
        <v>1.15186217547309</v>
      </c>
      <c r="AM227" s="82"/>
      <c r="AN227" s="82"/>
    </row>
    <row r="228" spans="1:40" x14ac:dyDescent="0.65">
      <c r="A228" s="82" t="s">
        <v>125</v>
      </c>
      <c r="B228" s="81" t="str">
        <f t="shared" si="10"/>
        <v>IMF.RES.GAS:GAS_LIVE_2026_JAN_GAS1_VINTAGE</v>
      </c>
      <c r="C228" s="81" t="s">
        <v>575</v>
      </c>
      <c r="D228" s="82"/>
      <c r="E228" s="86">
        <v>1.100846532</v>
      </c>
      <c r="F228" s="86">
        <v>1.1721242700000001</v>
      </c>
      <c r="G228" s="86">
        <v>1.0110136359999999</v>
      </c>
      <c r="H228" s="86">
        <v>0.89731578950000002</v>
      </c>
      <c r="I228" s="86">
        <v>0.89237222220000001</v>
      </c>
      <c r="J228" s="86">
        <v>1.0182549999999999</v>
      </c>
      <c r="K228" s="86">
        <v>1.2285619050000001</v>
      </c>
      <c r="L228" s="86">
        <v>1.34076087</v>
      </c>
      <c r="M228" s="86">
        <v>1.185609524</v>
      </c>
      <c r="N228" s="86">
        <v>1.3212789469999999</v>
      </c>
      <c r="O228" s="86">
        <v>1.4570368419999999</v>
      </c>
      <c r="P228" s="86">
        <v>1.3449428569999999</v>
      </c>
      <c r="Q228" s="86">
        <v>1.4613590910000001</v>
      </c>
      <c r="R228" s="86">
        <v>1.3220130430000001</v>
      </c>
      <c r="S228" s="86">
        <v>1.317904762</v>
      </c>
      <c r="T228" s="86">
        <v>1.3119368419999999</v>
      </c>
      <c r="U228" s="86">
        <v>1.37036</v>
      </c>
      <c r="V228" s="86">
        <v>1.2331333330000001</v>
      </c>
      <c r="W228" s="86">
        <v>1.0877181819999999</v>
      </c>
      <c r="X228" s="86">
        <v>1.054290476</v>
      </c>
      <c r="Y228" s="86">
        <v>1.183621053</v>
      </c>
      <c r="Z228" s="86">
        <v>1.1384210530000001</v>
      </c>
      <c r="AA228" s="86">
        <v>1.111345</v>
      </c>
      <c r="AB228" s="86">
        <v>1.2169727269999999</v>
      </c>
      <c r="AC228" s="86">
        <v>1.1303782609999999</v>
      </c>
      <c r="AD228" s="86">
        <v>1.058880952</v>
      </c>
      <c r="AE228" s="115">
        <v>1.0903052630000001</v>
      </c>
      <c r="AF228" s="86">
        <v>1.0478749999999999</v>
      </c>
      <c r="AG228" s="86">
        <v>1.15772448863582</v>
      </c>
      <c r="AH228" s="86">
        <v>1.1565184170231899</v>
      </c>
      <c r="AI228" s="86">
        <v>1.15427011355475</v>
      </c>
      <c r="AJ228" s="86">
        <v>1.1531415271204299</v>
      </c>
      <c r="AK228" s="86">
        <v>1.15247291290881</v>
      </c>
      <c r="AL228" s="86">
        <v>1.15186217547309</v>
      </c>
      <c r="AM228" s="82"/>
      <c r="AN228" s="82"/>
    </row>
    <row r="229" spans="1:40" x14ac:dyDescent="0.65">
      <c r="A229" s="94" t="s">
        <v>126</v>
      </c>
      <c r="B229" s="81" t="str">
        <f t="shared" si="10"/>
        <v>IMF.RES.GAS:GAS_LIVE_2026_JAN_GAS1_VINTAGE</v>
      </c>
      <c r="C229" s="81" t="s">
        <v>576</v>
      </c>
      <c r="D229" s="82"/>
      <c r="E229" s="86">
        <v>0.56285389425461296</v>
      </c>
      <c r="F229" s="86">
        <v>0.59929762300404399</v>
      </c>
      <c r="G229" s="86">
        <v>0.51692306386546805</v>
      </c>
      <c r="H229" s="86">
        <v>0.45879027804052502</v>
      </c>
      <c r="I229" s="86">
        <v>0.45626267221588701</v>
      </c>
      <c r="J229" s="86">
        <v>0.52062551448745498</v>
      </c>
      <c r="K229" s="86">
        <v>0.628153727573459</v>
      </c>
      <c r="L229" s="86">
        <v>0.68552014745657797</v>
      </c>
      <c r="M229" s="86">
        <v>0.60619252389011302</v>
      </c>
      <c r="N229" s="86">
        <v>0.67555919839658796</v>
      </c>
      <c r="O229" s="86">
        <v>0.74497110791837695</v>
      </c>
      <c r="P229" s="86">
        <v>0.68765836345694598</v>
      </c>
      <c r="Q229" s="86">
        <v>0.74718103874058495</v>
      </c>
      <c r="R229" s="86">
        <v>0.67593453572140705</v>
      </c>
      <c r="S229" s="86">
        <v>0.673834005000434</v>
      </c>
      <c r="T229" s="86">
        <v>0.67078265595680597</v>
      </c>
      <c r="U229" s="86">
        <v>0.70065394231605005</v>
      </c>
      <c r="V229" s="86">
        <v>0.63049106159533197</v>
      </c>
      <c r="W229" s="86">
        <v>0.55614147548611004</v>
      </c>
      <c r="X229" s="86">
        <v>0.53905016080129597</v>
      </c>
      <c r="Y229" s="86">
        <v>0.60517583481181902</v>
      </c>
      <c r="Z229" s="86">
        <v>0.58206544178174902</v>
      </c>
      <c r="AA229" s="86">
        <v>0.56822167570801096</v>
      </c>
      <c r="AB229" s="86">
        <v>0.62222827495232202</v>
      </c>
      <c r="AC229" s="86">
        <v>0.57795322753</v>
      </c>
      <c r="AD229" s="86">
        <v>0.54139723391092198</v>
      </c>
      <c r="AE229" s="115">
        <v>0.557464228997407</v>
      </c>
      <c r="AF229" s="86">
        <v>0.53576998000848697</v>
      </c>
      <c r="AG229" s="86">
        <v>0.59203007626714199</v>
      </c>
      <c r="AH229" s="86">
        <v>0.59499920952770202</v>
      </c>
      <c r="AI229" s="86">
        <v>0.59740612403501603</v>
      </c>
      <c r="AJ229" s="86">
        <v>0.59981898468040795</v>
      </c>
      <c r="AK229" s="86">
        <v>0.60224624901144896</v>
      </c>
      <c r="AL229" s="86">
        <v>0.60469669209402599</v>
      </c>
      <c r="AM229" s="82"/>
      <c r="AN229" s="82"/>
    </row>
    <row r="230" spans="1:40" x14ac:dyDescent="0.65">
      <c r="A230" s="94" t="s">
        <v>127</v>
      </c>
      <c r="B230" s="81" t="str">
        <f t="shared" si="10"/>
        <v>IMF.RES.GAS:GAS_LIVE_2026_JAN_GAS1_VINTAGE</v>
      </c>
      <c r="C230" s="81" t="s">
        <v>577</v>
      </c>
      <c r="D230" s="82"/>
      <c r="E230" s="86">
        <v>1.1024153889999999</v>
      </c>
      <c r="F230" s="86">
        <v>1.171326686</v>
      </c>
      <c r="G230" s="86">
        <v>1.0110136359999999</v>
      </c>
      <c r="H230" s="86">
        <v>0.89731578950000002</v>
      </c>
      <c r="I230" s="86">
        <v>0.89237222220000001</v>
      </c>
      <c r="J230" s="86">
        <v>1.0182549999999999</v>
      </c>
      <c r="K230" s="86">
        <v>1.2285619050000001</v>
      </c>
      <c r="L230" s="86">
        <v>1.34076087</v>
      </c>
      <c r="M230" s="86">
        <v>1.185609524</v>
      </c>
      <c r="N230" s="86">
        <v>1.3212789469999999</v>
      </c>
      <c r="O230" s="86">
        <v>1.4570368419999999</v>
      </c>
      <c r="P230" s="86">
        <v>1.3449428569999999</v>
      </c>
      <c r="Q230" s="86">
        <v>1.4613590910000001</v>
      </c>
      <c r="R230" s="86">
        <v>1.3220130430000001</v>
      </c>
      <c r="S230" s="86">
        <v>1.317904762</v>
      </c>
      <c r="T230" s="86">
        <v>1.3119368419999999</v>
      </c>
      <c r="U230" s="86">
        <v>1.37036</v>
      </c>
      <c r="V230" s="86">
        <v>1.2331333330000001</v>
      </c>
      <c r="W230" s="86">
        <v>1.0877181819999999</v>
      </c>
      <c r="X230" s="86">
        <v>1.054290476</v>
      </c>
      <c r="Y230" s="86">
        <v>1.183621053</v>
      </c>
      <c r="Z230" s="86">
        <v>1.1384210530000001</v>
      </c>
      <c r="AA230" s="86">
        <v>1.111345</v>
      </c>
      <c r="AB230" s="86">
        <v>1.2169727269999999</v>
      </c>
      <c r="AC230" s="86">
        <v>1.1303782609999999</v>
      </c>
      <c r="AD230" s="86">
        <v>1.058880952</v>
      </c>
      <c r="AE230" s="115">
        <v>1.0903052630000001</v>
      </c>
      <c r="AF230" s="86">
        <v>1.0478749999999999</v>
      </c>
      <c r="AG230" s="86">
        <v>1.15772448863582</v>
      </c>
      <c r="AH230" s="86">
        <v>1.1565184170231899</v>
      </c>
      <c r="AI230" s="86">
        <v>1.15427011355475</v>
      </c>
      <c r="AJ230" s="86">
        <v>1.1531415271204299</v>
      </c>
      <c r="AK230" s="86">
        <v>1.15247291290881</v>
      </c>
      <c r="AL230" s="86">
        <v>1.15186217547309</v>
      </c>
      <c r="AM230" s="82"/>
      <c r="AN230" s="82"/>
    </row>
    <row r="231" spans="1:40" x14ac:dyDescent="0.65">
      <c r="A231" s="82" t="s">
        <v>128</v>
      </c>
      <c r="B231" s="81" t="str">
        <f t="shared" si="10"/>
        <v>IMF.RES.GAS:GAS_LIVE_2026_JAN_GAS1_VINTAGE</v>
      </c>
      <c r="C231" s="81" t="s">
        <v>578</v>
      </c>
      <c r="D231" s="82"/>
      <c r="E231" s="86">
        <v>0.168062142640447</v>
      </c>
      <c r="F231" s="86">
        <v>0.178567602144652</v>
      </c>
      <c r="G231" s="86">
        <v>0.15412803522182</v>
      </c>
      <c r="H231" s="86">
        <v>0.136794910260886</v>
      </c>
      <c r="I231" s="86">
        <v>0.13604126828435401</v>
      </c>
      <c r="J231" s="86">
        <v>0.155231974047079</v>
      </c>
      <c r="K231" s="86">
        <v>0.18729305503256999</v>
      </c>
      <c r="L231" s="86">
        <v>0.204397676981875</v>
      </c>
      <c r="M231" s="86">
        <v>0.18074500676111299</v>
      </c>
      <c r="N231" s="86">
        <v>0.20142767696663</v>
      </c>
      <c r="O231" s="86">
        <v>0.22212383464159999</v>
      </c>
      <c r="P231" s="86">
        <v>0.20503521679012501</v>
      </c>
      <c r="Q231" s="86">
        <v>0.22278275725390501</v>
      </c>
      <c r="R231" s="86">
        <v>0.201539589180388</v>
      </c>
      <c r="S231" s="86">
        <v>0.20091328577940301</v>
      </c>
      <c r="T231" s="86">
        <v>0.200003482240451</v>
      </c>
      <c r="U231" s="86">
        <v>0.20891003526145699</v>
      </c>
      <c r="V231" s="86">
        <v>0.18798996473854199</v>
      </c>
      <c r="W231" s="86">
        <v>0.16582156787716201</v>
      </c>
      <c r="X231" s="86">
        <v>0.16072554694896099</v>
      </c>
      <c r="Y231" s="86">
        <v>0.180441866311358</v>
      </c>
      <c r="Z231" s="86">
        <v>0.17355117073222701</v>
      </c>
      <c r="AA231" s="86">
        <v>0.169423453061709</v>
      </c>
      <c r="AB231" s="86">
        <v>0.18552629623588099</v>
      </c>
      <c r="AC231" s="86">
        <v>0.172325054995983</v>
      </c>
      <c r="AD231" s="86">
        <v>0.16142536050381301</v>
      </c>
      <c r="AE231" s="115">
        <v>0.16621596583312601</v>
      </c>
      <c r="AF231" s="86">
        <v>0.15974751393765099</v>
      </c>
      <c r="AG231" s="86">
        <v>0.17628021762837601</v>
      </c>
      <c r="AH231" s="86">
        <v>0.173108638714316</v>
      </c>
      <c r="AI231" s="86">
        <v>0.16959132315352499</v>
      </c>
      <c r="AJ231" s="86">
        <v>0.166277459226882</v>
      </c>
      <c r="AK231" s="86">
        <v>0.163174064188359</v>
      </c>
      <c r="AL231" s="86">
        <v>0.160141831412935</v>
      </c>
      <c r="AM231" s="82"/>
      <c r="AN231" s="82"/>
    </row>
    <row r="232" spans="1:40" x14ac:dyDescent="0.65">
      <c r="A232" s="82" t="s">
        <v>8</v>
      </c>
      <c r="B232" s="81" t="str">
        <f t="shared" si="10"/>
        <v>IMF.RES.GAS:GAS_LIVE_2026_JAN_GAS1_VINTAGE</v>
      </c>
      <c r="C232" s="81" t="s">
        <v>579</v>
      </c>
      <c r="D232" s="82"/>
      <c r="E232" s="86">
        <v>7.7290754999999904E-3</v>
      </c>
      <c r="F232" s="86">
        <v>8.5017740000000001E-3</v>
      </c>
      <c r="G232" s="86">
        <v>9.7389949000000007E-3</v>
      </c>
      <c r="H232" s="86">
        <v>8.9122023999999907E-3</v>
      </c>
      <c r="I232" s="86">
        <v>7.8518562E-3</v>
      </c>
      <c r="J232" s="86">
        <v>8.1784873000000004E-3</v>
      </c>
      <c r="K232" s="86">
        <v>9.2647923999999993E-3</v>
      </c>
      <c r="L232" s="86">
        <v>9.6305537000000007E-3</v>
      </c>
      <c r="M232" s="86">
        <v>8.4289619999999999E-3</v>
      </c>
      <c r="N232" s="86">
        <v>8.5375224000000006E-3</v>
      </c>
      <c r="O232" s="86">
        <v>8.9090828000000007E-3</v>
      </c>
      <c r="P232" s="86">
        <v>1.09503239E-2</v>
      </c>
      <c r="Q232" s="86">
        <v>1.1165580200000001E-2</v>
      </c>
      <c r="R232" s="86">
        <v>1.1986742700000001E-2</v>
      </c>
      <c r="S232" s="86">
        <v>1.28437963E-2</v>
      </c>
      <c r="T232" s="86">
        <v>1.1964903000000001E-2</v>
      </c>
      <c r="U232" s="86">
        <v>9.6700970000000008E-3</v>
      </c>
      <c r="V232" s="86">
        <v>8.3813421999999905E-3</v>
      </c>
      <c r="W232" s="86">
        <v>8.2018305999999892E-3</v>
      </c>
      <c r="X232" s="86">
        <v>8.6281648999999901E-3</v>
      </c>
      <c r="Y232" s="86">
        <v>8.8535142000000008E-3</v>
      </c>
      <c r="Z232" s="86">
        <v>8.8831422999999902E-3</v>
      </c>
      <c r="AA232" s="86">
        <v>9.1613065000000007E-3</v>
      </c>
      <c r="AB232" s="86">
        <v>9.6256744999999901E-3</v>
      </c>
      <c r="AC232" s="86">
        <v>8.8015407999999899E-3</v>
      </c>
      <c r="AD232" s="86">
        <v>7.3843053000000004E-3</v>
      </c>
      <c r="AE232" s="115">
        <v>6.9111485000000004E-3</v>
      </c>
      <c r="AF232" s="86">
        <v>6.5566245999999998E-3</v>
      </c>
      <c r="AG232" s="86">
        <v>6.5090206069026903E-3</v>
      </c>
      <c r="AH232" s="86">
        <v>6.57167621005794E-3</v>
      </c>
      <c r="AI232" s="86">
        <v>6.6663755695733603E-3</v>
      </c>
      <c r="AJ232" s="86">
        <v>6.6987269888692403E-3</v>
      </c>
      <c r="AK232" s="86">
        <v>6.7367911797754504E-3</v>
      </c>
      <c r="AL232" s="86">
        <v>6.8058754565863896E-3</v>
      </c>
      <c r="AM232" s="82"/>
      <c r="AN232" s="82"/>
    </row>
    <row r="233" spans="1:40" x14ac:dyDescent="0.65">
      <c r="A233" s="82" t="s">
        <v>9</v>
      </c>
      <c r="B233" s="81" t="str">
        <f t="shared" si="10"/>
        <v>IMF.RES.GAS:GAS_LIVE_2026_JAN_GAS1_VINTAGE</v>
      </c>
      <c r="C233" s="81" t="s">
        <v>580</v>
      </c>
      <c r="D233" s="82"/>
      <c r="E233" s="86">
        <v>1.661377809</v>
      </c>
      <c r="F233" s="86">
        <v>1.670370965</v>
      </c>
      <c r="G233" s="86">
        <v>1.613501783</v>
      </c>
      <c r="H233" s="86">
        <v>1.4614327890000001</v>
      </c>
      <c r="I233" s="86">
        <v>1.439159531</v>
      </c>
      <c r="J233" s="86">
        <v>1.58621893</v>
      </c>
      <c r="K233" s="86">
        <v>1.750179393</v>
      </c>
      <c r="L233" s="86">
        <v>1.929347302</v>
      </c>
      <c r="M233" s="86">
        <v>1.745231156</v>
      </c>
      <c r="N233" s="86">
        <v>1.963826319</v>
      </c>
      <c r="O233" s="86">
        <v>2.0234722779999998</v>
      </c>
      <c r="P233" s="86">
        <v>1.487088355</v>
      </c>
      <c r="Q233" s="86">
        <v>1.6240708770000001</v>
      </c>
      <c r="R233" s="86">
        <v>1.5602999989999999</v>
      </c>
      <c r="S233" s="86">
        <v>1.560522207</v>
      </c>
      <c r="T233" s="86">
        <v>1.5509999999999999</v>
      </c>
      <c r="U233" s="86">
        <v>1.6375147759999999</v>
      </c>
      <c r="V233" s="86">
        <v>1.5708</v>
      </c>
      <c r="W233" s="86">
        <v>1.49890506</v>
      </c>
      <c r="X233" s="86">
        <v>1.2498148229999999</v>
      </c>
      <c r="Y233" s="86">
        <v>1.3404324999999999</v>
      </c>
      <c r="Z233" s="86">
        <v>1.2676833329999999</v>
      </c>
      <c r="AA233" s="86">
        <v>1.313083333</v>
      </c>
      <c r="AB233" s="86">
        <v>1.3375117649999999</v>
      </c>
      <c r="AC233" s="86">
        <v>1.327273529</v>
      </c>
      <c r="AD233" s="86">
        <v>1.2207294120000001</v>
      </c>
      <c r="AE233" s="115">
        <v>1.2640562500000001</v>
      </c>
      <c r="AF233" s="86">
        <v>1.2683</v>
      </c>
      <c r="AG233" s="86">
        <v>1.3172075410244699</v>
      </c>
      <c r="AH233" s="86">
        <v>1.3371695168453299</v>
      </c>
      <c r="AI233" s="86">
        <v>1.35689297455613</v>
      </c>
      <c r="AJ233" s="86">
        <v>1.37894042030687</v>
      </c>
      <c r="AK233" s="86">
        <v>1.40170097028953</v>
      </c>
      <c r="AL233" s="86">
        <v>1.4243324681810501</v>
      </c>
      <c r="AM233" s="82"/>
      <c r="AN233" s="82"/>
    </row>
    <row r="234" spans="1:40" x14ac:dyDescent="0.65">
      <c r="A234" s="82" t="s">
        <v>15</v>
      </c>
      <c r="B234" s="81" t="str">
        <f t="shared" si="10"/>
        <v>IMF.RES.GAS:GAS_LIVE_2026_JAN_GAS1_VINTAGE</v>
      </c>
      <c r="C234" s="81" t="s">
        <v>581</v>
      </c>
      <c r="D234" s="82"/>
      <c r="E234" s="86">
        <v>0.69531842109999897</v>
      </c>
      <c r="F234" s="86">
        <v>0.73577020420000006</v>
      </c>
      <c r="G234" s="86">
        <v>0.63162415839999997</v>
      </c>
      <c r="H234" s="86">
        <v>0.59229425179999995</v>
      </c>
      <c r="I234" s="86">
        <v>0.60523162210000003</v>
      </c>
      <c r="J234" s="86">
        <v>0.69354861079999897</v>
      </c>
      <c r="K234" s="86">
        <v>0.78954017179999902</v>
      </c>
      <c r="L234" s="86">
        <v>0.87197642180000001</v>
      </c>
      <c r="M234" s="86">
        <v>0.76566747059999996</v>
      </c>
      <c r="N234" s="86">
        <v>0.82722565059999897</v>
      </c>
      <c r="O234" s="86">
        <v>0.87858793349999897</v>
      </c>
      <c r="P234" s="86">
        <v>0.87228827379999996</v>
      </c>
      <c r="Q234" s="86">
        <v>0.97291136779999998</v>
      </c>
      <c r="R234" s="86">
        <v>1.0299721909999999</v>
      </c>
      <c r="S234" s="86">
        <v>1.0733891499999999</v>
      </c>
      <c r="T234" s="86">
        <v>1.0847101539999999</v>
      </c>
      <c r="U234" s="86">
        <v>1.1185353069999999</v>
      </c>
      <c r="V234" s="86">
        <v>1.0254857630000001</v>
      </c>
      <c r="W234" s="86">
        <v>1.004126045</v>
      </c>
      <c r="X234" s="86">
        <v>0.98106543709999905</v>
      </c>
      <c r="Y234" s="86">
        <v>1.0132738880000001</v>
      </c>
      <c r="Z234" s="86">
        <v>1.0077495940000001</v>
      </c>
      <c r="AA234" s="86">
        <v>1.016725128</v>
      </c>
      <c r="AB234" s="86">
        <v>1.1250239070000001</v>
      </c>
      <c r="AC234" s="86">
        <v>1.085894234</v>
      </c>
      <c r="AD234" s="86">
        <v>1.072903814</v>
      </c>
      <c r="AE234" s="115">
        <v>1.1546944100000001</v>
      </c>
      <c r="AF234" s="86">
        <v>1.1221707270000001</v>
      </c>
      <c r="AG234" s="86">
        <v>1.2498215019927601</v>
      </c>
      <c r="AH234" s="86">
        <v>1.2717441721780001</v>
      </c>
      <c r="AI234" s="86">
        <v>1.29388503381929</v>
      </c>
      <c r="AJ234" s="86">
        <v>1.31721744072019</v>
      </c>
      <c r="AK234" s="86">
        <v>1.34126938948347</v>
      </c>
      <c r="AL234" s="86">
        <v>1.3658202379212501</v>
      </c>
      <c r="AM234" s="82"/>
      <c r="AN234" s="82"/>
    </row>
    <row r="235" spans="1:40" x14ac:dyDescent="0.65">
      <c r="A235" s="1"/>
      <c r="B235" s="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40" x14ac:dyDescent="0.65">
      <c r="A236" s="82" t="s">
        <v>40</v>
      </c>
      <c r="B236" s="112" t="str">
        <f>$B$4</f>
        <v>IMF.RES.GAS:GAS_LIVE</v>
      </c>
      <c r="C236" s="81" t="s">
        <v>582</v>
      </c>
      <c r="D236" s="82"/>
      <c r="E236" s="86">
        <v>0.72678617400596801</v>
      </c>
      <c r="F236" s="86">
        <v>0.73736539531868905</v>
      </c>
      <c r="G236" s="86">
        <v>0.73142902340939897</v>
      </c>
      <c r="H236" s="86">
        <v>0.75843424653848501</v>
      </c>
      <c r="I236" s="86">
        <v>0.78557813982701796</v>
      </c>
      <c r="J236" s="86">
        <v>0.77258083183389903</v>
      </c>
      <c r="K236" s="86">
        <v>0.71415878826019796</v>
      </c>
      <c r="L236" s="86">
        <v>0.67532006880543005</v>
      </c>
      <c r="M236" s="86">
        <v>0.67724988631803595</v>
      </c>
      <c r="N236" s="86">
        <v>0.67977254509406604</v>
      </c>
      <c r="O236" s="86">
        <v>0.65345154753525303</v>
      </c>
      <c r="P236" s="86">
        <v>0.63318390786291201</v>
      </c>
      <c r="Q236" s="86">
        <v>0.64915198555482001</v>
      </c>
      <c r="R236" s="86">
        <v>0.65556366034077196</v>
      </c>
      <c r="S236" s="86">
        <v>0.63348904868052203</v>
      </c>
      <c r="T236" s="86">
        <v>0.65289773216159497</v>
      </c>
      <c r="U236" s="86">
        <v>0.65806623172956002</v>
      </c>
      <c r="V236" s="86">
        <v>0.65833272156990097</v>
      </c>
      <c r="W236" s="86">
        <v>0.71476398364791804</v>
      </c>
      <c r="X236" s="86">
        <v>0.719503489873766</v>
      </c>
      <c r="Y236" s="86">
        <v>0.72134724287066598</v>
      </c>
      <c r="Z236" s="86">
        <v>0.70641219372499897</v>
      </c>
      <c r="AA236" s="86">
        <v>0.723778062560133</v>
      </c>
      <c r="AB236" s="86">
        <v>0.71804460571725803</v>
      </c>
      <c r="AC236" s="86">
        <v>0.702029326491031</v>
      </c>
      <c r="AD236" s="86">
        <v>0.74784196744479903</v>
      </c>
      <c r="AE236" s="115">
        <v>0.74963314842207696</v>
      </c>
      <c r="AF236" s="86">
        <v>0.75329006068676796</v>
      </c>
      <c r="AG236" s="86">
        <v>0.74106695972538394</v>
      </c>
      <c r="AH236" s="86">
        <v>0.72748859226561602</v>
      </c>
      <c r="AI236" s="86">
        <v>0.72587169904360904</v>
      </c>
      <c r="AJ236" s="86">
        <v>0.72469277295317802</v>
      </c>
      <c r="AK236" s="86">
        <v>0.72385074702415197</v>
      </c>
      <c r="AL236" s="86">
        <v>0.72265575622158695</v>
      </c>
      <c r="AM236" s="82"/>
      <c r="AN236" s="82"/>
    </row>
    <row r="237" spans="1:40" x14ac:dyDescent="0.65">
      <c r="A237" s="82" t="s">
        <v>41</v>
      </c>
      <c r="B237" s="112" t="str">
        <f>$B$4</f>
        <v>IMF.RES.GAS:GAS_LIVE</v>
      </c>
      <c r="C237" s="81" t="s">
        <v>583</v>
      </c>
      <c r="D237" s="82"/>
      <c r="E237" s="86">
        <v>0.73845507616584005</v>
      </c>
      <c r="F237" s="86">
        <v>0.71320953302300905</v>
      </c>
      <c r="G237" s="86">
        <v>0.72843415936859701</v>
      </c>
      <c r="H237" s="86">
        <v>0.77256034071049995</v>
      </c>
      <c r="I237" s="86">
        <v>0.79189450925371496</v>
      </c>
      <c r="J237" s="86">
        <v>0.746254578064657</v>
      </c>
      <c r="K237" s="86">
        <v>0.68146376020265798</v>
      </c>
      <c r="L237" s="86">
        <v>0.649199928681641</v>
      </c>
      <c r="M237" s="86">
        <v>0.69871133871699498</v>
      </c>
      <c r="N237" s="86">
        <v>0.66318544357478704</v>
      </c>
      <c r="O237" s="86">
        <v>0.63485709560022197</v>
      </c>
      <c r="P237" s="86">
        <v>0.65748699029308799</v>
      </c>
      <c r="Q237" s="86">
        <v>0.63179751612868595</v>
      </c>
      <c r="R237" s="86">
        <v>0.65120797134714703</v>
      </c>
      <c r="S237" s="86">
        <v>0.64680332559522102</v>
      </c>
      <c r="T237" s="86">
        <v>0.64992076857976</v>
      </c>
      <c r="U237" s="86">
        <v>0.65005201527448697</v>
      </c>
      <c r="V237" s="86">
        <v>0.68641223377690697</v>
      </c>
      <c r="W237" s="86">
        <v>0.721694522305668</v>
      </c>
      <c r="X237" s="86">
        <v>0.74232740913282402</v>
      </c>
      <c r="Y237" s="86">
        <v>0.70664065284468403</v>
      </c>
      <c r="Z237" s="86">
        <v>0.721894755575338</v>
      </c>
      <c r="AA237" s="86">
        <v>0.72522421778957102</v>
      </c>
      <c r="AB237" s="86">
        <v>0.69562020106007705</v>
      </c>
      <c r="AC237" s="86">
        <v>0.71542721700615097</v>
      </c>
      <c r="AD237" s="86">
        <v>0.75254971825309602</v>
      </c>
      <c r="AE237" s="115">
        <v>0.74968080368350098</v>
      </c>
      <c r="AF237" s="86">
        <v>0.76217384788869003</v>
      </c>
      <c r="AG237" s="86">
        <v>0.73176585889619605</v>
      </c>
      <c r="AH237" s="86">
        <v>0.72659628768470996</v>
      </c>
      <c r="AI237" s="86">
        <v>0.72524172626632999</v>
      </c>
      <c r="AJ237" s="86">
        <v>0.72434989074635203</v>
      </c>
      <c r="AK237" s="86">
        <v>0.72332069871206195</v>
      </c>
      <c r="AL237" s="86">
        <v>0.72208748308729998</v>
      </c>
      <c r="AM237" s="82"/>
      <c r="AN237" s="82"/>
    </row>
    <row r="238" spans="1:40" x14ac:dyDescent="0.65">
      <c r="B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40" x14ac:dyDescent="0.65">
      <c r="A239" s="1" t="s">
        <v>163</v>
      </c>
      <c r="B239" s="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40" x14ac:dyDescent="0.65">
      <c r="A240" s="82" t="s">
        <v>10</v>
      </c>
      <c r="B240" s="81" t="str">
        <f>$A$4</f>
        <v>IMF.RES.GAS:GAS_LIVE_2026_JAN_GAS1_VINTAGE</v>
      </c>
      <c r="C240" s="81" t="s">
        <v>584</v>
      </c>
      <c r="D240" s="82"/>
      <c r="E240" s="85">
        <v>109.33900688604</v>
      </c>
      <c r="F240" s="85">
        <v>117.830481677034</v>
      </c>
      <c r="G240" s="85">
        <v>116.507574932954</v>
      </c>
      <c r="H240" s="85">
        <v>128.18219900422801</v>
      </c>
      <c r="I240" s="83">
        <v>134.038915154015</v>
      </c>
      <c r="J240" s="83">
        <v>130.869010531545</v>
      </c>
      <c r="K240" s="83">
        <v>119.97639925567999</v>
      </c>
      <c r="L240" s="83">
        <v>110.74170560589999</v>
      </c>
      <c r="M240" s="83">
        <v>107.495336419784</v>
      </c>
      <c r="N240" s="83">
        <v>107.390441096546</v>
      </c>
      <c r="O240" s="83">
        <v>101.641796268831</v>
      </c>
      <c r="P240" s="83">
        <v>99.650726593831607</v>
      </c>
      <c r="Q240" s="83">
        <v>105.143229819561</v>
      </c>
      <c r="R240" s="83">
        <v>99.999999999999901</v>
      </c>
      <c r="S240" s="83">
        <v>94.713436941686595</v>
      </c>
      <c r="T240" s="83">
        <v>98.565218170469905</v>
      </c>
      <c r="U240" s="83">
        <v>97.835248662834502</v>
      </c>
      <c r="V240" s="83">
        <v>103.121476676055</v>
      </c>
      <c r="W240" s="83">
        <v>121.14622885303</v>
      </c>
      <c r="X240" s="83">
        <v>122.51962824382301</v>
      </c>
      <c r="Y240" s="83">
        <v>126.57314243988</v>
      </c>
      <c r="Z240" s="83">
        <v>123.79153103159</v>
      </c>
      <c r="AA240" s="83">
        <v>131.369275882572</v>
      </c>
      <c r="AB240" s="83">
        <v>135.91165122909899</v>
      </c>
      <c r="AC240" s="83">
        <v>134.50798579148801</v>
      </c>
      <c r="AD240" s="83">
        <v>150.557535481983</v>
      </c>
      <c r="AE240" s="84">
        <v>150.63474861645801</v>
      </c>
      <c r="AF240" s="83">
        <v>152.65092455400301</v>
      </c>
      <c r="AG240" s="83">
        <v>150.229854903296</v>
      </c>
      <c r="AH240" s="83">
        <v>149.66971279586301</v>
      </c>
      <c r="AI240" s="83">
        <v>149.66971279586301</v>
      </c>
      <c r="AJ240" s="83">
        <v>149.66971279586301</v>
      </c>
      <c r="AK240" s="83">
        <v>149.669712795864</v>
      </c>
      <c r="AL240" s="83">
        <v>149.669712795864</v>
      </c>
      <c r="AM240" s="82"/>
      <c r="AN240" s="82"/>
    </row>
    <row r="241" spans="1:40" x14ac:dyDescent="0.65">
      <c r="A241" s="82" t="s">
        <v>11</v>
      </c>
      <c r="B241" s="81" t="str">
        <f t="shared" ref="B241:B289" si="11">$A$4</f>
        <v>IMF.RES.GAS:GAS_LIVE_2026_JAN_GAS1_VINTAGE</v>
      </c>
      <c r="C241" s="81" t="s">
        <v>585</v>
      </c>
      <c r="D241" s="82"/>
      <c r="E241" s="85">
        <v>89.435769147115195</v>
      </c>
      <c r="F241" s="85">
        <v>88.554184678744903</v>
      </c>
      <c r="G241" s="85">
        <v>84.609497594283496</v>
      </c>
      <c r="H241" s="85">
        <v>74.363513546185402</v>
      </c>
      <c r="I241" s="83">
        <v>73.956852434892994</v>
      </c>
      <c r="J241" s="83">
        <v>78.719470323863703</v>
      </c>
      <c r="K241" s="83">
        <v>89.054978008443896</v>
      </c>
      <c r="L241" s="83">
        <v>93.735518915108898</v>
      </c>
      <c r="M241" s="83">
        <v>93.101978571178506</v>
      </c>
      <c r="N241" s="83">
        <v>93.073061038050596</v>
      </c>
      <c r="O241" s="83">
        <v>98.258490513885704</v>
      </c>
      <c r="P241" s="83">
        <v>105.617995552541</v>
      </c>
      <c r="Q241" s="83">
        <v>105.052252965815</v>
      </c>
      <c r="R241" s="83">
        <v>100</v>
      </c>
      <c r="S241" s="83">
        <v>98.010079632727994</v>
      </c>
      <c r="T241" s="83">
        <v>92.288558123377001</v>
      </c>
      <c r="U241" s="83">
        <v>96.147675143481806</v>
      </c>
      <c r="V241" s="83">
        <v>95.019673424214304</v>
      </c>
      <c r="W241" s="83">
        <v>83.544524081497698</v>
      </c>
      <c r="X241" s="83">
        <v>84.411918763030997</v>
      </c>
      <c r="Y241" s="83">
        <v>85.026048386898097</v>
      </c>
      <c r="Z241" s="83">
        <v>87.813593377837506</v>
      </c>
      <c r="AA241" s="83">
        <v>84.375993564739503</v>
      </c>
      <c r="AB241" s="83">
        <v>85.833160348352195</v>
      </c>
      <c r="AC241" s="83">
        <v>83.655391735490099</v>
      </c>
      <c r="AD241" s="83">
        <v>79.6134283166476</v>
      </c>
      <c r="AE241" s="84">
        <v>82.499313524026803</v>
      </c>
      <c r="AF241" s="83">
        <v>85.128124589303297</v>
      </c>
      <c r="AG241" s="83">
        <v>88.117344298740306</v>
      </c>
      <c r="AH241" s="83">
        <v>90.243078852306994</v>
      </c>
      <c r="AI241" s="83">
        <v>90.243078852306894</v>
      </c>
      <c r="AJ241" s="83">
        <v>90.243078852306994</v>
      </c>
      <c r="AK241" s="83">
        <v>90.243078852306795</v>
      </c>
      <c r="AL241" s="83">
        <v>90.243078852306894</v>
      </c>
      <c r="AM241" s="82"/>
      <c r="AN241" s="82"/>
    </row>
    <row r="242" spans="1:40" x14ac:dyDescent="0.65">
      <c r="A242" s="82" t="s">
        <v>129</v>
      </c>
      <c r="B242" s="81" t="str">
        <f t="shared" si="11"/>
        <v>IMF.RES.GAS:GAS_LIVE_2026_JAN_GAS1_VINTAGE</v>
      </c>
      <c r="C242" s="81" t="s">
        <v>586</v>
      </c>
      <c r="D242" s="82"/>
      <c r="E242" s="85">
        <v>104.25090428804501</v>
      </c>
      <c r="F242" s="85">
        <v>105.691868018056</v>
      </c>
      <c r="G242" s="85">
        <v>104.283331944438</v>
      </c>
      <c r="H242" s="85">
        <v>97.625700067213202</v>
      </c>
      <c r="I242" s="83">
        <v>96.3827026661735</v>
      </c>
      <c r="J242" s="83">
        <v>98.549221781229505</v>
      </c>
      <c r="K242" s="83">
        <v>102.47041886598301</v>
      </c>
      <c r="L242" s="83">
        <v>102.563418346896</v>
      </c>
      <c r="M242" s="83">
        <v>99.115323272481007</v>
      </c>
      <c r="N242" s="83">
        <v>95.432713292027898</v>
      </c>
      <c r="O242" s="83">
        <v>95.879912030977906</v>
      </c>
      <c r="P242" s="83">
        <v>99.776000742855899</v>
      </c>
      <c r="Q242" s="83">
        <v>101.661761965479</v>
      </c>
      <c r="R242" s="83">
        <v>100</v>
      </c>
      <c r="S242" s="83">
        <v>96.134557831616604</v>
      </c>
      <c r="T242" s="83">
        <v>96.067645864647304</v>
      </c>
      <c r="U242" s="83">
        <v>101.171816723155</v>
      </c>
      <c r="V242" s="83">
        <v>99.3828507736022</v>
      </c>
      <c r="W242" s="83">
        <v>95.497680731287304</v>
      </c>
      <c r="X242" s="83">
        <v>94.534653943852007</v>
      </c>
      <c r="Y242" s="83">
        <v>95.538320013350102</v>
      </c>
      <c r="Z242" s="83">
        <v>98.448674841263895</v>
      </c>
      <c r="AA242" s="83">
        <v>99.033935640442493</v>
      </c>
      <c r="AB242" s="83">
        <v>99.905131659014899</v>
      </c>
      <c r="AC242" s="83">
        <v>95.183907078114501</v>
      </c>
      <c r="AD242" s="83">
        <v>91.0565391790755</v>
      </c>
      <c r="AE242" s="84">
        <v>95.314191512921994</v>
      </c>
      <c r="AF242" s="83">
        <v>101.05954474378601</v>
      </c>
      <c r="AG242" s="83">
        <v>103.40385818283001</v>
      </c>
      <c r="AH242" s="83">
        <v>104.376508014357</v>
      </c>
      <c r="AI242" s="83">
        <v>104.376508014357</v>
      </c>
      <c r="AJ242" s="83">
        <v>104.376508014357</v>
      </c>
      <c r="AK242" s="83">
        <v>104.376508014357</v>
      </c>
      <c r="AL242" s="83">
        <v>104.376508014357</v>
      </c>
      <c r="AM242" s="82"/>
      <c r="AN242" s="82"/>
    </row>
    <row r="243" spans="1:40" x14ac:dyDescent="0.65">
      <c r="A243" s="82" t="s">
        <v>130</v>
      </c>
      <c r="B243" s="81" t="str">
        <f t="shared" si="11"/>
        <v>IMF.RES.GAS:GAS_LIVE_2026_JAN_GAS1_VINTAGE</v>
      </c>
      <c r="C243" s="81" t="s">
        <v>587</v>
      </c>
      <c r="D243" s="82"/>
      <c r="E243" s="85">
        <v>103.706833702029</v>
      </c>
      <c r="F243" s="85">
        <v>100.504323319067</v>
      </c>
      <c r="G243" s="85">
        <v>96.581336672313398</v>
      </c>
      <c r="H243" s="85">
        <v>91.336150984321407</v>
      </c>
      <c r="I243" s="83">
        <v>90.480827710884597</v>
      </c>
      <c r="J243" s="83">
        <v>92.3114495971124</v>
      </c>
      <c r="K243" s="83">
        <v>94.311834679468205</v>
      </c>
      <c r="L243" s="83">
        <v>97.025795331934404</v>
      </c>
      <c r="M243" s="83">
        <v>96.605958773272903</v>
      </c>
      <c r="N243" s="83">
        <v>98.588053478324298</v>
      </c>
      <c r="O243" s="83">
        <v>101.39851544515599</v>
      </c>
      <c r="P243" s="83">
        <v>101.48127459051901</v>
      </c>
      <c r="Q243" s="83">
        <v>99.527083456873598</v>
      </c>
      <c r="R243" s="83">
        <v>100</v>
      </c>
      <c r="S243" s="83">
        <v>98.978563293419398</v>
      </c>
      <c r="T243" s="83">
        <v>95.656660155362999</v>
      </c>
      <c r="U243" s="83">
        <v>95.557944940849396</v>
      </c>
      <c r="V243" s="83">
        <v>94.695749095773394</v>
      </c>
      <c r="W243" s="83">
        <v>90.866323457212999</v>
      </c>
      <c r="X243" s="83">
        <v>91.932489261959603</v>
      </c>
      <c r="Y243" s="83">
        <v>92.650404772106796</v>
      </c>
      <c r="Z243" s="83">
        <v>91.666575810800495</v>
      </c>
      <c r="AA243" s="83">
        <v>88.150748810668603</v>
      </c>
      <c r="AB243" s="83">
        <v>86.503946711602794</v>
      </c>
      <c r="AC243" s="83">
        <v>88.662589702280997</v>
      </c>
      <c r="AD243" s="83">
        <v>93.188148526125403</v>
      </c>
      <c r="AE243" s="84">
        <v>91.233986330817999</v>
      </c>
      <c r="AF243" s="83">
        <v>89.249620139875205</v>
      </c>
      <c r="AG243" s="83">
        <v>91.3032758139327</v>
      </c>
      <c r="AH243" s="83">
        <v>92.880335129076599</v>
      </c>
      <c r="AI243" s="83">
        <v>92.880335129076599</v>
      </c>
      <c r="AJ243" s="83">
        <v>92.8803351290764</v>
      </c>
      <c r="AK243" s="83">
        <v>92.880335129076499</v>
      </c>
      <c r="AL243" s="83">
        <v>92.880335129076599</v>
      </c>
      <c r="AM243" s="82"/>
      <c r="AN243" s="82"/>
    </row>
    <row r="244" spans="1:40" x14ac:dyDescent="0.65">
      <c r="A244" s="82" t="s">
        <v>131</v>
      </c>
      <c r="B244" s="81" t="str">
        <f t="shared" si="11"/>
        <v>IMF.RES.GAS:GAS_LIVE_2026_JAN_GAS1_VINTAGE</v>
      </c>
      <c r="C244" s="81" t="s">
        <v>588</v>
      </c>
      <c r="D244" s="82"/>
      <c r="E244" s="85">
        <v>75.086991987518999</v>
      </c>
      <c r="F244" s="85">
        <v>75.054836392629696</v>
      </c>
      <c r="G244" s="85">
        <v>75.160198546888907</v>
      </c>
      <c r="H244" s="85">
        <v>71.022170076410305</v>
      </c>
      <c r="I244" s="83">
        <v>72.226083513922802</v>
      </c>
      <c r="J244" s="83">
        <v>75.599501130735206</v>
      </c>
      <c r="K244" s="83">
        <v>84.022924861872696</v>
      </c>
      <c r="L244" s="83">
        <v>88.425015694353306</v>
      </c>
      <c r="M244" s="83">
        <v>90.583096708663106</v>
      </c>
      <c r="N244" s="83">
        <v>91.843286266263505</v>
      </c>
      <c r="O244" s="83">
        <v>95.589929807155698</v>
      </c>
      <c r="P244" s="83">
        <v>100.748045490358</v>
      </c>
      <c r="Q244" s="83">
        <v>101.092301666317</v>
      </c>
      <c r="R244" s="83">
        <v>100</v>
      </c>
      <c r="S244" s="83">
        <v>104.77165259308801</v>
      </c>
      <c r="T244" s="83">
        <v>102.41827277802599</v>
      </c>
      <c r="U244" s="83">
        <v>103.30661470377601</v>
      </c>
      <c r="V244" s="83">
        <v>105.750489019291</v>
      </c>
      <c r="W244" s="83">
        <v>102.072819805325</v>
      </c>
      <c r="X244" s="83">
        <v>101.893425968573</v>
      </c>
      <c r="Y244" s="83">
        <v>102.052170266706</v>
      </c>
      <c r="Z244" s="83">
        <v>103.32423542852599</v>
      </c>
      <c r="AA244" s="83">
        <v>101.044896728456</v>
      </c>
      <c r="AB244" s="83">
        <v>103.187369746681</v>
      </c>
      <c r="AC244" s="83">
        <v>103.199921796505</v>
      </c>
      <c r="AD244" s="83">
        <v>100.643777630855</v>
      </c>
      <c r="AE244" s="84">
        <v>101.263297941136</v>
      </c>
      <c r="AF244" s="83">
        <v>102.516710613608</v>
      </c>
      <c r="AG244" s="83">
        <v>103.101393846729</v>
      </c>
      <c r="AH244" s="83">
        <v>103.457260125038</v>
      </c>
      <c r="AI244" s="83">
        <v>103.457260125038</v>
      </c>
      <c r="AJ244" s="83">
        <v>103.457260125038</v>
      </c>
      <c r="AK244" s="83">
        <v>103.457260125038</v>
      </c>
      <c r="AL244" s="83">
        <v>103.457260125039</v>
      </c>
      <c r="AM244" s="82"/>
      <c r="AN244" s="82"/>
    </row>
    <row r="245" spans="1:40" x14ac:dyDescent="0.65">
      <c r="A245" s="82" t="s">
        <v>12</v>
      </c>
      <c r="B245" s="81" t="str">
        <f t="shared" si="11"/>
        <v>IMF.RES.GAS:GAS_LIVE_2026_JAN_GAS1_VINTAGE</v>
      </c>
      <c r="C245" s="81" t="s">
        <v>589</v>
      </c>
      <c r="D245" s="82"/>
      <c r="E245" s="85">
        <v>108.94812494835899</v>
      </c>
      <c r="F245" s="85">
        <v>108.850941840993</v>
      </c>
      <c r="G245" s="85">
        <v>122.52848167814101</v>
      </c>
      <c r="H245" s="85">
        <v>125.330805646524</v>
      </c>
      <c r="I245" s="83">
        <v>115.057249337352</v>
      </c>
      <c r="J245" s="83">
        <v>107.866092569854</v>
      </c>
      <c r="K245" s="83">
        <v>99.707536216966005</v>
      </c>
      <c r="L245" s="83">
        <v>97.489727235086704</v>
      </c>
      <c r="M245" s="83">
        <v>89.372078626639095</v>
      </c>
      <c r="N245" s="83">
        <v>81.512120457653197</v>
      </c>
      <c r="O245" s="83">
        <v>73.854577742174996</v>
      </c>
      <c r="P245" s="83">
        <v>81.493869179902006</v>
      </c>
      <c r="Q245" s="83">
        <v>98.444223982500802</v>
      </c>
      <c r="R245" s="83">
        <v>100</v>
      </c>
      <c r="S245" s="83">
        <v>107.801389820441</v>
      </c>
      <c r="T245" s="83">
        <v>105.665143987584</v>
      </c>
      <c r="U245" s="83">
        <v>85.808069843404397</v>
      </c>
      <c r="V245" s="83">
        <v>76.999133556946404</v>
      </c>
      <c r="W245" s="83">
        <v>72.725012510112293</v>
      </c>
      <c r="X245" s="83">
        <v>82.659472344401095</v>
      </c>
      <c r="Y245" s="83">
        <v>76.937092579732294</v>
      </c>
      <c r="Z245" s="83">
        <v>74.688500031883194</v>
      </c>
      <c r="AA245" s="83">
        <v>75.187080322286306</v>
      </c>
      <c r="AB245" s="83">
        <v>75.170267552594694</v>
      </c>
      <c r="AC245" s="83">
        <v>73.2401405929362</v>
      </c>
      <c r="AD245" s="83">
        <v>61.609743946955298</v>
      </c>
      <c r="AE245" s="84">
        <v>55.600282576910203</v>
      </c>
      <c r="AF245" s="83">
        <v>51.5732931996465</v>
      </c>
      <c r="AG245" s="83">
        <v>51.0914917678571</v>
      </c>
      <c r="AH245" s="83">
        <v>49.015859716910903</v>
      </c>
      <c r="AI245" s="83">
        <v>49.015859716911002</v>
      </c>
      <c r="AJ245" s="83">
        <v>49.015859716911002</v>
      </c>
      <c r="AK245" s="83">
        <v>49.015859716911102</v>
      </c>
      <c r="AL245" s="83">
        <v>49.015859716911102</v>
      </c>
      <c r="AM245" s="82"/>
      <c r="AN245" s="82"/>
    </row>
    <row r="246" spans="1:40" x14ac:dyDescent="0.65">
      <c r="A246" s="82" t="s">
        <v>13</v>
      </c>
      <c r="B246" s="81" t="str">
        <f t="shared" si="11"/>
        <v>IMF.RES.GAS:GAS_LIVE_2026_JAN_GAS1_VINTAGE</v>
      </c>
      <c r="C246" s="81" t="s">
        <v>590</v>
      </c>
      <c r="D246" s="82"/>
      <c r="E246" s="85">
        <v>93.055282100136793</v>
      </c>
      <c r="F246" s="85">
        <v>103.633792538131</v>
      </c>
      <c r="G246" s="85">
        <v>104.831096945974</v>
      </c>
      <c r="H246" s="85">
        <v>107.663922409455</v>
      </c>
      <c r="I246" s="83">
        <v>105.27430802284699</v>
      </c>
      <c r="J246" s="83">
        <v>108.240441584192</v>
      </c>
      <c r="K246" s="83">
        <v>104.93173008567101</v>
      </c>
      <c r="L246" s="83">
        <v>110.162387934926</v>
      </c>
      <c r="M246" s="83">
        <v>110.264306673644</v>
      </c>
      <c r="N246" s="83">
        <v>113.77347259503399</v>
      </c>
      <c r="O246" s="83">
        <v>117.508452196215</v>
      </c>
      <c r="P246" s="83">
        <v>101.148348509427</v>
      </c>
      <c r="Q246" s="83">
        <v>92.822450772129002</v>
      </c>
      <c r="R246" s="83">
        <v>100</v>
      </c>
      <c r="S246" s="83">
        <v>100.35397634263499</v>
      </c>
      <c r="T246" s="83">
        <v>103.694254976434</v>
      </c>
      <c r="U246" s="83">
        <v>107.49838660445501</v>
      </c>
      <c r="V246" s="83">
        <v>111.576295328143</v>
      </c>
      <c r="W246" s="83">
        <v>116.880605165727</v>
      </c>
      <c r="X246" s="83">
        <v>104.319340252647</v>
      </c>
      <c r="Y246" s="83">
        <v>96.287275123820805</v>
      </c>
      <c r="Z246" s="83">
        <v>98.701534012594493</v>
      </c>
      <c r="AA246" s="83">
        <v>100.547848364842</v>
      </c>
      <c r="AB246" s="83">
        <v>104.288914927156</v>
      </c>
      <c r="AC246" s="83">
        <v>112.35717596640799</v>
      </c>
      <c r="AD246" s="83">
        <v>112.690271032635</v>
      </c>
      <c r="AE246" s="84">
        <v>113.29360367076001</v>
      </c>
      <c r="AF246" s="83">
        <v>114.721385819226</v>
      </c>
      <c r="AG246" s="83">
        <v>113.761404702642</v>
      </c>
      <c r="AH246" s="83">
        <v>111.326144916808</v>
      </c>
      <c r="AI246" s="83">
        <v>111.326144916808</v>
      </c>
      <c r="AJ246" s="83">
        <v>111.326144916808</v>
      </c>
      <c r="AK246" s="83">
        <v>111.326144916808</v>
      </c>
      <c r="AL246" s="83">
        <v>111.326144916808</v>
      </c>
      <c r="AM246" s="82"/>
      <c r="AN246" s="82"/>
    </row>
    <row r="247" spans="1:40" x14ac:dyDescent="0.65">
      <c r="A247" s="82" t="s">
        <v>51</v>
      </c>
      <c r="B247" s="81" t="str">
        <f t="shared" si="11"/>
        <v>IMF.RES.GAS:GAS_LIVE_2026_JAN_GAS1_VINTAGE</v>
      </c>
      <c r="C247" s="81" t="s">
        <v>591</v>
      </c>
      <c r="D247" s="82"/>
      <c r="E247" s="85">
        <v>67.532419440386207</v>
      </c>
      <c r="F247" s="85">
        <v>63.547908369874001</v>
      </c>
      <c r="G247" s="85">
        <v>62.739958227551199</v>
      </c>
      <c r="H247" s="85">
        <v>59.8161547346715</v>
      </c>
      <c r="I247" s="83">
        <v>60.3379134237844</v>
      </c>
      <c r="J247" s="83">
        <v>61.2971947336912</v>
      </c>
      <c r="K247" s="83">
        <v>69.548395720574703</v>
      </c>
      <c r="L247" s="83">
        <v>76.978494848937402</v>
      </c>
      <c r="M247" s="83">
        <v>84.235916270985001</v>
      </c>
      <c r="N247" s="83">
        <v>91.746552597193201</v>
      </c>
      <c r="O247" s="83">
        <v>98.753813842086998</v>
      </c>
      <c r="P247" s="83">
        <v>97.046487844964304</v>
      </c>
      <c r="Q247" s="83">
        <v>89.272629570692601</v>
      </c>
      <c r="R247" s="83">
        <v>100</v>
      </c>
      <c r="S247" s="83">
        <v>103.18148913349501</v>
      </c>
      <c r="T247" s="83">
        <v>102.19303396909901</v>
      </c>
      <c r="U247" s="83">
        <v>100.89922435726599</v>
      </c>
      <c r="V247" s="83">
        <v>92.156609831500106</v>
      </c>
      <c r="W247" s="83">
        <v>81.2617373849925</v>
      </c>
      <c r="X247" s="83">
        <v>77.516347000259898</v>
      </c>
      <c r="Y247" s="83">
        <v>77.862001702534698</v>
      </c>
      <c r="Z247" s="83">
        <v>77.288651917641701</v>
      </c>
      <c r="AA247" s="83">
        <v>74.808916179459899</v>
      </c>
      <c r="AB247" s="83">
        <v>73.844405027660997</v>
      </c>
      <c r="AC247" s="83">
        <v>78.370064653907505</v>
      </c>
      <c r="AD247" s="83">
        <v>78.531108129172395</v>
      </c>
      <c r="AE247" s="84">
        <v>78.401737758404295</v>
      </c>
      <c r="AF247" s="83">
        <v>79.654410941562801</v>
      </c>
      <c r="AG247" s="83">
        <v>78.252875783405202</v>
      </c>
      <c r="AH247" s="83">
        <v>77.726841684432401</v>
      </c>
      <c r="AI247" s="83">
        <v>77.726841684432301</v>
      </c>
      <c r="AJ247" s="83">
        <v>77.726841684432301</v>
      </c>
      <c r="AK247" s="83">
        <v>77.726841684432202</v>
      </c>
      <c r="AL247" s="83">
        <v>77.726841684432301</v>
      </c>
      <c r="AM247" s="82"/>
      <c r="AN247" s="82"/>
    </row>
    <row r="248" spans="1:40" x14ac:dyDescent="0.65">
      <c r="B248" s="1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4"/>
      <c r="AF248" s="13"/>
      <c r="AG248" s="13"/>
      <c r="AH248" s="13"/>
      <c r="AI248" s="13"/>
      <c r="AJ248" s="13"/>
      <c r="AK248" s="13"/>
      <c r="AL248" s="13"/>
    </row>
    <row r="249" spans="1:40" x14ac:dyDescent="0.65">
      <c r="A249" s="82" t="s">
        <v>52</v>
      </c>
      <c r="B249" s="81" t="str">
        <f t="shared" si="11"/>
        <v>IMF.RES.GAS:GAS_LIVE_2026_JAN_GAS1_VINTAGE</v>
      </c>
      <c r="C249" s="81" t="s">
        <v>592</v>
      </c>
      <c r="D249" s="82"/>
      <c r="E249" s="85">
        <v>109.388965348903</v>
      </c>
      <c r="F249" s="85">
        <v>109.419746296619</v>
      </c>
      <c r="G249" s="85">
        <v>106.79140389101001</v>
      </c>
      <c r="H249" s="85">
        <v>100.83722129900499</v>
      </c>
      <c r="I249" s="83">
        <v>100.15178363102299</v>
      </c>
      <c r="J249" s="83">
        <v>101.384926662401</v>
      </c>
      <c r="K249" s="83">
        <v>104.95076809107</v>
      </c>
      <c r="L249" s="83">
        <v>106.42541775412801</v>
      </c>
      <c r="M249" s="83">
        <v>106.6421388418</v>
      </c>
      <c r="N249" s="83">
        <v>104.747906604778</v>
      </c>
      <c r="O249" s="83">
        <v>104.05228213843399</v>
      </c>
      <c r="P249" s="83">
        <v>100.29574688984501</v>
      </c>
      <c r="Q249" s="83">
        <v>99.261155722040399</v>
      </c>
      <c r="R249" s="83">
        <v>99.999999999999901</v>
      </c>
      <c r="S249" s="83">
        <v>101.394138450076</v>
      </c>
      <c r="T249" s="83">
        <v>98.051559334787399</v>
      </c>
      <c r="U249" s="83">
        <v>99.155612394198997</v>
      </c>
      <c r="V249" s="83">
        <v>101.09053924364299</v>
      </c>
      <c r="W249" s="83">
        <v>96.345667269960899</v>
      </c>
      <c r="X249" s="83">
        <v>99.456723368088205</v>
      </c>
      <c r="Y249" s="83">
        <v>100.33210946413099</v>
      </c>
      <c r="Z249" s="83">
        <v>100.968765142053</v>
      </c>
      <c r="AA249" s="83">
        <v>100.201734654042</v>
      </c>
      <c r="AB249" s="83">
        <v>93.469003012087498</v>
      </c>
      <c r="AC249" s="83">
        <v>104.99767027972599</v>
      </c>
      <c r="AD249" s="83">
        <v>105.54587342667701</v>
      </c>
      <c r="AE249" s="84">
        <v>105.941469755781</v>
      </c>
      <c r="AF249" s="83">
        <v>106.956141875103</v>
      </c>
      <c r="AG249" s="83">
        <v>108.36288308285999</v>
      </c>
      <c r="AH249" s="83">
        <v>109.124797944333</v>
      </c>
      <c r="AI249" s="83">
        <v>109.124797944333</v>
      </c>
      <c r="AJ249" s="83">
        <v>109.124797944333</v>
      </c>
      <c r="AK249" s="83">
        <v>109.124797944333</v>
      </c>
      <c r="AL249" s="83">
        <v>109.124797944333</v>
      </c>
      <c r="AM249" s="82"/>
      <c r="AN249" s="82"/>
    </row>
    <row r="250" spans="1:40" x14ac:dyDescent="0.65">
      <c r="A250" s="82" t="s">
        <v>53</v>
      </c>
      <c r="B250" s="81" t="str">
        <f t="shared" si="11"/>
        <v>IMF.RES.GAS:GAS_LIVE_2026_JAN_GAS1_VINTAGE</v>
      </c>
      <c r="C250" s="81" t="s">
        <v>593</v>
      </c>
      <c r="D250" s="82"/>
      <c r="E250" s="85">
        <v>95.269513482468</v>
      </c>
      <c r="F250" s="85">
        <v>94.113627324701895</v>
      </c>
      <c r="G250" s="85">
        <v>94.088891858332005</v>
      </c>
      <c r="H250" s="85">
        <v>89.829117727934602</v>
      </c>
      <c r="I250" s="83">
        <v>90.001899634702696</v>
      </c>
      <c r="J250" s="83">
        <v>92.320084503682295</v>
      </c>
      <c r="K250" s="83">
        <v>97.092135333277596</v>
      </c>
      <c r="L250" s="83">
        <v>97.651645646888696</v>
      </c>
      <c r="M250" s="83">
        <v>97.941798093520305</v>
      </c>
      <c r="N250" s="83">
        <v>100.461582920034</v>
      </c>
      <c r="O250" s="83">
        <v>102.525999414569</v>
      </c>
      <c r="P250" s="83">
        <v>103.413473810163</v>
      </c>
      <c r="Q250" s="83">
        <v>103.494302888596</v>
      </c>
      <c r="R250" s="83">
        <v>100</v>
      </c>
      <c r="S250" s="83">
        <v>100.511061703805</v>
      </c>
      <c r="T250" s="83">
        <v>98.580401380038097</v>
      </c>
      <c r="U250" s="83">
        <v>100.570708877519</v>
      </c>
      <c r="V250" s="83">
        <v>100.486703875114</v>
      </c>
      <c r="W250" s="83">
        <v>94.795214187926206</v>
      </c>
      <c r="X250" s="83">
        <v>96.287470908659699</v>
      </c>
      <c r="Y250" s="83">
        <v>99.213497567106501</v>
      </c>
      <c r="Z250" s="83">
        <v>99.629960999096099</v>
      </c>
      <c r="AA250" s="83">
        <v>96.697272719486605</v>
      </c>
      <c r="AB250" s="83">
        <v>96.640687869186294</v>
      </c>
      <c r="AC250" s="83">
        <v>100.01928263288301</v>
      </c>
      <c r="AD250" s="83">
        <v>99.598559850260898</v>
      </c>
      <c r="AE250" s="84">
        <v>102.794357799827</v>
      </c>
      <c r="AF250" s="83">
        <v>101.16862407735201</v>
      </c>
      <c r="AG250" s="83">
        <v>102.40809423303099</v>
      </c>
      <c r="AH250" s="83">
        <v>103.828224658591</v>
      </c>
      <c r="AI250" s="83">
        <v>103.828224658591</v>
      </c>
      <c r="AJ250" s="83">
        <v>103.828224658591</v>
      </c>
      <c r="AK250" s="83">
        <v>103.828224658591</v>
      </c>
      <c r="AL250" s="83">
        <v>103.828224658591</v>
      </c>
      <c r="AM250" s="82"/>
      <c r="AN250" s="82"/>
    </row>
    <row r="251" spans="1:40" x14ac:dyDescent="0.65">
      <c r="A251" s="82" t="s">
        <v>54</v>
      </c>
      <c r="B251" s="81" t="str">
        <f t="shared" si="11"/>
        <v>IMF.RES.GAS:GAS_LIVE_2026_JAN_GAS1_VINTAGE</v>
      </c>
      <c r="C251" s="81" t="s">
        <v>594</v>
      </c>
      <c r="D251" s="82"/>
      <c r="E251" s="85">
        <v>86.478447239650293</v>
      </c>
      <c r="F251" s="85">
        <v>89.703208382482003</v>
      </c>
      <c r="G251" s="85">
        <v>89.663817501319301</v>
      </c>
      <c r="H251" s="85">
        <v>86.018303050346702</v>
      </c>
      <c r="I251" s="83">
        <v>88.343136416983299</v>
      </c>
      <c r="J251" s="83">
        <v>92.298335038805604</v>
      </c>
      <c r="K251" s="83">
        <v>98.710748781811503</v>
      </c>
      <c r="L251" s="83">
        <v>101.14545816017301</v>
      </c>
      <c r="M251" s="83">
        <v>103.56675395837</v>
      </c>
      <c r="N251" s="83">
        <v>104.322781391747</v>
      </c>
      <c r="O251" s="83">
        <v>108.50820242688501</v>
      </c>
      <c r="P251" s="83">
        <v>106.70105094440299</v>
      </c>
      <c r="Q251" s="83">
        <v>106.03955977688101</v>
      </c>
      <c r="R251" s="83">
        <v>100</v>
      </c>
      <c r="S251" s="83">
        <v>98.300177326793403</v>
      </c>
      <c r="T251" s="83">
        <v>93.328246663626999</v>
      </c>
      <c r="U251" s="83">
        <v>93.109012197154797</v>
      </c>
      <c r="V251" s="83">
        <v>94.581040899276601</v>
      </c>
      <c r="W251" s="83">
        <v>92.219066265749504</v>
      </c>
      <c r="X251" s="83">
        <v>93.652227394564505</v>
      </c>
      <c r="Y251" s="83">
        <v>94.9870828305625</v>
      </c>
      <c r="Z251" s="83">
        <v>95.698909506438298</v>
      </c>
      <c r="AA251" s="83">
        <v>93.469265421414093</v>
      </c>
      <c r="AB251" s="83">
        <v>93.627807085486495</v>
      </c>
      <c r="AC251" s="83">
        <v>96.049624703458406</v>
      </c>
      <c r="AD251" s="83">
        <v>98.242457157395293</v>
      </c>
      <c r="AE251" s="84">
        <v>98.120165109764201</v>
      </c>
      <c r="AF251" s="83">
        <v>96.073465561354993</v>
      </c>
      <c r="AG251" s="83">
        <v>96.142506367146794</v>
      </c>
      <c r="AH251" s="83">
        <v>96.535263891541405</v>
      </c>
      <c r="AI251" s="83">
        <v>96.535263891541504</v>
      </c>
      <c r="AJ251" s="83">
        <v>96.535263891541604</v>
      </c>
      <c r="AK251" s="83">
        <v>96.535263891541604</v>
      </c>
      <c r="AL251" s="83">
        <v>96.535263891541703</v>
      </c>
      <c r="AM251" s="82"/>
      <c r="AN251" s="82"/>
    </row>
    <row r="252" spans="1:40" x14ac:dyDescent="0.65">
      <c r="A252" s="82" t="s">
        <v>55</v>
      </c>
      <c r="B252" s="81" t="str">
        <f t="shared" si="11"/>
        <v>IMF.RES.GAS:GAS_LIVE_2026_JAN_GAS1_VINTAGE</v>
      </c>
      <c r="C252" s="81" t="s">
        <v>595</v>
      </c>
      <c r="D252" s="82"/>
      <c r="E252" s="85">
        <v>96.086923069890005</v>
      </c>
      <c r="F252" s="85">
        <v>95.207190769485095</v>
      </c>
      <c r="G252" s="85">
        <v>95.631106862011194</v>
      </c>
      <c r="H252" s="85">
        <v>92.905899246003102</v>
      </c>
      <c r="I252" s="83">
        <v>93.174189763885494</v>
      </c>
      <c r="J252" s="83">
        <v>94.562501298765099</v>
      </c>
      <c r="K252" s="83">
        <v>97.9618968441672</v>
      </c>
      <c r="L252" s="83">
        <v>97.942618726592798</v>
      </c>
      <c r="M252" s="83">
        <v>98.352259557780997</v>
      </c>
      <c r="N252" s="83">
        <v>100.963843982551</v>
      </c>
      <c r="O252" s="83">
        <v>102.47072227162499</v>
      </c>
      <c r="P252" s="83">
        <v>102.71231431117801</v>
      </c>
      <c r="Q252" s="83">
        <v>102.773439572999</v>
      </c>
      <c r="R252" s="83">
        <v>100</v>
      </c>
      <c r="S252" s="83">
        <v>99.814943387328</v>
      </c>
      <c r="T252" s="83">
        <v>98.138441528428103</v>
      </c>
      <c r="U252" s="83">
        <v>99.646325807305303</v>
      </c>
      <c r="V252" s="83">
        <v>102.132161691067</v>
      </c>
      <c r="W252" s="83">
        <v>100.132354905768</v>
      </c>
      <c r="X252" s="83">
        <v>103.499571212582</v>
      </c>
      <c r="Y252" s="83">
        <v>127.339251837449</v>
      </c>
      <c r="Z252" s="83">
        <v>128.18572877704</v>
      </c>
      <c r="AA252" s="83">
        <v>110.065573656653</v>
      </c>
      <c r="AB252" s="83">
        <v>105.521501357235</v>
      </c>
      <c r="AC252" s="83">
        <v>111.22837908396301</v>
      </c>
      <c r="AD252" s="83">
        <v>121.72791154538599</v>
      </c>
      <c r="AE252" s="84">
        <v>101.960166717581</v>
      </c>
      <c r="AF252" s="83">
        <v>93.346157771284496</v>
      </c>
      <c r="AG252" s="83">
        <v>94.502072193288896</v>
      </c>
      <c r="AH252" s="83">
        <v>94.992088298222598</v>
      </c>
      <c r="AI252" s="83">
        <v>94.992088298222797</v>
      </c>
      <c r="AJ252" s="83">
        <v>94.992088298222995</v>
      </c>
      <c r="AK252" s="83">
        <v>94.992088298222896</v>
      </c>
      <c r="AL252" s="83">
        <v>94.992088298222896</v>
      </c>
      <c r="AM252" s="82"/>
      <c r="AN252" s="82"/>
    </row>
    <row r="253" spans="1:40" x14ac:dyDescent="0.65">
      <c r="A253" s="82" t="s">
        <v>56</v>
      </c>
      <c r="B253" s="81" t="str">
        <f t="shared" si="11"/>
        <v>IMF.RES.GAS:GAS_LIVE_2026_JAN_GAS1_VINTAGE</v>
      </c>
      <c r="C253" s="81" t="s">
        <v>596</v>
      </c>
      <c r="D253" s="82"/>
      <c r="E253" s="85">
        <v>97.700381805766995</v>
      </c>
      <c r="F253" s="85">
        <v>99.636515434760994</v>
      </c>
      <c r="G253" s="85">
        <v>97.793489119715105</v>
      </c>
      <c r="H253" s="85">
        <v>91.932826612990993</v>
      </c>
      <c r="I253" s="83">
        <v>93.9300210392487</v>
      </c>
      <c r="J253" s="83">
        <v>97.366876708009798</v>
      </c>
      <c r="K253" s="83">
        <v>104.044738188172</v>
      </c>
      <c r="L253" s="83">
        <v>105.05836109459</v>
      </c>
      <c r="M253" s="83">
        <v>102.901032230444</v>
      </c>
      <c r="N253" s="83">
        <v>102.05354283144899</v>
      </c>
      <c r="O253" s="83">
        <v>102.424155757601</v>
      </c>
      <c r="P253" s="83">
        <v>106.02383255819301</v>
      </c>
      <c r="Q253" s="83">
        <v>104.22957371082001</v>
      </c>
      <c r="R253" s="83">
        <v>100</v>
      </c>
      <c r="S253" s="83">
        <v>98.271673590619301</v>
      </c>
      <c r="T253" s="83">
        <v>94.364583260681997</v>
      </c>
      <c r="U253" s="83">
        <v>98.162599734726101</v>
      </c>
      <c r="V253" s="83">
        <v>99.733343756648793</v>
      </c>
      <c r="W253" s="83">
        <v>87.274622352490994</v>
      </c>
      <c r="X253" s="83">
        <v>88.020421692075303</v>
      </c>
      <c r="Y253" s="83">
        <v>85.6384859248015</v>
      </c>
      <c r="Z253" s="83">
        <v>83.747274317408497</v>
      </c>
      <c r="AA253" s="83">
        <v>82.201421517182098</v>
      </c>
      <c r="AB253" s="83">
        <v>82.927834678670905</v>
      </c>
      <c r="AC253" s="83">
        <v>78.310162161791098</v>
      </c>
      <c r="AD253" s="83">
        <v>72.916803083190601</v>
      </c>
      <c r="AE253" s="84">
        <v>70.332169903069001</v>
      </c>
      <c r="AF253" s="83">
        <v>70.010210697438694</v>
      </c>
      <c r="AG253" s="83">
        <v>70.688047253391403</v>
      </c>
      <c r="AH253" s="83">
        <v>70.981482881070406</v>
      </c>
      <c r="AI253" s="83">
        <v>70.981482881070605</v>
      </c>
      <c r="AJ253" s="83">
        <v>70.981482881070605</v>
      </c>
      <c r="AK253" s="83">
        <v>70.981482881070605</v>
      </c>
      <c r="AL253" s="83">
        <v>70.981482881070505</v>
      </c>
      <c r="AM253" s="82"/>
      <c r="AN253" s="82"/>
    </row>
    <row r="254" spans="1:40" x14ac:dyDescent="0.65">
      <c r="A254" s="82" t="s">
        <v>57</v>
      </c>
      <c r="B254" s="81" t="str">
        <f t="shared" si="11"/>
        <v>IMF.RES.GAS:GAS_LIVE_2026_JAN_GAS1_VINTAGE</v>
      </c>
      <c r="C254" s="81" t="s">
        <v>597</v>
      </c>
      <c r="D254" s="82"/>
      <c r="E254" s="85">
        <v>65.739876440804494</v>
      </c>
      <c r="F254" s="85">
        <v>65.544757213181398</v>
      </c>
      <c r="G254" s="85">
        <v>70.065079664272901</v>
      </c>
      <c r="H254" s="85">
        <v>71.142243701922396</v>
      </c>
      <c r="I254" s="83">
        <v>73.608869973580198</v>
      </c>
      <c r="J254" s="83">
        <v>82.608419119868501</v>
      </c>
      <c r="K254" s="83">
        <v>78.930814179057705</v>
      </c>
      <c r="L254" s="83">
        <v>76.376624144679198</v>
      </c>
      <c r="M254" s="83">
        <v>81.957644317365606</v>
      </c>
      <c r="N254" s="83">
        <v>89.394276191267707</v>
      </c>
      <c r="O254" s="83">
        <v>96.006861686481699</v>
      </c>
      <c r="P254" s="83">
        <v>97.2719762986343</v>
      </c>
      <c r="Q254" s="83">
        <v>92.362083065761993</v>
      </c>
      <c r="R254" s="83">
        <v>100</v>
      </c>
      <c r="S254" s="83">
        <v>106.606749051487</v>
      </c>
      <c r="T254" s="83">
        <v>108.389503470859</v>
      </c>
      <c r="U254" s="83">
        <v>107.606150030352</v>
      </c>
      <c r="V254" s="83">
        <v>102.97775480471</v>
      </c>
      <c r="W254" s="83">
        <v>90.4972954623058</v>
      </c>
      <c r="X254" s="83">
        <v>84.521205325674501</v>
      </c>
      <c r="Y254" s="83">
        <v>84.209525789864699</v>
      </c>
      <c r="Z254" s="83">
        <v>83.8409117588822</v>
      </c>
      <c r="AA254" s="83">
        <v>83.281820941680394</v>
      </c>
      <c r="AB254" s="83">
        <v>72.314059128341796</v>
      </c>
      <c r="AC254" s="83">
        <v>81.864592181367698</v>
      </c>
      <c r="AD254" s="83">
        <v>83.831580454310497</v>
      </c>
      <c r="AE254" s="84">
        <v>76.149111983629794</v>
      </c>
      <c r="AF254" s="83">
        <v>76.618450653057494</v>
      </c>
      <c r="AG254" s="83">
        <v>78.325527429280996</v>
      </c>
      <c r="AH254" s="83">
        <v>79.691907073837896</v>
      </c>
      <c r="AI254" s="83">
        <v>79.691907073837896</v>
      </c>
      <c r="AJ254" s="83">
        <v>79.691907073837996</v>
      </c>
      <c r="AK254" s="83">
        <v>79.691907073837896</v>
      </c>
      <c r="AL254" s="83">
        <v>79.691907073837896</v>
      </c>
      <c r="AM254" s="82"/>
      <c r="AN254" s="82"/>
    </row>
    <row r="255" spans="1:40" x14ac:dyDescent="0.65">
      <c r="A255" s="82" t="s">
        <v>58</v>
      </c>
      <c r="B255" s="81" t="str">
        <f t="shared" si="11"/>
        <v>IMF.RES.GAS:GAS_LIVE_2026_JAN_GAS1_VINTAGE</v>
      </c>
      <c r="C255" s="81" t="s">
        <v>598</v>
      </c>
      <c r="D255" s="82"/>
      <c r="E255" s="85">
        <v>144.11259487790599</v>
      </c>
      <c r="F255" s="85">
        <v>134.744249680123</v>
      </c>
      <c r="G255" s="85">
        <v>123.639295207598</v>
      </c>
      <c r="H255" s="85">
        <v>123.336715296443</v>
      </c>
      <c r="I255" s="83">
        <v>118.04773178656301</v>
      </c>
      <c r="J255" s="83">
        <v>112.64744122766101</v>
      </c>
      <c r="K255" s="83">
        <v>114.811993508886</v>
      </c>
      <c r="L255" s="83">
        <v>110.715031806987</v>
      </c>
      <c r="M255" s="83">
        <v>105.11096886156901</v>
      </c>
      <c r="N255" s="83">
        <v>100.447789858227</v>
      </c>
      <c r="O255" s="83">
        <v>105.45174103478</v>
      </c>
      <c r="P255" s="83">
        <v>106.799225966376</v>
      </c>
      <c r="Q255" s="83">
        <v>102.782457113219</v>
      </c>
      <c r="R255" s="83">
        <v>100</v>
      </c>
      <c r="S255" s="83">
        <v>99.644627501028793</v>
      </c>
      <c r="T255" s="83">
        <v>106.54985995021499</v>
      </c>
      <c r="U255" s="83">
        <v>111.577071348385</v>
      </c>
      <c r="V255" s="83">
        <v>110.170326492597</v>
      </c>
      <c r="W255" s="83">
        <v>97.368427781923501</v>
      </c>
      <c r="X255" s="83">
        <v>97.322907912905094</v>
      </c>
      <c r="Y255" s="83">
        <v>97.490995199397403</v>
      </c>
      <c r="Z255" s="83">
        <v>92.192105058461607</v>
      </c>
      <c r="AA255" s="83">
        <v>88.910161700541707</v>
      </c>
      <c r="AB255" s="83">
        <v>92.888664580580595</v>
      </c>
      <c r="AC255" s="83">
        <v>88.433078085953497</v>
      </c>
      <c r="AD255" s="83">
        <v>77.118815571806607</v>
      </c>
      <c r="AE255" s="84">
        <v>76.482498944781995</v>
      </c>
      <c r="AF255" s="83">
        <v>75.541351078214404</v>
      </c>
      <c r="AG255" s="83">
        <v>78.533298387116702</v>
      </c>
      <c r="AH255" s="83">
        <v>79.798262336734396</v>
      </c>
      <c r="AI255" s="83">
        <v>79.798262336734396</v>
      </c>
      <c r="AJ255" s="83">
        <v>79.798262336734396</v>
      </c>
      <c r="AK255" s="83">
        <v>79.798262336734396</v>
      </c>
      <c r="AL255" s="83">
        <v>79.798262336734496</v>
      </c>
      <c r="AM255" s="82"/>
      <c r="AN255" s="82"/>
    </row>
    <row r="256" spans="1:40" x14ac:dyDescent="0.65">
      <c r="A256" s="82" t="s">
        <v>14</v>
      </c>
      <c r="B256" s="81" t="str">
        <f t="shared" si="11"/>
        <v>IMF.RES.GAS:GAS_LIVE_2026_JAN_GAS1_VINTAGE</v>
      </c>
      <c r="C256" s="81" t="s">
        <v>599</v>
      </c>
      <c r="D256" s="82"/>
      <c r="E256" s="85">
        <v>74.801243135541398</v>
      </c>
      <c r="F256" s="85">
        <v>75.849894877873396</v>
      </c>
      <c r="G256" s="85">
        <v>75.528266148435307</v>
      </c>
      <c r="H256" s="85">
        <v>75.475973217962107</v>
      </c>
      <c r="I256" s="83">
        <v>80.467806176594493</v>
      </c>
      <c r="J256" s="83">
        <v>85.626785562007001</v>
      </c>
      <c r="K256" s="83">
        <v>86.5986973061962</v>
      </c>
      <c r="L256" s="83">
        <v>86.326769217493293</v>
      </c>
      <c r="M256" s="83">
        <v>87.442675471544504</v>
      </c>
      <c r="N256" s="83">
        <v>87.262404203539603</v>
      </c>
      <c r="O256" s="83">
        <v>86.786886570250999</v>
      </c>
      <c r="P256" s="83">
        <v>90.224191686562506</v>
      </c>
      <c r="Q256" s="83">
        <v>94.629183995761693</v>
      </c>
      <c r="R256" s="83">
        <v>100</v>
      </c>
      <c r="S256" s="83">
        <v>113.528135839352</v>
      </c>
      <c r="T256" s="83">
        <v>111.243362516818</v>
      </c>
      <c r="U256" s="83">
        <v>109.71813732432901</v>
      </c>
      <c r="V256" s="83">
        <v>110.89597310215601</v>
      </c>
      <c r="W256" s="83">
        <v>119.23742245467</v>
      </c>
      <c r="X256" s="83">
        <v>115.524878047006</v>
      </c>
      <c r="Y256" s="83">
        <v>114.25984359021</v>
      </c>
      <c r="Z256" s="83">
        <v>108.244474692445</v>
      </c>
      <c r="AA256" s="83">
        <v>109.08972643241199</v>
      </c>
      <c r="AB256" s="83">
        <v>111.323020391171</v>
      </c>
      <c r="AC256" s="83">
        <v>112.490884460842</v>
      </c>
      <c r="AD256" s="83">
        <v>116.900087265856</v>
      </c>
      <c r="AE256" s="84">
        <v>119.05406084156201</v>
      </c>
      <c r="AF256" s="83">
        <v>118.18502000446099</v>
      </c>
      <c r="AG256" s="83">
        <v>119.61860270513399</v>
      </c>
      <c r="AH256" s="83">
        <v>121.42275048458301</v>
      </c>
      <c r="AI256" s="83">
        <v>121.42275048458301</v>
      </c>
      <c r="AJ256" s="83">
        <v>121.42275048458301</v>
      </c>
      <c r="AK256" s="83">
        <v>121.42275048458301</v>
      </c>
      <c r="AL256" s="83">
        <v>121.42275048458301</v>
      </c>
      <c r="AM256" s="82"/>
      <c r="AN256" s="82"/>
    </row>
    <row r="257" spans="1:40" x14ac:dyDescent="0.65">
      <c r="A257" s="82" t="s">
        <v>59</v>
      </c>
      <c r="B257" s="81" t="str">
        <f t="shared" si="11"/>
        <v>IMF.RES.GAS:GAS_LIVE_2026_JAN_GAS1_VINTAGE</v>
      </c>
      <c r="C257" s="81" t="s">
        <v>600</v>
      </c>
      <c r="D257" s="82"/>
      <c r="E257" s="85">
        <v>126.184990883273</v>
      </c>
      <c r="F257" s="85">
        <v>123.872561060973</v>
      </c>
      <c r="G257" s="85">
        <v>116.29884669963801</v>
      </c>
      <c r="H257" s="85">
        <v>104.07447714273501</v>
      </c>
      <c r="I257" s="83">
        <v>103.36202113557</v>
      </c>
      <c r="J257" s="83">
        <v>100.52152706540301</v>
      </c>
      <c r="K257" s="83">
        <v>100.67373838015099</v>
      </c>
      <c r="L257" s="83">
        <v>102.020133241756</v>
      </c>
      <c r="M257" s="83">
        <v>102.854293345911</v>
      </c>
      <c r="N257" s="83">
        <v>98.142007540874602</v>
      </c>
      <c r="O257" s="83">
        <v>95.355432712055503</v>
      </c>
      <c r="P257" s="83">
        <v>97.430928779357998</v>
      </c>
      <c r="Q257" s="83">
        <v>110.68126619356499</v>
      </c>
      <c r="R257" s="83">
        <v>99.999999999999901</v>
      </c>
      <c r="S257" s="83">
        <v>104.107031515017</v>
      </c>
      <c r="T257" s="83">
        <v>112.48511010377</v>
      </c>
      <c r="U257" s="83">
        <v>107.590295471552</v>
      </c>
      <c r="V257" s="83">
        <v>107.855215379996</v>
      </c>
      <c r="W257" s="83">
        <v>104.606764973249</v>
      </c>
      <c r="X257" s="83">
        <v>100.649894747229</v>
      </c>
      <c r="Y257" s="83">
        <v>93.605869121521806</v>
      </c>
      <c r="Z257" s="83">
        <v>99.747822785698702</v>
      </c>
      <c r="AA257" s="83">
        <v>93.864630348161796</v>
      </c>
      <c r="AB257" s="83">
        <v>90.577892478919495</v>
      </c>
      <c r="AC257" s="83">
        <v>101.28138831682401</v>
      </c>
      <c r="AD257" s="83">
        <v>110.181915959533</v>
      </c>
      <c r="AE257" s="84">
        <v>112.797674463287</v>
      </c>
      <c r="AF257" s="83">
        <v>105.919759929072</v>
      </c>
      <c r="AG257" s="83">
        <v>103.426521615875</v>
      </c>
      <c r="AH257" s="83">
        <v>104.029283497279</v>
      </c>
      <c r="AI257" s="83">
        <v>104.029283497279</v>
      </c>
      <c r="AJ257" s="83">
        <v>104.029283497279</v>
      </c>
      <c r="AK257" s="83">
        <v>104.029283497279</v>
      </c>
      <c r="AL257" s="83">
        <v>104.029283497279</v>
      </c>
      <c r="AM257" s="82"/>
      <c r="AN257" s="82"/>
    </row>
    <row r="258" spans="1:40" x14ac:dyDescent="0.65">
      <c r="A258" s="82" t="s">
        <v>60</v>
      </c>
      <c r="B258" s="81" t="str">
        <f t="shared" si="11"/>
        <v>IMF.RES.GAS:GAS_LIVE_2026_JAN_GAS1_VINTAGE</v>
      </c>
      <c r="C258" s="81" t="s">
        <v>601</v>
      </c>
      <c r="D258" s="82"/>
      <c r="E258" s="85">
        <v>94.896671167777797</v>
      </c>
      <c r="F258" s="85">
        <v>90.655830050373098</v>
      </c>
      <c r="G258" s="85">
        <v>87.9050785850865</v>
      </c>
      <c r="H258" s="85">
        <v>83.036552677868002</v>
      </c>
      <c r="I258" s="83">
        <v>82.044365616536396</v>
      </c>
      <c r="J258" s="83">
        <v>99.2103674421232</v>
      </c>
      <c r="K258" s="83">
        <v>100.328224720546</v>
      </c>
      <c r="L258" s="83">
        <v>101.000735464276</v>
      </c>
      <c r="M258" s="83">
        <v>96.677565045147702</v>
      </c>
      <c r="N258" s="83">
        <v>99.665472940131593</v>
      </c>
      <c r="O258" s="83">
        <v>102.03276479928699</v>
      </c>
      <c r="P258" s="83">
        <v>100.12110824676699</v>
      </c>
      <c r="Q258" s="83">
        <v>100.581470840935</v>
      </c>
      <c r="R258" s="83">
        <v>100</v>
      </c>
      <c r="S258" s="83">
        <v>100.01367266769699</v>
      </c>
      <c r="T258" s="83">
        <v>89.704045211324399</v>
      </c>
      <c r="U258" s="83">
        <v>83.736755874635804</v>
      </c>
      <c r="V258" s="83">
        <v>83.619774239557799</v>
      </c>
      <c r="W258" s="83">
        <v>80.820731183315701</v>
      </c>
      <c r="X258" s="83">
        <v>83.294102264563506</v>
      </c>
      <c r="Y258" s="83">
        <v>79.816523460796105</v>
      </c>
      <c r="Z258" s="83">
        <v>75.519610970210394</v>
      </c>
      <c r="AA258" s="83">
        <v>73.912412764080798</v>
      </c>
      <c r="AB258" s="83">
        <v>64.416958096876996</v>
      </c>
      <c r="AC258" s="83">
        <v>66.093970041996997</v>
      </c>
      <c r="AD258" s="83">
        <v>61.2983899477885</v>
      </c>
      <c r="AE258" s="84">
        <v>62.262005062610001</v>
      </c>
      <c r="AF258" s="83">
        <v>61.931836156809098</v>
      </c>
      <c r="AG258" s="83">
        <v>62.733815625828299</v>
      </c>
      <c r="AH258" s="83">
        <v>63.2601821147598</v>
      </c>
      <c r="AI258" s="83">
        <v>63.2601821147598</v>
      </c>
      <c r="AJ258" s="83">
        <v>63.260182114759701</v>
      </c>
      <c r="AK258" s="83">
        <v>63.260182114759701</v>
      </c>
      <c r="AL258" s="83">
        <v>63.260182114759601</v>
      </c>
      <c r="AM258" s="82"/>
      <c r="AN258" s="82"/>
    </row>
    <row r="259" spans="1:40" x14ac:dyDescent="0.65">
      <c r="A259" s="82" t="s">
        <v>62</v>
      </c>
      <c r="B259" s="81" t="str">
        <f t="shared" si="11"/>
        <v>IMF.RES.GAS:GAS_LIVE_2026_JAN_GAS1_VINTAGE</v>
      </c>
      <c r="C259" s="81" t="s">
        <v>602</v>
      </c>
      <c r="D259" s="82"/>
      <c r="E259" s="85">
        <v>162.310908094197</v>
      </c>
      <c r="F259" s="85">
        <v>146.66657698990801</v>
      </c>
      <c r="G259" s="85">
        <v>134.414287063139</v>
      </c>
      <c r="H259" s="85">
        <v>124.289539597448</v>
      </c>
      <c r="I259" s="83">
        <v>120.76672268903</v>
      </c>
      <c r="J259" s="83">
        <v>114.14074030544499</v>
      </c>
      <c r="K259" s="83">
        <v>126.474730414882</v>
      </c>
      <c r="L259" s="83">
        <v>131.70659417387401</v>
      </c>
      <c r="M259" s="83">
        <v>140.60545421448001</v>
      </c>
      <c r="N259" s="83">
        <v>141.28280057506299</v>
      </c>
      <c r="O259" s="83">
        <v>138.48064056544899</v>
      </c>
      <c r="P259" s="83">
        <v>137.07080892936401</v>
      </c>
      <c r="Q259" s="83">
        <v>117.039221217918</v>
      </c>
      <c r="R259" s="83">
        <v>100</v>
      </c>
      <c r="S259" s="83">
        <v>95.258227454167297</v>
      </c>
      <c r="T259" s="83">
        <v>90.703685180786707</v>
      </c>
      <c r="U259" s="83">
        <v>91.889106611265007</v>
      </c>
      <c r="V259" s="83">
        <v>93.908289057415999</v>
      </c>
      <c r="W259" s="83">
        <v>84.725534100880395</v>
      </c>
      <c r="X259" s="83">
        <v>86.359762265875702</v>
      </c>
      <c r="Y259" s="83">
        <v>88.752435204415804</v>
      </c>
      <c r="Z259" s="83">
        <v>90.956901259356002</v>
      </c>
      <c r="AA259" s="83">
        <v>87.499693089334102</v>
      </c>
      <c r="AB259" s="83">
        <v>80.458468453996005</v>
      </c>
      <c r="AC259" s="83">
        <v>79.345799217908095</v>
      </c>
      <c r="AD259" s="83">
        <v>75.492990379631806</v>
      </c>
      <c r="AE259" s="84">
        <v>80.573967016235102</v>
      </c>
      <c r="AF259" s="83">
        <v>82.437703238611405</v>
      </c>
      <c r="AG259" s="83">
        <v>79.759850026183202</v>
      </c>
      <c r="AH259" s="83">
        <v>81.770102824381198</v>
      </c>
      <c r="AI259" s="83">
        <v>81.770102824381198</v>
      </c>
      <c r="AJ259" s="83">
        <v>81.770102824381297</v>
      </c>
      <c r="AK259" s="83">
        <v>81.770102824381397</v>
      </c>
      <c r="AL259" s="83">
        <v>81.770102824381397</v>
      </c>
      <c r="AM259" s="82"/>
      <c r="AN259" s="82"/>
    </row>
    <row r="260" spans="1:40" x14ac:dyDescent="0.65">
      <c r="A260" s="82" t="s">
        <v>63</v>
      </c>
      <c r="B260" s="81" t="str">
        <f t="shared" si="11"/>
        <v>IMF.RES.GAS:GAS_LIVE_2026_JAN_GAS1_VINTAGE</v>
      </c>
      <c r="C260" s="81" t="s">
        <v>603</v>
      </c>
      <c r="D260" s="82"/>
      <c r="E260" s="85">
        <v>93.332463383742805</v>
      </c>
      <c r="F260" s="85">
        <v>94.313198055478594</v>
      </c>
      <c r="G260" s="85">
        <v>94.599992293304595</v>
      </c>
      <c r="H260" s="85">
        <v>92.4141218001634</v>
      </c>
      <c r="I260" s="83">
        <v>92.546313183300498</v>
      </c>
      <c r="J260" s="83">
        <v>93.836967030812403</v>
      </c>
      <c r="K260" s="83">
        <v>96.494910697131701</v>
      </c>
      <c r="L260" s="83">
        <v>98.460068930000006</v>
      </c>
      <c r="M260" s="83">
        <v>100.808437807372</v>
      </c>
      <c r="N260" s="83">
        <v>102.266504989029</v>
      </c>
      <c r="O260" s="83">
        <v>102.14292532398601</v>
      </c>
      <c r="P260" s="83">
        <v>101.01718149838</v>
      </c>
      <c r="Q260" s="83">
        <v>98.838415605660799</v>
      </c>
      <c r="R260" s="83">
        <v>100</v>
      </c>
      <c r="S260" s="83">
        <v>100.518973947349</v>
      </c>
      <c r="T260" s="83">
        <v>95.124294358532197</v>
      </c>
      <c r="U260" s="83">
        <v>93.103928276671596</v>
      </c>
      <c r="V260" s="83">
        <v>92.909428235260094</v>
      </c>
      <c r="W260" s="83">
        <v>90.715616239588797</v>
      </c>
      <c r="X260" s="83">
        <v>91.645137185237999</v>
      </c>
      <c r="Y260" s="83">
        <v>94.704176151539201</v>
      </c>
      <c r="Z260" s="83">
        <v>96.732021711979897</v>
      </c>
      <c r="AA260" s="83">
        <v>96.5783379976954</v>
      </c>
      <c r="AB260" s="83">
        <v>100.296265246145</v>
      </c>
      <c r="AC260" s="83">
        <v>105.578281120247</v>
      </c>
      <c r="AD260" s="83">
        <v>103.184552861311</v>
      </c>
      <c r="AE260" s="84">
        <v>99.547124343338993</v>
      </c>
      <c r="AF260" s="83">
        <v>96.315058048894798</v>
      </c>
      <c r="AG260" s="83">
        <v>96.324720261781195</v>
      </c>
      <c r="AH260" s="83">
        <v>96.817607187351101</v>
      </c>
      <c r="AI260" s="83">
        <v>96.817607187351001</v>
      </c>
      <c r="AJ260" s="83">
        <v>96.817607187351001</v>
      </c>
      <c r="AK260" s="83">
        <v>96.817607187351101</v>
      </c>
      <c r="AL260" s="83">
        <v>96.8176071873512</v>
      </c>
      <c r="AM260" s="82"/>
      <c r="AN260" s="82"/>
    </row>
    <row r="261" spans="1:40" x14ac:dyDescent="0.65">
      <c r="A261" s="82" t="s">
        <v>64</v>
      </c>
      <c r="B261" s="81" t="str">
        <f t="shared" si="11"/>
        <v>IMF.RES.GAS:GAS_LIVE_2026_JAN_GAS1_VINTAGE</v>
      </c>
      <c r="C261" s="81" t="s">
        <v>604</v>
      </c>
      <c r="D261" s="82"/>
      <c r="E261" s="85">
        <v>82.116956107084803</v>
      </c>
      <c r="F261" s="85">
        <v>81.747040097260495</v>
      </c>
      <c r="G261" s="85">
        <v>79.602293225883798</v>
      </c>
      <c r="H261" s="85">
        <v>79.0665988221985</v>
      </c>
      <c r="I261" s="83">
        <v>80.113591688134505</v>
      </c>
      <c r="J261" s="83">
        <v>81.949808276116499</v>
      </c>
      <c r="K261" s="83">
        <v>86.8475959646413</v>
      </c>
      <c r="L261" s="83">
        <v>90.144745716330704</v>
      </c>
      <c r="M261" s="83">
        <v>93.229570801979605</v>
      </c>
      <c r="N261" s="83">
        <v>96.098383138333006</v>
      </c>
      <c r="O261" s="83">
        <v>101.478401883258</v>
      </c>
      <c r="P261" s="83">
        <v>105.932775750986</v>
      </c>
      <c r="Q261" s="83">
        <v>104.673700844729</v>
      </c>
      <c r="R261" s="83">
        <v>99.999999999999901</v>
      </c>
      <c r="S261" s="83">
        <v>97.9724444151081</v>
      </c>
      <c r="T261" s="83">
        <v>93.196335597721898</v>
      </c>
      <c r="U261" s="83">
        <v>90.729039774008001</v>
      </c>
      <c r="V261" s="83">
        <v>88.119041714323103</v>
      </c>
      <c r="W261" s="83">
        <v>81.719517008657505</v>
      </c>
      <c r="X261" s="83">
        <v>83.839588341482099</v>
      </c>
      <c r="Y261" s="83">
        <v>82.619733152139801</v>
      </c>
      <c r="Z261" s="83">
        <v>85.260077776085893</v>
      </c>
      <c r="AA261" s="83">
        <v>84.239193122211205</v>
      </c>
      <c r="AB261" s="83">
        <v>93.283982460365806</v>
      </c>
      <c r="AC261" s="83">
        <v>87.419728700201503</v>
      </c>
      <c r="AD261" s="83">
        <v>82.858770649512493</v>
      </c>
      <c r="AE261" s="84">
        <v>84.000087952776198</v>
      </c>
      <c r="AF261" s="83">
        <v>83.969618830689001</v>
      </c>
      <c r="AG261" s="83">
        <v>85.050804859387497</v>
      </c>
      <c r="AH261" s="83">
        <v>85.750461344408507</v>
      </c>
      <c r="AI261" s="83">
        <v>85.750461344408507</v>
      </c>
      <c r="AJ261" s="83">
        <v>85.750461344408194</v>
      </c>
      <c r="AK261" s="83">
        <v>85.750461344408293</v>
      </c>
      <c r="AL261" s="83">
        <v>85.750461344408507</v>
      </c>
      <c r="AM261" s="82"/>
      <c r="AN261" s="82"/>
    </row>
    <row r="262" spans="1:40" x14ac:dyDescent="0.65">
      <c r="A262" s="82" t="s">
        <v>65</v>
      </c>
      <c r="B262" s="81" t="str">
        <f t="shared" si="11"/>
        <v>IMF.RES.GAS:GAS_LIVE_2026_JAN_GAS1_VINTAGE</v>
      </c>
      <c r="C262" s="81" t="s">
        <v>605</v>
      </c>
      <c r="D262" s="82"/>
      <c r="E262" s="85">
        <v>60.893874130627701</v>
      </c>
      <c r="F262" s="85">
        <v>54.6483324938702</v>
      </c>
      <c r="G262" s="85">
        <v>56.313516908294098</v>
      </c>
      <c r="H262" s="85">
        <v>54.991969586208903</v>
      </c>
      <c r="I262" s="83">
        <v>51.773358750233399</v>
      </c>
      <c r="J262" s="83">
        <v>55.224230312984403</v>
      </c>
      <c r="K262" s="83">
        <v>62.561246790803096</v>
      </c>
      <c r="L262" s="83">
        <v>70.182911434276207</v>
      </c>
      <c r="M262" s="83">
        <v>75.6622056730655</v>
      </c>
      <c r="N262" s="83">
        <v>78.647886094084797</v>
      </c>
      <c r="O262" s="83">
        <v>88.066901303171903</v>
      </c>
      <c r="P262" s="83">
        <v>87.3248250759234</v>
      </c>
      <c r="Q262" s="83">
        <v>80.811364485743297</v>
      </c>
      <c r="R262" s="83">
        <v>100</v>
      </c>
      <c r="S262" s="83">
        <v>111.060754203375</v>
      </c>
      <c r="T262" s="83">
        <v>111.84799325839199</v>
      </c>
      <c r="U262" s="83">
        <v>105.346139012145</v>
      </c>
      <c r="V262" s="83">
        <v>99.894904356202005</v>
      </c>
      <c r="W262" s="83">
        <v>91.710792698248397</v>
      </c>
      <c r="X262" s="83">
        <v>90.981181698403901</v>
      </c>
      <c r="Y262" s="83">
        <v>94.510892610826801</v>
      </c>
      <c r="Z262" s="83">
        <v>90.353709764044297</v>
      </c>
      <c r="AA262" s="83">
        <v>86.245053319594504</v>
      </c>
      <c r="AB262" s="83">
        <v>83.899909260616795</v>
      </c>
      <c r="AC262" s="83">
        <v>90.351852960040702</v>
      </c>
      <c r="AD262" s="83">
        <v>91.165868017372603</v>
      </c>
      <c r="AE262" s="84">
        <v>87.564996607918502</v>
      </c>
      <c r="AF262" s="83">
        <v>89.946944106064095</v>
      </c>
      <c r="AG262" s="83">
        <v>87.697267063659098</v>
      </c>
      <c r="AH262" s="83">
        <v>88.686172244324695</v>
      </c>
      <c r="AI262" s="83">
        <v>88.686172244324894</v>
      </c>
      <c r="AJ262" s="83">
        <v>88.686172244324695</v>
      </c>
      <c r="AK262" s="83">
        <v>88.686172244324695</v>
      </c>
      <c r="AL262" s="83">
        <v>88.686172244324695</v>
      </c>
      <c r="AM262" s="82"/>
      <c r="AN262" s="82"/>
    </row>
    <row r="263" spans="1:40" x14ac:dyDescent="0.65">
      <c r="A263" s="82" t="s">
        <v>66</v>
      </c>
      <c r="B263" s="81" t="str">
        <f t="shared" si="11"/>
        <v>IMF.RES.GAS:GAS_LIVE_2026_JAN_GAS1_VINTAGE</v>
      </c>
      <c r="C263" s="81" t="s">
        <v>606</v>
      </c>
      <c r="D263" s="82"/>
      <c r="E263" s="85">
        <v>89.115579205627995</v>
      </c>
      <c r="F263" s="85">
        <v>78.341943351536401</v>
      </c>
      <c r="G263" s="85">
        <v>74.981146936323398</v>
      </c>
      <c r="H263" s="85">
        <v>65.997172158390896</v>
      </c>
      <c r="I263" s="83">
        <v>66.915837164643904</v>
      </c>
      <c r="J263" s="83">
        <v>72.116410597092795</v>
      </c>
      <c r="K263" s="83">
        <v>83.393680701035606</v>
      </c>
      <c r="L263" s="83">
        <v>92.639461240728707</v>
      </c>
      <c r="M263" s="83">
        <v>102.020536338626</v>
      </c>
      <c r="N263" s="83">
        <v>98.626751872731901</v>
      </c>
      <c r="O263" s="83">
        <v>106.32165427512</v>
      </c>
      <c r="P263" s="83">
        <v>99.1741046123839</v>
      </c>
      <c r="Q263" s="83">
        <v>88.752126763524601</v>
      </c>
      <c r="R263" s="83">
        <v>100</v>
      </c>
      <c r="S263" s="83">
        <v>103.639217625615</v>
      </c>
      <c r="T263" s="83">
        <v>106.31672780180099</v>
      </c>
      <c r="U263" s="83">
        <v>109.91627733929</v>
      </c>
      <c r="V263" s="83">
        <v>114.565020638326</v>
      </c>
      <c r="W263" s="83">
        <v>107.783112029956</v>
      </c>
      <c r="X263" s="83">
        <v>109.654717693687</v>
      </c>
      <c r="Y263" s="83">
        <v>113.350291744446</v>
      </c>
      <c r="Z263" s="83">
        <v>108.15776076623099</v>
      </c>
      <c r="AA263" s="83">
        <v>104.209512771943</v>
      </c>
      <c r="AB263" s="83">
        <v>103.974572696691</v>
      </c>
      <c r="AC263" s="83">
        <v>109.118665361813</v>
      </c>
      <c r="AD263" s="83">
        <v>105.73500849077701</v>
      </c>
      <c r="AE263" s="84">
        <v>103.616041827337</v>
      </c>
      <c r="AF263" s="83">
        <v>104.095323003887</v>
      </c>
      <c r="AG263" s="83">
        <v>98.181725212575202</v>
      </c>
      <c r="AH263" s="83">
        <v>95.4684340113606</v>
      </c>
      <c r="AI263" s="83">
        <v>95.4684340113605</v>
      </c>
      <c r="AJ263" s="83">
        <v>95.4684340113606</v>
      </c>
      <c r="AK263" s="83">
        <v>95.4684340113606</v>
      </c>
      <c r="AL263" s="83">
        <v>95.468434011360699</v>
      </c>
      <c r="AM263" s="82"/>
      <c r="AN263" s="82"/>
    </row>
    <row r="264" spans="1:40" ht="12" customHeight="1" x14ac:dyDescent="0.65">
      <c r="B264" s="11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40" x14ac:dyDescent="0.65">
      <c r="A265" s="1" t="s">
        <v>72</v>
      </c>
      <c r="B265" s="11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40" x14ac:dyDescent="0.65">
      <c r="A266" s="82" t="s">
        <v>10</v>
      </c>
      <c r="B266" s="81" t="str">
        <f t="shared" si="11"/>
        <v>IMF.RES.GAS:GAS_LIVE_2026_JAN_GAS1_VINTAGE</v>
      </c>
      <c r="C266" s="81" t="s">
        <v>607</v>
      </c>
      <c r="D266" s="82"/>
      <c r="E266" s="85">
        <v>117.557998826437</v>
      </c>
      <c r="F266" s="83">
        <v>126.85740208412</v>
      </c>
      <c r="G266" s="83">
        <v>124.01491708933899</v>
      </c>
      <c r="H266" s="83">
        <v>128.60265331132999</v>
      </c>
      <c r="I266" s="83">
        <v>136.858652625899</v>
      </c>
      <c r="J266" s="83">
        <v>135.54348888419099</v>
      </c>
      <c r="K266" s="83">
        <v>121.056446154898</v>
      </c>
      <c r="L266" s="83">
        <v>112.14031869903</v>
      </c>
      <c r="M266" s="83">
        <v>109.55244022433</v>
      </c>
      <c r="N266" s="83">
        <v>107.905810158587</v>
      </c>
      <c r="O266" s="83">
        <v>102.389075745152</v>
      </c>
      <c r="P266" s="83">
        <v>98.495388577865796</v>
      </c>
      <c r="Q266" s="83">
        <v>103.248819830911</v>
      </c>
      <c r="R266" s="83">
        <v>100</v>
      </c>
      <c r="S266" s="83">
        <v>94.191479356712804</v>
      </c>
      <c r="T266" s="83">
        <v>97.485326673589697</v>
      </c>
      <c r="U266" s="83">
        <v>99.7641509008659</v>
      </c>
      <c r="V266" s="83">
        <v>102.095876885948</v>
      </c>
      <c r="W266" s="83">
        <v>117.03145455808</v>
      </c>
      <c r="X266" s="83">
        <v>117.71126664569699</v>
      </c>
      <c r="Y266" s="83">
        <v>116.501276754998</v>
      </c>
      <c r="Z266" s="83">
        <v>113.68621590911</v>
      </c>
      <c r="AA266" s="83">
        <v>117.592031270371</v>
      </c>
      <c r="AB266" s="83">
        <v>116.31076372245199</v>
      </c>
      <c r="AC266" s="83">
        <v>112.023144621149</v>
      </c>
      <c r="AD266" s="83">
        <v>123.92758090782699</v>
      </c>
      <c r="AE266" s="84">
        <v>125.012823362657</v>
      </c>
      <c r="AF266" s="83">
        <v>126.99524692841401</v>
      </c>
      <c r="AG266" s="83">
        <v>124.93083204398</v>
      </c>
      <c r="AH266" s="83">
        <v>123.59176882277301</v>
      </c>
      <c r="AI266" s="83">
        <v>123.102744686501</v>
      </c>
      <c r="AJ266" s="83">
        <v>122.485791235739</v>
      </c>
      <c r="AK266" s="83">
        <v>122.050286442588</v>
      </c>
      <c r="AL266" s="83">
        <v>121.46813354801399</v>
      </c>
      <c r="AM266" s="82"/>
      <c r="AN266" s="82"/>
    </row>
    <row r="267" spans="1:40" x14ac:dyDescent="0.65">
      <c r="A267" s="82" t="s">
        <v>11</v>
      </c>
      <c r="B267" s="81" t="str">
        <f t="shared" si="11"/>
        <v>IMF.RES.GAS:GAS_LIVE_2026_JAN_GAS1_VINTAGE</v>
      </c>
      <c r="C267" s="81" t="s">
        <v>608</v>
      </c>
      <c r="D267" s="82"/>
      <c r="E267" s="85">
        <v>93.418435886302305</v>
      </c>
      <c r="F267" s="83">
        <v>95.224005131752307</v>
      </c>
      <c r="G267" s="83">
        <v>90.388910020788003</v>
      </c>
      <c r="H267" s="83">
        <v>80.510408526706797</v>
      </c>
      <c r="I267" s="83">
        <v>81.615453366333298</v>
      </c>
      <c r="J267" s="83">
        <v>84.358614290461603</v>
      </c>
      <c r="K267" s="83">
        <v>94.3739870269291</v>
      </c>
      <c r="L267" s="83">
        <v>97.895810347351201</v>
      </c>
      <c r="M267" s="83">
        <v>97.024249686847995</v>
      </c>
      <c r="N267" s="83">
        <v>97.330972012956806</v>
      </c>
      <c r="O267" s="83">
        <v>101.934562918469</v>
      </c>
      <c r="P267" s="83">
        <v>107.473378303861</v>
      </c>
      <c r="Q267" s="83">
        <v>107.94923258546601</v>
      </c>
      <c r="R267" s="83">
        <v>100</v>
      </c>
      <c r="S267" s="83">
        <v>99.431153753292506</v>
      </c>
      <c r="T267" s="83">
        <v>93.608194574512098</v>
      </c>
      <c r="U267" s="83">
        <v>98.4388019230786</v>
      </c>
      <c r="V267" s="83">
        <v>99.067141553926902</v>
      </c>
      <c r="W267" s="83">
        <v>89.169292371607199</v>
      </c>
      <c r="X267" s="83">
        <v>90.439041170959101</v>
      </c>
      <c r="Y267" s="83">
        <v>92.397957583262794</v>
      </c>
      <c r="Z267" s="83">
        <v>95.419603670608595</v>
      </c>
      <c r="AA267" s="83">
        <v>92.616748315752105</v>
      </c>
      <c r="AB267" s="83">
        <v>93.642997438546104</v>
      </c>
      <c r="AC267" s="83">
        <v>94.362121117764303</v>
      </c>
      <c r="AD267" s="83">
        <v>89.786596172641495</v>
      </c>
      <c r="AE267" s="84">
        <v>92.955390699554101</v>
      </c>
      <c r="AF267" s="83">
        <v>93.703425684340999</v>
      </c>
      <c r="AG267" s="83">
        <v>96.102076443056404</v>
      </c>
      <c r="AH267" s="83">
        <v>97.861311622639505</v>
      </c>
      <c r="AI267" s="83">
        <v>97.122782399741197</v>
      </c>
      <c r="AJ267" s="83">
        <v>96.427630039381995</v>
      </c>
      <c r="AK267" s="83">
        <v>95.899874705487605</v>
      </c>
      <c r="AL267" s="83">
        <v>95.326306354050999</v>
      </c>
      <c r="AM267" s="82"/>
      <c r="AN267" s="82"/>
    </row>
    <row r="268" spans="1:40" x14ac:dyDescent="0.65">
      <c r="A268" s="82" t="s">
        <v>129</v>
      </c>
      <c r="B268" s="81" t="str">
        <f t="shared" si="11"/>
        <v>IMF.RES.GAS:GAS_LIVE_2026_JAN_GAS1_VINTAGE</v>
      </c>
      <c r="C268" s="81" t="s">
        <v>609</v>
      </c>
      <c r="D268" s="82"/>
      <c r="E268" s="85">
        <v>98.087523124641507</v>
      </c>
      <c r="F268" s="83">
        <v>99.2152316684883</v>
      </c>
      <c r="G268" s="83">
        <v>96.678476754465507</v>
      </c>
      <c r="H268" s="83">
        <v>91.3570145544995</v>
      </c>
      <c r="I268" s="83">
        <v>91.900697938370499</v>
      </c>
      <c r="J268" s="83">
        <v>93.204424719888607</v>
      </c>
      <c r="K268" s="83">
        <v>98.395046666843001</v>
      </c>
      <c r="L268" s="83">
        <v>100.196615868347</v>
      </c>
      <c r="M268" s="83">
        <v>99.619221615074196</v>
      </c>
      <c r="N268" s="83">
        <v>99.690833830868399</v>
      </c>
      <c r="O268" s="83">
        <v>101.79405701792</v>
      </c>
      <c r="P268" s="83">
        <v>103.81585948672</v>
      </c>
      <c r="Q268" s="83">
        <v>103.849974233297</v>
      </c>
      <c r="R268" s="83">
        <v>99.999999999999901</v>
      </c>
      <c r="S268" s="83">
        <v>99.447421591464504</v>
      </c>
      <c r="T268" s="83">
        <v>96.685557994769496</v>
      </c>
      <c r="U268" s="83">
        <v>99.245449177940301</v>
      </c>
      <c r="V268" s="83">
        <v>99.724972520870494</v>
      </c>
      <c r="W268" s="83">
        <v>94.573531162339904</v>
      </c>
      <c r="X268" s="83">
        <v>95.182919454819498</v>
      </c>
      <c r="Y268" s="83">
        <v>96.149276291751406</v>
      </c>
      <c r="Z268" s="83">
        <v>97.602189840787005</v>
      </c>
      <c r="AA268" s="83">
        <v>96.2099398406734</v>
      </c>
      <c r="AB268" s="83">
        <v>96.704534174293499</v>
      </c>
      <c r="AC268" s="83">
        <v>96.9971426827953</v>
      </c>
      <c r="AD268" s="83">
        <v>94.659728267195604</v>
      </c>
      <c r="AE268" s="84">
        <v>96.086714135358207</v>
      </c>
      <c r="AF268" s="83">
        <v>96.595299917150896</v>
      </c>
      <c r="AG268" s="83">
        <v>97.652582957175198</v>
      </c>
      <c r="AH268" s="83">
        <v>98.765575406696598</v>
      </c>
      <c r="AI268" s="83">
        <v>99.049657673450497</v>
      </c>
      <c r="AJ268" s="83">
        <v>99.240891784117693</v>
      </c>
      <c r="AK268" s="83">
        <v>99.417973219523006</v>
      </c>
      <c r="AL268" s="83">
        <v>99.567443985720502</v>
      </c>
      <c r="AM268" s="82"/>
      <c r="AN268" s="82"/>
    </row>
    <row r="269" spans="1:40" x14ac:dyDescent="0.65">
      <c r="A269" s="82" t="s">
        <v>130</v>
      </c>
      <c r="B269" s="81" t="str">
        <f t="shared" si="11"/>
        <v>IMF.RES.GAS:GAS_LIVE_2026_JAN_GAS1_VINTAGE</v>
      </c>
      <c r="C269" s="81" t="s">
        <v>610</v>
      </c>
      <c r="D269" s="82"/>
      <c r="E269" s="85">
        <v>97.112608230844501</v>
      </c>
      <c r="F269" s="83">
        <v>98.252840409417999</v>
      </c>
      <c r="G269" s="83">
        <v>96.155036775496995</v>
      </c>
      <c r="H269" s="83">
        <v>91.730013578551294</v>
      </c>
      <c r="I269" s="83">
        <v>92.205509353538901</v>
      </c>
      <c r="J269" s="83">
        <v>93.465125706926699</v>
      </c>
      <c r="K269" s="83">
        <v>97.859546047857606</v>
      </c>
      <c r="L269" s="83">
        <v>99.344732963324901</v>
      </c>
      <c r="M269" s="83">
        <v>99.078246224491593</v>
      </c>
      <c r="N269" s="83">
        <v>99.223266103266994</v>
      </c>
      <c r="O269" s="83">
        <v>100.947031111437</v>
      </c>
      <c r="P269" s="83">
        <v>102.87758428718099</v>
      </c>
      <c r="Q269" s="83">
        <v>102.865424610776</v>
      </c>
      <c r="R269" s="83">
        <v>100</v>
      </c>
      <c r="S269" s="83">
        <v>99.718535298100093</v>
      </c>
      <c r="T269" s="83">
        <v>97.480046259153596</v>
      </c>
      <c r="U269" s="83">
        <v>99.475236710310995</v>
      </c>
      <c r="V269" s="83">
        <v>99.681791417496498</v>
      </c>
      <c r="W269" s="83">
        <v>95.634064375133306</v>
      </c>
      <c r="X269" s="83">
        <v>96.199560765370293</v>
      </c>
      <c r="Y269" s="83">
        <v>97.095192551417</v>
      </c>
      <c r="Z269" s="83">
        <v>98.247328494808002</v>
      </c>
      <c r="AA269" s="83">
        <v>97.088646752216107</v>
      </c>
      <c r="AB269" s="83">
        <v>97.443730622699604</v>
      </c>
      <c r="AC269" s="83">
        <v>97.755166865834099</v>
      </c>
      <c r="AD269" s="83">
        <v>95.903515793040697</v>
      </c>
      <c r="AE269" s="84">
        <v>96.983748716462202</v>
      </c>
      <c r="AF269" s="83">
        <v>97.255017758651505</v>
      </c>
      <c r="AG269" s="83">
        <v>98.130780119576201</v>
      </c>
      <c r="AH269" s="83">
        <v>97.645267906257402</v>
      </c>
      <c r="AI269" s="83">
        <v>95.359204688277501</v>
      </c>
      <c r="AJ269" s="83">
        <v>92.998473511102503</v>
      </c>
      <c r="AK269" s="83">
        <v>90.804306428189506</v>
      </c>
      <c r="AL269" s="83">
        <v>88.690689180916806</v>
      </c>
      <c r="AM269" s="82"/>
      <c r="AN269" s="82"/>
    </row>
    <row r="270" spans="1:40" x14ac:dyDescent="0.65">
      <c r="A270" s="82" t="s">
        <v>131</v>
      </c>
      <c r="B270" s="81" t="str">
        <f t="shared" si="11"/>
        <v>IMF.RES.GAS:GAS_LIVE_2026_JAN_GAS1_VINTAGE</v>
      </c>
      <c r="C270" s="81" t="s">
        <v>611</v>
      </c>
      <c r="D270" s="82"/>
      <c r="E270" s="85">
        <v>98.992971882463394</v>
      </c>
      <c r="F270" s="83">
        <v>99.314811367661903</v>
      </c>
      <c r="G270" s="83">
        <v>96.787185078845994</v>
      </c>
      <c r="H270" s="83">
        <v>92.374349695513999</v>
      </c>
      <c r="I270" s="83">
        <v>92.867393549675498</v>
      </c>
      <c r="J270" s="83">
        <v>94.112840773469401</v>
      </c>
      <c r="K270" s="83">
        <v>98.405025212986502</v>
      </c>
      <c r="L270" s="83">
        <v>99.904256476520999</v>
      </c>
      <c r="M270" s="83">
        <v>99.526505573748494</v>
      </c>
      <c r="N270" s="83">
        <v>99.633334369840796</v>
      </c>
      <c r="O270" s="83">
        <v>101.299940682635</v>
      </c>
      <c r="P270" s="83">
        <v>103.01558262429199</v>
      </c>
      <c r="Q270" s="83">
        <v>102.94678710785701</v>
      </c>
      <c r="R270" s="83">
        <v>100</v>
      </c>
      <c r="S270" s="83">
        <v>99.554889752136702</v>
      </c>
      <c r="T270" s="83">
        <v>97.386214965333494</v>
      </c>
      <c r="U270" s="83">
        <v>99.362947652011599</v>
      </c>
      <c r="V270" s="83">
        <v>99.612514652145194</v>
      </c>
      <c r="W270" s="83">
        <v>95.395172236468994</v>
      </c>
      <c r="X270" s="83">
        <v>95.895692355408798</v>
      </c>
      <c r="Y270" s="83">
        <v>96.714100067727003</v>
      </c>
      <c r="Z270" s="83">
        <v>97.938842300993002</v>
      </c>
      <c r="AA270" s="83">
        <v>96.737922647362197</v>
      </c>
      <c r="AB270" s="83">
        <v>97.079893617153601</v>
      </c>
      <c r="AC270" s="83">
        <v>97.438348017725204</v>
      </c>
      <c r="AD270" s="83">
        <v>95.452953836910496</v>
      </c>
      <c r="AE270" s="84">
        <v>96.554273181369496</v>
      </c>
      <c r="AF270" s="83">
        <v>96.882778274329794</v>
      </c>
      <c r="AG270" s="83">
        <v>97.856103882936296</v>
      </c>
      <c r="AH270" s="83">
        <v>99.495275877760506</v>
      </c>
      <c r="AI270" s="83">
        <v>100.534327490712</v>
      </c>
      <c r="AJ270" s="83">
        <v>101.645220477991</v>
      </c>
      <c r="AK270" s="83">
        <v>102.799308310623</v>
      </c>
      <c r="AL270" s="83">
        <v>104.126509611724</v>
      </c>
      <c r="AM270" s="82"/>
      <c r="AN270" s="82"/>
    </row>
    <row r="271" spans="1:40" x14ac:dyDescent="0.65">
      <c r="A271" s="82" t="s">
        <v>12</v>
      </c>
      <c r="B271" s="81" t="str">
        <f t="shared" si="11"/>
        <v>IMF.RES.GAS:GAS_LIVE_2026_JAN_GAS1_VINTAGE</v>
      </c>
      <c r="C271" s="81" t="s">
        <v>612</v>
      </c>
      <c r="D271" s="82"/>
      <c r="E271" s="85">
        <v>75.129798162264706</v>
      </c>
      <c r="F271" s="83">
        <v>74.254705655885004</v>
      </c>
      <c r="G271" s="83">
        <v>84.814786173953905</v>
      </c>
      <c r="H271" s="83">
        <v>92.549537354241707</v>
      </c>
      <c r="I271" s="83">
        <v>84.970031231227694</v>
      </c>
      <c r="J271" s="83">
        <v>80.963913218860995</v>
      </c>
      <c r="K271" s="83">
        <v>82.149951903952996</v>
      </c>
      <c r="L271" s="83">
        <v>84.249217931782098</v>
      </c>
      <c r="M271" s="83">
        <v>81.043967581482207</v>
      </c>
      <c r="N271" s="83">
        <v>75.618073434132597</v>
      </c>
      <c r="O271" s="83">
        <v>71.872827210708394</v>
      </c>
      <c r="P271" s="83">
        <v>82.083291993064606</v>
      </c>
      <c r="Q271" s="83">
        <v>95.308959382864501</v>
      </c>
      <c r="R271" s="83">
        <v>100</v>
      </c>
      <c r="S271" s="83">
        <v>105.51639368279901</v>
      </c>
      <c r="T271" s="83">
        <v>108.218813706441</v>
      </c>
      <c r="U271" s="83">
        <v>87.634693933239703</v>
      </c>
      <c r="V271" s="83">
        <v>80.719326937288002</v>
      </c>
      <c r="W271" s="83">
        <v>76.323594735816897</v>
      </c>
      <c r="X271" s="83">
        <v>86.157211115516205</v>
      </c>
      <c r="Y271" s="83">
        <v>82.221073061395003</v>
      </c>
      <c r="Z271" s="83">
        <v>82.002162513923196</v>
      </c>
      <c r="AA271" s="83">
        <v>85.598548222799096</v>
      </c>
      <c r="AB271" s="83">
        <v>86.655762460359796</v>
      </c>
      <c r="AC271" s="83">
        <v>81.971937976607606</v>
      </c>
      <c r="AD271" s="83">
        <v>73.197689789817403</v>
      </c>
      <c r="AE271" s="84">
        <v>68.277636629147494</v>
      </c>
      <c r="AF271" s="83">
        <v>63.786276124075599</v>
      </c>
      <c r="AG271" s="83">
        <v>63.905441879109702</v>
      </c>
      <c r="AH271" s="83">
        <v>62.027702310390303</v>
      </c>
      <c r="AI271" s="83">
        <v>62.345427182995799</v>
      </c>
      <c r="AJ271" s="83">
        <v>63.096788477703001</v>
      </c>
      <c r="AK271" s="83">
        <v>62.963174210416298</v>
      </c>
      <c r="AL271" s="83">
        <v>63.408578914306702</v>
      </c>
      <c r="AM271" s="82"/>
      <c r="AN271" s="82"/>
    </row>
    <row r="272" spans="1:40" x14ac:dyDescent="0.65">
      <c r="A272" s="82" t="s">
        <v>13</v>
      </c>
      <c r="B272" s="81" t="str">
        <f t="shared" si="11"/>
        <v>IMF.RES.GAS:GAS_LIVE_2026_JAN_GAS1_VINTAGE</v>
      </c>
      <c r="C272" s="81" t="s">
        <v>613</v>
      </c>
      <c r="D272" s="82"/>
      <c r="E272" s="85">
        <v>121.12622074384601</v>
      </c>
      <c r="F272" s="83">
        <v>126.446203138735</v>
      </c>
      <c r="G272" s="83">
        <v>125.51789231852899</v>
      </c>
      <c r="H272" s="83">
        <v>128.35863491882199</v>
      </c>
      <c r="I272" s="83">
        <v>126.324173693536</v>
      </c>
      <c r="J272" s="83">
        <v>127.288349735426</v>
      </c>
      <c r="K272" s="83">
        <v>122.081658867264</v>
      </c>
      <c r="L272" s="83">
        <v>127.663591195647</v>
      </c>
      <c r="M272" s="83">
        <v>126.15148731763399</v>
      </c>
      <c r="N272" s="83">
        <v>126.84564575580301</v>
      </c>
      <c r="O272" s="83">
        <v>129.32522090639699</v>
      </c>
      <c r="P272" s="83">
        <v>113.12979322782</v>
      </c>
      <c r="Q272" s="83">
        <v>99.509789388067006</v>
      </c>
      <c r="R272" s="83">
        <v>100</v>
      </c>
      <c r="S272" s="83">
        <v>98.646782477261993</v>
      </c>
      <c r="T272" s="83">
        <v>102.58482289117001</v>
      </c>
      <c r="U272" s="83">
        <v>100.44644219725301</v>
      </c>
      <c r="V272" s="83">
        <v>106.53266553169</v>
      </c>
      <c r="W272" s="83">
        <v>113.311425126473</v>
      </c>
      <c r="X272" s="83">
        <v>100.481775973929</v>
      </c>
      <c r="Y272" s="83">
        <v>94.138480157234099</v>
      </c>
      <c r="Z272" s="83">
        <v>94.652097384034306</v>
      </c>
      <c r="AA272" s="83">
        <v>94.140726158079701</v>
      </c>
      <c r="AB272" s="83">
        <v>93.274835200362602</v>
      </c>
      <c r="AC272" s="83">
        <v>97.073345177564306</v>
      </c>
      <c r="AD272" s="83">
        <v>95.546282057863806</v>
      </c>
      <c r="AE272" s="84">
        <v>95.056298401685495</v>
      </c>
      <c r="AF272" s="83">
        <v>98.262594688177799</v>
      </c>
      <c r="AG272" s="83">
        <v>98.225970829499502</v>
      </c>
      <c r="AH272" s="83">
        <v>97.237474199998701</v>
      </c>
      <c r="AI272" s="83">
        <v>98.700887931764797</v>
      </c>
      <c r="AJ272" s="83">
        <v>100.074361592353</v>
      </c>
      <c r="AK272" s="83">
        <v>101.66623725544299</v>
      </c>
      <c r="AL272" s="83">
        <v>103.166355422606</v>
      </c>
      <c r="AM272" s="82"/>
      <c r="AN272" s="82"/>
    </row>
    <row r="273" spans="1:40" x14ac:dyDescent="0.65">
      <c r="A273" s="82" t="s">
        <v>51</v>
      </c>
      <c r="B273" s="81" t="str">
        <f t="shared" si="11"/>
        <v>IMF.RES.GAS:GAS_LIVE_2026_JAN_GAS1_VINTAGE</v>
      </c>
      <c r="C273" s="81" t="s">
        <v>614</v>
      </c>
      <c r="D273" s="82"/>
      <c r="E273" s="85">
        <v>76.580514278523793</v>
      </c>
      <c r="F273" s="83">
        <v>72.532475691314602</v>
      </c>
      <c r="G273" s="83">
        <v>71.847944174808106</v>
      </c>
      <c r="H273" s="83">
        <v>72.483888905788803</v>
      </c>
      <c r="I273" s="83">
        <v>70.473553991905703</v>
      </c>
      <c r="J273" s="83">
        <v>69.249197432767005</v>
      </c>
      <c r="K273" s="83">
        <v>76.165574478975302</v>
      </c>
      <c r="L273" s="83">
        <v>80.733733502188102</v>
      </c>
      <c r="M273" s="83">
        <v>86.494469722642506</v>
      </c>
      <c r="N273" s="83">
        <v>92.312256866546406</v>
      </c>
      <c r="O273" s="83">
        <v>96.408112951835307</v>
      </c>
      <c r="P273" s="83">
        <v>95.9771807949802</v>
      </c>
      <c r="Q273" s="83">
        <v>90.739981538515494</v>
      </c>
      <c r="R273" s="83">
        <v>100</v>
      </c>
      <c r="S273" s="83">
        <v>102.386123152105</v>
      </c>
      <c r="T273" s="83">
        <v>102.453499357654</v>
      </c>
      <c r="U273" s="83">
        <v>99.868393938298595</v>
      </c>
      <c r="V273" s="83">
        <v>93.309989543422503</v>
      </c>
      <c r="W273" s="83">
        <v>83.607677873630493</v>
      </c>
      <c r="X273" s="83">
        <v>80.601251371900801</v>
      </c>
      <c r="Y273" s="83">
        <v>82.163839898128003</v>
      </c>
      <c r="Z273" s="83">
        <v>81.569116417948294</v>
      </c>
      <c r="AA273" s="83">
        <v>80.471053461973199</v>
      </c>
      <c r="AB273" s="83">
        <v>79.310027477449196</v>
      </c>
      <c r="AC273" s="83">
        <v>84.096034095022304</v>
      </c>
      <c r="AD273" s="83">
        <v>83.5692197480613</v>
      </c>
      <c r="AE273" s="84">
        <v>80.492590073864207</v>
      </c>
      <c r="AF273" s="83">
        <v>79.643937652107596</v>
      </c>
      <c r="AG273" s="83">
        <v>77.378675982478896</v>
      </c>
      <c r="AH273" s="83">
        <v>77.130425020903203</v>
      </c>
      <c r="AI273" s="83">
        <v>77.5702252188985</v>
      </c>
      <c r="AJ273" s="83">
        <v>77.977763909247003</v>
      </c>
      <c r="AK273" s="83">
        <v>78.419821085620001</v>
      </c>
      <c r="AL273" s="83">
        <v>78.839857972592299</v>
      </c>
      <c r="AM273" s="82"/>
      <c r="AN273" s="82"/>
    </row>
    <row r="274" spans="1:40" x14ac:dyDescent="0.65">
      <c r="B274" s="11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spans="1:40" x14ac:dyDescent="0.65">
      <c r="A275" s="82" t="s">
        <v>52</v>
      </c>
      <c r="B275" s="81" t="str">
        <f t="shared" si="11"/>
        <v>IMF.RES.GAS:GAS_LIVE_2026_JAN_GAS1_VINTAGE</v>
      </c>
      <c r="C275" s="81" t="s">
        <v>615</v>
      </c>
      <c r="D275" s="82"/>
      <c r="E275" s="85">
        <v>100.526305167304</v>
      </c>
      <c r="F275" s="83">
        <v>100.612507859955</v>
      </c>
      <c r="G275" s="83">
        <v>99.335667084202299</v>
      </c>
      <c r="H275" s="83">
        <v>96.196103849645496</v>
      </c>
      <c r="I275" s="83">
        <v>96.288830093881998</v>
      </c>
      <c r="J275" s="83">
        <v>96.910417093250999</v>
      </c>
      <c r="K275" s="83">
        <v>99.991824086467503</v>
      </c>
      <c r="L275" s="83">
        <v>100.98062084474</v>
      </c>
      <c r="M275" s="83">
        <v>100.50883309049399</v>
      </c>
      <c r="N275" s="83">
        <v>100.473902827793</v>
      </c>
      <c r="O275" s="83">
        <v>101.73300347613799</v>
      </c>
      <c r="P275" s="83">
        <v>102.589427658872</v>
      </c>
      <c r="Q275" s="83">
        <v>102.505453163198</v>
      </c>
      <c r="R275" s="83">
        <v>99.999999999999801</v>
      </c>
      <c r="S275" s="83">
        <v>99.412806859022396</v>
      </c>
      <c r="T275" s="83">
        <v>97.789091474691503</v>
      </c>
      <c r="U275" s="83">
        <v>99.347251545927307</v>
      </c>
      <c r="V275" s="83">
        <v>99.684352078339003</v>
      </c>
      <c r="W275" s="83">
        <v>96.340333689068004</v>
      </c>
      <c r="X275" s="83">
        <v>96.654041646197996</v>
      </c>
      <c r="Y275" s="83">
        <v>97.192025829107195</v>
      </c>
      <c r="Z275" s="83">
        <v>98.126212522624897</v>
      </c>
      <c r="AA275" s="83">
        <v>97.190504534991405</v>
      </c>
      <c r="AB275" s="83">
        <v>97.440214961072101</v>
      </c>
      <c r="AC275" s="83">
        <v>97.655205448953595</v>
      </c>
      <c r="AD275" s="83">
        <v>95.958374470221202</v>
      </c>
      <c r="AE275" s="84">
        <v>96.663764552815195</v>
      </c>
      <c r="AF275" s="83">
        <v>96.976142380078002</v>
      </c>
      <c r="AG275" s="83">
        <v>97.591060451440498</v>
      </c>
      <c r="AH275" s="83">
        <v>97.912556464779598</v>
      </c>
      <c r="AI275" s="83">
        <v>97.505425594428999</v>
      </c>
      <c r="AJ275" s="83">
        <v>96.989028386312498</v>
      </c>
      <c r="AK275" s="83">
        <v>96.584273791612006</v>
      </c>
      <c r="AL275" s="83">
        <v>96.196565922224906</v>
      </c>
      <c r="AM275" s="82"/>
      <c r="AN275" s="82"/>
    </row>
    <row r="276" spans="1:40" x14ac:dyDescent="0.65">
      <c r="A276" s="82" t="s">
        <v>53</v>
      </c>
      <c r="B276" s="81" t="str">
        <f t="shared" si="11"/>
        <v>IMF.RES.GAS:GAS_LIVE_2026_JAN_GAS1_VINTAGE</v>
      </c>
      <c r="C276" s="81" t="s">
        <v>616</v>
      </c>
      <c r="D276" s="82"/>
      <c r="E276" s="85">
        <v>97.2055795157099</v>
      </c>
      <c r="F276" s="83">
        <v>97.385469101583993</v>
      </c>
      <c r="G276" s="83">
        <v>95.896810949412995</v>
      </c>
      <c r="H276" s="83">
        <v>91.808879708847996</v>
      </c>
      <c r="I276" s="83">
        <v>92.227856299641701</v>
      </c>
      <c r="J276" s="83">
        <v>93.658317651350103</v>
      </c>
      <c r="K276" s="83">
        <v>97.768060463169704</v>
      </c>
      <c r="L276" s="83">
        <v>98.990299462491294</v>
      </c>
      <c r="M276" s="83">
        <v>98.753481038195702</v>
      </c>
      <c r="N276" s="83">
        <v>98.873890128727396</v>
      </c>
      <c r="O276" s="83">
        <v>100.445411956125</v>
      </c>
      <c r="P276" s="83">
        <v>102.50397124920001</v>
      </c>
      <c r="Q276" s="83">
        <v>102.89729370118199</v>
      </c>
      <c r="R276" s="83">
        <v>99.999999999999901</v>
      </c>
      <c r="S276" s="83">
        <v>99.864228093194498</v>
      </c>
      <c r="T276" s="83">
        <v>97.565354863671701</v>
      </c>
      <c r="U276" s="83">
        <v>99.531468878480496</v>
      </c>
      <c r="V276" s="83">
        <v>99.702575320305399</v>
      </c>
      <c r="W276" s="83">
        <v>95.635994110134504</v>
      </c>
      <c r="X276" s="83">
        <v>96.442887929330993</v>
      </c>
      <c r="Y276" s="83">
        <v>97.398633124615003</v>
      </c>
      <c r="Z276" s="83">
        <v>98.6055180043532</v>
      </c>
      <c r="AA276" s="83">
        <v>97.484352213337402</v>
      </c>
      <c r="AB276" s="83">
        <v>97.873007606874793</v>
      </c>
      <c r="AC276" s="83">
        <v>98.038301858750998</v>
      </c>
      <c r="AD276" s="83">
        <v>96.2819075049605</v>
      </c>
      <c r="AE276" s="84">
        <v>97.604425219316894</v>
      </c>
      <c r="AF276" s="83">
        <v>97.830938387751303</v>
      </c>
      <c r="AG276" s="83">
        <v>98.679138318163595</v>
      </c>
      <c r="AH276" s="83">
        <v>98.686169636942395</v>
      </c>
      <c r="AI276" s="83">
        <v>97.586899962878206</v>
      </c>
      <c r="AJ276" s="83">
        <v>96.786369768455202</v>
      </c>
      <c r="AK276" s="83">
        <v>96.955957153714607</v>
      </c>
      <c r="AL276" s="83">
        <v>96.1238101481391</v>
      </c>
      <c r="AM276" s="82"/>
      <c r="AN276" s="82"/>
    </row>
    <row r="277" spans="1:40" x14ac:dyDescent="0.65">
      <c r="A277" s="82" t="s">
        <v>54</v>
      </c>
      <c r="B277" s="81" t="str">
        <f t="shared" si="11"/>
        <v>IMF.RES.GAS:GAS_LIVE_2026_JAN_GAS1_VINTAGE</v>
      </c>
      <c r="C277" s="81" t="s">
        <v>617</v>
      </c>
      <c r="D277" s="82"/>
      <c r="E277" s="85">
        <v>96.819612813258104</v>
      </c>
      <c r="F277" s="83">
        <v>98.032341013434106</v>
      </c>
      <c r="G277" s="83">
        <v>96.2535386044771</v>
      </c>
      <c r="H277" s="83">
        <v>91.806305433562599</v>
      </c>
      <c r="I277" s="83">
        <v>93.0512954781357</v>
      </c>
      <c r="J277" s="83">
        <v>93.987241048955198</v>
      </c>
      <c r="K277" s="83">
        <v>97.843066985217305</v>
      </c>
      <c r="L277" s="83">
        <v>99.086998014555405</v>
      </c>
      <c r="M277" s="83">
        <v>98.615041533454104</v>
      </c>
      <c r="N277" s="83">
        <v>98.596116176722205</v>
      </c>
      <c r="O277" s="83">
        <v>100.145217879756</v>
      </c>
      <c r="P277" s="83">
        <v>102.379542718618</v>
      </c>
      <c r="Q277" s="83">
        <v>104.01090763079</v>
      </c>
      <c r="R277" s="83">
        <v>100</v>
      </c>
      <c r="S277" s="83">
        <v>99.069418301722294</v>
      </c>
      <c r="T277" s="83">
        <v>96.746798469920094</v>
      </c>
      <c r="U277" s="83">
        <v>98.429297398765797</v>
      </c>
      <c r="V277" s="83">
        <v>99.540148007167403</v>
      </c>
      <c r="W277" s="83">
        <v>96.444793313975595</v>
      </c>
      <c r="X277" s="83">
        <v>97.548224804589793</v>
      </c>
      <c r="Y277" s="83">
        <v>98.562602408783604</v>
      </c>
      <c r="Z277" s="83">
        <v>100.063594405573</v>
      </c>
      <c r="AA277" s="83">
        <v>99.361877081203502</v>
      </c>
      <c r="AB277" s="83">
        <v>100.161124759971</v>
      </c>
      <c r="AC277" s="83">
        <v>100.067018940151</v>
      </c>
      <c r="AD277" s="83">
        <v>98.867972499334996</v>
      </c>
      <c r="AE277" s="84">
        <v>100.98839858460499</v>
      </c>
      <c r="AF277" s="83">
        <v>101.187572287145</v>
      </c>
      <c r="AG277" s="83">
        <v>101.720184903199</v>
      </c>
      <c r="AH277" s="83">
        <v>102.701946701154</v>
      </c>
      <c r="AI277" s="83">
        <v>102.965111966553</v>
      </c>
      <c r="AJ277" s="83">
        <v>103.17438030856999</v>
      </c>
      <c r="AK277" s="83">
        <v>103.373382958104</v>
      </c>
      <c r="AL277" s="83">
        <v>103.56280991206</v>
      </c>
      <c r="AM277" s="82"/>
      <c r="AN277" s="82"/>
    </row>
    <row r="278" spans="1:40" x14ac:dyDescent="0.65">
      <c r="A278" s="82" t="s">
        <v>55</v>
      </c>
      <c r="B278" s="81" t="str">
        <f t="shared" si="11"/>
        <v>IMF.RES.GAS:GAS_LIVE_2026_JAN_GAS1_VINTAGE</v>
      </c>
      <c r="C278" s="81" t="s">
        <v>618</v>
      </c>
      <c r="D278" s="82"/>
      <c r="E278" s="85">
        <v>98.625762417707406</v>
      </c>
      <c r="F278" s="83">
        <v>98.570592541362004</v>
      </c>
      <c r="G278" s="83">
        <v>97.500162474537404</v>
      </c>
      <c r="H278" s="83">
        <v>94.842496891792706</v>
      </c>
      <c r="I278" s="83">
        <v>95.119867910275005</v>
      </c>
      <c r="J278" s="83">
        <v>95.845461357774397</v>
      </c>
      <c r="K278" s="83">
        <v>98.605232152808298</v>
      </c>
      <c r="L278" s="83">
        <v>99.274096693938603</v>
      </c>
      <c r="M278" s="83">
        <v>99.093040380873902</v>
      </c>
      <c r="N278" s="83">
        <v>99.1129707193641</v>
      </c>
      <c r="O278" s="83">
        <v>100.147541123072</v>
      </c>
      <c r="P278" s="83">
        <v>101.644673870216</v>
      </c>
      <c r="Q278" s="83">
        <v>102.15555874179699</v>
      </c>
      <c r="R278" s="83">
        <v>100</v>
      </c>
      <c r="S278" s="83">
        <v>99.812645629636506</v>
      </c>
      <c r="T278" s="83">
        <v>98.115909736084902</v>
      </c>
      <c r="U278" s="83">
        <v>99.495798120162306</v>
      </c>
      <c r="V278" s="83">
        <v>99.709209087589699</v>
      </c>
      <c r="W278" s="83">
        <v>96.767011121661497</v>
      </c>
      <c r="X278" s="83">
        <v>97.2370401067476</v>
      </c>
      <c r="Y278" s="83">
        <v>97.920361107165704</v>
      </c>
      <c r="Z278" s="83">
        <v>98.790696731728602</v>
      </c>
      <c r="AA278" s="83">
        <v>98.014373582392295</v>
      </c>
      <c r="AB278" s="83">
        <v>98.325751762464606</v>
      </c>
      <c r="AC278" s="83">
        <v>98.455667387661705</v>
      </c>
      <c r="AD278" s="83">
        <v>97.183467953400395</v>
      </c>
      <c r="AE278" s="84">
        <v>98.089128154308895</v>
      </c>
      <c r="AF278" s="83">
        <v>98.310312823236501</v>
      </c>
      <c r="AG278" s="83">
        <v>98.872819427731997</v>
      </c>
      <c r="AH278" s="83">
        <v>99.513645242856896</v>
      </c>
      <c r="AI278" s="83">
        <v>99.419899756860701</v>
      </c>
      <c r="AJ278" s="83">
        <v>99.069158032980795</v>
      </c>
      <c r="AK278" s="83">
        <v>98.654440855573199</v>
      </c>
      <c r="AL278" s="83">
        <v>98.237597338118505</v>
      </c>
      <c r="AM278" s="82"/>
      <c r="AN278" s="82"/>
    </row>
    <row r="279" spans="1:40" x14ac:dyDescent="0.65">
      <c r="A279" s="82" t="s">
        <v>56</v>
      </c>
      <c r="B279" s="81" t="str">
        <f t="shared" si="11"/>
        <v>IMF.RES.GAS:GAS_LIVE_2026_JAN_GAS1_VINTAGE</v>
      </c>
      <c r="C279" s="81" t="s">
        <v>619</v>
      </c>
      <c r="D279" s="82"/>
      <c r="E279" s="85">
        <v>96.758960134847001</v>
      </c>
      <c r="F279" s="83">
        <v>97.710810127767999</v>
      </c>
      <c r="G279" s="83">
        <v>95.477708004497501</v>
      </c>
      <c r="H279" s="83">
        <v>90.705999587267897</v>
      </c>
      <c r="I279" s="83">
        <v>91.507822070887897</v>
      </c>
      <c r="J279" s="83">
        <v>92.906902363322601</v>
      </c>
      <c r="K279" s="83">
        <v>97.589832550625403</v>
      </c>
      <c r="L279" s="83">
        <v>99.037395826622998</v>
      </c>
      <c r="M279" s="83">
        <v>98.689797790118106</v>
      </c>
      <c r="N279" s="83">
        <v>98.792197966737305</v>
      </c>
      <c r="O279" s="83">
        <v>100.480349533297</v>
      </c>
      <c r="P279" s="83">
        <v>102.637162177908</v>
      </c>
      <c r="Q279" s="83">
        <v>103.05837154336101</v>
      </c>
      <c r="R279" s="83">
        <v>100</v>
      </c>
      <c r="S279" s="83">
        <v>99.764973207635805</v>
      </c>
      <c r="T279" s="83">
        <v>97.401519898224805</v>
      </c>
      <c r="U279" s="83">
        <v>99.386089264005406</v>
      </c>
      <c r="V279" s="83">
        <v>99.524547730730404</v>
      </c>
      <c r="W279" s="83">
        <v>95.707578980493196</v>
      </c>
      <c r="X279" s="83">
        <v>96.650813587867304</v>
      </c>
      <c r="Y279" s="83">
        <v>97.564058795583193</v>
      </c>
      <c r="Z279" s="83">
        <v>98.741410429816895</v>
      </c>
      <c r="AA279" s="83">
        <v>97.790298027592797</v>
      </c>
      <c r="AB279" s="83">
        <v>98.254967636407201</v>
      </c>
      <c r="AC279" s="83">
        <v>98.239025513571804</v>
      </c>
      <c r="AD279" s="83">
        <v>96.635716800935498</v>
      </c>
      <c r="AE279" s="84">
        <v>98.037033701647601</v>
      </c>
      <c r="AF279" s="83">
        <v>98.290946448627906</v>
      </c>
      <c r="AG279" s="83">
        <v>99.171554407592595</v>
      </c>
      <c r="AH279" s="83">
        <v>100.64877493792901</v>
      </c>
      <c r="AI279" s="83">
        <v>101.476531299516</v>
      </c>
      <c r="AJ279" s="83">
        <v>102.242349919918</v>
      </c>
      <c r="AK279" s="83">
        <v>102.996549981097</v>
      </c>
      <c r="AL279" s="83">
        <v>103.730019325226</v>
      </c>
      <c r="AM279" s="82"/>
      <c r="AN279" s="82"/>
    </row>
    <row r="280" spans="1:40" x14ac:dyDescent="0.65">
      <c r="A280" s="82" t="s">
        <v>57</v>
      </c>
      <c r="B280" s="81" t="str">
        <f t="shared" si="11"/>
        <v>IMF.RES.GAS:GAS_LIVE_2026_JAN_GAS1_VINTAGE</v>
      </c>
      <c r="C280" s="81" t="s">
        <v>620</v>
      </c>
      <c r="D280" s="82"/>
      <c r="E280" s="85">
        <v>95.262926677953999</v>
      </c>
      <c r="F280" s="83">
        <v>92.186035693070494</v>
      </c>
      <c r="G280" s="83">
        <v>90.599651745966099</v>
      </c>
      <c r="H280" s="83">
        <v>87.846072740422002</v>
      </c>
      <c r="I280" s="83">
        <v>90.512438351799602</v>
      </c>
      <c r="J280" s="83">
        <v>98.440649377323098</v>
      </c>
      <c r="K280" s="83">
        <v>96.630435651701404</v>
      </c>
      <c r="L280" s="83">
        <v>93.618104086443907</v>
      </c>
      <c r="M280" s="83">
        <v>97.732294898763797</v>
      </c>
      <c r="N280" s="83">
        <v>97.404298278966806</v>
      </c>
      <c r="O280" s="83">
        <v>99.504278277306</v>
      </c>
      <c r="P280" s="83">
        <v>100.401396495168</v>
      </c>
      <c r="Q280" s="83">
        <v>96.185962990479197</v>
      </c>
      <c r="R280" s="83">
        <v>100</v>
      </c>
      <c r="S280" s="83">
        <v>101.835405482391</v>
      </c>
      <c r="T280" s="83">
        <v>103.020033379629</v>
      </c>
      <c r="U280" s="83">
        <v>100.794819625014</v>
      </c>
      <c r="V280" s="83">
        <v>94.682334521643</v>
      </c>
      <c r="W280" s="83">
        <v>85.245275408082605</v>
      </c>
      <c r="X280" s="83">
        <v>82.680927693837305</v>
      </c>
      <c r="Y280" s="83">
        <v>83.248534797422593</v>
      </c>
      <c r="Z280" s="83">
        <v>82.493778463283803</v>
      </c>
      <c r="AA280" s="83">
        <v>79.984115188391399</v>
      </c>
      <c r="AB280" s="83">
        <v>73.792923176635</v>
      </c>
      <c r="AC280" s="83">
        <v>77.681299098501796</v>
      </c>
      <c r="AD280" s="83">
        <v>77.494749709708501</v>
      </c>
      <c r="AE280" s="84">
        <v>70.217886407552101</v>
      </c>
      <c r="AF280" s="83">
        <v>69.281244602635098</v>
      </c>
      <c r="AG280" s="83">
        <v>69.347123942526906</v>
      </c>
      <c r="AH280" s="83">
        <v>69.269985375529998</v>
      </c>
      <c r="AI280" s="83">
        <v>69.074911503643904</v>
      </c>
      <c r="AJ280" s="83">
        <v>68.851462899560403</v>
      </c>
      <c r="AK280" s="83">
        <v>68.678716606715298</v>
      </c>
      <c r="AL280" s="83">
        <v>68.524313980754997</v>
      </c>
      <c r="AM280" s="82"/>
      <c r="AN280" s="82"/>
    </row>
    <row r="281" spans="1:40" x14ac:dyDescent="0.65">
      <c r="A281" s="82" t="s">
        <v>58</v>
      </c>
      <c r="B281" s="81" t="str">
        <f t="shared" si="11"/>
        <v>IMF.RES.GAS:GAS_LIVE_2026_JAN_GAS1_VINTAGE</v>
      </c>
      <c r="C281" s="81" t="s">
        <v>621</v>
      </c>
      <c r="D281" s="82"/>
      <c r="E281" s="85">
        <v>107.625304364556</v>
      </c>
      <c r="F281" s="83">
        <v>106.13357578529801</v>
      </c>
      <c r="G281" s="83">
        <v>104.001103343354</v>
      </c>
      <c r="H281" s="83">
        <v>103.280256228556</v>
      </c>
      <c r="I281" s="83">
        <v>94.801383334402104</v>
      </c>
      <c r="J281" s="83">
        <v>96.585348170889006</v>
      </c>
      <c r="K281" s="83">
        <v>102.100841139951</v>
      </c>
      <c r="L281" s="83">
        <v>103.94824761796301</v>
      </c>
      <c r="M281" s="83">
        <v>101.64390743772999</v>
      </c>
      <c r="N281" s="83">
        <v>102.091610635886</v>
      </c>
      <c r="O281" s="83">
        <v>103.76405884738899</v>
      </c>
      <c r="P281" s="83">
        <v>102.009785399647</v>
      </c>
      <c r="Q281" s="83">
        <v>92.630284511346005</v>
      </c>
      <c r="R281" s="83">
        <v>100</v>
      </c>
      <c r="S281" s="83">
        <v>105.528273988145</v>
      </c>
      <c r="T281" s="83">
        <v>106.89321791427</v>
      </c>
      <c r="U281" s="83">
        <v>109.939349305869</v>
      </c>
      <c r="V281" s="83">
        <v>105.168976795324</v>
      </c>
      <c r="W281" s="83">
        <v>99.074887628591298</v>
      </c>
      <c r="X281" s="83">
        <v>98.648691788174204</v>
      </c>
      <c r="Y281" s="83">
        <v>97.599791451461499</v>
      </c>
      <c r="Z281" s="83">
        <v>92.729935170404204</v>
      </c>
      <c r="AA281" s="83">
        <v>89.055743214152699</v>
      </c>
      <c r="AB281" s="83">
        <v>90.702918041505001</v>
      </c>
      <c r="AC281" s="83">
        <v>93.711249929617793</v>
      </c>
      <c r="AD281" s="83">
        <v>88.025095455411503</v>
      </c>
      <c r="AE281" s="84">
        <v>82.950128317921099</v>
      </c>
      <c r="AF281" s="83">
        <v>83.621887069171606</v>
      </c>
      <c r="AG281" s="83">
        <v>87.2267109808068</v>
      </c>
      <c r="AH281" s="83">
        <v>88.834875222224198</v>
      </c>
      <c r="AI281" s="83">
        <v>88.984527457081398</v>
      </c>
      <c r="AJ281" s="83">
        <v>88.988260740605</v>
      </c>
      <c r="AK281" s="83">
        <v>88.972392948754205</v>
      </c>
      <c r="AL281" s="83">
        <v>88.942267419223995</v>
      </c>
      <c r="AM281" s="82"/>
      <c r="AN281" s="82"/>
    </row>
    <row r="282" spans="1:40" x14ac:dyDescent="0.65">
      <c r="A282" s="82" t="s">
        <v>14</v>
      </c>
      <c r="B282" s="81" t="str">
        <f t="shared" si="11"/>
        <v>IMF.RES.GAS:GAS_LIVE_2026_JAN_GAS1_VINTAGE</v>
      </c>
      <c r="C282" s="81" t="s">
        <v>622</v>
      </c>
      <c r="D282" s="82"/>
      <c r="E282" s="85">
        <v>82.043488078139404</v>
      </c>
      <c r="F282" s="83">
        <v>84.183617170481597</v>
      </c>
      <c r="G282" s="83">
        <v>82.822036804593196</v>
      </c>
      <c r="H282" s="83">
        <v>81.181228291403698</v>
      </c>
      <c r="I282" s="83">
        <v>84.313887384370403</v>
      </c>
      <c r="J282" s="83">
        <v>88.101700162656797</v>
      </c>
      <c r="K282" s="83">
        <v>88.9217734773909</v>
      </c>
      <c r="L282" s="83">
        <v>88.951259256089799</v>
      </c>
      <c r="M282" s="83">
        <v>88.510978909191294</v>
      </c>
      <c r="N282" s="83">
        <v>87.241633548721296</v>
      </c>
      <c r="O282" s="83">
        <v>85.16705505809</v>
      </c>
      <c r="P282" s="83">
        <v>89.799282140942907</v>
      </c>
      <c r="Q282" s="83">
        <v>93.861025725697004</v>
      </c>
      <c r="R282" s="83">
        <v>100</v>
      </c>
      <c r="S282" s="83">
        <v>112.235963338171</v>
      </c>
      <c r="T282" s="83">
        <v>111.99248430534099</v>
      </c>
      <c r="U282" s="83">
        <v>112.17275833816799</v>
      </c>
      <c r="V282" s="83">
        <v>113.992904461009</v>
      </c>
      <c r="W282" s="83">
        <v>124.288368386426</v>
      </c>
      <c r="X282" s="83">
        <v>121.851107873815</v>
      </c>
      <c r="Y282" s="83">
        <v>120.624477888079</v>
      </c>
      <c r="Z282" s="83">
        <v>117.59934196354</v>
      </c>
      <c r="AA282" s="83">
        <v>120.237487307923</v>
      </c>
      <c r="AB282" s="83">
        <v>125.685939833642</v>
      </c>
      <c r="AC282" s="83">
        <v>125.223073874329</v>
      </c>
      <c r="AD282" s="83">
        <v>131.67412313293499</v>
      </c>
      <c r="AE282" s="84">
        <v>138.35021183551899</v>
      </c>
      <c r="AF282" s="83">
        <v>141.85737735123701</v>
      </c>
      <c r="AG282" s="83">
        <v>146.14851951995701</v>
      </c>
      <c r="AH282" s="83">
        <v>150.426299876331</v>
      </c>
      <c r="AI282" s="83">
        <v>152.80668412711699</v>
      </c>
      <c r="AJ282" s="83">
        <v>155.20992063516499</v>
      </c>
      <c r="AK282" s="83">
        <v>157.76471357385299</v>
      </c>
      <c r="AL282" s="83">
        <v>160.27639345011499</v>
      </c>
      <c r="AM282" s="82"/>
      <c r="AN282" s="82"/>
    </row>
    <row r="283" spans="1:40" x14ac:dyDescent="0.65">
      <c r="A283" s="82" t="s">
        <v>59</v>
      </c>
      <c r="B283" s="81" t="str">
        <f t="shared" si="11"/>
        <v>IMF.RES.GAS:GAS_LIVE_2026_JAN_GAS1_VINTAGE</v>
      </c>
      <c r="C283" s="81" t="s">
        <v>623</v>
      </c>
      <c r="D283" s="82"/>
      <c r="E283" s="85">
        <v>97.944149373810504</v>
      </c>
      <c r="F283" s="83">
        <v>97.957847109778299</v>
      </c>
      <c r="G283" s="83">
        <v>95.476638457064496</v>
      </c>
      <c r="H283" s="83">
        <v>90.571398023159603</v>
      </c>
      <c r="I283" s="83">
        <v>91.872435716059996</v>
      </c>
      <c r="J283" s="83">
        <v>93.039703083354794</v>
      </c>
      <c r="K283" s="83">
        <v>97.505065552813306</v>
      </c>
      <c r="L283" s="83">
        <v>99.084784981505294</v>
      </c>
      <c r="M283" s="83">
        <v>98.670609290713003</v>
      </c>
      <c r="N283" s="83">
        <v>98.769261090074295</v>
      </c>
      <c r="O283" s="83">
        <v>100.566391745795</v>
      </c>
      <c r="P283" s="83">
        <v>103.086355428244</v>
      </c>
      <c r="Q283" s="83">
        <v>104.237822490073</v>
      </c>
      <c r="R283" s="83">
        <v>99.999999999999901</v>
      </c>
      <c r="S283" s="83">
        <v>99.165504014298904</v>
      </c>
      <c r="T283" s="83">
        <v>96.519715442842099</v>
      </c>
      <c r="U283" s="83">
        <v>98.469451845312804</v>
      </c>
      <c r="V283" s="83">
        <v>99.442548492449603</v>
      </c>
      <c r="W283" s="83">
        <v>96.291221302373103</v>
      </c>
      <c r="X283" s="83">
        <v>96.912563795773806</v>
      </c>
      <c r="Y283" s="83">
        <v>97.748315448968</v>
      </c>
      <c r="Z283" s="83">
        <v>99.407700315228098</v>
      </c>
      <c r="AA283" s="83">
        <v>98.778487146016502</v>
      </c>
      <c r="AB283" s="83">
        <v>99.2644230701775</v>
      </c>
      <c r="AC283" s="83">
        <v>99.109183148570395</v>
      </c>
      <c r="AD283" s="83">
        <v>97.931897106965394</v>
      </c>
      <c r="AE283" s="84">
        <v>100.01125371297201</v>
      </c>
      <c r="AF283" s="83">
        <v>100.399633073544</v>
      </c>
      <c r="AG283" s="83">
        <v>101.076609023293</v>
      </c>
      <c r="AH283" s="83">
        <v>102.00114057143099</v>
      </c>
      <c r="AI283" s="83">
        <v>101.750406367536</v>
      </c>
      <c r="AJ283" s="83">
        <v>101.69813637641499</v>
      </c>
      <c r="AK283" s="83">
        <v>101.44394664511</v>
      </c>
      <c r="AL283" s="83">
        <v>101.01211320378199</v>
      </c>
      <c r="AM283" s="82"/>
      <c r="AN283" s="82"/>
    </row>
    <row r="284" spans="1:40" x14ac:dyDescent="0.65">
      <c r="A284" s="82" t="s">
        <v>60</v>
      </c>
      <c r="B284" s="81" t="str">
        <f t="shared" si="11"/>
        <v>IMF.RES.GAS:GAS_LIVE_2026_JAN_GAS1_VINTAGE</v>
      </c>
      <c r="C284" s="81" t="s">
        <v>624</v>
      </c>
      <c r="D284" s="82"/>
      <c r="E284" s="85">
        <v>107.322038671925</v>
      </c>
      <c r="F284" s="83">
        <v>102.348059806463</v>
      </c>
      <c r="G284" s="83">
        <v>100.923618647523</v>
      </c>
      <c r="H284" s="83">
        <v>93.871488337548399</v>
      </c>
      <c r="I284" s="83">
        <v>93.651052107440407</v>
      </c>
      <c r="J284" s="83">
        <v>94.540771240256404</v>
      </c>
      <c r="K284" s="83">
        <v>97.932647076606898</v>
      </c>
      <c r="L284" s="83">
        <v>98.787689279576</v>
      </c>
      <c r="M284" s="83">
        <v>98.251815073838699</v>
      </c>
      <c r="N284" s="83">
        <v>98.148216858836506</v>
      </c>
      <c r="O284" s="83">
        <v>99.419073084061196</v>
      </c>
      <c r="P284" s="83">
        <v>101.51884533351</v>
      </c>
      <c r="Q284" s="83">
        <v>102.257748470804</v>
      </c>
      <c r="R284" s="83">
        <v>100</v>
      </c>
      <c r="S284" s="83">
        <v>99.858639433228802</v>
      </c>
      <c r="T284" s="83">
        <v>98.356140023610905</v>
      </c>
      <c r="U284" s="83">
        <v>99.521181295363604</v>
      </c>
      <c r="V284" s="83">
        <v>99.394582577167</v>
      </c>
      <c r="W284" s="83">
        <v>96.441823708179996</v>
      </c>
      <c r="X284" s="83">
        <v>97.149844688359295</v>
      </c>
      <c r="Y284" s="83">
        <v>97.641497871747703</v>
      </c>
      <c r="Z284" s="83">
        <v>98.465494444326694</v>
      </c>
      <c r="AA284" s="83">
        <v>97.922325342109005</v>
      </c>
      <c r="AB284" s="83">
        <v>98.423414321179607</v>
      </c>
      <c r="AC284" s="83">
        <v>98.372451147608203</v>
      </c>
      <c r="AD284" s="83">
        <v>97.298122598513501</v>
      </c>
      <c r="AE284" s="84">
        <v>98.273944122724799</v>
      </c>
      <c r="AF284" s="83">
        <v>98.524506306708005</v>
      </c>
      <c r="AG284" s="83">
        <v>99.310973677162295</v>
      </c>
      <c r="AH284" s="83">
        <v>99.648239685912898</v>
      </c>
      <c r="AI284" s="83">
        <v>98.833349407884</v>
      </c>
      <c r="AJ284" s="83">
        <v>98.460704799000993</v>
      </c>
      <c r="AK284" s="83">
        <v>98.101330200196898</v>
      </c>
      <c r="AL284" s="83">
        <v>97.786587731856102</v>
      </c>
      <c r="AM284" s="82"/>
      <c r="AN284" s="82"/>
    </row>
    <row r="285" spans="1:40" x14ac:dyDescent="0.65">
      <c r="A285" s="82" t="s">
        <v>62</v>
      </c>
      <c r="B285" s="81" t="str">
        <f t="shared" si="11"/>
        <v>IMF.RES.GAS:GAS_LIVE_2026_JAN_GAS1_VINTAGE</v>
      </c>
      <c r="C285" s="81" t="s">
        <v>625</v>
      </c>
      <c r="D285" s="82"/>
      <c r="E285" s="85">
        <v>99.526086685952706</v>
      </c>
      <c r="F285" s="83">
        <v>95.5585825364535</v>
      </c>
      <c r="G285" s="83">
        <v>91.6696766405462</v>
      </c>
      <c r="H285" s="83">
        <v>84.8922143967484</v>
      </c>
      <c r="I285" s="83">
        <v>85.520785441383893</v>
      </c>
      <c r="J285" s="83">
        <v>87.538861164354003</v>
      </c>
      <c r="K285" s="83">
        <v>94.7726380039269</v>
      </c>
      <c r="L285" s="83">
        <v>97.182785737579593</v>
      </c>
      <c r="M285" s="83">
        <v>96.974332138946593</v>
      </c>
      <c r="N285" s="83">
        <v>97.279979501323595</v>
      </c>
      <c r="O285" s="83">
        <v>100.224192575675</v>
      </c>
      <c r="P285" s="83">
        <v>104.155679774475</v>
      </c>
      <c r="Q285" s="83">
        <v>104.140090310557</v>
      </c>
      <c r="R285" s="83">
        <v>100</v>
      </c>
      <c r="S285" s="83">
        <v>100.496318984125</v>
      </c>
      <c r="T285" s="83">
        <v>96.635782494205301</v>
      </c>
      <c r="U285" s="83">
        <v>99.630421184354802</v>
      </c>
      <c r="V285" s="83">
        <v>99.556614934805097</v>
      </c>
      <c r="W285" s="83">
        <v>92.071783013399298</v>
      </c>
      <c r="X285" s="83">
        <v>93.154110127362202</v>
      </c>
      <c r="Y285" s="83">
        <v>94.770116359670496</v>
      </c>
      <c r="Z285" s="83">
        <v>96.790787913611695</v>
      </c>
      <c r="AA285" s="83">
        <v>94.556646275257094</v>
      </c>
      <c r="AB285" s="83">
        <v>95.260761502985005</v>
      </c>
      <c r="AC285" s="83">
        <v>96.110404457858806</v>
      </c>
      <c r="AD285" s="83">
        <v>92.306829463008</v>
      </c>
      <c r="AE285" s="84">
        <v>94.064049719468898</v>
      </c>
      <c r="AF285" s="83">
        <v>94.238146006204204</v>
      </c>
      <c r="AG285" s="83">
        <v>95.910222950142895</v>
      </c>
      <c r="AH285" s="83">
        <v>96.146105990368298</v>
      </c>
      <c r="AI285" s="83">
        <v>94.929174607634295</v>
      </c>
      <c r="AJ285" s="83">
        <v>93.638557584563102</v>
      </c>
      <c r="AK285" s="83">
        <v>92.436439217499</v>
      </c>
      <c r="AL285" s="83">
        <v>91.667921679771098</v>
      </c>
      <c r="AM285" s="82"/>
      <c r="AN285" s="82"/>
    </row>
    <row r="286" spans="1:40" x14ac:dyDescent="0.65">
      <c r="A286" s="82" t="s">
        <v>63</v>
      </c>
      <c r="B286" s="81" t="str">
        <f t="shared" si="11"/>
        <v>IMF.RES.GAS:GAS_LIVE_2026_JAN_GAS1_VINTAGE</v>
      </c>
      <c r="C286" s="81" t="s">
        <v>626</v>
      </c>
      <c r="D286" s="82"/>
      <c r="E286" s="85">
        <v>99.445976638589002</v>
      </c>
      <c r="F286" s="83">
        <v>98.681940001987698</v>
      </c>
      <c r="G286" s="83">
        <v>97.190247396529998</v>
      </c>
      <c r="H286" s="83">
        <v>94.3506005865124</v>
      </c>
      <c r="I286" s="83">
        <v>94.837104698754999</v>
      </c>
      <c r="J286" s="83">
        <v>95.585372385262602</v>
      </c>
      <c r="K286" s="83">
        <v>98.401957120970394</v>
      </c>
      <c r="L286" s="83">
        <v>99.163997604699802</v>
      </c>
      <c r="M286" s="83">
        <v>99.006302173156001</v>
      </c>
      <c r="N286" s="83">
        <v>99.047447555687995</v>
      </c>
      <c r="O286" s="83">
        <v>100.04809282666901</v>
      </c>
      <c r="P286" s="83">
        <v>101.360229551892</v>
      </c>
      <c r="Q286" s="83">
        <v>101.559479418425</v>
      </c>
      <c r="R286" s="83">
        <v>100</v>
      </c>
      <c r="S286" s="83">
        <v>99.910459981740502</v>
      </c>
      <c r="T286" s="83">
        <v>98.624629588289295</v>
      </c>
      <c r="U286" s="83">
        <v>99.765684713646493</v>
      </c>
      <c r="V286" s="83">
        <v>99.783899245792398</v>
      </c>
      <c r="W286" s="83">
        <v>97.227143234836106</v>
      </c>
      <c r="X286" s="83">
        <v>97.851602065411399</v>
      </c>
      <c r="Y286" s="83">
        <v>98.466676819272095</v>
      </c>
      <c r="Z286" s="83">
        <v>99.184241585145401</v>
      </c>
      <c r="AA286" s="83">
        <v>98.5888068811811</v>
      </c>
      <c r="AB286" s="83">
        <v>98.944577322647902</v>
      </c>
      <c r="AC286" s="83">
        <v>98.954607942504197</v>
      </c>
      <c r="AD286" s="83">
        <v>97.853904648427104</v>
      </c>
      <c r="AE286" s="84">
        <v>98.604461729276693</v>
      </c>
      <c r="AF286" s="83">
        <v>98.676819412517801</v>
      </c>
      <c r="AG286" s="83">
        <v>99.195693389831504</v>
      </c>
      <c r="AH286" s="83">
        <v>99.813794129549606</v>
      </c>
      <c r="AI286" s="83">
        <v>99.680133630438803</v>
      </c>
      <c r="AJ286" s="83">
        <v>99.591835099068504</v>
      </c>
      <c r="AK286" s="83">
        <v>99.4876349422385</v>
      </c>
      <c r="AL286" s="83">
        <v>99.349231012215498</v>
      </c>
      <c r="AM286" s="82"/>
      <c r="AN286" s="82"/>
    </row>
    <row r="287" spans="1:40" x14ac:dyDescent="0.65">
      <c r="A287" s="82" t="s">
        <v>64</v>
      </c>
      <c r="B287" s="81" t="str">
        <f t="shared" si="11"/>
        <v>IMF.RES.GAS:GAS_LIVE_2026_JAN_GAS1_VINTAGE</v>
      </c>
      <c r="C287" s="81" t="s">
        <v>627</v>
      </c>
      <c r="D287" s="82"/>
      <c r="E287" s="85">
        <v>98.675574954017506</v>
      </c>
      <c r="F287" s="83">
        <v>98.722962405245994</v>
      </c>
      <c r="G287" s="83">
        <v>96.946684295057096</v>
      </c>
      <c r="H287" s="83">
        <v>93.755334221608805</v>
      </c>
      <c r="I287" s="83">
        <v>94.304928883842393</v>
      </c>
      <c r="J287" s="83">
        <v>95.159732046325502</v>
      </c>
      <c r="K287" s="83">
        <v>98.291699418161997</v>
      </c>
      <c r="L287" s="83">
        <v>99.135618141861599</v>
      </c>
      <c r="M287" s="83">
        <v>98.934956587629102</v>
      </c>
      <c r="N287" s="83">
        <v>99.031505186985996</v>
      </c>
      <c r="O287" s="83">
        <v>100.24403616219</v>
      </c>
      <c r="P287" s="83">
        <v>101.90593747521299</v>
      </c>
      <c r="Q287" s="83">
        <v>102.20402242372499</v>
      </c>
      <c r="R287" s="83">
        <v>100</v>
      </c>
      <c r="S287" s="83">
        <v>99.781182265497193</v>
      </c>
      <c r="T287" s="83">
        <v>98.0499732694269</v>
      </c>
      <c r="U287" s="83">
        <v>99.678117361372998</v>
      </c>
      <c r="V287" s="83">
        <v>99.800859302470101</v>
      </c>
      <c r="W287" s="83">
        <v>96.555202966858204</v>
      </c>
      <c r="X287" s="83">
        <v>97.169459563322505</v>
      </c>
      <c r="Y287" s="83">
        <v>97.931005743642501</v>
      </c>
      <c r="Z287" s="83">
        <v>98.8457599984078</v>
      </c>
      <c r="AA287" s="83">
        <v>97.971213001652799</v>
      </c>
      <c r="AB287" s="83">
        <v>98.293918062753505</v>
      </c>
      <c r="AC287" s="83">
        <v>98.438490478993302</v>
      </c>
      <c r="AD287" s="83">
        <v>97.016816088874705</v>
      </c>
      <c r="AE287" s="84">
        <v>97.931479532465502</v>
      </c>
      <c r="AF287" s="83">
        <v>98.156164321572803</v>
      </c>
      <c r="AG287" s="83">
        <v>98.904001930429999</v>
      </c>
      <c r="AH287" s="83">
        <v>99.356952187579296</v>
      </c>
      <c r="AI287" s="83">
        <v>98.503129707500506</v>
      </c>
      <c r="AJ287" s="83">
        <v>98.127638375481396</v>
      </c>
      <c r="AK287" s="83">
        <v>97.7100088447053</v>
      </c>
      <c r="AL287" s="83">
        <v>97.293895416186501</v>
      </c>
      <c r="AM287" s="82"/>
      <c r="AN287" s="82"/>
    </row>
    <row r="288" spans="1:40" x14ac:dyDescent="0.65">
      <c r="A288" s="82" t="s">
        <v>65</v>
      </c>
      <c r="B288" s="81" t="str">
        <f t="shared" si="11"/>
        <v>IMF.RES.GAS:GAS_LIVE_2026_JAN_GAS1_VINTAGE</v>
      </c>
      <c r="C288" s="81" t="s">
        <v>628</v>
      </c>
      <c r="D288" s="82"/>
      <c r="E288" s="85">
        <v>89.2771727457596</v>
      </c>
      <c r="F288" s="83">
        <v>80.445237411277404</v>
      </c>
      <c r="G288" s="83">
        <v>80.898064269262406</v>
      </c>
      <c r="H288" s="83">
        <v>75.765098500540702</v>
      </c>
      <c r="I288" s="83">
        <v>70.988149195100306</v>
      </c>
      <c r="J288" s="83">
        <v>73.213364833692395</v>
      </c>
      <c r="K288" s="83">
        <v>80.237753087071994</v>
      </c>
      <c r="L288" s="83">
        <v>85.505873256995898</v>
      </c>
      <c r="M288" s="83">
        <v>87.7615042583936</v>
      </c>
      <c r="N288" s="83">
        <v>86.804824380881996</v>
      </c>
      <c r="O288" s="83">
        <v>92.314270623259205</v>
      </c>
      <c r="P288" s="83">
        <v>90.856521252257494</v>
      </c>
      <c r="Q288" s="83">
        <v>87.177382303360602</v>
      </c>
      <c r="R288" s="83">
        <v>99.999999999999901</v>
      </c>
      <c r="S288" s="83">
        <v>106.772334407909</v>
      </c>
      <c r="T288" s="83">
        <v>110.11511858321001</v>
      </c>
      <c r="U288" s="83">
        <v>104.619693220454</v>
      </c>
      <c r="V288" s="83">
        <v>98.236866494278502</v>
      </c>
      <c r="W288" s="83">
        <v>90.971465736148801</v>
      </c>
      <c r="X288" s="83">
        <v>89.834834069200497</v>
      </c>
      <c r="Y288" s="83">
        <v>92.161453794659096</v>
      </c>
      <c r="Z288" s="83">
        <v>88.099398468029307</v>
      </c>
      <c r="AA288" s="83">
        <v>84.267998575756593</v>
      </c>
      <c r="AB288" s="83">
        <v>82.816841313836903</v>
      </c>
      <c r="AC288" s="83">
        <v>87.994045413271294</v>
      </c>
      <c r="AD288" s="83">
        <v>88.731636171698199</v>
      </c>
      <c r="AE288" s="84">
        <v>85.228800741312895</v>
      </c>
      <c r="AF288" s="83">
        <v>85.701882520673806</v>
      </c>
      <c r="AG288" s="83">
        <v>82.373116565672106</v>
      </c>
      <c r="AH288" s="83">
        <v>82.954872438357498</v>
      </c>
      <c r="AI288" s="83">
        <v>82.464470434751505</v>
      </c>
      <c r="AJ288" s="83">
        <v>82.113302457508198</v>
      </c>
      <c r="AK288" s="83">
        <v>81.832308791549295</v>
      </c>
      <c r="AL288" s="83">
        <v>81.423761005223596</v>
      </c>
      <c r="AM288" s="82"/>
      <c r="AN288" s="82"/>
    </row>
    <row r="289" spans="1:40" x14ac:dyDescent="0.65">
      <c r="A289" s="82" t="s">
        <v>66</v>
      </c>
      <c r="B289" s="81" t="str">
        <f t="shared" si="11"/>
        <v>IMF.RES.GAS:GAS_LIVE_2026_JAN_GAS1_VINTAGE</v>
      </c>
      <c r="C289" s="81" t="s">
        <v>629</v>
      </c>
      <c r="D289" s="82"/>
      <c r="E289" s="85">
        <v>104.85035115903101</v>
      </c>
      <c r="F289" s="83">
        <v>91.455652156906297</v>
      </c>
      <c r="G289" s="83">
        <v>88.531674416689</v>
      </c>
      <c r="H289" s="83">
        <v>80.495312137621397</v>
      </c>
      <c r="I289" s="83">
        <v>79.050009919285998</v>
      </c>
      <c r="J289" s="83">
        <v>85.212775867598694</v>
      </c>
      <c r="K289" s="83">
        <v>95.972636522847594</v>
      </c>
      <c r="L289" s="83">
        <v>101.835631646884</v>
      </c>
      <c r="M289" s="83">
        <v>106.649494725783</v>
      </c>
      <c r="N289" s="83">
        <v>98.621493787406294</v>
      </c>
      <c r="O289" s="83">
        <v>105.477577249712</v>
      </c>
      <c r="P289" s="83">
        <v>98.624591029635198</v>
      </c>
      <c r="Q289" s="83">
        <v>91.278625334344795</v>
      </c>
      <c r="R289" s="83">
        <v>100</v>
      </c>
      <c r="S289" s="83">
        <v>102.80988599245499</v>
      </c>
      <c r="T289" s="83">
        <v>107.94545938121399</v>
      </c>
      <c r="U289" s="83">
        <v>112.133217500553</v>
      </c>
      <c r="V289" s="83">
        <v>115.951412229536</v>
      </c>
      <c r="W289" s="83">
        <v>110.628728643543</v>
      </c>
      <c r="X289" s="83">
        <v>110.322946563977</v>
      </c>
      <c r="Y289" s="83">
        <v>111.55695354732001</v>
      </c>
      <c r="Z289" s="83">
        <v>107.014648940665</v>
      </c>
      <c r="AA289" s="83">
        <v>105.67524216800599</v>
      </c>
      <c r="AB289" s="83">
        <v>103.34297657315</v>
      </c>
      <c r="AC289" s="83">
        <v>108.65304667624901</v>
      </c>
      <c r="AD289" s="83">
        <v>106.52556473504799</v>
      </c>
      <c r="AE289" s="84">
        <v>103.96050813487101</v>
      </c>
      <c r="AF289" s="83">
        <v>103.587571820208</v>
      </c>
      <c r="AG289" s="83">
        <v>98.228800067714801</v>
      </c>
      <c r="AH289" s="83">
        <v>94.888173978798505</v>
      </c>
      <c r="AI289" s="83">
        <v>94.220646293918904</v>
      </c>
      <c r="AJ289" s="83">
        <v>93.628701065890297</v>
      </c>
      <c r="AK289" s="83">
        <v>93.093801409722005</v>
      </c>
      <c r="AL289" s="83">
        <v>92.625568508506802</v>
      </c>
      <c r="AM289" s="82"/>
      <c r="AN289" s="82"/>
    </row>
    <row r="290" spans="1:40" x14ac:dyDescent="0.65">
      <c r="B290" s="1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40" x14ac:dyDescent="0.65">
      <c r="A291" s="1" t="s">
        <v>74</v>
      </c>
      <c r="B291" s="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40" x14ac:dyDescent="0.65">
      <c r="A292" s="82" t="s">
        <v>10</v>
      </c>
      <c r="B292" s="81" t="s">
        <v>851</v>
      </c>
      <c r="C292" s="81" t="s">
        <v>630</v>
      </c>
      <c r="D292" s="82"/>
      <c r="E292" s="83">
        <v>86.961250000000007</v>
      </c>
      <c r="F292" s="83">
        <v>87.777500000000003</v>
      </c>
      <c r="G292" s="83">
        <v>87.637749999999997</v>
      </c>
      <c r="H292" s="83">
        <v>90.139499999999998</v>
      </c>
      <c r="I292" s="83">
        <v>91.104749999999996</v>
      </c>
      <c r="J292" s="83">
        <v>86.572749999999999</v>
      </c>
      <c r="K292" s="83">
        <v>85.655749999999998</v>
      </c>
      <c r="L292" s="83">
        <v>86.166250000000005</v>
      </c>
      <c r="M292" s="83">
        <v>85.097499999999997</v>
      </c>
      <c r="N292" s="83">
        <v>86.289500000000004</v>
      </c>
      <c r="O292" s="83">
        <v>85.720749999999995</v>
      </c>
      <c r="P292" s="83">
        <v>88.737250000000003</v>
      </c>
      <c r="Q292" s="83">
        <v>90.988500000000002</v>
      </c>
      <c r="R292" s="83">
        <v>86.052999999999997</v>
      </c>
      <c r="S292" s="83">
        <v>86.857749999999996</v>
      </c>
      <c r="T292" s="83">
        <v>89.373999999999995</v>
      </c>
      <c r="U292" s="83">
        <v>88.686999999999998</v>
      </c>
      <c r="V292" s="83">
        <v>91.296499999999995</v>
      </c>
      <c r="W292" s="83">
        <v>95.465500000000006</v>
      </c>
      <c r="X292" s="83">
        <v>96.187250000000006</v>
      </c>
      <c r="Y292" s="83">
        <v>99.997500000000002</v>
      </c>
      <c r="Z292" s="83">
        <v>102.18899999999999</v>
      </c>
      <c r="AA292" s="83">
        <v>107.20625</v>
      </c>
      <c r="AB292" s="83">
        <v>114.539</v>
      </c>
      <c r="AC292" s="83">
        <v>115.33175</v>
      </c>
      <c r="AD292" s="83">
        <v>120.61125</v>
      </c>
      <c r="AE292" s="84">
        <v>126.75675</v>
      </c>
      <c r="AF292" s="83">
        <v>130.8425</v>
      </c>
      <c r="AG292" s="83">
        <v>133.64750030024899</v>
      </c>
      <c r="AH292" s="83">
        <v>137.085063157387</v>
      </c>
      <c r="AI292" s="83">
        <v>139.82946527502401</v>
      </c>
      <c r="AJ292" s="83">
        <v>142.609395694478</v>
      </c>
      <c r="AK292" s="83">
        <v>145.44822434409201</v>
      </c>
      <c r="AL292" s="83">
        <v>148.34386560347599</v>
      </c>
      <c r="AM292" s="82"/>
      <c r="AN292" s="82"/>
    </row>
    <row r="293" spans="1:40" x14ac:dyDescent="0.65">
      <c r="B293" s="1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40" x14ac:dyDescent="0.65">
      <c r="A294" s="1" t="s">
        <v>45</v>
      </c>
      <c r="B294" s="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40" x14ac:dyDescent="0.65">
      <c r="B295" s="1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40" x14ac:dyDescent="0.65">
      <c r="A296" s="1" t="s">
        <v>250</v>
      </c>
      <c r="B296" s="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40" x14ac:dyDescent="0.65">
      <c r="A297" s="82" t="s">
        <v>10</v>
      </c>
      <c r="B297" s="81" t="str">
        <f>$A$4</f>
        <v>IMF.RES.GAS:GAS_LIVE_2026_JAN_GAS1_VINTAGE</v>
      </c>
      <c r="C297" s="81" t="s">
        <v>631</v>
      </c>
      <c r="D297" s="82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>
        <v>5.2499999999999998E-2</v>
      </c>
      <c r="T297" s="83">
        <v>8.5833333333333206E-2</v>
      </c>
      <c r="U297" s="83">
        <v>5.83333333333333E-2</v>
      </c>
      <c r="V297" s="83">
        <v>3.2500000000000001E-2</v>
      </c>
      <c r="W297" s="83">
        <v>5.3333333333333399E-2</v>
      </c>
      <c r="X297" s="83">
        <v>0.31916666666666599</v>
      </c>
      <c r="Y297" s="83">
        <v>0.94666666666666799</v>
      </c>
      <c r="Z297" s="83">
        <v>1.9733333333333301</v>
      </c>
      <c r="AA297" s="83">
        <v>2.1041666666666599</v>
      </c>
      <c r="AB297" s="83">
        <v>0.369999999999999</v>
      </c>
      <c r="AC297" s="83">
        <v>4.4166666666666597E-2</v>
      </c>
      <c r="AD297" s="83">
        <v>2.0825</v>
      </c>
      <c r="AE297" s="84">
        <v>5.2758333333333303</v>
      </c>
      <c r="AF297" s="83">
        <v>5.17916666666666</v>
      </c>
      <c r="AG297" s="83">
        <v>4.1893583333333302</v>
      </c>
      <c r="AH297" s="83">
        <v>3.4086833333333302</v>
      </c>
      <c r="AI297" s="83">
        <v>3.2003499999999998</v>
      </c>
      <c r="AJ297" s="83">
        <v>3.0440999999999998</v>
      </c>
      <c r="AK297" s="83">
        <v>2.8461833333333302</v>
      </c>
      <c r="AL297" s="83">
        <v>2.7940999999999998</v>
      </c>
      <c r="AM297" s="82"/>
      <c r="AN297" s="82"/>
    </row>
    <row r="298" spans="1:40" x14ac:dyDescent="0.65">
      <c r="A298" s="82" t="s">
        <v>11</v>
      </c>
      <c r="B298" s="81" t="str">
        <f t="shared" ref="B298:B299" si="12">$A$4</f>
        <v>IMF.RES.GAS:GAS_LIVE_2026_JAN_GAS1_VINTAGE</v>
      </c>
      <c r="C298" s="81" t="s">
        <v>632</v>
      </c>
      <c r="D298" s="82"/>
      <c r="E298" s="84"/>
      <c r="F298" s="84"/>
      <c r="G298" s="84"/>
      <c r="H298" s="8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3">
        <v>4.3454364681487299E-2</v>
      </c>
      <c r="V298" s="83">
        <v>3.0560716236888101E-2</v>
      </c>
      <c r="W298" s="83">
        <v>-0.22710749999999999</v>
      </c>
      <c r="X298" s="83">
        <v>-0.64580727855477804</v>
      </c>
      <c r="Y298" s="83">
        <v>-0.81080730769230702</v>
      </c>
      <c r="Z298" s="83">
        <v>-0.73887547785547802</v>
      </c>
      <c r="AA298" s="83">
        <v>-0.66347125874125901</v>
      </c>
      <c r="AB298" s="83">
        <v>-0.67019108391608295</v>
      </c>
      <c r="AC298" s="83">
        <v>-0.71129334644522102</v>
      </c>
      <c r="AD298" s="83">
        <v>0.15758305288461499</v>
      </c>
      <c r="AE298" s="84">
        <v>3.1443640196820102</v>
      </c>
      <c r="AF298" s="83">
        <v>3.2963491370043001</v>
      </c>
      <c r="AG298" s="83">
        <v>2.00203186115092</v>
      </c>
      <c r="AH298" s="83">
        <v>2.0330652676402701</v>
      </c>
      <c r="AI298" s="83">
        <v>2.0330652676402701</v>
      </c>
      <c r="AJ298" s="83">
        <v>2.0330652676402701</v>
      </c>
      <c r="AK298" s="83">
        <v>2.0330652676402701</v>
      </c>
      <c r="AL298" s="83">
        <v>2.0330652676402701</v>
      </c>
      <c r="AM298" s="82"/>
      <c r="AN298" s="82"/>
    </row>
    <row r="299" spans="1:40" x14ac:dyDescent="0.65">
      <c r="A299" s="82" t="s">
        <v>12</v>
      </c>
      <c r="B299" s="81" t="str">
        <f t="shared" si="12"/>
        <v>IMF.RES.GAS:GAS_LIVE_2026_JAN_GAS1_VINTAGE</v>
      </c>
      <c r="C299" s="81" t="s">
        <v>633</v>
      </c>
      <c r="D299" s="82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>
        <v>7.2229238599941695E-2</v>
      </c>
      <c r="V299" s="83">
        <v>2.2891008400325701E-2</v>
      </c>
      <c r="W299" s="83">
        <v>-1.40505018556005E-2</v>
      </c>
      <c r="X299" s="83">
        <v>-0.246938519813519</v>
      </c>
      <c r="Y299" s="83">
        <v>-0.190990564903846</v>
      </c>
      <c r="Z299" s="83">
        <v>-0.18183466091200401</v>
      </c>
      <c r="AA299" s="83">
        <v>-0.176925087412587</v>
      </c>
      <c r="AB299" s="83">
        <v>-0.13195402097902001</v>
      </c>
      <c r="AC299" s="83">
        <v>-0.113032355405011</v>
      </c>
      <c r="AD299" s="83">
        <v>-0.13547502731643299</v>
      </c>
      <c r="AE299" s="84">
        <v>-0.18246153846153801</v>
      </c>
      <c r="AF299" s="83">
        <v>9.6435897435898001E-3</v>
      </c>
      <c r="AG299" s="83">
        <v>0.40797572200368998</v>
      </c>
      <c r="AH299" s="83">
        <v>0.77562529741997199</v>
      </c>
      <c r="AI299" s="83">
        <v>1.2288539130434799</v>
      </c>
      <c r="AJ299" s="83">
        <v>1.4</v>
      </c>
      <c r="AK299" s="83">
        <v>1.4</v>
      </c>
      <c r="AL299" s="83">
        <v>1.4</v>
      </c>
      <c r="AM299" s="82"/>
      <c r="AN299" s="82"/>
    </row>
    <row r="302" spans="1:40" x14ac:dyDescent="0.65">
      <c r="F302" s="18" t="s">
        <v>379</v>
      </c>
    </row>
    <row r="303" spans="1:40" x14ac:dyDescent="0.65">
      <c r="A303" s="24" t="s">
        <v>251</v>
      </c>
      <c r="F303" s="3" t="s">
        <v>280</v>
      </c>
    </row>
    <row r="304" spans="1:40" ht="13.5" x14ac:dyDescent="0.7">
      <c r="A304" s="122" t="s">
        <v>252</v>
      </c>
      <c r="B304" s="26" t="s">
        <v>855</v>
      </c>
      <c r="C304" s="26"/>
      <c r="E304" s="29" t="str">
        <f>+E2</f>
        <v>1997A1</v>
      </c>
      <c r="F304" s="29" t="s">
        <v>284</v>
      </c>
      <c r="G304" s="29" t="s">
        <v>285</v>
      </c>
      <c r="H304" s="29" t="s">
        <v>286</v>
      </c>
      <c r="I304" s="29" t="s">
        <v>287</v>
      </c>
      <c r="J304" s="29" t="s">
        <v>288</v>
      </c>
      <c r="K304" s="29" t="s">
        <v>289</v>
      </c>
      <c r="L304" s="29" t="s">
        <v>290</v>
      </c>
      <c r="M304" s="29" t="s">
        <v>291</v>
      </c>
      <c r="N304" s="29" t="s">
        <v>292</v>
      </c>
      <c r="O304" s="29" t="s">
        <v>293</v>
      </c>
      <c r="P304" s="29" t="s">
        <v>294</v>
      </c>
      <c r="Q304" s="29" t="s">
        <v>295</v>
      </c>
      <c r="R304" s="29" t="s">
        <v>296</v>
      </c>
      <c r="S304" s="29" t="s">
        <v>297</v>
      </c>
      <c r="T304" s="29" t="s">
        <v>298</v>
      </c>
      <c r="U304" s="29" t="s">
        <v>299</v>
      </c>
      <c r="V304" s="29" t="s">
        <v>300</v>
      </c>
      <c r="W304" s="29" t="s">
        <v>301</v>
      </c>
      <c r="X304" s="29" t="s">
        <v>302</v>
      </c>
      <c r="Y304" s="29" t="s">
        <v>303</v>
      </c>
      <c r="Z304" s="29" t="s">
        <v>304</v>
      </c>
      <c r="AA304" s="29" t="s">
        <v>305</v>
      </c>
      <c r="AB304" s="29" t="s">
        <v>306</v>
      </c>
      <c r="AC304" s="29" t="s">
        <v>307</v>
      </c>
      <c r="AD304" s="29" t="s">
        <v>308</v>
      </c>
      <c r="AE304" s="29" t="s">
        <v>309</v>
      </c>
      <c r="AF304" s="29" t="s">
        <v>310</v>
      </c>
      <c r="AG304" s="29" t="s">
        <v>311</v>
      </c>
      <c r="AH304" s="29" t="s">
        <v>312</v>
      </c>
      <c r="AI304" s="29" t="s">
        <v>313</v>
      </c>
      <c r="AJ304" s="29" t="s">
        <v>314</v>
      </c>
      <c r="AK304" s="29" t="s">
        <v>315</v>
      </c>
      <c r="AL304" s="29" t="s">
        <v>316</v>
      </c>
    </row>
    <row r="305" spans="1:40" ht="13.5" x14ac:dyDescent="0.7">
      <c r="A305" s="123"/>
      <c r="B305" s="26"/>
      <c r="C305" s="3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</row>
    <row r="306" spans="1:40" ht="13.5" x14ac:dyDescent="0.7">
      <c r="A306" s="122" t="s">
        <v>277</v>
      </c>
      <c r="B306" s="26"/>
      <c r="C306" s="37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</row>
    <row r="307" spans="1:40" ht="13.5" x14ac:dyDescent="0.7">
      <c r="A307" s="123" t="s">
        <v>4</v>
      </c>
      <c r="B307" s="26"/>
      <c r="C307" s="27" t="s">
        <v>254</v>
      </c>
      <c r="E307" s="108">
        <f>+E9</f>
        <v>80.634924510194907</v>
      </c>
      <c r="F307" s="108">
        <f t="shared" ref="F307:AL307" si="13">+F9</f>
        <v>82.852860424436997</v>
      </c>
      <c r="G307" s="108">
        <f t="shared" si="13"/>
        <v>85.826214757484195</v>
      </c>
      <c r="H307" s="108">
        <f t="shared" si="13"/>
        <v>89.424341529010604</v>
      </c>
      <c r="I307" s="108">
        <f t="shared" si="13"/>
        <v>90.817239119869299</v>
      </c>
      <c r="J307" s="108">
        <f t="shared" si="13"/>
        <v>92.312471483534694</v>
      </c>
      <c r="K307" s="108">
        <f t="shared" si="13"/>
        <v>94.175525207264002</v>
      </c>
      <c r="L307" s="108">
        <f t="shared" si="13"/>
        <v>97.228471350317804</v>
      </c>
      <c r="M307" s="108">
        <f t="shared" si="13"/>
        <v>100</v>
      </c>
      <c r="N307" s="108">
        <f t="shared" si="13"/>
        <v>103.10025662283201</v>
      </c>
      <c r="O307" s="108">
        <f t="shared" si="13"/>
        <v>105.994830350851</v>
      </c>
      <c r="P307" s="108">
        <f t="shared" si="13"/>
        <v>106.36204877796</v>
      </c>
      <c r="Q307" s="108">
        <f t="shared" si="13"/>
        <v>102.755899137819</v>
      </c>
      <c r="R307" s="108">
        <f t="shared" si="13"/>
        <v>105.951338611574</v>
      </c>
      <c r="S307" s="108">
        <f t="shared" si="13"/>
        <v>107.77731863919</v>
      </c>
      <c r="T307" s="108">
        <f t="shared" si="13"/>
        <v>109.051216453953</v>
      </c>
      <c r="U307" s="108">
        <f t="shared" si="13"/>
        <v>110.667785922653</v>
      </c>
      <c r="V307" s="108">
        <f t="shared" si="13"/>
        <v>113.05774157188399</v>
      </c>
      <c r="W307" s="108">
        <f t="shared" si="13"/>
        <v>115.786284850017</v>
      </c>
      <c r="X307" s="108">
        <f t="shared" si="13"/>
        <v>117.915343407211</v>
      </c>
      <c r="Y307" s="108">
        <f t="shared" si="13"/>
        <v>120.99274037554601</v>
      </c>
      <c r="Z307" s="108">
        <f t="shared" si="13"/>
        <v>123.785719041132</v>
      </c>
      <c r="AA307" s="108">
        <f t="shared" si="13"/>
        <v>126.08736563950001</v>
      </c>
      <c r="AB307" s="108">
        <f t="shared" si="13"/>
        <v>121.13331673041399</v>
      </c>
      <c r="AC307" s="108">
        <f t="shared" si="13"/>
        <v>128.527342137559</v>
      </c>
      <c r="AD307" s="108">
        <f t="shared" si="13"/>
        <v>132.44460641940401</v>
      </c>
      <c r="AE307" s="108">
        <f t="shared" si="13"/>
        <v>134.69531690903</v>
      </c>
      <c r="AF307" s="108">
        <f t="shared" si="13"/>
        <v>137.13824904195701</v>
      </c>
      <c r="AG307" s="108">
        <f t="shared" si="13"/>
        <v>139.51913074034201</v>
      </c>
      <c r="AH307" s="108">
        <f t="shared" si="13"/>
        <v>142.04149031793901</v>
      </c>
      <c r="AI307" s="108">
        <f t="shared" si="13"/>
        <v>144.466556628045</v>
      </c>
      <c r="AJ307" s="108">
        <f t="shared" si="13"/>
        <v>146.94074160845599</v>
      </c>
      <c r="AK307" s="108">
        <f t="shared" si="13"/>
        <v>149.277848608402</v>
      </c>
      <c r="AL307" s="108">
        <f t="shared" si="13"/>
        <v>151.54925820915699</v>
      </c>
      <c r="AN307" s="5"/>
    </row>
    <row r="308" spans="1:40" ht="13.5" x14ac:dyDescent="0.7">
      <c r="A308" s="123" t="s">
        <v>175</v>
      </c>
      <c r="B308" s="26"/>
      <c r="C308" s="27" t="s">
        <v>254</v>
      </c>
      <c r="E308" s="108">
        <f>+E22</f>
        <v>67.406488026690596</v>
      </c>
      <c r="F308" s="108">
        <f t="shared" ref="F308:AL308" si="14">+F22</f>
        <v>69.033935385200294</v>
      </c>
      <c r="G308" s="108">
        <f t="shared" si="14"/>
        <v>71.483186063439604</v>
      </c>
      <c r="H308" s="108">
        <f t="shared" si="14"/>
        <v>75.526589328167404</v>
      </c>
      <c r="I308" s="108">
        <f t="shared" si="14"/>
        <v>78.354248785852405</v>
      </c>
      <c r="J308" s="108">
        <f t="shared" si="14"/>
        <v>81.805674286278304</v>
      </c>
      <c r="K308" s="108">
        <f t="shared" si="14"/>
        <v>86.793179686696504</v>
      </c>
      <c r="L308" s="108">
        <f t="shared" si="14"/>
        <v>93.524168661202694</v>
      </c>
      <c r="M308" s="108">
        <f t="shared" si="14"/>
        <v>100</v>
      </c>
      <c r="N308" s="108">
        <f t="shared" si="14"/>
        <v>107.76243308946199</v>
      </c>
      <c r="O308" s="108">
        <f t="shared" si="14"/>
        <v>116.51250789298</v>
      </c>
      <c r="P308" s="108">
        <f t="shared" si="14"/>
        <v>123.019858559987</v>
      </c>
      <c r="Q308" s="108">
        <f t="shared" si="14"/>
        <v>126.231493887656</v>
      </c>
      <c r="R308" s="108">
        <f t="shared" si="14"/>
        <v>135.396357211924</v>
      </c>
      <c r="S308" s="108">
        <f t="shared" si="14"/>
        <v>143.79922834836299</v>
      </c>
      <c r="T308" s="108">
        <f t="shared" si="14"/>
        <v>151.41214484588201</v>
      </c>
      <c r="U308" s="108">
        <f t="shared" si="14"/>
        <v>158.94245586717901</v>
      </c>
      <c r="V308" s="108">
        <f t="shared" si="14"/>
        <v>166.45941575715901</v>
      </c>
      <c r="W308" s="108">
        <f t="shared" si="14"/>
        <v>173.55565172458699</v>
      </c>
      <c r="X308" s="108">
        <f t="shared" si="14"/>
        <v>181.03781118151099</v>
      </c>
      <c r="Y308" s="108">
        <f t="shared" si="14"/>
        <v>189.70817375086901</v>
      </c>
      <c r="Z308" s="108">
        <f t="shared" si="14"/>
        <v>198.52059681476001</v>
      </c>
      <c r="AA308" s="108">
        <f t="shared" si="14"/>
        <v>205.99512712488001</v>
      </c>
      <c r="AB308" s="108">
        <f t="shared" si="14"/>
        <v>202.217998109072</v>
      </c>
      <c r="AC308" s="108">
        <f t="shared" si="14"/>
        <v>216.44092862082499</v>
      </c>
      <c r="AD308" s="108">
        <f t="shared" si="14"/>
        <v>225.715941224315</v>
      </c>
      <c r="AE308" s="108">
        <f t="shared" si="14"/>
        <v>236.37509239540501</v>
      </c>
      <c r="AF308" s="108">
        <f t="shared" si="14"/>
        <v>246.65623274665299</v>
      </c>
      <c r="AG308" s="108">
        <f t="shared" si="14"/>
        <v>257.429304757137</v>
      </c>
      <c r="AH308" s="108">
        <f t="shared" si="14"/>
        <v>268.19845326838498</v>
      </c>
      <c r="AI308" s="108">
        <f t="shared" si="14"/>
        <v>279.28973802584801</v>
      </c>
      <c r="AJ308" s="108">
        <f t="shared" si="14"/>
        <v>290.78147240901399</v>
      </c>
      <c r="AK308" s="108">
        <f t="shared" si="14"/>
        <v>302.61545208321297</v>
      </c>
      <c r="AL308" s="108">
        <f t="shared" si="14"/>
        <v>314.589259311136</v>
      </c>
      <c r="AN308" s="5"/>
    </row>
    <row r="309" spans="1:40" ht="13" customHeight="1" x14ac:dyDescent="0.7">
      <c r="A309" s="122" t="s">
        <v>276</v>
      </c>
      <c r="B309" s="26"/>
      <c r="C309" s="27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N309" s="5"/>
    </row>
    <row r="310" spans="1:40" ht="13.5" x14ac:dyDescent="0.7">
      <c r="A310" s="123" t="s">
        <v>4</v>
      </c>
      <c r="B310" s="26"/>
      <c r="C310" s="27" t="s">
        <v>254</v>
      </c>
      <c r="E310" s="108">
        <f>+E30</f>
        <v>87.677696854357805</v>
      </c>
      <c r="F310" s="108">
        <f t="shared" ref="F310:AL310" si="15">+F30</f>
        <v>88.907124378418501</v>
      </c>
      <c r="G310" s="108">
        <f t="shared" si="15"/>
        <v>89.716945756131693</v>
      </c>
      <c r="H310" s="108">
        <f t="shared" si="15"/>
        <v>91.197188395304295</v>
      </c>
      <c r="I310" s="108">
        <f t="shared" si="15"/>
        <v>92.975923713927102</v>
      </c>
      <c r="J310" s="108">
        <f t="shared" si="15"/>
        <v>94.428605001381499</v>
      </c>
      <c r="K310" s="108">
        <f t="shared" si="15"/>
        <v>95.996762691547502</v>
      </c>
      <c r="L310" s="108">
        <f t="shared" si="15"/>
        <v>97.935374377112097</v>
      </c>
      <c r="M310" s="108">
        <f t="shared" si="15"/>
        <v>99.999999999999901</v>
      </c>
      <c r="N310" s="108">
        <f t="shared" si="15"/>
        <v>102.139472589861</v>
      </c>
      <c r="O310" s="108">
        <f t="shared" si="15"/>
        <v>104.45489352426</v>
      </c>
      <c r="P310" s="108">
        <f t="shared" si="15"/>
        <v>106.516277521555</v>
      </c>
      <c r="Q310" s="108">
        <f t="shared" si="15"/>
        <v>107.32123109510199</v>
      </c>
      <c r="R310" s="108">
        <f t="shared" si="15"/>
        <v>108.314005775185</v>
      </c>
      <c r="S310" s="108">
        <f t="shared" si="15"/>
        <v>109.841090815329</v>
      </c>
      <c r="T310" s="108">
        <f t="shared" si="15"/>
        <v>111.22159283525799</v>
      </c>
      <c r="U310" s="108">
        <f t="shared" si="15"/>
        <v>112.688962148109</v>
      </c>
      <c r="V310" s="108">
        <f t="shared" si="15"/>
        <v>114.267526941496</v>
      </c>
      <c r="W310" s="108">
        <f t="shared" si="15"/>
        <v>115.678189532856</v>
      </c>
      <c r="X310" s="108">
        <f t="shared" si="15"/>
        <v>116.795685677533</v>
      </c>
      <c r="Y310" s="108">
        <f t="shared" si="15"/>
        <v>118.473146445035</v>
      </c>
      <c r="Z310" s="108">
        <f t="shared" si="15"/>
        <v>120.485247763559</v>
      </c>
      <c r="AA310" s="108">
        <f t="shared" si="15"/>
        <v>122.313619097301</v>
      </c>
      <c r="AB310" s="108">
        <f t="shared" si="15"/>
        <v>124.332975301167</v>
      </c>
      <c r="AC310" s="108">
        <f t="shared" si="15"/>
        <v>128.451454151467</v>
      </c>
      <c r="AD310" s="108">
        <f t="shared" si="15"/>
        <v>135.904181814715</v>
      </c>
      <c r="AE310" s="108">
        <f t="shared" si="15"/>
        <v>141.65836418020601</v>
      </c>
      <c r="AF310" s="108">
        <f t="shared" si="15"/>
        <v>145.72090511797899</v>
      </c>
      <c r="AG310" s="108">
        <f t="shared" si="15"/>
        <v>149.456806642956</v>
      </c>
      <c r="AH310" s="108">
        <f t="shared" si="15"/>
        <v>152.45060357289699</v>
      </c>
      <c r="AI310" s="108">
        <f t="shared" si="15"/>
        <v>155.363046426263</v>
      </c>
      <c r="AJ310" s="108">
        <f t="shared" si="15"/>
        <v>158.42485059779099</v>
      </c>
      <c r="AK310" s="108">
        <f t="shared" si="15"/>
        <v>161.56114022599601</v>
      </c>
      <c r="AL310" s="108">
        <f t="shared" si="15"/>
        <v>164.75576308280699</v>
      </c>
      <c r="AN310" s="5"/>
    </row>
    <row r="311" spans="1:40" ht="13.5" x14ac:dyDescent="0.7">
      <c r="A311" s="122" t="s">
        <v>20</v>
      </c>
      <c r="B311" s="26"/>
      <c r="C311" s="27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N311" s="5"/>
    </row>
    <row r="312" spans="1:40" ht="13.5" x14ac:dyDescent="0.7">
      <c r="A312" s="123" t="s">
        <v>21</v>
      </c>
      <c r="B312" s="26"/>
      <c r="C312" s="27" t="s">
        <v>254</v>
      </c>
      <c r="E312" s="108">
        <f>+E48</f>
        <v>61.1277805572266</v>
      </c>
      <c r="F312" s="108">
        <f t="shared" ref="F312:AL312" si="16">+F48</f>
        <v>64.084084879190897</v>
      </c>
      <c r="G312" s="108">
        <f t="shared" si="16"/>
        <v>67.355346012827397</v>
      </c>
      <c r="H312" s="108">
        <f t="shared" si="16"/>
        <v>75.763660451024293</v>
      </c>
      <c r="I312" s="108">
        <f t="shared" si="16"/>
        <v>76.215440433729498</v>
      </c>
      <c r="J312" s="108">
        <f t="shared" si="16"/>
        <v>79.165105382525496</v>
      </c>
      <c r="K312" s="108">
        <f t="shared" si="16"/>
        <v>83.7008530604312</v>
      </c>
      <c r="L312" s="108">
        <f t="shared" si="16"/>
        <v>92.765907899286006</v>
      </c>
      <c r="M312" s="108">
        <f t="shared" si="16"/>
        <v>100</v>
      </c>
      <c r="N312" s="108">
        <f t="shared" si="16"/>
        <v>109.118406849244</v>
      </c>
      <c r="O312" s="108">
        <f t="shared" si="16"/>
        <v>117.61625028482401</v>
      </c>
      <c r="P312" s="108">
        <f t="shared" si="16"/>
        <v>120.75623621034499</v>
      </c>
      <c r="Q312" s="108">
        <f t="shared" si="16"/>
        <v>108.438312196309</v>
      </c>
      <c r="R312" s="108">
        <f t="shared" si="16"/>
        <v>121.38284750696501</v>
      </c>
      <c r="S312" s="108">
        <f t="shared" si="16"/>
        <v>129.84778631114099</v>
      </c>
      <c r="T312" s="108">
        <f t="shared" si="16"/>
        <v>133.73852609892799</v>
      </c>
      <c r="U312" s="108">
        <f t="shared" si="16"/>
        <v>138.61146426366099</v>
      </c>
      <c r="V312" s="108">
        <f t="shared" si="16"/>
        <v>144.280364694144</v>
      </c>
      <c r="W312" s="108">
        <f t="shared" si="16"/>
        <v>148.771967653221</v>
      </c>
      <c r="X312" s="108">
        <f t="shared" si="16"/>
        <v>152.417928046713</v>
      </c>
      <c r="Y312" s="108">
        <f t="shared" si="16"/>
        <v>160.672531065762</v>
      </c>
      <c r="Z312" s="108">
        <f t="shared" si="16"/>
        <v>167.095115851809</v>
      </c>
      <c r="AA312" s="108">
        <f t="shared" si="16"/>
        <v>169.00932435133799</v>
      </c>
      <c r="AB312" s="108">
        <f t="shared" si="16"/>
        <v>154.99146128909501</v>
      </c>
      <c r="AC312" s="108">
        <f t="shared" si="16"/>
        <v>171.66225782463999</v>
      </c>
      <c r="AD312" s="108">
        <f t="shared" si="16"/>
        <v>181.735978409485</v>
      </c>
      <c r="AE312" s="108">
        <f t="shared" si="16"/>
        <v>183.52857533888999</v>
      </c>
      <c r="AF312" s="108">
        <f t="shared" si="16"/>
        <v>190.177106297661</v>
      </c>
      <c r="AG312" s="108">
        <f t="shared" si="16"/>
        <v>197.88433267580299</v>
      </c>
      <c r="AH312" s="108">
        <f t="shared" si="16"/>
        <v>202.984125155301</v>
      </c>
      <c r="AI312" s="108">
        <f t="shared" si="16"/>
        <v>209.343322463287</v>
      </c>
      <c r="AJ312" s="108">
        <f t="shared" si="16"/>
        <v>215.92450432437801</v>
      </c>
      <c r="AK312" s="108">
        <f t="shared" si="16"/>
        <v>222.53417238204801</v>
      </c>
      <c r="AL312" s="108">
        <f t="shared" si="16"/>
        <v>229.233528178239</v>
      </c>
      <c r="AN312" s="5"/>
    </row>
    <row r="313" spans="1:40" ht="13.5" x14ac:dyDescent="0.7">
      <c r="A313" s="122" t="s">
        <v>73</v>
      </c>
      <c r="B313" s="26"/>
      <c r="C313" s="27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N313" s="5"/>
    </row>
    <row r="314" spans="1:40" ht="13.5" x14ac:dyDescent="0.7">
      <c r="A314" s="123" t="s">
        <v>145</v>
      </c>
      <c r="B314" s="26"/>
      <c r="C314" s="27" t="s">
        <v>254</v>
      </c>
      <c r="E314" s="108">
        <f>+E55</f>
        <v>95.620137701832107</v>
      </c>
      <c r="F314" s="108">
        <f t="shared" ref="F314:AL315" si="17">+F55</f>
        <v>92.149194169610297</v>
      </c>
      <c r="G314" s="108">
        <f t="shared" si="17"/>
        <v>88.350246972099995</v>
      </c>
      <c r="H314" s="108">
        <f t="shared" si="17"/>
        <v>84.671438117178397</v>
      </c>
      <c r="I314" s="108">
        <f t="shared" si="17"/>
        <v>81.786813994476802</v>
      </c>
      <c r="J314" s="108">
        <f t="shared" si="17"/>
        <v>82.269895854684606</v>
      </c>
      <c r="K314" s="108">
        <f t="shared" si="17"/>
        <v>90.869230373547595</v>
      </c>
      <c r="L314" s="108">
        <f t="shared" si="17"/>
        <v>98.117290661075799</v>
      </c>
      <c r="M314" s="108">
        <f t="shared" si="17"/>
        <v>100</v>
      </c>
      <c r="N314" s="108">
        <f t="shared" si="17"/>
        <v>102.720552482165</v>
      </c>
      <c r="O314" s="108">
        <f t="shared" si="17"/>
        <v>110.40375724810001</v>
      </c>
      <c r="P314" s="108">
        <f t="shared" si="17"/>
        <v>119.504386041267</v>
      </c>
      <c r="Q314" s="108">
        <f t="shared" si="17"/>
        <v>109.63075855954899</v>
      </c>
      <c r="R314" s="108">
        <f t="shared" si="17"/>
        <v>112.435405412554</v>
      </c>
      <c r="S314" s="108">
        <f t="shared" si="17"/>
        <v>122.33486985140399</v>
      </c>
      <c r="T314" s="108">
        <f t="shared" si="17"/>
        <v>118.573448749566</v>
      </c>
      <c r="U314" s="108">
        <f t="shared" si="17"/>
        <v>117.945804854158</v>
      </c>
      <c r="V314" s="108">
        <f t="shared" si="17"/>
        <v>115.858000496673</v>
      </c>
      <c r="W314" s="108">
        <f t="shared" si="17"/>
        <v>102.709420832673</v>
      </c>
      <c r="X314" s="108">
        <f t="shared" si="17"/>
        <v>100.204107219164</v>
      </c>
      <c r="Y314" s="108">
        <f t="shared" si="17"/>
        <v>103.720608330837</v>
      </c>
      <c r="Z314" s="108">
        <f t="shared" si="17"/>
        <v>107.900798881578</v>
      </c>
      <c r="AA314" s="108">
        <f t="shared" si="17"/>
        <v>104.497530333272</v>
      </c>
      <c r="AB314" s="108">
        <f t="shared" si="17"/>
        <v>104.91124434285901</v>
      </c>
      <c r="AC314" s="108">
        <f t="shared" si="17"/>
        <v>115.96354179018201</v>
      </c>
      <c r="AD314" s="108">
        <f t="shared" si="17"/>
        <v>119.790215877373</v>
      </c>
      <c r="AE314" s="108">
        <f t="shared" si="17"/>
        <v>118.255340789854</v>
      </c>
      <c r="AF314" s="108">
        <f t="shared" si="17"/>
        <v>118.570856633453</v>
      </c>
      <c r="AG314" s="108">
        <f t="shared" si="17"/>
        <v>123.777906016214</v>
      </c>
      <c r="AH314" s="108">
        <f t="shared" si="17"/>
        <v>125.86227966365701</v>
      </c>
      <c r="AI314" s="108">
        <f t="shared" si="17"/>
        <v>125.998822547071</v>
      </c>
      <c r="AJ314" s="108">
        <f t="shared" si="17"/>
        <v>126.598365277578</v>
      </c>
      <c r="AK314" s="108">
        <f t="shared" si="17"/>
        <v>127.749521485893</v>
      </c>
      <c r="AL314" s="108">
        <f t="shared" si="17"/>
        <v>129.24001124349999</v>
      </c>
      <c r="AN314" s="5"/>
    </row>
    <row r="315" spans="1:40" ht="13.5" x14ac:dyDescent="0.7">
      <c r="A315" s="123" t="s">
        <v>144</v>
      </c>
      <c r="B315" s="26"/>
      <c r="C315" s="27" t="s">
        <v>254</v>
      </c>
      <c r="E315" s="108">
        <f>+E56</f>
        <v>97.6795981652959</v>
      </c>
      <c r="F315" s="108">
        <f t="shared" si="17"/>
        <v>93.381993705071295</v>
      </c>
      <c r="G315" s="108">
        <f t="shared" si="17"/>
        <v>92.353760725916004</v>
      </c>
      <c r="H315" s="108">
        <f t="shared" si="17"/>
        <v>92.549664427455795</v>
      </c>
      <c r="I315" s="108">
        <f t="shared" si="17"/>
        <v>89.4759740176452</v>
      </c>
      <c r="J315" s="108">
        <f t="shared" si="17"/>
        <v>87.7105974073515</v>
      </c>
      <c r="K315" s="108">
        <f t="shared" si="17"/>
        <v>90.184704465011194</v>
      </c>
      <c r="L315" s="108">
        <f t="shared" si="17"/>
        <v>96.098220169335505</v>
      </c>
      <c r="M315" s="108">
        <f t="shared" si="17"/>
        <v>100</v>
      </c>
      <c r="N315" s="108">
        <f t="shared" si="17"/>
        <v>102.26647412253899</v>
      </c>
      <c r="O315" s="108">
        <f t="shared" si="17"/>
        <v>105.64631376109</v>
      </c>
      <c r="P315" s="108">
        <f t="shared" si="17"/>
        <v>112.03940053213201</v>
      </c>
      <c r="Q315" s="108">
        <f t="shared" si="17"/>
        <v>109.866744516917</v>
      </c>
      <c r="R315" s="108">
        <f t="shared" si="17"/>
        <v>112.188362260029</v>
      </c>
      <c r="S315" s="108">
        <f t="shared" si="17"/>
        <v>117.276780788539</v>
      </c>
      <c r="T315" s="108">
        <f t="shared" si="17"/>
        <v>120.12045412413499</v>
      </c>
      <c r="U315" s="108">
        <f t="shared" si="17"/>
        <v>116.63537887859</v>
      </c>
      <c r="V315" s="108">
        <f t="shared" si="17"/>
        <v>116.004688029012</v>
      </c>
      <c r="W315" s="108">
        <f t="shared" si="17"/>
        <v>112.4782346881</v>
      </c>
      <c r="X315" s="108">
        <f t="shared" si="17"/>
        <v>106.786197555396</v>
      </c>
      <c r="Y315" s="108">
        <f t="shared" si="17"/>
        <v>106.936239732171</v>
      </c>
      <c r="Z315" s="108">
        <f t="shared" si="17"/>
        <v>109.11583599338999</v>
      </c>
      <c r="AA315" s="108">
        <f t="shared" si="17"/>
        <v>109.52693904671</v>
      </c>
      <c r="AB315" s="108">
        <f t="shared" si="17"/>
        <v>106.14017968724001</v>
      </c>
      <c r="AC315" s="108">
        <f t="shared" si="17"/>
        <v>113.297156911456</v>
      </c>
      <c r="AD315" s="108">
        <f t="shared" si="17"/>
        <v>124.926463800569</v>
      </c>
      <c r="AE315" s="108">
        <f t="shared" si="17"/>
        <v>122.75266538359099</v>
      </c>
      <c r="AF315" s="108">
        <f t="shared" si="17"/>
        <v>124.214478350665</v>
      </c>
      <c r="AG315" s="108">
        <f t="shared" si="17"/>
        <v>125.064216435893</v>
      </c>
      <c r="AH315" s="108">
        <f t="shared" si="17"/>
        <v>125.124738134654</v>
      </c>
      <c r="AI315" s="108">
        <f t="shared" si="17"/>
        <v>124.907027287472</v>
      </c>
      <c r="AJ315" s="108">
        <f t="shared" si="17"/>
        <v>125.564195411068</v>
      </c>
      <c r="AK315" s="108">
        <f t="shared" si="17"/>
        <v>126.716806131775</v>
      </c>
      <c r="AL315" s="108">
        <f t="shared" si="17"/>
        <v>128.27487485600699</v>
      </c>
      <c r="AN315" s="5"/>
    </row>
    <row r="316" spans="1:40" ht="13.5" x14ac:dyDescent="0.7">
      <c r="A316" s="122" t="s">
        <v>255</v>
      </c>
      <c r="B316" s="26"/>
      <c r="C316" s="27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N316" s="5"/>
    </row>
    <row r="317" spans="1:40" ht="13.5" x14ac:dyDescent="0.7">
      <c r="A317" s="123" t="s">
        <v>135</v>
      </c>
      <c r="B317" s="26"/>
      <c r="C317" s="27" t="s">
        <v>256</v>
      </c>
      <c r="E317" s="108">
        <f>+E62</f>
        <v>51.019194178627799</v>
      </c>
      <c r="F317" s="108">
        <f t="shared" ref="F317:AL318" si="18">+F62</f>
        <v>37.295675486647298</v>
      </c>
      <c r="G317" s="108">
        <f t="shared" si="18"/>
        <v>45.8676666281603</v>
      </c>
      <c r="H317" s="108">
        <f t="shared" si="18"/>
        <v>73.620515764565795</v>
      </c>
      <c r="I317" s="108">
        <f t="shared" si="18"/>
        <v>66.356471721530497</v>
      </c>
      <c r="J317" s="108">
        <f t="shared" si="18"/>
        <v>62.519301467370703</v>
      </c>
      <c r="K317" s="108">
        <f t="shared" si="18"/>
        <v>80.431196535375705</v>
      </c>
      <c r="L317" s="108">
        <f t="shared" si="18"/>
        <v>97.489736265018394</v>
      </c>
      <c r="M317" s="108">
        <f t="shared" si="18"/>
        <v>135.52178028868801</v>
      </c>
      <c r="N317" s="108">
        <f t="shared" si="18"/>
        <v>153.54751663074799</v>
      </c>
      <c r="O317" s="108">
        <f t="shared" si="18"/>
        <v>167.66301137378201</v>
      </c>
      <c r="P317" s="108">
        <f t="shared" si="18"/>
        <v>232.54703519411899</v>
      </c>
      <c r="Q317" s="108">
        <f t="shared" si="18"/>
        <v>142.77169888323701</v>
      </c>
      <c r="R317" s="108">
        <f t="shared" si="18"/>
        <v>178.526562729223</v>
      </c>
      <c r="S317" s="108">
        <f t="shared" si="18"/>
        <v>231.51176672663399</v>
      </c>
      <c r="T317" s="108">
        <f t="shared" si="18"/>
        <v>228.12097589222</v>
      </c>
      <c r="U317" s="108">
        <f t="shared" si="18"/>
        <v>225.879892740202</v>
      </c>
      <c r="V317" s="108">
        <f t="shared" si="18"/>
        <v>212.32069537862199</v>
      </c>
      <c r="W317" s="108">
        <f t="shared" si="18"/>
        <v>118.982121206987</v>
      </c>
      <c r="X317" s="108">
        <f t="shared" si="18"/>
        <v>100</v>
      </c>
      <c r="Y317" s="108">
        <f t="shared" si="18"/>
        <v>123.300697947725</v>
      </c>
      <c r="Z317" s="108">
        <f t="shared" si="18"/>
        <v>156.53475717045899</v>
      </c>
      <c r="AA317" s="108">
        <f t="shared" si="18"/>
        <v>129.28497919466599</v>
      </c>
      <c r="AB317" s="108">
        <f t="shared" si="18"/>
        <v>91.704892627127407</v>
      </c>
      <c r="AC317" s="108">
        <f t="shared" si="18"/>
        <v>183.088722698955</v>
      </c>
      <c r="AD317" s="108">
        <f t="shared" si="18"/>
        <v>299.51108416295699</v>
      </c>
      <c r="AE317" s="108">
        <f t="shared" si="18"/>
        <v>189.505014922539</v>
      </c>
      <c r="AF317" s="108">
        <f t="shared" si="18"/>
        <v>179.50369051025501</v>
      </c>
      <c r="AG317" s="108">
        <f t="shared" si="18"/>
        <v>163.13710905104199</v>
      </c>
      <c r="AH317" s="108">
        <f t="shared" si="18"/>
        <v>156.122645606867</v>
      </c>
      <c r="AI317" s="108">
        <f t="shared" si="18"/>
        <v>150.5663442746</v>
      </c>
      <c r="AJ317" s="108">
        <f t="shared" si="18"/>
        <v>148.87549252692099</v>
      </c>
      <c r="AK317" s="108">
        <f t="shared" si="18"/>
        <v>149.26214166285601</v>
      </c>
      <c r="AL317" s="108">
        <f t="shared" si="18"/>
        <v>150.46166091863199</v>
      </c>
      <c r="AN317" s="5"/>
    </row>
    <row r="318" spans="1:40" ht="13.5" x14ac:dyDescent="0.7">
      <c r="A318" s="123" t="s">
        <v>137</v>
      </c>
      <c r="B318" s="26"/>
      <c r="C318" s="27" t="s">
        <v>257</v>
      </c>
      <c r="E318" s="32">
        <f>+E63</f>
        <v>19.351729879017899</v>
      </c>
      <c r="F318" s="32">
        <f t="shared" si="18"/>
        <v>13.235742442541399</v>
      </c>
      <c r="G318" s="32">
        <f t="shared" si="18"/>
        <v>18.1792523161219</v>
      </c>
      <c r="H318" s="32">
        <f t="shared" si="18"/>
        <v>28.471002431143699</v>
      </c>
      <c r="I318" s="32">
        <f t="shared" si="18"/>
        <v>24.489567028985501</v>
      </c>
      <c r="J318" s="32">
        <f t="shared" si="18"/>
        <v>25.000525066921799</v>
      </c>
      <c r="K318" s="32">
        <f t="shared" si="18"/>
        <v>28.908934664972701</v>
      </c>
      <c r="L318" s="32">
        <f t="shared" si="18"/>
        <v>37.806715958759398</v>
      </c>
      <c r="M318" s="32">
        <f t="shared" si="18"/>
        <v>53.506304810527602</v>
      </c>
      <c r="N318" s="32">
        <f t="shared" si="18"/>
        <v>64.401517804860106</v>
      </c>
      <c r="O318" s="32">
        <f t="shared" si="18"/>
        <v>71.189201134010901</v>
      </c>
      <c r="P318" s="32">
        <f t="shared" si="18"/>
        <v>96.767401956940006</v>
      </c>
      <c r="Q318" s="32">
        <f t="shared" si="18"/>
        <v>61.5014706955685</v>
      </c>
      <c r="R318" s="32">
        <f t="shared" si="18"/>
        <v>79.144482318003995</v>
      </c>
      <c r="S318" s="32">
        <f t="shared" si="18"/>
        <v>104.068651397515</v>
      </c>
      <c r="T318" s="32">
        <f t="shared" si="18"/>
        <v>105.096616990296</v>
      </c>
      <c r="U318" s="32">
        <f t="shared" si="18"/>
        <v>104.17181542390701</v>
      </c>
      <c r="V318" s="32">
        <f t="shared" si="18"/>
        <v>96.326127627203704</v>
      </c>
      <c r="W318" s="32">
        <f t="shared" si="18"/>
        <v>50.9119223445636</v>
      </c>
      <c r="X318" s="32">
        <f t="shared" si="18"/>
        <v>43.263857257879003</v>
      </c>
      <c r="Y318" s="32">
        <f t="shared" si="18"/>
        <v>52.977644966748201</v>
      </c>
      <c r="Z318" s="32">
        <f t="shared" si="18"/>
        <v>68.532530684693697</v>
      </c>
      <c r="AA318" s="32">
        <f t="shared" si="18"/>
        <v>61.432334067904698</v>
      </c>
      <c r="AB318" s="32">
        <f t="shared" si="18"/>
        <v>41.765497534872502</v>
      </c>
      <c r="AC318" s="32">
        <f t="shared" si="18"/>
        <v>69.249978185059703</v>
      </c>
      <c r="AD318" s="32">
        <f t="shared" si="18"/>
        <v>96.362059361733202</v>
      </c>
      <c r="AE318" s="32">
        <f t="shared" si="18"/>
        <v>80.594907475374796</v>
      </c>
      <c r="AF318" s="32">
        <f t="shared" si="18"/>
        <v>79.170800120772896</v>
      </c>
      <c r="AG318" s="32">
        <f t="shared" si="18"/>
        <v>67.7367838085827</v>
      </c>
      <c r="AH318" s="32">
        <f t="shared" si="18"/>
        <v>64.743372418333294</v>
      </c>
      <c r="AI318" s="32">
        <f t="shared" si="18"/>
        <v>62.927396555555497</v>
      </c>
      <c r="AJ318" s="32">
        <f t="shared" si="18"/>
        <v>63.440084388888799</v>
      </c>
      <c r="AK318" s="32">
        <f t="shared" si="18"/>
        <v>64.429895194444398</v>
      </c>
      <c r="AL318" s="32">
        <f t="shared" si="18"/>
        <v>65.184461083333304</v>
      </c>
      <c r="AN318" s="5"/>
    </row>
    <row r="319" spans="1:40" ht="13.5" x14ac:dyDescent="0.7">
      <c r="A319" s="123" t="s">
        <v>140</v>
      </c>
      <c r="B319" s="26"/>
      <c r="C319" s="27" t="s">
        <v>256</v>
      </c>
      <c r="E319" s="32">
        <f>+E68</f>
        <v>62.165952097489097</v>
      </c>
      <c r="F319" s="32">
        <f t="shared" ref="F319:AL319" si="19">+F68</f>
        <v>75.6768499818821</v>
      </c>
      <c r="G319" s="32">
        <f t="shared" si="19"/>
        <v>70.949348233217194</v>
      </c>
      <c r="H319" s="32">
        <f t="shared" si="19"/>
        <v>69.051092007848396</v>
      </c>
      <c r="I319" s="32">
        <f t="shared" si="19"/>
        <v>64.058421769314606</v>
      </c>
      <c r="J319" s="32">
        <f t="shared" si="19"/>
        <v>82.580299301893604</v>
      </c>
      <c r="K319" s="32">
        <f t="shared" si="19"/>
        <v>77.557048247453395</v>
      </c>
      <c r="L319" s="32">
        <f t="shared" si="19"/>
        <v>84.095190064752899</v>
      </c>
      <c r="M319" s="32">
        <f t="shared" si="19"/>
        <v>81.239570061548307</v>
      </c>
      <c r="N319" s="32">
        <f t="shared" si="19"/>
        <v>85.335526930463999</v>
      </c>
      <c r="O319" s="32">
        <f t="shared" si="19"/>
        <v>104.378305973352</v>
      </c>
      <c r="P319" s="32">
        <f t="shared" si="19"/>
        <v>118.28187008181899</v>
      </c>
      <c r="Q319" s="32">
        <f t="shared" si="19"/>
        <v>96.792416057457501</v>
      </c>
      <c r="R319" s="32">
        <f t="shared" si="19"/>
        <v>109.15881813541</v>
      </c>
      <c r="S319" s="32">
        <f t="shared" si="19"/>
        <v>122.46714183939901</v>
      </c>
      <c r="T319" s="32">
        <f t="shared" si="19"/>
        <v>119.74851384468801</v>
      </c>
      <c r="U319" s="32">
        <f t="shared" si="19"/>
        <v>120.46474455513599</v>
      </c>
      <c r="V319" s="32">
        <f t="shared" si="19"/>
        <v>118.607957286849</v>
      </c>
      <c r="W319" s="32">
        <f t="shared" si="19"/>
        <v>98.5504928899676</v>
      </c>
      <c r="X319" s="32">
        <f t="shared" si="19"/>
        <v>100</v>
      </c>
      <c r="Y319" s="32">
        <f t="shared" si="19"/>
        <v>103.76374761298401</v>
      </c>
      <c r="Z319" s="32">
        <f t="shared" si="19"/>
        <v>102.498122724382</v>
      </c>
      <c r="AA319" s="32">
        <f t="shared" si="19"/>
        <v>99.366643432680803</v>
      </c>
      <c r="AB319" s="32">
        <f t="shared" si="19"/>
        <v>101.08528568616801</v>
      </c>
      <c r="AC319" s="32">
        <f t="shared" si="19"/>
        <v>128.36467850508399</v>
      </c>
      <c r="AD319" s="32">
        <f t="shared" si="19"/>
        <v>147.402537187696</v>
      </c>
      <c r="AE319" s="32">
        <f t="shared" si="19"/>
        <v>137.427821131455</v>
      </c>
      <c r="AF319" s="32">
        <f t="shared" si="19"/>
        <v>133.137157586771</v>
      </c>
      <c r="AG319" s="32">
        <f t="shared" si="19"/>
        <v>127.064881227047</v>
      </c>
      <c r="AH319" s="32">
        <f t="shared" si="19"/>
        <v>130.48940598744301</v>
      </c>
      <c r="AI319" s="32">
        <f t="shared" si="19"/>
        <v>131.76046023105599</v>
      </c>
      <c r="AJ319" s="32">
        <f t="shared" si="19"/>
        <v>131.99334750682499</v>
      </c>
      <c r="AK319" s="32">
        <f t="shared" si="19"/>
        <v>131.271604035922</v>
      </c>
      <c r="AL319" s="32">
        <f t="shared" si="19"/>
        <v>130.75439281259</v>
      </c>
      <c r="AN319" s="5"/>
    </row>
    <row r="320" spans="1:40" ht="13.5" x14ac:dyDescent="0.7">
      <c r="A320" s="123" t="s">
        <v>142</v>
      </c>
      <c r="B320" s="26"/>
      <c r="C320" s="27" t="s">
        <v>256</v>
      </c>
      <c r="E320" s="32">
        <f>+E70</f>
        <v>86.862244412827806</v>
      </c>
      <c r="F320" s="32">
        <f t="shared" ref="F320:AL321" si="20">+F70</f>
        <v>71.344441781553101</v>
      </c>
      <c r="G320" s="32">
        <f t="shared" si="20"/>
        <v>70.376412307907799</v>
      </c>
      <c r="H320" s="32">
        <f t="shared" si="20"/>
        <v>72.344672187535807</v>
      </c>
      <c r="I320" s="32">
        <f t="shared" si="20"/>
        <v>65.034155149924999</v>
      </c>
      <c r="J320" s="32">
        <f t="shared" si="20"/>
        <v>67.013161221229097</v>
      </c>
      <c r="K320" s="32">
        <f t="shared" si="20"/>
        <v>76.839026185169203</v>
      </c>
      <c r="L320" s="32">
        <f t="shared" si="20"/>
        <v>85.428394609494603</v>
      </c>
      <c r="M320" s="32">
        <f t="shared" si="20"/>
        <v>88.029880396775596</v>
      </c>
      <c r="N320" s="32">
        <f t="shared" si="20"/>
        <v>100.133259770547</v>
      </c>
      <c r="O320" s="32">
        <f t="shared" si="20"/>
        <v>104.605587212101</v>
      </c>
      <c r="P320" s="32">
        <f t="shared" si="20"/>
        <v>111.45537429693</v>
      </c>
      <c r="Q320" s="32">
        <f t="shared" si="20"/>
        <v>96.583139539390103</v>
      </c>
      <c r="R320" s="32">
        <f t="shared" si="20"/>
        <v>128.44464390437301</v>
      </c>
      <c r="S320" s="32">
        <f t="shared" si="20"/>
        <v>162.748795696505</v>
      </c>
      <c r="T320" s="32">
        <f t="shared" si="20"/>
        <v>128.29052632619801</v>
      </c>
      <c r="U320" s="32">
        <f t="shared" si="20"/>
        <v>122.251483990899</v>
      </c>
      <c r="V320" s="32">
        <f t="shared" si="20"/>
        <v>112.901492306674</v>
      </c>
      <c r="W320" s="32">
        <f t="shared" si="20"/>
        <v>100.178534831972</v>
      </c>
      <c r="X320" s="32">
        <f t="shared" si="20"/>
        <v>100</v>
      </c>
      <c r="Y320" s="32">
        <f t="shared" si="20"/>
        <v>105.38353817705</v>
      </c>
      <c r="Z320" s="32">
        <f t="shared" si="20"/>
        <v>107.49071089230701</v>
      </c>
      <c r="AA320" s="32">
        <f t="shared" si="20"/>
        <v>101.661835096299</v>
      </c>
      <c r="AB320" s="32">
        <f t="shared" si="20"/>
        <v>98.192672928470003</v>
      </c>
      <c r="AC320" s="32">
        <f t="shared" si="20"/>
        <v>113.381317377817</v>
      </c>
      <c r="AD320" s="32">
        <f t="shared" si="20"/>
        <v>119.892901300131</v>
      </c>
      <c r="AE320" s="32">
        <f t="shared" si="20"/>
        <v>101.236416184041</v>
      </c>
      <c r="AF320" s="32">
        <f t="shared" si="20"/>
        <v>105.608346993109</v>
      </c>
      <c r="AG320" s="32">
        <f t="shared" si="20"/>
        <v>103.550463209358</v>
      </c>
      <c r="AH320" s="32">
        <f t="shared" si="20"/>
        <v>99.072594677055804</v>
      </c>
      <c r="AI320" s="32">
        <f t="shared" si="20"/>
        <v>101.376042660011</v>
      </c>
      <c r="AJ320" s="32">
        <f t="shared" si="20"/>
        <v>101.574372595879</v>
      </c>
      <c r="AK320" s="32">
        <f t="shared" si="20"/>
        <v>101.44816263618399</v>
      </c>
      <c r="AL320" s="32">
        <f t="shared" si="20"/>
        <v>101.44816263618399</v>
      </c>
      <c r="AN320" s="5"/>
    </row>
    <row r="321" spans="1:40" ht="13.5" x14ac:dyDescent="0.7">
      <c r="A321" s="123" t="s">
        <v>143</v>
      </c>
      <c r="B321" s="26"/>
      <c r="C321" s="27" t="s">
        <v>256</v>
      </c>
      <c r="E321" s="32">
        <f>+E71</f>
        <v>50.906026788650898</v>
      </c>
      <c r="F321" s="32">
        <f t="shared" si="20"/>
        <v>41.0349745228324</v>
      </c>
      <c r="G321" s="32">
        <f t="shared" si="20"/>
        <v>41.389527389192402</v>
      </c>
      <c r="H321" s="32">
        <f t="shared" si="20"/>
        <v>47.932397783575801</v>
      </c>
      <c r="I321" s="32">
        <f t="shared" si="20"/>
        <v>41.794200751115099</v>
      </c>
      <c r="J321" s="32">
        <f t="shared" si="20"/>
        <v>41.3298132613645</v>
      </c>
      <c r="K321" s="32">
        <f t="shared" si="20"/>
        <v>59.889723598123602</v>
      </c>
      <c r="L321" s="32">
        <f t="shared" si="20"/>
        <v>84.938246046198699</v>
      </c>
      <c r="M321" s="32">
        <f t="shared" si="20"/>
        <v>97.481983306800004</v>
      </c>
      <c r="N321" s="32">
        <f t="shared" si="20"/>
        <v>160.63418289644201</v>
      </c>
      <c r="O321" s="32">
        <f t="shared" si="20"/>
        <v>194.449564154412</v>
      </c>
      <c r="P321" s="32">
        <f t="shared" si="20"/>
        <v>157.14353172895301</v>
      </c>
      <c r="Q321" s="32">
        <f t="shared" si="20"/>
        <v>111.86916424611501</v>
      </c>
      <c r="R321" s="32">
        <f t="shared" si="20"/>
        <v>157.186180817679</v>
      </c>
      <c r="S321" s="32">
        <f t="shared" si="20"/>
        <v>174.31299537684899</v>
      </c>
      <c r="T321" s="32">
        <f t="shared" si="20"/>
        <v>150.05315940802299</v>
      </c>
      <c r="U321" s="32">
        <f t="shared" si="20"/>
        <v>136.67488321486599</v>
      </c>
      <c r="V321" s="32">
        <f t="shared" si="20"/>
        <v>136.699007608085</v>
      </c>
      <c r="W321" s="32">
        <f t="shared" si="20"/>
        <v>105.60449728518</v>
      </c>
      <c r="X321" s="32">
        <f t="shared" si="20"/>
        <v>100</v>
      </c>
      <c r="Y321" s="32">
        <f t="shared" si="20"/>
        <v>122.188691334713</v>
      </c>
      <c r="Z321" s="32">
        <f t="shared" si="20"/>
        <v>130.28732293519201</v>
      </c>
      <c r="AA321" s="32">
        <f t="shared" si="20"/>
        <v>135.320330224771</v>
      </c>
      <c r="AB321" s="32">
        <f t="shared" si="20"/>
        <v>140.01003333317101</v>
      </c>
      <c r="AC321" s="32">
        <f t="shared" si="20"/>
        <v>205.41254005035</v>
      </c>
      <c r="AD321" s="32">
        <f t="shared" si="20"/>
        <v>193.895128703437</v>
      </c>
      <c r="AE321" s="32">
        <f t="shared" si="20"/>
        <v>188.54756853841201</v>
      </c>
      <c r="AF321" s="32">
        <f t="shared" si="20"/>
        <v>184.94947993190399</v>
      </c>
      <c r="AG321" s="32">
        <f t="shared" si="20"/>
        <v>188.82544460817499</v>
      </c>
      <c r="AH321" s="32">
        <f t="shared" si="20"/>
        <v>217.49363854753699</v>
      </c>
      <c r="AI321" s="32">
        <f t="shared" si="20"/>
        <v>216.616779715219</v>
      </c>
      <c r="AJ321" s="32">
        <f t="shared" si="20"/>
        <v>215.679344895979</v>
      </c>
      <c r="AK321" s="32">
        <f t="shared" si="20"/>
        <v>214.30038621879399</v>
      </c>
      <c r="AL321" s="32">
        <f t="shared" si="20"/>
        <v>214.05084641839699</v>
      </c>
      <c r="AN321" s="5"/>
    </row>
    <row r="322" spans="1:40" ht="13.5" x14ac:dyDescent="0.7">
      <c r="A322" s="123" t="s">
        <v>270</v>
      </c>
      <c r="B322" s="26"/>
      <c r="C322" s="27" t="s">
        <v>258</v>
      </c>
      <c r="E322" s="32">
        <f>+E108</f>
        <v>188.928110703306</v>
      </c>
      <c r="F322" s="32">
        <f t="shared" ref="F322:AL322" si="21">+F108</f>
        <v>135.46926998243299</v>
      </c>
      <c r="G322" s="32">
        <f t="shared" si="21"/>
        <v>103.884424383587</v>
      </c>
      <c r="H322" s="32">
        <f t="shared" si="21"/>
        <v>87.204109887696802</v>
      </c>
      <c r="I322" s="32">
        <f t="shared" si="21"/>
        <v>62.2841325914424</v>
      </c>
      <c r="J322" s="32">
        <f t="shared" si="21"/>
        <v>61.4620682680846</v>
      </c>
      <c r="K322" s="32">
        <f t="shared" si="21"/>
        <v>64.172862052198994</v>
      </c>
      <c r="L322" s="32">
        <f t="shared" si="21"/>
        <v>80.479524852562903</v>
      </c>
      <c r="M322" s="32">
        <f t="shared" si="21"/>
        <v>114.853919278185</v>
      </c>
      <c r="N322" s="32">
        <f t="shared" si="21"/>
        <v>114.408857864357</v>
      </c>
      <c r="O322" s="32">
        <f t="shared" si="21"/>
        <v>123.613877540937</v>
      </c>
      <c r="P322" s="32">
        <f t="shared" si="21"/>
        <v>139.71246561892201</v>
      </c>
      <c r="Q322" s="32">
        <f t="shared" si="21"/>
        <v>143.75475766202399</v>
      </c>
      <c r="R322" s="32">
        <f t="shared" si="21"/>
        <v>196.04909199918399</v>
      </c>
      <c r="S322" s="32">
        <f t="shared" si="21"/>
        <v>271.10805783769302</v>
      </c>
      <c r="T322" s="32">
        <f t="shared" si="21"/>
        <v>186.44158316080001</v>
      </c>
      <c r="U322" s="32">
        <f t="shared" si="21"/>
        <v>139.48433732511401</v>
      </c>
      <c r="V322" s="32">
        <f t="shared" si="21"/>
        <v>200.35589636269501</v>
      </c>
      <c r="W322" s="32">
        <f t="shared" si="21"/>
        <v>159.903685857017</v>
      </c>
      <c r="X322" s="32">
        <f t="shared" si="21"/>
        <v>163.83998470732101</v>
      </c>
      <c r="Y322" s="32">
        <f t="shared" si="21"/>
        <v>150.75595340046399</v>
      </c>
      <c r="Z322" s="32">
        <f t="shared" si="21"/>
        <v>132.71492668140999</v>
      </c>
      <c r="AA322" s="32">
        <f t="shared" si="21"/>
        <v>130.55576145774501</v>
      </c>
      <c r="AB322" s="32">
        <f t="shared" si="21"/>
        <v>150.831950036075</v>
      </c>
      <c r="AC322" s="32">
        <f t="shared" si="21"/>
        <v>204.69402922077899</v>
      </c>
      <c r="AD322" s="32">
        <f t="shared" si="21"/>
        <v>255.465902040592</v>
      </c>
      <c r="AE322" s="32">
        <f t="shared" si="21"/>
        <v>205.95975240761601</v>
      </c>
      <c r="AF322" s="32">
        <f t="shared" si="21"/>
        <v>255.44462944663999</v>
      </c>
      <c r="AG322" s="32">
        <f t="shared" si="21"/>
        <v>383.09798421325002</v>
      </c>
      <c r="AH322" s="32">
        <f t="shared" si="21"/>
        <v>300.253749956673</v>
      </c>
      <c r="AI322" s="32">
        <f t="shared" si="21"/>
        <v>279.34127015000001</v>
      </c>
      <c r="AJ322" s="32">
        <f t="shared" si="21"/>
        <v>268.84510490000002</v>
      </c>
      <c r="AK322" s="32">
        <f t="shared" si="21"/>
        <v>268.84510490000002</v>
      </c>
      <c r="AL322" s="32">
        <f t="shared" si="21"/>
        <v>268.84510490000002</v>
      </c>
      <c r="AN322" s="5"/>
    </row>
    <row r="323" spans="1:40" ht="13.5" x14ac:dyDescent="0.7">
      <c r="A323" s="123" t="s">
        <v>35</v>
      </c>
      <c r="B323" s="26"/>
      <c r="C323" s="27" t="s">
        <v>259</v>
      </c>
      <c r="E323" s="32">
        <f>+E111</f>
        <v>237.18896738688201</v>
      </c>
      <c r="F323" s="32">
        <f t="shared" ref="F323:AL323" si="22">+F111</f>
        <v>238.562549591064</v>
      </c>
      <c r="G323" s="32">
        <f t="shared" si="22"/>
        <v>232.356666666667</v>
      </c>
      <c r="H323" s="32">
        <f t="shared" si="22"/>
        <v>248.11666666666699</v>
      </c>
      <c r="I323" s="32">
        <f t="shared" si="22"/>
        <v>198.12333333333299</v>
      </c>
      <c r="J323" s="32">
        <f t="shared" si="22"/>
        <v>179.1875</v>
      </c>
      <c r="K323" s="32">
        <f t="shared" si="22"/>
        <v>194.32583333333301</v>
      </c>
      <c r="L323" s="32">
        <f t="shared" si="22"/>
        <v>198.150833333333</v>
      </c>
      <c r="M323" s="32">
        <f t="shared" si="22"/>
        <v>216.379166666667</v>
      </c>
      <c r="N323" s="32">
        <f t="shared" si="22"/>
        <v>241.7</v>
      </c>
      <c r="O323" s="32">
        <f t="shared" si="22"/>
        <v>211.92916666666699</v>
      </c>
      <c r="P323" s="32">
        <f t="shared" si="22"/>
        <v>269.50583333333299</v>
      </c>
      <c r="Q323" s="32">
        <f t="shared" si="22"/>
        <v>313.95666666666699</v>
      </c>
      <c r="R323" s="32">
        <f t="shared" si="22"/>
        <v>316.73722551602998</v>
      </c>
      <c r="S323" s="32">
        <f t="shared" si="22"/>
        <v>346.16056135893098</v>
      </c>
      <c r="T323" s="32">
        <f t="shared" si="22"/>
        <v>348.91512448919798</v>
      </c>
      <c r="U323" s="32">
        <f t="shared" si="22"/>
        <v>265.601257308377</v>
      </c>
      <c r="V323" s="32">
        <f t="shared" si="22"/>
        <v>237.85755307774301</v>
      </c>
      <c r="W323" s="32">
        <f t="shared" si="22"/>
        <v>340.38667780189502</v>
      </c>
      <c r="X323" s="32">
        <f t="shared" si="22"/>
        <v>287.42951828417398</v>
      </c>
      <c r="Y323" s="32">
        <f t="shared" si="22"/>
        <v>362.20146089101797</v>
      </c>
      <c r="Z323" s="32">
        <f t="shared" si="22"/>
        <v>298.26014595356401</v>
      </c>
      <c r="AA323" s="32">
        <f t="shared" si="22"/>
        <v>268.27633410966098</v>
      </c>
      <c r="AB323" s="32">
        <f t="shared" si="22"/>
        <v>253.93311836260099</v>
      </c>
      <c r="AC323" s="32">
        <f t="shared" si="22"/>
        <v>267.203414450281</v>
      </c>
      <c r="AD323" s="32">
        <f t="shared" si="22"/>
        <v>277.94792036818501</v>
      </c>
      <c r="AE323" s="32">
        <f t="shared" si="22"/>
        <v>290.21567266645502</v>
      </c>
      <c r="AF323" s="32">
        <f t="shared" si="22"/>
        <v>328.02310780598401</v>
      </c>
      <c r="AG323" s="32">
        <f t="shared" si="22"/>
        <v>316.76503791228799</v>
      </c>
      <c r="AH323" s="32">
        <f t="shared" si="22"/>
        <v>309.80010986328102</v>
      </c>
      <c r="AI323" s="32">
        <f t="shared" si="22"/>
        <v>309.80010986328102</v>
      </c>
      <c r="AJ323" s="32">
        <f t="shared" si="22"/>
        <v>309.80010986328102</v>
      </c>
      <c r="AK323" s="32">
        <f t="shared" si="22"/>
        <v>309.80010986328102</v>
      </c>
      <c r="AL323" s="32">
        <f t="shared" si="22"/>
        <v>309.80010986328102</v>
      </c>
      <c r="AN323" s="5"/>
    </row>
    <row r="324" spans="1:40" ht="13.5" x14ac:dyDescent="0.7">
      <c r="A324" s="123" t="s">
        <v>29</v>
      </c>
      <c r="B324" s="26"/>
      <c r="C324" s="27" t="s">
        <v>260</v>
      </c>
      <c r="E324" s="32">
        <f>+E94</f>
        <v>86.194448242701796</v>
      </c>
      <c r="F324" s="32">
        <f t="shared" ref="F324:AL324" si="23">+F94</f>
        <v>75.989121187599594</v>
      </c>
      <c r="G324" s="32">
        <f t="shared" si="23"/>
        <v>61.655330454168897</v>
      </c>
      <c r="H324" s="32">
        <f t="shared" si="23"/>
        <v>65.571231632412804</v>
      </c>
      <c r="I324" s="32">
        <f t="shared" si="23"/>
        <v>70.677707128061797</v>
      </c>
      <c r="J324" s="32">
        <f t="shared" si="23"/>
        <v>66.826209680508697</v>
      </c>
      <c r="K324" s="32">
        <f t="shared" si="23"/>
        <v>69.041137524706599</v>
      </c>
      <c r="L324" s="32">
        <f t="shared" si="23"/>
        <v>67.983622045152202</v>
      </c>
      <c r="M324" s="32">
        <f t="shared" si="23"/>
        <v>64.937980709654198</v>
      </c>
      <c r="N324" s="32">
        <f t="shared" si="23"/>
        <v>68.732838936130193</v>
      </c>
      <c r="O324" s="32">
        <f t="shared" si="23"/>
        <v>72.750383872045902</v>
      </c>
      <c r="P324" s="32">
        <f t="shared" si="23"/>
        <v>65.068889825683002</v>
      </c>
      <c r="Q324" s="32">
        <f t="shared" si="23"/>
        <v>40.786567711559698</v>
      </c>
      <c r="R324" s="32">
        <f t="shared" si="23"/>
        <v>69.4739061590425</v>
      </c>
      <c r="S324" s="32">
        <f t="shared" si="23"/>
        <v>81.476560600914397</v>
      </c>
      <c r="T324" s="32">
        <f t="shared" si="23"/>
        <v>81.639780044734593</v>
      </c>
      <c r="U324" s="32">
        <f t="shared" si="23"/>
        <v>96.339617148120098</v>
      </c>
      <c r="V324" s="32">
        <f t="shared" si="23"/>
        <v>106.56916381939899</v>
      </c>
      <c r="W324" s="32">
        <f t="shared" si="23"/>
        <v>87.886698373284105</v>
      </c>
      <c r="X324" s="32">
        <f t="shared" si="23"/>
        <v>73.277291677094297</v>
      </c>
      <c r="Y324" s="32">
        <f t="shared" si="23"/>
        <v>69.203907945712899</v>
      </c>
      <c r="Z324" s="32">
        <f t="shared" si="23"/>
        <v>59.950530316336597</v>
      </c>
      <c r="AA324" s="32">
        <f t="shared" si="23"/>
        <v>40.807021116357802</v>
      </c>
      <c r="AB324" s="32">
        <f t="shared" si="23"/>
        <v>33.5672133744118</v>
      </c>
      <c r="AC324" s="32">
        <f t="shared" si="23"/>
        <v>47.418791931840197</v>
      </c>
      <c r="AD324" s="32">
        <f t="shared" si="23"/>
        <v>57.556471798506998</v>
      </c>
      <c r="AE324" s="32">
        <f t="shared" si="23"/>
        <v>58.6339731316666</v>
      </c>
      <c r="AF324" s="32">
        <f t="shared" si="23"/>
        <v>58.652686283333303</v>
      </c>
      <c r="AG324" s="32">
        <f t="shared" si="23"/>
        <v>57.765023227804299</v>
      </c>
      <c r="AH324" s="32">
        <f t="shared" si="23"/>
        <v>57.423233032226499</v>
      </c>
      <c r="AI324" s="32">
        <f t="shared" si="23"/>
        <v>57.423233032226499</v>
      </c>
      <c r="AJ324" s="32">
        <f t="shared" si="23"/>
        <v>57.423233032226499</v>
      </c>
      <c r="AK324" s="32">
        <f t="shared" si="23"/>
        <v>57.423233032226499</v>
      </c>
      <c r="AL324" s="32">
        <f t="shared" si="23"/>
        <v>57.423233032226499</v>
      </c>
      <c r="AN324" s="5"/>
    </row>
    <row r="325" spans="1:40" ht="13.5" x14ac:dyDescent="0.7">
      <c r="A325" s="123" t="s">
        <v>77</v>
      </c>
      <c r="B325" s="26"/>
      <c r="C325" s="27" t="s">
        <v>261</v>
      </c>
      <c r="E325" s="98">
        <f>+E165</f>
        <v>330.99543507893901</v>
      </c>
      <c r="F325" s="98">
        <f t="shared" ref="F325:AL325" si="24">+F165</f>
        <v>294.13892364501999</v>
      </c>
      <c r="G325" s="98">
        <f t="shared" si="24"/>
        <v>278.87285144999998</v>
      </c>
      <c r="H325" s="98">
        <f t="shared" si="24"/>
        <v>279.17055316666699</v>
      </c>
      <c r="I325" s="98">
        <f t="shared" si="24"/>
        <v>271.05059244166699</v>
      </c>
      <c r="J325" s="98">
        <f t="shared" si="24"/>
        <v>310.035467583333</v>
      </c>
      <c r="K325" s="98">
        <f t="shared" si="24"/>
        <v>363.50905736838803</v>
      </c>
      <c r="L325" s="98">
        <f t="shared" si="24"/>
        <v>409.21152726389403</v>
      </c>
      <c r="M325" s="98">
        <f t="shared" si="24"/>
        <v>444.88172288359698</v>
      </c>
      <c r="N325" s="98">
        <f t="shared" si="24"/>
        <v>604.33585566725606</v>
      </c>
      <c r="O325" s="98">
        <f t="shared" si="24"/>
        <v>696.66159326217405</v>
      </c>
      <c r="P325" s="98">
        <f t="shared" si="24"/>
        <v>871.70709605040201</v>
      </c>
      <c r="Q325" s="98">
        <f t="shared" si="24"/>
        <v>972.97946285138005</v>
      </c>
      <c r="R325" s="98">
        <f t="shared" si="24"/>
        <v>1224.66413599669</v>
      </c>
      <c r="S325" s="98">
        <f t="shared" si="24"/>
        <v>1568.5836453954601</v>
      </c>
      <c r="T325" s="98">
        <f t="shared" si="24"/>
        <v>1668.82069605371</v>
      </c>
      <c r="U325" s="98">
        <f t="shared" si="24"/>
        <v>1411.03134482767</v>
      </c>
      <c r="V325" s="98">
        <f t="shared" si="24"/>
        <v>1266.1938086012899</v>
      </c>
      <c r="W325" s="98">
        <f t="shared" si="24"/>
        <v>1160.11447519696</v>
      </c>
      <c r="X325" s="98">
        <f t="shared" si="24"/>
        <v>1248.3403911135099</v>
      </c>
      <c r="Y325" s="98">
        <f t="shared" si="24"/>
        <v>1257.1272101257</v>
      </c>
      <c r="Z325" s="98">
        <f t="shared" si="24"/>
        <v>1269.14052715453</v>
      </c>
      <c r="AA325" s="98">
        <f t="shared" si="24"/>
        <v>1392.1745391152699</v>
      </c>
      <c r="AB325" s="98">
        <f t="shared" si="24"/>
        <v>1769.5427511074199</v>
      </c>
      <c r="AC325" s="98">
        <f t="shared" si="24"/>
        <v>1799.77063804314</v>
      </c>
      <c r="AD325" s="98">
        <f t="shared" si="24"/>
        <v>1801.5283570957999</v>
      </c>
      <c r="AE325" s="98">
        <f t="shared" si="24"/>
        <v>1943.0678661223999</v>
      </c>
      <c r="AF325" s="98">
        <f t="shared" si="24"/>
        <v>2387.2067896746898</v>
      </c>
      <c r="AG325" s="98">
        <f t="shared" si="24"/>
        <v>3439.9791959658701</v>
      </c>
      <c r="AH325" s="98">
        <f t="shared" si="24"/>
        <v>4930.1421630859304</v>
      </c>
      <c r="AI325" s="98">
        <f t="shared" si="24"/>
        <v>5116.375</v>
      </c>
      <c r="AJ325" s="98">
        <f t="shared" si="24"/>
        <v>5175</v>
      </c>
      <c r="AK325" s="98">
        <f t="shared" si="24"/>
        <v>5175</v>
      </c>
      <c r="AL325" s="98">
        <f t="shared" si="24"/>
        <v>5175</v>
      </c>
      <c r="AN325" s="5"/>
    </row>
    <row r="326" spans="1:40" ht="13.5" x14ac:dyDescent="0.7">
      <c r="A326" s="123" t="s">
        <v>36</v>
      </c>
      <c r="B326" s="26"/>
      <c r="C326" s="27" t="s">
        <v>262</v>
      </c>
      <c r="E326" s="98">
        <f>+E161</f>
        <v>5640.4804572593703</v>
      </c>
      <c r="F326" s="98">
        <f t="shared" ref="F326:AL327" si="25">+F161</f>
        <v>5536.2287691169704</v>
      </c>
      <c r="G326" s="98">
        <f t="shared" si="25"/>
        <v>5391.3942611819402</v>
      </c>
      <c r="H326" s="98">
        <f t="shared" si="25"/>
        <v>5435.9025268210098</v>
      </c>
      <c r="I326" s="98">
        <f t="shared" si="25"/>
        <v>4489.4362446415098</v>
      </c>
      <c r="J326" s="98">
        <f t="shared" si="25"/>
        <v>4060.9963153794702</v>
      </c>
      <c r="K326" s="98">
        <f t="shared" si="25"/>
        <v>4889.5855445369798</v>
      </c>
      <c r="L326" s="98">
        <f t="shared" si="25"/>
        <v>8480.9384979287806</v>
      </c>
      <c r="M326" s="98">
        <f t="shared" si="25"/>
        <v>7385.2477362914797</v>
      </c>
      <c r="N326" s="98">
        <f t="shared" si="25"/>
        <v>8754.9030097442392</v>
      </c>
      <c r="O326" s="98">
        <f t="shared" si="25"/>
        <v>14495.4433468525</v>
      </c>
      <c r="P326" s="98">
        <f t="shared" si="25"/>
        <v>18466.644467930299</v>
      </c>
      <c r="Q326" s="98">
        <f t="shared" si="25"/>
        <v>13599.284720055201</v>
      </c>
      <c r="R326" s="98">
        <f t="shared" si="25"/>
        <v>20367.248758795798</v>
      </c>
      <c r="S326" s="98">
        <f t="shared" si="25"/>
        <v>26051.449644281802</v>
      </c>
      <c r="T326" s="98">
        <f t="shared" si="25"/>
        <v>21109.356206897701</v>
      </c>
      <c r="U326" s="98">
        <f t="shared" si="25"/>
        <v>22281.5834868483</v>
      </c>
      <c r="V326" s="98">
        <f t="shared" si="25"/>
        <v>21898.873673850299</v>
      </c>
      <c r="W326" s="98">
        <f t="shared" si="25"/>
        <v>16066.6324391863</v>
      </c>
      <c r="X326" s="98">
        <f t="shared" si="25"/>
        <v>17933.762085137001</v>
      </c>
      <c r="Y326" s="98">
        <f t="shared" si="25"/>
        <v>20061.168945736601</v>
      </c>
      <c r="Z326" s="98">
        <f t="shared" si="25"/>
        <v>20145.205894698</v>
      </c>
      <c r="AA326" s="98">
        <f t="shared" si="25"/>
        <v>18661.1568322981</v>
      </c>
      <c r="AB326" s="98">
        <f t="shared" si="25"/>
        <v>17125.459462184699</v>
      </c>
      <c r="AC326" s="98">
        <f t="shared" si="25"/>
        <v>32387.2890990259</v>
      </c>
      <c r="AD326" s="98">
        <f t="shared" si="25"/>
        <v>31383.286675457999</v>
      </c>
      <c r="AE326" s="98">
        <f t="shared" si="25"/>
        <v>25912.245867400699</v>
      </c>
      <c r="AF326" s="98">
        <f t="shared" si="25"/>
        <v>30059.334260289201</v>
      </c>
      <c r="AG326" s="98">
        <f t="shared" si="25"/>
        <v>34058.324170689797</v>
      </c>
      <c r="AH326" s="98">
        <f t="shared" si="25"/>
        <v>46768.1484375</v>
      </c>
      <c r="AI326" s="98">
        <f t="shared" si="25"/>
        <v>46533.25</v>
      </c>
      <c r="AJ326" s="98">
        <f t="shared" si="25"/>
        <v>46516</v>
      </c>
      <c r="AK326" s="98">
        <f t="shared" si="25"/>
        <v>46516</v>
      </c>
      <c r="AL326" s="98">
        <f t="shared" si="25"/>
        <v>46516</v>
      </c>
      <c r="AN326" s="5"/>
    </row>
    <row r="327" spans="1:40" ht="13.5" x14ac:dyDescent="0.7">
      <c r="A327" s="124" t="s">
        <v>282</v>
      </c>
      <c r="B327" s="26"/>
      <c r="C327" s="27"/>
      <c r="E327" s="98">
        <f>+E108</f>
        <v>188.928110703306</v>
      </c>
      <c r="F327" s="98">
        <f>+F108</f>
        <v>135.46926998243299</v>
      </c>
      <c r="G327" s="98">
        <f t="shared" ref="G327:AL327" si="26">+G108</f>
        <v>103.884424383587</v>
      </c>
      <c r="H327" s="98">
        <f t="shared" si="26"/>
        <v>87.204109887696802</v>
      </c>
      <c r="I327" s="98">
        <f t="shared" si="26"/>
        <v>62.2841325914424</v>
      </c>
      <c r="J327" s="98">
        <f t="shared" si="26"/>
        <v>61.4620682680846</v>
      </c>
      <c r="K327" s="98">
        <f t="shared" si="26"/>
        <v>64.172862052198994</v>
      </c>
      <c r="L327" s="98">
        <f t="shared" si="26"/>
        <v>80.479524852562903</v>
      </c>
      <c r="M327" s="98">
        <f t="shared" si="26"/>
        <v>114.853919278185</v>
      </c>
      <c r="N327" s="98">
        <f t="shared" si="26"/>
        <v>114.408857864357</v>
      </c>
      <c r="O327" s="98">
        <f t="shared" si="26"/>
        <v>123.613877540937</v>
      </c>
      <c r="P327" s="98">
        <f t="shared" si="26"/>
        <v>139.71246561892201</v>
      </c>
      <c r="Q327" s="98">
        <f t="shared" si="26"/>
        <v>143.75475766202399</v>
      </c>
      <c r="R327" s="98">
        <f t="shared" si="26"/>
        <v>196.04909199918399</v>
      </c>
      <c r="S327" s="98">
        <f t="shared" si="26"/>
        <v>271.10805783769302</v>
      </c>
      <c r="T327" s="98">
        <f t="shared" si="26"/>
        <v>186.44158316080001</v>
      </c>
      <c r="U327" s="98">
        <f t="shared" si="26"/>
        <v>139.48433732511401</v>
      </c>
      <c r="V327" s="98">
        <f t="shared" si="26"/>
        <v>200.35589636269501</v>
      </c>
      <c r="W327" s="98">
        <f t="shared" si="26"/>
        <v>159.903685857017</v>
      </c>
      <c r="X327" s="98">
        <f t="shared" si="26"/>
        <v>163.83998470732101</v>
      </c>
      <c r="Y327" s="98">
        <f t="shared" si="26"/>
        <v>150.75595340046399</v>
      </c>
      <c r="Z327" s="98">
        <f t="shared" si="26"/>
        <v>132.71492668140999</v>
      </c>
      <c r="AA327" s="98">
        <f t="shared" si="26"/>
        <v>130.55576145774501</v>
      </c>
      <c r="AB327" s="98">
        <f t="shared" si="26"/>
        <v>150.831950036075</v>
      </c>
      <c r="AC327" s="98">
        <f t="shared" si="26"/>
        <v>204.69402922077899</v>
      </c>
      <c r="AD327" s="98">
        <f t="shared" si="26"/>
        <v>255.465902040592</v>
      </c>
      <c r="AE327" s="98">
        <f t="shared" si="26"/>
        <v>205.95975240761601</v>
      </c>
      <c r="AF327" s="98">
        <f t="shared" si="26"/>
        <v>255.44462944663999</v>
      </c>
      <c r="AG327" s="98">
        <f t="shared" si="26"/>
        <v>383.09798421325002</v>
      </c>
      <c r="AH327" s="98">
        <f t="shared" si="26"/>
        <v>300.253749956673</v>
      </c>
      <c r="AI327" s="98">
        <f t="shared" si="26"/>
        <v>279.34127015000001</v>
      </c>
      <c r="AJ327" s="98">
        <f t="shared" si="26"/>
        <v>268.84510490000002</v>
      </c>
      <c r="AK327" s="98">
        <f t="shared" si="26"/>
        <v>268.84510490000002</v>
      </c>
      <c r="AL327" s="98">
        <f t="shared" si="26"/>
        <v>268.84510490000002</v>
      </c>
      <c r="AN327" s="5"/>
    </row>
    <row r="328" spans="1:40" ht="13.5" x14ac:dyDescent="0.7">
      <c r="A328" s="122" t="s">
        <v>39</v>
      </c>
      <c r="B328" s="26"/>
      <c r="C328" s="27" t="s">
        <v>263</v>
      </c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N328" s="5"/>
    </row>
    <row r="329" spans="1:40" ht="13.5" x14ac:dyDescent="0.7">
      <c r="A329" s="123" t="s">
        <v>11</v>
      </c>
      <c r="B329" s="26"/>
      <c r="C329" s="27" t="s">
        <v>264</v>
      </c>
      <c r="E329" s="32">
        <f>+E173</f>
        <v>1.1325908333333301</v>
      </c>
      <c r="F329" s="32">
        <f t="shared" ref="F329:AL329" si="27">+F173</f>
        <v>1.1140033333333299</v>
      </c>
      <c r="G329" s="32">
        <f t="shared" si="27"/>
        <v>1.0668346104999999</v>
      </c>
      <c r="H329" s="32">
        <f t="shared" si="27"/>
        <v>0.92402059788333302</v>
      </c>
      <c r="I329" s="32">
        <f t="shared" si="27"/>
        <v>0.89563563535000001</v>
      </c>
      <c r="J329" s="32">
        <f t="shared" si="27"/>
        <v>0.94490556325833297</v>
      </c>
      <c r="K329" s="32">
        <f t="shared" si="27"/>
        <v>1.1308771550833301</v>
      </c>
      <c r="L329" s="32">
        <f t="shared" si="27"/>
        <v>1.2433377025833301</v>
      </c>
      <c r="M329" s="32">
        <f t="shared" si="27"/>
        <v>1.24477792875</v>
      </c>
      <c r="N329" s="32">
        <f t="shared" si="27"/>
        <v>1.25566535075</v>
      </c>
      <c r="O329" s="32">
        <f t="shared" si="27"/>
        <v>1.37063958091666</v>
      </c>
      <c r="P329" s="32">
        <f t="shared" si="27"/>
        <v>1.4705943365833301</v>
      </c>
      <c r="Q329" s="32">
        <f t="shared" si="27"/>
        <v>1.3932679345833301</v>
      </c>
      <c r="R329" s="32">
        <f t="shared" si="27"/>
        <v>1.32679942825</v>
      </c>
      <c r="S329" s="32">
        <f t="shared" si="27"/>
        <v>1.3917103068333301</v>
      </c>
      <c r="T329" s="32">
        <f t="shared" si="27"/>
        <v>1.2856022599166601</v>
      </c>
      <c r="U329" s="32">
        <f t="shared" si="27"/>
        <v>1.3281373947499999</v>
      </c>
      <c r="V329" s="32">
        <f t="shared" si="27"/>
        <v>1.3288431678333299</v>
      </c>
      <c r="W329" s="32">
        <f t="shared" si="27"/>
        <v>1.10962522666666</v>
      </c>
      <c r="X329" s="32">
        <f t="shared" si="27"/>
        <v>1.1065976692499999</v>
      </c>
      <c r="Y329" s="32">
        <f t="shared" si="27"/>
        <v>1.12928252958333</v>
      </c>
      <c r="Z329" s="32">
        <f t="shared" si="27"/>
        <v>1.18149004083333</v>
      </c>
      <c r="AA329" s="32">
        <f t="shared" si="27"/>
        <v>1.1195980593333299</v>
      </c>
      <c r="AB329" s="32">
        <f t="shared" si="27"/>
        <v>1.14128185933333</v>
      </c>
      <c r="AC329" s="32">
        <f t="shared" si="27"/>
        <v>1.18352659516666</v>
      </c>
      <c r="AD329" s="32">
        <f t="shared" si="27"/>
        <v>1.0538770742833301</v>
      </c>
      <c r="AE329" s="32">
        <f t="shared" si="27"/>
        <v>1.08158049375</v>
      </c>
      <c r="AF329" s="32">
        <f t="shared" si="27"/>
        <v>1.0820545774166599</v>
      </c>
      <c r="AG329" s="32">
        <f t="shared" si="27"/>
        <v>1.12836068666923</v>
      </c>
      <c r="AH329" s="32">
        <f t="shared" si="27"/>
        <v>1.1579290059665801</v>
      </c>
      <c r="AI329" s="32">
        <f t="shared" si="27"/>
        <v>1.15515916443936</v>
      </c>
      <c r="AJ329" s="32">
        <f t="shared" si="27"/>
        <v>1.1535055101242899</v>
      </c>
      <c r="AK329" s="32">
        <f t="shared" si="27"/>
        <v>1.15275620964905</v>
      </c>
      <c r="AL329" s="32">
        <f t="shared" si="27"/>
        <v>1.1521448384389299</v>
      </c>
      <c r="AN329" s="5"/>
    </row>
    <row r="330" spans="1:40" ht="13.5" x14ac:dyDescent="0.7">
      <c r="A330" s="123" t="s">
        <v>40</v>
      </c>
      <c r="B330" s="26"/>
      <c r="C330" s="27" t="s">
        <v>265</v>
      </c>
      <c r="E330" s="32">
        <f>+E236</f>
        <v>0.72678617400596801</v>
      </c>
      <c r="F330" s="32">
        <f t="shared" ref="F330:AL330" si="28">+F236</f>
        <v>0.73736539531868905</v>
      </c>
      <c r="G330" s="32">
        <f t="shared" si="28"/>
        <v>0.73142902340939897</v>
      </c>
      <c r="H330" s="32">
        <f t="shared" si="28"/>
        <v>0.75843424653848501</v>
      </c>
      <c r="I330" s="32">
        <f t="shared" si="28"/>
        <v>0.78557813982701796</v>
      </c>
      <c r="J330" s="32">
        <f t="shared" si="28"/>
        <v>0.77258083183389903</v>
      </c>
      <c r="K330" s="32">
        <f t="shared" si="28"/>
        <v>0.71415878826019796</v>
      </c>
      <c r="L330" s="32">
        <f t="shared" si="28"/>
        <v>0.67532006880543005</v>
      </c>
      <c r="M330" s="32">
        <f t="shared" si="28"/>
        <v>0.67724988631803595</v>
      </c>
      <c r="N330" s="32">
        <f t="shared" si="28"/>
        <v>0.67977254509406604</v>
      </c>
      <c r="O330" s="32">
        <f t="shared" si="28"/>
        <v>0.65345154753525303</v>
      </c>
      <c r="P330" s="32">
        <f t="shared" si="28"/>
        <v>0.63318390786291201</v>
      </c>
      <c r="Q330" s="32">
        <f t="shared" si="28"/>
        <v>0.64915198555482001</v>
      </c>
      <c r="R330" s="32">
        <f t="shared" si="28"/>
        <v>0.65556366034077196</v>
      </c>
      <c r="S330" s="32">
        <f t="shared" si="28"/>
        <v>0.63348904868052203</v>
      </c>
      <c r="T330" s="32">
        <f t="shared" si="28"/>
        <v>0.65289773216159497</v>
      </c>
      <c r="U330" s="32">
        <f t="shared" si="28"/>
        <v>0.65806623172956002</v>
      </c>
      <c r="V330" s="32">
        <f t="shared" si="28"/>
        <v>0.65833272156990097</v>
      </c>
      <c r="W330" s="32">
        <f t="shared" si="28"/>
        <v>0.71476398364791804</v>
      </c>
      <c r="X330" s="32">
        <f t="shared" si="28"/>
        <v>0.719503489873766</v>
      </c>
      <c r="Y330" s="32">
        <f t="shared" si="28"/>
        <v>0.72134724287066598</v>
      </c>
      <c r="Z330" s="32">
        <f t="shared" si="28"/>
        <v>0.70641219372499897</v>
      </c>
      <c r="AA330" s="32">
        <f t="shared" si="28"/>
        <v>0.723778062560133</v>
      </c>
      <c r="AB330" s="32">
        <f t="shared" si="28"/>
        <v>0.71804460571725803</v>
      </c>
      <c r="AC330" s="32">
        <f t="shared" si="28"/>
        <v>0.702029326491031</v>
      </c>
      <c r="AD330" s="32">
        <f t="shared" si="28"/>
        <v>0.74784196744479903</v>
      </c>
      <c r="AE330" s="32">
        <f t="shared" si="28"/>
        <v>0.74963314842207696</v>
      </c>
      <c r="AF330" s="32">
        <f t="shared" si="28"/>
        <v>0.75329006068676796</v>
      </c>
      <c r="AG330" s="32">
        <f t="shared" si="28"/>
        <v>0.74106695972538394</v>
      </c>
      <c r="AH330" s="32">
        <f t="shared" si="28"/>
        <v>0.72748859226561602</v>
      </c>
      <c r="AI330" s="32">
        <f t="shared" si="28"/>
        <v>0.72587169904360904</v>
      </c>
      <c r="AJ330" s="32">
        <f t="shared" si="28"/>
        <v>0.72469277295317802</v>
      </c>
      <c r="AK330" s="32">
        <f t="shared" si="28"/>
        <v>0.72385074702415197</v>
      </c>
      <c r="AL330" s="32">
        <f t="shared" si="28"/>
        <v>0.72265575622158695</v>
      </c>
      <c r="AN330" s="5"/>
    </row>
    <row r="331" spans="1:40" ht="13.5" x14ac:dyDescent="0.7">
      <c r="A331" s="122" t="s">
        <v>317</v>
      </c>
      <c r="B331" s="26"/>
      <c r="C331" s="27"/>
      <c r="E331" s="32"/>
      <c r="F331" s="32"/>
      <c r="G331" s="32"/>
      <c r="H331" s="32"/>
      <c r="I331" s="32"/>
      <c r="J331" s="32"/>
      <c r="K331" s="39" t="s">
        <v>279</v>
      </c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N331" s="5"/>
    </row>
    <row r="332" spans="1:40" ht="13.5" x14ac:dyDescent="0.7">
      <c r="A332" s="123" t="s">
        <v>858</v>
      </c>
      <c r="B332" s="26"/>
      <c r="C332" s="27" t="s">
        <v>266</v>
      </c>
      <c r="E332" s="109">
        <v>5.844450000000001</v>
      </c>
      <c r="F332" s="109">
        <v>5.5382750000000005</v>
      </c>
      <c r="G332" s="109">
        <v>5.529099999999997</v>
      </c>
      <c r="H332" s="109">
        <v>6.6493916666666664</v>
      </c>
      <c r="I332" s="109">
        <v>3.7277333333333331</v>
      </c>
      <c r="J332" s="109">
        <v>1.8819999999999988</v>
      </c>
      <c r="K332" s="110">
        <v>1.2300666666666658</v>
      </c>
      <c r="L332" s="110">
        <v>1.7917416666666668</v>
      </c>
      <c r="M332" s="110">
        <v>3.7651416666666666</v>
      </c>
      <c r="N332" s="110">
        <v>5.2734500000000004</v>
      </c>
      <c r="O332" s="110">
        <v>5.2515333333333345</v>
      </c>
      <c r="P332" s="110">
        <v>3.0447750000000013</v>
      </c>
      <c r="Q332" s="110">
        <v>1.1212166666666659</v>
      </c>
      <c r="R332" s="110">
        <v>0.51829999999999998</v>
      </c>
      <c r="S332" s="110">
        <v>0.5071</v>
      </c>
      <c r="T332" s="110">
        <v>0.68678333333333352</v>
      </c>
      <c r="U332" s="38">
        <f>+U297</f>
        <v>5.83333333333333E-2</v>
      </c>
      <c r="V332" s="38">
        <f t="shared" ref="V332:AL334" si="29">+V297</f>
        <v>3.2500000000000001E-2</v>
      </c>
      <c r="W332" s="38">
        <f t="shared" si="29"/>
        <v>5.3333333333333399E-2</v>
      </c>
      <c r="X332" s="38">
        <f t="shared" si="29"/>
        <v>0.31916666666666599</v>
      </c>
      <c r="Y332" s="38">
        <f t="shared" si="29"/>
        <v>0.94666666666666799</v>
      </c>
      <c r="Z332" s="38">
        <f t="shared" si="29"/>
        <v>1.9733333333333301</v>
      </c>
      <c r="AA332" s="38">
        <f t="shared" si="29"/>
        <v>2.1041666666666599</v>
      </c>
      <c r="AB332" s="38">
        <f t="shared" si="29"/>
        <v>0.369999999999999</v>
      </c>
      <c r="AC332" s="38">
        <f t="shared" si="29"/>
        <v>4.4166666666666597E-2</v>
      </c>
      <c r="AD332" s="38">
        <f t="shared" si="29"/>
        <v>2.0825</v>
      </c>
      <c r="AE332" s="38">
        <f t="shared" si="29"/>
        <v>5.2758333333333303</v>
      </c>
      <c r="AF332" s="38">
        <f t="shared" si="29"/>
        <v>5.17916666666666</v>
      </c>
      <c r="AG332" s="38">
        <f t="shared" si="29"/>
        <v>4.1893583333333302</v>
      </c>
      <c r="AH332" s="38">
        <f t="shared" si="29"/>
        <v>3.4086833333333302</v>
      </c>
      <c r="AI332" s="38">
        <f t="shared" si="29"/>
        <v>3.2003499999999998</v>
      </c>
      <c r="AJ332" s="38">
        <f t="shared" si="29"/>
        <v>3.0440999999999998</v>
      </c>
      <c r="AK332" s="38">
        <f t="shared" si="29"/>
        <v>2.8461833333333302</v>
      </c>
      <c r="AL332" s="38">
        <f t="shared" si="29"/>
        <v>2.7940999999999998</v>
      </c>
      <c r="AN332" s="5"/>
    </row>
    <row r="333" spans="1:40" ht="13.5" x14ac:dyDescent="0.7">
      <c r="A333" s="123" t="s">
        <v>859</v>
      </c>
      <c r="B333" s="26"/>
      <c r="C333" s="27" t="s">
        <v>266</v>
      </c>
      <c r="E333" s="109"/>
      <c r="F333" s="109"/>
      <c r="G333" s="109">
        <v>2.9628982083333333</v>
      </c>
      <c r="H333" s="109">
        <v>4.4050100000000008</v>
      </c>
      <c r="I333" s="109">
        <v>4.2604924999999998</v>
      </c>
      <c r="J333" s="109">
        <v>3.3165191666666667</v>
      </c>
      <c r="K333" s="111">
        <v>2.3315675000000002</v>
      </c>
      <c r="L333" s="111">
        <v>2.1055275</v>
      </c>
      <c r="M333" s="111">
        <v>2.1844708333333331</v>
      </c>
      <c r="N333" s="111">
        <v>3.0797033333333332</v>
      </c>
      <c r="O333" s="111">
        <v>4.2777666666666665</v>
      </c>
      <c r="P333" s="111">
        <v>4.6319137500000007</v>
      </c>
      <c r="Q333" s="111">
        <v>1.2278224999999998</v>
      </c>
      <c r="R333" s="111">
        <v>0.81095833333333334</v>
      </c>
      <c r="S333" s="111">
        <v>1.3906000000000001</v>
      </c>
      <c r="T333" s="111">
        <v>0.57315833333333333</v>
      </c>
      <c r="U333" s="38">
        <f t="shared" ref="U333:AJ334" si="30">+U298</f>
        <v>4.3454364681487299E-2</v>
      </c>
      <c r="V333" s="38">
        <f t="shared" si="30"/>
        <v>3.0560716236888101E-2</v>
      </c>
      <c r="W333" s="38">
        <f t="shared" si="30"/>
        <v>-0.22710749999999999</v>
      </c>
      <c r="X333" s="38">
        <f t="shared" si="30"/>
        <v>-0.64580727855477804</v>
      </c>
      <c r="Y333" s="38">
        <f t="shared" si="30"/>
        <v>-0.81080730769230702</v>
      </c>
      <c r="Z333" s="38">
        <f t="shared" si="30"/>
        <v>-0.73887547785547802</v>
      </c>
      <c r="AA333" s="38">
        <f t="shared" si="30"/>
        <v>-0.66347125874125901</v>
      </c>
      <c r="AB333" s="38">
        <f t="shared" si="30"/>
        <v>-0.67019108391608295</v>
      </c>
      <c r="AC333" s="38">
        <f t="shared" si="30"/>
        <v>-0.71129334644522102</v>
      </c>
      <c r="AD333" s="38">
        <f t="shared" si="30"/>
        <v>0.15758305288461499</v>
      </c>
      <c r="AE333" s="38">
        <f t="shared" si="30"/>
        <v>3.1443640196820102</v>
      </c>
      <c r="AF333" s="38">
        <f t="shared" si="30"/>
        <v>3.2963491370043001</v>
      </c>
      <c r="AG333" s="38">
        <f t="shared" si="30"/>
        <v>2.00203186115092</v>
      </c>
      <c r="AH333" s="38">
        <f t="shared" si="30"/>
        <v>2.0330652676402701</v>
      </c>
      <c r="AI333" s="38">
        <f t="shared" si="30"/>
        <v>2.0330652676402701</v>
      </c>
      <c r="AJ333" s="38">
        <f t="shared" si="30"/>
        <v>2.0330652676402701</v>
      </c>
      <c r="AK333" s="38">
        <f t="shared" si="29"/>
        <v>2.0330652676402701</v>
      </c>
      <c r="AL333" s="38">
        <f t="shared" si="29"/>
        <v>2.0330652676402701</v>
      </c>
      <c r="AN333" s="5"/>
    </row>
    <row r="334" spans="1:40" ht="13.5" x14ac:dyDescent="0.7">
      <c r="A334" s="123" t="s">
        <v>860</v>
      </c>
      <c r="B334" s="34" t="s">
        <v>267</v>
      </c>
      <c r="C334" s="27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8">
        <f t="shared" si="30"/>
        <v>7.2229238599941695E-2</v>
      </c>
      <c r="V334" s="38">
        <f t="shared" si="30"/>
        <v>2.2891008400325701E-2</v>
      </c>
      <c r="W334" s="38">
        <f t="shared" si="30"/>
        <v>-1.40505018556005E-2</v>
      </c>
      <c r="X334" s="38">
        <f t="shared" si="30"/>
        <v>-0.246938519813519</v>
      </c>
      <c r="Y334" s="38">
        <f t="shared" si="30"/>
        <v>-0.190990564903846</v>
      </c>
      <c r="Z334" s="38">
        <f t="shared" si="30"/>
        <v>-0.18183466091200401</v>
      </c>
      <c r="AA334" s="38">
        <f t="shared" si="30"/>
        <v>-0.176925087412587</v>
      </c>
      <c r="AB334" s="38">
        <f t="shared" si="30"/>
        <v>-0.13195402097902001</v>
      </c>
      <c r="AC334" s="38">
        <f t="shared" si="30"/>
        <v>-0.113032355405011</v>
      </c>
      <c r="AD334" s="38">
        <f t="shared" si="30"/>
        <v>-0.13547502731643299</v>
      </c>
      <c r="AE334" s="38">
        <f t="shared" si="30"/>
        <v>-0.18246153846153801</v>
      </c>
      <c r="AF334" s="38">
        <f t="shared" si="30"/>
        <v>9.6435897435898001E-3</v>
      </c>
      <c r="AG334" s="38">
        <f t="shared" si="30"/>
        <v>0.40797572200368998</v>
      </c>
      <c r="AH334" s="38">
        <f t="shared" si="30"/>
        <v>0.77562529741997199</v>
      </c>
      <c r="AI334" s="38">
        <f t="shared" si="30"/>
        <v>1.2288539130434799</v>
      </c>
      <c r="AJ334" s="38">
        <f t="shared" si="30"/>
        <v>1.4</v>
      </c>
      <c r="AK334" s="38">
        <f t="shared" si="29"/>
        <v>1.4</v>
      </c>
      <c r="AL334" s="38">
        <f t="shared" si="29"/>
        <v>1.4</v>
      </c>
      <c r="AN334" s="5"/>
    </row>
    <row r="335" spans="1:40" x14ac:dyDescent="0.65">
      <c r="A335" s="24" t="s">
        <v>268</v>
      </c>
    </row>
    <row r="338" spans="1:38" x14ac:dyDescent="0.65">
      <c r="A338" s="24" t="s">
        <v>251</v>
      </c>
      <c r="F338" s="3" t="s">
        <v>280</v>
      </c>
    </row>
    <row r="339" spans="1:38" ht="13.5" x14ac:dyDescent="0.7">
      <c r="A339" s="25" t="s">
        <v>252</v>
      </c>
      <c r="B339" s="26" t="s">
        <v>378</v>
      </c>
      <c r="C339" s="26"/>
      <c r="E339" s="29" t="s">
        <v>283</v>
      </c>
      <c r="F339" s="29" t="s">
        <v>284</v>
      </c>
      <c r="G339" s="29" t="s">
        <v>285</v>
      </c>
      <c r="H339" s="29" t="s">
        <v>286</v>
      </c>
      <c r="I339" s="29" t="s">
        <v>287</v>
      </c>
      <c r="J339" s="29" t="s">
        <v>288</v>
      </c>
      <c r="K339" s="29" t="s">
        <v>289</v>
      </c>
      <c r="L339" s="29" t="s">
        <v>290</v>
      </c>
      <c r="M339" s="29" t="s">
        <v>291</v>
      </c>
      <c r="N339" s="29" t="s">
        <v>292</v>
      </c>
      <c r="O339" s="29" t="s">
        <v>293</v>
      </c>
      <c r="P339" s="29" t="s">
        <v>294</v>
      </c>
      <c r="Q339" s="29" t="s">
        <v>295</v>
      </c>
      <c r="R339" s="29" t="s">
        <v>296</v>
      </c>
      <c r="S339" s="29" t="s">
        <v>297</v>
      </c>
      <c r="T339" s="29" t="s">
        <v>298</v>
      </c>
      <c r="U339" s="29" t="s">
        <v>299</v>
      </c>
      <c r="V339" s="29" t="s">
        <v>300</v>
      </c>
      <c r="W339" s="29" t="s">
        <v>301</v>
      </c>
      <c r="X339" s="29" t="s">
        <v>302</v>
      </c>
      <c r="Y339" s="29" t="s">
        <v>303</v>
      </c>
      <c r="Z339" s="29" t="s">
        <v>304</v>
      </c>
      <c r="AA339" s="29" t="s">
        <v>305</v>
      </c>
      <c r="AB339" s="29" t="s">
        <v>306</v>
      </c>
      <c r="AC339" s="29" t="s">
        <v>307</v>
      </c>
      <c r="AD339" s="29" t="s">
        <v>308</v>
      </c>
      <c r="AE339" s="29" t="s">
        <v>309</v>
      </c>
      <c r="AF339" s="29" t="s">
        <v>310</v>
      </c>
      <c r="AG339" s="29" t="s">
        <v>311</v>
      </c>
      <c r="AH339" s="29" t="s">
        <v>312</v>
      </c>
      <c r="AI339" s="29" t="s">
        <v>313</v>
      </c>
      <c r="AJ339" s="29" t="s">
        <v>314</v>
      </c>
      <c r="AK339" s="29" t="s">
        <v>315</v>
      </c>
      <c r="AL339" s="29" t="s">
        <v>316</v>
      </c>
    </row>
    <row r="340" spans="1:38" ht="13.5" x14ac:dyDescent="0.7">
      <c r="A340" s="27"/>
      <c r="B340" s="26"/>
      <c r="C340" s="3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</row>
    <row r="341" spans="1:38" ht="13.5" x14ac:dyDescent="0.7">
      <c r="A341" s="25" t="s">
        <v>277</v>
      </c>
      <c r="B341" s="26"/>
      <c r="C341" s="37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</row>
    <row r="342" spans="1:38" ht="13.5" x14ac:dyDescent="0.7">
      <c r="A342" s="27" t="s">
        <v>4</v>
      </c>
      <c r="B342" s="26"/>
      <c r="C342" s="27" t="s">
        <v>254</v>
      </c>
      <c r="E342" s="108">
        <v>80.596609768891341</v>
      </c>
      <c r="F342" s="108">
        <v>82.862358827348316</v>
      </c>
      <c r="G342" s="108">
        <v>85.844033625596012</v>
      </c>
      <c r="H342" s="108">
        <v>89.39416028123533</v>
      </c>
      <c r="I342" s="108">
        <v>90.789294548577473</v>
      </c>
      <c r="J342" s="108">
        <v>92.282766167114133</v>
      </c>
      <c r="K342" s="108">
        <v>94.16808655845945</v>
      </c>
      <c r="L342" s="108">
        <v>97.250367163235467</v>
      </c>
      <c r="M342" s="108">
        <v>100</v>
      </c>
      <c r="N342" s="108">
        <v>103.05010298413842</v>
      </c>
      <c r="O342" s="108">
        <v>105.88332078311002</v>
      </c>
      <c r="P342" s="108">
        <v>106.22043713587581</v>
      </c>
      <c r="Q342" s="108">
        <v>102.65042404508762</v>
      </c>
      <c r="R342" s="108">
        <v>105.88754493562489</v>
      </c>
      <c r="S342" s="108">
        <v>107.73448529309874</v>
      </c>
      <c r="T342" s="108">
        <v>109.03308270580128</v>
      </c>
      <c r="U342" s="108">
        <v>110.65858035215528</v>
      </c>
      <c r="V342" s="108">
        <v>112.97703838033569</v>
      </c>
      <c r="W342" s="108">
        <v>115.65690703746816</v>
      </c>
      <c r="X342" s="108">
        <v>117.77239329622844</v>
      </c>
      <c r="Y342" s="108">
        <v>120.81108315961093</v>
      </c>
      <c r="Z342" s="108">
        <v>123.56680583131859</v>
      </c>
      <c r="AA342" s="108">
        <v>125.79635030044265</v>
      </c>
      <c r="AB342" s="108">
        <v>120.83261391885081</v>
      </c>
      <c r="AC342" s="108">
        <v>127.72959118758203</v>
      </c>
      <c r="AD342" s="108">
        <v>131.05610516463642</v>
      </c>
      <c r="AE342" s="108">
        <v>133.16221736785084</v>
      </c>
      <c r="AF342" s="108">
        <v>135.21066254284779</v>
      </c>
      <c r="AG342" s="108">
        <v>137.58239410453697</v>
      </c>
      <c r="AH342" s="108">
        <v>140.09017548711981</v>
      </c>
      <c r="AI342" s="108">
        <v>142.58528041582338</v>
      </c>
      <c r="AJ342" s="108">
        <v>145.0450232403025</v>
      </c>
      <c r="AK342" s="108">
        <v>147.54719915987343</v>
      </c>
      <c r="AL342" s="108">
        <v>0</v>
      </c>
    </row>
    <row r="343" spans="1:38" ht="13.5" x14ac:dyDescent="0.7">
      <c r="A343" s="27" t="s">
        <v>175</v>
      </c>
      <c r="B343" s="26"/>
      <c r="C343" s="27" t="s">
        <v>254</v>
      </c>
      <c r="E343" s="108">
        <v>66.838739878186686</v>
      </c>
      <c r="F343" s="108">
        <v>68.4199796858898</v>
      </c>
      <c r="G343" s="108">
        <v>70.800745404405845</v>
      </c>
      <c r="H343" s="108">
        <v>74.846951083024919</v>
      </c>
      <c r="I343" s="108">
        <v>77.591099310916093</v>
      </c>
      <c r="J343" s="108">
        <v>81.011654434314465</v>
      </c>
      <c r="K343" s="108">
        <v>86.605466766434915</v>
      </c>
      <c r="L343" s="108">
        <v>93.414039515026246</v>
      </c>
      <c r="M343" s="108">
        <v>100</v>
      </c>
      <c r="N343" s="108">
        <v>107.88538650351833</v>
      </c>
      <c r="O343" s="108">
        <v>116.90325121103638</v>
      </c>
      <c r="P343" s="108">
        <v>123.57975085388514</v>
      </c>
      <c r="Q343" s="108">
        <v>127.02991253836996</v>
      </c>
      <c r="R343" s="108">
        <v>136.45513904025862</v>
      </c>
      <c r="S343" s="108">
        <v>145.09001743140641</v>
      </c>
      <c r="T343" s="108">
        <v>152.86492297285557</v>
      </c>
      <c r="U343" s="108">
        <v>160.48308405644508</v>
      </c>
      <c r="V343" s="108">
        <v>168.03453001500955</v>
      </c>
      <c r="W343" s="108">
        <v>175.3044841957462</v>
      </c>
      <c r="X343" s="108">
        <v>182.99246076675084</v>
      </c>
      <c r="Y343" s="108">
        <v>191.70293074030891</v>
      </c>
      <c r="Z343" s="108">
        <v>200.61391022381949</v>
      </c>
      <c r="AA343" s="108">
        <v>207.84086286230442</v>
      </c>
      <c r="AB343" s="108">
        <v>204.14292715896826</v>
      </c>
      <c r="AC343" s="108">
        <v>218.22397913425951</v>
      </c>
      <c r="AD343" s="108">
        <v>227.24670386366452</v>
      </c>
      <c r="AE343" s="108">
        <v>236.67172478552354</v>
      </c>
      <c r="AF343" s="108">
        <v>246.40222192096127</v>
      </c>
      <c r="AG343" s="108">
        <v>256.65602747793503</v>
      </c>
      <c r="AH343" s="108">
        <v>267.01443940910929</v>
      </c>
      <c r="AI343" s="108">
        <v>277.75239883717677</v>
      </c>
      <c r="AJ343" s="108">
        <v>288.70704139323436</v>
      </c>
      <c r="AK343" s="108">
        <v>300.0937385203178</v>
      </c>
      <c r="AL343" s="108">
        <v>0</v>
      </c>
    </row>
    <row r="344" spans="1:38" ht="13.5" x14ac:dyDescent="0.7">
      <c r="A344" s="25" t="s">
        <v>276</v>
      </c>
      <c r="B344" s="26"/>
      <c r="C344" s="27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</row>
    <row r="345" spans="1:38" ht="13.5" x14ac:dyDescent="0.7">
      <c r="A345" s="27" t="s">
        <v>4</v>
      </c>
      <c r="B345" s="26"/>
      <c r="C345" s="27" t="s">
        <v>254</v>
      </c>
      <c r="E345" s="108">
        <v>87.927948396313852</v>
      </c>
      <c r="F345" s="108">
        <v>89.089227260646027</v>
      </c>
      <c r="G345" s="108">
        <v>89.890026630800548</v>
      </c>
      <c r="H345" s="108">
        <v>91.361755754954459</v>
      </c>
      <c r="I345" s="108">
        <v>93.074488084596368</v>
      </c>
      <c r="J345" s="108">
        <v>94.481897559827459</v>
      </c>
      <c r="K345" s="108">
        <v>96.032105550521791</v>
      </c>
      <c r="L345" s="108">
        <v>97.947778407634303</v>
      </c>
      <c r="M345" s="108">
        <v>100</v>
      </c>
      <c r="N345" s="108">
        <v>102.11811560522199</v>
      </c>
      <c r="O345" s="108">
        <v>104.43791283475154</v>
      </c>
      <c r="P345" s="108">
        <v>106.46022912724511</v>
      </c>
      <c r="Q345" s="108">
        <v>107.18285671579633</v>
      </c>
      <c r="R345" s="108">
        <v>108.15592535395024</v>
      </c>
      <c r="S345" s="108">
        <v>109.62518086257703</v>
      </c>
      <c r="T345" s="108">
        <v>111.00436967340825</v>
      </c>
      <c r="U345" s="108">
        <v>112.4363194418309</v>
      </c>
      <c r="V345" s="108">
        <v>113.98634995578631</v>
      </c>
      <c r="W345" s="108">
        <v>115.40182775680827</v>
      </c>
      <c r="X345" s="108">
        <v>116.49435698898442</v>
      </c>
      <c r="Y345" s="108">
        <v>118.17649841659481</v>
      </c>
      <c r="Z345" s="108">
        <v>120.18129779169344</v>
      </c>
      <c r="AA345" s="108">
        <v>121.97219068726261</v>
      </c>
      <c r="AB345" s="108">
        <v>123.90932354705578</v>
      </c>
      <c r="AC345" s="108">
        <v>127.89282897813774</v>
      </c>
      <c r="AD345" s="108">
        <v>134.79743012268324</v>
      </c>
      <c r="AE345" s="108">
        <v>140.35561767998092</v>
      </c>
      <c r="AF345" s="108">
        <v>144.06287233891345</v>
      </c>
      <c r="AG345" s="108">
        <v>147.01907171465268</v>
      </c>
      <c r="AH345" s="108">
        <v>149.73349836904592</v>
      </c>
      <c r="AI345" s="108">
        <v>152.4957936184006</v>
      </c>
      <c r="AJ345" s="108">
        <v>155.34163053316513</v>
      </c>
      <c r="AK345" s="108">
        <v>158.24057571769416</v>
      </c>
      <c r="AL345" s="108">
        <v>0</v>
      </c>
    </row>
    <row r="346" spans="1:38" ht="13.5" x14ac:dyDescent="0.7">
      <c r="A346" s="25" t="s">
        <v>20</v>
      </c>
      <c r="B346" s="26"/>
      <c r="C346" s="27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</row>
    <row r="347" spans="1:38" ht="13.5" x14ac:dyDescent="0.7">
      <c r="A347" s="27" t="s">
        <v>21</v>
      </c>
      <c r="B347" s="26"/>
      <c r="C347" s="27" t="s">
        <v>254</v>
      </c>
      <c r="E347" s="108">
        <v>60.940814744710522</v>
      </c>
      <c r="F347" s="108">
        <v>63.905008493397546</v>
      </c>
      <c r="G347" s="108">
        <v>67.184524712008567</v>
      </c>
      <c r="H347" s="108">
        <v>75.641146676265237</v>
      </c>
      <c r="I347" s="108">
        <v>76.119025618801032</v>
      </c>
      <c r="J347" s="108">
        <v>79.033370230160557</v>
      </c>
      <c r="K347" s="108">
        <v>83.578190882419364</v>
      </c>
      <c r="L347" s="108">
        <v>92.676211857857112</v>
      </c>
      <c r="M347" s="108">
        <v>100</v>
      </c>
      <c r="N347" s="108">
        <v>109.45485955611028</v>
      </c>
      <c r="O347" s="108">
        <v>118.25453542713551</v>
      </c>
      <c r="P347" s="108">
        <v>121.80960482333703</v>
      </c>
      <c r="Q347" s="108">
        <v>109.3081426669319</v>
      </c>
      <c r="R347" s="108">
        <v>123.27360790783848</v>
      </c>
      <c r="S347" s="108">
        <v>131.91130878705985</v>
      </c>
      <c r="T347" s="108">
        <v>136.04794386720599</v>
      </c>
      <c r="U347" s="108">
        <v>140.8498867751795</v>
      </c>
      <c r="V347" s="108">
        <v>146.27433913844638</v>
      </c>
      <c r="W347" s="108">
        <v>150.60096609236825</v>
      </c>
      <c r="X347" s="108">
        <v>153.97962734522389</v>
      </c>
      <c r="Y347" s="108">
        <v>162.63719369512623</v>
      </c>
      <c r="Z347" s="108">
        <v>169.15110778034563</v>
      </c>
      <c r="AA347" s="108">
        <v>171.12520374210231</v>
      </c>
      <c r="AB347" s="108">
        <v>157.82675797112131</v>
      </c>
      <c r="AC347" s="108">
        <v>175.07620313207926</v>
      </c>
      <c r="AD347" s="108">
        <v>184.21046420097039</v>
      </c>
      <c r="AE347" s="108">
        <v>184.95537632003888</v>
      </c>
      <c r="AF347" s="108">
        <v>191.10429758532939</v>
      </c>
      <c r="AG347" s="108">
        <v>198.06032215859688</v>
      </c>
      <c r="AH347" s="108">
        <v>205.12282622371112</v>
      </c>
      <c r="AI347" s="108">
        <v>212.30775904151474</v>
      </c>
      <c r="AJ347" s="108">
        <v>219.56392897955959</v>
      </c>
      <c r="AK347" s="108">
        <v>227.06809740059671</v>
      </c>
      <c r="AL347" s="108">
        <v>0</v>
      </c>
    </row>
    <row r="348" spans="1:38" ht="13.5" x14ac:dyDescent="0.7">
      <c r="A348" s="25" t="s">
        <v>73</v>
      </c>
      <c r="B348" s="26"/>
      <c r="C348" s="27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</row>
    <row r="349" spans="1:38" ht="13.5" x14ac:dyDescent="0.7">
      <c r="A349" s="27" t="s">
        <v>145</v>
      </c>
      <c r="B349" s="26"/>
      <c r="C349" s="27" t="s">
        <v>254</v>
      </c>
      <c r="E349" s="108">
        <v>95.00308811901715</v>
      </c>
      <c r="F349" s="108">
        <v>92.017458815636232</v>
      </c>
      <c r="G349" s="108">
        <v>88.146255530384295</v>
      </c>
      <c r="H349" s="108">
        <v>84.42252769290161</v>
      </c>
      <c r="I349" s="108">
        <v>81.511395698538507</v>
      </c>
      <c r="J349" s="108">
        <v>82.030052528911966</v>
      </c>
      <c r="K349" s="108">
        <v>90.658430780858453</v>
      </c>
      <c r="L349" s="108">
        <v>98.10351290160672</v>
      </c>
      <c r="M349" s="108">
        <v>100</v>
      </c>
      <c r="N349" s="108">
        <v>102.62432368081791</v>
      </c>
      <c r="O349" s="108">
        <v>110.39027394196582</v>
      </c>
      <c r="P349" s="108">
        <v>119.40242744443398</v>
      </c>
      <c r="Q349" s="108">
        <v>109.7299989735735</v>
      </c>
      <c r="R349" s="108">
        <v>112.51349630694456</v>
      </c>
      <c r="S349" s="108">
        <v>122.27086290253439</v>
      </c>
      <c r="T349" s="108">
        <v>117.80990604114514</v>
      </c>
      <c r="U349" s="108">
        <v>117.49787311596181</v>
      </c>
      <c r="V349" s="108">
        <v>115.53370472533135</v>
      </c>
      <c r="W349" s="108">
        <v>102.13046688251445</v>
      </c>
      <c r="X349" s="108">
        <v>99.870422504861509</v>
      </c>
      <c r="Y349" s="108">
        <v>103.11514222719309</v>
      </c>
      <c r="Z349" s="108">
        <v>107.18867147263325</v>
      </c>
      <c r="AA349" s="108">
        <v>103.62937486880537</v>
      </c>
      <c r="AB349" s="108">
        <v>103.98476773189707</v>
      </c>
      <c r="AC349" s="108">
        <v>114.68018218762381</v>
      </c>
      <c r="AD349" s="108">
        <v>117.94591987587322</v>
      </c>
      <c r="AE349" s="108">
        <v>116.02638241293475</v>
      </c>
      <c r="AF349" s="108">
        <v>118.97092085428535</v>
      </c>
      <c r="AG349" s="108">
        <v>121.19510318297388</v>
      </c>
      <c r="AH349" s="108">
        <v>122.94389910403065</v>
      </c>
      <c r="AI349" s="108">
        <v>124.4995320278987</v>
      </c>
      <c r="AJ349" s="108">
        <v>126.3624882895044</v>
      </c>
      <c r="AK349" s="108">
        <v>128.25332100956842</v>
      </c>
      <c r="AL349" s="108">
        <v>0</v>
      </c>
    </row>
    <row r="350" spans="1:38" ht="13.5" x14ac:dyDescent="0.7">
      <c r="A350" s="27" t="s">
        <v>144</v>
      </c>
      <c r="B350" s="26"/>
      <c r="C350" s="27" t="s">
        <v>254</v>
      </c>
      <c r="E350" s="108">
        <v>97.78380782407487</v>
      </c>
      <c r="F350" s="108">
        <v>93.404452653787459</v>
      </c>
      <c r="G350" s="108">
        <v>92.376454917808331</v>
      </c>
      <c r="H350" s="108">
        <v>92.506537510279912</v>
      </c>
      <c r="I350" s="108">
        <v>89.321831049511928</v>
      </c>
      <c r="J350" s="108">
        <v>87.576429157055557</v>
      </c>
      <c r="K350" s="108">
        <v>90.107879293313829</v>
      </c>
      <c r="L350" s="108">
        <v>96.080419332600997</v>
      </c>
      <c r="M350" s="108">
        <v>100</v>
      </c>
      <c r="N350" s="108">
        <v>102.14931258040561</v>
      </c>
      <c r="O350" s="108">
        <v>105.48300655322171</v>
      </c>
      <c r="P350" s="108">
        <v>111.83414283276439</v>
      </c>
      <c r="Q350" s="108">
        <v>109.96922092536055</v>
      </c>
      <c r="R350" s="108">
        <v>112.14394944041945</v>
      </c>
      <c r="S350" s="108">
        <v>117.07960353371962</v>
      </c>
      <c r="T350" s="108">
        <v>119.97967226493881</v>
      </c>
      <c r="U350" s="108">
        <v>116.47375056726341</v>
      </c>
      <c r="V350" s="108">
        <v>115.91060927414894</v>
      </c>
      <c r="W350" s="108">
        <v>112.50039313205782</v>
      </c>
      <c r="X350" s="108">
        <v>106.66161473820979</v>
      </c>
      <c r="Y350" s="108">
        <v>106.75354824453063</v>
      </c>
      <c r="Z350" s="108">
        <v>108.90681027446053</v>
      </c>
      <c r="AA350" s="108">
        <v>109.44941602283265</v>
      </c>
      <c r="AB350" s="108">
        <v>105.97257530615536</v>
      </c>
      <c r="AC350" s="108">
        <v>112.93281188590261</v>
      </c>
      <c r="AD350" s="108">
        <v>124.33300535400909</v>
      </c>
      <c r="AE350" s="108">
        <v>121.48891068058009</v>
      </c>
      <c r="AF350" s="108">
        <v>123.92659597371521</v>
      </c>
      <c r="AG350" s="108">
        <v>126.47176992510427</v>
      </c>
      <c r="AH350" s="108">
        <v>128.3189769232863</v>
      </c>
      <c r="AI350" s="108">
        <v>130.08976088809149</v>
      </c>
      <c r="AJ350" s="108">
        <v>132.21642493288323</v>
      </c>
      <c r="AK350" s="108">
        <v>134.37785497254293</v>
      </c>
      <c r="AL350" s="108">
        <v>0</v>
      </c>
    </row>
    <row r="351" spans="1:38" ht="13.5" x14ac:dyDescent="0.7">
      <c r="A351" s="25" t="s">
        <v>255</v>
      </c>
      <c r="B351" s="26"/>
      <c r="C351" s="27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</row>
    <row r="352" spans="1:38" ht="13.5" x14ac:dyDescent="0.7">
      <c r="A352" s="27" t="s">
        <v>135</v>
      </c>
      <c r="B352" s="26"/>
      <c r="C352" s="27" t="s">
        <v>256</v>
      </c>
      <c r="E352" s="108">
        <v>51.019194178627806</v>
      </c>
      <c r="F352" s="108">
        <v>37.295675486647319</v>
      </c>
      <c r="G352" s="108">
        <v>45.867666628160293</v>
      </c>
      <c r="H352" s="108">
        <v>73.620515764565752</v>
      </c>
      <c r="I352" s="108">
        <v>66.356471721530482</v>
      </c>
      <c r="J352" s="108">
        <v>62.519301467370703</v>
      </c>
      <c r="K352" s="108">
        <v>77.435056793643056</v>
      </c>
      <c r="L352" s="108">
        <v>98.084593467079685</v>
      </c>
      <c r="M352" s="108">
        <v>135.57786771471561</v>
      </c>
      <c r="N352" s="108">
        <v>153.20178293209196</v>
      </c>
      <c r="O352" s="108">
        <v>168.02694598061873</v>
      </c>
      <c r="P352" s="108">
        <v>232.55689810590994</v>
      </c>
      <c r="Q352" s="108">
        <v>142.77169885458702</v>
      </c>
      <c r="R352" s="108">
        <v>178.52656275550359</v>
      </c>
      <c r="S352" s="108">
        <v>231.51176675318189</v>
      </c>
      <c r="T352" s="108">
        <v>228.12097579449059</v>
      </c>
      <c r="U352" s="108">
        <v>225.87989261997996</v>
      </c>
      <c r="V352" s="108">
        <v>212.32069526033899</v>
      </c>
      <c r="W352" s="108">
        <v>118.9821211337963</v>
      </c>
      <c r="X352" s="108">
        <v>100</v>
      </c>
      <c r="Y352" s="108">
        <v>123.30069799332352</v>
      </c>
      <c r="Z352" s="108">
        <v>156.53475720140057</v>
      </c>
      <c r="AA352" s="108">
        <v>129.28497919634125</v>
      </c>
      <c r="AB352" s="108">
        <v>91.704892652902686</v>
      </c>
      <c r="AC352" s="108">
        <v>183.08872268266387</v>
      </c>
      <c r="AD352" s="108">
        <v>299.51108413036587</v>
      </c>
      <c r="AE352" s="108">
        <v>189.5050149300188</v>
      </c>
      <c r="AF352" s="108">
        <v>173.22951585323557</v>
      </c>
      <c r="AG352" s="108">
        <v>171.38550919405347</v>
      </c>
      <c r="AH352" s="108">
        <v>164.84216096741318</v>
      </c>
      <c r="AI352" s="108">
        <v>160.30872778139656</v>
      </c>
      <c r="AJ352" s="108">
        <v>157.74269709044623</v>
      </c>
      <c r="AK352" s="108">
        <v>156.86865574336073</v>
      </c>
      <c r="AL352" s="108">
        <v>0</v>
      </c>
    </row>
    <row r="353" spans="1:38" ht="13.5" x14ac:dyDescent="0.7">
      <c r="A353" s="27" t="s">
        <v>137</v>
      </c>
      <c r="B353" s="26"/>
      <c r="C353" s="27" t="s">
        <v>257</v>
      </c>
      <c r="E353" s="32">
        <v>19.351729879017928</v>
      </c>
      <c r="F353" s="32">
        <v>13.235742442541357</v>
      </c>
      <c r="G353" s="32">
        <v>18.179252316121879</v>
      </c>
      <c r="H353" s="32">
        <v>28.471002431143734</v>
      </c>
      <c r="I353" s="32">
        <v>24.489567028985508</v>
      </c>
      <c r="J353" s="32">
        <v>25.000525066921806</v>
      </c>
      <c r="K353" s="32">
        <v>28.908934664972708</v>
      </c>
      <c r="L353" s="32">
        <v>37.806715958759433</v>
      </c>
      <c r="M353" s="32">
        <v>53.506304810527631</v>
      </c>
      <c r="N353" s="32">
        <v>64.401517804860205</v>
      </c>
      <c r="O353" s="32">
        <v>71.189201134010929</v>
      </c>
      <c r="P353" s="32">
        <v>96.76740195694002</v>
      </c>
      <c r="Q353" s="32">
        <v>61.501470695568521</v>
      </c>
      <c r="R353" s="32">
        <v>79.144482318004066</v>
      </c>
      <c r="S353" s="32">
        <v>104.06865139751552</v>
      </c>
      <c r="T353" s="32">
        <v>105.09661699029635</v>
      </c>
      <c r="U353" s="32">
        <v>104.17181542390783</v>
      </c>
      <c r="V353" s="32">
        <v>96.326127627203718</v>
      </c>
      <c r="W353" s="32">
        <v>50.911922344563642</v>
      </c>
      <c r="X353" s="32">
        <v>43.263857257879003</v>
      </c>
      <c r="Y353" s="32">
        <v>52.977644966748223</v>
      </c>
      <c r="Z353" s="32">
        <v>68.532530684693725</v>
      </c>
      <c r="AA353" s="32">
        <v>61.432334067904719</v>
      </c>
      <c r="AB353" s="32">
        <v>41.765497534872537</v>
      </c>
      <c r="AC353" s="32">
        <v>69.249978185059703</v>
      </c>
      <c r="AD353" s="32">
        <v>96.362059361733273</v>
      </c>
      <c r="AE353" s="32">
        <v>80.594907475374853</v>
      </c>
      <c r="AF353" s="32">
        <v>77.703524694416672</v>
      </c>
      <c r="AG353" s="32">
        <v>73.784611416666664</v>
      </c>
      <c r="AH353" s="32">
        <v>70.867596805666665</v>
      </c>
      <c r="AI353" s="32">
        <v>68.975636861083345</v>
      </c>
      <c r="AJ353" s="32">
        <v>67.905253722333327</v>
      </c>
      <c r="AK353" s="32">
        <v>67.398125055583336</v>
      </c>
      <c r="AL353" s="32">
        <v>0</v>
      </c>
    </row>
    <row r="354" spans="1:38" ht="13.5" x14ac:dyDescent="0.7">
      <c r="A354" s="27" t="s">
        <v>140</v>
      </c>
      <c r="B354" s="26"/>
      <c r="C354" s="27" t="s">
        <v>256</v>
      </c>
      <c r="E354" s="32">
        <v>62.174185290186244</v>
      </c>
      <c r="F354" s="32">
        <v>66.943225580757399</v>
      </c>
      <c r="G354" s="32">
        <v>58.788758256335591</v>
      </c>
      <c r="H354" s="32">
        <v>59.027974556934062</v>
      </c>
      <c r="I354" s="32">
        <v>59.601899776210267</v>
      </c>
      <c r="J354" s="32">
        <v>62.708494776321707</v>
      </c>
      <c r="K354" s="32">
        <v>68.502411364737242</v>
      </c>
      <c r="L354" s="32">
        <v>75.373825923457119</v>
      </c>
      <c r="M354" s="32">
        <v>76.309035438994783</v>
      </c>
      <c r="N354" s="32">
        <v>82.417949974646433</v>
      </c>
      <c r="O354" s="32">
        <v>93.91977558730116</v>
      </c>
      <c r="P354" s="32">
        <v>110.41566041375567</v>
      </c>
      <c r="Q354" s="32">
        <v>92.869151481188723</v>
      </c>
      <c r="R354" s="32">
        <v>105.39202087205035</v>
      </c>
      <c r="S354" s="32">
        <v>124.97139464623541</v>
      </c>
      <c r="T354" s="32">
        <v>120.87320620204956</v>
      </c>
      <c r="U354" s="32">
        <v>120.48901091684388</v>
      </c>
      <c r="V354" s="32">
        <v>118.59389437789241</v>
      </c>
      <c r="W354" s="32">
        <v>98.537891530303668</v>
      </c>
      <c r="X354" s="32">
        <v>100.00000000000001</v>
      </c>
      <c r="Y354" s="32">
        <v>103.79615781345687</v>
      </c>
      <c r="Z354" s="32">
        <v>102.50521953251798</v>
      </c>
      <c r="AA354" s="32">
        <v>99.370214742290798</v>
      </c>
      <c r="AB354" s="32">
        <v>101.09557487778936</v>
      </c>
      <c r="AC354" s="32">
        <v>128.35422614081585</v>
      </c>
      <c r="AD354" s="32">
        <v>147.40229869192726</v>
      </c>
      <c r="AE354" s="32">
        <v>137.31228819995499</v>
      </c>
      <c r="AF354" s="32">
        <v>134.59851060804826</v>
      </c>
      <c r="AG354" s="32">
        <v>133.61540316139184</v>
      </c>
      <c r="AH354" s="32">
        <v>132.90461444770318</v>
      </c>
      <c r="AI354" s="32">
        <v>132.90461444770318</v>
      </c>
      <c r="AJ354" s="32">
        <v>132.90461444770318</v>
      </c>
      <c r="AK354" s="32">
        <v>132.90461444770318</v>
      </c>
      <c r="AL354" s="32">
        <v>0</v>
      </c>
    </row>
    <row r="355" spans="1:38" ht="13.5" x14ac:dyDescent="0.7">
      <c r="A355" s="27" t="s">
        <v>142</v>
      </c>
      <c r="B355" s="26"/>
      <c r="C355" s="27" t="s">
        <v>256</v>
      </c>
      <c r="E355" s="32">
        <v>86.862244412827764</v>
      </c>
      <c r="F355" s="32">
        <v>71.344441781553058</v>
      </c>
      <c r="G355" s="32">
        <v>70.376412307907785</v>
      </c>
      <c r="H355" s="32">
        <v>72.344672187535821</v>
      </c>
      <c r="I355" s="32">
        <v>65.034155149925027</v>
      </c>
      <c r="J355" s="32">
        <v>67.013161221229083</v>
      </c>
      <c r="K355" s="32">
        <v>77.17254259965982</v>
      </c>
      <c r="L355" s="32">
        <v>83.251758185170971</v>
      </c>
      <c r="M355" s="32">
        <v>85.721608337621134</v>
      </c>
      <c r="N355" s="32">
        <v>97.793211068984434</v>
      </c>
      <c r="O355" s="32">
        <v>102.96338472865062</v>
      </c>
      <c r="P355" s="32">
        <v>109.13066657336225</v>
      </c>
      <c r="Q355" s="32">
        <v>95.102252548605136</v>
      </c>
      <c r="R355" s="32">
        <v>128.26491065205718</v>
      </c>
      <c r="S355" s="32">
        <v>161.03366584553314</v>
      </c>
      <c r="T355" s="32">
        <v>127.86582234603942</v>
      </c>
      <c r="U355" s="32">
        <v>122.25148374233777</v>
      </c>
      <c r="V355" s="32">
        <v>112.901492597131</v>
      </c>
      <c r="W355" s="32">
        <v>100.17853531824635</v>
      </c>
      <c r="X355" s="32">
        <v>100.00000000000001</v>
      </c>
      <c r="Y355" s="32">
        <v>105.38353758139085</v>
      </c>
      <c r="Z355" s="32">
        <v>107.49071019408869</v>
      </c>
      <c r="AA355" s="32">
        <v>101.66183468748265</v>
      </c>
      <c r="AB355" s="32">
        <v>98.192673325170361</v>
      </c>
      <c r="AC355" s="32">
        <v>113.38131749624391</v>
      </c>
      <c r="AD355" s="32">
        <v>119.89290127160751</v>
      </c>
      <c r="AE355" s="32">
        <v>101.41415812192911</v>
      </c>
      <c r="AF355" s="32">
        <v>106.60801575997337</v>
      </c>
      <c r="AG355" s="32">
        <v>105.68199678028273</v>
      </c>
      <c r="AH355" s="32">
        <v>105.01532054677435</v>
      </c>
      <c r="AI355" s="32">
        <v>105.01532054677435</v>
      </c>
      <c r="AJ355" s="32">
        <v>105.01532054677435</v>
      </c>
      <c r="AK355" s="32">
        <v>105.01532054677435</v>
      </c>
      <c r="AL355" s="32">
        <v>0</v>
      </c>
    </row>
    <row r="356" spans="1:38" ht="13.5" x14ac:dyDescent="0.7">
      <c r="A356" s="27" t="s">
        <v>143</v>
      </c>
      <c r="B356" s="26"/>
      <c r="C356" s="27" t="s">
        <v>256</v>
      </c>
      <c r="E356" s="32">
        <v>50.906026788650912</v>
      </c>
      <c r="F356" s="32">
        <v>41.034974522832385</v>
      </c>
      <c r="G356" s="32">
        <v>41.389527389192388</v>
      </c>
      <c r="H356" s="32">
        <v>47.932397783575787</v>
      </c>
      <c r="I356" s="32">
        <v>41.794200751115149</v>
      </c>
      <c r="J356" s="32">
        <v>41.329813261364492</v>
      </c>
      <c r="K356" s="32">
        <v>48.382931427428275</v>
      </c>
      <c r="L356" s="32">
        <v>67.230659217683552</v>
      </c>
      <c r="M356" s="32">
        <v>82.840841422498428</v>
      </c>
      <c r="N356" s="32">
        <v>130.0954771197346</v>
      </c>
      <c r="O356" s="32">
        <v>160.66499802201321</v>
      </c>
      <c r="P356" s="32">
        <v>144.28416991832543</v>
      </c>
      <c r="Q356" s="32">
        <v>121.43662953128006</v>
      </c>
      <c r="R356" s="32">
        <v>185.83764607204668</v>
      </c>
      <c r="S356" s="32">
        <v>209.3567181716119</v>
      </c>
      <c r="T356" s="32">
        <v>172.09755213870946</v>
      </c>
      <c r="U356" s="32">
        <v>165.41943505741614</v>
      </c>
      <c r="V356" s="32">
        <v>145.27295111032899</v>
      </c>
      <c r="W356" s="32">
        <v>105.60449725020818</v>
      </c>
      <c r="X356" s="32">
        <v>100.00000000000001</v>
      </c>
      <c r="Y356" s="32">
        <v>122.18869143666286</v>
      </c>
      <c r="Z356" s="32">
        <v>130.28732318059787</v>
      </c>
      <c r="AA356" s="32">
        <v>135.32033023870892</v>
      </c>
      <c r="AB356" s="32">
        <v>140.0100332583313</v>
      </c>
      <c r="AC356" s="32">
        <v>205.41254004336932</v>
      </c>
      <c r="AD356" s="32">
        <v>193.89512885526935</v>
      </c>
      <c r="AE356" s="32">
        <v>188.54756862650402</v>
      </c>
      <c r="AF356" s="32">
        <v>192.15033415306442</v>
      </c>
      <c r="AG356" s="32">
        <v>187.18218053854645</v>
      </c>
      <c r="AH356" s="32">
        <v>184.47985137154066</v>
      </c>
      <c r="AI356" s="32">
        <v>186.53966212346791</v>
      </c>
      <c r="AJ356" s="32">
        <v>188.22712022979903</v>
      </c>
      <c r="AK356" s="32">
        <v>189.2598609230543</v>
      </c>
      <c r="AL356" s="32">
        <v>0</v>
      </c>
    </row>
    <row r="357" spans="1:38" ht="13.5" x14ac:dyDescent="0.7">
      <c r="A357" s="27" t="s">
        <v>270</v>
      </c>
      <c r="B357" s="26"/>
      <c r="C357" s="27" t="s">
        <v>258</v>
      </c>
      <c r="E357" s="32">
        <v>188.92811070330637</v>
      </c>
      <c r="F357" s="32">
        <v>135.46926998243302</v>
      </c>
      <c r="G357" s="32">
        <v>103.88442438358743</v>
      </c>
      <c r="H357" s="32">
        <v>87.204109887696816</v>
      </c>
      <c r="I357" s="32">
        <v>62.284132591442379</v>
      </c>
      <c r="J357" s="32">
        <v>61.462068268084558</v>
      </c>
      <c r="K357" s="32">
        <v>64.172862052199008</v>
      </c>
      <c r="L357" s="32">
        <v>80.479524852562903</v>
      </c>
      <c r="M357" s="32">
        <v>114.85391927818557</v>
      </c>
      <c r="N357" s="32">
        <v>114.40885786435787</v>
      </c>
      <c r="O357" s="32">
        <v>123.61387754093731</v>
      </c>
      <c r="P357" s="32">
        <v>139.71246561892212</v>
      </c>
      <c r="Q357" s="32">
        <v>143.75475766202396</v>
      </c>
      <c r="R357" s="32">
        <v>196.04909199918438</v>
      </c>
      <c r="S357" s="32">
        <v>271.10805783769371</v>
      </c>
      <c r="T357" s="32">
        <v>186.44158316080055</v>
      </c>
      <c r="U357" s="32">
        <v>139.48433732511447</v>
      </c>
      <c r="V357" s="32">
        <v>200.35589636269529</v>
      </c>
      <c r="W357" s="32">
        <v>159.90368585701739</v>
      </c>
      <c r="X357" s="32">
        <v>163.83998470732166</v>
      </c>
      <c r="Y357" s="32">
        <v>150.75595340046428</v>
      </c>
      <c r="Z357" s="32">
        <v>132.71492668141036</v>
      </c>
      <c r="AA357" s="32">
        <v>130.55576145774515</v>
      </c>
      <c r="AB357" s="32">
        <v>150.83195003607503</v>
      </c>
      <c r="AC357" s="32">
        <v>204.69402922077924</v>
      </c>
      <c r="AD357" s="32">
        <v>255.46590204059228</v>
      </c>
      <c r="AE357" s="32">
        <v>205.95975240761655</v>
      </c>
      <c r="AF357" s="32">
        <v>201.76793120000002</v>
      </c>
      <c r="AG357" s="32">
        <v>203.49199293375</v>
      </c>
      <c r="AH357" s="32">
        <v>205.05431149999998</v>
      </c>
      <c r="AI357" s="32">
        <v>205.05431149999998</v>
      </c>
      <c r="AJ357" s="32">
        <v>205.05431149999998</v>
      </c>
      <c r="AK357" s="32">
        <v>205.05431149999998</v>
      </c>
      <c r="AL357" s="32">
        <v>0</v>
      </c>
    </row>
    <row r="358" spans="1:38" ht="13.5" x14ac:dyDescent="0.7">
      <c r="A358" s="27" t="s">
        <v>35</v>
      </c>
      <c r="B358" s="26"/>
      <c r="C358" s="27" t="s">
        <v>259</v>
      </c>
      <c r="E358" s="32">
        <v>237.18896738688176</v>
      </c>
      <c r="F358" s="32">
        <v>238.56254959106445</v>
      </c>
      <c r="G358" s="32">
        <v>232.35666666666668</v>
      </c>
      <c r="H358" s="32">
        <v>248.11666666666667</v>
      </c>
      <c r="I358" s="32">
        <v>198.12333333333333</v>
      </c>
      <c r="J358" s="32">
        <v>179.18750000000003</v>
      </c>
      <c r="K358" s="32">
        <v>194.32583333333329</v>
      </c>
      <c r="L358" s="32">
        <v>198.15083333333331</v>
      </c>
      <c r="M358" s="32">
        <v>216.37916666666666</v>
      </c>
      <c r="N358" s="32">
        <v>241.69999999999996</v>
      </c>
      <c r="O358" s="32">
        <v>211.9291666666667</v>
      </c>
      <c r="P358" s="32">
        <v>269.50583333333327</v>
      </c>
      <c r="Q358" s="32">
        <v>313.95666666666665</v>
      </c>
      <c r="R358" s="32">
        <v>316.73722551602987</v>
      </c>
      <c r="S358" s="32">
        <v>346.16056135893092</v>
      </c>
      <c r="T358" s="32">
        <v>348.91512448919838</v>
      </c>
      <c r="U358" s="32">
        <v>265.60125730388779</v>
      </c>
      <c r="V358" s="32">
        <v>237.85755307108354</v>
      </c>
      <c r="W358" s="32">
        <v>340.38667780078225</v>
      </c>
      <c r="X358" s="32">
        <v>287.42951828847487</v>
      </c>
      <c r="Y358" s="32">
        <v>362.2014608864726</v>
      </c>
      <c r="Z358" s="32">
        <v>298.26014594897151</v>
      </c>
      <c r="AA358" s="32">
        <v>268.27633410535037</v>
      </c>
      <c r="AB358" s="32">
        <v>253.93311836612119</v>
      </c>
      <c r="AC358" s="32">
        <v>267.20341444810111</v>
      </c>
      <c r="AD358" s="32">
        <v>277.94792036669793</v>
      </c>
      <c r="AE358" s="32">
        <v>290.21567267783348</v>
      </c>
      <c r="AF358" s="32">
        <v>317.22849359999998</v>
      </c>
      <c r="AG358" s="32">
        <v>317.22849359999998</v>
      </c>
      <c r="AH358" s="32">
        <v>317.22849359999998</v>
      </c>
      <c r="AI358" s="32">
        <v>317.22849359999998</v>
      </c>
      <c r="AJ358" s="32">
        <v>317.22849359999998</v>
      </c>
      <c r="AK358" s="32">
        <v>317.22849359999998</v>
      </c>
      <c r="AL358" s="32">
        <v>0</v>
      </c>
    </row>
    <row r="359" spans="1:38" ht="13.5" x14ac:dyDescent="0.7">
      <c r="A359" s="27" t="s">
        <v>29</v>
      </c>
      <c r="B359" s="26"/>
      <c r="C359" s="27" t="s">
        <v>260</v>
      </c>
      <c r="E359" s="32">
        <v>86.194448242701796</v>
      </c>
      <c r="F359" s="32">
        <v>75.989121187599579</v>
      </c>
      <c r="G359" s="32">
        <v>61.65533045416894</v>
      </c>
      <c r="H359" s="32">
        <v>65.571231632412761</v>
      </c>
      <c r="I359" s="32">
        <v>70.677707128061812</v>
      </c>
      <c r="J359" s="32">
        <v>66.826209680508654</v>
      </c>
      <c r="K359" s="32">
        <v>69.041137524858385</v>
      </c>
      <c r="L359" s="32">
        <v>67.98362204528226</v>
      </c>
      <c r="M359" s="32">
        <v>64.937980709311958</v>
      </c>
      <c r="N359" s="32">
        <v>68.732838936055302</v>
      </c>
      <c r="O359" s="32">
        <v>72.750383872033851</v>
      </c>
      <c r="P359" s="32">
        <v>65.068889825817209</v>
      </c>
      <c r="Q359" s="32">
        <v>40.786567711325446</v>
      </c>
      <c r="R359" s="32">
        <v>69.473906159398709</v>
      </c>
      <c r="S359" s="32">
        <v>81.47656060095035</v>
      </c>
      <c r="T359" s="32">
        <v>81.639780044740647</v>
      </c>
      <c r="U359" s="32">
        <v>96.339617147678055</v>
      </c>
      <c r="V359" s="32">
        <v>106.56916381976055</v>
      </c>
      <c r="W359" s="32">
        <v>87.886698373409885</v>
      </c>
      <c r="X359" s="32">
        <v>73.277291676710433</v>
      </c>
      <c r="Y359" s="32">
        <v>69.20390794550616</v>
      </c>
      <c r="Z359" s="32">
        <v>59.950530316429905</v>
      </c>
      <c r="AA359" s="32">
        <v>40.80702111671264</v>
      </c>
      <c r="AB359" s="32">
        <v>33.567213374489363</v>
      </c>
      <c r="AC359" s="32">
        <v>47.418791932014635</v>
      </c>
      <c r="AD359" s="32">
        <v>57.556471798398867</v>
      </c>
      <c r="AE359" s="32">
        <v>58.633973133010869</v>
      </c>
      <c r="AF359" s="32">
        <v>58.538501830000001</v>
      </c>
      <c r="AG359" s="32">
        <v>58.538501830000001</v>
      </c>
      <c r="AH359" s="32">
        <v>58.538501830000001</v>
      </c>
      <c r="AI359" s="32">
        <v>58.538501830000001</v>
      </c>
      <c r="AJ359" s="32">
        <v>58.538501830000001</v>
      </c>
      <c r="AK359" s="32">
        <v>58.538501830000001</v>
      </c>
      <c r="AL359" s="32">
        <v>0</v>
      </c>
    </row>
    <row r="360" spans="1:38" ht="13.5" x14ac:dyDescent="0.7">
      <c r="A360" s="27" t="s">
        <v>77</v>
      </c>
      <c r="B360" s="26"/>
      <c r="C360" s="27" t="s">
        <v>261</v>
      </c>
      <c r="E360" s="98">
        <v>330.99543507893884</v>
      </c>
      <c r="F360" s="98">
        <v>294.13892364501964</v>
      </c>
      <c r="G360" s="98">
        <v>278.87285144999998</v>
      </c>
      <c r="H360" s="98">
        <v>279.17055316666665</v>
      </c>
      <c r="I360" s="98">
        <v>271.05059244166671</v>
      </c>
      <c r="J360" s="98">
        <v>310.03546758333334</v>
      </c>
      <c r="K360" s="98">
        <v>363.50905736838803</v>
      </c>
      <c r="L360" s="98">
        <v>409.21152726389431</v>
      </c>
      <c r="M360" s="98">
        <v>444.88172288359783</v>
      </c>
      <c r="N360" s="98">
        <v>604.33585566725594</v>
      </c>
      <c r="O360" s="98">
        <v>696.66159326217496</v>
      </c>
      <c r="P360" s="98">
        <v>871.70709605040258</v>
      </c>
      <c r="Q360" s="98">
        <v>972.97946285138062</v>
      </c>
      <c r="R360" s="98">
        <v>1224.6641359966945</v>
      </c>
      <c r="S360" s="98">
        <v>1568.583645395466</v>
      </c>
      <c r="T360" s="98">
        <v>1668.8206960537145</v>
      </c>
      <c r="U360" s="98">
        <v>1411.0313448276765</v>
      </c>
      <c r="V360" s="98">
        <v>1266.1938086012956</v>
      </c>
      <c r="W360" s="98">
        <v>1160.114475196968</v>
      </c>
      <c r="X360" s="98">
        <v>1248.340391113516</v>
      </c>
      <c r="Y360" s="98">
        <v>1257.1272101257061</v>
      </c>
      <c r="Z360" s="98">
        <v>1269.1405271545375</v>
      </c>
      <c r="AA360" s="98">
        <v>1392.1745391152726</v>
      </c>
      <c r="AB360" s="98">
        <v>1769.5427511074295</v>
      </c>
      <c r="AC360" s="98">
        <v>1799.7706380431484</v>
      </c>
      <c r="AD360" s="98">
        <v>1801.5283570958024</v>
      </c>
      <c r="AE360" s="98">
        <v>1943.0678661224044</v>
      </c>
      <c r="AF360" s="98">
        <v>2061.0408332500001</v>
      </c>
      <c r="AG360" s="98">
        <v>2150.5625</v>
      </c>
      <c r="AH360" s="98">
        <v>2283.6</v>
      </c>
      <c r="AI360" s="98">
        <v>2325.6999999999998</v>
      </c>
      <c r="AJ360" s="98">
        <v>2325.6999999999998</v>
      </c>
      <c r="AK360" s="98">
        <v>2325.6999999999998</v>
      </c>
      <c r="AL360" s="98">
        <v>0</v>
      </c>
    </row>
    <row r="361" spans="1:38" ht="13.5" x14ac:dyDescent="0.7">
      <c r="A361" s="27" t="s">
        <v>36</v>
      </c>
      <c r="B361" s="26"/>
      <c r="C361" s="27" t="s">
        <v>262</v>
      </c>
      <c r="E361" s="98">
        <v>5640.4804572593703</v>
      </c>
      <c r="F361" s="98">
        <v>5536.2287691169722</v>
      </c>
      <c r="G361" s="98">
        <v>5391.3942611819411</v>
      </c>
      <c r="H361" s="98">
        <v>5435.9025268210053</v>
      </c>
      <c r="I361" s="98">
        <v>4489.4362446415125</v>
      </c>
      <c r="J361" s="98">
        <v>4060.9963153794679</v>
      </c>
      <c r="K361" s="98">
        <v>4889.5855445369843</v>
      </c>
      <c r="L361" s="98">
        <v>8480.9384979287825</v>
      </c>
      <c r="M361" s="98">
        <v>7385.247736291486</v>
      </c>
      <c r="N361" s="98">
        <v>8754.9030097442501</v>
      </c>
      <c r="O361" s="98">
        <v>14495.443346852533</v>
      </c>
      <c r="P361" s="98">
        <v>18466.644467930368</v>
      </c>
      <c r="Q361" s="98">
        <v>13599.284720055242</v>
      </c>
      <c r="R361" s="98">
        <v>20367.248758795871</v>
      </c>
      <c r="S361" s="98">
        <v>26051.449644281845</v>
      </c>
      <c r="T361" s="98">
        <v>21109.356206897763</v>
      </c>
      <c r="U361" s="98">
        <v>22281.583486848293</v>
      </c>
      <c r="V361" s="98">
        <v>21898.873673850303</v>
      </c>
      <c r="W361" s="98">
        <v>16066.632439186322</v>
      </c>
      <c r="X361" s="98">
        <v>17933.762085137085</v>
      </c>
      <c r="Y361" s="98">
        <v>20061.168945736656</v>
      </c>
      <c r="Z361" s="98">
        <v>20145.205894698043</v>
      </c>
      <c r="AA361" s="98">
        <v>18661.156832298137</v>
      </c>
      <c r="AB361" s="98">
        <v>17125.459462184779</v>
      </c>
      <c r="AC361" s="98">
        <v>32387.289099025973</v>
      </c>
      <c r="AD361" s="98">
        <v>31383.286675457992</v>
      </c>
      <c r="AE361" s="98">
        <v>25912.245867400718</v>
      </c>
      <c r="AF361" s="98">
        <v>26490.226709166665</v>
      </c>
      <c r="AG361" s="98">
        <v>26485.5</v>
      </c>
      <c r="AH361" s="98">
        <v>26473</v>
      </c>
      <c r="AI361" s="98">
        <v>26473</v>
      </c>
      <c r="AJ361" s="98">
        <v>26473</v>
      </c>
      <c r="AK361" s="98">
        <v>26473</v>
      </c>
      <c r="AL361" s="98">
        <v>0</v>
      </c>
    </row>
    <row r="362" spans="1:38" ht="13.5" x14ac:dyDescent="0.7">
      <c r="A362" s="40" t="s">
        <v>282</v>
      </c>
      <c r="B362" s="26"/>
      <c r="C362" s="27"/>
      <c r="E362" s="32"/>
      <c r="F362" s="41">
        <v>135.46926998243302</v>
      </c>
      <c r="G362" s="41">
        <v>103.88442438358743</v>
      </c>
      <c r="H362" s="41">
        <v>87.204109887696816</v>
      </c>
      <c r="I362" s="41">
        <v>62.284132591442379</v>
      </c>
      <c r="J362" s="41">
        <v>61.462068268084558</v>
      </c>
      <c r="K362" s="41">
        <v>64.172862052199008</v>
      </c>
      <c r="L362" s="41">
        <v>80.479524852562903</v>
      </c>
      <c r="M362" s="41">
        <v>114.85391927818557</v>
      </c>
      <c r="N362" s="41">
        <v>114.40885786435787</v>
      </c>
      <c r="O362" s="41">
        <v>123.61387754093731</v>
      </c>
      <c r="P362" s="41">
        <v>139.71246561892212</v>
      </c>
      <c r="Q362" s="41">
        <v>143.75475766202396</v>
      </c>
      <c r="R362" s="41">
        <v>196.04909199918438</v>
      </c>
      <c r="S362" s="41">
        <v>271.10805783769371</v>
      </c>
      <c r="T362" s="41">
        <v>186.44158316080055</v>
      </c>
      <c r="U362" s="41">
        <v>139.48433732511447</v>
      </c>
      <c r="V362" s="41">
        <v>200.35589636269529</v>
      </c>
      <c r="W362" s="41">
        <v>159.90368585701739</v>
      </c>
      <c r="X362" s="41">
        <v>163.83998470732166</v>
      </c>
      <c r="Y362" s="41">
        <v>150.75595340046428</v>
      </c>
      <c r="Z362" s="41">
        <v>132.71492668141036</v>
      </c>
      <c r="AA362" s="41">
        <v>130.55576145774515</v>
      </c>
      <c r="AB362" s="41">
        <v>150.83195003607503</v>
      </c>
      <c r="AC362" s="41">
        <v>204.69402922077924</v>
      </c>
      <c r="AD362" s="41">
        <v>255.46590204059228</v>
      </c>
      <c r="AE362" s="41">
        <v>216.61128708999999</v>
      </c>
      <c r="AF362" s="41">
        <v>212.78796198499998</v>
      </c>
      <c r="AG362" s="41">
        <v>214.85588720250001</v>
      </c>
      <c r="AH362" s="41">
        <v>214.85588720250001</v>
      </c>
      <c r="AI362" s="41">
        <v>214.85588720250001</v>
      </c>
      <c r="AJ362" s="41">
        <v>214.85588720250001</v>
      </c>
      <c r="AK362" s="41">
        <v>215.85588720250001</v>
      </c>
      <c r="AL362" s="41">
        <v>216.85588720250001</v>
      </c>
    </row>
    <row r="363" spans="1:38" ht="13.5" x14ac:dyDescent="0.7">
      <c r="A363" s="25" t="s">
        <v>39</v>
      </c>
      <c r="B363" s="26"/>
      <c r="C363" s="27" t="s">
        <v>263</v>
      </c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</row>
    <row r="364" spans="1:38" ht="13.5" x14ac:dyDescent="0.7">
      <c r="A364" s="27" t="s">
        <v>11</v>
      </c>
      <c r="B364" s="26"/>
      <c r="C364" s="27" t="s">
        <v>264</v>
      </c>
      <c r="E364" s="32">
        <v>1.1325908333333334</v>
      </c>
      <c r="F364" s="32">
        <v>1.1140033333333335</v>
      </c>
      <c r="G364" s="32">
        <v>1.0668346106248665</v>
      </c>
      <c r="H364" s="32">
        <v>0.92402059789625823</v>
      </c>
      <c r="I364" s="32">
        <v>0.89563563533889168</v>
      </c>
      <c r="J364" s="32">
        <v>0.94490556324111663</v>
      </c>
      <c r="K364" s="32">
        <v>1.1308771550912999</v>
      </c>
      <c r="L364" s="32">
        <v>1.2433377024123249</v>
      </c>
      <c r="M364" s="32">
        <v>1.2447779287439666</v>
      </c>
      <c r="N364" s="32">
        <v>1.2556653507492419</v>
      </c>
      <c r="O364" s="32">
        <v>1.3706395810053833</v>
      </c>
      <c r="P364" s="32">
        <v>1.4705943366362251</v>
      </c>
      <c r="Q364" s="32">
        <v>1.3932679345473418</v>
      </c>
      <c r="R364" s="32">
        <v>1.3267994282891082</v>
      </c>
      <c r="S364" s="32">
        <v>1.3917103069886416</v>
      </c>
      <c r="T364" s="32">
        <v>1.2856022599648</v>
      </c>
      <c r="U364" s="32">
        <v>1.32813739491185</v>
      </c>
      <c r="V364" s="32">
        <v>1.3288431678587085</v>
      </c>
      <c r="W364" s="32">
        <v>1.1096252266453417</v>
      </c>
      <c r="X364" s="32">
        <v>1.1065976691605584</v>
      </c>
      <c r="Y364" s="32">
        <v>1.1292825294502833</v>
      </c>
      <c r="Z364" s="32">
        <v>1.1814900408217499</v>
      </c>
      <c r="AA364" s="32">
        <v>1.119598059398325</v>
      </c>
      <c r="AB364" s="32">
        <v>1.1412818593544169</v>
      </c>
      <c r="AC364" s="32">
        <v>1.1835265952224086</v>
      </c>
      <c r="AD364" s="32">
        <v>1.0538770743806252</v>
      </c>
      <c r="AE364" s="32">
        <v>1.0883208998960316</v>
      </c>
      <c r="AF364" s="32">
        <v>1.0938825490516988</v>
      </c>
      <c r="AG364" s="32">
        <v>1.097459160149844</v>
      </c>
      <c r="AH364" s="32">
        <v>1.0993765559456079</v>
      </c>
      <c r="AI364" s="32">
        <v>1.0952514766717716</v>
      </c>
      <c r="AJ364" s="32">
        <v>1.0909245775566339</v>
      </c>
      <c r="AK364" s="32">
        <v>0</v>
      </c>
      <c r="AL364" s="32">
        <v>0</v>
      </c>
    </row>
    <row r="365" spans="1:38" ht="13.5" x14ac:dyDescent="0.7">
      <c r="A365" s="27" t="s">
        <v>40</v>
      </c>
      <c r="B365" s="26"/>
      <c r="C365" s="27" t="s">
        <v>265</v>
      </c>
      <c r="E365" s="32">
        <v>0.72678617400596845</v>
      </c>
      <c r="F365" s="32">
        <v>0.73736539531868983</v>
      </c>
      <c r="G365" s="32">
        <v>0.73142902340939997</v>
      </c>
      <c r="H365" s="32">
        <v>0.75843424653848501</v>
      </c>
      <c r="I365" s="32">
        <v>0.78557813982701796</v>
      </c>
      <c r="J365" s="32">
        <v>0.77258083183389947</v>
      </c>
      <c r="K365" s="32">
        <v>0.71415878826019885</v>
      </c>
      <c r="L365" s="32">
        <v>0.67532006880543083</v>
      </c>
      <c r="M365" s="32">
        <v>0.67724988631803573</v>
      </c>
      <c r="N365" s="32">
        <v>0.67977254509406648</v>
      </c>
      <c r="O365" s="32">
        <v>0.65345154753525347</v>
      </c>
      <c r="P365" s="32">
        <v>0.6331839078629129</v>
      </c>
      <c r="Q365" s="32">
        <v>0.64915198555482023</v>
      </c>
      <c r="R365" s="32">
        <v>0.65556366034077229</v>
      </c>
      <c r="S365" s="32">
        <v>0.63348904868052303</v>
      </c>
      <c r="T365" s="32">
        <v>0.65289773216159575</v>
      </c>
      <c r="U365" s="32">
        <v>0.65806623172956091</v>
      </c>
      <c r="V365" s="32">
        <v>0.65833272156990119</v>
      </c>
      <c r="W365" s="32">
        <v>0.71476398364791871</v>
      </c>
      <c r="X365" s="32">
        <v>0.71950348987376644</v>
      </c>
      <c r="Y365" s="32">
        <v>0.72134724287066632</v>
      </c>
      <c r="Z365" s="32">
        <v>0.7064121937249993</v>
      </c>
      <c r="AA365" s="32">
        <v>0.72377806256013322</v>
      </c>
      <c r="AB365" s="32">
        <v>0.71804460571725814</v>
      </c>
      <c r="AC365" s="32">
        <v>0.70202932649103122</v>
      </c>
      <c r="AD365" s="32">
        <v>0.74784196744479881</v>
      </c>
      <c r="AE365" s="32">
        <v>0.7496331484220784</v>
      </c>
      <c r="AF365" s="32">
        <v>0.74786119653095362</v>
      </c>
      <c r="AG365" s="32">
        <v>0.74526497371073519</v>
      </c>
      <c r="AH365" s="32">
        <v>0.74359741562272408</v>
      </c>
      <c r="AI365" s="32">
        <v>0.7423294312233143</v>
      </c>
      <c r="AJ365" s="32">
        <v>0.74047601392545326</v>
      </c>
      <c r="AK365" s="32">
        <v>0.74097044023712477</v>
      </c>
      <c r="AL365" s="32">
        <v>0</v>
      </c>
    </row>
    <row r="366" spans="1:38" ht="13.5" x14ac:dyDescent="0.7">
      <c r="A366" s="25" t="s">
        <v>317</v>
      </c>
      <c r="B366" s="26"/>
      <c r="C366" s="27"/>
      <c r="E366" s="32"/>
      <c r="F366" s="32"/>
      <c r="G366" s="32"/>
      <c r="H366" s="32"/>
      <c r="I366" s="32"/>
      <c r="J366" s="32"/>
      <c r="K366" s="39" t="s">
        <v>279</v>
      </c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</row>
    <row r="367" spans="1:38" ht="13.5" x14ac:dyDescent="0.7">
      <c r="A367" s="27" t="s">
        <v>271</v>
      </c>
      <c r="B367" s="26"/>
      <c r="C367" s="27" t="s">
        <v>266</v>
      </c>
      <c r="E367" s="109">
        <v>5.844450000000001</v>
      </c>
      <c r="F367" s="109">
        <v>5.5382750000000005</v>
      </c>
      <c r="G367" s="109">
        <v>5.529099999999997</v>
      </c>
      <c r="H367" s="109">
        <v>6.6493916666666664</v>
      </c>
      <c r="I367" s="109">
        <v>3.7277333333333331</v>
      </c>
      <c r="J367" s="109">
        <v>1.8819999999999988</v>
      </c>
      <c r="K367" s="110">
        <v>1.2300666666666658</v>
      </c>
      <c r="L367" s="110">
        <v>1.7917416666666668</v>
      </c>
      <c r="M367" s="110">
        <v>3.7651416666666666</v>
      </c>
      <c r="N367" s="110">
        <v>5.2734500000000004</v>
      </c>
      <c r="O367" s="110">
        <v>5.2515333333333345</v>
      </c>
      <c r="P367" s="110">
        <v>3.0447750000000013</v>
      </c>
      <c r="Q367" s="110">
        <v>1.1212166666666659</v>
      </c>
      <c r="R367" s="110">
        <v>0.51829999999999998</v>
      </c>
      <c r="S367" s="110">
        <v>0.5071</v>
      </c>
      <c r="T367" s="110">
        <v>0.68678333333333352</v>
      </c>
      <c r="U367" s="38">
        <v>5.8333333333333327E-2</v>
      </c>
      <c r="V367" s="38">
        <v>3.2499999999999994E-2</v>
      </c>
      <c r="W367" s="38">
        <v>5.3333333333333427E-2</v>
      </c>
      <c r="X367" s="38">
        <v>0.31916666666666677</v>
      </c>
      <c r="Y367" s="38">
        <v>0.94666666666666832</v>
      </c>
      <c r="Z367" s="38">
        <v>1.9733333333333352</v>
      </c>
      <c r="AA367" s="38">
        <v>2.1041666666666679</v>
      </c>
      <c r="AB367" s="38">
        <v>0.36999999999999983</v>
      </c>
      <c r="AC367" s="38">
        <v>4.4166666666666674E-2</v>
      </c>
      <c r="AD367" s="38">
        <v>2.0825000000000009</v>
      </c>
      <c r="AE367" s="38">
        <v>5.2938083333333346</v>
      </c>
      <c r="AF367" s="38">
        <v>5.4104166666666655</v>
      </c>
      <c r="AG367" s="38">
        <v>4.0979166666666647</v>
      </c>
      <c r="AH367" s="38">
        <v>3.0354166666666673</v>
      </c>
      <c r="AI367" s="38">
        <v>2.7749999999999999</v>
      </c>
      <c r="AJ367" s="38">
        <v>2.7749999999999999</v>
      </c>
      <c r="AK367" s="38">
        <v>0</v>
      </c>
      <c r="AL367" s="38">
        <v>0</v>
      </c>
    </row>
    <row r="368" spans="1:38" ht="13.5" x14ac:dyDescent="0.7">
      <c r="A368" s="27" t="s">
        <v>272</v>
      </c>
      <c r="B368" s="26"/>
      <c r="C368" s="27" t="s">
        <v>266</v>
      </c>
      <c r="E368" s="109"/>
      <c r="F368" s="109"/>
      <c r="G368" s="109">
        <v>2.9628982083333333</v>
      </c>
      <c r="H368" s="109">
        <v>4.4050100000000008</v>
      </c>
      <c r="I368" s="109">
        <v>4.2604924999999998</v>
      </c>
      <c r="J368" s="109">
        <v>3.3165191666666667</v>
      </c>
      <c r="K368" s="111">
        <v>2.3315675000000002</v>
      </c>
      <c r="L368" s="111">
        <v>2.1055275</v>
      </c>
      <c r="M368" s="111">
        <v>2.1844708333333331</v>
      </c>
      <c r="N368" s="111">
        <v>3.0797033333333332</v>
      </c>
      <c r="O368" s="111">
        <v>4.2777666666666665</v>
      </c>
      <c r="P368" s="111">
        <v>4.6319137500000007</v>
      </c>
      <c r="Q368" s="111">
        <v>1.2278224999999998</v>
      </c>
      <c r="R368" s="111">
        <v>0.81095833333333334</v>
      </c>
      <c r="S368" s="111">
        <v>1.3906000000000001</v>
      </c>
      <c r="T368" s="111">
        <v>0.57315833333333333</v>
      </c>
      <c r="U368" s="38">
        <v>4.3454364681487306E-2</v>
      </c>
      <c r="V368" s="38">
        <v>3.0560716236888108E-2</v>
      </c>
      <c r="W368" s="38">
        <v>-0.22710749999999999</v>
      </c>
      <c r="X368" s="38">
        <v>-0.64580727855477849</v>
      </c>
      <c r="Y368" s="38">
        <v>-0.81080730769230769</v>
      </c>
      <c r="Z368" s="38">
        <v>-0.7388754778554778</v>
      </c>
      <c r="AA368" s="38">
        <v>-0.66347125874125878</v>
      </c>
      <c r="AB368" s="38">
        <v>-0.67019108391608373</v>
      </c>
      <c r="AC368" s="38">
        <v>-0.71129334644522157</v>
      </c>
      <c r="AD368" s="38">
        <v>0.15758305288461563</v>
      </c>
      <c r="AE368" s="38">
        <v>3.0013534134049933</v>
      </c>
      <c r="AF368" s="38">
        <v>3.1736209444488139</v>
      </c>
      <c r="AG368" s="38">
        <v>2.6405137384458399</v>
      </c>
      <c r="AH368" s="38">
        <v>2.2573580980124293</v>
      </c>
      <c r="AI368" s="38">
        <v>2.2634725221385299</v>
      </c>
      <c r="AJ368" s="38">
        <v>2.1839877895685373</v>
      </c>
      <c r="AK368" s="38">
        <v>0</v>
      </c>
      <c r="AL368" s="38">
        <v>0</v>
      </c>
    </row>
    <row r="369" spans="1:38" ht="13.5" x14ac:dyDescent="0.7">
      <c r="A369" s="27" t="s">
        <v>273</v>
      </c>
      <c r="B369" s="34" t="s">
        <v>267</v>
      </c>
      <c r="C369" s="27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8">
        <v>7.2229238599941736E-2</v>
      </c>
      <c r="V369" s="38">
        <v>2.289100840032577E-2</v>
      </c>
      <c r="W369" s="38">
        <v>-1.4050501855600538E-2</v>
      </c>
      <c r="X369" s="38">
        <v>-0.24693851981351983</v>
      </c>
      <c r="Y369" s="38">
        <v>-0.19099056490384619</v>
      </c>
      <c r="Z369" s="38">
        <v>-0.18183466091200468</v>
      </c>
      <c r="AA369" s="38">
        <v>-0.17692508741258739</v>
      </c>
      <c r="AB369" s="38">
        <v>-0.13195402097902095</v>
      </c>
      <c r="AC369" s="38">
        <v>-0.11303235540501166</v>
      </c>
      <c r="AD369" s="38">
        <v>-0.13547502731643354</v>
      </c>
      <c r="AE369" s="38">
        <v>-0.15104423076923074</v>
      </c>
      <c r="AF369" s="38">
        <v>-8.0322368421052587E-2</v>
      </c>
      <c r="AG369" s="38">
        <v>9.0026515151515191E-2</v>
      </c>
      <c r="AH369" s="38">
        <v>0.16909090909090918</v>
      </c>
      <c r="AI369" s="38">
        <v>0.16909090909090918</v>
      </c>
      <c r="AJ369" s="38">
        <v>0.16909090909090918</v>
      </c>
      <c r="AK369" s="38">
        <v>0</v>
      </c>
      <c r="AL369" s="38">
        <v>0</v>
      </c>
    </row>
    <row r="373" spans="1:38" x14ac:dyDescent="0.65">
      <c r="A373" s="24" t="s">
        <v>251</v>
      </c>
      <c r="F373" s="3" t="s">
        <v>280</v>
      </c>
    </row>
    <row r="374" spans="1:38" ht="13.5" x14ac:dyDescent="0.7">
      <c r="A374" s="25" t="s">
        <v>252</v>
      </c>
      <c r="B374" s="26" t="s">
        <v>275</v>
      </c>
      <c r="C374" s="26"/>
      <c r="E374" s="29" t="s">
        <v>283</v>
      </c>
      <c r="F374" s="29" t="s">
        <v>284</v>
      </c>
      <c r="G374" s="29" t="s">
        <v>285</v>
      </c>
      <c r="H374" s="29" t="s">
        <v>286</v>
      </c>
      <c r="I374" s="29" t="s">
        <v>287</v>
      </c>
      <c r="J374" s="29" t="s">
        <v>288</v>
      </c>
      <c r="K374" s="29" t="s">
        <v>289</v>
      </c>
      <c r="L374" s="29" t="s">
        <v>290</v>
      </c>
      <c r="M374" s="29" t="s">
        <v>291</v>
      </c>
      <c r="N374" s="29" t="s">
        <v>292</v>
      </c>
      <c r="O374" s="29" t="s">
        <v>293</v>
      </c>
      <c r="P374" s="29" t="s">
        <v>294</v>
      </c>
      <c r="Q374" s="29" t="s">
        <v>295</v>
      </c>
      <c r="R374" s="29" t="s">
        <v>296</v>
      </c>
      <c r="S374" s="29" t="s">
        <v>297</v>
      </c>
      <c r="T374" s="29" t="s">
        <v>298</v>
      </c>
      <c r="U374" s="29" t="s">
        <v>299</v>
      </c>
      <c r="V374" s="29" t="s">
        <v>300</v>
      </c>
      <c r="W374" s="29" t="s">
        <v>301</v>
      </c>
      <c r="X374" s="29" t="s">
        <v>302</v>
      </c>
      <c r="Y374" s="29" t="s">
        <v>303</v>
      </c>
      <c r="Z374" s="29" t="s">
        <v>304</v>
      </c>
      <c r="AA374" s="29" t="s">
        <v>305</v>
      </c>
      <c r="AB374" s="29" t="s">
        <v>306</v>
      </c>
      <c r="AC374" s="29" t="s">
        <v>307</v>
      </c>
      <c r="AD374" s="29" t="s">
        <v>308</v>
      </c>
      <c r="AE374" s="29" t="s">
        <v>309</v>
      </c>
      <c r="AF374" s="29" t="s">
        <v>310</v>
      </c>
      <c r="AG374" s="29" t="s">
        <v>311</v>
      </c>
      <c r="AH374" s="29" t="s">
        <v>312</v>
      </c>
      <c r="AI374" s="29" t="s">
        <v>313</v>
      </c>
      <c r="AJ374" s="29" t="s">
        <v>314</v>
      </c>
      <c r="AK374" s="29" t="s">
        <v>315</v>
      </c>
      <c r="AL374" s="29" t="s">
        <v>316</v>
      </c>
    </row>
    <row r="375" spans="1:38" ht="13.5" x14ac:dyDescent="0.7">
      <c r="A375" s="27"/>
      <c r="B375" s="26"/>
      <c r="C375" s="3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</row>
    <row r="376" spans="1:38" ht="13.5" x14ac:dyDescent="0.7">
      <c r="A376" s="25" t="s">
        <v>277</v>
      </c>
      <c r="B376" s="26"/>
      <c r="C376" s="37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</row>
    <row r="377" spans="1:38" ht="13.5" x14ac:dyDescent="0.7">
      <c r="A377" s="27" t="s">
        <v>4</v>
      </c>
      <c r="B377" s="26"/>
      <c r="C377" s="27" t="s">
        <v>254</v>
      </c>
      <c r="E377" s="108">
        <v>80.646764220260337</v>
      </c>
      <c r="F377" s="108">
        <v>82.901462154154004</v>
      </c>
      <c r="G377" s="108">
        <v>85.884165595750645</v>
      </c>
      <c r="H377" s="108">
        <v>89.425001394472574</v>
      </c>
      <c r="I377" s="108">
        <v>90.798159438110261</v>
      </c>
      <c r="J377" s="108">
        <v>92.289927923345232</v>
      </c>
      <c r="K377" s="108">
        <v>94.174466873072319</v>
      </c>
      <c r="L377" s="108">
        <v>97.255691189009738</v>
      </c>
      <c r="M377" s="108">
        <v>100</v>
      </c>
      <c r="N377" s="108">
        <v>103.03503804021297</v>
      </c>
      <c r="O377" s="108">
        <v>105.86791266143713</v>
      </c>
      <c r="P377" s="108">
        <v>106.21268788386892</v>
      </c>
      <c r="Q377" s="108">
        <v>102.63783176989847</v>
      </c>
      <c r="R377" s="108">
        <v>105.89137513090503</v>
      </c>
      <c r="S377" s="108">
        <v>107.72490568473414</v>
      </c>
      <c r="T377" s="108">
        <v>109.01655337967613</v>
      </c>
      <c r="U377" s="108">
        <v>110.53334335991889</v>
      </c>
      <c r="V377" s="108">
        <v>112.75166363372529</v>
      </c>
      <c r="W377" s="108">
        <v>115.33636649815273</v>
      </c>
      <c r="X377" s="108">
        <v>117.39854200744371</v>
      </c>
      <c r="Y377" s="108">
        <v>120.31830768841965</v>
      </c>
      <c r="Z377" s="108">
        <v>123.07228864482194</v>
      </c>
      <c r="AA377" s="108">
        <v>125.21704334913655</v>
      </c>
      <c r="AB377" s="108">
        <v>119.94262390718924</v>
      </c>
      <c r="AC377" s="108">
        <v>126.46319956451954</v>
      </c>
      <c r="AD377" s="108">
        <v>129.82865920724234</v>
      </c>
      <c r="AE377" s="108">
        <v>131.46438021247477</v>
      </c>
      <c r="AF377" s="108">
        <v>133.24144705942479</v>
      </c>
      <c r="AG377" s="108">
        <v>135.67272903774358</v>
      </c>
      <c r="AH377" s="108">
        <v>138.19871945013477</v>
      </c>
      <c r="AI377" s="108">
        <v>140.66097937500263</v>
      </c>
      <c r="AJ377" s="108">
        <v>143.1300526653163</v>
      </c>
      <c r="AK377" s="108">
        <v>143.1300526653163</v>
      </c>
      <c r="AL377" s="108">
        <v>143.1300526653163</v>
      </c>
    </row>
    <row r="378" spans="1:38" ht="13.5" x14ac:dyDescent="0.7">
      <c r="A378" s="27" t="s">
        <v>175</v>
      </c>
      <c r="B378" s="26"/>
      <c r="C378" s="27" t="s">
        <v>254</v>
      </c>
      <c r="E378" s="108">
        <v>66.814814667015071</v>
      </c>
      <c r="F378" s="108">
        <v>68.342643029433077</v>
      </c>
      <c r="G378" s="108">
        <v>70.720371043172364</v>
      </c>
      <c r="H378" s="108">
        <v>74.761197321634938</v>
      </c>
      <c r="I378" s="108">
        <v>77.48592701418373</v>
      </c>
      <c r="J378" s="108">
        <v>80.930689026810569</v>
      </c>
      <c r="K378" s="108">
        <v>86.536631475281638</v>
      </c>
      <c r="L378" s="108">
        <v>93.367779967200264</v>
      </c>
      <c r="M378" s="108">
        <v>100</v>
      </c>
      <c r="N378" s="108">
        <v>107.88166168756452</v>
      </c>
      <c r="O378" s="108">
        <v>116.93652216886153</v>
      </c>
      <c r="P378" s="108">
        <v>123.65010920152706</v>
      </c>
      <c r="Q378" s="108">
        <v>127.16419994909482</v>
      </c>
      <c r="R378" s="108">
        <v>136.56176427449302</v>
      </c>
      <c r="S378" s="108">
        <v>145.33370429913302</v>
      </c>
      <c r="T378" s="108">
        <v>153.19552620355478</v>
      </c>
      <c r="U378" s="108">
        <v>160.86178091220341</v>
      </c>
      <c r="V378" s="108">
        <v>168.47600859485721</v>
      </c>
      <c r="W378" s="108">
        <v>175.80991014321305</v>
      </c>
      <c r="X378" s="108">
        <v>183.59877958274512</v>
      </c>
      <c r="Y378" s="108">
        <v>192.29768703637717</v>
      </c>
      <c r="Z378" s="108">
        <v>201.24970979925342</v>
      </c>
      <c r="AA378" s="108">
        <v>208.51887210898417</v>
      </c>
      <c r="AB378" s="108">
        <v>204.82234915071368</v>
      </c>
      <c r="AC378" s="108">
        <v>218.91839954062866</v>
      </c>
      <c r="AD378" s="108">
        <v>227.58033941177183</v>
      </c>
      <c r="AE378" s="108">
        <v>236.51926362906775</v>
      </c>
      <c r="AF378" s="108">
        <v>246.3541386467667</v>
      </c>
      <c r="AG378" s="108">
        <v>256.31541194169409</v>
      </c>
      <c r="AH378" s="108">
        <v>266.58412219136068</v>
      </c>
      <c r="AI378" s="108">
        <v>276.94188175777532</v>
      </c>
      <c r="AJ378" s="108">
        <v>287.62975361227956</v>
      </c>
      <c r="AK378" s="108">
        <v>287.62975361227956</v>
      </c>
      <c r="AL378" s="108">
        <v>287.62975361227956</v>
      </c>
    </row>
    <row r="379" spans="1:38" ht="13.5" x14ac:dyDescent="0.7">
      <c r="A379" s="25" t="s">
        <v>276</v>
      </c>
      <c r="B379" s="26"/>
      <c r="C379" s="27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</row>
    <row r="380" spans="1:38" ht="13.5" x14ac:dyDescent="0.7">
      <c r="A380" s="27" t="s">
        <v>4</v>
      </c>
      <c r="B380" s="26"/>
      <c r="C380" s="27" t="s">
        <v>254</v>
      </c>
      <c r="E380" s="108">
        <v>87.871146204181443</v>
      </c>
      <c r="F380" s="108">
        <v>89.046466440382844</v>
      </c>
      <c r="G380" s="108">
        <v>89.847153365588156</v>
      </c>
      <c r="H380" s="108">
        <v>91.326845419210812</v>
      </c>
      <c r="I380" s="108">
        <v>93.057387707271204</v>
      </c>
      <c r="J380" s="108">
        <v>94.471080810216705</v>
      </c>
      <c r="K380" s="108">
        <v>96.027690138837983</v>
      </c>
      <c r="L380" s="108">
        <v>97.94262493529493</v>
      </c>
      <c r="M380" s="108">
        <v>100</v>
      </c>
      <c r="N380" s="108">
        <v>102.13212310188662</v>
      </c>
      <c r="O380" s="108">
        <v>104.45363132170856</v>
      </c>
      <c r="P380" s="108">
        <v>106.46887361795692</v>
      </c>
      <c r="Q380" s="108">
        <v>107.20268417310346</v>
      </c>
      <c r="R380" s="108">
        <v>108.16771283105633</v>
      </c>
      <c r="S380" s="108">
        <v>109.64169436684399</v>
      </c>
      <c r="T380" s="108">
        <v>111.02132141211794</v>
      </c>
      <c r="U380" s="108">
        <v>112.47724860004359</v>
      </c>
      <c r="V380" s="108">
        <v>114.07798402161625</v>
      </c>
      <c r="W380" s="108">
        <v>115.52856827374841</v>
      </c>
      <c r="X380" s="108">
        <v>116.64465027774133</v>
      </c>
      <c r="Y380" s="108">
        <v>118.3674611582185</v>
      </c>
      <c r="Z380" s="108">
        <v>120.40842967359799</v>
      </c>
      <c r="AA380" s="108">
        <v>122.24659675695561</v>
      </c>
      <c r="AB380" s="108">
        <v>124.18600593355687</v>
      </c>
      <c r="AC380" s="108">
        <v>128.08275412253744</v>
      </c>
      <c r="AD380" s="108">
        <v>134.95762961355052</v>
      </c>
      <c r="AE380" s="108">
        <v>140.27337376756043</v>
      </c>
      <c r="AF380" s="108">
        <v>143.76220730029561</v>
      </c>
      <c r="AG380" s="108">
        <v>146.59657477884102</v>
      </c>
      <c r="AH380" s="108">
        <v>149.37407535480008</v>
      </c>
      <c r="AI380" s="108">
        <v>152.08858833898233</v>
      </c>
      <c r="AJ380" s="108">
        <v>154.89220453184706</v>
      </c>
      <c r="AK380" s="108">
        <v>154.89220453184706</v>
      </c>
      <c r="AL380" s="108">
        <v>154.89220453184706</v>
      </c>
    </row>
    <row r="381" spans="1:38" ht="13.5" x14ac:dyDescent="0.7">
      <c r="A381" s="25" t="s">
        <v>20</v>
      </c>
      <c r="B381" s="26"/>
      <c r="C381" s="27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</row>
    <row r="382" spans="1:38" ht="13.5" x14ac:dyDescent="0.7">
      <c r="A382" s="27" t="s">
        <v>21</v>
      </c>
      <c r="B382" s="26"/>
      <c r="C382" s="27" t="s">
        <v>254</v>
      </c>
      <c r="E382" s="108">
        <v>60.983141895044497</v>
      </c>
      <c r="F382" s="108">
        <v>63.965884050016257</v>
      </c>
      <c r="G382" s="108">
        <v>67.230447959167407</v>
      </c>
      <c r="H382" s="108">
        <v>75.594780088500244</v>
      </c>
      <c r="I382" s="108">
        <v>76.046154471987592</v>
      </c>
      <c r="J382" s="108">
        <v>78.911313816054275</v>
      </c>
      <c r="K382" s="108">
        <v>83.532943648602682</v>
      </c>
      <c r="L382" s="108">
        <v>92.673334393138049</v>
      </c>
      <c r="M382" s="108">
        <v>100</v>
      </c>
      <c r="N382" s="108">
        <v>109.45142667615329</v>
      </c>
      <c r="O382" s="108">
        <v>118.2259615587181</v>
      </c>
      <c r="P382" s="108">
        <v>121.79653726004101</v>
      </c>
      <c r="Q382" s="108">
        <v>109.2213472967253</v>
      </c>
      <c r="R382" s="108">
        <v>123.19792076479892</v>
      </c>
      <c r="S382" s="108">
        <v>131.84219423759578</v>
      </c>
      <c r="T382" s="108">
        <v>136.00389566805532</v>
      </c>
      <c r="U382" s="108">
        <v>140.71199421343994</v>
      </c>
      <c r="V382" s="108">
        <v>146.13399043757491</v>
      </c>
      <c r="W382" s="108">
        <v>150.42727750588304</v>
      </c>
      <c r="X382" s="108">
        <v>153.79753749844582</v>
      </c>
      <c r="Y382" s="108">
        <v>162.4653998403665</v>
      </c>
      <c r="Z382" s="108">
        <v>169.02906857969634</v>
      </c>
      <c r="AA382" s="108">
        <v>170.69400057829648</v>
      </c>
      <c r="AB382" s="108">
        <v>157.39474809097354</v>
      </c>
      <c r="AC382" s="108">
        <v>174.10602774334711</v>
      </c>
      <c r="AD382" s="108">
        <v>183.01384538150535</v>
      </c>
      <c r="AE382" s="108">
        <v>187.42978720294337</v>
      </c>
      <c r="AF382" s="108">
        <v>194.08226175225138</v>
      </c>
      <c r="AG382" s="108">
        <v>201.09006142310386</v>
      </c>
      <c r="AH382" s="108">
        <v>208.26703179236816</v>
      </c>
      <c r="AI382" s="108">
        <v>215.4971361224778</v>
      </c>
      <c r="AJ382" s="108">
        <v>222.73798822648763</v>
      </c>
      <c r="AK382" s="108">
        <v>222.73798822648763</v>
      </c>
      <c r="AL382" s="108">
        <v>222.73798822648763</v>
      </c>
    </row>
    <row r="383" spans="1:38" ht="13.5" x14ac:dyDescent="0.7">
      <c r="A383" s="25" t="s">
        <v>73</v>
      </c>
      <c r="B383" s="26"/>
      <c r="C383" s="27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</row>
    <row r="384" spans="1:38" ht="13.5" x14ac:dyDescent="0.7">
      <c r="A384" s="27" t="s">
        <v>145</v>
      </c>
      <c r="B384" s="26"/>
      <c r="C384" s="27" t="s">
        <v>254</v>
      </c>
      <c r="E384" s="108">
        <v>95.06389338125247</v>
      </c>
      <c r="F384" s="108">
        <v>91.99763602016688</v>
      </c>
      <c r="G384" s="108">
        <v>88.11731250698594</v>
      </c>
      <c r="H384" s="108">
        <v>84.365044321724397</v>
      </c>
      <c r="I384" s="108">
        <v>81.446623463997696</v>
      </c>
      <c r="J384" s="108">
        <v>82.02288650643905</v>
      </c>
      <c r="K384" s="108">
        <v>90.664940199366001</v>
      </c>
      <c r="L384" s="108">
        <v>98.120000567489086</v>
      </c>
      <c r="M384" s="108">
        <v>100</v>
      </c>
      <c r="N384" s="108">
        <v>102.67016952066328</v>
      </c>
      <c r="O384" s="108">
        <v>110.50216667791585</v>
      </c>
      <c r="P384" s="108">
        <v>119.58163725138866</v>
      </c>
      <c r="Q384" s="108">
        <v>110.00507062225337</v>
      </c>
      <c r="R384" s="108">
        <v>112.80593707901102</v>
      </c>
      <c r="S384" s="108">
        <v>122.63448026949615</v>
      </c>
      <c r="T384" s="108">
        <v>118.17153372214865</v>
      </c>
      <c r="U384" s="108">
        <v>117.91323910450866</v>
      </c>
      <c r="V384" s="108">
        <v>115.96974756442874</v>
      </c>
      <c r="W384" s="108">
        <v>102.54170418938517</v>
      </c>
      <c r="X384" s="108">
        <v>100.34015444890846</v>
      </c>
      <c r="Y384" s="108">
        <v>103.65975399706274</v>
      </c>
      <c r="Z384" s="108">
        <v>107.83237718437985</v>
      </c>
      <c r="AA384" s="108">
        <v>104.41909142072983</v>
      </c>
      <c r="AB384" s="108">
        <v>104.8642641495405</v>
      </c>
      <c r="AC384" s="108">
        <v>115.32165272749988</v>
      </c>
      <c r="AD384" s="108">
        <v>118.51432333714477</v>
      </c>
      <c r="AE384" s="108">
        <v>119.62363052091752</v>
      </c>
      <c r="AF384" s="108">
        <v>121.77854949294023</v>
      </c>
      <c r="AG384" s="108">
        <v>123.65403136422724</v>
      </c>
      <c r="AH384" s="108">
        <v>125.25606698673705</v>
      </c>
      <c r="AI384" s="108">
        <v>126.42937071009828</v>
      </c>
      <c r="AJ384" s="108">
        <v>127.36756566847535</v>
      </c>
      <c r="AK384" s="108">
        <v>127.36756566847535</v>
      </c>
      <c r="AL384" s="108">
        <v>127.36756566847535</v>
      </c>
    </row>
    <row r="385" spans="1:38" ht="13.5" x14ac:dyDescent="0.7">
      <c r="A385" s="27" t="s">
        <v>144</v>
      </c>
      <c r="B385" s="26"/>
      <c r="C385" s="27" t="s">
        <v>254</v>
      </c>
      <c r="E385" s="108">
        <v>97.656140965054732</v>
      </c>
      <c r="F385" s="108">
        <v>93.284973827133925</v>
      </c>
      <c r="G385" s="108">
        <v>92.267513767634256</v>
      </c>
      <c r="H385" s="108">
        <v>92.400071001251931</v>
      </c>
      <c r="I385" s="108">
        <v>89.194239947605041</v>
      </c>
      <c r="J385" s="108">
        <v>87.515633905162744</v>
      </c>
      <c r="K385" s="108">
        <v>90.084647390944866</v>
      </c>
      <c r="L385" s="108">
        <v>96.071869101727458</v>
      </c>
      <c r="M385" s="108">
        <v>100</v>
      </c>
      <c r="N385" s="108">
        <v>102.19281834184721</v>
      </c>
      <c r="O385" s="108">
        <v>105.53420833503428</v>
      </c>
      <c r="P385" s="108">
        <v>111.86696118012411</v>
      </c>
      <c r="Q385" s="108">
        <v>110.03540420942568</v>
      </c>
      <c r="R385" s="108">
        <v>112.2144663858744</v>
      </c>
      <c r="S385" s="108">
        <v>117.13432240958362</v>
      </c>
      <c r="T385" s="108">
        <v>120.04119021195511</v>
      </c>
      <c r="U385" s="108">
        <v>116.52432038934597</v>
      </c>
      <c r="V385" s="108">
        <v>115.957022328862</v>
      </c>
      <c r="W385" s="108">
        <v>112.51217361005099</v>
      </c>
      <c r="X385" s="108">
        <v>106.64391754256313</v>
      </c>
      <c r="Y385" s="108">
        <v>106.73567378606607</v>
      </c>
      <c r="Z385" s="108">
        <v>108.88138081606009</v>
      </c>
      <c r="AA385" s="108">
        <v>109.41137311138156</v>
      </c>
      <c r="AB385" s="108">
        <v>105.96123719891035</v>
      </c>
      <c r="AC385" s="108">
        <v>112.98243633539479</v>
      </c>
      <c r="AD385" s="108">
        <v>124.43027835320264</v>
      </c>
      <c r="AE385" s="108">
        <v>125.84870986131547</v>
      </c>
      <c r="AF385" s="108">
        <v>129.5267664450358</v>
      </c>
      <c r="AG385" s="108">
        <v>132.12844312694406</v>
      </c>
      <c r="AH385" s="108">
        <v>134.01698880797085</v>
      </c>
      <c r="AI385" s="108">
        <v>135.82428703816134</v>
      </c>
      <c r="AJ385" s="108">
        <v>138.82189095752992</v>
      </c>
      <c r="AK385" s="108">
        <v>138.82189095752992</v>
      </c>
      <c r="AL385" s="108">
        <v>138.82189095752992</v>
      </c>
    </row>
    <row r="386" spans="1:38" ht="13.5" x14ac:dyDescent="0.7">
      <c r="A386" s="25" t="s">
        <v>255</v>
      </c>
      <c r="B386" s="26"/>
      <c r="C386" s="27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</row>
    <row r="387" spans="1:38" ht="13.5" x14ac:dyDescent="0.7">
      <c r="A387" s="27" t="s">
        <v>135</v>
      </c>
      <c r="B387" s="26"/>
      <c r="C387" s="27" t="s">
        <v>256</v>
      </c>
      <c r="E387" s="108">
        <v>51.019194178627806</v>
      </c>
      <c r="F387" s="108">
        <v>37.295675486647319</v>
      </c>
      <c r="G387" s="108">
        <v>45.867666628160293</v>
      </c>
      <c r="H387" s="108">
        <v>73.620515764565752</v>
      </c>
      <c r="I387" s="108">
        <v>66.356471721530482</v>
      </c>
      <c r="J387" s="108">
        <v>62.519301467370703</v>
      </c>
      <c r="K387" s="108">
        <v>77.435056793643056</v>
      </c>
      <c r="L387" s="108">
        <v>98.084593467079685</v>
      </c>
      <c r="M387" s="108">
        <v>135.57786771471561</v>
      </c>
      <c r="N387" s="108">
        <v>153.20178293209196</v>
      </c>
      <c r="O387" s="108">
        <v>168.02694598061873</v>
      </c>
      <c r="P387" s="108">
        <v>232.55689810590994</v>
      </c>
      <c r="Q387" s="108">
        <v>142.77169885458702</v>
      </c>
      <c r="R387" s="108">
        <v>178.52656275550359</v>
      </c>
      <c r="S387" s="108">
        <v>231.51176675318189</v>
      </c>
      <c r="T387" s="108">
        <v>228.12097579449059</v>
      </c>
      <c r="U387" s="108">
        <v>225.87989261997996</v>
      </c>
      <c r="V387" s="108">
        <v>212.32069526033899</v>
      </c>
      <c r="W387" s="108">
        <v>118.9821211337963</v>
      </c>
      <c r="X387" s="108">
        <v>100</v>
      </c>
      <c r="Y387" s="108">
        <v>123.30069799332352</v>
      </c>
      <c r="Z387" s="108">
        <v>156.53475720140057</v>
      </c>
      <c r="AA387" s="108">
        <v>129.28497919634125</v>
      </c>
      <c r="AB387" s="108">
        <v>91.704892652902686</v>
      </c>
      <c r="AC387" s="108">
        <v>183.08872268266387</v>
      </c>
      <c r="AD387" s="108">
        <v>299.51108413036587</v>
      </c>
      <c r="AE387" s="108">
        <v>185.56874558258323</v>
      </c>
      <c r="AF387" s="108">
        <v>179.69925837910802</v>
      </c>
      <c r="AG387" s="108">
        <v>170.71530090424855</v>
      </c>
      <c r="AH387" s="108">
        <v>162.23168388369984</v>
      </c>
      <c r="AI387" s="108">
        <v>157.91143572468221</v>
      </c>
      <c r="AJ387" s="108">
        <v>155.22194181686697</v>
      </c>
      <c r="AK387" s="108">
        <v>155.22194181686697</v>
      </c>
      <c r="AL387" s="108">
        <v>155.22194181686697</v>
      </c>
    </row>
    <row r="388" spans="1:38" ht="13.5" x14ac:dyDescent="0.7">
      <c r="A388" s="27" t="s">
        <v>137</v>
      </c>
      <c r="B388" s="26"/>
      <c r="C388" s="27" t="s">
        <v>257</v>
      </c>
      <c r="E388" s="32">
        <v>19.351729879017928</v>
      </c>
      <c r="F388" s="32">
        <v>13.235742442541357</v>
      </c>
      <c r="G388" s="32">
        <v>18.179252316121879</v>
      </c>
      <c r="H388" s="32">
        <v>28.471002431143734</v>
      </c>
      <c r="I388" s="32">
        <v>24.489567028985508</v>
      </c>
      <c r="J388" s="32">
        <v>25.000525066921806</v>
      </c>
      <c r="K388" s="32">
        <v>28.908934664972708</v>
      </c>
      <c r="L388" s="32">
        <v>37.806715958759433</v>
      </c>
      <c r="M388" s="32">
        <v>53.506304810527631</v>
      </c>
      <c r="N388" s="32">
        <v>64.401517804860205</v>
      </c>
      <c r="O388" s="32">
        <v>71.189201134010929</v>
      </c>
      <c r="P388" s="32">
        <v>96.76740195694002</v>
      </c>
      <c r="Q388" s="32">
        <v>61.501470695568521</v>
      </c>
      <c r="R388" s="32">
        <v>79.144482318004066</v>
      </c>
      <c r="S388" s="32">
        <v>104.06865139751552</v>
      </c>
      <c r="T388" s="32">
        <v>105.09661699029635</v>
      </c>
      <c r="U388" s="32">
        <v>104.17181542390783</v>
      </c>
      <c r="V388" s="32">
        <v>96.326127627203718</v>
      </c>
      <c r="W388" s="32">
        <v>50.911922344563642</v>
      </c>
      <c r="X388" s="32">
        <v>43.263857257879003</v>
      </c>
      <c r="Y388" s="32">
        <v>52.977644966748223</v>
      </c>
      <c r="Z388" s="32">
        <v>68.532530684693725</v>
      </c>
      <c r="AA388" s="32">
        <v>61.432334067904719</v>
      </c>
      <c r="AB388" s="32">
        <v>41.765497534872537</v>
      </c>
      <c r="AC388" s="32">
        <v>69.249978185059703</v>
      </c>
      <c r="AD388" s="32">
        <v>96.362059361733273</v>
      </c>
      <c r="AE388" s="32">
        <v>73.129714209166664</v>
      </c>
      <c r="AF388" s="32">
        <v>68.90031716675</v>
      </c>
      <c r="AG388" s="32">
        <v>66.9633539445</v>
      </c>
      <c r="AH388" s="32">
        <v>65.399903611249997</v>
      </c>
      <c r="AI388" s="32">
        <v>64.028039472166654</v>
      </c>
      <c r="AJ388" s="32">
        <v>62.758648944416663</v>
      </c>
      <c r="AK388" s="32">
        <v>62.758648944416663</v>
      </c>
      <c r="AL388" s="32">
        <v>62.758648944416663</v>
      </c>
    </row>
    <row r="389" spans="1:38" ht="13.5" x14ac:dyDescent="0.7">
      <c r="A389" s="27" t="s">
        <v>140</v>
      </c>
      <c r="B389" s="26"/>
      <c r="C389" s="27" t="s">
        <v>256</v>
      </c>
      <c r="E389" s="32">
        <v>62.174185290186244</v>
      </c>
      <c r="F389" s="32">
        <v>66.943225580757399</v>
      </c>
      <c r="G389" s="32">
        <v>58.788758256335591</v>
      </c>
      <c r="H389" s="32">
        <v>59.027974556934062</v>
      </c>
      <c r="I389" s="32">
        <v>59.601899776210267</v>
      </c>
      <c r="J389" s="32">
        <v>62.708494776321707</v>
      </c>
      <c r="K389" s="32">
        <v>68.502411364737242</v>
      </c>
      <c r="L389" s="32">
        <v>75.373825923457119</v>
      </c>
      <c r="M389" s="32">
        <v>76.309035438994783</v>
      </c>
      <c r="N389" s="32">
        <v>82.417949974646433</v>
      </c>
      <c r="O389" s="32">
        <v>93.91977558730116</v>
      </c>
      <c r="P389" s="32">
        <v>110.41566041375567</v>
      </c>
      <c r="Q389" s="32">
        <v>92.869151481188723</v>
      </c>
      <c r="R389" s="32">
        <v>105.39202087205035</v>
      </c>
      <c r="S389" s="32">
        <v>124.97139464623541</v>
      </c>
      <c r="T389" s="32">
        <v>120.87320620204956</v>
      </c>
      <c r="U389" s="32">
        <v>120.48901091684388</v>
      </c>
      <c r="V389" s="32">
        <v>118.59389437789241</v>
      </c>
      <c r="W389" s="32">
        <v>98.537891530303668</v>
      </c>
      <c r="X389" s="32">
        <v>100.00000000000001</v>
      </c>
      <c r="Y389" s="32">
        <v>103.79615781345687</v>
      </c>
      <c r="Z389" s="32">
        <v>102.50521953251798</v>
      </c>
      <c r="AA389" s="32">
        <v>99.370214742290798</v>
      </c>
      <c r="AB389" s="32">
        <v>101.04050182369772</v>
      </c>
      <c r="AC389" s="32">
        <v>127.43155407370575</v>
      </c>
      <c r="AD389" s="32">
        <v>145.36162188855079</v>
      </c>
      <c r="AE389" s="32">
        <v>137.25586260758215</v>
      </c>
      <c r="AF389" s="32">
        <v>133.3638942633952</v>
      </c>
      <c r="AG389" s="32">
        <v>130.4416089095773</v>
      </c>
      <c r="AH389" s="32">
        <v>129.73356936410846</v>
      </c>
      <c r="AI389" s="32">
        <v>129.73356936410846</v>
      </c>
      <c r="AJ389" s="32">
        <v>129.73356936410846</v>
      </c>
      <c r="AK389" s="32">
        <v>129.73356936410846</v>
      </c>
      <c r="AL389" s="32">
        <v>129.73356936410846</v>
      </c>
    </row>
    <row r="390" spans="1:38" ht="13.5" x14ac:dyDescent="0.7">
      <c r="A390" s="27" t="s">
        <v>142</v>
      </c>
      <c r="B390" s="26"/>
      <c r="C390" s="27" t="s">
        <v>256</v>
      </c>
      <c r="E390" s="32">
        <v>86.862244412827764</v>
      </c>
      <c r="F390" s="32">
        <v>71.344441781553058</v>
      </c>
      <c r="G390" s="32">
        <v>70.376412307907785</v>
      </c>
      <c r="H390" s="32">
        <v>72.344672187535821</v>
      </c>
      <c r="I390" s="32">
        <v>65.034155149925027</v>
      </c>
      <c r="J390" s="32">
        <v>67.013161221229083</v>
      </c>
      <c r="K390" s="32">
        <v>77.17254259965982</v>
      </c>
      <c r="L390" s="32">
        <v>83.251758185170971</v>
      </c>
      <c r="M390" s="32">
        <v>85.721608337621134</v>
      </c>
      <c r="N390" s="32">
        <v>97.793211068984434</v>
      </c>
      <c r="O390" s="32">
        <v>102.96338472865062</v>
      </c>
      <c r="P390" s="32">
        <v>109.13066657336225</v>
      </c>
      <c r="Q390" s="32">
        <v>95.102252548605136</v>
      </c>
      <c r="R390" s="32">
        <v>128.26491065205718</v>
      </c>
      <c r="S390" s="32">
        <v>161.03366584553314</v>
      </c>
      <c r="T390" s="32">
        <v>127.86582234603942</v>
      </c>
      <c r="U390" s="32">
        <v>122.25148374233777</v>
      </c>
      <c r="V390" s="32">
        <v>112.901492597131</v>
      </c>
      <c r="W390" s="32">
        <v>100.17853531824635</v>
      </c>
      <c r="X390" s="32">
        <v>100.00000000000001</v>
      </c>
      <c r="Y390" s="32">
        <v>105.38353758139085</v>
      </c>
      <c r="Z390" s="32">
        <v>107.49071019408869</v>
      </c>
      <c r="AA390" s="32">
        <v>101.66183468748265</v>
      </c>
      <c r="AB390" s="32">
        <v>98.192673325170361</v>
      </c>
      <c r="AC390" s="32">
        <v>113.38131749624391</v>
      </c>
      <c r="AD390" s="32">
        <v>119.89290127160751</v>
      </c>
      <c r="AE390" s="32">
        <v>105.98914926527162</v>
      </c>
      <c r="AF390" s="32">
        <v>105.75318606482961</v>
      </c>
      <c r="AG390" s="32">
        <v>105.18935999449809</v>
      </c>
      <c r="AH390" s="32">
        <v>105.18935999449809</v>
      </c>
      <c r="AI390" s="32">
        <v>105.18935999449809</v>
      </c>
      <c r="AJ390" s="32">
        <v>105.18935999449809</v>
      </c>
      <c r="AK390" s="32">
        <v>105.18935999449809</v>
      </c>
      <c r="AL390" s="32">
        <v>105.18935999449809</v>
      </c>
    </row>
    <row r="391" spans="1:38" ht="13.5" x14ac:dyDescent="0.7">
      <c r="A391" s="27" t="s">
        <v>143</v>
      </c>
      <c r="B391" s="26"/>
      <c r="C391" s="27" t="s">
        <v>256</v>
      </c>
      <c r="E391" s="32">
        <v>50.906026788650912</v>
      </c>
      <c r="F391" s="32">
        <v>41.034974522832385</v>
      </c>
      <c r="G391" s="32">
        <v>41.389527389192388</v>
      </c>
      <c r="H391" s="32">
        <v>47.932397783575787</v>
      </c>
      <c r="I391" s="32">
        <v>41.794200751115149</v>
      </c>
      <c r="J391" s="32">
        <v>41.329813261364492</v>
      </c>
      <c r="K391" s="32">
        <v>48.382931427428275</v>
      </c>
      <c r="L391" s="32">
        <v>67.230659217683552</v>
      </c>
      <c r="M391" s="32">
        <v>82.840841422498428</v>
      </c>
      <c r="N391" s="32">
        <v>130.0954771197346</v>
      </c>
      <c r="O391" s="32">
        <v>160.66499802201321</v>
      </c>
      <c r="P391" s="32">
        <v>144.28416991832543</v>
      </c>
      <c r="Q391" s="32">
        <v>121.43662953128006</v>
      </c>
      <c r="R391" s="32">
        <v>185.83764607204668</v>
      </c>
      <c r="S391" s="32">
        <v>209.3567181716119</v>
      </c>
      <c r="T391" s="32">
        <v>172.09755213870946</v>
      </c>
      <c r="U391" s="32">
        <v>165.41943505741614</v>
      </c>
      <c r="V391" s="32">
        <v>145.27295111032899</v>
      </c>
      <c r="W391" s="32">
        <v>105.60449725020818</v>
      </c>
      <c r="X391" s="32">
        <v>100.00000000000001</v>
      </c>
      <c r="Y391" s="32">
        <v>122.18869143666286</v>
      </c>
      <c r="Z391" s="32">
        <v>130.28732318059787</v>
      </c>
      <c r="AA391" s="32">
        <v>135.32033023870892</v>
      </c>
      <c r="AB391" s="32">
        <v>140.0100332583313</v>
      </c>
      <c r="AC391" s="32">
        <v>205.41254004336932</v>
      </c>
      <c r="AD391" s="32">
        <v>193.89512885526935</v>
      </c>
      <c r="AE391" s="32">
        <v>200.7019197677019</v>
      </c>
      <c r="AF391" s="32">
        <v>195.43155627629909</v>
      </c>
      <c r="AG391" s="32">
        <v>192.46671213386153</v>
      </c>
      <c r="AH391" s="32">
        <v>191.56365952047685</v>
      </c>
      <c r="AI391" s="32">
        <v>192.91643742659767</v>
      </c>
      <c r="AJ391" s="32">
        <v>193.7752517529255</v>
      </c>
      <c r="AK391" s="32">
        <v>193.7752517529255</v>
      </c>
      <c r="AL391" s="32">
        <v>193.7752517529255</v>
      </c>
    </row>
    <row r="392" spans="1:38" ht="13.5" x14ac:dyDescent="0.7">
      <c r="A392" s="27" t="s">
        <v>270</v>
      </c>
      <c r="B392" s="26"/>
      <c r="C392" s="27" t="s">
        <v>258</v>
      </c>
      <c r="E392" s="32">
        <v>188.92811070330637</v>
      </c>
      <c r="F392" s="32">
        <v>135.46926998243302</v>
      </c>
      <c r="G392" s="32">
        <v>103.88442438358743</v>
      </c>
      <c r="H392" s="32">
        <v>87.204109887696816</v>
      </c>
      <c r="I392" s="32">
        <v>62.284132591442379</v>
      </c>
      <c r="J392" s="32">
        <v>61.462068268084558</v>
      </c>
      <c r="K392" s="32">
        <v>64.172862052199008</v>
      </c>
      <c r="L392" s="32">
        <v>80.479524852562903</v>
      </c>
      <c r="M392" s="32">
        <v>114.85391927818557</v>
      </c>
      <c r="N392" s="32">
        <v>114.40885786435787</v>
      </c>
      <c r="O392" s="32">
        <v>123.61387754093731</v>
      </c>
      <c r="P392" s="32">
        <v>139.71246561892212</v>
      </c>
      <c r="Q392" s="32">
        <v>143.75475766202396</v>
      </c>
      <c r="R392" s="32">
        <v>196.04909199918438</v>
      </c>
      <c r="S392" s="32">
        <v>271.10805783769371</v>
      </c>
      <c r="T392" s="32">
        <v>186.44158316080055</v>
      </c>
      <c r="U392" s="32">
        <v>139.48433732511447</v>
      </c>
      <c r="V392" s="32">
        <v>200.35589636269529</v>
      </c>
      <c r="W392" s="32">
        <v>159.90368585701739</v>
      </c>
      <c r="X392" s="32">
        <v>163.83998470732166</v>
      </c>
      <c r="Y392" s="32">
        <v>150.75595340046428</v>
      </c>
      <c r="Z392" s="32">
        <v>132.71492668141036</v>
      </c>
      <c r="AA392" s="32">
        <v>130.55576145774515</v>
      </c>
      <c r="AB392" s="32">
        <v>150.83195003607503</v>
      </c>
      <c r="AC392" s="32">
        <v>204.69402922077924</v>
      </c>
      <c r="AD392" s="32">
        <v>255.46590204059228</v>
      </c>
      <c r="AE392" s="32">
        <v>216.61128708999999</v>
      </c>
      <c r="AF392" s="32">
        <v>212.78796198499998</v>
      </c>
      <c r="AG392" s="32">
        <v>214.85588720250001</v>
      </c>
      <c r="AH392" s="32">
        <v>214.85588720250001</v>
      </c>
      <c r="AI392" s="32">
        <v>214.85588720250001</v>
      </c>
      <c r="AJ392" s="32">
        <v>214.85588720250001</v>
      </c>
      <c r="AK392" s="32">
        <v>214.85588720250001</v>
      </c>
      <c r="AL392" s="32">
        <v>214.85588720250001</v>
      </c>
    </row>
    <row r="393" spans="1:38" ht="13.5" x14ac:dyDescent="0.7">
      <c r="A393" s="27" t="s">
        <v>35</v>
      </c>
      <c r="B393" s="26"/>
      <c r="C393" s="27" t="s">
        <v>259</v>
      </c>
      <c r="E393" s="32">
        <v>237.18896738688176</v>
      </c>
      <c r="F393" s="32">
        <v>238.56254959106445</v>
      </c>
      <c r="G393" s="32">
        <v>232.35666666666668</v>
      </c>
      <c r="H393" s="32">
        <v>248.11666666666667</v>
      </c>
      <c r="I393" s="32">
        <v>198.12333333333333</v>
      </c>
      <c r="J393" s="32">
        <v>179.18750000000003</v>
      </c>
      <c r="K393" s="32">
        <v>194.32583333333329</v>
      </c>
      <c r="L393" s="32">
        <v>198.15083333333331</v>
      </c>
      <c r="M393" s="32">
        <v>216.37916666666666</v>
      </c>
      <c r="N393" s="32">
        <v>241.69999999999996</v>
      </c>
      <c r="O393" s="32">
        <v>211.9291666666667</v>
      </c>
      <c r="P393" s="32">
        <v>269.50583333333327</v>
      </c>
      <c r="Q393" s="32">
        <v>313.95666666666665</v>
      </c>
      <c r="R393" s="32">
        <v>316.73722551602987</v>
      </c>
      <c r="S393" s="32">
        <v>346.16056135893092</v>
      </c>
      <c r="T393" s="32">
        <v>348.91512448919838</v>
      </c>
      <c r="U393" s="32">
        <v>265.60125730388779</v>
      </c>
      <c r="V393" s="32">
        <v>237.85755307108354</v>
      </c>
      <c r="W393" s="32">
        <v>340.38667780078225</v>
      </c>
      <c r="X393" s="32">
        <v>287.42951828847487</v>
      </c>
      <c r="Y393" s="32">
        <v>362.2014608864726</v>
      </c>
      <c r="Z393" s="32">
        <v>298.26014594897151</v>
      </c>
      <c r="AA393" s="32">
        <v>268.27633410535037</v>
      </c>
      <c r="AB393" s="32">
        <v>253.93311836612119</v>
      </c>
      <c r="AC393" s="32">
        <v>267.20341444810111</v>
      </c>
      <c r="AD393" s="32">
        <v>277.94792036669793</v>
      </c>
      <c r="AE393" s="32">
        <v>264.61867719999998</v>
      </c>
      <c r="AF393" s="32">
        <v>264.61867719999998</v>
      </c>
      <c r="AG393" s="32">
        <v>264.61867719999998</v>
      </c>
      <c r="AH393" s="32">
        <v>264.61867719999998</v>
      </c>
      <c r="AI393" s="32">
        <v>264.61867719999998</v>
      </c>
      <c r="AJ393" s="32">
        <v>264.61867719999998</v>
      </c>
      <c r="AK393" s="32">
        <v>264.61867719999998</v>
      </c>
      <c r="AL393" s="32">
        <v>264.61867719999998</v>
      </c>
    </row>
    <row r="394" spans="1:38" ht="13.5" x14ac:dyDescent="0.7">
      <c r="A394" s="27" t="s">
        <v>29</v>
      </c>
      <c r="B394" s="26"/>
      <c r="C394" s="27" t="s">
        <v>260</v>
      </c>
      <c r="E394" s="32">
        <v>86.194448242701796</v>
      </c>
      <c r="F394" s="32">
        <v>75.989121187599579</v>
      </c>
      <c r="G394" s="32">
        <v>61.65533045416894</v>
      </c>
      <c r="H394" s="32">
        <v>65.571231632412761</v>
      </c>
      <c r="I394" s="32">
        <v>70.677707128061812</v>
      </c>
      <c r="J394" s="32">
        <v>66.826209680508654</v>
      </c>
      <c r="K394" s="32">
        <v>69.041137524858385</v>
      </c>
      <c r="L394" s="32">
        <v>67.98362204528226</v>
      </c>
      <c r="M394" s="32">
        <v>64.937980709311958</v>
      </c>
      <c r="N394" s="32">
        <v>68.732838936055302</v>
      </c>
      <c r="O394" s="32">
        <v>72.750383872033851</v>
      </c>
      <c r="P394" s="32">
        <v>65.068889825817209</v>
      </c>
      <c r="Q394" s="32">
        <v>40.786567711325446</v>
      </c>
      <c r="R394" s="32">
        <v>69.473906159398709</v>
      </c>
      <c r="S394" s="32">
        <v>81.47656060095035</v>
      </c>
      <c r="T394" s="32">
        <v>81.639780044740647</v>
      </c>
      <c r="U394" s="32">
        <v>96.339617147678055</v>
      </c>
      <c r="V394" s="32">
        <v>106.56916381976055</v>
      </c>
      <c r="W394" s="32">
        <v>87.886698373409885</v>
      </c>
      <c r="X394" s="32">
        <v>73.277291676710433</v>
      </c>
      <c r="Y394" s="32">
        <v>69.20390794550616</v>
      </c>
      <c r="Z394" s="32">
        <v>59.950530316429905</v>
      </c>
      <c r="AA394" s="32">
        <v>40.80702111671264</v>
      </c>
      <c r="AB394" s="32">
        <v>33.567213374489363</v>
      </c>
      <c r="AC394" s="32">
        <v>47.418791932014635</v>
      </c>
      <c r="AD394" s="32">
        <v>57.556471798398867</v>
      </c>
      <c r="AE394" s="32">
        <v>58.040423279999999</v>
      </c>
      <c r="AF394" s="32">
        <v>58.040423279999999</v>
      </c>
      <c r="AG394" s="32">
        <v>58.040423279999999</v>
      </c>
      <c r="AH394" s="32">
        <v>58.040423279999999</v>
      </c>
      <c r="AI394" s="32">
        <v>58.040423279999999</v>
      </c>
      <c r="AJ394" s="32">
        <v>58.040423279999999</v>
      </c>
      <c r="AK394" s="32">
        <v>58.040423279999999</v>
      </c>
      <c r="AL394" s="32">
        <v>58.040423279999999</v>
      </c>
    </row>
    <row r="395" spans="1:38" ht="13.5" x14ac:dyDescent="0.7">
      <c r="A395" s="27" t="s">
        <v>77</v>
      </c>
      <c r="B395" s="26"/>
      <c r="C395" s="27" t="s">
        <v>261</v>
      </c>
      <c r="E395" s="98">
        <v>330.99543507893884</v>
      </c>
      <c r="F395" s="98">
        <v>294.13892364501964</v>
      </c>
      <c r="G395" s="98">
        <v>278.87285144999998</v>
      </c>
      <c r="H395" s="98">
        <v>279.17055316666665</v>
      </c>
      <c r="I395" s="98">
        <v>271.05059244166671</v>
      </c>
      <c r="J395" s="98">
        <v>310.03546758333334</v>
      </c>
      <c r="K395" s="98">
        <v>363.50905736838803</v>
      </c>
      <c r="L395" s="98">
        <v>409.21152726389431</v>
      </c>
      <c r="M395" s="98">
        <v>444.88172288359783</v>
      </c>
      <c r="N395" s="98">
        <v>604.33585566725594</v>
      </c>
      <c r="O395" s="98">
        <v>696.66159326217496</v>
      </c>
      <c r="P395" s="98">
        <v>871.70709605040258</v>
      </c>
      <c r="Q395" s="98">
        <v>972.97946285138062</v>
      </c>
      <c r="R395" s="98">
        <v>1224.6641359966945</v>
      </c>
      <c r="S395" s="98">
        <v>1568.583645395466</v>
      </c>
      <c r="T395" s="98">
        <v>1668.8206960537145</v>
      </c>
      <c r="U395" s="98">
        <v>1411.0313448276765</v>
      </c>
      <c r="V395" s="98">
        <v>1266.1938086012956</v>
      </c>
      <c r="W395" s="98">
        <v>1160.114475196968</v>
      </c>
      <c r="X395" s="98">
        <v>1248.340391113516</v>
      </c>
      <c r="Y395" s="98">
        <v>1257.1272101257061</v>
      </c>
      <c r="Z395" s="98">
        <v>1269.1405271545375</v>
      </c>
      <c r="AA395" s="98">
        <v>1392.1745391152726</v>
      </c>
      <c r="AB395" s="98">
        <v>1769.5427511074295</v>
      </c>
      <c r="AC395" s="98">
        <v>1799.7706380431484</v>
      </c>
      <c r="AD395" s="98">
        <v>1801.5283570958024</v>
      </c>
      <c r="AE395" s="98">
        <v>1976.6153639166666</v>
      </c>
      <c r="AF395" s="98">
        <v>2080.5124999999998</v>
      </c>
      <c r="AG395" s="98">
        <v>2166.1999999999998</v>
      </c>
      <c r="AH395" s="98">
        <v>2205.9499999999998</v>
      </c>
      <c r="AI395" s="98">
        <v>2218.1</v>
      </c>
      <c r="AJ395" s="98">
        <v>2218.1</v>
      </c>
      <c r="AK395" s="98">
        <v>2218.1</v>
      </c>
      <c r="AL395" s="98">
        <v>2218.1</v>
      </c>
    </row>
    <row r="396" spans="1:38" ht="13.5" x14ac:dyDescent="0.7">
      <c r="A396" s="27" t="s">
        <v>36</v>
      </c>
      <c r="B396" s="26"/>
      <c r="C396" s="27" t="s">
        <v>262</v>
      </c>
      <c r="E396" s="98">
        <v>5640.4804572593703</v>
      </c>
      <c r="F396" s="98">
        <v>5536.2287691169722</v>
      </c>
      <c r="G396" s="98">
        <v>5391.3942611819411</v>
      </c>
      <c r="H396" s="98">
        <v>5435.9025268210053</v>
      </c>
      <c r="I396" s="98">
        <v>4489.4362446415125</v>
      </c>
      <c r="J396" s="98">
        <v>4060.9963153794679</v>
      </c>
      <c r="K396" s="98">
        <v>4889.5855445369843</v>
      </c>
      <c r="L396" s="98">
        <v>8480.9384979287825</v>
      </c>
      <c r="M396" s="98">
        <v>7385.247736291486</v>
      </c>
      <c r="N396" s="98">
        <v>8754.9030097442501</v>
      </c>
      <c r="O396" s="98">
        <v>14495.443346852533</v>
      </c>
      <c r="P396" s="98">
        <v>18466.644467930368</v>
      </c>
      <c r="Q396" s="98">
        <v>13599.284720055242</v>
      </c>
      <c r="R396" s="98">
        <v>20367.248758795871</v>
      </c>
      <c r="S396" s="98">
        <v>26051.449644281845</v>
      </c>
      <c r="T396" s="98">
        <v>21109.356206897763</v>
      </c>
      <c r="U396" s="98">
        <v>22281.583486848293</v>
      </c>
      <c r="V396" s="98">
        <v>21898.873673850303</v>
      </c>
      <c r="W396" s="98">
        <v>16066.632439186322</v>
      </c>
      <c r="X396" s="98">
        <v>17933.762085137085</v>
      </c>
      <c r="Y396" s="98">
        <v>20061.168945736656</v>
      </c>
      <c r="Z396" s="98">
        <v>20145.205894698043</v>
      </c>
      <c r="AA396" s="98">
        <v>18661.156832298137</v>
      </c>
      <c r="AB396" s="98">
        <v>17125.459462184779</v>
      </c>
      <c r="AC396" s="98">
        <v>32387.289099025973</v>
      </c>
      <c r="AD396" s="98">
        <v>31383.286675457992</v>
      </c>
      <c r="AE396" s="98">
        <v>23364.232913333333</v>
      </c>
      <c r="AF396" s="98">
        <v>22416.750000000004</v>
      </c>
      <c r="AG396" s="98">
        <v>22402.416666666668</v>
      </c>
      <c r="AH396" s="98">
        <v>22402.416666666668</v>
      </c>
      <c r="AI396" s="98">
        <v>22402.416666666668</v>
      </c>
      <c r="AJ396" s="98">
        <v>22402.416666666668</v>
      </c>
      <c r="AK396" s="98">
        <v>22402.416666666668</v>
      </c>
      <c r="AL396" s="98">
        <v>22402.416666666668</v>
      </c>
    </row>
    <row r="397" spans="1:38" ht="13.5" x14ac:dyDescent="0.7">
      <c r="A397" s="40" t="s">
        <v>282</v>
      </c>
      <c r="B397" s="26"/>
      <c r="C397" s="27"/>
      <c r="E397" s="32"/>
      <c r="F397" s="41">
        <v>135.46926998243302</v>
      </c>
      <c r="G397" s="41">
        <v>103.88442438358743</v>
      </c>
      <c r="H397" s="41">
        <v>87.204109887696816</v>
      </c>
      <c r="I397" s="41">
        <v>62.284132591442379</v>
      </c>
      <c r="J397" s="41">
        <v>61.462068268084558</v>
      </c>
      <c r="K397" s="41">
        <v>64.172862052199008</v>
      </c>
      <c r="L397" s="41">
        <v>80.479524852562903</v>
      </c>
      <c r="M397" s="41">
        <v>114.85391927818557</v>
      </c>
      <c r="N397" s="41">
        <v>114.40885786435787</v>
      </c>
      <c r="O397" s="41">
        <v>123.61387754093731</v>
      </c>
      <c r="P397" s="41">
        <v>139.71246561892212</v>
      </c>
      <c r="Q397" s="41">
        <v>143.75475766202396</v>
      </c>
      <c r="R397" s="41">
        <v>196.04909199918438</v>
      </c>
      <c r="S397" s="41">
        <v>271.10805783769371</v>
      </c>
      <c r="T397" s="41">
        <v>186.44158316080055</v>
      </c>
      <c r="U397" s="41">
        <v>139.48433732511447</v>
      </c>
      <c r="V397" s="41">
        <v>200.35589636269529</v>
      </c>
      <c r="W397" s="41">
        <v>159.90368585701739</v>
      </c>
      <c r="X397" s="41">
        <v>163.83998470732166</v>
      </c>
      <c r="Y397" s="41">
        <v>150.75595340046428</v>
      </c>
      <c r="Z397" s="41">
        <v>132.71492668141036</v>
      </c>
      <c r="AA397" s="41">
        <v>130.55576145774515</v>
      </c>
      <c r="AB397" s="41">
        <v>150.83195003607503</v>
      </c>
      <c r="AC397" s="41">
        <v>204.69402922077924</v>
      </c>
      <c r="AD397" s="41">
        <v>255.46590204059228</v>
      </c>
      <c r="AE397" s="41">
        <v>216.61128708999999</v>
      </c>
      <c r="AF397" s="41">
        <v>212.78796198499998</v>
      </c>
      <c r="AG397" s="41">
        <v>214.85588720250001</v>
      </c>
      <c r="AH397" s="41">
        <v>214.85588720250001</v>
      </c>
      <c r="AI397" s="41">
        <v>214.85588720250001</v>
      </c>
      <c r="AJ397" s="41">
        <v>214.85588720250001</v>
      </c>
      <c r="AK397" s="41">
        <v>215.85588720250001</v>
      </c>
      <c r="AL397" s="41">
        <v>216.85588720250001</v>
      </c>
    </row>
    <row r="398" spans="1:38" ht="13.5" x14ac:dyDescent="0.7">
      <c r="A398" s="25" t="s">
        <v>39</v>
      </c>
      <c r="B398" s="26"/>
      <c r="C398" s="27" t="s">
        <v>263</v>
      </c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</row>
    <row r="399" spans="1:38" ht="13.5" x14ac:dyDescent="0.7">
      <c r="A399" s="27" t="s">
        <v>11</v>
      </c>
      <c r="B399" s="26"/>
      <c r="C399" s="27" t="s">
        <v>264</v>
      </c>
      <c r="E399" s="32">
        <v>1.1325908333333334</v>
      </c>
      <c r="F399" s="32">
        <v>1.1140033333333335</v>
      </c>
      <c r="G399" s="32">
        <v>1.0668346106248665</v>
      </c>
      <c r="H399" s="32">
        <v>0.92402059789625823</v>
      </c>
      <c r="I399" s="32">
        <v>0.89563563533889168</v>
      </c>
      <c r="J399" s="32">
        <v>0.94490556324111663</v>
      </c>
      <c r="K399" s="32">
        <v>1.1308771550912999</v>
      </c>
      <c r="L399" s="32">
        <v>1.2433377024123249</v>
      </c>
      <c r="M399" s="32">
        <v>1.2447779287439666</v>
      </c>
      <c r="N399" s="32">
        <v>1.2556653507492419</v>
      </c>
      <c r="O399" s="32">
        <v>1.3706395810053833</v>
      </c>
      <c r="P399" s="32">
        <v>1.4705943366362251</v>
      </c>
      <c r="Q399" s="32">
        <v>1.3932679345473418</v>
      </c>
      <c r="R399" s="32">
        <v>1.3267994282891082</v>
      </c>
      <c r="S399" s="32">
        <v>1.3917103069886416</v>
      </c>
      <c r="T399" s="32">
        <v>1.2856022599648</v>
      </c>
      <c r="U399" s="32">
        <v>1.32813739491185</v>
      </c>
      <c r="V399" s="32">
        <v>1.3288431678587085</v>
      </c>
      <c r="W399" s="32">
        <v>1.1096252266453417</v>
      </c>
      <c r="X399" s="32">
        <v>1.1065976691605584</v>
      </c>
      <c r="Y399" s="32">
        <v>1.1292825294502833</v>
      </c>
      <c r="Z399" s="32">
        <v>1.1814900408217499</v>
      </c>
      <c r="AA399" s="32">
        <v>1.119598059398325</v>
      </c>
      <c r="AB399" s="32">
        <v>1.1412818593544169</v>
      </c>
      <c r="AC399" s="32">
        <v>1.1835265952224086</v>
      </c>
      <c r="AD399" s="32">
        <v>1.0538770743806252</v>
      </c>
      <c r="AE399" s="32">
        <v>1.0628344351016026</v>
      </c>
      <c r="AF399" s="32">
        <v>1.0543615592412039</v>
      </c>
      <c r="AG399" s="32">
        <v>1.0508055392041904</v>
      </c>
      <c r="AH399" s="32">
        <v>1.0467348075786385</v>
      </c>
      <c r="AI399" s="32">
        <v>1.0413012779410002</v>
      </c>
      <c r="AJ399" s="32">
        <v>1.0302843146826066</v>
      </c>
      <c r="AK399" s="32">
        <v>1.0302843146826066</v>
      </c>
      <c r="AL399" s="32">
        <v>1.0302843146826066</v>
      </c>
    </row>
    <row r="400" spans="1:38" ht="13.5" x14ac:dyDescent="0.7">
      <c r="A400" s="27" t="s">
        <v>40</v>
      </c>
      <c r="B400" s="26"/>
      <c r="C400" s="27" t="s">
        <v>265</v>
      </c>
      <c r="E400" s="32">
        <v>0.72678620956872131</v>
      </c>
      <c r="F400" s="32">
        <v>0.73731195150198081</v>
      </c>
      <c r="G400" s="32">
        <v>0.73142890165923857</v>
      </c>
      <c r="H400" s="32">
        <v>0.75842067989551365</v>
      </c>
      <c r="I400" s="32">
        <v>0.78557816512041823</v>
      </c>
      <c r="J400" s="32">
        <v>0.77257320546094466</v>
      </c>
      <c r="K400" s="32">
        <v>0.71415782791861948</v>
      </c>
      <c r="L400" s="32">
        <v>0.67532006117785226</v>
      </c>
      <c r="M400" s="32">
        <v>0.67708925577889489</v>
      </c>
      <c r="N400" s="32">
        <v>0.67977289395186791</v>
      </c>
      <c r="O400" s="32">
        <v>0.65342893577511763</v>
      </c>
      <c r="P400" s="32">
        <v>0.6331927843702253</v>
      </c>
      <c r="Q400" s="32">
        <v>0.64870383021782718</v>
      </c>
      <c r="R400" s="32">
        <v>0.6555635704879883</v>
      </c>
      <c r="S400" s="32">
        <v>0.63348906679767947</v>
      </c>
      <c r="T400" s="32">
        <v>0.65289776351420115</v>
      </c>
      <c r="U400" s="32">
        <v>0.65808930962632795</v>
      </c>
      <c r="V400" s="32">
        <v>0.65845693717097797</v>
      </c>
      <c r="W400" s="32">
        <v>0.71476395136670989</v>
      </c>
      <c r="X400" s="32">
        <v>0.71950355976937053</v>
      </c>
      <c r="Y400" s="32">
        <v>0.72134930860830915</v>
      </c>
      <c r="Z400" s="32">
        <v>0.70640720995579642</v>
      </c>
      <c r="AA400" s="32">
        <v>0.72333769049090468</v>
      </c>
      <c r="AB400" s="32">
        <v>0.71761508648491923</v>
      </c>
      <c r="AC400" s="32">
        <v>0.70186908372418799</v>
      </c>
      <c r="AD400" s="32">
        <v>0.74770668032200938</v>
      </c>
      <c r="AE400" s="32">
        <v>0.74982073871248256</v>
      </c>
      <c r="AF400" s="32">
        <v>0.75026762872802022</v>
      </c>
      <c r="AG400" s="32">
        <v>0.74724406597806781</v>
      </c>
      <c r="AH400" s="32">
        <v>0.74416193217755444</v>
      </c>
      <c r="AI400" s="32">
        <v>0.74151733395827002</v>
      </c>
      <c r="AJ400" s="32">
        <v>0.73864201761109249</v>
      </c>
      <c r="AK400" s="32">
        <v>0.73864201761109249</v>
      </c>
      <c r="AL400" s="32">
        <v>0.73864201761109249</v>
      </c>
    </row>
    <row r="401" spans="1:38" ht="13.5" x14ac:dyDescent="0.7">
      <c r="A401" s="25" t="s">
        <v>317</v>
      </c>
      <c r="B401" s="26"/>
      <c r="C401" s="27"/>
      <c r="E401" s="32"/>
      <c r="F401" s="32"/>
      <c r="G401" s="32"/>
      <c r="H401" s="32"/>
      <c r="I401" s="32"/>
      <c r="J401" s="32"/>
      <c r="K401" s="39" t="s">
        <v>279</v>
      </c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</row>
    <row r="402" spans="1:38" ht="13.5" x14ac:dyDescent="0.7">
      <c r="A402" s="27" t="s">
        <v>271</v>
      </c>
      <c r="B402" s="26"/>
      <c r="C402" s="27" t="s">
        <v>266</v>
      </c>
      <c r="E402" s="109">
        <v>5.844450000000001</v>
      </c>
      <c r="F402" s="109">
        <v>5.5382750000000005</v>
      </c>
      <c r="G402" s="109">
        <v>5.529099999999997</v>
      </c>
      <c r="H402" s="109">
        <v>6.6493916666666664</v>
      </c>
      <c r="I402" s="109">
        <v>3.7277333333333331</v>
      </c>
      <c r="J402" s="109">
        <v>1.8819999999999988</v>
      </c>
      <c r="K402" s="110">
        <v>1.2300666666666658</v>
      </c>
      <c r="L402" s="110">
        <v>1.7917416666666668</v>
      </c>
      <c r="M402" s="110">
        <v>3.7651416666666666</v>
      </c>
      <c r="N402" s="110">
        <v>5.2734500000000004</v>
      </c>
      <c r="O402" s="110">
        <v>5.2515333333333345</v>
      </c>
      <c r="P402" s="110">
        <v>3.0447750000000013</v>
      </c>
      <c r="Q402" s="110">
        <v>1.1212166666666659</v>
      </c>
      <c r="R402" s="110">
        <v>0.51829999999999998</v>
      </c>
      <c r="S402" s="110">
        <v>0.5071</v>
      </c>
      <c r="T402" s="110">
        <v>0.68678333333333352</v>
      </c>
      <c r="U402" s="38">
        <v>5.8333333333333327E-2</v>
      </c>
      <c r="V402" s="38">
        <v>3.2499999999999994E-2</v>
      </c>
      <c r="W402" s="38">
        <v>5.3333333333333427E-2</v>
      </c>
      <c r="X402" s="38">
        <v>0.31916666666666677</v>
      </c>
      <c r="Y402" s="38">
        <v>0.94666666666666832</v>
      </c>
      <c r="Z402" s="38">
        <v>1.9733333333333352</v>
      </c>
      <c r="AA402" s="38">
        <v>2.1041666666666679</v>
      </c>
      <c r="AB402" s="38">
        <v>0.36999999999999983</v>
      </c>
      <c r="AC402" s="38">
        <v>4.4166666666666674E-2</v>
      </c>
      <c r="AD402" s="38">
        <v>2.0825000000000009</v>
      </c>
      <c r="AE402" s="38">
        <v>5.1062499999999993</v>
      </c>
      <c r="AF402" s="38">
        <v>4.4583333333333348</v>
      </c>
      <c r="AG402" s="38">
        <v>3.4791666666666652</v>
      </c>
      <c r="AH402" s="38">
        <v>2.5520833333333326</v>
      </c>
      <c r="AI402" s="38">
        <v>2.375</v>
      </c>
      <c r="AJ402" s="38">
        <v>2.375</v>
      </c>
      <c r="AK402" s="38">
        <v>2.375</v>
      </c>
      <c r="AL402" s="38">
        <v>2.375</v>
      </c>
    </row>
    <row r="403" spans="1:38" ht="13.5" x14ac:dyDescent="0.7">
      <c r="A403" s="27" t="s">
        <v>272</v>
      </c>
      <c r="B403" s="26"/>
      <c r="C403" s="27" t="s">
        <v>266</v>
      </c>
      <c r="E403" s="109"/>
      <c r="F403" s="109"/>
      <c r="G403" s="109">
        <v>2.9628982083333333</v>
      </c>
      <c r="H403" s="109">
        <v>4.4050100000000008</v>
      </c>
      <c r="I403" s="109">
        <v>4.2604924999999998</v>
      </c>
      <c r="J403" s="109">
        <v>3.3165191666666667</v>
      </c>
      <c r="K403" s="111">
        <v>2.3315675000000002</v>
      </c>
      <c r="L403" s="111">
        <v>2.1055275</v>
      </c>
      <c r="M403" s="111">
        <v>2.1844708333333331</v>
      </c>
      <c r="N403" s="111">
        <v>3.0797033333333332</v>
      </c>
      <c r="O403" s="111">
        <v>4.2777666666666665</v>
      </c>
      <c r="P403" s="111">
        <v>4.6319137500000007</v>
      </c>
      <c r="Q403" s="111">
        <v>1.2278224999999998</v>
      </c>
      <c r="R403" s="111">
        <v>0.81095833333333334</v>
      </c>
      <c r="S403" s="111">
        <v>1.3906000000000001</v>
      </c>
      <c r="T403" s="111">
        <v>0.57315833333333333</v>
      </c>
      <c r="U403" s="38">
        <v>4.3454364681487306E-2</v>
      </c>
      <c r="V403" s="38">
        <v>3.0560716236888108E-2</v>
      </c>
      <c r="W403" s="38">
        <v>-0.22710749999999999</v>
      </c>
      <c r="X403" s="38">
        <v>-0.64580727855477849</v>
      </c>
      <c r="Y403" s="38">
        <v>-0.81080730769230769</v>
      </c>
      <c r="Z403" s="38">
        <v>-0.7388754778554778</v>
      </c>
      <c r="AA403" s="38">
        <v>-0.66347125874125878</v>
      </c>
      <c r="AB403" s="38">
        <v>-0.67019108391608373</v>
      </c>
      <c r="AC403" s="38">
        <v>-0.71129334644522157</v>
      </c>
      <c r="AD403" s="38">
        <v>0.15758305288461563</v>
      </c>
      <c r="AE403" s="38">
        <v>2.8064504336004252</v>
      </c>
      <c r="AF403" s="38">
        <v>3.0184689669666724</v>
      </c>
      <c r="AG403" s="38">
        <v>2.4360058570514829</v>
      </c>
      <c r="AH403" s="38">
        <v>2.0483996055038736</v>
      </c>
      <c r="AI403" s="38">
        <v>1.868199298999438</v>
      </c>
      <c r="AJ403" s="38">
        <v>1.7589344072427822</v>
      </c>
      <c r="AK403" s="38">
        <v>1.7589344072427822</v>
      </c>
      <c r="AL403" s="38">
        <v>1.7589344072427822</v>
      </c>
    </row>
    <row r="404" spans="1:38" ht="13.5" x14ac:dyDescent="0.7">
      <c r="A404" s="27" t="s">
        <v>273</v>
      </c>
      <c r="B404" s="34" t="s">
        <v>267</v>
      </c>
      <c r="C404" s="27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8">
        <v>7.2229238599941736E-2</v>
      </c>
      <c r="V404" s="38">
        <v>2.289100840032577E-2</v>
      </c>
      <c r="W404" s="38">
        <v>-1.4050501855600538E-2</v>
      </c>
      <c r="X404" s="38">
        <v>-0.24693851981351983</v>
      </c>
      <c r="Y404" s="38">
        <v>-0.19099056490384619</v>
      </c>
      <c r="Z404" s="38">
        <v>-0.18183466091200468</v>
      </c>
      <c r="AA404" s="38">
        <v>-0.17692508741258739</v>
      </c>
      <c r="AB404" s="38">
        <v>-0.13195402097902095</v>
      </c>
      <c r="AC404" s="38">
        <v>-0.11303235540501166</v>
      </c>
      <c r="AD404" s="38">
        <v>-0.13547502731643354</v>
      </c>
      <c r="AE404" s="38">
        <v>-6.0000000000000026E-2</v>
      </c>
      <c r="AF404" s="38">
        <v>-4.0000000000000036E-2</v>
      </c>
      <c r="AG404" s="38">
        <v>5.7500000000000023E-2</v>
      </c>
      <c r="AH404" s="38">
        <v>6.0000000000000053E-2</v>
      </c>
      <c r="AI404" s="38">
        <v>6.0000000000000053E-2</v>
      </c>
      <c r="AJ404" s="38">
        <v>6.0000000000000053E-2</v>
      </c>
      <c r="AK404" s="38">
        <v>6.0000000000000053E-2</v>
      </c>
      <c r="AL404" s="38">
        <v>6.0000000000000053E-2</v>
      </c>
    </row>
  </sheetData>
  <phoneticPr fontId="38" type="noConversion"/>
  <hyperlinks>
    <hyperlink ref="B4" r:id="rId1" display="\\RES\GAS\GAS Live" xr:uid="{BE422833-EA5D-4760-8D30-9BF76B5177B6}"/>
    <hyperlink ref="A4" r:id="rId2" display="\\RES\GAS\GAS Live" xr:uid="{1E61CA34-758E-4E34-9FCE-F56182DA80FC}"/>
  </hyperlinks>
  <pageMargins left="0.25" right="0" top="0.25" bottom="0" header="0.5" footer="0.5"/>
  <pageSetup scale="80" orientation="landscape" r:id="rId3"/>
  <headerFooter alignWithMargins="0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F1E1-1518-419C-8682-F5AF970C8AF9}">
  <sheetPr codeName="Sheet3">
    <pageSetUpPr autoPageBreaks="0"/>
  </sheetPr>
  <dimension ref="A1:CI371"/>
  <sheetViews>
    <sheetView topLeftCell="BA264" zoomScale="90" zoomScaleNormal="90" workbookViewId="0">
      <selection activeCell="BN283" sqref="BN283"/>
    </sheetView>
  </sheetViews>
  <sheetFormatPr defaultColWidth="9.296875" defaultRowHeight="13.25" x14ac:dyDescent="0.65"/>
  <cols>
    <col min="1" max="1" width="59.59765625" style="3" customWidth="1"/>
    <col min="2" max="2" width="17.3984375" style="3" customWidth="1"/>
    <col min="3" max="3" width="38.6484375" style="3" customWidth="1"/>
    <col min="4" max="4" width="4" style="3" customWidth="1"/>
    <col min="5" max="5" width="22.1484375" style="3" customWidth="1"/>
    <col min="6" max="34" width="9.5" style="3" bestFit="1" customWidth="1"/>
    <col min="35" max="60" width="12" style="3" bestFit="1" customWidth="1"/>
    <col min="61" max="61" width="10.796875" style="3" customWidth="1"/>
    <col min="62" max="68" width="12" style="3" bestFit="1" customWidth="1"/>
    <col min="69" max="69" width="10.34765625" style="3" customWidth="1"/>
    <col min="70" max="72" width="7.5" style="3" bestFit="1" customWidth="1"/>
    <col min="73" max="16384" width="9.296875" style="3"/>
  </cols>
  <sheetData>
    <row r="1" spans="1:72" x14ac:dyDescent="0.65">
      <c r="A1" s="18" t="s">
        <v>174</v>
      </c>
      <c r="B1" s="1"/>
      <c r="E1" s="1"/>
    </row>
    <row r="2" spans="1:72" x14ac:dyDescent="0.65">
      <c r="A2" s="116" t="s">
        <v>850</v>
      </c>
      <c r="B2" s="1"/>
      <c r="E2" s="1">
        <v>2012</v>
      </c>
      <c r="F2" s="3">
        <f>E2</f>
        <v>2012</v>
      </c>
      <c r="G2" s="3">
        <f>E2</f>
        <v>2012</v>
      </c>
      <c r="H2" s="3">
        <f>E2</f>
        <v>2012</v>
      </c>
      <c r="I2" s="3">
        <f t="shared" ref="I2:BT2" si="0">E2+1</f>
        <v>2013</v>
      </c>
      <c r="J2" s="3">
        <f t="shared" si="0"/>
        <v>2013</v>
      </c>
      <c r="K2" s="3">
        <f t="shared" si="0"/>
        <v>2013</v>
      </c>
      <c r="L2" s="3">
        <f t="shared" si="0"/>
        <v>2013</v>
      </c>
      <c r="M2" s="3">
        <f>I2+1</f>
        <v>2014</v>
      </c>
      <c r="N2" s="3">
        <f>J2+1</f>
        <v>2014</v>
      </c>
      <c r="O2" s="3">
        <f>K2+1</f>
        <v>2014</v>
      </c>
      <c r="P2" s="3">
        <f>L2+1</f>
        <v>2014</v>
      </c>
      <c r="Q2" s="3">
        <f t="shared" si="0"/>
        <v>2015</v>
      </c>
      <c r="R2" s="3">
        <f t="shared" si="0"/>
        <v>2015</v>
      </c>
      <c r="S2" s="3">
        <f t="shared" si="0"/>
        <v>2015</v>
      </c>
      <c r="T2" s="3">
        <f t="shared" si="0"/>
        <v>2015</v>
      </c>
      <c r="U2" s="3">
        <f t="shared" si="0"/>
        <v>2016</v>
      </c>
      <c r="V2" s="3">
        <f t="shared" si="0"/>
        <v>2016</v>
      </c>
      <c r="W2" s="3">
        <f t="shared" si="0"/>
        <v>2016</v>
      </c>
      <c r="X2" s="3">
        <f t="shared" si="0"/>
        <v>2016</v>
      </c>
      <c r="Y2" s="3">
        <f t="shared" si="0"/>
        <v>2017</v>
      </c>
      <c r="Z2" s="3">
        <f t="shared" si="0"/>
        <v>2017</v>
      </c>
      <c r="AA2" s="3">
        <f t="shared" si="0"/>
        <v>2017</v>
      </c>
      <c r="AB2" s="3">
        <f t="shared" si="0"/>
        <v>2017</v>
      </c>
      <c r="AC2" s="3">
        <f t="shared" si="0"/>
        <v>2018</v>
      </c>
      <c r="AD2" s="3">
        <f t="shared" si="0"/>
        <v>2018</v>
      </c>
      <c r="AE2" s="3">
        <f t="shared" si="0"/>
        <v>2018</v>
      </c>
      <c r="AF2" s="3">
        <f t="shared" si="0"/>
        <v>2018</v>
      </c>
      <c r="AG2" s="3">
        <f t="shared" si="0"/>
        <v>2019</v>
      </c>
      <c r="AH2" s="3">
        <f t="shared" si="0"/>
        <v>2019</v>
      </c>
      <c r="AI2" s="3">
        <f t="shared" si="0"/>
        <v>2019</v>
      </c>
      <c r="AJ2" s="3">
        <f t="shared" si="0"/>
        <v>2019</v>
      </c>
      <c r="AK2" s="3">
        <f t="shared" si="0"/>
        <v>2020</v>
      </c>
      <c r="AL2" s="3">
        <f t="shared" si="0"/>
        <v>2020</v>
      </c>
      <c r="AM2" s="3">
        <f t="shared" si="0"/>
        <v>2020</v>
      </c>
      <c r="AN2" s="3">
        <f t="shared" si="0"/>
        <v>2020</v>
      </c>
      <c r="AO2" s="3">
        <f t="shared" si="0"/>
        <v>2021</v>
      </c>
      <c r="AP2" s="3">
        <f t="shared" si="0"/>
        <v>2021</v>
      </c>
      <c r="AQ2" s="3">
        <f t="shared" si="0"/>
        <v>2021</v>
      </c>
      <c r="AR2" s="3">
        <f t="shared" si="0"/>
        <v>2021</v>
      </c>
      <c r="AS2" s="3">
        <f t="shared" si="0"/>
        <v>2022</v>
      </c>
      <c r="AT2" s="3">
        <f t="shared" si="0"/>
        <v>2022</v>
      </c>
      <c r="AU2" s="3">
        <f t="shared" si="0"/>
        <v>2022</v>
      </c>
      <c r="AV2" s="3">
        <f t="shared" si="0"/>
        <v>2022</v>
      </c>
      <c r="AW2" s="3">
        <f t="shared" si="0"/>
        <v>2023</v>
      </c>
      <c r="AX2" s="3">
        <f t="shared" si="0"/>
        <v>2023</v>
      </c>
      <c r="AY2" s="3">
        <f t="shared" si="0"/>
        <v>2023</v>
      </c>
      <c r="AZ2" s="3">
        <f t="shared" si="0"/>
        <v>2023</v>
      </c>
      <c r="BA2" s="3">
        <f t="shared" si="0"/>
        <v>2024</v>
      </c>
      <c r="BB2" s="3">
        <f t="shared" si="0"/>
        <v>2024</v>
      </c>
      <c r="BC2" s="3">
        <f t="shared" si="0"/>
        <v>2024</v>
      </c>
      <c r="BD2" s="3">
        <f t="shared" si="0"/>
        <v>2024</v>
      </c>
      <c r="BE2" s="3">
        <f t="shared" si="0"/>
        <v>2025</v>
      </c>
      <c r="BF2" s="3">
        <f t="shared" si="0"/>
        <v>2025</v>
      </c>
      <c r="BG2" s="3">
        <f t="shared" si="0"/>
        <v>2025</v>
      </c>
      <c r="BH2" s="3">
        <f t="shared" si="0"/>
        <v>2025</v>
      </c>
      <c r="BI2" s="3">
        <f t="shared" si="0"/>
        <v>2026</v>
      </c>
      <c r="BJ2" s="3">
        <f t="shared" si="0"/>
        <v>2026</v>
      </c>
      <c r="BK2" s="3">
        <f t="shared" si="0"/>
        <v>2026</v>
      </c>
      <c r="BL2" s="3">
        <f t="shared" si="0"/>
        <v>2026</v>
      </c>
      <c r="BM2" s="3">
        <f t="shared" si="0"/>
        <v>2027</v>
      </c>
      <c r="BN2" s="3">
        <f t="shared" si="0"/>
        <v>2027</v>
      </c>
      <c r="BO2" s="3">
        <f t="shared" si="0"/>
        <v>2027</v>
      </c>
      <c r="BP2" s="3">
        <f t="shared" si="0"/>
        <v>2027</v>
      </c>
      <c r="BQ2" s="3">
        <f t="shared" si="0"/>
        <v>2028</v>
      </c>
      <c r="BR2" s="3">
        <f t="shared" si="0"/>
        <v>2028</v>
      </c>
      <c r="BS2" s="3">
        <f t="shared" si="0"/>
        <v>2028</v>
      </c>
      <c r="BT2" s="3">
        <f t="shared" si="0"/>
        <v>2028</v>
      </c>
    </row>
    <row r="3" spans="1:72" hidden="1" x14ac:dyDescent="0.65">
      <c r="A3" s="117"/>
      <c r="E3" s="12" t="s">
        <v>94</v>
      </c>
      <c r="F3" s="16" t="s">
        <v>95</v>
      </c>
      <c r="G3" s="16" t="s">
        <v>96</v>
      </c>
      <c r="H3" s="16" t="s">
        <v>97</v>
      </c>
      <c r="I3" s="16" t="str">
        <f t="shared" ref="I3:BP3" si="1">E3</f>
        <v>Q1</v>
      </c>
      <c r="J3" s="16" t="str">
        <f t="shared" si="1"/>
        <v>Q2</v>
      </c>
      <c r="K3" s="16" t="str">
        <f t="shared" si="1"/>
        <v>Q3</v>
      </c>
      <c r="L3" s="16" t="str">
        <f t="shared" si="1"/>
        <v>Q4</v>
      </c>
      <c r="M3" s="16" t="str">
        <f t="shared" si="1"/>
        <v>Q1</v>
      </c>
      <c r="N3" s="16" t="str">
        <f t="shared" si="1"/>
        <v>Q2</v>
      </c>
      <c r="O3" s="16" t="str">
        <f t="shared" si="1"/>
        <v>Q3</v>
      </c>
      <c r="P3" s="16" t="str">
        <f t="shared" si="1"/>
        <v>Q4</v>
      </c>
      <c r="Q3" s="16" t="str">
        <f t="shared" si="1"/>
        <v>Q1</v>
      </c>
      <c r="R3" s="16" t="str">
        <f t="shared" si="1"/>
        <v>Q2</v>
      </c>
      <c r="S3" s="16" t="str">
        <f t="shared" si="1"/>
        <v>Q3</v>
      </c>
      <c r="T3" s="16" t="str">
        <f t="shared" si="1"/>
        <v>Q4</v>
      </c>
      <c r="U3" s="16" t="str">
        <f t="shared" si="1"/>
        <v>Q1</v>
      </c>
      <c r="V3" s="16" t="str">
        <f t="shared" si="1"/>
        <v>Q2</v>
      </c>
      <c r="W3" s="16" t="str">
        <f t="shared" si="1"/>
        <v>Q3</v>
      </c>
      <c r="X3" s="16" t="str">
        <f t="shared" si="1"/>
        <v>Q4</v>
      </c>
      <c r="Y3" s="16" t="str">
        <f t="shared" si="1"/>
        <v>Q1</v>
      </c>
      <c r="Z3" s="16" t="str">
        <f t="shared" si="1"/>
        <v>Q2</v>
      </c>
      <c r="AA3" s="16" t="str">
        <f t="shared" si="1"/>
        <v>Q3</v>
      </c>
      <c r="AB3" s="16" t="str">
        <f t="shared" si="1"/>
        <v>Q4</v>
      </c>
      <c r="AC3" s="16" t="str">
        <f t="shared" si="1"/>
        <v>Q1</v>
      </c>
      <c r="AD3" s="16" t="str">
        <f t="shared" si="1"/>
        <v>Q2</v>
      </c>
      <c r="AE3" s="16" t="str">
        <f t="shared" si="1"/>
        <v>Q3</v>
      </c>
      <c r="AF3" s="16" t="str">
        <f t="shared" si="1"/>
        <v>Q4</v>
      </c>
      <c r="AG3" s="16" t="str">
        <f t="shared" si="1"/>
        <v>Q1</v>
      </c>
      <c r="AH3" s="16" t="str">
        <f t="shared" si="1"/>
        <v>Q2</v>
      </c>
      <c r="AI3" s="16" t="str">
        <f t="shared" si="1"/>
        <v>Q3</v>
      </c>
      <c r="AJ3" s="16" t="str">
        <f t="shared" si="1"/>
        <v>Q4</v>
      </c>
      <c r="AK3" s="16" t="str">
        <f t="shared" si="1"/>
        <v>Q1</v>
      </c>
      <c r="AL3" s="16" t="str">
        <f t="shared" si="1"/>
        <v>Q2</v>
      </c>
      <c r="AM3" s="16" t="str">
        <f t="shared" si="1"/>
        <v>Q3</v>
      </c>
      <c r="AN3" s="16" t="str">
        <f t="shared" si="1"/>
        <v>Q4</v>
      </c>
      <c r="AO3" s="16" t="str">
        <f t="shared" si="1"/>
        <v>Q1</v>
      </c>
      <c r="AP3" s="16" t="str">
        <f t="shared" si="1"/>
        <v>Q2</v>
      </c>
      <c r="AQ3" s="16" t="str">
        <f t="shared" si="1"/>
        <v>Q3</v>
      </c>
      <c r="AR3" s="16" t="str">
        <f t="shared" si="1"/>
        <v>Q4</v>
      </c>
      <c r="AS3" s="16" t="str">
        <f t="shared" si="1"/>
        <v>Q1</v>
      </c>
      <c r="AT3" s="16" t="str">
        <f t="shared" si="1"/>
        <v>Q2</v>
      </c>
      <c r="AU3" s="16" t="str">
        <f t="shared" si="1"/>
        <v>Q3</v>
      </c>
      <c r="AV3" s="16" t="str">
        <f t="shared" si="1"/>
        <v>Q4</v>
      </c>
      <c r="AW3" s="16" t="str">
        <f t="shared" si="1"/>
        <v>Q1</v>
      </c>
      <c r="AX3" s="16" t="str">
        <f t="shared" si="1"/>
        <v>Q2</v>
      </c>
      <c r="AY3" s="16" t="str">
        <f t="shared" si="1"/>
        <v>Q3</v>
      </c>
      <c r="AZ3" s="16" t="str">
        <f t="shared" si="1"/>
        <v>Q4</v>
      </c>
      <c r="BA3" s="16" t="str">
        <f t="shared" si="1"/>
        <v>Q1</v>
      </c>
      <c r="BB3" s="16" t="str">
        <f t="shared" si="1"/>
        <v>Q2</v>
      </c>
      <c r="BC3" s="16" t="str">
        <f t="shared" si="1"/>
        <v>Q3</v>
      </c>
      <c r="BD3" s="16" t="str">
        <f t="shared" si="1"/>
        <v>Q4</v>
      </c>
      <c r="BE3" s="16" t="str">
        <f t="shared" si="1"/>
        <v>Q1</v>
      </c>
      <c r="BF3" s="16" t="str">
        <f t="shared" si="1"/>
        <v>Q2</v>
      </c>
      <c r="BG3" s="16" t="str">
        <f t="shared" si="1"/>
        <v>Q3</v>
      </c>
      <c r="BH3" s="16" t="str">
        <f t="shared" si="1"/>
        <v>Q4</v>
      </c>
      <c r="BI3" s="16" t="str">
        <f t="shared" si="1"/>
        <v>Q1</v>
      </c>
      <c r="BJ3" s="16" t="str">
        <f t="shared" si="1"/>
        <v>Q2</v>
      </c>
      <c r="BK3" s="16" t="str">
        <f t="shared" si="1"/>
        <v>Q3</v>
      </c>
      <c r="BL3" s="16" t="str">
        <f t="shared" si="1"/>
        <v>Q4</v>
      </c>
      <c r="BM3" s="16" t="str">
        <f t="shared" si="1"/>
        <v>Q1</v>
      </c>
      <c r="BN3" s="16" t="str">
        <f t="shared" si="1"/>
        <v>Q2</v>
      </c>
      <c r="BO3" s="16" t="str">
        <f t="shared" si="1"/>
        <v>Q3</v>
      </c>
      <c r="BP3" s="16" t="str">
        <f t="shared" si="1"/>
        <v>Q4</v>
      </c>
      <c r="BQ3" s="16" t="str">
        <f>BM3</f>
        <v>Q1</v>
      </c>
      <c r="BR3" s="16" t="str">
        <f>BN3</f>
        <v>Q2</v>
      </c>
      <c r="BS3" s="16" t="str">
        <f>BO3</f>
        <v>Q3</v>
      </c>
      <c r="BT3" s="16" t="str">
        <f>BP3</f>
        <v>Q4</v>
      </c>
    </row>
    <row r="4" spans="1:72" x14ac:dyDescent="0.65">
      <c r="A4" s="116" t="s">
        <v>634</v>
      </c>
      <c r="B4" s="80" t="s">
        <v>401</v>
      </c>
      <c r="C4" s="8" t="s">
        <v>78</v>
      </c>
      <c r="E4" s="9" t="s">
        <v>318</v>
      </c>
      <c r="F4" s="9" t="s">
        <v>319</v>
      </c>
      <c r="G4" s="9" t="s">
        <v>320</v>
      </c>
      <c r="H4" s="9" t="s">
        <v>321</v>
      </c>
      <c r="I4" s="9" t="s">
        <v>322</v>
      </c>
      <c r="J4" s="9" t="s">
        <v>323</v>
      </c>
      <c r="K4" s="9" t="s">
        <v>324</v>
      </c>
      <c r="L4" s="9" t="s">
        <v>325</v>
      </c>
      <c r="M4" s="9" t="s">
        <v>326</v>
      </c>
      <c r="N4" s="9" t="s">
        <v>327</v>
      </c>
      <c r="O4" s="9" t="s">
        <v>328</v>
      </c>
      <c r="P4" s="9" t="s">
        <v>329</v>
      </c>
      <c r="Q4" s="9" t="s">
        <v>330</v>
      </c>
      <c r="R4" s="9" t="s">
        <v>331</v>
      </c>
      <c r="S4" s="9" t="s">
        <v>332</v>
      </c>
      <c r="T4" s="9" t="s">
        <v>333</v>
      </c>
      <c r="U4" s="9" t="s">
        <v>334</v>
      </c>
      <c r="V4" s="9" t="s">
        <v>335</v>
      </c>
      <c r="W4" s="9" t="s">
        <v>336</v>
      </c>
      <c r="X4" s="9" t="s">
        <v>337</v>
      </c>
      <c r="Y4" s="9" t="s">
        <v>338</v>
      </c>
      <c r="Z4" s="9" t="s">
        <v>339</v>
      </c>
      <c r="AA4" s="9" t="s">
        <v>340</v>
      </c>
      <c r="AB4" s="9" t="s">
        <v>341</v>
      </c>
      <c r="AC4" s="9" t="s">
        <v>342</v>
      </c>
      <c r="AD4" s="9" t="s">
        <v>343</v>
      </c>
      <c r="AE4" s="9" t="s">
        <v>344</v>
      </c>
      <c r="AF4" s="9" t="s">
        <v>345</v>
      </c>
      <c r="AG4" s="9" t="s">
        <v>346</v>
      </c>
      <c r="AH4" s="9" t="s">
        <v>347</v>
      </c>
      <c r="AI4" s="9" t="s">
        <v>348</v>
      </c>
      <c r="AJ4" s="9" t="s">
        <v>349</v>
      </c>
      <c r="AK4" s="9" t="s">
        <v>350</v>
      </c>
      <c r="AL4" s="9" t="s">
        <v>351</v>
      </c>
      <c r="AM4" s="9" t="s">
        <v>352</v>
      </c>
      <c r="AN4" s="9" t="s">
        <v>353</v>
      </c>
      <c r="AO4" s="9" t="s">
        <v>354</v>
      </c>
      <c r="AP4" s="9" t="s">
        <v>355</v>
      </c>
      <c r="AQ4" s="9" t="s">
        <v>356</v>
      </c>
      <c r="AR4" s="9" t="s">
        <v>357</v>
      </c>
      <c r="AS4" s="9" t="s">
        <v>358</v>
      </c>
      <c r="AT4" s="9" t="s">
        <v>359</v>
      </c>
      <c r="AU4" s="9" t="s">
        <v>360</v>
      </c>
      <c r="AV4" s="9" t="s">
        <v>361</v>
      </c>
      <c r="AW4" s="9" t="s">
        <v>362</v>
      </c>
      <c r="AX4" s="9" t="s">
        <v>363</v>
      </c>
      <c r="AY4" s="9" t="s">
        <v>364</v>
      </c>
      <c r="AZ4" s="9" t="s">
        <v>365</v>
      </c>
      <c r="BA4" s="9" t="s">
        <v>366</v>
      </c>
      <c r="BB4" s="9" t="s">
        <v>367</v>
      </c>
      <c r="BC4" s="9" t="s">
        <v>368</v>
      </c>
      <c r="BD4" s="9" t="s">
        <v>369</v>
      </c>
      <c r="BE4" s="9" t="s">
        <v>370</v>
      </c>
      <c r="BF4" s="9" t="s">
        <v>371</v>
      </c>
      <c r="BG4" s="9" t="s">
        <v>372</v>
      </c>
      <c r="BH4" s="9" t="s">
        <v>373</v>
      </c>
      <c r="BI4" s="9" t="s">
        <v>374</v>
      </c>
      <c r="BJ4" s="9" t="s">
        <v>375</v>
      </c>
      <c r="BK4" s="9" t="s">
        <v>376</v>
      </c>
      <c r="BL4" s="9" t="s">
        <v>377</v>
      </c>
      <c r="BM4" s="9" t="s">
        <v>380</v>
      </c>
      <c r="BN4" s="9" t="s">
        <v>381</v>
      </c>
      <c r="BO4" s="9" t="s">
        <v>382</v>
      </c>
      <c r="BP4" s="9" t="s">
        <v>383</v>
      </c>
      <c r="BQ4" s="9" t="s">
        <v>384</v>
      </c>
      <c r="BR4" s="9" t="s">
        <v>385</v>
      </c>
      <c r="BS4" s="9" t="s">
        <v>386</v>
      </c>
      <c r="BT4" s="9" t="s">
        <v>387</v>
      </c>
    </row>
    <row r="5" spans="1:72" x14ac:dyDescent="0.65">
      <c r="A5" s="1" t="s">
        <v>43</v>
      </c>
      <c r="B5" s="2"/>
    </row>
    <row r="6" spans="1:72" x14ac:dyDescent="0.65">
      <c r="B6" s="11"/>
    </row>
    <row r="7" spans="1:72" x14ac:dyDescent="0.65">
      <c r="A7" s="1" t="s">
        <v>75</v>
      </c>
      <c r="B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72" x14ac:dyDescent="0.65">
      <c r="A8" s="82" t="s">
        <v>46</v>
      </c>
      <c r="B8" s="81" t="str">
        <f>$A$2</f>
        <v>IMF.RES.GAS:GAS_LIVE_2026_JAN_GAS1_VINTAGE</v>
      </c>
      <c r="C8" s="81" t="s">
        <v>635</v>
      </c>
      <c r="D8" s="82"/>
      <c r="E8" s="83">
        <v>17367</v>
      </c>
      <c r="F8" s="83">
        <v>17444.5</v>
      </c>
      <c r="G8" s="83">
        <v>17469.7</v>
      </c>
      <c r="H8" s="83">
        <v>17489.900000000001</v>
      </c>
      <c r="I8" s="83">
        <v>17662.400000000001</v>
      </c>
      <c r="J8" s="83">
        <v>17709.7</v>
      </c>
      <c r="K8" s="83">
        <v>17860.5</v>
      </c>
      <c r="L8" s="83">
        <v>18016.099999999999</v>
      </c>
      <c r="M8" s="83">
        <v>17954</v>
      </c>
      <c r="N8" s="83">
        <v>18185.900000000001</v>
      </c>
      <c r="O8" s="83">
        <v>18406.900000000001</v>
      </c>
      <c r="P8" s="83">
        <v>18500</v>
      </c>
      <c r="Q8" s="83">
        <v>18666.599999999999</v>
      </c>
      <c r="R8" s="83">
        <v>18782.2</v>
      </c>
      <c r="S8" s="83">
        <v>18857.400000000001</v>
      </c>
      <c r="T8" s="83">
        <v>18892.2</v>
      </c>
      <c r="U8" s="83">
        <v>19001.7</v>
      </c>
      <c r="V8" s="83">
        <v>19062.7</v>
      </c>
      <c r="W8" s="83">
        <v>19197.900000000001</v>
      </c>
      <c r="X8" s="83">
        <v>19304.400000000001</v>
      </c>
      <c r="Y8" s="83">
        <v>19398.3</v>
      </c>
      <c r="Z8" s="83">
        <v>19506.900000000001</v>
      </c>
      <c r="AA8" s="83">
        <v>19660.8</v>
      </c>
      <c r="AB8" s="83">
        <v>19882.400000000001</v>
      </c>
      <c r="AC8" s="83">
        <v>20044.099999999999</v>
      </c>
      <c r="AD8" s="83">
        <v>20150.5</v>
      </c>
      <c r="AE8" s="83">
        <v>20276.2</v>
      </c>
      <c r="AF8" s="83">
        <v>20304.900000000001</v>
      </c>
      <c r="AG8" s="84">
        <v>20431.599999999999</v>
      </c>
      <c r="AH8" s="84">
        <v>20602.3</v>
      </c>
      <c r="AI8" s="84">
        <v>20843.3</v>
      </c>
      <c r="AJ8" s="84">
        <v>20985.4</v>
      </c>
      <c r="AK8" s="84">
        <v>20709.2</v>
      </c>
      <c r="AL8" s="84">
        <v>19078</v>
      </c>
      <c r="AM8" s="84">
        <v>20558.900000000001</v>
      </c>
      <c r="AN8" s="84">
        <v>20791.900000000001</v>
      </c>
      <c r="AO8" s="84">
        <v>21082.1</v>
      </c>
      <c r="AP8" s="84">
        <v>21440.9</v>
      </c>
      <c r="AQ8" s="84">
        <v>21617.8</v>
      </c>
      <c r="AR8" s="84">
        <v>21988.7</v>
      </c>
      <c r="AS8" s="84">
        <v>21932.7</v>
      </c>
      <c r="AT8" s="84">
        <v>21967</v>
      </c>
      <c r="AU8" s="84">
        <v>22125.599999999999</v>
      </c>
      <c r="AV8" s="84">
        <v>22278.3</v>
      </c>
      <c r="AW8" s="84">
        <v>22439.599999999999</v>
      </c>
      <c r="AX8" s="84">
        <v>22580.5</v>
      </c>
      <c r="AY8" s="84">
        <v>22841</v>
      </c>
      <c r="AZ8" s="84">
        <v>23033.8</v>
      </c>
      <c r="BA8" s="84">
        <v>23082.1</v>
      </c>
      <c r="BB8" s="84">
        <v>23286.5</v>
      </c>
      <c r="BC8" s="84">
        <v>23478.6</v>
      </c>
      <c r="BD8" s="84">
        <v>23586.5</v>
      </c>
      <c r="BE8" s="84">
        <v>23548.2</v>
      </c>
      <c r="BF8" s="84">
        <v>23771</v>
      </c>
      <c r="BG8" s="84">
        <v>23956.083198046501</v>
      </c>
      <c r="BH8" s="84">
        <v>24042.515004230201</v>
      </c>
      <c r="BI8" s="84">
        <v>24151.762630957499</v>
      </c>
      <c r="BJ8" s="84">
        <v>24267.460854567002</v>
      </c>
      <c r="BK8" s="84">
        <v>24389.691632333499</v>
      </c>
      <c r="BL8" s="84">
        <v>24512.538064251999</v>
      </c>
      <c r="BM8" s="84">
        <v>24770.795142818301</v>
      </c>
      <c r="BN8" s="84">
        <v>24774.290367588299</v>
      </c>
      <c r="BO8" s="84">
        <v>24831.148439525601</v>
      </c>
      <c r="BP8" s="84">
        <v>24991.749916582401</v>
      </c>
      <c r="BQ8" s="84"/>
      <c r="BR8" s="84"/>
      <c r="BS8" s="84"/>
      <c r="BT8" s="84"/>
    </row>
    <row r="9" spans="1:72" x14ac:dyDescent="0.65">
      <c r="A9" s="82" t="s">
        <v>93</v>
      </c>
      <c r="B9" s="81" t="str">
        <f t="shared" ref="B9:B16" si="2">$A$2</f>
        <v>IMF.RES.GAS:GAS_LIVE_2026_JAN_GAS1_VINTAGE</v>
      </c>
      <c r="C9" s="81" t="s">
        <v>636</v>
      </c>
      <c r="D9" s="82"/>
      <c r="E9" s="83">
        <v>2778.1288</v>
      </c>
      <c r="F9" s="83">
        <v>2768.7046</v>
      </c>
      <c r="G9" s="83">
        <v>2764.8182000000002</v>
      </c>
      <c r="H9" s="83">
        <v>2753.3559</v>
      </c>
      <c r="I9" s="83">
        <v>2743.9247999999998</v>
      </c>
      <c r="J9" s="83">
        <v>2761.8141000000001</v>
      </c>
      <c r="K9" s="83">
        <v>2769.8960999999999</v>
      </c>
      <c r="L9" s="83">
        <v>2776.0367000000001</v>
      </c>
      <c r="M9" s="83">
        <v>2788.6404000000002</v>
      </c>
      <c r="N9" s="83">
        <v>2795.3780999999999</v>
      </c>
      <c r="O9" s="83">
        <v>2808.9647</v>
      </c>
      <c r="P9" s="83">
        <v>2819.8843000000002</v>
      </c>
      <c r="Q9" s="83">
        <v>2840.6981000000001</v>
      </c>
      <c r="R9" s="83">
        <v>2852.7294000000002</v>
      </c>
      <c r="S9" s="83">
        <v>2864.9558999999999</v>
      </c>
      <c r="T9" s="83">
        <v>2879.5295000000001</v>
      </c>
      <c r="U9" s="83">
        <v>2892.9647</v>
      </c>
      <c r="V9" s="83">
        <v>2898.4784</v>
      </c>
      <c r="W9" s="83">
        <v>2912.6433999999999</v>
      </c>
      <c r="X9" s="83">
        <v>2934.8098</v>
      </c>
      <c r="Y9" s="83">
        <v>2958.3910999999998</v>
      </c>
      <c r="Z9" s="83">
        <v>2977.9178999999999</v>
      </c>
      <c r="AA9" s="85">
        <v>3000.1044999999999</v>
      </c>
      <c r="AB9" s="85">
        <v>3024.5315000000001</v>
      </c>
      <c r="AC9" s="85">
        <v>3025.5798</v>
      </c>
      <c r="AD9" s="85">
        <v>3040.9780000000001</v>
      </c>
      <c r="AE9" s="85">
        <v>3043.7449000000001</v>
      </c>
      <c r="AF9" s="85">
        <v>3060.2127</v>
      </c>
      <c r="AG9" s="84">
        <v>3081.7402999999999</v>
      </c>
      <c r="AH9" s="84">
        <v>3092.8386999999998</v>
      </c>
      <c r="AI9" s="84">
        <v>3099.5704999999998</v>
      </c>
      <c r="AJ9" s="84">
        <v>3096.0218</v>
      </c>
      <c r="AK9" s="84">
        <v>2993.6473999999998</v>
      </c>
      <c r="AL9" s="84">
        <v>2662.4522999999999</v>
      </c>
      <c r="AM9" s="84">
        <v>2970.8373999999999</v>
      </c>
      <c r="AN9" s="84">
        <v>2980.3074999999999</v>
      </c>
      <c r="AO9" s="84">
        <v>3003.7649000000001</v>
      </c>
      <c r="AP9" s="84">
        <v>3068.6383000000001</v>
      </c>
      <c r="AQ9" s="84">
        <v>3123.6012999999998</v>
      </c>
      <c r="AR9" s="84">
        <v>3148.1916000000001</v>
      </c>
      <c r="AS9" s="84">
        <v>3170.8436999999999</v>
      </c>
      <c r="AT9" s="84">
        <v>3200.4373999999998</v>
      </c>
      <c r="AU9" s="84">
        <v>3215.2694000000001</v>
      </c>
      <c r="AV9" s="84">
        <v>3213.848</v>
      </c>
      <c r="AW9" s="84">
        <v>3211.9731999999999</v>
      </c>
      <c r="AX9" s="84">
        <v>3218.4513999999999</v>
      </c>
      <c r="AY9" s="84">
        <v>3217.1066999999998</v>
      </c>
      <c r="AZ9" s="84">
        <v>3218.6997000000001</v>
      </c>
      <c r="BA9" s="84">
        <v>3227.6651999999999</v>
      </c>
      <c r="BB9" s="84">
        <v>3234.1493</v>
      </c>
      <c r="BC9" s="84">
        <v>3247.2932999999998</v>
      </c>
      <c r="BD9" s="84">
        <v>3260.2847999999999</v>
      </c>
      <c r="BE9" s="84">
        <v>3278.5659999999998</v>
      </c>
      <c r="BF9" s="84">
        <v>3282.4749000000002</v>
      </c>
      <c r="BG9" s="84">
        <v>3280.72440422913</v>
      </c>
      <c r="BH9" s="84">
        <v>3282.9229275261901</v>
      </c>
      <c r="BI9" s="84">
        <v>3295.4004858014</v>
      </c>
      <c r="BJ9" s="84">
        <v>3311.4040631316502</v>
      </c>
      <c r="BK9" s="84">
        <v>3327.4564666400702</v>
      </c>
      <c r="BL9" s="84">
        <v>3340.1037444676899</v>
      </c>
      <c r="BM9" s="84">
        <v>3312.3214118062901</v>
      </c>
      <c r="BN9" s="84">
        <v>3340.5881852515599</v>
      </c>
      <c r="BO9" s="84">
        <v>3374.8542008320201</v>
      </c>
      <c r="BP9" s="84">
        <v>3398.28051711642</v>
      </c>
      <c r="BQ9" s="84"/>
      <c r="BR9" s="84"/>
      <c r="BS9" s="84"/>
      <c r="BT9" s="84"/>
    </row>
    <row r="10" spans="1:72" x14ac:dyDescent="0.65">
      <c r="A10" s="82" t="s">
        <v>116</v>
      </c>
      <c r="B10" s="81" t="str">
        <f t="shared" si="2"/>
        <v>IMF.RES.GAS:GAS_LIVE_2026_JAN_GAS1_VINTAGE</v>
      </c>
      <c r="C10" s="81" t="s">
        <v>637</v>
      </c>
      <c r="D10" s="82"/>
      <c r="E10" s="83">
        <v>803.57</v>
      </c>
      <c r="F10" s="83">
        <v>804.43</v>
      </c>
      <c r="G10" s="83">
        <v>806.07</v>
      </c>
      <c r="H10" s="83">
        <v>803.65</v>
      </c>
      <c r="I10" s="83">
        <v>799.21</v>
      </c>
      <c r="J10" s="83">
        <v>808.53</v>
      </c>
      <c r="K10" s="83">
        <v>812.67</v>
      </c>
      <c r="L10" s="83">
        <v>813.87</v>
      </c>
      <c r="M10" s="83">
        <v>822.37</v>
      </c>
      <c r="N10" s="83">
        <v>822.2</v>
      </c>
      <c r="O10" s="83">
        <v>826.77</v>
      </c>
      <c r="P10" s="83">
        <v>833.07</v>
      </c>
      <c r="Q10" s="83">
        <v>831.26</v>
      </c>
      <c r="R10" s="83">
        <v>835.57</v>
      </c>
      <c r="S10" s="83">
        <v>840.06</v>
      </c>
      <c r="T10" s="83">
        <v>844.37</v>
      </c>
      <c r="U10" s="83">
        <v>851.79</v>
      </c>
      <c r="V10" s="83">
        <v>853.69</v>
      </c>
      <c r="W10" s="83">
        <v>856.71</v>
      </c>
      <c r="X10" s="83">
        <v>860.67</v>
      </c>
      <c r="Y10" s="83">
        <v>871.85</v>
      </c>
      <c r="Z10" s="83">
        <v>878.06</v>
      </c>
      <c r="AA10" s="83">
        <v>885.05</v>
      </c>
      <c r="AB10" s="83">
        <v>894.02</v>
      </c>
      <c r="AC10" s="83">
        <v>889.08</v>
      </c>
      <c r="AD10" s="83">
        <v>896.07</v>
      </c>
      <c r="AE10" s="83">
        <v>890.2</v>
      </c>
      <c r="AF10" s="83">
        <v>894.17</v>
      </c>
      <c r="AG10" s="84">
        <v>900.03</v>
      </c>
      <c r="AH10" s="84">
        <v>900.55</v>
      </c>
      <c r="AI10" s="84">
        <v>904</v>
      </c>
      <c r="AJ10" s="84">
        <v>900.98</v>
      </c>
      <c r="AK10" s="84">
        <v>882.69</v>
      </c>
      <c r="AL10" s="84">
        <v>804.36</v>
      </c>
      <c r="AM10" s="84">
        <v>874.15</v>
      </c>
      <c r="AN10" s="84">
        <v>882.61</v>
      </c>
      <c r="AO10" s="84">
        <v>877.17</v>
      </c>
      <c r="AP10" s="84">
        <v>897.79</v>
      </c>
      <c r="AQ10" s="84">
        <v>898.57</v>
      </c>
      <c r="AR10" s="84">
        <v>903.4</v>
      </c>
      <c r="AS10" s="84">
        <v>909.52</v>
      </c>
      <c r="AT10" s="84">
        <v>910.9</v>
      </c>
      <c r="AU10" s="84">
        <v>913.58</v>
      </c>
      <c r="AV10" s="84">
        <v>910.39</v>
      </c>
      <c r="AW10" s="84">
        <v>906.09</v>
      </c>
      <c r="AX10" s="84">
        <v>905.4</v>
      </c>
      <c r="AY10" s="84">
        <v>905.4</v>
      </c>
      <c r="AZ10" s="84">
        <v>902.9</v>
      </c>
      <c r="BA10" s="84">
        <v>901.93</v>
      </c>
      <c r="BB10" s="84">
        <v>899.6</v>
      </c>
      <c r="BC10" s="84">
        <v>899.78</v>
      </c>
      <c r="BD10" s="84">
        <v>901.41</v>
      </c>
      <c r="BE10" s="84">
        <v>904.18</v>
      </c>
      <c r="BF10" s="84">
        <v>901.67</v>
      </c>
      <c r="BG10" s="84">
        <v>902.92678000000001</v>
      </c>
      <c r="BH10" s="84">
        <v>904.33093481853098</v>
      </c>
      <c r="BI10" s="84">
        <v>906.05217158217101</v>
      </c>
      <c r="BJ10" s="84">
        <v>908.18123516749699</v>
      </c>
      <c r="BK10" s="84">
        <v>910.60851043647699</v>
      </c>
      <c r="BL10" s="84">
        <v>913.34411485773205</v>
      </c>
      <c r="BM10" s="84">
        <v>907.92821963410802</v>
      </c>
      <c r="BN10" s="84">
        <v>914.73948995792296</v>
      </c>
      <c r="BO10" s="84">
        <v>918.35559388252796</v>
      </c>
      <c r="BP10" s="84">
        <v>922.447126408043</v>
      </c>
      <c r="BQ10" s="84"/>
      <c r="BR10" s="84"/>
      <c r="BS10" s="84"/>
      <c r="BT10" s="84"/>
    </row>
    <row r="11" spans="1:72" x14ac:dyDescent="0.65">
      <c r="A11" s="82" t="s">
        <v>118</v>
      </c>
      <c r="B11" s="81" t="str">
        <f t="shared" si="2"/>
        <v>IMF.RES.GAS:GAS_LIVE_2026_JAN_GAS1_VINTAGE</v>
      </c>
      <c r="C11" s="81" t="s">
        <v>638</v>
      </c>
      <c r="D11" s="82"/>
      <c r="E11" s="83">
        <v>570.803</v>
      </c>
      <c r="F11" s="83">
        <v>568.56100000000004</v>
      </c>
      <c r="G11" s="83">
        <v>570.27499999999998</v>
      </c>
      <c r="H11" s="83">
        <v>570.21400000000006</v>
      </c>
      <c r="I11" s="83">
        <v>571.28200000000004</v>
      </c>
      <c r="J11" s="83">
        <v>576.30100000000004</v>
      </c>
      <c r="K11" s="83">
        <v>574.92999999999995</v>
      </c>
      <c r="L11" s="83">
        <v>578.43799999999999</v>
      </c>
      <c r="M11" s="83">
        <v>578.45799999999997</v>
      </c>
      <c r="N11" s="83">
        <v>579.90899999999999</v>
      </c>
      <c r="O11" s="83">
        <v>583.60400000000004</v>
      </c>
      <c r="P11" s="83">
        <v>582.01099999999997</v>
      </c>
      <c r="Q11" s="83">
        <v>585.375</v>
      </c>
      <c r="R11" s="83">
        <v>585.78599999999994</v>
      </c>
      <c r="S11" s="83">
        <v>587.28599999999994</v>
      </c>
      <c r="T11" s="83">
        <v>588.71799999999996</v>
      </c>
      <c r="U11" s="83">
        <v>590.553</v>
      </c>
      <c r="V11" s="83">
        <v>589.52</v>
      </c>
      <c r="W11" s="83">
        <v>590.30200000000002</v>
      </c>
      <c r="X11" s="83">
        <v>594.03499999999997</v>
      </c>
      <c r="Y11" s="83">
        <v>598.01400000000001</v>
      </c>
      <c r="Z11" s="83">
        <v>602.59</v>
      </c>
      <c r="AA11" s="83">
        <v>606.88699999999994</v>
      </c>
      <c r="AB11" s="83">
        <v>610.54300000000001</v>
      </c>
      <c r="AC11" s="83">
        <v>610.30700000000002</v>
      </c>
      <c r="AD11" s="83">
        <v>611.91999999999996</v>
      </c>
      <c r="AE11" s="83">
        <v>614.846</v>
      </c>
      <c r="AF11" s="83">
        <v>619.48699999999997</v>
      </c>
      <c r="AG11" s="84">
        <v>625.19100000000003</v>
      </c>
      <c r="AH11" s="84">
        <v>628.63400000000001</v>
      </c>
      <c r="AI11" s="84">
        <v>628.58199999999999</v>
      </c>
      <c r="AJ11" s="84">
        <v>625.50800000000004</v>
      </c>
      <c r="AK11" s="84">
        <v>593.75699999999995</v>
      </c>
      <c r="AL11" s="84">
        <v>521.351</v>
      </c>
      <c r="AM11" s="84">
        <v>601.40599999999995</v>
      </c>
      <c r="AN11" s="84">
        <v>600.71500000000003</v>
      </c>
      <c r="AO11" s="84">
        <v>603.16200000000003</v>
      </c>
      <c r="AP11" s="84">
        <v>610.51</v>
      </c>
      <c r="AQ11" s="84">
        <v>628.72199999999998</v>
      </c>
      <c r="AR11" s="84">
        <v>632.25900000000001</v>
      </c>
      <c r="AS11" s="84">
        <v>631.69600000000003</v>
      </c>
      <c r="AT11" s="84">
        <v>634.423</v>
      </c>
      <c r="AU11" s="84">
        <v>637.70000000000005</v>
      </c>
      <c r="AV11" s="84">
        <v>640.14700000000005</v>
      </c>
      <c r="AW11" s="84">
        <v>640.54499999999996</v>
      </c>
      <c r="AX11" s="84">
        <v>646.22199999999998</v>
      </c>
      <c r="AY11" s="84">
        <v>647.78300000000002</v>
      </c>
      <c r="AZ11" s="84">
        <v>650.61</v>
      </c>
      <c r="BA11" s="84">
        <v>651.40499999999997</v>
      </c>
      <c r="BB11" s="84">
        <v>652.61699999999996</v>
      </c>
      <c r="BC11" s="84">
        <v>655.01499999999999</v>
      </c>
      <c r="BD11" s="84">
        <v>654.62099999999998</v>
      </c>
      <c r="BE11" s="84">
        <v>655.37300000000005</v>
      </c>
      <c r="BF11" s="84">
        <v>657.57</v>
      </c>
      <c r="BG11" s="84">
        <v>658.46719204820897</v>
      </c>
      <c r="BH11" s="84">
        <v>659.70854298620498</v>
      </c>
      <c r="BI11" s="84">
        <v>661.01927108004395</v>
      </c>
      <c r="BJ11" s="84">
        <v>662.941347567506</v>
      </c>
      <c r="BK11" s="84">
        <v>664.63913209357099</v>
      </c>
      <c r="BL11" s="84">
        <v>666.49221916974295</v>
      </c>
      <c r="BM11" s="84">
        <v>666.71418679010606</v>
      </c>
      <c r="BN11" s="84">
        <v>668.35657088160997</v>
      </c>
      <c r="BO11" s="84">
        <v>670.868922923882</v>
      </c>
      <c r="BP11" s="84">
        <v>673.345650797639</v>
      </c>
      <c r="BQ11" s="84"/>
      <c r="BR11" s="84"/>
      <c r="BS11" s="84"/>
      <c r="BT11" s="84"/>
    </row>
    <row r="12" spans="1:72" x14ac:dyDescent="0.65">
      <c r="A12" s="82" t="s">
        <v>117</v>
      </c>
      <c r="B12" s="81" t="str">
        <f t="shared" si="2"/>
        <v>IMF.RES.GAS:GAS_LIVE_2026_JAN_GAS1_VINTAGE</v>
      </c>
      <c r="C12" s="81" t="s">
        <v>639</v>
      </c>
      <c r="D12" s="82"/>
      <c r="E12" s="83">
        <v>449.16199999999998</v>
      </c>
      <c r="F12" s="83">
        <v>445.75700000000001</v>
      </c>
      <c r="G12" s="83">
        <v>442.68200000000002</v>
      </c>
      <c r="H12" s="83">
        <v>439.553</v>
      </c>
      <c r="I12" s="83">
        <v>435.57799999999997</v>
      </c>
      <c r="J12" s="83">
        <v>435.55500000000001</v>
      </c>
      <c r="K12" s="83">
        <v>436.971</v>
      </c>
      <c r="L12" s="83">
        <v>436.608</v>
      </c>
      <c r="M12" s="83">
        <v>436.416</v>
      </c>
      <c r="N12" s="83">
        <v>436.62700000000001</v>
      </c>
      <c r="O12" s="83">
        <v>436.72199999999998</v>
      </c>
      <c r="P12" s="83">
        <v>436.26900000000001</v>
      </c>
      <c r="Q12" s="83">
        <v>437.80099999999999</v>
      </c>
      <c r="R12" s="83">
        <v>439.52600000000001</v>
      </c>
      <c r="S12" s="83">
        <v>439.69499999999999</v>
      </c>
      <c r="T12" s="83">
        <v>442.02699999999999</v>
      </c>
      <c r="U12" s="83">
        <v>442.80799999999999</v>
      </c>
      <c r="V12" s="83">
        <v>444.02199999999999</v>
      </c>
      <c r="W12" s="83">
        <v>447.17399999999998</v>
      </c>
      <c r="X12" s="83">
        <v>448.86700000000002</v>
      </c>
      <c r="Y12" s="83">
        <v>450.875</v>
      </c>
      <c r="Z12" s="83">
        <v>452.625</v>
      </c>
      <c r="AA12" s="83">
        <v>453.39699999999999</v>
      </c>
      <c r="AB12" s="83">
        <v>456.10199999999998</v>
      </c>
      <c r="AC12" s="83">
        <v>455.29599999999999</v>
      </c>
      <c r="AD12" s="83">
        <v>456.23599999999999</v>
      </c>
      <c r="AE12" s="83">
        <v>456.21800000000002</v>
      </c>
      <c r="AF12" s="83">
        <v>457.57600000000002</v>
      </c>
      <c r="AG12" s="84">
        <v>458.56200000000001</v>
      </c>
      <c r="AH12" s="84">
        <v>459.82799999999997</v>
      </c>
      <c r="AI12" s="84">
        <v>458.12599999999998</v>
      </c>
      <c r="AJ12" s="84">
        <v>456.423</v>
      </c>
      <c r="AK12" s="84">
        <v>429.875</v>
      </c>
      <c r="AL12" s="84">
        <v>376.88099999999997</v>
      </c>
      <c r="AM12" s="84">
        <v>431.18200000000002</v>
      </c>
      <c r="AN12" s="84">
        <v>430.91699999999997</v>
      </c>
      <c r="AO12" s="84">
        <v>438.548</v>
      </c>
      <c r="AP12" s="84">
        <v>449.303</v>
      </c>
      <c r="AQ12" s="84">
        <v>460.46800000000002</v>
      </c>
      <c r="AR12" s="84">
        <v>467.53300000000002</v>
      </c>
      <c r="AS12" s="84">
        <v>470.94900000000001</v>
      </c>
      <c r="AT12" s="84">
        <v>477.84100000000001</v>
      </c>
      <c r="AU12" s="84">
        <v>479.065</v>
      </c>
      <c r="AV12" s="84">
        <v>478.33100000000002</v>
      </c>
      <c r="AW12" s="84">
        <v>480.50799999999998</v>
      </c>
      <c r="AX12" s="84">
        <v>479.72899999999998</v>
      </c>
      <c r="AY12" s="84">
        <v>480.33600000000001</v>
      </c>
      <c r="AZ12" s="84">
        <v>481.13299999999998</v>
      </c>
      <c r="BA12" s="84">
        <v>481.89699999999999</v>
      </c>
      <c r="BB12" s="84">
        <v>482.93299999999999</v>
      </c>
      <c r="BC12" s="84">
        <v>482.95100000000002</v>
      </c>
      <c r="BD12" s="84">
        <v>483.91</v>
      </c>
      <c r="BE12" s="84">
        <v>485.416</v>
      </c>
      <c r="BF12" s="84">
        <v>485.04599999999999</v>
      </c>
      <c r="BG12" s="84">
        <v>485.96519888468401</v>
      </c>
      <c r="BH12" s="84">
        <v>488.57248765427698</v>
      </c>
      <c r="BI12" s="84">
        <v>488.76281719597</v>
      </c>
      <c r="BJ12" s="84">
        <v>490.13327588885801</v>
      </c>
      <c r="BK12" s="84">
        <v>491.66823741583602</v>
      </c>
      <c r="BL12" s="84">
        <v>489.19257811846302</v>
      </c>
      <c r="BM12" s="84">
        <v>492.13270982691301</v>
      </c>
      <c r="BN12" s="84">
        <v>495.27390831703201</v>
      </c>
      <c r="BO12" s="84">
        <v>497.43820388454901</v>
      </c>
      <c r="BP12" s="84">
        <v>489.81345559418401</v>
      </c>
      <c r="BQ12" s="84"/>
      <c r="BR12" s="84"/>
      <c r="BS12" s="84"/>
      <c r="BT12" s="84"/>
    </row>
    <row r="13" spans="1:72" x14ac:dyDescent="0.65">
      <c r="A13" s="82" t="s">
        <v>147</v>
      </c>
      <c r="B13" s="81" t="str">
        <f t="shared" si="2"/>
        <v>IMF.RES.GAS:GAS_LIVE_2026_JAN_GAS1_VINTAGE</v>
      </c>
      <c r="C13" s="81" t="s">
        <v>640</v>
      </c>
      <c r="D13" s="82"/>
      <c r="E13" s="83">
        <v>278.55083999999999</v>
      </c>
      <c r="F13" s="83">
        <v>275.85088999999999</v>
      </c>
      <c r="G13" s="83">
        <v>274.58418999999998</v>
      </c>
      <c r="H13" s="83">
        <v>272.30741999999998</v>
      </c>
      <c r="I13" s="83">
        <v>271.55903000000001</v>
      </c>
      <c r="J13" s="83">
        <v>271.28039999999999</v>
      </c>
      <c r="K13" s="83">
        <v>271.10932000000003</v>
      </c>
      <c r="L13" s="83">
        <v>271.62509</v>
      </c>
      <c r="M13" s="83">
        <v>272.65183000000002</v>
      </c>
      <c r="N13" s="83">
        <v>274.12432000000001</v>
      </c>
      <c r="O13" s="83">
        <v>276.31612999999999</v>
      </c>
      <c r="P13" s="83">
        <v>278.98755999999997</v>
      </c>
      <c r="Q13" s="83">
        <v>282.38396</v>
      </c>
      <c r="R13" s="83">
        <v>285.54604</v>
      </c>
      <c r="S13" s="83">
        <v>288.16496999999998</v>
      </c>
      <c r="T13" s="83">
        <v>290.73845</v>
      </c>
      <c r="U13" s="83">
        <v>292.75860999999998</v>
      </c>
      <c r="V13" s="83">
        <v>293.72690999999998</v>
      </c>
      <c r="W13" s="83">
        <v>296.04885999999999</v>
      </c>
      <c r="X13" s="83">
        <v>297.73138999999998</v>
      </c>
      <c r="Y13" s="83">
        <v>299.83935000000002</v>
      </c>
      <c r="Z13" s="83">
        <v>302.97460999999998</v>
      </c>
      <c r="AA13" s="83">
        <v>304.88862999999998</v>
      </c>
      <c r="AB13" s="83">
        <v>306.74448999999998</v>
      </c>
      <c r="AC13" s="83">
        <v>308.05635000000001</v>
      </c>
      <c r="AD13" s="83">
        <v>310.06493999999998</v>
      </c>
      <c r="AE13" s="83">
        <v>311.79602999999997</v>
      </c>
      <c r="AF13" s="83">
        <v>313.62083999999999</v>
      </c>
      <c r="AG13" s="84">
        <v>315.54361</v>
      </c>
      <c r="AH13" s="84">
        <v>316.45346999999998</v>
      </c>
      <c r="AI13" s="84">
        <v>317.05986000000001</v>
      </c>
      <c r="AJ13" s="84">
        <v>318.86914000000002</v>
      </c>
      <c r="AK13" s="84">
        <v>302.36002999999999</v>
      </c>
      <c r="AL13" s="84">
        <v>248.56908000000001</v>
      </c>
      <c r="AM13" s="84">
        <v>288.09721000000002</v>
      </c>
      <c r="AN13" s="84">
        <v>290.18767000000003</v>
      </c>
      <c r="AO13" s="84">
        <v>293.67496999999997</v>
      </c>
      <c r="AP13" s="84">
        <v>297.70089999999999</v>
      </c>
      <c r="AQ13" s="84">
        <v>303.56914</v>
      </c>
      <c r="AR13" s="84">
        <v>309.73606000000001</v>
      </c>
      <c r="AS13" s="84">
        <v>314.60437999999999</v>
      </c>
      <c r="AT13" s="84">
        <v>319.95657999999997</v>
      </c>
      <c r="AU13" s="84">
        <v>322.56675000000001</v>
      </c>
      <c r="AV13" s="84">
        <v>324.29557999999997</v>
      </c>
      <c r="AW13" s="84">
        <v>325.94988000000001</v>
      </c>
      <c r="AX13" s="84">
        <v>326.41935000000001</v>
      </c>
      <c r="AY13" s="84">
        <v>328.99734999999998</v>
      </c>
      <c r="AZ13" s="84">
        <v>331.59115000000003</v>
      </c>
      <c r="BA13" s="84">
        <v>335.2817</v>
      </c>
      <c r="BB13" s="84">
        <v>338.36304999999999</v>
      </c>
      <c r="BC13" s="84">
        <v>340.95177000000001</v>
      </c>
      <c r="BD13" s="84">
        <v>343.72624999999999</v>
      </c>
      <c r="BE13" s="84">
        <v>345.91467</v>
      </c>
      <c r="BF13" s="84">
        <v>348.69479000000001</v>
      </c>
      <c r="BG13" s="84">
        <v>350.801065508043</v>
      </c>
      <c r="BH13" s="84">
        <v>352.41008416300298</v>
      </c>
      <c r="BI13" s="84">
        <v>353.83064354464699</v>
      </c>
      <c r="BJ13" s="84">
        <v>355.42305668511699</v>
      </c>
      <c r="BK13" s="84">
        <v>357.26852536839402</v>
      </c>
      <c r="BL13" s="84">
        <v>358.66136468441499</v>
      </c>
      <c r="BM13" s="84">
        <v>361.92776765211698</v>
      </c>
      <c r="BN13" s="84">
        <v>362.28114914877801</v>
      </c>
      <c r="BO13" s="84">
        <v>363.855221004111</v>
      </c>
      <c r="BP13" s="84">
        <v>365.02353450756198</v>
      </c>
      <c r="BQ13" s="84"/>
      <c r="BR13" s="84"/>
      <c r="BS13" s="84"/>
      <c r="BT13" s="84"/>
    </row>
    <row r="14" spans="1:72" x14ac:dyDescent="0.65">
      <c r="A14" s="82" t="s">
        <v>47</v>
      </c>
      <c r="B14" s="81" t="str">
        <f t="shared" si="2"/>
        <v>IMF.RES.GAS:GAS_LIVE_2026_JAN_GAS1_VINTAGE</v>
      </c>
      <c r="C14" s="81" t="s">
        <v>641</v>
      </c>
      <c r="D14" s="82"/>
      <c r="E14" s="83">
        <v>522781.1</v>
      </c>
      <c r="F14" s="83">
        <v>517866.4</v>
      </c>
      <c r="G14" s="83">
        <v>515836.5</v>
      </c>
      <c r="H14" s="83">
        <v>515391.7</v>
      </c>
      <c r="I14" s="83">
        <v>522631.9</v>
      </c>
      <c r="J14" s="83">
        <v>527382.9</v>
      </c>
      <c r="K14" s="83">
        <v>532360.6</v>
      </c>
      <c r="L14" s="83">
        <v>531674.19999999995</v>
      </c>
      <c r="M14" s="83">
        <v>536079.80000000005</v>
      </c>
      <c r="N14" s="83">
        <v>526459.30000000005</v>
      </c>
      <c r="O14" s="83">
        <v>526816.9</v>
      </c>
      <c r="P14" s="83">
        <v>529228.1</v>
      </c>
      <c r="Q14" s="83">
        <v>537485.1</v>
      </c>
      <c r="R14" s="83">
        <v>538298.19999999995</v>
      </c>
      <c r="S14" s="83">
        <v>538760.80000000005</v>
      </c>
      <c r="T14" s="83">
        <v>537827.9</v>
      </c>
      <c r="U14" s="83">
        <v>541992.19999999995</v>
      </c>
      <c r="V14" s="83">
        <v>541063.1</v>
      </c>
      <c r="W14" s="83">
        <v>542162.69999999995</v>
      </c>
      <c r="X14" s="83">
        <v>542875.80000000005</v>
      </c>
      <c r="Y14" s="83">
        <v>547149.19999999995</v>
      </c>
      <c r="Z14" s="83">
        <v>549313.6</v>
      </c>
      <c r="AA14" s="83">
        <v>554075</v>
      </c>
      <c r="AB14" s="83">
        <v>554361.19999999995</v>
      </c>
      <c r="AC14" s="83">
        <v>554797.9</v>
      </c>
      <c r="AD14" s="85">
        <v>556986.69999999995</v>
      </c>
      <c r="AE14" s="85">
        <v>554216.5</v>
      </c>
      <c r="AF14" s="85">
        <v>552790.9</v>
      </c>
      <c r="AG14" s="84">
        <v>554140.6</v>
      </c>
      <c r="AH14" s="84">
        <v>556645.5</v>
      </c>
      <c r="AI14" s="84">
        <v>557714.9</v>
      </c>
      <c r="AJ14" s="84">
        <v>541536</v>
      </c>
      <c r="AK14" s="84">
        <v>544380.80000000005</v>
      </c>
      <c r="AL14" s="84">
        <v>502967.4</v>
      </c>
      <c r="AM14" s="84">
        <v>530361.80000000005</v>
      </c>
      <c r="AN14" s="84">
        <v>539394.9</v>
      </c>
      <c r="AO14" s="84">
        <v>540760.19999999995</v>
      </c>
      <c r="AP14" s="84">
        <v>544268.19999999995</v>
      </c>
      <c r="AQ14" s="84">
        <v>542375.9</v>
      </c>
      <c r="AR14" s="84">
        <v>548424.1</v>
      </c>
      <c r="AS14" s="84">
        <v>545878.19999999995</v>
      </c>
      <c r="AT14" s="84">
        <v>550864.69999999995</v>
      </c>
      <c r="AU14" s="84">
        <v>549094</v>
      </c>
      <c r="AV14" s="84">
        <v>550266.9</v>
      </c>
      <c r="AW14" s="84">
        <v>557450.19999999995</v>
      </c>
      <c r="AX14" s="84">
        <v>558556.9</v>
      </c>
      <c r="AY14" s="84">
        <v>554032</v>
      </c>
      <c r="AZ14" s="84">
        <v>553403.6</v>
      </c>
      <c r="BA14" s="84">
        <v>552190.6</v>
      </c>
      <c r="BB14" s="84">
        <v>554839.19999999995</v>
      </c>
      <c r="BC14" s="84">
        <v>558007.6</v>
      </c>
      <c r="BD14" s="84">
        <v>560846.80000000005</v>
      </c>
      <c r="BE14" s="84">
        <v>561265.30000000005</v>
      </c>
      <c r="BF14" s="84">
        <v>564278.80000000005</v>
      </c>
      <c r="BG14" s="84">
        <v>562238.11569351098</v>
      </c>
      <c r="BH14" s="84">
        <v>561833.33974704298</v>
      </c>
      <c r="BI14" s="84">
        <v>563855.20875280502</v>
      </c>
      <c r="BJ14" s="84">
        <v>565160.28245407494</v>
      </c>
      <c r="BK14" s="84">
        <v>566928.20604813704</v>
      </c>
      <c r="BL14" s="84">
        <v>567903.27185742301</v>
      </c>
      <c r="BM14" s="84">
        <v>566457.06840894895</v>
      </c>
      <c r="BN14" s="84">
        <v>566043.14190710301</v>
      </c>
      <c r="BO14" s="84">
        <v>571657.42030226497</v>
      </c>
      <c r="BP14" s="84">
        <v>574038.78226872894</v>
      </c>
      <c r="BQ14" s="84"/>
      <c r="BR14" s="84"/>
      <c r="BS14" s="84"/>
      <c r="BT14" s="84"/>
    </row>
    <row r="15" spans="1:72" x14ac:dyDescent="0.65">
      <c r="A15" s="82" t="s">
        <v>49</v>
      </c>
      <c r="B15" s="81" t="str">
        <f t="shared" si="2"/>
        <v>IMF.RES.GAS:GAS_LIVE_2026_JAN_GAS1_VINTAGE</v>
      </c>
      <c r="C15" s="81" t="s">
        <v>642</v>
      </c>
      <c r="D15" s="82"/>
      <c r="E15" s="83">
        <v>532.29999999999995</v>
      </c>
      <c r="F15" s="83">
        <v>531.66300000000001</v>
      </c>
      <c r="G15" s="83">
        <v>536.72</v>
      </c>
      <c r="H15" s="83">
        <v>536.18799999999999</v>
      </c>
      <c r="I15" s="83">
        <v>537.97400000000005</v>
      </c>
      <c r="J15" s="83">
        <v>541.58600000000001</v>
      </c>
      <c r="K15" s="83">
        <v>546.06399999999996</v>
      </c>
      <c r="L15" s="83">
        <v>549.70899999999995</v>
      </c>
      <c r="M15" s="83">
        <v>554.18299999999999</v>
      </c>
      <c r="N15" s="83">
        <v>559.33100000000002</v>
      </c>
      <c r="O15" s="83">
        <v>563.69399999999996</v>
      </c>
      <c r="P15" s="83">
        <v>567.61900000000003</v>
      </c>
      <c r="Q15" s="83">
        <v>569.15</v>
      </c>
      <c r="R15" s="83">
        <v>572.673</v>
      </c>
      <c r="S15" s="83">
        <v>574.83600000000001</v>
      </c>
      <c r="T15" s="83">
        <v>578.06799999999998</v>
      </c>
      <c r="U15" s="83">
        <v>580.11</v>
      </c>
      <c r="V15" s="83">
        <v>583.38300000000004</v>
      </c>
      <c r="W15" s="83">
        <v>585.85599999999999</v>
      </c>
      <c r="X15" s="83">
        <v>589.476</v>
      </c>
      <c r="Y15" s="83">
        <v>594.423</v>
      </c>
      <c r="Z15" s="83">
        <v>598.17600000000004</v>
      </c>
      <c r="AA15" s="83">
        <v>601.96100000000001</v>
      </c>
      <c r="AB15" s="83">
        <v>606.39599999999996</v>
      </c>
      <c r="AC15" s="83">
        <v>606.78499999999997</v>
      </c>
      <c r="AD15" s="83">
        <v>607.77499999999998</v>
      </c>
      <c r="AE15" s="83">
        <v>609.65300000000002</v>
      </c>
      <c r="AF15" s="83">
        <v>610.48099999999999</v>
      </c>
      <c r="AG15" s="84">
        <v>614.93600000000004</v>
      </c>
      <c r="AH15" s="84">
        <v>616.85299999999995</v>
      </c>
      <c r="AI15" s="84">
        <v>621.22699999999998</v>
      </c>
      <c r="AJ15" s="84">
        <v>621.22900000000004</v>
      </c>
      <c r="AK15" s="84">
        <v>604.71900000000005</v>
      </c>
      <c r="AL15" s="84">
        <v>481.76900000000001</v>
      </c>
      <c r="AM15" s="84">
        <v>562.64800000000002</v>
      </c>
      <c r="AN15" s="84">
        <v>570.33799999999997</v>
      </c>
      <c r="AO15" s="84">
        <v>564.41099999999994</v>
      </c>
      <c r="AP15" s="84">
        <v>605.35299999999995</v>
      </c>
      <c r="AQ15" s="84">
        <v>615.45899999999995</v>
      </c>
      <c r="AR15" s="84">
        <v>624.59199999999998</v>
      </c>
      <c r="AS15" s="84">
        <v>629.149</v>
      </c>
      <c r="AT15" s="84">
        <v>631.25800000000004</v>
      </c>
      <c r="AU15" s="84">
        <v>631.97699999999998</v>
      </c>
      <c r="AV15" s="84">
        <v>634.04399999999998</v>
      </c>
      <c r="AW15" s="84">
        <v>634.428</v>
      </c>
      <c r="AX15" s="84">
        <v>634.69399999999996</v>
      </c>
      <c r="AY15" s="84">
        <v>634.327</v>
      </c>
      <c r="AZ15" s="84">
        <v>633.01099999999997</v>
      </c>
      <c r="BA15" s="84">
        <v>638.74599999999998</v>
      </c>
      <c r="BB15" s="84">
        <v>641.66999999999996</v>
      </c>
      <c r="BC15" s="84">
        <v>641.67499999999995</v>
      </c>
      <c r="BD15" s="84">
        <v>642.28700000000003</v>
      </c>
      <c r="BE15" s="84">
        <v>647.01800000000003</v>
      </c>
      <c r="BF15" s="84">
        <v>649.24900000000002</v>
      </c>
      <c r="BG15" s="84">
        <v>650.45061720000001</v>
      </c>
      <c r="BH15" s="84">
        <v>651.20614716700004</v>
      </c>
      <c r="BI15" s="84">
        <v>655.14608463474497</v>
      </c>
      <c r="BJ15" s="84">
        <v>656.64378643650798</v>
      </c>
      <c r="BK15" s="84">
        <v>658.74669068720596</v>
      </c>
      <c r="BL15" s="84">
        <v>660.211969749079</v>
      </c>
      <c r="BM15" s="84">
        <v>663.37627734040802</v>
      </c>
      <c r="BN15" s="84">
        <v>664.12279767188602</v>
      </c>
      <c r="BO15" s="84">
        <v>667.14857518217298</v>
      </c>
      <c r="BP15" s="84">
        <v>669.34233790053304</v>
      </c>
      <c r="BQ15" s="84"/>
      <c r="BR15" s="84"/>
      <c r="BS15" s="84"/>
      <c r="BT15" s="84"/>
    </row>
    <row r="16" spans="1:72" x14ac:dyDescent="0.65">
      <c r="A16" s="82" t="s">
        <v>48</v>
      </c>
      <c r="B16" s="81" t="str">
        <f t="shared" si="2"/>
        <v>IMF.RES.GAS:GAS_LIVE_2026_JAN_GAS1_VINTAGE</v>
      </c>
      <c r="C16" s="81" t="s">
        <v>643</v>
      </c>
      <c r="D16" s="82"/>
      <c r="E16" s="83">
        <v>1933.731</v>
      </c>
      <c r="F16" s="83">
        <v>1940.0170000000001</v>
      </c>
      <c r="G16" s="83">
        <v>1942.672</v>
      </c>
      <c r="H16" s="83">
        <v>1946.67</v>
      </c>
      <c r="I16" s="83">
        <v>1964.095</v>
      </c>
      <c r="J16" s="83">
        <v>1975.4059999999999</v>
      </c>
      <c r="K16" s="83">
        <v>1991.65</v>
      </c>
      <c r="L16" s="83">
        <v>2012.4939999999999</v>
      </c>
      <c r="M16" s="83">
        <v>2015.895</v>
      </c>
      <c r="N16" s="83">
        <v>2034.271</v>
      </c>
      <c r="O16" s="83">
        <v>2053.7710000000002</v>
      </c>
      <c r="P16" s="83">
        <v>2067.9659999999999</v>
      </c>
      <c r="Q16" s="83">
        <v>2056.4520000000002</v>
      </c>
      <c r="R16" s="83">
        <v>2050.8380000000002</v>
      </c>
      <c r="S16" s="83">
        <v>2058.1819999999998</v>
      </c>
      <c r="T16" s="83">
        <v>2059.5459999999998</v>
      </c>
      <c r="U16" s="83">
        <v>2071.732</v>
      </c>
      <c r="V16" s="83">
        <v>2061.4119999999998</v>
      </c>
      <c r="W16" s="83">
        <v>2082.8049999999998</v>
      </c>
      <c r="X16" s="83">
        <v>2094.4899999999998</v>
      </c>
      <c r="Y16" s="83">
        <v>2120.8429999999998</v>
      </c>
      <c r="Z16" s="83">
        <v>2143.1660000000002</v>
      </c>
      <c r="AA16" s="83">
        <v>2143.8389999999999</v>
      </c>
      <c r="AB16" s="83">
        <v>2154.7159999999999</v>
      </c>
      <c r="AC16" s="83">
        <v>2179.7649999999999</v>
      </c>
      <c r="AD16" s="83">
        <v>2196.768</v>
      </c>
      <c r="AE16" s="83">
        <v>2207.8490000000002</v>
      </c>
      <c r="AF16" s="83">
        <v>2213.0500000000002</v>
      </c>
      <c r="AG16" s="84">
        <v>2218.3760000000002</v>
      </c>
      <c r="AH16" s="84">
        <v>2242.6619999999998</v>
      </c>
      <c r="AI16" s="84">
        <v>2248.933</v>
      </c>
      <c r="AJ16" s="84">
        <v>2255.3539999999998</v>
      </c>
      <c r="AK16" s="84">
        <v>2211.3760000000002</v>
      </c>
      <c r="AL16" s="84">
        <v>1968.126</v>
      </c>
      <c r="AM16" s="84">
        <v>2146.9009999999998</v>
      </c>
      <c r="AN16" s="84">
        <v>2187.2280000000001</v>
      </c>
      <c r="AO16" s="84">
        <v>2224.489</v>
      </c>
      <c r="AP16" s="84">
        <v>2221.8820000000001</v>
      </c>
      <c r="AQ16" s="84">
        <v>2266.6419999999998</v>
      </c>
      <c r="AR16" s="84">
        <v>2307.2240000000002</v>
      </c>
      <c r="AS16" s="84">
        <v>2326.9009999999998</v>
      </c>
      <c r="AT16" s="84">
        <v>2348.7170000000001</v>
      </c>
      <c r="AU16" s="84">
        <v>2362.933</v>
      </c>
      <c r="AV16" s="84">
        <v>2359.547</v>
      </c>
      <c r="AW16" s="84">
        <v>2382.355</v>
      </c>
      <c r="AX16" s="84">
        <v>2387.2800000000002</v>
      </c>
      <c r="AY16" s="84">
        <v>2383.9789999999998</v>
      </c>
      <c r="AZ16" s="84">
        <v>2388.1570000000002</v>
      </c>
      <c r="BA16" s="84">
        <v>2400.8620000000001</v>
      </c>
      <c r="BB16" s="84">
        <v>2416.0219999999999</v>
      </c>
      <c r="BC16" s="84">
        <v>2430.4250000000002</v>
      </c>
      <c r="BD16" s="84">
        <v>2442.817</v>
      </c>
      <c r="BE16" s="84">
        <v>2455.1379999999999</v>
      </c>
      <c r="BF16" s="84">
        <v>2445.3679999999999</v>
      </c>
      <c r="BG16" s="84">
        <v>2446.45048114167</v>
      </c>
      <c r="BH16" s="84">
        <v>2454.8587321192399</v>
      </c>
      <c r="BI16" s="84">
        <v>2466.5305406324001</v>
      </c>
      <c r="BJ16" s="84">
        <v>2480.4516611582799</v>
      </c>
      <c r="BK16" s="84">
        <v>2494.9385980858301</v>
      </c>
      <c r="BL16" s="84">
        <v>2510.9433133074299</v>
      </c>
      <c r="BM16" s="84">
        <v>2477.9759459029801</v>
      </c>
      <c r="BN16" s="84">
        <v>2516.0386671220299</v>
      </c>
      <c r="BO16" s="84">
        <v>2544.38773897178</v>
      </c>
      <c r="BP16" s="84">
        <v>2568.3092229101198</v>
      </c>
      <c r="BQ16" s="84"/>
      <c r="BR16" s="84"/>
      <c r="BS16" s="84"/>
      <c r="BT16" s="84"/>
    </row>
    <row r="17" spans="1:72" x14ac:dyDescent="0.65">
      <c r="A17" s="3" t="s">
        <v>133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/>
      <c r="N17" s="5"/>
      <c r="O17" s="5"/>
      <c r="P17" s="5"/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  <c r="Z17" s="5" t="s">
        <v>173</v>
      </c>
      <c r="AA17" s="5" t="s">
        <v>173</v>
      </c>
      <c r="AB17" s="5" t="s">
        <v>173</v>
      </c>
      <c r="AC17" s="5" t="s">
        <v>173</v>
      </c>
      <c r="AD17" s="5" t="s">
        <v>173</v>
      </c>
      <c r="AE17" s="5" t="s">
        <v>173</v>
      </c>
      <c r="AF17" s="5" t="s">
        <v>173</v>
      </c>
      <c r="AG17" s="17" t="s">
        <v>173</v>
      </c>
      <c r="AH17" s="17" t="s">
        <v>173</v>
      </c>
      <c r="AI17" s="17" t="s">
        <v>173</v>
      </c>
      <c r="AJ17" s="17" t="s">
        <v>173</v>
      </c>
      <c r="AK17" s="17" t="s">
        <v>173</v>
      </c>
      <c r="AL17" s="17" t="s">
        <v>173</v>
      </c>
      <c r="AM17" s="17" t="s">
        <v>173</v>
      </c>
      <c r="AN17" s="17" t="s">
        <v>173</v>
      </c>
      <c r="AO17" s="17" t="s">
        <v>173</v>
      </c>
      <c r="AP17" s="17" t="s">
        <v>173</v>
      </c>
      <c r="AQ17" s="17" t="s">
        <v>173</v>
      </c>
      <c r="AR17" s="17" t="s">
        <v>173</v>
      </c>
      <c r="AS17" s="17" t="s">
        <v>173</v>
      </c>
      <c r="AT17" s="17" t="s">
        <v>173</v>
      </c>
      <c r="AU17" s="17" t="s">
        <v>173</v>
      </c>
      <c r="AV17" s="17" t="s">
        <v>173</v>
      </c>
      <c r="AW17" s="17" t="s">
        <v>173</v>
      </c>
      <c r="AX17" s="17" t="s">
        <v>173</v>
      </c>
      <c r="AY17" s="17" t="s">
        <v>173</v>
      </c>
      <c r="AZ17" s="17" t="s">
        <v>173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</row>
    <row r="18" spans="1:72" x14ac:dyDescent="0.65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65">
      <c r="A19" s="1" t="s">
        <v>5</v>
      </c>
      <c r="B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</row>
    <row r="20" spans="1:72" x14ac:dyDescent="0.65">
      <c r="A20" s="82" t="s">
        <v>46</v>
      </c>
      <c r="B20" s="81" t="str">
        <f>$A$2</f>
        <v>IMF.RES.GAS:GAS_LIVE_2026_JAN_GAS1_VINTAGE</v>
      </c>
      <c r="C20" s="81" t="s">
        <v>644</v>
      </c>
      <c r="D20" s="82"/>
      <c r="E20" s="83">
        <v>92.524903552714903</v>
      </c>
      <c r="F20" s="83">
        <v>92.906646794118402</v>
      </c>
      <c r="G20" s="83">
        <v>93.4160288957452</v>
      </c>
      <c r="H20" s="83">
        <v>93.8850422243694</v>
      </c>
      <c r="I20" s="83">
        <v>94.257858501675798</v>
      </c>
      <c r="J20" s="83">
        <v>94.460662800611999</v>
      </c>
      <c r="K20" s="83">
        <v>94.923434394333796</v>
      </c>
      <c r="L20" s="83">
        <v>95.425758071946703</v>
      </c>
      <c r="M20" s="83">
        <v>95.787568229920893</v>
      </c>
      <c r="N20" s="83">
        <v>96.330123887187298</v>
      </c>
      <c r="O20" s="83">
        <v>96.725684390092795</v>
      </c>
      <c r="P20" s="83">
        <v>96.822162162162101</v>
      </c>
      <c r="Q20" s="83">
        <v>96.769095603912803</v>
      </c>
      <c r="R20" s="83">
        <v>97.325126981929699</v>
      </c>
      <c r="S20" s="83">
        <v>97.582911748173103</v>
      </c>
      <c r="T20" s="83">
        <v>97.580482950635698</v>
      </c>
      <c r="U20" s="83">
        <v>97.496013514580198</v>
      </c>
      <c r="V20" s="83">
        <v>98.158707843065201</v>
      </c>
      <c r="W20" s="83">
        <v>98.409721896665701</v>
      </c>
      <c r="X20" s="83">
        <v>98.886264271357803</v>
      </c>
      <c r="Y20" s="83">
        <v>99.390668254434601</v>
      </c>
      <c r="Z20" s="83">
        <v>99.649867482788096</v>
      </c>
      <c r="AA20" s="83">
        <v>100.161743164062</v>
      </c>
      <c r="AB20" s="83">
        <v>100.778075081479</v>
      </c>
      <c r="AC20" s="83">
        <v>101.41937028851299</v>
      </c>
      <c r="AD20" s="83">
        <v>102.13592714820901</v>
      </c>
      <c r="AE20" s="83">
        <v>102.57691283376499</v>
      </c>
      <c r="AF20" s="83">
        <v>103.018975715221</v>
      </c>
      <c r="AG20" s="84">
        <v>103.32817792047599</v>
      </c>
      <c r="AH20" s="84">
        <v>103.86170476111801</v>
      </c>
      <c r="AI20" s="84">
        <v>104.192714205524</v>
      </c>
      <c r="AJ20" s="84">
        <v>104.516473357667</v>
      </c>
      <c r="AK20" s="84">
        <v>105.031580167268</v>
      </c>
      <c r="AL20" s="84">
        <v>104.614215326554</v>
      </c>
      <c r="AM20" s="84">
        <v>105.57179615640899</v>
      </c>
      <c r="AN20" s="84">
        <v>106.229829885676</v>
      </c>
      <c r="AO20" s="84">
        <v>107.58273606519199</v>
      </c>
      <c r="AP20" s="84">
        <v>109.258006893367</v>
      </c>
      <c r="AQ20" s="84">
        <v>110.93820832832201</v>
      </c>
      <c r="AR20" s="84">
        <v>112.847053259174</v>
      </c>
      <c r="AS20" s="84">
        <v>115.126272643131</v>
      </c>
      <c r="AT20" s="84">
        <v>117.72795556971801</v>
      </c>
      <c r="AU20" s="84">
        <v>119.030896337274</v>
      </c>
      <c r="AV20" s="84">
        <v>120.164016105358</v>
      </c>
      <c r="AW20" s="84">
        <v>121.287366976238</v>
      </c>
      <c r="AX20" s="84">
        <v>121.919798055844</v>
      </c>
      <c r="AY20" s="84">
        <v>122.9140580535</v>
      </c>
      <c r="AZ20" s="84">
        <v>123.40430150474501</v>
      </c>
      <c r="BA20" s="84">
        <v>124.374298698991</v>
      </c>
      <c r="BB20" s="84">
        <v>125.166942219741</v>
      </c>
      <c r="BC20" s="84">
        <v>125.696165870196</v>
      </c>
      <c r="BD20" s="84">
        <v>126.450299959722</v>
      </c>
      <c r="BE20" s="84">
        <v>127.577054721804</v>
      </c>
      <c r="BF20" s="84">
        <v>128.24744436498199</v>
      </c>
      <c r="BG20" s="84">
        <v>128.672343727677</v>
      </c>
      <c r="BH20" s="84">
        <v>129.39710343975699</v>
      </c>
      <c r="BI20" s="84">
        <v>130.00030970023801</v>
      </c>
      <c r="BJ20" s="84">
        <v>130.518397863486</v>
      </c>
      <c r="BK20" s="84">
        <v>131.04611096789699</v>
      </c>
      <c r="BL20" s="84">
        <v>131.57577818780501</v>
      </c>
      <c r="BM20" s="84">
        <v>132.46959305503901</v>
      </c>
      <c r="BN20" s="84">
        <v>132.82956448138501</v>
      </c>
      <c r="BO20" s="84">
        <v>133.46366983223299</v>
      </c>
      <c r="BP20" s="84">
        <v>133.79113554722301</v>
      </c>
      <c r="BQ20" s="84"/>
      <c r="BR20" s="84"/>
      <c r="BS20" s="84"/>
      <c r="BT20" s="84"/>
    </row>
    <row r="21" spans="1:72" x14ac:dyDescent="0.65">
      <c r="A21" s="82" t="s">
        <v>93</v>
      </c>
      <c r="B21" s="81" t="str">
        <f t="shared" ref="B21:B27" si="3">$A$2</f>
        <v>IMF.RES.GAS:GAS_LIVE_2026_JAN_GAS1_VINTAGE</v>
      </c>
      <c r="C21" s="81" t="s">
        <v>645</v>
      </c>
      <c r="D21" s="82"/>
      <c r="E21" s="83">
        <v>89.538253230015798</v>
      </c>
      <c r="F21" s="83">
        <v>89.775409771053205</v>
      </c>
      <c r="G21" s="83">
        <v>90.153927661500404</v>
      </c>
      <c r="H21" s="83">
        <v>90.323906182996495</v>
      </c>
      <c r="I21" s="83">
        <v>90.834617625089393</v>
      </c>
      <c r="J21" s="83">
        <v>91.046529887728497</v>
      </c>
      <c r="K21" s="83">
        <v>91.162412193006006</v>
      </c>
      <c r="L21" s="83">
        <v>91.223585048425306</v>
      </c>
      <c r="M21" s="83">
        <v>91.641640134023703</v>
      </c>
      <c r="N21" s="83">
        <v>91.830203577827206</v>
      </c>
      <c r="O21" s="83">
        <v>91.984790695304895</v>
      </c>
      <c r="P21" s="83">
        <v>92.246986871057004</v>
      </c>
      <c r="Q21" s="83">
        <v>92.712787747490594</v>
      </c>
      <c r="R21" s="83">
        <v>93.107814572247904</v>
      </c>
      <c r="S21" s="83">
        <v>93.432858774545096</v>
      </c>
      <c r="T21" s="83">
        <v>93.551460403513801</v>
      </c>
      <c r="U21" s="83">
        <v>93.7917666261188</v>
      </c>
      <c r="V21" s="83">
        <v>93.949980789920602</v>
      </c>
      <c r="W21" s="83">
        <v>94.187043288580995</v>
      </c>
      <c r="X21" s="83">
        <v>94.267482001729704</v>
      </c>
      <c r="Y21" s="83">
        <v>94.636892329753096</v>
      </c>
      <c r="Z21" s="85">
        <v>95.030487576571502</v>
      </c>
      <c r="AA21" s="85">
        <v>95.240832444336505</v>
      </c>
      <c r="AB21" s="85">
        <v>95.589363179057599</v>
      </c>
      <c r="AC21" s="85">
        <v>96.022339255437899</v>
      </c>
      <c r="AD21" s="85">
        <v>96.275283806722697</v>
      </c>
      <c r="AE21" s="85">
        <v>96.772111223907103</v>
      </c>
      <c r="AF21" s="85">
        <v>97.239162493508999</v>
      </c>
      <c r="AG21" s="84">
        <v>97.576583594665607</v>
      </c>
      <c r="AH21" s="84">
        <v>97.916603280992305</v>
      </c>
      <c r="AI21" s="84">
        <v>98.401013946932295</v>
      </c>
      <c r="AJ21" s="84">
        <v>98.980782370460005</v>
      </c>
      <c r="AK21" s="84">
        <v>99.4425896650353</v>
      </c>
      <c r="AL21" s="84">
        <v>100.616206344804</v>
      </c>
      <c r="AM21" s="84">
        <v>99.617892248158697</v>
      </c>
      <c r="AN21" s="84">
        <v>100.390312073502</v>
      </c>
      <c r="AO21" s="84">
        <v>100.89920153205</v>
      </c>
      <c r="AP21" s="84">
        <v>101.258395295398</v>
      </c>
      <c r="AQ21" s="84">
        <v>102.49625328302901</v>
      </c>
      <c r="AR21" s="84">
        <v>103.664548244141</v>
      </c>
      <c r="AS21" s="84">
        <v>105.198070784756</v>
      </c>
      <c r="AT21" s="84">
        <v>106.538881216673</v>
      </c>
      <c r="AU21" s="84">
        <v>107.879174914549</v>
      </c>
      <c r="AV21" s="84">
        <v>110.00802775986899</v>
      </c>
      <c r="AW21" s="84">
        <v>112.160328734996</v>
      </c>
      <c r="AX21" s="84">
        <v>113.420519570374</v>
      </c>
      <c r="AY21" s="84">
        <v>114.26599559162899</v>
      </c>
      <c r="AZ21" s="84">
        <v>115.444544267363</v>
      </c>
      <c r="BA21" s="84">
        <v>116.200874861494</v>
      </c>
      <c r="BB21" s="84">
        <v>116.789775289594</v>
      </c>
      <c r="BC21" s="84">
        <v>117.435671733132</v>
      </c>
      <c r="BD21" s="84">
        <v>118.363408006564</v>
      </c>
      <c r="BE21" s="84">
        <v>118.846584146849</v>
      </c>
      <c r="BF21" s="84">
        <v>119.70531747249601</v>
      </c>
      <c r="BG21" s="84">
        <v>119.783907140396</v>
      </c>
      <c r="BH21" s="84">
        <v>120.546671733859</v>
      </c>
      <c r="BI21" s="84">
        <v>121.27609269822401</v>
      </c>
      <c r="BJ21" s="84">
        <v>122.246506327853</v>
      </c>
      <c r="BK21" s="84">
        <v>122.202978763749</v>
      </c>
      <c r="BL21" s="84">
        <v>122.608033506545</v>
      </c>
      <c r="BM21" s="84">
        <v>123.75526621762199</v>
      </c>
      <c r="BN21" s="84">
        <v>124.841641331427</v>
      </c>
      <c r="BO21" s="84">
        <v>124.670904257865</v>
      </c>
      <c r="BP21" s="84">
        <v>124.70464479957801</v>
      </c>
      <c r="BQ21" s="84"/>
      <c r="BR21" s="84"/>
      <c r="BS21" s="84"/>
      <c r="BT21" s="84"/>
    </row>
    <row r="22" spans="1:72" x14ac:dyDescent="0.65">
      <c r="A22" s="82" t="s">
        <v>116</v>
      </c>
      <c r="B22" s="81" t="str">
        <f t="shared" si="3"/>
        <v>IMF.RES.GAS:GAS_LIVE_2026_JAN_GAS1_VINTAGE</v>
      </c>
      <c r="C22" s="81" t="s">
        <v>646</v>
      </c>
      <c r="D22" s="82"/>
      <c r="E22" s="83">
        <v>87.278295537921196</v>
      </c>
      <c r="F22" s="83">
        <v>86.520722567839897</v>
      </c>
      <c r="G22" s="83">
        <v>86.831278683013593</v>
      </c>
      <c r="H22" s="83">
        <v>87.437067477230997</v>
      </c>
      <c r="I22" s="83">
        <v>88.077949002643606</v>
      </c>
      <c r="J22" s="83">
        <v>88.659758132579697</v>
      </c>
      <c r="K22" s="83">
        <v>88.886837781220294</v>
      </c>
      <c r="L22" s="83">
        <v>88.923826517507194</v>
      </c>
      <c r="M22" s="83">
        <v>89.788580468502502</v>
      </c>
      <c r="N22" s="83">
        <v>90.193166739815894</v>
      </c>
      <c r="O22" s="83">
        <v>90.606291123041302</v>
      </c>
      <c r="P22" s="83">
        <v>90.697969857862404</v>
      </c>
      <c r="Q22" s="83">
        <v>91.359983523315606</v>
      </c>
      <c r="R22" s="83">
        <v>91.776043141248195</v>
      </c>
      <c r="S22" s="83">
        <v>92.428345671179301</v>
      </c>
      <c r="T22" s="83">
        <v>92.876988692596399</v>
      </c>
      <c r="U22" s="83">
        <v>92.285553306618397</v>
      </c>
      <c r="V22" s="83">
        <v>94.192621638248298</v>
      </c>
      <c r="W22" s="83">
        <v>93.418788222321496</v>
      </c>
      <c r="X22" s="83">
        <v>93.473986157781596</v>
      </c>
      <c r="Y22" s="83">
        <v>94.466200785502394</v>
      </c>
      <c r="Z22" s="83">
        <v>94.319245514718205</v>
      </c>
      <c r="AA22" s="83">
        <v>94.633646253286201</v>
      </c>
      <c r="AB22" s="83">
        <v>94.288412724309794</v>
      </c>
      <c r="AC22" s="83">
        <v>95.552460323043306</v>
      </c>
      <c r="AD22" s="83">
        <v>96.216818399694205</v>
      </c>
      <c r="AE22" s="83">
        <v>96.246432558650397</v>
      </c>
      <c r="AF22" s="83">
        <v>96.7285500136894</v>
      </c>
      <c r="AG22" s="84">
        <v>97.4368182080037</v>
      </c>
      <c r="AH22" s="84">
        <v>97.929120764682395</v>
      </c>
      <c r="AI22" s="84">
        <v>98.709898186441904</v>
      </c>
      <c r="AJ22" s="84">
        <v>98.326508093333203</v>
      </c>
      <c r="AK22" s="84">
        <v>100.141183649911</v>
      </c>
      <c r="AL22" s="84">
        <v>100.728064629619</v>
      </c>
      <c r="AM22" s="84">
        <v>99.7019877972579</v>
      </c>
      <c r="AN22" s="84">
        <v>100.152906225873</v>
      </c>
      <c r="AO22" s="84">
        <v>101.406974483691</v>
      </c>
      <c r="AP22" s="84">
        <v>101.694005269488</v>
      </c>
      <c r="AQ22" s="84">
        <v>103.870971444566</v>
      </c>
      <c r="AR22" s="84">
        <v>104.77546484892299</v>
      </c>
      <c r="AS22" s="84">
        <v>107.12266481260301</v>
      </c>
      <c r="AT22" s="84">
        <v>109.09304531989</v>
      </c>
      <c r="AU22" s="84">
        <v>109.905873127033</v>
      </c>
      <c r="AV22" s="84">
        <v>111.806513571683</v>
      </c>
      <c r="AW22" s="84">
        <v>115.20731061375299</v>
      </c>
      <c r="AX22" s="84">
        <v>115.87423831362</v>
      </c>
      <c r="AY22" s="84">
        <v>116.868305753217</v>
      </c>
      <c r="AZ22" s="84">
        <v>118.382694901018</v>
      </c>
      <c r="BA22" s="84">
        <v>118.754814849745</v>
      </c>
      <c r="BB22" s="84">
        <v>120.13967854276601</v>
      </c>
      <c r="BC22" s="84">
        <v>120.721492898374</v>
      </c>
      <c r="BD22" s="84">
        <v>121.068904617561</v>
      </c>
      <c r="BE22" s="84">
        <v>121.321383128181</v>
      </c>
      <c r="BF22" s="84">
        <v>123.035178267525</v>
      </c>
      <c r="BG22" s="84">
        <v>123.80681275012201</v>
      </c>
      <c r="BH22" s="84">
        <v>123.223494388953</v>
      </c>
      <c r="BI22" s="84">
        <v>124.048371085605</v>
      </c>
      <c r="BJ22" s="84">
        <v>125.12814204842699</v>
      </c>
      <c r="BK22" s="84">
        <v>126.419739933328</v>
      </c>
      <c r="BL22" s="84">
        <v>126.320794137325</v>
      </c>
      <c r="BM22" s="84">
        <v>126.83665461293</v>
      </c>
      <c r="BN22" s="84">
        <v>127.256709446521</v>
      </c>
      <c r="BO22" s="84">
        <v>129.087812615502</v>
      </c>
      <c r="BP22" s="84">
        <v>129.49594645576701</v>
      </c>
      <c r="BQ22" s="84"/>
      <c r="BR22" s="84"/>
      <c r="BS22" s="84"/>
      <c r="BT22" s="84"/>
    </row>
    <row r="23" spans="1:72" x14ac:dyDescent="0.65">
      <c r="A23" s="82" t="s">
        <v>118</v>
      </c>
      <c r="B23" s="81" t="str">
        <f t="shared" si="3"/>
        <v>IMF.RES.GAS:GAS_LIVE_2026_JAN_GAS1_VINTAGE</v>
      </c>
      <c r="C23" s="81" t="s">
        <v>647</v>
      </c>
      <c r="D23" s="82"/>
      <c r="E23" s="83">
        <v>91.179969271359795</v>
      </c>
      <c r="F23" s="83">
        <v>91.552885266488502</v>
      </c>
      <c r="G23" s="83">
        <v>91.816229012318601</v>
      </c>
      <c r="H23" s="83">
        <v>91.807812505480399</v>
      </c>
      <c r="I23" s="83">
        <v>92.263890687961407</v>
      </c>
      <c r="J23" s="83">
        <v>92.400672565204601</v>
      </c>
      <c r="K23" s="83">
        <v>92.288278573043598</v>
      </c>
      <c r="L23" s="83">
        <v>92.123961427153802</v>
      </c>
      <c r="M23" s="83">
        <v>92.503690847044993</v>
      </c>
      <c r="N23" s="83">
        <v>92.690232433019602</v>
      </c>
      <c r="O23" s="83">
        <v>92.825614629097799</v>
      </c>
      <c r="P23" s="83">
        <v>93.146177649563299</v>
      </c>
      <c r="Q23" s="83">
        <v>93.424215246636706</v>
      </c>
      <c r="R23" s="83">
        <v>93.690357912275104</v>
      </c>
      <c r="S23" s="83">
        <v>94.056899023644306</v>
      </c>
      <c r="T23" s="83">
        <v>94.217605033309596</v>
      </c>
      <c r="U23" s="83">
        <v>94.366974683051296</v>
      </c>
      <c r="V23" s="83">
        <v>94.241586375356206</v>
      </c>
      <c r="W23" s="83">
        <v>94.373896751154405</v>
      </c>
      <c r="X23" s="83">
        <v>94.386189365946393</v>
      </c>
      <c r="Y23" s="83">
        <v>94.646446404264694</v>
      </c>
      <c r="Z23" s="83">
        <v>94.879105195904302</v>
      </c>
      <c r="AA23" s="83">
        <v>94.911078998231901</v>
      </c>
      <c r="AB23" s="83">
        <v>95.088470427144301</v>
      </c>
      <c r="AC23" s="83">
        <v>95.527824521101607</v>
      </c>
      <c r="AD23" s="83">
        <v>95.643057916067406</v>
      </c>
      <c r="AE23" s="83">
        <v>96.207017692235098</v>
      </c>
      <c r="AF23" s="83">
        <v>96.392176107004602</v>
      </c>
      <c r="AG23" s="84">
        <v>96.659420880978701</v>
      </c>
      <c r="AH23" s="84">
        <v>96.954984935590502</v>
      </c>
      <c r="AI23" s="84">
        <v>97.257637030649903</v>
      </c>
      <c r="AJ23" s="84">
        <v>97.537681372580295</v>
      </c>
      <c r="AK23" s="84">
        <v>98.857108210934697</v>
      </c>
      <c r="AL23" s="84">
        <v>102.273899925386</v>
      </c>
      <c r="AM23" s="84">
        <v>99.118898048905393</v>
      </c>
      <c r="AN23" s="84">
        <v>100.048941677833</v>
      </c>
      <c r="AO23" s="84">
        <v>100.62901840633199</v>
      </c>
      <c r="AP23" s="84">
        <v>101.09727932384401</v>
      </c>
      <c r="AQ23" s="84">
        <v>101.353062243726</v>
      </c>
      <c r="AR23" s="84">
        <v>101.774589211067</v>
      </c>
      <c r="AS23" s="84">
        <v>102.70620678300899</v>
      </c>
      <c r="AT23" s="84">
        <v>103.275732437191</v>
      </c>
      <c r="AU23" s="84">
        <v>104.76885682923</v>
      </c>
      <c r="AV23" s="84">
        <v>106.33557604737599</v>
      </c>
      <c r="AW23" s="84">
        <v>107.919818279746</v>
      </c>
      <c r="AX23" s="84">
        <v>109.382843666727</v>
      </c>
      <c r="AY23" s="84">
        <v>109.83137871787299</v>
      </c>
      <c r="AZ23" s="84">
        <v>110.75744301501599</v>
      </c>
      <c r="BA23" s="84">
        <v>111.207620451178</v>
      </c>
      <c r="BB23" s="84">
        <v>111.12153069871</v>
      </c>
      <c r="BC23" s="84">
        <v>112.35773226567299</v>
      </c>
      <c r="BD23" s="84">
        <v>112.376016045925</v>
      </c>
      <c r="BE23" s="84">
        <v>112.85207050031001</v>
      </c>
      <c r="BF23" s="84">
        <v>113.067810271149</v>
      </c>
      <c r="BG23" s="84">
        <v>113.14695952519099</v>
      </c>
      <c r="BH23" s="84">
        <v>113.35270779476799</v>
      </c>
      <c r="BI23" s="84">
        <v>113.953475958407</v>
      </c>
      <c r="BJ23" s="84">
        <v>114.557430931318</v>
      </c>
      <c r="BK23" s="84">
        <v>115.164586875474</v>
      </c>
      <c r="BL23" s="84">
        <v>115.657421233946</v>
      </c>
      <c r="BM23" s="84">
        <v>115.06563083366299</v>
      </c>
      <c r="BN23" s="84">
        <v>116.066676714728</v>
      </c>
      <c r="BO23" s="84">
        <v>117.218192392044</v>
      </c>
      <c r="BP23" s="84">
        <v>118.00899463915501</v>
      </c>
      <c r="BQ23" s="84"/>
      <c r="BR23" s="84"/>
      <c r="BS23" s="84"/>
      <c r="BT23" s="84"/>
    </row>
    <row r="24" spans="1:72" x14ac:dyDescent="0.65">
      <c r="A24" s="82" t="s">
        <v>117</v>
      </c>
      <c r="B24" s="81" t="str">
        <f t="shared" si="3"/>
        <v>IMF.RES.GAS:GAS_LIVE_2026_JAN_GAS1_VINTAGE</v>
      </c>
      <c r="C24" s="81" t="s">
        <v>648</v>
      </c>
      <c r="D24" s="82"/>
      <c r="E24" s="83">
        <v>91.589671432578797</v>
      </c>
      <c r="F24" s="83">
        <v>91.702205461720098</v>
      </c>
      <c r="G24" s="83">
        <v>92.111267230201307</v>
      </c>
      <c r="H24" s="83">
        <v>92.3283426571994</v>
      </c>
      <c r="I24" s="83">
        <v>92.284275147045904</v>
      </c>
      <c r="J24" s="83">
        <v>93.0240727347866</v>
      </c>
      <c r="K24" s="83">
        <v>93.175519656910794</v>
      </c>
      <c r="L24" s="83">
        <v>93.3757512459689</v>
      </c>
      <c r="M24" s="83">
        <v>93.573333699955995</v>
      </c>
      <c r="N24" s="83">
        <v>93.745691402501393</v>
      </c>
      <c r="O24" s="83">
        <v>93.732626247360997</v>
      </c>
      <c r="P24" s="83">
        <v>94.167360046210007</v>
      </c>
      <c r="Q24" s="83">
        <v>94.285303140011095</v>
      </c>
      <c r="R24" s="83">
        <v>94.496798824187806</v>
      </c>
      <c r="S24" s="83">
        <v>94.783884283423703</v>
      </c>
      <c r="T24" s="83">
        <v>94.589244548409894</v>
      </c>
      <c r="U24" s="83">
        <v>95.658615020505493</v>
      </c>
      <c r="V24" s="83">
        <v>95.636927899968896</v>
      </c>
      <c r="W24" s="83">
        <v>95.772786432127006</v>
      </c>
      <c r="X24" s="83">
        <v>95.810785822971994</v>
      </c>
      <c r="Y24" s="83">
        <v>95.964513446077007</v>
      </c>
      <c r="Z24" s="83">
        <v>96.313283623308394</v>
      </c>
      <c r="AA24" s="83">
        <v>96.400505517239793</v>
      </c>
      <c r="AB24" s="83">
        <v>96.9028857580102</v>
      </c>
      <c r="AC24" s="83">
        <v>97.367646542029803</v>
      </c>
      <c r="AD24" s="83">
        <v>97.352685890635499</v>
      </c>
      <c r="AE24" s="83">
        <v>97.441135597455599</v>
      </c>
      <c r="AF24" s="83">
        <v>97.554067521023796</v>
      </c>
      <c r="AG24" s="84">
        <v>97.902573697776901</v>
      </c>
      <c r="AH24" s="84">
        <v>98.074497420774705</v>
      </c>
      <c r="AI24" s="84">
        <v>98.661285323251604</v>
      </c>
      <c r="AJ24" s="84">
        <v>99.161085221384496</v>
      </c>
      <c r="AK24" s="84">
        <v>98.973655132305893</v>
      </c>
      <c r="AL24" s="84">
        <v>100.432231924665</v>
      </c>
      <c r="AM24" s="84">
        <v>100.069344267617</v>
      </c>
      <c r="AN24" s="84">
        <v>100.57644511588001</v>
      </c>
      <c r="AO24" s="84">
        <v>100.297572899659</v>
      </c>
      <c r="AP24" s="84">
        <v>101.07232758294499</v>
      </c>
      <c r="AQ24" s="84">
        <v>101.726069998349</v>
      </c>
      <c r="AR24" s="84">
        <v>101.97975330083599</v>
      </c>
      <c r="AS24" s="84">
        <v>103.105431798347</v>
      </c>
      <c r="AT24" s="84">
        <v>104.460688806527</v>
      </c>
      <c r="AU24" s="84">
        <v>104.79079039378701</v>
      </c>
      <c r="AV24" s="84">
        <v>106.744701890531</v>
      </c>
      <c r="AW24" s="84">
        <v>109.34760711580201</v>
      </c>
      <c r="AX24" s="84">
        <v>111.10877182742701</v>
      </c>
      <c r="AY24" s="84">
        <v>111.500699510342</v>
      </c>
      <c r="AZ24" s="84">
        <v>111.956569181494</v>
      </c>
      <c r="BA24" s="84">
        <v>112.82514728251</v>
      </c>
      <c r="BB24" s="84">
        <v>112.899097804457</v>
      </c>
      <c r="BC24" s="84">
        <v>113.447326954494</v>
      </c>
      <c r="BD24" s="84">
        <v>114.127213738091</v>
      </c>
      <c r="BE24" s="84">
        <v>114.41876658371299</v>
      </c>
      <c r="BF24" s="84">
        <v>115.542443397121</v>
      </c>
      <c r="BG24" s="84">
        <v>116.235698057503</v>
      </c>
      <c r="BH24" s="84">
        <v>116.93311224584799</v>
      </c>
      <c r="BI24" s="84">
        <v>117.31379886260299</v>
      </c>
      <c r="BJ24" s="84">
        <v>117.695724840026</v>
      </c>
      <c r="BK24" s="84">
        <v>118.078894212972</v>
      </c>
      <c r="BL24" s="84">
        <v>118.46331102943</v>
      </c>
      <c r="BM24" s="84">
        <v>120.282081466995</v>
      </c>
      <c r="BN24" s="84">
        <v>119.889135440979</v>
      </c>
      <c r="BO24" s="84">
        <v>119.951318670281</v>
      </c>
      <c r="BP24" s="84">
        <v>120.01353415233</v>
      </c>
      <c r="BQ24" s="84"/>
      <c r="BR24" s="84"/>
      <c r="BS24" s="84"/>
      <c r="BT24" s="84"/>
    </row>
    <row r="25" spans="1:72" x14ac:dyDescent="0.65">
      <c r="A25" s="82" t="s">
        <v>47</v>
      </c>
      <c r="B25" s="81" t="str">
        <f t="shared" si="3"/>
        <v>IMF.RES.GAS:GAS_LIVE_2026_JAN_GAS1_VINTAGE</v>
      </c>
      <c r="C25" s="81" t="s">
        <v>649</v>
      </c>
      <c r="D25" s="82"/>
      <c r="E25" s="83">
        <v>97.070265164521004</v>
      </c>
      <c r="F25" s="83">
        <v>96.584389332847195</v>
      </c>
      <c r="G25" s="83">
        <v>96.460971645085195</v>
      </c>
      <c r="H25" s="83">
        <v>96.476136499675803</v>
      </c>
      <c r="I25" s="83">
        <v>96.233524972356193</v>
      </c>
      <c r="J25" s="83">
        <v>96.240208015845695</v>
      </c>
      <c r="K25" s="83">
        <v>96.342591844700706</v>
      </c>
      <c r="L25" s="83">
        <v>96.388878753191307</v>
      </c>
      <c r="M25" s="83">
        <v>96.367742265237297</v>
      </c>
      <c r="N25" s="83">
        <v>98.382002179465701</v>
      </c>
      <c r="O25" s="83">
        <v>98.376058171254499</v>
      </c>
      <c r="P25" s="83">
        <v>98.652169074166693</v>
      </c>
      <c r="Q25" s="83">
        <v>99.486906706809094</v>
      </c>
      <c r="R25" s="83">
        <v>99.980549814210704</v>
      </c>
      <c r="S25" s="83">
        <v>100.211819419675</v>
      </c>
      <c r="T25" s="83">
        <v>100.274864877779</v>
      </c>
      <c r="U25" s="83">
        <v>100.610765247175</v>
      </c>
      <c r="V25" s="83">
        <v>100.42569896191399</v>
      </c>
      <c r="W25" s="83">
        <v>100.26145288121</v>
      </c>
      <c r="X25" s="83">
        <v>100.30710523475101</v>
      </c>
      <c r="Y25" s="83">
        <v>100.102568001561</v>
      </c>
      <c r="Z25" s="83">
        <v>100.22724724091999</v>
      </c>
      <c r="AA25" s="83">
        <v>100.5488787619</v>
      </c>
      <c r="AB25" s="83">
        <v>100.43974939083</v>
      </c>
      <c r="AC25" s="83">
        <v>100.658041423732</v>
      </c>
      <c r="AD25" s="83">
        <v>100.33948745993401</v>
      </c>
      <c r="AE25" s="83">
        <v>100.211217096567</v>
      </c>
      <c r="AF25" s="83">
        <v>100.126991960251</v>
      </c>
      <c r="AG25" s="84">
        <v>100.839155261318</v>
      </c>
      <c r="AH25" s="84">
        <v>100.758543812893</v>
      </c>
      <c r="AI25" s="84">
        <v>100.67970212020499</v>
      </c>
      <c r="AJ25" s="84">
        <v>101.604565532116</v>
      </c>
      <c r="AK25" s="84">
        <v>101.841137674216</v>
      </c>
      <c r="AL25" s="84">
        <v>102.15767463259</v>
      </c>
      <c r="AM25" s="84">
        <v>101.89474430473599</v>
      </c>
      <c r="AN25" s="84">
        <v>101.80563442479701</v>
      </c>
      <c r="AO25" s="84">
        <v>101.861934365731</v>
      </c>
      <c r="AP25" s="84">
        <v>101.763817911831</v>
      </c>
      <c r="AQ25" s="84">
        <v>101.711949221932</v>
      </c>
      <c r="AR25" s="84">
        <v>101.527066370715</v>
      </c>
      <c r="AS25" s="84">
        <v>102.101256287574</v>
      </c>
      <c r="AT25" s="84">
        <v>101.69081445952099</v>
      </c>
      <c r="AU25" s="84">
        <v>101.565961383661</v>
      </c>
      <c r="AV25" s="84">
        <v>103.088464888584</v>
      </c>
      <c r="AW25" s="84">
        <v>104.466587329235</v>
      </c>
      <c r="AX25" s="84">
        <v>106.040781163029</v>
      </c>
      <c r="AY25" s="84">
        <v>107.047661506916</v>
      </c>
      <c r="AZ25" s="84">
        <v>107.49438565271301</v>
      </c>
      <c r="BA25" s="84">
        <v>107.74116763306</v>
      </c>
      <c r="BB25" s="84">
        <v>109.327765594067</v>
      </c>
      <c r="BC25" s="84">
        <v>109.691857243521</v>
      </c>
      <c r="BD25" s="84">
        <v>110.480455625315</v>
      </c>
      <c r="BE25" s="84">
        <v>111.37989467725799</v>
      </c>
      <c r="BF25" s="84">
        <v>112.55716145990201</v>
      </c>
      <c r="BG25" s="84">
        <v>112.45689028983701</v>
      </c>
      <c r="BH25" s="84">
        <v>113.141145420942</v>
      </c>
      <c r="BI25" s="84">
        <v>113.91158154135</v>
      </c>
      <c r="BJ25" s="84">
        <v>114.214455160779</v>
      </c>
      <c r="BK25" s="84">
        <v>114.79407212064901</v>
      </c>
      <c r="BL25" s="84">
        <v>115.41096520164101</v>
      </c>
      <c r="BM25" s="84">
        <v>116.500814144701</v>
      </c>
      <c r="BN25" s="84">
        <v>115.89615088437399</v>
      </c>
      <c r="BO25" s="84">
        <v>117.17982739943901</v>
      </c>
      <c r="BP25" s="84">
        <v>117.72632174810001</v>
      </c>
      <c r="BQ25" s="84"/>
      <c r="BR25" s="84"/>
      <c r="BS25" s="84"/>
      <c r="BT25" s="84"/>
    </row>
    <row r="26" spans="1:72" x14ac:dyDescent="0.65">
      <c r="A26" s="82" t="s">
        <v>49</v>
      </c>
      <c r="B26" s="81" t="str">
        <f t="shared" si="3"/>
        <v>IMF.RES.GAS:GAS_LIVE_2026_JAN_GAS1_VINTAGE</v>
      </c>
      <c r="C26" s="81" t="s">
        <v>650</v>
      </c>
      <c r="D26" s="82"/>
      <c r="E26" s="83">
        <v>79.755776817584007</v>
      </c>
      <c r="F26" s="83">
        <v>79.926381937430193</v>
      </c>
      <c r="G26" s="83">
        <v>80.2958712177671</v>
      </c>
      <c r="H26" s="83">
        <v>80.805985960148305</v>
      </c>
      <c r="I26" s="83">
        <v>81.469178807897705</v>
      </c>
      <c r="J26" s="83">
        <v>81.629695006887104</v>
      </c>
      <c r="K26" s="83">
        <v>82.188168419818894</v>
      </c>
      <c r="L26" s="83">
        <v>82.258613193526003</v>
      </c>
      <c r="M26" s="83">
        <v>82.586979391284103</v>
      </c>
      <c r="N26" s="83">
        <v>82.518043877417796</v>
      </c>
      <c r="O26" s="83">
        <v>83.489269000557002</v>
      </c>
      <c r="P26" s="83">
        <v>83.2702922206621</v>
      </c>
      <c r="Q26" s="83">
        <v>83.401563735394802</v>
      </c>
      <c r="R26" s="83">
        <v>83.222187880343498</v>
      </c>
      <c r="S26" s="83">
        <v>83.488855951958399</v>
      </c>
      <c r="T26" s="83">
        <v>83.944449441934097</v>
      </c>
      <c r="U26" s="83">
        <v>84.412094257985501</v>
      </c>
      <c r="V26" s="83">
        <v>84.628794462642801</v>
      </c>
      <c r="W26" s="83">
        <v>85.481927299541098</v>
      </c>
      <c r="X26" s="83">
        <v>86.085099308538403</v>
      </c>
      <c r="Y26" s="83">
        <v>86.439118270995493</v>
      </c>
      <c r="Z26" s="83">
        <v>86.539078799550595</v>
      </c>
      <c r="AA26" s="83">
        <v>86.593151383561306</v>
      </c>
      <c r="AB26" s="83">
        <v>87.361229295707702</v>
      </c>
      <c r="AC26" s="83">
        <v>87.531992386100498</v>
      </c>
      <c r="AD26" s="83">
        <v>88.142322405495406</v>
      </c>
      <c r="AE26" s="83">
        <v>88.608601942416399</v>
      </c>
      <c r="AF26" s="83">
        <v>89.316620828494194</v>
      </c>
      <c r="AG26" s="84">
        <v>89.287340471203507</v>
      </c>
      <c r="AH26" s="84">
        <v>90.151786568274701</v>
      </c>
      <c r="AI26" s="84">
        <v>90.626936691418706</v>
      </c>
      <c r="AJ26" s="84">
        <v>91.070764565079799</v>
      </c>
      <c r="AK26" s="84">
        <v>91.925505896126893</v>
      </c>
      <c r="AL26" s="84">
        <v>98.835749083066702</v>
      </c>
      <c r="AM26" s="84">
        <v>94.873882071916995</v>
      </c>
      <c r="AN26" s="84">
        <v>94.264979713783703</v>
      </c>
      <c r="AO26" s="84">
        <v>95.319191156798794</v>
      </c>
      <c r="AP26" s="84">
        <v>93.915616177668198</v>
      </c>
      <c r="AQ26" s="84">
        <v>94.531885958284704</v>
      </c>
      <c r="AR26" s="84">
        <v>95.595524758562306</v>
      </c>
      <c r="AS26" s="84">
        <v>97.011359789175501</v>
      </c>
      <c r="AT26" s="84">
        <v>99.082625487518499</v>
      </c>
      <c r="AU26" s="84">
        <v>100.724076983814</v>
      </c>
      <c r="AV26" s="84">
        <v>103.15719413794599</v>
      </c>
      <c r="AW26" s="84">
        <v>104.97093444803799</v>
      </c>
      <c r="AX26" s="84">
        <v>106.785317018909</v>
      </c>
      <c r="AY26" s="84">
        <v>107.797870814264</v>
      </c>
      <c r="AZ26" s="84">
        <v>108.00270453436001</v>
      </c>
      <c r="BA26" s="84">
        <v>109.31230880506401</v>
      </c>
      <c r="BB26" s="84">
        <v>110.099739741611</v>
      </c>
      <c r="BC26" s="84">
        <v>112.063739431955</v>
      </c>
      <c r="BD26" s="84">
        <v>113.220258233468</v>
      </c>
      <c r="BE26" s="84">
        <v>114.086315991208</v>
      </c>
      <c r="BF26" s="84">
        <v>114.565598098726</v>
      </c>
      <c r="BG26" s="84">
        <v>115.753447133012</v>
      </c>
      <c r="BH26" s="84">
        <v>116.047514275057</v>
      </c>
      <c r="BI26" s="84">
        <v>116.987832850327</v>
      </c>
      <c r="BJ26" s="84">
        <v>117.486906880013</v>
      </c>
      <c r="BK26" s="84">
        <v>118.29428197551999</v>
      </c>
      <c r="BL26" s="84">
        <v>118.398058198916</v>
      </c>
      <c r="BM26" s="84">
        <v>119.96314295985</v>
      </c>
      <c r="BN26" s="84">
        <v>120.48270612909501</v>
      </c>
      <c r="BO26" s="84">
        <v>120.89088916742099</v>
      </c>
      <c r="BP26" s="84">
        <v>120.796212420785</v>
      </c>
      <c r="BQ26" s="84"/>
      <c r="BR26" s="84"/>
      <c r="BS26" s="84"/>
      <c r="BT26" s="84"/>
    </row>
    <row r="27" spans="1:72" x14ac:dyDescent="0.65">
      <c r="A27" s="82" t="s">
        <v>48</v>
      </c>
      <c r="B27" s="81" t="str">
        <f t="shared" si="3"/>
        <v>IMF.RES.GAS:GAS_LIVE_2026_JAN_GAS1_VINTAGE</v>
      </c>
      <c r="C27" s="81" t="s">
        <v>651</v>
      </c>
      <c r="D27" s="82"/>
      <c r="E27" s="83">
        <v>93.8662099330258</v>
      </c>
      <c r="F27" s="83">
        <v>93.761240236554599</v>
      </c>
      <c r="G27" s="83">
        <v>94.232891604964706</v>
      </c>
      <c r="H27" s="83">
        <v>94.729152861039594</v>
      </c>
      <c r="I27" s="83">
        <v>95.557699602106794</v>
      </c>
      <c r="J27" s="83">
        <v>95.504012845966798</v>
      </c>
      <c r="K27" s="83">
        <v>96.022293073582205</v>
      </c>
      <c r="L27" s="83">
        <v>96.056137310222994</v>
      </c>
      <c r="M27" s="83">
        <v>97.398525220807599</v>
      </c>
      <c r="N27" s="83">
        <v>97.745285657613906</v>
      </c>
      <c r="O27" s="83">
        <v>98.053385698794997</v>
      </c>
      <c r="P27" s="83">
        <v>97.387674652291096</v>
      </c>
      <c r="Q27" s="83">
        <v>96.4914328172989</v>
      </c>
      <c r="R27" s="83">
        <v>96.785801706424394</v>
      </c>
      <c r="S27" s="83">
        <v>97.215115087003895</v>
      </c>
      <c r="T27" s="83">
        <v>96.704807758603096</v>
      </c>
      <c r="U27" s="83">
        <v>96.461318355849102</v>
      </c>
      <c r="V27" s="83">
        <v>97.1252714159032</v>
      </c>
      <c r="W27" s="83">
        <v>97.724943045556302</v>
      </c>
      <c r="X27" s="83">
        <v>98.646830493341994</v>
      </c>
      <c r="Y27" s="83">
        <v>99.391987054204293</v>
      </c>
      <c r="Z27" s="83">
        <v>99.386608410174404</v>
      </c>
      <c r="AA27" s="83">
        <v>99.902651271853898</v>
      </c>
      <c r="AB27" s="83">
        <v>101.305415655705</v>
      </c>
      <c r="AC27" s="83">
        <v>101.25256621699999</v>
      </c>
      <c r="AD27" s="83">
        <v>101.971077510233</v>
      </c>
      <c r="AE27" s="83">
        <v>102.314605754288</v>
      </c>
      <c r="AF27" s="83">
        <v>101.064684485212</v>
      </c>
      <c r="AG27" s="84">
        <v>102.278062871217</v>
      </c>
      <c r="AH27" s="84">
        <v>103.122093298053</v>
      </c>
      <c r="AI27" s="84">
        <v>103.270128545403</v>
      </c>
      <c r="AJ27" s="84">
        <v>104.20466144117501</v>
      </c>
      <c r="AK27" s="84">
        <v>103.46571546403599</v>
      </c>
      <c r="AL27" s="84">
        <v>102.42901115070801</v>
      </c>
      <c r="AM27" s="84">
        <v>104.63845328685299</v>
      </c>
      <c r="AN27" s="84">
        <v>106.60415832277199</v>
      </c>
      <c r="AO27" s="84">
        <v>109.300967548052</v>
      </c>
      <c r="AP27" s="84">
        <v>111.977863810949</v>
      </c>
      <c r="AQ27" s="84">
        <v>113.08817184186999</v>
      </c>
      <c r="AR27" s="84">
        <v>115.31450782412099</v>
      </c>
      <c r="AS27" s="84">
        <v>119.26197117969301</v>
      </c>
      <c r="AT27" s="84">
        <v>123.053735294631</v>
      </c>
      <c r="AU27" s="84">
        <v>121.544199518141</v>
      </c>
      <c r="AV27" s="84">
        <v>121.48348814412201</v>
      </c>
      <c r="AW27" s="84">
        <v>121.020418871243</v>
      </c>
      <c r="AX27" s="84">
        <v>121.66231024429401</v>
      </c>
      <c r="AY27" s="84">
        <v>123.791694473818</v>
      </c>
      <c r="AZ27" s="84">
        <v>125.47399521890701</v>
      </c>
      <c r="BA27" s="84">
        <v>125.15038348726399</v>
      </c>
      <c r="BB27" s="84">
        <v>126.457954439156</v>
      </c>
      <c r="BC27" s="84">
        <v>127.25297015954</v>
      </c>
      <c r="BD27" s="84">
        <v>128.403232825054</v>
      </c>
      <c r="BE27" s="84">
        <v>129.32258797672401</v>
      </c>
      <c r="BF27" s="84">
        <v>129.33104547045599</v>
      </c>
      <c r="BG27" s="84">
        <v>129.82731158404499</v>
      </c>
      <c r="BH27" s="84">
        <v>130.971486899176</v>
      </c>
      <c r="BI27" s="84">
        <v>131.83826773008701</v>
      </c>
      <c r="BJ27" s="84">
        <v>132.731262736247</v>
      </c>
      <c r="BK27" s="84">
        <v>133.24778190219899</v>
      </c>
      <c r="BL27" s="84">
        <v>134.27046887513399</v>
      </c>
      <c r="BM27" s="84">
        <v>134.40288436849499</v>
      </c>
      <c r="BN27" s="84">
        <v>136.22087445031201</v>
      </c>
      <c r="BO27" s="84">
        <v>136.75836898434301</v>
      </c>
      <c r="BP27" s="84">
        <v>137.65254742680801</v>
      </c>
      <c r="BQ27" s="84"/>
      <c r="BR27" s="84"/>
      <c r="BS27" s="84"/>
      <c r="BT27" s="84"/>
    </row>
    <row r="28" spans="1:72" x14ac:dyDescent="0.65">
      <c r="B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</row>
    <row r="29" spans="1:72" x14ac:dyDescent="0.65">
      <c r="A29" s="1" t="s">
        <v>73</v>
      </c>
      <c r="B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</row>
    <row r="30" spans="1:72" x14ac:dyDescent="0.65">
      <c r="A30" s="82" t="s">
        <v>76</v>
      </c>
      <c r="B30" s="112" t="s">
        <v>634</v>
      </c>
      <c r="C30" s="81" t="s">
        <v>652</v>
      </c>
      <c r="D30" s="82"/>
      <c r="E30" s="85">
        <v>120.030207387944</v>
      </c>
      <c r="F30" s="85">
        <v>120.45004158572</v>
      </c>
      <c r="G30" s="85">
        <v>120.33303029853801</v>
      </c>
      <c r="H30" s="85">
        <v>119.66853722434</v>
      </c>
      <c r="I30" s="85">
        <v>118.064171733764</v>
      </c>
      <c r="J30" s="85">
        <v>116.92464601894</v>
      </c>
      <c r="K30" s="85">
        <v>116.013683951693</v>
      </c>
      <c r="L30" s="85">
        <v>115.53901380996101</v>
      </c>
      <c r="M30" s="85">
        <v>115.878671822537</v>
      </c>
      <c r="N30" s="85">
        <v>116.079936985053</v>
      </c>
      <c r="O30" s="85">
        <v>116.18506403956501</v>
      </c>
      <c r="P30" s="85">
        <v>115.87507926889501</v>
      </c>
      <c r="Q30" s="85">
        <v>114.923156961206</v>
      </c>
      <c r="R30" s="85">
        <v>113.463940478585</v>
      </c>
      <c r="S30" s="85">
        <v>111.669074412409</v>
      </c>
      <c r="T30" s="85">
        <v>109.85676690020099</v>
      </c>
      <c r="U30" s="85">
        <v>107.92729788564</v>
      </c>
      <c r="V30" s="85">
        <v>106.85193147894699</v>
      </c>
      <c r="W30" s="85">
        <v>106.269135367904</v>
      </c>
      <c r="X30" s="85">
        <v>106.096425489092</v>
      </c>
      <c r="Y30" s="85">
        <v>106.425126559405</v>
      </c>
      <c r="Z30" s="85">
        <v>106.697212421288</v>
      </c>
      <c r="AA30" s="85">
        <v>107.075377597258</v>
      </c>
      <c r="AB30" s="85">
        <v>107.547242350734</v>
      </c>
      <c r="AC30" s="85">
        <v>108.22603664799701</v>
      </c>
      <c r="AD30" s="85">
        <v>108.854121265822</v>
      </c>
      <c r="AE30" s="85">
        <v>109.462341044986</v>
      </c>
      <c r="AF30" s="85">
        <v>109.920845014755</v>
      </c>
      <c r="AG30" s="85">
        <v>110.266878353785</v>
      </c>
      <c r="AH30" s="85">
        <v>110.034846464491</v>
      </c>
      <c r="AI30" s="85">
        <v>109.385500720563</v>
      </c>
      <c r="AJ30" s="85">
        <v>108.420530648</v>
      </c>
      <c r="AK30" s="84">
        <v>106.651519497612</v>
      </c>
      <c r="AL30" s="84">
        <v>105.847145224695</v>
      </c>
      <c r="AM30" s="84">
        <v>105.658935617563</v>
      </c>
      <c r="AN30" s="84">
        <v>106.40311840908799</v>
      </c>
      <c r="AO30" s="84">
        <v>108.464214634656</v>
      </c>
      <c r="AP30" s="84">
        <v>111.319991889158</v>
      </c>
      <c r="AQ30" s="84">
        <v>114.85981537618299</v>
      </c>
      <c r="AR30" s="84">
        <v>118.544605745826</v>
      </c>
      <c r="AS30" s="84">
        <v>122.773992911178</v>
      </c>
      <c r="AT30" s="84">
        <v>125.01389110309</v>
      </c>
      <c r="AU30" s="84">
        <v>126.024407053909</v>
      </c>
      <c r="AV30" s="84">
        <v>125.89356413409899</v>
      </c>
      <c r="AW30" s="84">
        <v>123.96072350239299</v>
      </c>
      <c r="AX30" s="84">
        <v>122.88815470260801</v>
      </c>
      <c r="AY30" s="84">
        <v>122.140339523671</v>
      </c>
      <c r="AZ30" s="84">
        <v>122.021443805693</v>
      </c>
      <c r="BA30" s="84">
        <v>122.937904797654</v>
      </c>
      <c r="BB30" s="84">
        <v>123.835252850751</v>
      </c>
      <c r="BC30" s="84">
        <v>124.742182685283</v>
      </c>
      <c r="BD30" s="84">
        <v>125.342573068973</v>
      </c>
      <c r="BE30" s="84">
        <v>125.412065878153</v>
      </c>
      <c r="BF30" s="84">
        <v>125.223557592997</v>
      </c>
      <c r="BG30" s="84">
        <v>124.91078772281401</v>
      </c>
      <c r="BH30" s="84">
        <v>124.71045454960699</v>
      </c>
      <c r="BI30" s="84">
        <v>124.775944231278</v>
      </c>
      <c r="BJ30" s="84">
        <v>125.01133573064099</v>
      </c>
      <c r="BK30" s="84">
        <v>125.28655943255499</v>
      </c>
      <c r="BL30" s="84">
        <v>125.425113144143</v>
      </c>
      <c r="BM30" s="84">
        <v>125.255825824979</v>
      </c>
      <c r="BN30" s="84">
        <v>124.998640781143</v>
      </c>
      <c r="BO30" s="84">
        <v>124.732867005318</v>
      </c>
      <c r="BP30" s="84">
        <v>124.640775538448</v>
      </c>
      <c r="BQ30" s="84">
        <v>124.86864664892801</v>
      </c>
      <c r="BR30" s="84">
        <v>125.294860624904</v>
      </c>
      <c r="BS30" s="84">
        <v>125.82029697042999</v>
      </c>
      <c r="BT30" s="84">
        <v>126.272977400009</v>
      </c>
    </row>
    <row r="31" spans="1:72" x14ac:dyDescent="0.65">
      <c r="B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</row>
    <row r="32" spans="1:72" x14ac:dyDescent="0.65">
      <c r="A32" s="1" t="s">
        <v>196</v>
      </c>
      <c r="B32" s="1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72" x14ac:dyDescent="0.65">
      <c r="A33" s="82" t="s">
        <v>178</v>
      </c>
      <c r="B33" s="112" t="s">
        <v>634</v>
      </c>
      <c r="C33" s="81" t="s">
        <v>653</v>
      </c>
      <c r="D33" s="82"/>
      <c r="E33" s="83">
        <v>181.145269330117</v>
      </c>
      <c r="F33" s="83">
        <v>171.19786368853599</v>
      </c>
      <c r="G33" s="83">
        <v>169.51641524674</v>
      </c>
      <c r="H33" s="83">
        <v>168.83725153246999</v>
      </c>
      <c r="I33" s="83">
        <v>170.843355386566</v>
      </c>
      <c r="J33" s="83">
        <v>164.57403105498099</v>
      </c>
      <c r="K33" s="83">
        <v>165.551914569931</v>
      </c>
      <c r="L33" s="83">
        <v>163.22204164418901</v>
      </c>
      <c r="M33" s="83">
        <v>166.643467682665</v>
      </c>
      <c r="N33" s="83">
        <v>168.834169086559</v>
      </c>
      <c r="O33" s="83">
        <v>159.68557539380299</v>
      </c>
      <c r="P33" s="83">
        <v>137.23828997644199</v>
      </c>
      <c r="Q33" s="83">
        <v>114.841022406074</v>
      </c>
      <c r="R33" s="83">
        <v>116.13375994928499</v>
      </c>
      <c r="S33" s="83">
        <v>104.518276738053</v>
      </c>
      <c r="T33" s="83">
        <v>96.204645834106103</v>
      </c>
      <c r="U33" s="83">
        <v>88.608385331292595</v>
      </c>
      <c r="V33" s="83">
        <v>100.42844405762099</v>
      </c>
      <c r="W33" s="83">
        <v>103.04110173321899</v>
      </c>
      <c r="X33" s="83">
        <v>107.92206887786701</v>
      </c>
      <c r="Y33" s="83">
        <v>114.28625847827399</v>
      </c>
      <c r="Z33" s="83">
        <v>108.56008815581301</v>
      </c>
      <c r="AA33" s="83">
        <v>111.111392847022</v>
      </c>
      <c r="AB33" s="83">
        <v>119.344897612921</v>
      </c>
      <c r="AC33" s="83">
        <v>126.96417957840799</v>
      </c>
      <c r="AD33" s="83">
        <v>130.859808648474</v>
      </c>
      <c r="AE33" s="83">
        <v>129.68507601569701</v>
      </c>
      <c r="AF33" s="83">
        <v>123.392292556383</v>
      </c>
      <c r="AG33" s="83">
        <v>118.382456999905</v>
      </c>
      <c r="AH33" s="83">
        <v>119.091510642232</v>
      </c>
      <c r="AI33" s="82">
        <v>114.494370562694</v>
      </c>
      <c r="AJ33" s="82">
        <v>116.12150680865101</v>
      </c>
      <c r="AK33" s="82">
        <v>107.383609748072</v>
      </c>
      <c r="AL33" s="82">
        <v>92.218000478934698</v>
      </c>
      <c r="AM33" s="82">
        <v>106.625457803559</v>
      </c>
      <c r="AN33" s="82">
        <v>117.229786941827</v>
      </c>
      <c r="AO33" s="82">
        <v>138.65061089740601</v>
      </c>
      <c r="AP33" s="82">
        <v>153.72814987821201</v>
      </c>
      <c r="AQ33" s="82">
        <v>166.53282835302801</v>
      </c>
      <c r="AR33" s="82">
        <v>187.09888989752099</v>
      </c>
      <c r="AS33" s="82">
        <v>211.87046899565399</v>
      </c>
      <c r="AT33" s="82">
        <v>228.74345202251999</v>
      </c>
      <c r="AU33" s="82">
        <v>230.47577669463101</v>
      </c>
      <c r="AV33" s="82">
        <v>192.578552294411</v>
      </c>
      <c r="AW33" s="82">
        <v>175.16617338805901</v>
      </c>
      <c r="AX33" s="82">
        <v>160.65112630136699</v>
      </c>
      <c r="AY33" s="82">
        <v>162.59512444725601</v>
      </c>
      <c r="AZ33" s="82">
        <v>164.18058858173401</v>
      </c>
      <c r="BA33" s="82">
        <v>160.344495188705</v>
      </c>
      <c r="BB33" s="82">
        <v>168.606903090841</v>
      </c>
      <c r="BC33" s="82">
        <v>163.85905553338301</v>
      </c>
      <c r="BD33" s="82">
        <v>166.46058792246899</v>
      </c>
      <c r="BE33" s="82">
        <v>170.724070159793</v>
      </c>
      <c r="BF33" s="82">
        <v>163.050378507201</v>
      </c>
      <c r="BG33" s="82">
        <v>165.14632750980101</v>
      </c>
      <c r="BH33" s="82">
        <v>168.798775825912</v>
      </c>
      <c r="BI33" s="82">
        <v>179.92765798380299</v>
      </c>
      <c r="BJ33" s="82">
        <v>181.47936738934899</v>
      </c>
      <c r="BK33" s="82">
        <v>180.73816847751601</v>
      </c>
      <c r="BL33" s="82">
        <v>180.61639340157299</v>
      </c>
      <c r="BM33" s="82">
        <v>181.63023366932899</v>
      </c>
      <c r="BN33" s="82">
        <v>179.49040271229401</v>
      </c>
      <c r="BO33" s="82">
        <v>179.27896339005</v>
      </c>
      <c r="BP33" s="82">
        <v>180.22227819183601</v>
      </c>
      <c r="BQ33" s="82"/>
      <c r="BR33" s="82"/>
      <c r="BS33" s="82"/>
      <c r="BT33" s="82"/>
    </row>
    <row r="34" spans="1:72" x14ac:dyDescent="0.65">
      <c r="A34" s="82" t="s">
        <v>135</v>
      </c>
      <c r="B34" s="112" t="s">
        <v>634</v>
      </c>
      <c r="C34" s="81" t="s">
        <v>654</v>
      </c>
      <c r="D34" s="82"/>
      <c r="E34" s="85">
        <v>242.843895549823</v>
      </c>
      <c r="F34" s="85">
        <v>225.08664024186999</v>
      </c>
      <c r="G34" s="85">
        <v>223.08500355817799</v>
      </c>
      <c r="H34" s="85">
        <v>221.468364219009</v>
      </c>
      <c r="I34" s="85">
        <v>227.321005980883</v>
      </c>
      <c r="J34" s="85">
        <v>218.757537921824</v>
      </c>
      <c r="K34" s="85">
        <v>229.53352049281301</v>
      </c>
      <c r="L34" s="85">
        <v>227.90750656528999</v>
      </c>
      <c r="M34" s="85">
        <v>229.464508504387</v>
      </c>
      <c r="N34" s="85">
        <v>230.69254444135601</v>
      </c>
      <c r="O34" s="85">
        <v>216.907707721816</v>
      </c>
      <c r="P34" s="85">
        <v>172.21802084692999</v>
      </c>
      <c r="Q34" s="85">
        <v>127.99715127952101</v>
      </c>
      <c r="R34" s="85">
        <v>134.056398572967</v>
      </c>
      <c r="S34" s="83">
        <v>113.730486322402</v>
      </c>
      <c r="T34" s="83">
        <v>100.14444865305801</v>
      </c>
      <c r="U34" s="83">
        <v>81.029943301720095</v>
      </c>
      <c r="V34" s="83">
        <v>100.240128807945</v>
      </c>
      <c r="W34" s="83">
        <v>103.26084167509001</v>
      </c>
      <c r="X34" s="83">
        <v>115.469086215243</v>
      </c>
      <c r="Y34" s="83">
        <v>123.072285690635</v>
      </c>
      <c r="Z34" s="83">
        <v>113.86478712349</v>
      </c>
      <c r="AA34" s="83">
        <v>118.156222212028</v>
      </c>
      <c r="AB34" s="83">
        <v>138.10949676474601</v>
      </c>
      <c r="AC34" s="85">
        <v>149.10555280992</v>
      </c>
      <c r="AD34" s="85">
        <v>159.27654338550499</v>
      </c>
      <c r="AE34" s="85">
        <v>166.74900264397201</v>
      </c>
      <c r="AF34" s="85">
        <v>151.007929842441</v>
      </c>
      <c r="AG34" s="85">
        <v>135.05368074227499</v>
      </c>
      <c r="AH34" s="84">
        <v>134.13926837934</v>
      </c>
      <c r="AI34" s="85">
        <v>121.76935135957901</v>
      </c>
      <c r="AJ34" s="85">
        <v>126.177616297472</v>
      </c>
      <c r="AK34" s="85">
        <v>102.808533248456</v>
      </c>
      <c r="AL34" s="82">
        <v>68.766525057512297</v>
      </c>
      <c r="AM34" s="82">
        <v>90.313762799734803</v>
      </c>
      <c r="AN34" s="82">
        <v>104.930749402806</v>
      </c>
      <c r="AO34" s="82">
        <v>139.41590968961199</v>
      </c>
      <c r="AP34" s="82">
        <v>156.21544317047099</v>
      </c>
      <c r="AQ34" s="82">
        <v>192.67849832809901</v>
      </c>
      <c r="AR34" s="82">
        <v>244.04503960763699</v>
      </c>
      <c r="AS34" s="82">
        <v>277.73650009523101</v>
      </c>
      <c r="AT34" s="82">
        <v>311.77721241872302</v>
      </c>
      <c r="AU34" s="82">
        <v>350.12388884559499</v>
      </c>
      <c r="AV34" s="82">
        <v>258.40673529227797</v>
      </c>
      <c r="AW34" s="82">
        <v>203.67137773532301</v>
      </c>
      <c r="AX34" s="82">
        <v>175.80578664329701</v>
      </c>
      <c r="AY34" s="82">
        <v>189.25054852504601</v>
      </c>
      <c r="AZ34" s="82">
        <v>189.292346786492</v>
      </c>
      <c r="BA34" s="82">
        <v>175.570639324886</v>
      </c>
      <c r="BB34" s="82">
        <v>185.81747981729501</v>
      </c>
      <c r="BC34" s="82">
        <v>179.36104370931801</v>
      </c>
      <c r="BD34" s="82">
        <v>177.26559918951901</v>
      </c>
      <c r="BE34" s="82">
        <v>181.507218607856</v>
      </c>
      <c r="BF34" s="82">
        <v>160.24526998156</v>
      </c>
      <c r="BG34" s="82">
        <v>160.398381146547</v>
      </c>
      <c r="BH34" s="82">
        <v>150.39756646820399</v>
      </c>
      <c r="BI34" s="82">
        <v>157.76916463095699</v>
      </c>
      <c r="BJ34" s="82">
        <v>156.449361296799</v>
      </c>
      <c r="BK34" s="82">
        <v>155.17384618082099</v>
      </c>
      <c r="BL34" s="82">
        <v>155.09821031889001</v>
      </c>
      <c r="BM34" s="82">
        <v>154.718087450599</v>
      </c>
      <c r="BN34" s="82">
        <v>148.00997307859399</v>
      </c>
      <c r="BO34" s="82">
        <v>148.62900532581901</v>
      </c>
      <c r="BP34" s="82">
        <v>150.908311243388</v>
      </c>
      <c r="BQ34" s="82"/>
      <c r="BR34" s="82"/>
      <c r="BS34" s="82"/>
      <c r="BT34" s="82"/>
    </row>
    <row r="35" spans="1:72" x14ac:dyDescent="0.65">
      <c r="A35" s="82" t="s">
        <v>137</v>
      </c>
      <c r="B35" s="112" t="s">
        <v>634</v>
      </c>
      <c r="C35" s="81" t="s">
        <v>655</v>
      </c>
      <c r="D35" s="82"/>
      <c r="E35" s="83">
        <v>112.41666185666099</v>
      </c>
      <c r="F35" s="83">
        <v>103.003144697492</v>
      </c>
      <c r="G35" s="83">
        <v>102.990684453228</v>
      </c>
      <c r="H35" s="83">
        <v>101.975976953803</v>
      </c>
      <c r="I35" s="83">
        <v>105.205773406947</v>
      </c>
      <c r="J35" s="83">
        <v>99.367261967501094</v>
      </c>
      <c r="K35" s="83">
        <v>107.44796526339999</v>
      </c>
      <c r="L35" s="83">
        <v>104.66626105778199</v>
      </c>
      <c r="M35" s="83">
        <v>103.80442247527</v>
      </c>
      <c r="N35" s="83">
        <v>106.44512025012</v>
      </c>
      <c r="O35" s="83">
        <v>100.46670932931799</v>
      </c>
      <c r="P35" s="83">
        <v>74.588258454106196</v>
      </c>
      <c r="Q35" s="83">
        <v>51.848595959595897</v>
      </c>
      <c r="R35" s="83">
        <v>60.516113516113499</v>
      </c>
      <c r="S35" s="83">
        <v>49.019454378150002</v>
      </c>
      <c r="T35" s="83">
        <v>42.263525524395</v>
      </c>
      <c r="U35" s="83">
        <v>33.1382654704393</v>
      </c>
      <c r="V35" s="83">
        <v>45.288667628667604</v>
      </c>
      <c r="W35" s="83">
        <v>45.107305456218498</v>
      </c>
      <c r="X35" s="83">
        <v>49.521190476190398</v>
      </c>
      <c r="Y35" s="83">
        <v>53.191375933245503</v>
      </c>
      <c r="Z35" s="83">
        <v>49.663256258234497</v>
      </c>
      <c r="AA35" s="83">
        <v>50.343225212790401</v>
      </c>
      <c r="AB35" s="83">
        <v>58.712722462722397</v>
      </c>
      <c r="AC35" s="83">
        <v>64.743637900746606</v>
      </c>
      <c r="AD35" s="83">
        <v>71.646128364389199</v>
      </c>
      <c r="AE35" s="83">
        <v>73.302795564338993</v>
      </c>
      <c r="AF35" s="83">
        <v>64.437560909300004</v>
      </c>
      <c r="AG35" s="83">
        <v>60.702674028065303</v>
      </c>
      <c r="AH35" s="84">
        <v>64.985770092226602</v>
      </c>
      <c r="AI35" s="83">
        <v>59.739888951627997</v>
      </c>
      <c r="AJ35" s="83">
        <v>60.301003199698798</v>
      </c>
      <c r="AK35" s="83">
        <v>49.096131971892802</v>
      </c>
      <c r="AL35" s="82">
        <v>31.451851851851799</v>
      </c>
      <c r="AM35" s="82">
        <v>42.312498692933403</v>
      </c>
      <c r="AN35" s="82">
        <v>44.201507622811903</v>
      </c>
      <c r="AO35" s="82">
        <v>59.648475385323202</v>
      </c>
      <c r="AP35" s="82">
        <v>67.3508898508898</v>
      </c>
      <c r="AQ35" s="82">
        <v>71.7073737373737</v>
      </c>
      <c r="AR35" s="82">
        <v>78.293173766652004</v>
      </c>
      <c r="AS35" s="82">
        <v>95.353100989187894</v>
      </c>
      <c r="AT35" s="82">
        <v>109.423566618566</v>
      </c>
      <c r="AU35" s="82">
        <v>95.474347616956194</v>
      </c>
      <c r="AV35" s="82">
        <v>85.197222222222194</v>
      </c>
      <c r="AW35" s="82">
        <v>79.560981554677099</v>
      </c>
      <c r="AX35" s="82">
        <v>76.476929292929199</v>
      </c>
      <c r="AY35" s="82">
        <v>84.926466528640404</v>
      </c>
      <c r="AZ35" s="82">
        <v>81.415252525252498</v>
      </c>
      <c r="BA35" s="82">
        <v>80.851637911203099</v>
      </c>
      <c r="BB35" s="82">
        <v>84.423472771190106</v>
      </c>
      <c r="BC35" s="82">
        <v>78.249594913942701</v>
      </c>
      <c r="BD35" s="82">
        <v>73.158494886755705</v>
      </c>
      <c r="BE35" s="82">
        <v>74.517561076604494</v>
      </c>
      <c r="BF35" s="82">
        <v>66.296647426647397</v>
      </c>
      <c r="BG35" s="82">
        <v>67.998834724052102</v>
      </c>
      <c r="BH35" s="82">
        <v>62.134092007026801</v>
      </c>
      <c r="BI35" s="82">
        <v>65.467435673333298</v>
      </c>
      <c r="BJ35" s="82">
        <v>65.632106333333297</v>
      </c>
      <c r="BK35" s="82">
        <v>64.360508444444406</v>
      </c>
      <c r="BL35" s="82">
        <v>63.513439222222203</v>
      </c>
      <c r="BM35" s="82">
        <v>63.001375000000003</v>
      </c>
      <c r="BN35" s="82">
        <v>62.8572677777777</v>
      </c>
      <c r="BO35" s="82">
        <v>62.866186444444402</v>
      </c>
      <c r="BP35" s="82">
        <v>62.984757000000002</v>
      </c>
      <c r="BQ35" s="82"/>
      <c r="BR35" s="82"/>
      <c r="BS35" s="82"/>
      <c r="BT35" s="82"/>
    </row>
    <row r="36" spans="1:72" x14ac:dyDescent="0.65">
      <c r="A36" s="82" t="s">
        <v>136</v>
      </c>
      <c r="B36" s="112" t="s">
        <v>634</v>
      </c>
      <c r="C36" s="81" t="s">
        <v>656</v>
      </c>
      <c r="D36" s="82"/>
      <c r="E36" s="85">
        <v>205.11233820329099</v>
      </c>
      <c r="F36" s="85">
        <v>211.549476480436</v>
      </c>
      <c r="G36" s="85">
        <v>208.83975353369999</v>
      </c>
      <c r="H36" s="85">
        <v>210.433330695179</v>
      </c>
      <c r="I36" s="85">
        <v>212.838172880689</v>
      </c>
      <c r="J36" s="85">
        <v>218.31394779707301</v>
      </c>
      <c r="K36" s="85">
        <v>206.60482977771099</v>
      </c>
      <c r="L36" s="85">
        <v>210.425076035552</v>
      </c>
      <c r="M36" s="85">
        <v>224.40681699318699</v>
      </c>
      <c r="N36" s="85">
        <v>220.28924904574899</v>
      </c>
      <c r="O36" s="85">
        <v>202.40896072862</v>
      </c>
      <c r="P36" s="85">
        <v>201.34548376561401</v>
      </c>
      <c r="Q36" s="85">
        <v>172.98703068278999</v>
      </c>
      <c r="R36" s="85">
        <v>135.186335481508</v>
      </c>
      <c r="S36" s="83">
        <v>130.352837601749</v>
      </c>
      <c r="T36" s="83">
        <v>119.0136907703</v>
      </c>
      <c r="U36" s="83">
        <v>98.199631674095897</v>
      </c>
      <c r="V36" s="83">
        <v>90.752542638594605</v>
      </c>
      <c r="W36" s="83">
        <v>101.414684618717</v>
      </c>
      <c r="X36" s="83">
        <v>109.633141068591</v>
      </c>
      <c r="Y36" s="83">
        <v>117.304925443972</v>
      </c>
      <c r="Z36" s="83">
        <v>104.857202189087</v>
      </c>
      <c r="AA36" s="83">
        <v>109.301803549325</v>
      </c>
      <c r="AB36" s="83">
        <v>132.074459834832</v>
      </c>
      <c r="AC36" s="83">
        <v>141.52085777310299</v>
      </c>
      <c r="AD36" s="83">
        <v>132.84160141594799</v>
      </c>
      <c r="AE36" s="83">
        <v>149.13801742974999</v>
      </c>
      <c r="AF36" s="83">
        <v>154.82682841737901</v>
      </c>
      <c r="AG36" s="83">
        <v>114.1385094628</v>
      </c>
      <c r="AH36" s="84">
        <v>87.050405875619802</v>
      </c>
      <c r="AI36" s="83">
        <v>76.341962158723604</v>
      </c>
      <c r="AJ36" s="83">
        <v>88.572449327650901</v>
      </c>
      <c r="AK36" s="83">
        <v>65.048035510321895</v>
      </c>
      <c r="AL36" s="82">
        <v>45.479157026924803</v>
      </c>
      <c r="AM36" s="82">
        <v>64.224897352453894</v>
      </c>
      <c r="AN36" s="82">
        <v>112.10468102211399</v>
      </c>
      <c r="AO36" s="82">
        <v>136.69348810848101</v>
      </c>
      <c r="AP36" s="82">
        <v>151.436353357717</v>
      </c>
      <c r="AQ36" s="82">
        <v>265.88275640433102</v>
      </c>
      <c r="AR36" s="82">
        <v>460.68374234813803</v>
      </c>
      <c r="AS36" s="82">
        <v>445.59039383469002</v>
      </c>
      <c r="AT36" s="82">
        <v>453.80332635544602</v>
      </c>
      <c r="AU36" s="82">
        <v>762.35353803700696</v>
      </c>
      <c r="AV36" s="82">
        <v>424.56680838338599</v>
      </c>
      <c r="AW36" s="82">
        <v>239.76337804179499</v>
      </c>
      <c r="AX36" s="82">
        <v>164.894694025333</v>
      </c>
      <c r="AY36" s="82">
        <v>169.293969649345</v>
      </c>
      <c r="AZ36" s="82">
        <v>201.48211574475201</v>
      </c>
      <c r="BA36" s="82">
        <v>135.54182141280799</v>
      </c>
      <c r="BB36" s="82">
        <v>156.569506932374</v>
      </c>
      <c r="BC36" s="82">
        <v>173.664225348587</v>
      </c>
      <c r="BD36" s="82">
        <v>203.95126493177199</v>
      </c>
      <c r="BE36" s="82">
        <v>223.71651165898999</v>
      </c>
      <c r="BF36" s="82">
        <v>190.55182052430101</v>
      </c>
      <c r="BG36" s="82">
        <v>177.86443674476001</v>
      </c>
      <c r="BH36" s="82">
        <v>179.226895737402</v>
      </c>
      <c r="BI36" s="82">
        <v>178.33354776632501</v>
      </c>
      <c r="BJ36" s="82">
        <v>171.584208908291</v>
      </c>
      <c r="BK36" s="82">
        <v>175.38663344411901</v>
      </c>
      <c r="BL36" s="82">
        <v>181.88552595746299</v>
      </c>
      <c r="BM36" s="82">
        <v>184.02719741907299</v>
      </c>
      <c r="BN36" s="82">
        <v>150.52586380662299</v>
      </c>
      <c r="BO36" s="82">
        <v>152.89808684262201</v>
      </c>
      <c r="BP36" s="82">
        <v>161.43272447757101</v>
      </c>
      <c r="BQ36" s="82"/>
      <c r="BR36" s="82"/>
      <c r="BS36" s="82"/>
      <c r="BT36" s="82"/>
    </row>
    <row r="37" spans="1:72" x14ac:dyDescent="0.65">
      <c r="A37" s="82" t="s">
        <v>138</v>
      </c>
      <c r="B37" s="112" t="s">
        <v>634</v>
      </c>
      <c r="C37" s="81" t="s">
        <v>657</v>
      </c>
      <c r="D37" s="82"/>
      <c r="E37" s="85">
        <v>167.57347248789401</v>
      </c>
      <c r="F37" s="85">
        <v>145.436364943889</v>
      </c>
      <c r="G37" s="85">
        <v>134.00528563168501</v>
      </c>
      <c r="H37" s="85">
        <v>130.98504699929001</v>
      </c>
      <c r="I37" s="85">
        <v>135.79715392964599</v>
      </c>
      <c r="J37" s="85">
        <v>128.02544287034999</v>
      </c>
      <c r="K37" s="85">
        <v>115.586271760597</v>
      </c>
      <c r="L37" s="85">
        <v>127.197066256604</v>
      </c>
      <c r="M37" s="85">
        <v>120.434061058645</v>
      </c>
      <c r="N37" s="85">
        <v>114.147474495494</v>
      </c>
      <c r="O37" s="85">
        <v>106.642032577385</v>
      </c>
      <c r="P37" s="85">
        <v>99.370819896227502</v>
      </c>
      <c r="Q37" s="85">
        <v>96.0849950484983</v>
      </c>
      <c r="R37" s="85">
        <v>92.728663269462501</v>
      </c>
      <c r="S37" s="83">
        <v>87.193527540169498</v>
      </c>
      <c r="T37" s="83">
        <v>80.172817438779205</v>
      </c>
      <c r="U37" s="83">
        <v>79.196417503302797</v>
      </c>
      <c r="V37" s="83">
        <v>81.869332450145393</v>
      </c>
      <c r="W37" s="83">
        <v>101.187205827833</v>
      </c>
      <c r="X37" s="83">
        <v>137.74704421871701</v>
      </c>
      <c r="Y37" s="83">
        <v>126.73338957017</v>
      </c>
      <c r="Z37" s="83">
        <v>119.81379760564199</v>
      </c>
      <c r="AA37" s="83">
        <v>138.40422041341299</v>
      </c>
      <c r="AB37" s="83">
        <v>146.00436986375499</v>
      </c>
      <c r="AC37" s="83">
        <v>151.36715289998301</v>
      </c>
      <c r="AD37" s="83">
        <v>156.56724915196</v>
      </c>
      <c r="AE37" s="83">
        <v>166.968628915252</v>
      </c>
      <c r="AF37" s="83">
        <v>152.26230715576699</v>
      </c>
      <c r="AG37" s="83">
        <v>136.35597478856701</v>
      </c>
      <c r="AH37" s="84">
        <v>111.995234377302</v>
      </c>
      <c r="AI37" s="83">
        <v>98.605194367102399</v>
      </c>
      <c r="AJ37" s="83">
        <v>108.86300575815</v>
      </c>
      <c r="AK37" s="83">
        <v>111.690426120219</v>
      </c>
      <c r="AL37" s="82">
        <v>83.195326661975102</v>
      </c>
      <c r="AM37" s="82">
        <v>79.886996700177903</v>
      </c>
      <c r="AN37" s="82">
        <v>104.61115060861501</v>
      </c>
      <c r="AO37" s="82">
        <v>136.795901892084</v>
      </c>
      <c r="AP37" s="82">
        <v>160.62721760794699</v>
      </c>
      <c r="AQ37" s="82">
        <v>232.396912114857</v>
      </c>
      <c r="AR37" s="82">
        <v>269.93649286279299</v>
      </c>
      <c r="AS37" s="82">
        <v>388.020487416246</v>
      </c>
      <c r="AT37" s="82">
        <v>527.00989089379698</v>
      </c>
      <c r="AU37" s="82">
        <v>567.31841073112605</v>
      </c>
      <c r="AV37" s="82">
        <v>455.66912847062099</v>
      </c>
      <c r="AW37" s="82">
        <v>313.64135992848901</v>
      </c>
      <c r="AX37" s="82">
        <v>210.35237498449999</v>
      </c>
      <c r="AY37" s="82">
        <v>196.09791680742401</v>
      </c>
      <c r="AZ37" s="82">
        <v>191.141637531117</v>
      </c>
      <c r="BA37" s="82">
        <v>170.46400518592699</v>
      </c>
      <c r="BB37" s="82">
        <v>185.340297851462</v>
      </c>
      <c r="BC37" s="82">
        <v>190.60198563006301</v>
      </c>
      <c r="BD37" s="82">
        <v>190.39780526992399</v>
      </c>
      <c r="BE37" s="82">
        <v>154.10621059512701</v>
      </c>
      <c r="BF37" s="82">
        <v>144.44368503212999</v>
      </c>
      <c r="BG37" s="82">
        <v>151.54752611150499</v>
      </c>
      <c r="BH37" s="82">
        <v>147.51265835411701</v>
      </c>
      <c r="BI37" s="82">
        <v>167.46995129401901</v>
      </c>
      <c r="BJ37" s="82">
        <v>162.65316444776099</v>
      </c>
      <c r="BK37" s="82">
        <v>163.38375612084101</v>
      </c>
      <c r="BL37" s="82">
        <v>164.028011015842</v>
      </c>
      <c r="BM37" s="82">
        <v>164.535838057359</v>
      </c>
      <c r="BN37" s="82">
        <v>163.893988496688</v>
      </c>
      <c r="BO37" s="82">
        <v>165.94423153447099</v>
      </c>
      <c r="BP37" s="82">
        <v>172.11736792364101</v>
      </c>
      <c r="BQ37" s="82"/>
      <c r="BR37" s="82"/>
      <c r="BS37" s="82"/>
      <c r="BT37" s="82"/>
    </row>
    <row r="38" spans="1:72" x14ac:dyDescent="0.65">
      <c r="A38" s="19" t="s">
        <v>179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7"/>
      <c r="AI38" s="5"/>
      <c r="AJ38" s="5"/>
      <c r="AK38" s="5"/>
    </row>
    <row r="39" spans="1:72" x14ac:dyDescent="0.65">
      <c r="A39" s="82" t="s">
        <v>139</v>
      </c>
      <c r="B39" s="112" t="s">
        <v>634</v>
      </c>
      <c r="C39" s="81" t="s">
        <v>658</v>
      </c>
      <c r="D39" s="82"/>
      <c r="E39" s="85">
        <v>132.16130683223301</v>
      </c>
      <c r="F39" s="85">
        <v>128.414320982974</v>
      </c>
      <c r="G39" s="85">
        <v>129.98594037102399</v>
      </c>
      <c r="H39" s="85">
        <v>129.99857865872701</v>
      </c>
      <c r="I39" s="85">
        <v>129.16616324406999</v>
      </c>
      <c r="J39" s="85">
        <v>124.589782367572</v>
      </c>
      <c r="K39" s="85">
        <v>118.337243712114</v>
      </c>
      <c r="L39" s="85">
        <v>115.48796414672999</v>
      </c>
      <c r="M39" s="85">
        <v>120.28522576985399</v>
      </c>
      <c r="N39" s="85">
        <v>123.186317801046</v>
      </c>
      <c r="O39" s="85">
        <v>117.458999416545</v>
      </c>
      <c r="P39" s="85">
        <v>111.425301134997</v>
      </c>
      <c r="Q39" s="85">
        <v>105.745714948814</v>
      </c>
      <c r="R39" s="85">
        <v>103.743192002146</v>
      </c>
      <c r="S39" s="83">
        <v>98.149543249930701</v>
      </c>
      <c r="T39" s="83">
        <v>93.480917729581705</v>
      </c>
      <c r="U39" s="83">
        <v>93.8476362514551</v>
      </c>
      <c r="V39" s="83">
        <v>100.558633196931</v>
      </c>
      <c r="W39" s="83">
        <v>102.889187568255</v>
      </c>
      <c r="X39" s="83">
        <v>102.704542983358</v>
      </c>
      <c r="Y39" s="83">
        <v>108.212160269525</v>
      </c>
      <c r="Z39" s="83">
        <v>104.89275800548199</v>
      </c>
      <c r="AA39" s="83">
        <v>106.241047650876</v>
      </c>
      <c r="AB39" s="83">
        <v>106.372251917534</v>
      </c>
      <c r="AC39" s="83">
        <v>111.657047898283</v>
      </c>
      <c r="AD39" s="83">
        <v>111.21429271815001</v>
      </c>
      <c r="AE39" s="83">
        <v>104.061443752724</v>
      </c>
      <c r="AF39" s="83">
        <v>104.300604251945</v>
      </c>
      <c r="AG39" s="83">
        <v>106.85703739629599</v>
      </c>
      <c r="AH39" s="84">
        <v>108.688451773023</v>
      </c>
      <c r="AI39" s="83">
        <v>109.46491336218899</v>
      </c>
      <c r="AJ39" s="83">
        <v>109.169354811319</v>
      </c>
      <c r="AK39" s="83">
        <v>110.546525511879</v>
      </c>
      <c r="AL39" s="82">
        <v>108.430853160449</v>
      </c>
      <c r="AM39" s="82">
        <v>117.902322193986</v>
      </c>
      <c r="AN39" s="82">
        <v>125.73255617750701</v>
      </c>
      <c r="AO39" s="82">
        <v>138.12153217837499</v>
      </c>
      <c r="AP39" s="82">
        <v>152.008594114728</v>
      </c>
      <c r="AQ39" s="82">
        <v>148.457381586975</v>
      </c>
      <c r="AR39" s="82">
        <v>147.729958116528</v>
      </c>
      <c r="AS39" s="82">
        <v>166.33490077472999</v>
      </c>
      <c r="AT39" s="82">
        <v>171.339211960673</v>
      </c>
      <c r="AU39" s="82">
        <v>147.75871173108001</v>
      </c>
      <c r="AV39" s="82">
        <v>147.069149834331</v>
      </c>
      <c r="AW39" s="82">
        <v>155.45949521818599</v>
      </c>
      <c r="AX39" s="82">
        <v>150.174161797137</v>
      </c>
      <c r="AY39" s="82">
        <v>144.167266243429</v>
      </c>
      <c r="AZ39" s="82">
        <v>146.81992239628499</v>
      </c>
      <c r="BA39" s="82">
        <v>149.81811135351401</v>
      </c>
      <c r="BB39" s="82">
        <v>156.70860927283101</v>
      </c>
      <c r="BC39" s="82">
        <v>153.14197074231501</v>
      </c>
      <c r="BD39" s="82">
        <v>158.99069305458499</v>
      </c>
      <c r="BE39" s="82">
        <v>163.269289848971</v>
      </c>
      <c r="BF39" s="82">
        <v>164.98965142988999</v>
      </c>
      <c r="BG39" s="82">
        <v>168.42875445923099</v>
      </c>
      <c r="BH39" s="82">
        <v>181.52019702083101</v>
      </c>
      <c r="BI39" s="82">
        <v>195.24662542266299</v>
      </c>
      <c r="BJ39" s="82">
        <v>198.783515384456</v>
      </c>
      <c r="BK39" s="82">
        <v>198.411708578983</v>
      </c>
      <c r="BL39" s="82">
        <v>198.25803579655499</v>
      </c>
      <c r="BM39" s="82">
        <v>200.235573169167</v>
      </c>
      <c r="BN39" s="82">
        <v>201.56335035235799</v>
      </c>
      <c r="BO39" s="82">
        <v>200.77446658483899</v>
      </c>
      <c r="BP39" s="82">
        <v>200.79424540867001</v>
      </c>
      <c r="BQ39" s="82"/>
      <c r="BR39" s="82"/>
      <c r="BS39" s="82"/>
      <c r="BT39" s="82"/>
    </row>
    <row r="40" spans="1:72" x14ac:dyDescent="0.65">
      <c r="A40" s="82" t="s">
        <v>140</v>
      </c>
      <c r="B40" s="112" t="s">
        <v>634</v>
      </c>
      <c r="C40" s="81" t="s">
        <v>659</v>
      </c>
      <c r="D40" s="82"/>
      <c r="E40" s="83">
        <v>119.151550710325</v>
      </c>
      <c r="F40" s="83">
        <v>117.459889235277</v>
      </c>
      <c r="G40" s="83">
        <v>123.57621998352499</v>
      </c>
      <c r="H40" s="83">
        <v>120.89542401369501</v>
      </c>
      <c r="I40" s="83">
        <v>121.69744436821</v>
      </c>
      <c r="J40" s="83">
        <v>125.062702079536</v>
      </c>
      <c r="K40" s="83">
        <v>119.119316725435</v>
      </c>
      <c r="L40" s="83">
        <v>115.979515047365</v>
      </c>
      <c r="M40" s="83">
        <v>122.28920432723</v>
      </c>
      <c r="N40" s="83">
        <v>126.184761186551</v>
      </c>
      <c r="O40" s="83">
        <v>115.400103887082</v>
      </c>
      <c r="P40" s="83">
        <v>110.557759746532</v>
      </c>
      <c r="Q40" s="83">
        <v>101.795663535228</v>
      </c>
      <c r="R40" s="83">
        <v>100.601121057836</v>
      </c>
      <c r="S40" s="83">
        <v>97.833033052715905</v>
      </c>
      <c r="T40" s="83">
        <v>93.9721539140901</v>
      </c>
      <c r="U40" s="83">
        <v>94.271838532230305</v>
      </c>
      <c r="V40" s="83">
        <v>101.70830169870101</v>
      </c>
      <c r="W40" s="83">
        <v>102.563132346039</v>
      </c>
      <c r="X40" s="83">
        <v>101.45672742302899</v>
      </c>
      <c r="Y40" s="83">
        <v>105.641112082113</v>
      </c>
      <c r="Z40" s="83">
        <v>104.137546575524</v>
      </c>
      <c r="AA40" s="83">
        <v>103.226240190767</v>
      </c>
      <c r="AB40" s="83">
        <v>102.05009160353001</v>
      </c>
      <c r="AC40" s="83">
        <v>106.163615742876</v>
      </c>
      <c r="AD40" s="83">
        <v>106.40358337518801</v>
      </c>
      <c r="AE40" s="83">
        <v>99.097787853622606</v>
      </c>
      <c r="AF40" s="83">
        <v>98.327503925840603</v>
      </c>
      <c r="AG40" s="83">
        <v>99.124545279270905</v>
      </c>
      <c r="AH40" s="84">
        <v>99.944002140690401</v>
      </c>
      <c r="AI40" s="83">
        <v>98.188327501000202</v>
      </c>
      <c r="AJ40" s="83">
        <v>100.20969880976099</v>
      </c>
      <c r="AK40" s="83">
        <v>101.275335679017</v>
      </c>
      <c r="AL40" s="82">
        <v>96.413058561458996</v>
      </c>
      <c r="AM40" s="82">
        <v>98.723000339574895</v>
      </c>
      <c r="AN40" s="82">
        <v>107.929748164622</v>
      </c>
      <c r="AO40" s="82">
        <v>119.73264721564099</v>
      </c>
      <c r="AP40" s="82">
        <v>131.76672395669999</v>
      </c>
      <c r="AQ40" s="82">
        <v>129.80133303535399</v>
      </c>
      <c r="AR40" s="82">
        <v>132.158009812638</v>
      </c>
      <c r="AS40" s="82">
        <v>150.49857059155099</v>
      </c>
      <c r="AT40" s="82">
        <v>161.492207751601</v>
      </c>
      <c r="AU40" s="82">
        <v>140.030820676839</v>
      </c>
      <c r="AV40" s="82">
        <v>137.58854973079201</v>
      </c>
      <c r="AW40" s="82">
        <v>142.40391183100499</v>
      </c>
      <c r="AX40" s="82">
        <v>140.273528420036</v>
      </c>
      <c r="AY40" s="82">
        <v>133.02025995426499</v>
      </c>
      <c r="AZ40" s="82">
        <v>134.01358432051401</v>
      </c>
      <c r="BA40" s="82">
        <v>135.213067979474</v>
      </c>
      <c r="BB40" s="82">
        <v>135.31332726787201</v>
      </c>
      <c r="BC40" s="82">
        <v>129.241687299901</v>
      </c>
      <c r="BD40" s="82">
        <v>132.78054779983501</v>
      </c>
      <c r="BE40" s="82">
        <v>132.15976550393901</v>
      </c>
      <c r="BF40" s="82">
        <v>126.75013636186</v>
      </c>
      <c r="BG40" s="82">
        <v>125.505232333946</v>
      </c>
      <c r="BH40" s="82">
        <v>123.844390708443</v>
      </c>
      <c r="BI40" s="82">
        <v>126.980480668038</v>
      </c>
      <c r="BJ40" s="82">
        <v>133.92533302935601</v>
      </c>
      <c r="BK40" s="82">
        <v>131.37672026219801</v>
      </c>
      <c r="BL40" s="82">
        <v>129.67508999018099</v>
      </c>
      <c r="BM40" s="82">
        <v>132.63836355339799</v>
      </c>
      <c r="BN40" s="82">
        <v>133.60240974655099</v>
      </c>
      <c r="BO40" s="82">
        <v>130.75409223377801</v>
      </c>
      <c r="BP40" s="82">
        <v>130.00337999427799</v>
      </c>
      <c r="BQ40" s="82"/>
      <c r="BR40" s="82"/>
      <c r="BS40" s="82"/>
      <c r="BT40" s="82"/>
    </row>
    <row r="41" spans="1:72" x14ac:dyDescent="0.65">
      <c r="A41" s="82" t="s">
        <v>141</v>
      </c>
      <c r="B41" s="112" t="s">
        <v>634</v>
      </c>
      <c r="C41" s="81" t="s">
        <v>660</v>
      </c>
      <c r="D41" s="82"/>
      <c r="E41" s="83">
        <v>111.276971233466</v>
      </c>
      <c r="F41" s="83">
        <v>103.859135148912</v>
      </c>
      <c r="G41" s="83">
        <v>108.066828820186</v>
      </c>
      <c r="H41" s="83">
        <v>101.927713836256</v>
      </c>
      <c r="I41" s="83">
        <v>97.566146646505402</v>
      </c>
      <c r="J41" s="83">
        <v>93.206315480864802</v>
      </c>
      <c r="K41" s="83">
        <v>90.449409250774806</v>
      </c>
      <c r="L41" s="83">
        <v>87.944685632392606</v>
      </c>
      <c r="M41" s="83">
        <v>103.896830804882</v>
      </c>
      <c r="N41" s="83">
        <v>113.979989482127</v>
      </c>
      <c r="O41" s="83">
        <v>114.141795829825</v>
      </c>
      <c r="P41" s="83">
        <v>113.21274694823499</v>
      </c>
      <c r="Q41" s="83">
        <v>105.50828945130201</v>
      </c>
      <c r="R41" s="83">
        <v>102.600665172295</v>
      </c>
      <c r="S41" s="83">
        <v>103.071599453411</v>
      </c>
      <c r="T41" s="83">
        <v>100.982596529917</v>
      </c>
      <c r="U41" s="83">
        <v>93.3813399034387</v>
      </c>
      <c r="V41" s="83">
        <v>97.830304887770794</v>
      </c>
      <c r="W41" s="83">
        <v>104.00243417285</v>
      </c>
      <c r="X41" s="83">
        <v>104.785921035939</v>
      </c>
      <c r="Y41" s="83">
        <v>102.067220236883</v>
      </c>
      <c r="Z41" s="83">
        <v>95.972162596805006</v>
      </c>
      <c r="AA41" s="83">
        <v>96.249517271915806</v>
      </c>
      <c r="AB41" s="83">
        <v>90.538069944337707</v>
      </c>
      <c r="AC41" s="83">
        <v>89.720744525475197</v>
      </c>
      <c r="AD41" s="83">
        <v>91.279411214402202</v>
      </c>
      <c r="AE41" s="83">
        <v>83.450790135306306</v>
      </c>
      <c r="AF41" s="83">
        <v>84.851651360120201</v>
      </c>
      <c r="AG41" s="83">
        <v>82.423688045862306</v>
      </c>
      <c r="AH41" s="84">
        <v>80.662824419991694</v>
      </c>
      <c r="AI41" s="83">
        <v>81.020514346265699</v>
      </c>
      <c r="AJ41" s="83">
        <v>85.341226532082899</v>
      </c>
      <c r="AK41" s="83">
        <v>84.911351703952107</v>
      </c>
      <c r="AL41" s="82">
        <v>81.170297373093902</v>
      </c>
      <c r="AM41" s="82">
        <v>85.962295399136707</v>
      </c>
      <c r="AN41" s="82">
        <v>85.4618312547518</v>
      </c>
      <c r="AO41" s="82">
        <v>89.0044945502529</v>
      </c>
      <c r="AP41" s="82">
        <v>93.971053083627595</v>
      </c>
      <c r="AQ41" s="82">
        <v>108.261604288523</v>
      </c>
      <c r="AR41" s="82">
        <v>122.01294270959001</v>
      </c>
      <c r="AS41" s="82">
        <v>124.15052785857699</v>
      </c>
      <c r="AT41" s="82">
        <v>119.810442320839</v>
      </c>
      <c r="AU41" s="82">
        <v>119.226641920056</v>
      </c>
      <c r="AV41" s="82">
        <v>108.47634821384599</v>
      </c>
      <c r="AW41" s="82">
        <v>112.309875845116</v>
      </c>
      <c r="AX41" s="82">
        <v>122.965348256802</v>
      </c>
      <c r="AY41" s="82">
        <v>123.70793818490399</v>
      </c>
      <c r="AZ41" s="82">
        <v>131.53560143881501</v>
      </c>
      <c r="BA41" s="82">
        <v>161.44855310897901</v>
      </c>
      <c r="BB41" s="82">
        <v>207.882904080396</v>
      </c>
      <c r="BC41" s="82">
        <v>206.071240169341</v>
      </c>
      <c r="BD41" s="82">
        <v>230.76863773431299</v>
      </c>
      <c r="BE41" s="82">
        <v>267.202730404004</v>
      </c>
      <c r="BF41" s="82">
        <v>245.92422344055799</v>
      </c>
      <c r="BG41" s="82">
        <v>217.70982261432201</v>
      </c>
      <c r="BH41" s="82">
        <v>215.674993068444</v>
      </c>
      <c r="BI41" s="82">
        <v>183.317516519805</v>
      </c>
      <c r="BJ41" s="82">
        <v>170.96429626064901</v>
      </c>
      <c r="BK41" s="82">
        <v>168.23483402719799</v>
      </c>
      <c r="BL41" s="82">
        <v>165.92000425627299</v>
      </c>
      <c r="BM41" s="82">
        <v>164.19378155684899</v>
      </c>
      <c r="BN41" s="82">
        <v>162.77631297746501</v>
      </c>
      <c r="BO41" s="82">
        <v>161.44511536836799</v>
      </c>
      <c r="BP41" s="82">
        <v>160.39103637261701</v>
      </c>
      <c r="BQ41" s="82"/>
      <c r="BR41" s="82"/>
      <c r="BS41" s="82"/>
      <c r="BT41" s="82"/>
    </row>
    <row r="42" spans="1:72" x14ac:dyDescent="0.65">
      <c r="A42" s="82" t="s">
        <v>142</v>
      </c>
      <c r="B42" s="112" t="s">
        <v>634</v>
      </c>
      <c r="C42" s="81" t="s">
        <v>661</v>
      </c>
      <c r="D42" s="82"/>
      <c r="E42" s="83">
        <v>136.696382126305</v>
      </c>
      <c r="F42" s="83">
        <v>131.49743037114999</v>
      </c>
      <c r="G42" s="83">
        <v>122.011240402041</v>
      </c>
      <c r="H42" s="83">
        <v>123.36946189547299</v>
      </c>
      <c r="I42" s="83">
        <v>125.23645775067899</v>
      </c>
      <c r="J42" s="83">
        <v>124.954018717678</v>
      </c>
      <c r="K42" s="83">
        <v>119.522310153516</v>
      </c>
      <c r="L42" s="83">
        <v>119.293149341722</v>
      </c>
      <c r="M42" s="83">
        <v>119.291244297289</v>
      </c>
      <c r="N42" s="83">
        <v>117.42837312118699</v>
      </c>
      <c r="O42" s="83">
        <v>109.78593165557101</v>
      </c>
      <c r="P42" s="83">
        <v>105.10042015265</v>
      </c>
      <c r="Q42" s="83">
        <v>104.094744493747</v>
      </c>
      <c r="R42" s="83">
        <v>104.666543083069</v>
      </c>
      <c r="S42" s="83">
        <v>97.545961233562807</v>
      </c>
      <c r="T42" s="83">
        <v>94.406890517510902</v>
      </c>
      <c r="U42" s="83">
        <v>94.569023303350804</v>
      </c>
      <c r="V42" s="83">
        <v>100.580522892178</v>
      </c>
      <c r="W42" s="83">
        <v>101.847906978979</v>
      </c>
      <c r="X42" s="83">
        <v>103.002546825491</v>
      </c>
      <c r="Y42" s="83">
        <v>109.684141605514</v>
      </c>
      <c r="Z42" s="83">
        <v>106.639678526626</v>
      </c>
      <c r="AA42" s="83">
        <v>103.00231902985399</v>
      </c>
      <c r="AB42" s="83">
        <v>102.208013546205</v>
      </c>
      <c r="AC42" s="83">
        <v>110.315569564969</v>
      </c>
      <c r="AD42" s="83">
        <v>110.188796157271</v>
      </c>
      <c r="AE42" s="83">
        <v>106.631990865451</v>
      </c>
      <c r="AF42" s="83">
        <v>102.826486981538</v>
      </c>
      <c r="AG42" s="83">
        <v>104.520903169294</v>
      </c>
      <c r="AH42" s="84">
        <v>105.26022255402</v>
      </c>
      <c r="AI42" s="83">
        <v>98.754405496420702</v>
      </c>
      <c r="AJ42" s="83">
        <v>98.111809165460897</v>
      </c>
      <c r="AK42" s="83">
        <v>98.870199063315596</v>
      </c>
      <c r="AL42" s="82">
        <v>91.973478077030094</v>
      </c>
      <c r="AM42" s="82">
        <v>95.308470519232401</v>
      </c>
      <c r="AN42" s="82">
        <v>106.61854405430201</v>
      </c>
      <c r="AO42" s="82">
        <v>112.06541680617001</v>
      </c>
      <c r="AP42" s="82">
        <v>116.91769192589</v>
      </c>
      <c r="AQ42" s="82">
        <v>110.336348908939</v>
      </c>
      <c r="AR42" s="82">
        <v>114.20581187027101</v>
      </c>
      <c r="AS42" s="82">
        <v>125.33964269250799</v>
      </c>
      <c r="AT42" s="82">
        <v>132.83885090676301</v>
      </c>
      <c r="AU42" s="82">
        <v>115.97340382717699</v>
      </c>
      <c r="AV42" s="82">
        <v>105.41970777407801</v>
      </c>
      <c r="AW42" s="82">
        <v>102.611150253982</v>
      </c>
      <c r="AX42" s="82">
        <v>100.773471897218</v>
      </c>
      <c r="AY42" s="82">
        <v>101.207460720548</v>
      </c>
      <c r="AZ42" s="82">
        <v>100.353581864417</v>
      </c>
      <c r="BA42" s="82">
        <v>108.130336037803</v>
      </c>
      <c r="BB42" s="82">
        <v>104.92739848786501</v>
      </c>
      <c r="BC42" s="82">
        <v>104.64532739933701</v>
      </c>
      <c r="BD42" s="82">
        <v>104.73032604743101</v>
      </c>
      <c r="BE42" s="82">
        <v>104.709654357199</v>
      </c>
      <c r="BF42" s="82">
        <v>104.770997408765</v>
      </c>
      <c r="BG42" s="82">
        <v>104.278781101775</v>
      </c>
      <c r="BH42" s="82">
        <v>100.442419969691</v>
      </c>
      <c r="BI42" s="82">
        <v>97.123861409399694</v>
      </c>
      <c r="BJ42" s="82">
        <v>98.854746158705893</v>
      </c>
      <c r="BK42" s="82">
        <v>99.721909985348205</v>
      </c>
      <c r="BL42" s="82">
        <v>100.589861154769</v>
      </c>
      <c r="BM42" s="82">
        <v>101.27507469138899</v>
      </c>
      <c r="BN42" s="82">
        <v>101.459701833658</v>
      </c>
      <c r="BO42" s="82">
        <v>101.566439399161</v>
      </c>
      <c r="BP42" s="82">
        <v>101.202954715834</v>
      </c>
      <c r="BQ42" s="82"/>
      <c r="BR42" s="82"/>
      <c r="BS42" s="82"/>
      <c r="BT42" s="82"/>
    </row>
    <row r="43" spans="1:72" x14ac:dyDescent="0.65">
      <c r="A43" s="82" t="s">
        <v>143</v>
      </c>
      <c r="B43" s="112" t="s">
        <v>634</v>
      </c>
      <c r="C43" s="81" t="s">
        <v>662</v>
      </c>
      <c r="D43" s="82"/>
      <c r="E43" s="83">
        <v>160.21553195102101</v>
      </c>
      <c r="F43" s="83">
        <v>149.12727935628899</v>
      </c>
      <c r="G43" s="83">
        <v>143.56007168915301</v>
      </c>
      <c r="H43" s="83">
        <v>147.309754635627</v>
      </c>
      <c r="I43" s="83">
        <v>148.65161504948301</v>
      </c>
      <c r="J43" s="83">
        <v>134.94336623497799</v>
      </c>
      <c r="K43" s="83">
        <v>131.09004376171899</v>
      </c>
      <c r="L43" s="83">
        <v>132.01450781328401</v>
      </c>
      <c r="M43" s="83">
        <v>131.97589662585401</v>
      </c>
      <c r="N43" s="83">
        <v>138.970129743168</v>
      </c>
      <c r="O43" s="83">
        <v>143.61827055485401</v>
      </c>
      <c r="P43" s="83">
        <v>132.23173350846301</v>
      </c>
      <c r="Q43" s="83">
        <v>116.43545578022599</v>
      </c>
      <c r="R43" s="83">
        <v>113.351430968904</v>
      </c>
      <c r="S43" s="83">
        <v>101.19706716184599</v>
      </c>
      <c r="T43" s="83">
        <v>91.434035229744694</v>
      </c>
      <c r="U43" s="83">
        <v>90.500301970199402</v>
      </c>
      <c r="V43" s="83">
        <v>96.636711520545404</v>
      </c>
      <c r="W43" s="83">
        <v>100.89638593509</v>
      </c>
      <c r="X43" s="83">
        <v>111.966600574164</v>
      </c>
      <c r="Y43" s="83">
        <v>125.76864477216699</v>
      </c>
      <c r="Z43" s="83">
        <v>112.805883048769</v>
      </c>
      <c r="AA43" s="83">
        <v>123.43509285454699</v>
      </c>
      <c r="AB43" s="83">
        <v>126.74514466337</v>
      </c>
      <c r="AC43" s="83">
        <v>135.56567123324999</v>
      </c>
      <c r="AD43" s="83">
        <v>134.51856268775299</v>
      </c>
      <c r="AE43" s="83">
        <v>125.51079880402899</v>
      </c>
      <c r="AF43" s="83">
        <v>125.554259015737</v>
      </c>
      <c r="AG43" s="83">
        <v>131.94420575435001</v>
      </c>
      <c r="AH43" s="84">
        <v>140.08870212055501</v>
      </c>
      <c r="AI43" s="83">
        <v>138.606575401258</v>
      </c>
      <c r="AJ43" s="83">
        <v>130.64183762292001</v>
      </c>
      <c r="AK43" s="83">
        <v>126.764676032964</v>
      </c>
      <c r="AL43" s="82">
        <v>123.182146279547</v>
      </c>
      <c r="AM43" s="82">
        <v>147.01823824176901</v>
      </c>
      <c r="AN43" s="82">
        <v>163.07507277840301</v>
      </c>
      <c r="AO43" s="82">
        <v>193.60173569841399</v>
      </c>
      <c r="AP43" s="82">
        <v>224.860677022961</v>
      </c>
      <c r="AQ43" s="82">
        <v>214.14888192772199</v>
      </c>
      <c r="AR43" s="82">
        <v>189.03886555230201</v>
      </c>
      <c r="AS43" s="82">
        <v>219.655490298236</v>
      </c>
      <c r="AT43" s="82">
        <v>213.261418766068</v>
      </c>
      <c r="AU43" s="82">
        <v>171.022762368553</v>
      </c>
      <c r="AV43" s="82">
        <v>171.64084338089299</v>
      </c>
      <c r="AW43" s="82">
        <v>203.83514554282999</v>
      </c>
      <c r="AX43" s="82">
        <v>184.230228455819</v>
      </c>
      <c r="AY43" s="82">
        <v>179.609582617591</v>
      </c>
      <c r="AZ43" s="82">
        <v>186.51531753741</v>
      </c>
      <c r="BA43" s="82">
        <v>184.56476162432301</v>
      </c>
      <c r="BB43" s="82">
        <v>192.18493326746301</v>
      </c>
      <c r="BC43" s="82">
        <v>179.174484212745</v>
      </c>
      <c r="BD43" s="82">
        <v>183.87374062308601</v>
      </c>
      <c r="BE43" s="82">
        <v>184.931369304263</v>
      </c>
      <c r="BF43" s="82">
        <v>178.55896798378001</v>
      </c>
      <c r="BG43" s="82">
        <v>187.19073726263599</v>
      </c>
      <c r="BH43" s="82">
        <v>204.62070388202099</v>
      </c>
      <c r="BI43" s="82">
        <v>218.615726703245</v>
      </c>
      <c r="BJ43" s="82">
        <v>217.0214033359</v>
      </c>
      <c r="BK43" s="82">
        <v>217.287448317996</v>
      </c>
      <c r="BL43" s="82">
        <v>217.04997583300599</v>
      </c>
      <c r="BM43" s="82">
        <v>216.72057682806201</v>
      </c>
      <c r="BN43" s="82">
        <v>216.78930995176299</v>
      </c>
      <c r="BO43" s="82">
        <v>216.63311190979601</v>
      </c>
      <c r="BP43" s="82">
        <v>216.32412017125401</v>
      </c>
      <c r="BQ43" s="82"/>
      <c r="BR43" s="82"/>
      <c r="BS43" s="82"/>
      <c r="BT43" s="82"/>
    </row>
    <row r="44" spans="1:72" x14ac:dyDescent="0.6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7"/>
      <c r="AI44" s="5"/>
      <c r="AJ44" s="5"/>
      <c r="AK44" s="5"/>
    </row>
    <row r="45" spans="1:72" x14ac:dyDescent="0.65">
      <c r="A45" s="82" t="s">
        <v>180</v>
      </c>
      <c r="B45" s="112" t="s">
        <v>634</v>
      </c>
      <c r="C45" s="81" t="s">
        <v>663</v>
      </c>
      <c r="D45" s="82"/>
      <c r="E45" s="83">
        <v>121.02890961488301</v>
      </c>
      <c r="F45" s="83">
        <v>118.466473826691</v>
      </c>
      <c r="G45" s="83">
        <v>122.320611228513</v>
      </c>
      <c r="H45" s="83">
        <v>119.92495343001799</v>
      </c>
      <c r="I45" s="83">
        <v>120.51319822278499</v>
      </c>
      <c r="J45" s="83">
        <v>122.883661093817</v>
      </c>
      <c r="K45" s="83">
        <v>117.22273478730899</v>
      </c>
      <c r="L45" s="83">
        <v>114.500948615662</v>
      </c>
      <c r="M45" s="83">
        <v>120.653110642546</v>
      </c>
      <c r="N45" s="83">
        <v>124.22758012603801</v>
      </c>
      <c r="O45" s="83">
        <v>114.59155119812</v>
      </c>
      <c r="P45" s="83">
        <v>110.03536298095401</v>
      </c>
      <c r="Q45" s="83">
        <v>102.344076076619</v>
      </c>
      <c r="R45" s="83">
        <v>101.26059055761201</v>
      </c>
      <c r="S45" s="83">
        <v>98.152088583476299</v>
      </c>
      <c r="T45" s="83">
        <v>94.504590663914499</v>
      </c>
      <c r="U45" s="83">
        <v>94.249591560091503</v>
      </c>
      <c r="V45" s="83">
        <v>101.29949909839</v>
      </c>
      <c r="W45" s="83">
        <v>102.56883905897401</v>
      </c>
      <c r="X45" s="83">
        <v>101.882070282543</v>
      </c>
      <c r="Y45" s="83">
        <v>105.91891232232599</v>
      </c>
      <c r="Z45" s="83">
        <v>103.904848693961</v>
      </c>
      <c r="AA45" s="83">
        <v>102.72324549737699</v>
      </c>
      <c r="AB45" s="83">
        <v>101.28804265107701</v>
      </c>
      <c r="AC45" s="83">
        <v>105.580834330363</v>
      </c>
      <c r="AD45" s="83">
        <v>105.86319259123201</v>
      </c>
      <c r="AE45" s="83">
        <v>99.004687248502904</v>
      </c>
      <c r="AF45" s="83">
        <v>97.991061915158994</v>
      </c>
      <c r="AG45" s="83">
        <v>98.6844940474558</v>
      </c>
      <c r="AH45" s="84">
        <v>99.318264833667399</v>
      </c>
      <c r="AI45" s="83">
        <v>97.094461427556098</v>
      </c>
      <c r="AJ45" s="83">
        <v>98.929016477971004</v>
      </c>
      <c r="AK45" s="83">
        <v>99.853444888558997</v>
      </c>
      <c r="AL45" s="82">
        <v>94.805358246867797</v>
      </c>
      <c r="AM45" s="82">
        <v>97.416000735569199</v>
      </c>
      <c r="AN45" s="82">
        <v>106.23390276094899</v>
      </c>
      <c r="AO45" s="82">
        <v>116.656838203435</v>
      </c>
      <c r="AP45" s="82">
        <v>127.285662088303</v>
      </c>
      <c r="AQ45" s="82">
        <v>125.830591245397</v>
      </c>
      <c r="AR45" s="82">
        <v>129.156507069242</v>
      </c>
      <c r="AS45" s="82">
        <v>145.467734788776</v>
      </c>
      <c r="AT45" s="82">
        <v>154.96921327901401</v>
      </c>
      <c r="AU45" s="82">
        <v>135.518621237769</v>
      </c>
      <c r="AV45" s="82">
        <v>131.467065668278</v>
      </c>
      <c r="AW45" s="82">
        <v>135.23383477093401</v>
      </c>
      <c r="AX45" s="82">
        <v>134.01010852564801</v>
      </c>
      <c r="AY45" s="82">
        <v>128.29028169173199</v>
      </c>
      <c r="AZ45" s="82">
        <v>129.51018919098499</v>
      </c>
      <c r="BA45" s="82">
        <v>133.508185463616</v>
      </c>
      <c r="BB45" s="82">
        <v>136.33202145669</v>
      </c>
      <c r="BC45" s="82">
        <v>131.29552432249801</v>
      </c>
      <c r="BD45" s="82">
        <v>135.82756077000801</v>
      </c>
      <c r="BE45" s="82">
        <v>137.80241206794901</v>
      </c>
      <c r="BF45" s="82">
        <v>132.01888458983399</v>
      </c>
      <c r="BG45" s="82">
        <v>129.037999237761</v>
      </c>
      <c r="BH45" s="82">
        <v>127.071560862941</v>
      </c>
      <c r="BI45" s="82">
        <v>126.96413702808999</v>
      </c>
      <c r="BJ45" s="82">
        <v>131.92594810855999</v>
      </c>
      <c r="BK45" s="82">
        <v>129.804953391477</v>
      </c>
      <c r="BL45" s="82">
        <v>128.39257823179199</v>
      </c>
      <c r="BM45" s="82">
        <v>130.743755803601</v>
      </c>
      <c r="BN45" s="82">
        <v>131.40393069715699</v>
      </c>
      <c r="BO45" s="82">
        <v>129.059779769633</v>
      </c>
      <c r="BP45" s="82">
        <v>128.34371911339599</v>
      </c>
      <c r="BQ45" s="82"/>
      <c r="BR45" s="82"/>
      <c r="BS45" s="82"/>
      <c r="BT45" s="82"/>
    </row>
    <row r="46" spans="1:72" x14ac:dyDescent="0.65">
      <c r="A46" s="82" t="s">
        <v>181</v>
      </c>
      <c r="B46" s="112" t="s">
        <v>634</v>
      </c>
      <c r="C46" s="81" t="s">
        <v>664</v>
      </c>
      <c r="D46" s="82"/>
      <c r="E46" s="83">
        <v>166.640470456739</v>
      </c>
      <c r="F46" s="83">
        <v>163.77792220108901</v>
      </c>
      <c r="G46" s="83">
        <v>205.291635173288</v>
      </c>
      <c r="H46" s="83">
        <v>202.161970333581</v>
      </c>
      <c r="I46" s="83">
        <v>187.54128446512499</v>
      </c>
      <c r="J46" s="83">
        <v>181.90265312325101</v>
      </c>
      <c r="K46" s="83">
        <v>163.12544597578199</v>
      </c>
      <c r="L46" s="83">
        <v>149.379034826056</v>
      </c>
      <c r="M46" s="83">
        <v>148.34634005667601</v>
      </c>
      <c r="N46" s="83">
        <v>155.14471458165599</v>
      </c>
      <c r="O46" s="83">
        <v>131.70888596464599</v>
      </c>
      <c r="P46" s="83">
        <v>128.15033908248799</v>
      </c>
      <c r="Q46" s="83">
        <v>123.68197722132</v>
      </c>
      <c r="R46" s="83">
        <v>118.322872596997</v>
      </c>
      <c r="S46" s="83">
        <v>112.277633507416</v>
      </c>
      <c r="T46" s="83">
        <v>105.733817027545</v>
      </c>
      <c r="U46" s="83">
        <v>104.00035984406399</v>
      </c>
      <c r="V46" s="83">
        <v>108.169115753619</v>
      </c>
      <c r="W46" s="83">
        <v>96.048727146787201</v>
      </c>
      <c r="X46" s="83">
        <v>91.781797255529</v>
      </c>
      <c r="Y46" s="83">
        <v>100.313912978921</v>
      </c>
      <c r="Z46" s="83">
        <v>102.602348815684</v>
      </c>
      <c r="AA46" s="83">
        <v>102.75541927822201</v>
      </c>
      <c r="AB46" s="83">
        <v>98.254755456527704</v>
      </c>
      <c r="AC46" s="83">
        <v>111.082284918968</v>
      </c>
      <c r="AD46" s="83">
        <v>118.765222606614</v>
      </c>
      <c r="AE46" s="83">
        <v>115.74767785291399</v>
      </c>
      <c r="AF46" s="83">
        <v>113.927038626081</v>
      </c>
      <c r="AG46" s="83">
        <v>112.34787806382801</v>
      </c>
      <c r="AH46" s="84">
        <v>111.270849712672</v>
      </c>
      <c r="AI46" s="83">
        <v>107.63331318279801</v>
      </c>
      <c r="AJ46" s="83">
        <v>108.273785986004</v>
      </c>
      <c r="AK46" s="83">
        <v>114.37789552556301</v>
      </c>
      <c r="AL46" s="82">
        <v>113.196545501537</v>
      </c>
      <c r="AM46" s="82">
        <v>116.252835243783</v>
      </c>
      <c r="AN46" s="82">
        <v>132.65799053513101</v>
      </c>
      <c r="AO46" s="82">
        <v>154.90630019552299</v>
      </c>
      <c r="AP46" s="82">
        <v>170.438172203964</v>
      </c>
      <c r="AQ46" s="82">
        <v>163.83142653270301</v>
      </c>
      <c r="AR46" s="82">
        <v>181.08978258937</v>
      </c>
      <c r="AS46" s="82">
        <v>206.56467107237901</v>
      </c>
      <c r="AT46" s="82">
        <v>233.91647221372801</v>
      </c>
      <c r="AU46" s="82">
        <v>196.21653338186499</v>
      </c>
      <c r="AV46" s="82">
        <v>199.759040978586</v>
      </c>
      <c r="AW46" s="82">
        <v>191.13540570315999</v>
      </c>
      <c r="AX46" s="82">
        <v>181.07647772421501</v>
      </c>
      <c r="AY46" s="82">
        <v>159.142674309581</v>
      </c>
      <c r="AZ46" s="82">
        <v>147.46994050166199</v>
      </c>
      <c r="BA46" s="82">
        <v>144.672226060192</v>
      </c>
      <c r="BB46" s="82">
        <v>141.13832731736201</v>
      </c>
      <c r="BC46" s="82">
        <v>127.154921260809</v>
      </c>
      <c r="BD46" s="82">
        <v>129.61543143090799</v>
      </c>
      <c r="BE46" s="82">
        <v>128.684092719234</v>
      </c>
      <c r="BF46" s="82">
        <v>123.52083872874999</v>
      </c>
      <c r="BG46" s="82">
        <v>112.24645580563499</v>
      </c>
      <c r="BH46" s="82">
        <v>115.455457111334</v>
      </c>
      <c r="BI46" s="82">
        <v>124.88034610275599</v>
      </c>
      <c r="BJ46" s="82">
        <v>130.33033451052799</v>
      </c>
      <c r="BK46" s="82">
        <v>133.76812624880401</v>
      </c>
      <c r="BL46" s="82">
        <v>138.36888858823099</v>
      </c>
      <c r="BM46" s="82">
        <v>141.53589114280899</v>
      </c>
      <c r="BN46" s="82">
        <v>144.11430127580201</v>
      </c>
      <c r="BO46" s="82">
        <v>143.61086462615501</v>
      </c>
      <c r="BP46" s="82">
        <v>145.21712453370199</v>
      </c>
      <c r="BQ46" s="82"/>
      <c r="BR46" s="82"/>
      <c r="BS46" s="82"/>
      <c r="BT46" s="82"/>
    </row>
    <row r="47" spans="1:72" x14ac:dyDescent="0.65">
      <c r="A47" s="82" t="s">
        <v>182</v>
      </c>
      <c r="B47" s="112" t="s">
        <v>634</v>
      </c>
      <c r="C47" s="81" t="s">
        <v>665</v>
      </c>
      <c r="D47" s="82"/>
      <c r="E47" s="83">
        <v>124.254759555352</v>
      </c>
      <c r="F47" s="83">
        <v>114.554606798156</v>
      </c>
      <c r="G47" s="83">
        <v>115.272002231249</v>
      </c>
      <c r="H47" s="83">
        <v>105.616697602638</v>
      </c>
      <c r="I47" s="83">
        <v>104.658237029334</v>
      </c>
      <c r="J47" s="83">
        <v>99.123089998167501</v>
      </c>
      <c r="K47" s="83">
        <v>93.378350396169694</v>
      </c>
      <c r="L47" s="83">
        <v>85.524330436219302</v>
      </c>
      <c r="M47" s="83">
        <v>107.26821069190299</v>
      </c>
      <c r="N47" s="83">
        <v>122.48260407163799</v>
      </c>
      <c r="O47" s="83">
        <v>120.013826660661</v>
      </c>
      <c r="P47" s="83">
        <v>121.447673163635</v>
      </c>
      <c r="Q47" s="83">
        <v>108.08066034579799</v>
      </c>
      <c r="R47" s="83">
        <v>99.806431487817605</v>
      </c>
      <c r="S47" s="83">
        <v>94.386028988021707</v>
      </c>
      <c r="T47" s="83">
        <v>91.6120689490877</v>
      </c>
      <c r="U47" s="83">
        <v>88.104485590498498</v>
      </c>
      <c r="V47" s="83">
        <v>95.334156524885699</v>
      </c>
      <c r="W47" s="83">
        <v>105.013901488804</v>
      </c>
      <c r="X47" s="83">
        <v>111.547456395811</v>
      </c>
      <c r="Y47" s="83">
        <v>110.840259099744</v>
      </c>
      <c r="Z47" s="83">
        <v>102.838105576563</v>
      </c>
      <c r="AA47" s="83">
        <v>103.441396503826</v>
      </c>
      <c r="AB47" s="83">
        <v>94.765051842062903</v>
      </c>
      <c r="AC47" s="83">
        <v>91.736247759011505</v>
      </c>
      <c r="AD47" s="83">
        <v>90.580736682331207</v>
      </c>
      <c r="AE47" s="83">
        <v>83.836808012448898</v>
      </c>
      <c r="AF47" s="83">
        <v>87.180211996132002</v>
      </c>
      <c r="AG47" s="83">
        <v>82.701130099029101</v>
      </c>
      <c r="AH47" s="84">
        <v>78.836615968860698</v>
      </c>
      <c r="AI47" s="83">
        <v>80.246763860766407</v>
      </c>
      <c r="AJ47" s="83">
        <v>83.615533177468393</v>
      </c>
      <c r="AK47" s="83">
        <v>82.176448569033994</v>
      </c>
      <c r="AL47" s="82">
        <v>81.708066126933403</v>
      </c>
      <c r="AM47" s="82">
        <v>88.5422120887646</v>
      </c>
      <c r="AN47" s="82">
        <v>86.869532972072605</v>
      </c>
      <c r="AO47" s="82">
        <v>91.291653873514704</v>
      </c>
      <c r="AP47" s="82">
        <v>100.62600131229399</v>
      </c>
      <c r="AQ47" s="82">
        <v>120.975313853909</v>
      </c>
      <c r="AR47" s="82">
        <v>139.70282513873099</v>
      </c>
      <c r="AS47" s="82">
        <v>143.14853479309301</v>
      </c>
      <c r="AT47" s="82">
        <v>139.82469008102501</v>
      </c>
      <c r="AU47" s="82">
        <v>141.019169041895</v>
      </c>
      <c r="AV47" s="82">
        <v>121.738471719746</v>
      </c>
      <c r="AW47" s="82">
        <v>124.66172358020199</v>
      </c>
      <c r="AX47" s="82">
        <v>136.51755324320999</v>
      </c>
      <c r="AY47" s="82">
        <v>127.999782177095</v>
      </c>
      <c r="AZ47" s="82">
        <v>131.09535586224601</v>
      </c>
      <c r="BA47" s="82">
        <v>151.09743638990699</v>
      </c>
      <c r="BB47" s="82">
        <v>183.22718550751301</v>
      </c>
      <c r="BC47" s="82">
        <v>207.435353031104</v>
      </c>
      <c r="BD47" s="82">
        <v>223.13576828067701</v>
      </c>
      <c r="BE47" s="82">
        <v>262.78410066867002</v>
      </c>
      <c r="BF47" s="82">
        <v>245.26057361788099</v>
      </c>
      <c r="BG47" s="82">
        <v>218.55813303451399</v>
      </c>
      <c r="BH47" s="82">
        <v>238.07887927405301</v>
      </c>
      <c r="BI47" s="82">
        <v>207.5377313795</v>
      </c>
      <c r="BJ47" s="82">
        <v>190.89640936300901</v>
      </c>
      <c r="BK47" s="82">
        <v>185.56257449629501</v>
      </c>
      <c r="BL47" s="82">
        <v>180.79938904379199</v>
      </c>
      <c r="BM47" s="82">
        <v>177.59758376050601</v>
      </c>
      <c r="BN47" s="82">
        <v>175.36973826022199</v>
      </c>
      <c r="BO47" s="82">
        <v>173.28542349072001</v>
      </c>
      <c r="BP47" s="82">
        <v>171.528654344812</v>
      </c>
      <c r="BQ47" s="82"/>
      <c r="BR47" s="82"/>
      <c r="BS47" s="82"/>
      <c r="BT47" s="82"/>
    </row>
    <row r="48" spans="1:72" x14ac:dyDescent="0.65">
      <c r="A48" s="82" t="s">
        <v>183</v>
      </c>
      <c r="B48" s="112" t="s">
        <v>634</v>
      </c>
      <c r="C48" s="81" t="s">
        <v>666</v>
      </c>
      <c r="D48" s="82"/>
      <c r="E48" s="83">
        <v>118.531915832172</v>
      </c>
      <c r="F48" s="83">
        <v>116.38967315251899</v>
      </c>
      <c r="G48" s="83">
        <v>122.366344120365</v>
      </c>
      <c r="H48" s="83">
        <v>119.41576730238999</v>
      </c>
      <c r="I48" s="83">
        <v>119.814980101706</v>
      </c>
      <c r="J48" s="83">
        <v>122.57760947807201</v>
      </c>
      <c r="K48" s="83">
        <v>116.88279894808799</v>
      </c>
      <c r="L48" s="83">
        <v>113.79253922866501</v>
      </c>
      <c r="M48" s="83">
        <v>120.854429192826</v>
      </c>
      <c r="N48" s="83">
        <v>125.23267618559601</v>
      </c>
      <c r="O48" s="83">
        <v>115.301944228146</v>
      </c>
      <c r="P48" s="83">
        <v>110.764873288161</v>
      </c>
      <c r="Q48" s="83">
        <v>102.08528267227101</v>
      </c>
      <c r="R48" s="83">
        <v>100.757103980436</v>
      </c>
      <c r="S48" s="83">
        <v>98.241689651741098</v>
      </c>
      <c r="T48" s="83">
        <v>94.519033235246496</v>
      </c>
      <c r="U48" s="83">
        <v>94.202371408356399</v>
      </c>
      <c r="V48" s="83">
        <v>101.405782103344</v>
      </c>
      <c r="W48" s="83">
        <v>102.675411191915</v>
      </c>
      <c r="X48" s="83">
        <v>101.716435296383</v>
      </c>
      <c r="Y48" s="83">
        <v>105.36231548490601</v>
      </c>
      <c r="Z48" s="83">
        <v>103.500571153005</v>
      </c>
      <c r="AA48" s="83">
        <v>102.68199131764401</v>
      </c>
      <c r="AB48" s="83">
        <v>101.152047509152</v>
      </c>
      <c r="AC48" s="83">
        <v>104.880919807396</v>
      </c>
      <c r="AD48" s="83">
        <v>105.22375815478399</v>
      </c>
      <c r="AE48" s="83">
        <v>97.877177407284805</v>
      </c>
      <c r="AF48" s="83">
        <v>97.276262869176307</v>
      </c>
      <c r="AG48" s="83">
        <v>97.821724049992397</v>
      </c>
      <c r="AH48" s="84">
        <v>98.439892063647903</v>
      </c>
      <c r="AI48" s="83">
        <v>96.849079393811195</v>
      </c>
      <c r="AJ48" s="83">
        <v>99.049820543659806</v>
      </c>
      <c r="AK48" s="83">
        <v>99.998793677590399</v>
      </c>
      <c r="AL48" s="82">
        <v>95.223982300792699</v>
      </c>
      <c r="AM48" s="82">
        <v>97.727547407751402</v>
      </c>
      <c r="AN48" s="82">
        <v>106.177042975975</v>
      </c>
      <c r="AO48" s="82">
        <v>117.335567289175</v>
      </c>
      <c r="AP48" s="82">
        <v>128.81831228536601</v>
      </c>
      <c r="AQ48" s="82">
        <v>128.121035102615</v>
      </c>
      <c r="AR48" s="82">
        <v>131.366600808323</v>
      </c>
      <c r="AS48" s="82">
        <v>148.44317972491999</v>
      </c>
      <c r="AT48" s="82">
        <v>158.24064478581599</v>
      </c>
      <c r="AU48" s="82">
        <v>138.40790244197001</v>
      </c>
      <c r="AV48" s="82">
        <v>135.31752893004901</v>
      </c>
      <c r="AW48" s="82">
        <v>140.056298866644</v>
      </c>
      <c r="AX48" s="82">
        <v>138.92333038877999</v>
      </c>
      <c r="AY48" s="82">
        <v>132.29381278299499</v>
      </c>
      <c r="AZ48" s="82">
        <v>133.82027875188601</v>
      </c>
      <c r="BA48" s="82">
        <v>137.25967831267101</v>
      </c>
      <c r="BB48" s="82">
        <v>140.97442501571601</v>
      </c>
      <c r="BC48" s="82">
        <v>135.235102554901</v>
      </c>
      <c r="BD48" s="82">
        <v>140.42452451306099</v>
      </c>
      <c r="BE48" s="82">
        <v>142.694364960581</v>
      </c>
      <c r="BF48" s="82">
        <v>136.04681667330101</v>
      </c>
      <c r="BG48" s="82">
        <v>132.69804261759401</v>
      </c>
      <c r="BH48" s="82">
        <v>131.00802647755199</v>
      </c>
      <c r="BI48" s="82">
        <v>131.37529018449101</v>
      </c>
      <c r="BJ48" s="82">
        <v>136.814714510426</v>
      </c>
      <c r="BK48" s="82">
        <v>134.25199381331501</v>
      </c>
      <c r="BL48" s="82">
        <v>132.502528312615</v>
      </c>
      <c r="BM48" s="82">
        <v>135.09997782259899</v>
      </c>
      <c r="BN48" s="82">
        <v>135.83045079218101</v>
      </c>
      <c r="BO48" s="82">
        <v>133.12399608938</v>
      </c>
      <c r="BP48" s="82">
        <v>132.35581571965099</v>
      </c>
      <c r="BQ48" s="82"/>
      <c r="BR48" s="82"/>
      <c r="BS48" s="82"/>
      <c r="BT48" s="82"/>
    </row>
    <row r="49" spans="1:72" x14ac:dyDescent="0.65">
      <c r="A49" s="82" t="s">
        <v>184</v>
      </c>
      <c r="B49" s="112" t="s">
        <v>634</v>
      </c>
      <c r="C49" s="81" t="s">
        <v>667</v>
      </c>
      <c r="D49" s="82"/>
      <c r="E49" s="83">
        <v>124.14955616473701</v>
      </c>
      <c r="F49" s="83">
        <v>122.982205971534</v>
      </c>
      <c r="G49" s="83">
        <v>120.474111620668</v>
      </c>
      <c r="H49" s="83">
        <v>121.219482962027</v>
      </c>
      <c r="I49" s="83">
        <v>115.27604227898399</v>
      </c>
      <c r="J49" s="83">
        <v>112.389819324258</v>
      </c>
      <c r="K49" s="83">
        <v>113.152503566378</v>
      </c>
      <c r="L49" s="83">
        <v>116.234792707906</v>
      </c>
      <c r="M49" s="83">
        <v>117.430576903898</v>
      </c>
      <c r="N49" s="83">
        <v>119.104096822633</v>
      </c>
      <c r="O49" s="83">
        <v>117.87477288801701</v>
      </c>
      <c r="P49" s="83">
        <v>110.59296594426699</v>
      </c>
      <c r="Q49" s="83">
        <v>105.972619937857</v>
      </c>
      <c r="R49" s="83">
        <v>106.350010054148</v>
      </c>
      <c r="S49" s="83">
        <v>107.148752261243</v>
      </c>
      <c r="T49" s="83">
        <v>105.580828866755</v>
      </c>
      <c r="U49" s="83">
        <v>102.366095840905</v>
      </c>
      <c r="V49" s="83">
        <v>104.357478868236</v>
      </c>
      <c r="W49" s="83">
        <v>99.469486298650494</v>
      </c>
      <c r="X49" s="83">
        <v>93.806938992207805</v>
      </c>
      <c r="Y49" s="83">
        <v>92.496107157670593</v>
      </c>
      <c r="Z49" s="83">
        <v>95.255254356155504</v>
      </c>
      <c r="AA49" s="83">
        <v>96.870553117557705</v>
      </c>
      <c r="AB49" s="83">
        <v>97.405189857039304</v>
      </c>
      <c r="AC49" s="83">
        <v>101.96471902562701</v>
      </c>
      <c r="AD49" s="83">
        <v>100.147064022769</v>
      </c>
      <c r="AE49" s="83">
        <v>96.466872524804501</v>
      </c>
      <c r="AF49" s="83">
        <v>95.249605729680596</v>
      </c>
      <c r="AG49" s="83">
        <v>96.734046329013296</v>
      </c>
      <c r="AH49" s="84">
        <v>95.917774339507005</v>
      </c>
      <c r="AI49" s="83">
        <v>93.773670791491497</v>
      </c>
      <c r="AJ49" s="83">
        <v>96.333267998169603</v>
      </c>
      <c r="AK49" s="83">
        <v>95.923785984965903</v>
      </c>
      <c r="AL49" s="82">
        <v>94.237081628048898</v>
      </c>
      <c r="AM49" s="82">
        <v>97.665918765303999</v>
      </c>
      <c r="AN49" s="82">
        <v>99.981832978100996</v>
      </c>
      <c r="AO49" s="82">
        <v>101.91629546373601</v>
      </c>
      <c r="AP49" s="82">
        <v>102.01763410245999</v>
      </c>
      <c r="AQ49" s="82">
        <v>100.775559799582</v>
      </c>
      <c r="AR49" s="82">
        <v>98.354009596675098</v>
      </c>
      <c r="AS49" s="82">
        <v>97.426077229229605</v>
      </c>
      <c r="AT49" s="82">
        <v>90.222089211922693</v>
      </c>
      <c r="AU49" s="82">
        <v>84.479187599282</v>
      </c>
      <c r="AV49" s="82">
        <v>83.793062832768797</v>
      </c>
      <c r="AW49" s="82">
        <v>87.458116670445705</v>
      </c>
      <c r="AX49" s="82">
        <v>88.606020134715195</v>
      </c>
      <c r="AY49" s="82">
        <v>88.248317880022796</v>
      </c>
      <c r="AZ49" s="82">
        <v>86.4501675629717</v>
      </c>
      <c r="BA49" s="82">
        <v>87.776567090698407</v>
      </c>
      <c r="BB49" s="82">
        <v>86.499304879316298</v>
      </c>
      <c r="BC49" s="82">
        <v>89.422377932109498</v>
      </c>
      <c r="BD49" s="82">
        <v>87.960987146134897</v>
      </c>
      <c r="BE49" s="82">
        <v>86.805741445561196</v>
      </c>
      <c r="BF49" s="82">
        <v>91.927407984919597</v>
      </c>
      <c r="BG49" s="82">
        <v>92.173469151888099</v>
      </c>
      <c r="BH49" s="82">
        <v>90.234115345087105</v>
      </c>
      <c r="BI49" s="82">
        <v>91.144311195697696</v>
      </c>
      <c r="BJ49" s="82">
        <v>91.144311195697696</v>
      </c>
      <c r="BK49" s="82">
        <v>91.144311195697696</v>
      </c>
      <c r="BL49" s="82">
        <v>91.144311195697696</v>
      </c>
      <c r="BM49" s="82">
        <v>91.144311195697696</v>
      </c>
      <c r="BN49" s="82">
        <v>91.144311195697696</v>
      </c>
      <c r="BO49" s="82">
        <v>91.144311195697696</v>
      </c>
      <c r="BP49" s="82">
        <v>91.144311195697696</v>
      </c>
      <c r="BQ49" s="82"/>
      <c r="BR49" s="82"/>
      <c r="BS49" s="82"/>
      <c r="BT49" s="82"/>
    </row>
    <row r="50" spans="1:72" x14ac:dyDescent="0.65">
      <c r="A50" s="82" t="s">
        <v>185</v>
      </c>
      <c r="B50" s="112" t="s">
        <v>634</v>
      </c>
      <c r="C50" s="81" t="s">
        <v>668</v>
      </c>
      <c r="D50" s="82"/>
      <c r="E50" s="83">
        <v>151.59549168893199</v>
      </c>
      <c r="F50" s="83">
        <v>142.66573592470101</v>
      </c>
      <c r="G50" s="83">
        <v>135.50488535257099</v>
      </c>
      <c r="H50" s="83">
        <v>138.36061412750101</v>
      </c>
      <c r="I50" s="83">
        <v>139.89877585234899</v>
      </c>
      <c r="J50" s="83">
        <v>131.209240028289</v>
      </c>
      <c r="K50" s="83">
        <v>126.76589975295499</v>
      </c>
      <c r="L50" s="83">
        <v>127.259126346068</v>
      </c>
      <c r="M50" s="83">
        <v>127.234236312124</v>
      </c>
      <c r="N50" s="83">
        <v>130.91758799297301</v>
      </c>
      <c r="O50" s="83">
        <v>130.97137614071801</v>
      </c>
      <c r="P50" s="83">
        <v>122.089754960977</v>
      </c>
      <c r="Q50" s="83">
        <v>112.925451992627</v>
      </c>
      <c r="R50" s="83">
        <v>110.881233857369</v>
      </c>
      <c r="S50" s="83">
        <v>100.158602251704</v>
      </c>
      <c r="T50" s="83">
        <v>92.279588867440907</v>
      </c>
      <c r="U50" s="83">
        <v>91.657547039670405</v>
      </c>
      <c r="V50" s="83">
        <v>97.758429104779907</v>
      </c>
      <c r="W50" s="83">
        <v>101.167022075139</v>
      </c>
      <c r="X50" s="83">
        <v>109.41700178041</v>
      </c>
      <c r="Y50" s="83">
        <v>121.193813895243</v>
      </c>
      <c r="Z50" s="83">
        <v>111.05206183657199</v>
      </c>
      <c r="AA50" s="83">
        <v>117.623506159832</v>
      </c>
      <c r="AB50" s="83">
        <v>119.76617715017601</v>
      </c>
      <c r="AC50" s="83">
        <v>128.38391724553401</v>
      </c>
      <c r="AD50" s="83">
        <v>127.598574796379</v>
      </c>
      <c r="AE50" s="83">
        <v>120.141198476182</v>
      </c>
      <c r="AF50" s="83">
        <v>119.08991801692299</v>
      </c>
      <c r="AG50" s="83">
        <v>124.144339627714</v>
      </c>
      <c r="AH50" s="84">
        <v>130.18262034317999</v>
      </c>
      <c r="AI50" s="83">
        <v>127.271631728825</v>
      </c>
      <c r="AJ50" s="83">
        <v>121.38949223976</v>
      </c>
      <c r="AK50" s="83">
        <v>118.830796247297</v>
      </c>
      <c r="AL50" s="82">
        <v>114.30562846353099</v>
      </c>
      <c r="AM50" s="82">
        <v>132.31070021186599</v>
      </c>
      <c r="AN50" s="82">
        <v>147.01743841227301</v>
      </c>
      <c r="AO50" s="82">
        <v>170.41078815131601</v>
      </c>
      <c r="AP50" s="82">
        <v>194.15901990287901</v>
      </c>
      <c r="AQ50" s="82">
        <v>184.62202762919</v>
      </c>
      <c r="AR50" s="82">
        <v>167.754492572175</v>
      </c>
      <c r="AS50" s="82">
        <v>192.82972842425301</v>
      </c>
      <c r="AT50" s="82">
        <v>190.38724958395301</v>
      </c>
      <c r="AU50" s="82">
        <v>155.36536203727701</v>
      </c>
      <c r="AV50" s="82">
        <v>152.805913091772</v>
      </c>
      <c r="AW50" s="82">
        <v>175.04453545465901</v>
      </c>
      <c r="AX50" s="82">
        <v>160.49306089544299</v>
      </c>
      <c r="AY50" s="82">
        <v>157.31007828384199</v>
      </c>
      <c r="AZ50" s="82">
        <v>162.008786954394</v>
      </c>
      <c r="BA50" s="82">
        <v>162.824918832154</v>
      </c>
      <c r="BB50" s="82">
        <v>167.36673029171899</v>
      </c>
      <c r="BC50" s="82">
        <v>157.97654702510499</v>
      </c>
      <c r="BD50" s="82">
        <v>161.36339430063501</v>
      </c>
      <c r="BE50" s="82">
        <v>162.11432766255899</v>
      </c>
      <c r="BF50" s="82">
        <v>157.57184251061</v>
      </c>
      <c r="BG50" s="82">
        <v>163.608524422063</v>
      </c>
      <c r="BH50" s="82">
        <v>174.9898209751</v>
      </c>
      <c r="BI50" s="82">
        <v>184.06043264892099</v>
      </c>
      <c r="BJ50" s="82">
        <v>183.411880786399</v>
      </c>
      <c r="BK50" s="82">
        <v>183.84889884874801</v>
      </c>
      <c r="BL50" s="82">
        <v>183.92583621614</v>
      </c>
      <c r="BM50" s="82">
        <v>183.885018135032</v>
      </c>
      <c r="BN50" s="82">
        <v>183.98671438660099</v>
      </c>
      <c r="BO50" s="82">
        <v>183.90530174044301</v>
      </c>
      <c r="BP50" s="82">
        <v>183.580810859416</v>
      </c>
      <c r="BQ50" s="82"/>
      <c r="BR50" s="82"/>
      <c r="BS50" s="82"/>
      <c r="BT50" s="82"/>
    </row>
    <row r="51" spans="1:72" x14ac:dyDescent="0.65">
      <c r="A51" s="82" t="s">
        <v>186</v>
      </c>
      <c r="B51" s="112" t="s">
        <v>634</v>
      </c>
      <c r="C51" s="81" t="s">
        <v>669</v>
      </c>
      <c r="D51" s="82"/>
      <c r="E51" s="83">
        <v>113.622288619182</v>
      </c>
      <c r="F51" s="83">
        <v>110.28817953758799</v>
      </c>
      <c r="G51" s="83">
        <v>108.003214812168</v>
      </c>
      <c r="H51" s="83">
        <v>108.413571845411</v>
      </c>
      <c r="I51" s="83">
        <v>110.598288642173</v>
      </c>
      <c r="J51" s="83">
        <v>113.194478214752</v>
      </c>
      <c r="K51" s="83">
        <v>116.21206075945</v>
      </c>
      <c r="L51" s="83">
        <v>111.90191496992399</v>
      </c>
      <c r="M51" s="83">
        <v>119.97717608815501</v>
      </c>
      <c r="N51" s="83">
        <v>133.87114262098299</v>
      </c>
      <c r="O51" s="83">
        <v>146.61225858302399</v>
      </c>
      <c r="P51" s="83">
        <v>135.590855365257</v>
      </c>
      <c r="Q51" s="83">
        <v>113.01602833845</v>
      </c>
      <c r="R51" s="83">
        <v>112.61498041662099</v>
      </c>
      <c r="S51" s="83">
        <v>113.620997458925</v>
      </c>
      <c r="T51" s="83">
        <v>98.973058119596502</v>
      </c>
      <c r="U51" s="83">
        <v>96.5097581777719</v>
      </c>
      <c r="V51" s="83">
        <v>105.40768125945399</v>
      </c>
      <c r="W51" s="83">
        <v>103.780533197786</v>
      </c>
      <c r="X51" s="83">
        <v>94.302027364987595</v>
      </c>
      <c r="Y51" s="83">
        <v>105.37180651869799</v>
      </c>
      <c r="Z51" s="83">
        <v>115.705737325369</v>
      </c>
      <c r="AA51" s="83">
        <v>114.31784803803799</v>
      </c>
      <c r="AB51" s="83">
        <v>104.169934825859</v>
      </c>
      <c r="AC51" s="83">
        <v>110.705037578711</v>
      </c>
      <c r="AD51" s="83">
        <v>113.625012787495</v>
      </c>
      <c r="AE51" s="83">
        <v>102.79198618133</v>
      </c>
      <c r="AF51" s="83">
        <v>98.929763378360306</v>
      </c>
      <c r="AG51" s="83">
        <v>102.785766255483</v>
      </c>
      <c r="AH51" s="84">
        <v>119.083069226316</v>
      </c>
      <c r="AI51" s="83">
        <v>110.576276768859</v>
      </c>
      <c r="AJ51" s="83">
        <v>115.029724346869</v>
      </c>
      <c r="AK51" s="83">
        <v>106.4766547155</v>
      </c>
      <c r="AL51" s="82">
        <v>100.000218947313</v>
      </c>
      <c r="AM51" s="82">
        <v>98.741011055274399</v>
      </c>
      <c r="AN51" s="82">
        <v>105.82160315956</v>
      </c>
      <c r="AO51" s="82">
        <v>114.951503121239</v>
      </c>
      <c r="AP51" s="82">
        <v>146.54253636445699</v>
      </c>
      <c r="AQ51" s="82">
        <v>146.34307188918501</v>
      </c>
      <c r="AR51" s="82">
        <v>137.47644422633101</v>
      </c>
      <c r="AS51" s="82">
        <v>152.59690562864299</v>
      </c>
      <c r="AT51" s="82">
        <v>165.71241299083701</v>
      </c>
      <c r="AU51" s="82">
        <v>155.74513295917399</v>
      </c>
      <c r="AV51" s="82">
        <v>134.59802814931601</v>
      </c>
      <c r="AW51" s="82">
        <v>126.594473678711</v>
      </c>
      <c r="AX51" s="82">
        <v>134.907273130504</v>
      </c>
      <c r="AY51" s="82">
        <v>131.905042318417</v>
      </c>
      <c r="AZ51" s="82">
        <v>124.106389895172</v>
      </c>
      <c r="BA51" s="82">
        <v>129.90680701769199</v>
      </c>
      <c r="BB51" s="82">
        <v>145.90791255631299</v>
      </c>
      <c r="BC51" s="82">
        <v>146.99494016416099</v>
      </c>
      <c r="BD51" s="82">
        <v>146.949290447658</v>
      </c>
      <c r="BE51" s="82">
        <v>151.04985348680799</v>
      </c>
      <c r="BF51" s="82">
        <v>158.542533868611</v>
      </c>
      <c r="BG51" s="82">
        <v>167.91901219830899</v>
      </c>
      <c r="BH51" s="82">
        <v>161.205343953718</v>
      </c>
      <c r="BI51" s="82">
        <v>149.85077244342</v>
      </c>
      <c r="BJ51" s="82">
        <v>171.55444353164401</v>
      </c>
      <c r="BK51" s="82">
        <v>173.84170708008099</v>
      </c>
      <c r="BL51" s="82">
        <v>162.44687167006799</v>
      </c>
      <c r="BM51" s="82">
        <v>160.99378781854301</v>
      </c>
      <c r="BN51" s="82">
        <v>163.236601730182</v>
      </c>
      <c r="BO51" s="82">
        <v>161.04349467914199</v>
      </c>
      <c r="BP51" s="82">
        <v>161.04349467914199</v>
      </c>
      <c r="BQ51" s="82"/>
      <c r="BR51" s="82"/>
      <c r="BS51" s="82"/>
      <c r="BT51" s="82"/>
    </row>
    <row r="52" spans="1:72" x14ac:dyDescent="0.65">
      <c r="A52" s="82" t="s">
        <v>187</v>
      </c>
      <c r="B52" s="112" t="s">
        <v>634</v>
      </c>
      <c r="C52" s="81" t="s">
        <v>670</v>
      </c>
      <c r="D52" s="82"/>
      <c r="E52" s="83">
        <v>138.829071198067</v>
      </c>
      <c r="F52" s="83">
        <v>131.662360199533</v>
      </c>
      <c r="G52" s="83">
        <v>134.893906774763</v>
      </c>
      <c r="H52" s="83">
        <v>140.85951382064499</v>
      </c>
      <c r="I52" s="83">
        <v>134.270351867355</v>
      </c>
      <c r="J52" s="83">
        <v>115.91100928370101</v>
      </c>
      <c r="K52" s="83">
        <v>109.24836988958501</v>
      </c>
      <c r="L52" s="83">
        <v>104.962447521949</v>
      </c>
      <c r="M52" s="83">
        <v>106.588145139079</v>
      </c>
      <c r="N52" s="83">
        <v>106.283391574083</v>
      </c>
      <c r="O52" s="83">
        <v>106.006560480994</v>
      </c>
      <c r="P52" s="83">
        <v>98.061387567661399</v>
      </c>
      <c r="Q52" s="83">
        <v>99.332776826183505</v>
      </c>
      <c r="R52" s="83">
        <v>97.000547203223206</v>
      </c>
      <c r="S52" s="83">
        <v>90.519610438973004</v>
      </c>
      <c r="T52" s="83">
        <v>88.739494785515006</v>
      </c>
      <c r="U52" s="83">
        <v>93.868359276512706</v>
      </c>
      <c r="V52" s="83">
        <v>100.54691348377</v>
      </c>
      <c r="W52" s="83">
        <v>107.573166610489</v>
      </c>
      <c r="X52" s="83">
        <v>98.011560629227205</v>
      </c>
      <c r="Y52" s="83">
        <v>98.674378009415193</v>
      </c>
      <c r="Z52" s="83">
        <v>101.346685405028</v>
      </c>
      <c r="AA52" s="83">
        <v>103.059070081667</v>
      </c>
      <c r="AB52" s="83">
        <v>103.032525566747</v>
      </c>
      <c r="AC52" s="83">
        <v>107.306298712952</v>
      </c>
      <c r="AD52" s="83">
        <v>105.11059259792501</v>
      </c>
      <c r="AE52" s="83">
        <v>97.546124177245702</v>
      </c>
      <c r="AF52" s="83">
        <v>99.358193159308499</v>
      </c>
      <c r="AG52" s="83">
        <v>106.224366784482</v>
      </c>
      <c r="AH52" s="84">
        <v>106.268602061138</v>
      </c>
      <c r="AI52" s="83">
        <v>119.330803659952</v>
      </c>
      <c r="AJ52" s="83">
        <v>121.05075600878401</v>
      </c>
      <c r="AK52" s="83">
        <v>130.19108615770301</v>
      </c>
      <c r="AL52" s="82">
        <v>137.18485410986801</v>
      </c>
      <c r="AM52" s="82">
        <v>155.30991535802099</v>
      </c>
      <c r="AN52" s="82">
        <v>153.50788414420299</v>
      </c>
      <c r="AO52" s="82">
        <v>149.89822203689101</v>
      </c>
      <c r="AP52" s="82">
        <v>153.10738673340299</v>
      </c>
      <c r="AQ52" s="82">
        <v>148.39593244496299</v>
      </c>
      <c r="AR52" s="82">
        <v>146.15187127182801</v>
      </c>
      <c r="AS52" s="82">
        <v>153.623443030765</v>
      </c>
      <c r="AT52" s="82">
        <v>152.02060928663701</v>
      </c>
      <c r="AU52" s="82">
        <v>140.22021984962001</v>
      </c>
      <c r="AV52" s="82">
        <v>140.792918272951</v>
      </c>
      <c r="AW52" s="82">
        <v>150.877278864576</v>
      </c>
      <c r="AX52" s="82">
        <v>157.40623137849701</v>
      </c>
      <c r="AY52" s="82">
        <v>152.51723972681</v>
      </c>
      <c r="AZ52" s="82">
        <v>155.19548455671699</v>
      </c>
      <c r="BA52" s="82">
        <v>161.47140589904399</v>
      </c>
      <c r="BB52" s="82">
        <v>182.10154671299301</v>
      </c>
      <c r="BC52" s="82">
        <v>192.08854463399101</v>
      </c>
      <c r="BD52" s="82">
        <v>205.81627133692501</v>
      </c>
      <c r="BE52" s="82">
        <v>220.05003396779199</v>
      </c>
      <c r="BF52" s="82">
        <v>251.06803698328801</v>
      </c>
      <c r="BG52" s="82">
        <v>266.99869953529702</v>
      </c>
      <c r="BH52" s="82">
        <v>323.50250305474299</v>
      </c>
      <c r="BI52" s="82">
        <v>381.76896049339899</v>
      </c>
      <c r="BJ52" s="82">
        <v>386.59804326571202</v>
      </c>
      <c r="BK52" s="82">
        <v>390.767579009749</v>
      </c>
      <c r="BL52" s="82">
        <v>394.42536911238398</v>
      </c>
      <c r="BM52" s="82">
        <v>397.84437801036802</v>
      </c>
      <c r="BN52" s="82">
        <v>401.017636786092</v>
      </c>
      <c r="BO52" s="82">
        <v>404.14463277197302</v>
      </c>
      <c r="BP52" s="82">
        <v>406.680738585293</v>
      </c>
      <c r="BQ52" s="82"/>
      <c r="BR52" s="82"/>
      <c r="BS52" s="82"/>
      <c r="BT52" s="82"/>
    </row>
    <row r="53" spans="1:72" x14ac:dyDescent="0.65">
      <c r="A53" s="82" t="s">
        <v>188</v>
      </c>
      <c r="B53" s="112" t="s">
        <v>634</v>
      </c>
      <c r="C53" s="81" t="s">
        <v>671</v>
      </c>
      <c r="D53" s="82"/>
      <c r="E53" s="83">
        <v>147.54053286891099</v>
      </c>
      <c r="F53" s="83">
        <v>138.77643931603501</v>
      </c>
      <c r="G53" s="83">
        <v>138.28781737140301</v>
      </c>
      <c r="H53" s="83">
        <v>143.38560706593901</v>
      </c>
      <c r="I53" s="83">
        <v>139.90245349351301</v>
      </c>
      <c r="J53" s="83">
        <v>123.364608260189</v>
      </c>
      <c r="K53" s="83">
        <v>117.802175308161</v>
      </c>
      <c r="L53" s="83">
        <v>115.55678480847401</v>
      </c>
      <c r="M53" s="83">
        <v>116.530692926596</v>
      </c>
      <c r="N53" s="83">
        <v>119.08442503438999</v>
      </c>
      <c r="O53" s="83">
        <v>120.736349567451</v>
      </c>
      <c r="P53" s="83">
        <v>111.44344298951999</v>
      </c>
      <c r="Q53" s="83">
        <v>107.739783948114</v>
      </c>
      <c r="R53" s="83">
        <v>105.03800125573299</v>
      </c>
      <c r="S53" s="83">
        <v>95.768229965453301</v>
      </c>
      <c r="T53" s="83">
        <v>90.064025332211401</v>
      </c>
      <c r="U53" s="83">
        <v>92.212754219706298</v>
      </c>
      <c r="V53" s="83">
        <v>98.624811347528805</v>
      </c>
      <c r="W53" s="83">
        <v>104.29112273651501</v>
      </c>
      <c r="X53" s="83">
        <v>104.87131169624899</v>
      </c>
      <c r="Y53" s="83">
        <v>111.99285836270001</v>
      </c>
      <c r="Z53" s="83">
        <v>106.97957815015999</v>
      </c>
      <c r="AA53" s="83">
        <v>113.075124819556</v>
      </c>
      <c r="AB53" s="83">
        <v>114.688720374627</v>
      </c>
      <c r="AC53" s="83">
        <v>121.19749942354601</v>
      </c>
      <c r="AD53" s="83">
        <v>119.566398887167</v>
      </c>
      <c r="AE53" s="83">
        <v>111.292462945669</v>
      </c>
      <c r="AF53" s="83">
        <v>112.23515312642</v>
      </c>
      <c r="AG53" s="83">
        <v>118.867232266296</v>
      </c>
      <c r="AH53" s="84">
        <v>122.893238635793</v>
      </c>
      <c r="AI53" s="83">
        <v>128.806018083689</v>
      </c>
      <c r="AJ53" s="83">
        <v>125.765356081307</v>
      </c>
      <c r="AK53" s="83">
        <v>128.50679714083299</v>
      </c>
      <c r="AL53" s="82">
        <v>130.30167137737601</v>
      </c>
      <c r="AM53" s="82">
        <v>151.23405164354699</v>
      </c>
      <c r="AN53" s="82">
        <v>158.210739363594</v>
      </c>
      <c r="AO53" s="82">
        <v>171.38115763973701</v>
      </c>
      <c r="AP53" s="82">
        <v>188.37849391534201</v>
      </c>
      <c r="AQ53" s="82">
        <v>180.717507098558</v>
      </c>
      <c r="AR53" s="82">
        <v>167.23343792714701</v>
      </c>
      <c r="AS53" s="82">
        <v>186.08221122404399</v>
      </c>
      <c r="AT53" s="82">
        <v>182.12419263927401</v>
      </c>
      <c r="AU53" s="82">
        <v>155.36154332450499</v>
      </c>
      <c r="AV53" s="82">
        <v>155.95655005111601</v>
      </c>
      <c r="AW53" s="82">
        <v>176.90929194993799</v>
      </c>
      <c r="AX53" s="82">
        <v>170.591857739939</v>
      </c>
      <c r="AY53" s="82">
        <v>165.83477437998599</v>
      </c>
      <c r="AZ53" s="82">
        <v>170.591087762152</v>
      </c>
      <c r="BA53" s="82">
        <v>172.82319508794299</v>
      </c>
      <c r="BB53" s="82">
        <v>187.05814461232799</v>
      </c>
      <c r="BC53" s="82">
        <v>185.74049832930399</v>
      </c>
      <c r="BD53" s="82">
        <v>195.030182649876</v>
      </c>
      <c r="BE53" s="82">
        <v>202.78707389397101</v>
      </c>
      <c r="BF53" s="82">
        <v>215.42541858873599</v>
      </c>
      <c r="BG53" s="82">
        <v>227.76823107968099</v>
      </c>
      <c r="BH53" s="82">
        <v>265.064866764035</v>
      </c>
      <c r="BI53" s="82">
        <v>301.56922090139</v>
      </c>
      <c r="BJ53" s="82">
        <v>303.24080879770798</v>
      </c>
      <c r="BK53" s="82">
        <v>305.491541369201</v>
      </c>
      <c r="BL53" s="82">
        <v>307.23457294751603</v>
      </c>
      <c r="BM53" s="82">
        <v>308.81101133239503</v>
      </c>
      <c r="BN53" s="82">
        <v>310.458206890952</v>
      </c>
      <c r="BO53" s="82">
        <v>311.97131328392402</v>
      </c>
      <c r="BP53" s="82">
        <v>313.10888057322899</v>
      </c>
      <c r="BQ53" s="82"/>
      <c r="BR53" s="82"/>
      <c r="BS53" s="82"/>
      <c r="BT53" s="82"/>
    </row>
    <row r="54" spans="1:72" x14ac:dyDescent="0.65">
      <c r="A54" s="82" t="s">
        <v>189</v>
      </c>
      <c r="B54" s="112" t="s">
        <v>634</v>
      </c>
      <c r="C54" s="81" t="s">
        <v>672</v>
      </c>
      <c r="D54" s="82"/>
      <c r="E54" s="83">
        <v>162.710541156294</v>
      </c>
      <c r="F54" s="83">
        <v>150.99982028562999</v>
      </c>
      <c r="G54" s="83">
        <v>144.877044551795</v>
      </c>
      <c r="H54" s="83">
        <v>149.93274721476399</v>
      </c>
      <c r="I54" s="83">
        <v>150.59106643174999</v>
      </c>
      <c r="J54" s="83">
        <v>135.00891261465301</v>
      </c>
      <c r="K54" s="83">
        <v>130.9827773925</v>
      </c>
      <c r="L54" s="83">
        <v>131.22906130550899</v>
      </c>
      <c r="M54" s="83">
        <v>131.34376503632399</v>
      </c>
      <c r="N54" s="83">
        <v>137.33383622195601</v>
      </c>
      <c r="O54" s="83">
        <v>141.49570117274101</v>
      </c>
      <c r="P54" s="83">
        <v>129.02891614307299</v>
      </c>
      <c r="Q54" s="83">
        <v>115.88436379972801</v>
      </c>
      <c r="R54" s="83">
        <v>112.70784780834801</v>
      </c>
      <c r="S54" s="83">
        <v>100.399497534584</v>
      </c>
      <c r="T54" s="83">
        <v>91.353380279981494</v>
      </c>
      <c r="U54" s="83">
        <v>90.264400205601802</v>
      </c>
      <c r="V54" s="83">
        <v>96.799397171857393</v>
      </c>
      <c r="W54" s="83">
        <v>102.15963298995401</v>
      </c>
      <c r="X54" s="83">
        <v>110.776569632586</v>
      </c>
      <c r="Y54" s="83">
        <v>123.56772006278101</v>
      </c>
      <c r="Z54" s="83">
        <v>112.064733737282</v>
      </c>
      <c r="AA54" s="83">
        <v>121.73694680005001</v>
      </c>
      <c r="AB54" s="83">
        <v>124.88118989791801</v>
      </c>
      <c r="AC54" s="83">
        <v>133.09483506205299</v>
      </c>
      <c r="AD54" s="83">
        <v>131.62416094674501</v>
      </c>
      <c r="AE54" s="83">
        <v>122.72902648099701</v>
      </c>
      <c r="AF54" s="83">
        <v>123.440353541446</v>
      </c>
      <c r="AG54" s="83">
        <v>130.502686330616</v>
      </c>
      <c r="AH54" s="84">
        <v>137.422960694057</v>
      </c>
      <c r="AI54" s="83">
        <v>137.458146142782</v>
      </c>
      <c r="AJ54" s="83">
        <v>131.575107956973</v>
      </c>
      <c r="AK54" s="83">
        <v>129.864983298949</v>
      </c>
      <c r="AL54" s="82">
        <v>124.867036855617</v>
      </c>
      <c r="AM54" s="82">
        <v>149.72675333998299</v>
      </c>
      <c r="AN54" s="82">
        <v>164.80262530500599</v>
      </c>
      <c r="AO54" s="82">
        <v>193.50950687317501</v>
      </c>
      <c r="AP54" s="82">
        <v>222.98962167045499</v>
      </c>
      <c r="AQ54" s="82">
        <v>210.93660006553</v>
      </c>
      <c r="AR54" s="82">
        <v>186.21622944486299</v>
      </c>
      <c r="AS54" s="82">
        <v>215.185800360043</v>
      </c>
      <c r="AT54" s="82">
        <v>208.02929420982099</v>
      </c>
      <c r="AU54" s="82">
        <v>169.04183553017299</v>
      </c>
      <c r="AV54" s="82">
        <v>169.962243117197</v>
      </c>
      <c r="AW54" s="82">
        <v>197.68389241019599</v>
      </c>
      <c r="AX54" s="82">
        <v>180.40461899037501</v>
      </c>
      <c r="AY54" s="82">
        <v>175.02275571659601</v>
      </c>
      <c r="AZ54" s="82">
        <v>180.39799125706099</v>
      </c>
      <c r="BA54" s="82">
        <v>178.25269523900801</v>
      </c>
      <c r="BB54" s="82">
        <v>186.90609087968701</v>
      </c>
      <c r="BC54" s="82">
        <v>175.477735750291</v>
      </c>
      <c r="BD54" s="82">
        <v>180.391006605673</v>
      </c>
      <c r="BE54" s="82">
        <v>181.332107291624</v>
      </c>
      <c r="BF54" s="82">
        <v>176.68729706198701</v>
      </c>
      <c r="BG54" s="82">
        <v>187.922300270503</v>
      </c>
      <c r="BH54" s="82">
        <v>210.490588237742</v>
      </c>
      <c r="BI54" s="82">
        <v>231.46706216381901</v>
      </c>
      <c r="BJ54" s="82">
        <v>230.57591731154901</v>
      </c>
      <c r="BK54" s="82">
        <v>231.25027636900799</v>
      </c>
      <c r="BL54" s="82">
        <v>231.36266443699199</v>
      </c>
      <c r="BM54" s="82">
        <v>231.201820845398</v>
      </c>
      <c r="BN54" s="82">
        <v>231.33736095668101</v>
      </c>
      <c r="BO54" s="82">
        <v>231.27572923647401</v>
      </c>
      <c r="BP54" s="82">
        <v>231.083317226075</v>
      </c>
      <c r="BQ54" s="82"/>
      <c r="BR54" s="82"/>
      <c r="BS54" s="82"/>
      <c r="BT54" s="82"/>
    </row>
    <row r="55" spans="1:72" x14ac:dyDescent="0.65">
      <c r="A55" s="82" t="s">
        <v>190</v>
      </c>
      <c r="B55" s="112" t="s">
        <v>634</v>
      </c>
      <c r="C55" s="81" t="s">
        <v>673</v>
      </c>
      <c r="D55" s="82"/>
      <c r="E55" s="83">
        <v>75.982128944956003</v>
      </c>
      <c r="F55" s="83">
        <v>75.294882315469707</v>
      </c>
      <c r="G55" s="83">
        <v>71.732447415728601</v>
      </c>
      <c r="H55" s="83">
        <v>73.400880993380994</v>
      </c>
      <c r="I55" s="83">
        <v>88.817268677858294</v>
      </c>
      <c r="J55" s="83">
        <v>97.479992559600802</v>
      </c>
      <c r="K55" s="83">
        <v>95.682420485899399</v>
      </c>
      <c r="L55" s="83">
        <v>102.07509389345999</v>
      </c>
      <c r="M55" s="83">
        <v>113.965031751255</v>
      </c>
      <c r="N55" s="83">
        <v>106.965675736102</v>
      </c>
      <c r="O55" s="83">
        <v>93.817193748209206</v>
      </c>
      <c r="P55" s="83">
        <v>92.828968230650702</v>
      </c>
      <c r="Q55" s="83">
        <v>87.947114590113003</v>
      </c>
      <c r="R55" s="83">
        <v>81.942141502234705</v>
      </c>
      <c r="S55" s="83">
        <v>80.033805106988893</v>
      </c>
      <c r="T55" s="83">
        <v>82.560144013952197</v>
      </c>
      <c r="U55" s="83">
        <v>92.59865004561</v>
      </c>
      <c r="V55" s="83">
        <v>102.238402221101</v>
      </c>
      <c r="W55" s="83">
        <v>100.583099221705</v>
      </c>
      <c r="X55" s="83">
        <v>104.57984851158299</v>
      </c>
      <c r="Y55" s="83">
        <v>107.35083211508901</v>
      </c>
      <c r="Z55" s="83">
        <v>107.96888017400499</v>
      </c>
      <c r="AA55" s="83">
        <v>106.47864401916701</v>
      </c>
      <c r="AB55" s="83">
        <v>96.857104429967805</v>
      </c>
      <c r="AC55" s="83">
        <v>106.11048411824299</v>
      </c>
      <c r="AD55" s="83">
        <v>112.57337744335599</v>
      </c>
      <c r="AE55" s="83">
        <v>97.892560005336506</v>
      </c>
      <c r="AF55" s="83">
        <v>95.903019930737202</v>
      </c>
      <c r="AG55" s="83">
        <v>100.028571422239</v>
      </c>
      <c r="AH55" s="84">
        <v>99.997533838249595</v>
      </c>
      <c r="AI55" s="83">
        <v>88.841940101430296</v>
      </c>
      <c r="AJ55" s="83">
        <v>91.161098538753095</v>
      </c>
      <c r="AK55" s="83">
        <v>97.996963992574294</v>
      </c>
      <c r="AL55" s="82">
        <v>86.201897692292803</v>
      </c>
      <c r="AM55" s="82">
        <v>79.649277940385801</v>
      </c>
      <c r="AN55" s="82">
        <v>78.342795454927597</v>
      </c>
      <c r="AO55" s="82">
        <v>87.371588103377306</v>
      </c>
      <c r="AP55" s="82">
        <v>98.482157770210407</v>
      </c>
      <c r="AQ55" s="82">
        <v>93.461806052946201</v>
      </c>
      <c r="AR55" s="82">
        <v>97.109605899631802</v>
      </c>
      <c r="AS55" s="82">
        <v>113.361451581015</v>
      </c>
      <c r="AT55" s="82">
        <v>125.043212844514</v>
      </c>
      <c r="AU55" s="82">
        <v>101.16253488811699</v>
      </c>
      <c r="AV55" s="82">
        <v>98.040028869414797</v>
      </c>
      <c r="AW55" s="82">
        <v>119.09944202139501</v>
      </c>
      <c r="AX55" s="82">
        <v>119.69710106214799</v>
      </c>
      <c r="AY55" s="82">
        <v>100.591223659015</v>
      </c>
      <c r="AZ55" s="82">
        <v>98.839411523731201</v>
      </c>
      <c r="BA55" s="82">
        <v>121.657280302548</v>
      </c>
      <c r="BB55" s="82">
        <v>121.54062120595199</v>
      </c>
      <c r="BC55" s="82">
        <v>96.057414594752103</v>
      </c>
      <c r="BD55" s="82">
        <v>100.325222775203</v>
      </c>
      <c r="BE55" s="82">
        <v>109.35164262963301</v>
      </c>
      <c r="BF55" s="82">
        <v>97.145789670752094</v>
      </c>
      <c r="BG55" s="82">
        <v>89.458682129552798</v>
      </c>
      <c r="BH55" s="82">
        <v>102.160190282657</v>
      </c>
      <c r="BI55" s="82">
        <v>113.149667225313</v>
      </c>
      <c r="BJ55" s="82">
        <v>126.161151001372</v>
      </c>
      <c r="BK55" s="82">
        <v>101.158685034313</v>
      </c>
      <c r="BL55" s="82">
        <v>99.4918539724288</v>
      </c>
      <c r="BM55" s="82">
        <v>118.914059413172</v>
      </c>
      <c r="BN55" s="82">
        <v>122.03030878195599</v>
      </c>
      <c r="BO55" s="82">
        <v>105.724352736849</v>
      </c>
      <c r="BP55" s="82">
        <v>99.926679467482103</v>
      </c>
      <c r="BQ55" s="82"/>
      <c r="BR55" s="82"/>
      <c r="BS55" s="82"/>
      <c r="BT55" s="82"/>
    </row>
    <row r="56" spans="1:72" x14ac:dyDescent="0.65">
      <c r="A56" s="82" t="s">
        <v>191</v>
      </c>
      <c r="B56" s="112" t="s">
        <v>634</v>
      </c>
      <c r="C56" s="81" t="s">
        <v>674</v>
      </c>
      <c r="D56" s="82"/>
      <c r="E56" s="83">
        <v>93.625372575994305</v>
      </c>
      <c r="F56" s="83">
        <v>96.406880988325796</v>
      </c>
      <c r="G56" s="83">
        <v>96.257195992409905</v>
      </c>
      <c r="H56" s="83">
        <v>95.193501419172804</v>
      </c>
      <c r="I56" s="83">
        <v>93.936970735275395</v>
      </c>
      <c r="J56" s="83">
        <v>105.11483290125901</v>
      </c>
      <c r="K56" s="83">
        <v>101.760617941604</v>
      </c>
      <c r="L56" s="83">
        <v>102.654832407638</v>
      </c>
      <c r="M56" s="83">
        <v>105.154864236789</v>
      </c>
      <c r="N56" s="83">
        <v>101.525259979894</v>
      </c>
      <c r="O56" s="83">
        <v>99.087882372963705</v>
      </c>
      <c r="P56" s="83">
        <v>102.281587743023</v>
      </c>
      <c r="Q56" s="83">
        <v>103.522649430727</v>
      </c>
      <c r="R56" s="83">
        <v>99.499098446606396</v>
      </c>
      <c r="S56" s="83">
        <v>94.703765903102195</v>
      </c>
      <c r="T56" s="83">
        <v>94.581134948266694</v>
      </c>
      <c r="U56" s="83">
        <v>99.042754688084798</v>
      </c>
      <c r="V56" s="83">
        <v>100.333215538321</v>
      </c>
      <c r="W56" s="83">
        <v>99.765289832621406</v>
      </c>
      <c r="X56" s="83">
        <v>100.858739940972</v>
      </c>
      <c r="Y56" s="83">
        <v>95.902865636999493</v>
      </c>
      <c r="Z56" s="83">
        <v>99.7527642251587</v>
      </c>
      <c r="AA56" s="83">
        <v>99.706899923391603</v>
      </c>
      <c r="AB56" s="83">
        <v>103.47856147533</v>
      </c>
      <c r="AC56" s="83">
        <v>109.354884512826</v>
      </c>
      <c r="AD56" s="83">
        <v>108.709232311224</v>
      </c>
      <c r="AE56" s="83">
        <v>107.35537527704</v>
      </c>
      <c r="AF56" s="83">
        <v>107.118458730833</v>
      </c>
      <c r="AG56" s="83">
        <v>106.19970777749199</v>
      </c>
      <c r="AH56" s="84">
        <v>106.44739765341799</v>
      </c>
      <c r="AI56" s="83">
        <v>109.590430817155</v>
      </c>
      <c r="AJ56" s="83">
        <v>106.69880932765</v>
      </c>
      <c r="AK56" s="83">
        <v>108.75561713683901</v>
      </c>
      <c r="AL56" s="82">
        <v>108.063029852458</v>
      </c>
      <c r="AM56" s="82">
        <v>103.736582071087</v>
      </c>
      <c r="AN56" s="82">
        <v>109.39567060802101</v>
      </c>
      <c r="AO56" s="82">
        <v>110.905600378759</v>
      </c>
      <c r="AP56" s="82">
        <v>128.874501913622</v>
      </c>
      <c r="AQ56" s="82">
        <v>109.250169079613</v>
      </c>
      <c r="AR56" s="82">
        <v>103.852610041136</v>
      </c>
      <c r="AS56" s="82">
        <v>123.103789210583</v>
      </c>
      <c r="AT56" s="82">
        <v>137.40632101330499</v>
      </c>
      <c r="AU56" s="82">
        <v>131.66273710418801</v>
      </c>
      <c r="AV56" s="82">
        <v>122.477803311291</v>
      </c>
      <c r="AW56" s="82">
        <v>103.186222082824</v>
      </c>
      <c r="AX56" s="82">
        <v>102.253042827391</v>
      </c>
      <c r="AY56" s="82">
        <v>104.076856356208</v>
      </c>
      <c r="AZ56" s="82">
        <v>100.05251947039</v>
      </c>
      <c r="BA56" s="82">
        <v>105.300254963916</v>
      </c>
      <c r="BB56" s="82">
        <v>99.766067283546803</v>
      </c>
      <c r="BC56" s="82">
        <v>98.040719295035004</v>
      </c>
      <c r="BD56" s="82">
        <v>98.914451355597294</v>
      </c>
      <c r="BE56" s="82">
        <v>102.73033306884901</v>
      </c>
      <c r="BF56" s="82">
        <v>104.569681984716</v>
      </c>
      <c r="BG56" s="82">
        <v>101.30956990337</v>
      </c>
      <c r="BH56" s="82">
        <v>92.527903506050805</v>
      </c>
      <c r="BI56" s="82">
        <v>92.709466602366305</v>
      </c>
      <c r="BJ56" s="82">
        <v>96.080879151056706</v>
      </c>
      <c r="BK56" s="82">
        <v>97.313152068789805</v>
      </c>
      <c r="BL56" s="82">
        <v>98.043791757857903</v>
      </c>
      <c r="BM56" s="82">
        <v>98.7962415825194</v>
      </c>
      <c r="BN56" s="82">
        <v>98.7962415825194</v>
      </c>
      <c r="BO56" s="82">
        <v>98.7962415825194</v>
      </c>
      <c r="BP56" s="82">
        <v>98.7962415825194</v>
      </c>
      <c r="BQ56" s="82"/>
      <c r="BR56" s="82"/>
      <c r="BS56" s="82"/>
      <c r="BT56" s="82"/>
    </row>
    <row r="57" spans="1:72" x14ac:dyDescent="0.65">
      <c r="A57" s="82" t="s">
        <v>192</v>
      </c>
      <c r="B57" s="112" t="s">
        <v>634</v>
      </c>
      <c r="C57" s="81" t="s">
        <v>675</v>
      </c>
      <c r="D57" s="82"/>
      <c r="E57" s="83">
        <v>130.17196495956799</v>
      </c>
      <c r="F57" s="83">
        <v>114.905676377799</v>
      </c>
      <c r="G57" s="83">
        <v>115.085449394883</v>
      </c>
      <c r="H57" s="83">
        <v>105.771270826877</v>
      </c>
      <c r="I57" s="83">
        <v>99.548772007465999</v>
      </c>
      <c r="J57" s="83">
        <v>93.370445051076103</v>
      </c>
      <c r="K57" s="83">
        <v>93.561970500051501</v>
      </c>
      <c r="L57" s="83">
        <v>95.595688763984498</v>
      </c>
      <c r="M57" s="83">
        <v>91.573721809881306</v>
      </c>
      <c r="N57" s="83">
        <v>99.580337983661494</v>
      </c>
      <c r="O57" s="83">
        <v>97.208669652292599</v>
      </c>
      <c r="P57" s="83">
        <v>87.456642370712203</v>
      </c>
      <c r="Q57" s="83">
        <v>79.091226143367095</v>
      </c>
      <c r="R57" s="83">
        <v>71.293100853870101</v>
      </c>
      <c r="S57" s="83">
        <v>66.239350869041701</v>
      </c>
      <c r="T57" s="83">
        <v>81.526926164092998</v>
      </c>
      <c r="U57" s="83">
        <v>80.514253428602004</v>
      </c>
      <c r="V57" s="83">
        <v>94.343879098401302</v>
      </c>
      <c r="W57" s="83">
        <v>111.16916614297</v>
      </c>
      <c r="X57" s="83">
        <v>113.972701330025</v>
      </c>
      <c r="Y57" s="83">
        <v>108.409071947211</v>
      </c>
      <c r="Z57" s="83">
        <v>85.537888186173902</v>
      </c>
      <c r="AA57" s="83">
        <v>78.6915596388789</v>
      </c>
      <c r="AB57" s="83">
        <v>81.947072231345103</v>
      </c>
      <c r="AC57" s="83">
        <v>76.0503363033271</v>
      </c>
      <c r="AD57" s="83">
        <v>68.101948770921197</v>
      </c>
      <c r="AE57" s="83">
        <v>62.803300345945701</v>
      </c>
      <c r="AF57" s="83">
        <v>72.813466305826196</v>
      </c>
      <c r="AG57" s="83">
        <v>72.3264985552875</v>
      </c>
      <c r="AH57" s="84">
        <v>70.449923775431003</v>
      </c>
      <c r="AI57" s="83">
        <v>66.909516788686602</v>
      </c>
      <c r="AJ57" s="83">
        <v>73.176946000662596</v>
      </c>
      <c r="AK57" s="83">
        <v>77.464239273181704</v>
      </c>
      <c r="AL57" s="82">
        <v>63.169655855856</v>
      </c>
      <c r="AM57" s="82">
        <v>71.198124857024993</v>
      </c>
      <c r="AN57" s="82">
        <v>82.832713790958906</v>
      </c>
      <c r="AO57" s="82">
        <v>91.284400731045096</v>
      </c>
      <c r="AP57" s="82">
        <v>95.428766977967598</v>
      </c>
      <c r="AQ57" s="82">
        <v>106.110718487185</v>
      </c>
      <c r="AR57" s="82">
        <v>110.17466637917801</v>
      </c>
      <c r="AS57" s="82">
        <v>105.14802866984699</v>
      </c>
      <c r="AT57" s="82">
        <v>108.70466625613901</v>
      </c>
      <c r="AU57" s="82">
        <v>102.964049984073</v>
      </c>
      <c r="AV57" s="82">
        <v>108.44337081712</v>
      </c>
      <c r="AW57" s="82">
        <v>116.44592006690399</v>
      </c>
      <c r="AX57" s="82">
        <v>139.204240091554</v>
      </c>
      <c r="AY57" s="82">
        <v>138.300127156179</v>
      </c>
      <c r="AZ57" s="82">
        <v>141.810309722032</v>
      </c>
      <c r="BA57" s="82">
        <v>126.404612196272</v>
      </c>
      <c r="BB57" s="82">
        <v>110.762934709429</v>
      </c>
      <c r="BC57" s="82">
        <v>109.798035462472</v>
      </c>
      <c r="BD57" s="82">
        <v>119.94768945401</v>
      </c>
      <c r="BE57" s="82">
        <v>109.55897999038299</v>
      </c>
      <c r="BF57" s="82">
        <v>98.906898336906806</v>
      </c>
      <c r="BG57" s="82">
        <v>93.433606166703896</v>
      </c>
      <c r="BH57" s="82">
        <v>86.847067614335799</v>
      </c>
      <c r="BI57" s="82">
        <v>83.270976435079604</v>
      </c>
      <c r="BJ57" s="82">
        <v>80.363246649820397</v>
      </c>
      <c r="BK57" s="82">
        <v>80.426895564154506</v>
      </c>
      <c r="BL57" s="82">
        <v>82.136210388826299</v>
      </c>
      <c r="BM57" s="82">
        <v>85.865877994590093</v>
      </c>
      <c r="BN57" s="82">
        <v>85.072213062670897</v>
      </c>
      <c r="BO57" s="82">
        <v>85.1084035139652</v>
      </c>
      <c r="BP57" s="82">
        <v>86.3846954213831</v>
      </c>
      <c r="BQ57" s="82"/>
      <c r="BR57" s="82"/>
      <c r="BS57" s="82"/>
      <c r="BT57" s="82"/>
    </row>
    <row r="58" spans="1:72" x14ac:dyDescent="0.65">
      <c r="A58" s="82" t="s">
        <v>193</v>
      </c>
      <c r="B58" s="112" t="s">
        <v>634</v>
      </c>
      <c r="C58" s="81" t="s">
        <v>676</v>
      </c>
      <c r="D58" s="82"/>
      <c r="E58" s="83">
        <v>107.267690641248</v>
      </c>
      <c r="F58" s="83">
        <v>108.28431695821401</v>
      </c>
      <c r="G58" s="83">
        <v>107.080576889711</v>
      </c>
      <c r="H58" s="83">
        <v>106.825416721208</v>
      </c>
      <c r="I58" s="83">
        <v>103.47414313401001</v>
      </c>
      <c r="J58" s="83">
        <v>108.36627706894301</v>
      </c>
      <c r="K58" s="83">
        <v>106.852047384895</v>
      </c>
      <c r="L58" s="83">
        <v>108.724188437789</v>
      </c>
      <c r="M58" s="83">
        <v>110.64130668972101</v>
      </c>
      <c r="N58" s="83">
        <v>109.381852859066</v>
      </c>
      <c r="O58" s="83">
        <v>107.484396406445</v>
      </c>
      <c r="P58" s="83">
        <v>105.996231400971</v>
      </c>
      <c r="Q58" s="83">
        <v>104.61762636308499</v>
      </c>
      <c r="R58" s="83">
        <v>102.561008846775</v>
      </c>
      <c r="S58" s="83">
        <v>100.26586264917501</v>
      </c>
      <c r="T58" s="83">
        <v>99.497280293159903</v>
      </c>
      <c r="U58" s="83">
        <v>100.52807130316501</v>
      </c>
      <c r="V58" s="83">
        <v>102.13179862459501</v>
      </c>
      <c r="W58" s="83">
        <v>99.633084956984803</v>
      </c>
      <c r="X58" s="83">
        <v>97.707045115254203</v>
      </c>
      <c r="Y58" s="83">
        <v>94.380266920759098</v>
      </c>
      <c r="Z58" s="83">
        <v>97.742670819837102</v>
      </c>
      <c r="AA58" s="83">
        <v>98.439238000311605</v>
      </c>
      <c r="AB58" s="83">
        <v>100.764160708334</v>
      </c>
      <c r="AC58" s="83">
        <v>106.051962819995</v>
      </c>
      <c r="AD58" s="83">
        <v>104.88250185077599</v>
      </c>
      <c r="AE58" s="83">
        <v>102.48892512716</v>
      </c>
      <c r="AF58" s="83">
        <v>101.81385599704601</v>
      </c>
      <c r="AG58" s="83">
        <v>101.969174836202</v>
      </c>
      <c r="AH58" s="84">
        <v>101.741343192106</v>
      </c>
      <c r="AI58" s="83">
        <v>102.52137128262</v>
      </c>
      <c r="AJ58" s="83">
        <v>102.06608880543899</v>
      </c>
      <c r="AK58" s="83">
        <v>103.02062601334001</v>
      </c>
      <c r="AL58" s="82">
        <v>101.883733273313</v>
      </c>
      <c r="AM58" s="82">
        <v>101.023391743039</v>
      </c>
      <c r="AN58" s="82">
        <v>105.18829953162</v>
      </c>
      <c r="AO58" s="82">
        <v>106.887967721042</v>
      </c>
      <c r="AP58" s="82">
        <v>116.871234673038</v>
      </c>
      <c r="AQ58" s="82">
        <v>105.46257178185699</v>
      </c>
      <c r="AR58" s="82">
        <v>101.39509447944999</v>
      </c>
      <c r="AS58" s="82">
        <v>111.627527674573</v>
      </c>
      <c r="AT58" s="82">
        <v>116.318048626668</v>
      </c>
      <c r="AU58" s="82">
        <v>110.57476965955</v>
      </c>
      <c r="AV58" s="82">
        <v>105.18824887176</v>
      </c>
      <c r="AW58" s="82">
        <v>96.156785374855005</v>
      </c>
      <c r="AX58" s="82">
        <v>96.153714284304897</v>
      </c>
      <c r="AY58" s="82">
        <v>97.002532622948294</v>
      </c>
      <c r="AZ58" s="82">
        <v>93.973155853112402</v>
      </c>
      <c r="BA58" s="82">
        <v>97.468310075115795</v>
      </c>
      <c r="BB58" s="82">
        <v>93.836690273725395</v>
      </c>
      <c r="BC58" s="82">
        <v>94.188883136136994</v>
      </c>
      <c r="BD58" s="82">
        <v>94.018967673702306</v>
      </c>
      <c r="BE58" s="82">
        <v>95.613079847233905</v>
      </c>
      <c r="BF58" s="82">
        <v>98.919410537753706</v>
      </c>
      <c r="BG58" s="82">
        <v>97.226329086607194</v>
      </c>
      <c r="BH58" s="82">
        <v>91.502729890016099</v>
      </c>
      <c r="BI58" s="82">
        <v>92.009944277150097</v>
      </c>
      <c r="BJ58" s="82">
        <v>93.874555433930894</v>
      </c>
      <c r="BK58" s="82">
        <v>94.556082775192195</v>
      </c>
      <c r="BL58" s="82">
        <v>94.960174204570194</v>
      </c>
      <c r="BM58" s="82">
        <v>95.376328062254203</v>
      </c>
      <c r="BN58" s="82">
        <v>95.376328062254203</v>
      </c>
      <c r="BO58" s="82">
        <v>95.376328062254203</v>
      </c>
      <c r="BP58" s="82">
        <v>95.376328062254203</v>
      </c>
      <c r="BQ58" s="82"/>
      <c r="BR58" s="82"/>
      <c r="BS58" s="82"/>
      <c r="BT58" s="82"/>
    </row>
    <row r="59" spans="1:72" x14ac:dyDescent="0.65">
      <c r="A59" s="82" t="s">
        <v>194</v>
      </c>
      <c r="B59" s="112" t="s">
        <v>634</v>
      </c>
      <c r="C59" s="81" t="s">
        <v>677</v>
      </c>
      <c r="D59" s="82"/>
      <c r="E59" s="83">
        <v>136.71627077697701</v>
      </c>
      <c r="F59" s="83">
        <v>147.63562839562101</v>
      </c>
      <c r="G59" s="83">
        <v>154.007749464656</v>
      </c>
      <c r="H59" s="83">
        <v>138.200863455644</v>
      </c>
      <c r="I59" s="83">
        <v>137.81621153985</v>
      </c>
      <c r="J59" s="83">
        <v>136.16044694646001</v>
      </c>
      <c r="K59" s="83">
        <v>128.82128759423</v>
      </c>
      <c r="L59" s="83">
        <v>125.757942705856</v>
      </c>
      <c r="M59" s="83">
        <v>127.854401167058</v>
      </c>
      <c r="N59" s="83">
        <v>132.376842789807</v>
      </c>
      <c r="O59" s="83">
        <v>111.28291249431101</v>
      </c>
      <c r="P59" s="83">
        <v>103.928584028806</v>
      </c>
      <c r="Q59" s="83">
        <v>99.138602196865307</v>
      </c>
      <c r="R59" s="83">
        <v>97.7180554879277</v>
      </c>
      <c r="S59" s="83">
        <v>95.209190629445004</v>
      </c>
      <c r="T59" s="83">
        <v>90.759345980021706</v>
      </c>
      <c r="U59" s="83">
        <v>91.700928269356197</v>
      </c>
      <c r="V59" s="83">
        <v>103.844362904817</v>
      </c>
      <c r="W59" s="83">
        <v>101.33645741666901</v>
      </c>
      <c r="X59" s="83">
        <v>103.118251409157</v>
      </c>
      <c r="Y59" s="83">
        <v>104.858163912446</v>
      </c>
      <c r="Z59" s="83">
        <v>98.061424936709599</v>
      </c>
      <c r="AA59" s="83">
        <v>100.48432894883</v>
      </c>
      <c r="AB59" s="83">
        <v>101.23637904537</v>
      </c>
      <c r="AC59" s="83">
        <v>102.434687505962</v>
      </c>
      <c r="AD59" s="83">
        <v>100.06857641669301</v>
      </c>
      <c r="AE59" s="83">
        <v>90.615002008727203</v>
      </c>
      <c r="AF59" s="83">
        <v>88.665149851580694</v>
      </c>
      <c r="AG59" s="83">
        <v>90.315864927329201</v>
      </c>
      <c r="AH59" s="84">
        <v>87.685831070750496</v>
      </c>
      <c r="AI59" s="83">
        <v>89.164948831804594</v>
      </c>
      <c r="AJ59" s="83">
        <v>95.003452925062703</v>
      </c>
      <c r="AK59" s="83">
        <v>94.283449513089394</v>
      </c>
      <c r="AL59" s="82">
        <v>87.106408001040805</v>
      </c>
      <c r="AM59" s="82">
        <v>98.842230426916998</v>
      </c>
      <c r="AN59" s="82">
        <v>117.838452134729</v>
      </c>
      <c r="AO59" s="82">
        <v>143.217033561844</v>
      </c>
      <c r="AP59" s="82">
        <v>156.37656025712201</v>
      </c>
      <c r="AQ59" s="82">
        <v>149.43147507224501</v>
      </c>
      <c r="AR59" s="82">
        <v>156.71447244570899</v>
      </c>
      <c r="AS59" s="82">
        <v>183.86094900689699</v>
      </c>
      <c r="AT59" s="82">
        <v>198.566411445043</v>
      </c>
      <c r="AU59" s="82">
        <v>157.85773759566499</v>
      </c>
      <c r="AV59" s="82">
        <v>147.28854569396</v>
      </c>
      <c r="AW59" s="82">
        <v>148.404909572062</v>
      </c>
      <c r="AX59" s="82">
        <v>136.47142311942</v>
      </c>
      <c r="AY59" s="82">
        <v>141.532703981628</v>
      </c>
      <c r="AZ59" s="82">
        <v>134.747872343338</v>
      </c>
      <c r="BA59" s="82">
        <v>128.31247092258101</v>
      </c>
      <c r="BB59" s="82">
        <v>129.814816963114</v>
      </c>
      <c r="BC59" s="82">
        <v>125.039734893052</v>
      </c>
      <c r="BD59" s="82">
        <v>129.73284895046601</v>
      </c>
      <c r="BE59" s="82">
        <v>126.002439571572</v>
      </c>
      <c r="BF59" s="82">
        <v>125.005078656005</v>
      </c>
      <c r="BG59" s="82">
        <v>126.033152930417</v>
      </c>
      <c r="BH59" s="82">
        <v>130.48200147627401</v>
      </c>
      <c r="BI59" s="82">
        <v>133.398397930436</v>
      </c>
      <c r="BJ59" s="82">
        <v>137.18710075669799</v>
      </c>
      <c r="BK59" s="82">
        <v>137.04312777755999</v>
      </c>
      <c r="BL59" s="82">
        <v>136.053734945016</v>
      </c>
      <c r="BM59" s="82">
        <v>136.28833488153899</v>
      </c>
      <c r="BN59" s="82">
        <v>136.156309704427</v>
      </c>
      <c r="BO59" s="82">
        <v>135.64813969815299</v>
      </c>
      <c r="BP59" s="82">
        <v>134.73724374359699</v>
      </c>
      <c r="BQ59" s="82"/>
      <c r="BR59" s="82"/>
      <c r="BS59" s="82"/>
      <c r="BT59" s="82"/>
    </row>
    <row r="60" spans="1:72" x14ac:dyDescent="0.65">
      <c r="A60" s="82" t="s">
        <v>195</v>
      </c>
      <c r="B60" s="112" t="s">
        <v>634</v>
      </c>
      <c r="C60" s="81" t="s">
        <v>678</v>
      </c>
      <c r="D60" s="82"/>
      <c r="E60" s="83">
        <v>134.67843222197001</v>
      </c>
      <c r="F60" s="83">
        <v>121.76176590273199</v>
      </c>
      <c r="G60" s="83">
        <v>110.215057999571</v>
      </c>
      <c r="H60" s="83">
        <v>112.36617148626701</v>
      </c>
      <c r="I60" s="83">
        <v>121.72019568629599</v>
      </c>
      <c r="J60" s="83">
        <v>106.238714103752</v>
      </c>
      <c r="K60" s="83">
        <v>98.167431878619198</v>
      </c>
      <c r="L60" s="83">
        <v>109.081607562705</v>
      </c>
      <c r="M60" s="83">
        <v>102.26839596340101</v>
      </c>
      <c r="N60" s="83">
        <v>99.578191924088102</v>
      </c>
      <c r="O60" s="83">
        <v>98.773305902717894</v>
      </c>
      <c r="P60" s="83">
        <v>93.959274315097502</v>
      </c>
      <c r="Q60" s="83">
        <v>86.365233818148198</v>
      </c>
      <c r="R60" s="83">
        <v>96.538015917051197</v>
      </c>
      <c r="S60" s="83">
        <v>91.351057050343698</v>
      </c>
      <c r="T60" s="83">
        <v>89.715195852221498</v>
      </c>
      <c r="U60" s="83">
        <v>93.099624315016001</v>
      </c>
      <c r="V60" s="83">
        <v>98.713461009333102</v>
      </c>
      <c r="W60" s="83">
        <v>104.57689693019</v>
      </c>
      <c r="X60" s="83">
        <v>103.61001774546</v>
      </c>
      <c r="Y60" s="83">
        <v>112.86394787750901</v>
      </c>
      <c r="Z60" s="83">
        <v>113.876139438124</v>
      </c>
      <c r="AA60" s="83">
        <v>120.54692065931999</v>
      </c>
      <c r="AB60" s="83">
        <v>124.617913403104</v>
      </c>
      <c r="AC60" s="83">
        <v>142.288609292686</v>
      </c>
      <c r="AD60" s="83">
        <v>151.10985450521099</v>
      </c>
      <c r="AE60" s="83">
        <v>157.80231980599601</v>
      </c>
      <c r="AF60" s="83">
        <v>146.56382384609</v>
      </c>
      <c r="AG60" s="83">
        <v>152.77418762946499</v>
      </c>
      <c r="AH60" s="84">
        <v>142.977080115772</v>
      </c>
      <c r="AI60" s="83">
        <v>123.69357737177801</v>
      </c>
      <c r="AJ60" s="83">
        <v>111.057330197965</v>
      </c>
      <c r="AK60" s="83">
        <v>107.81731631335001</v>
      </c>
      <c r="AL60" s="82">
        <v>82.428595300721696</v>
      </c>
      <c r="AM60" s="82">
        <v>71.497066341604594</v>
      </c>
      <c r="AN60" s="82">
        <v>84.651596461436299</v>
      </c>
      <c r="AO60" s="82">
        <v>97.920134645016603</v>
      </c>
      <c r="AP60" s="82">
        <v>103.19415247237001</v>
      </c>
      <c r="AQ60" s="82">
        <v>99.5503137984917</v>
      </c>
      <c r="AR60" s="82">
        <v>98.600185792311294</v>
      </c>
      <c r="AS60" s="82">
        <v>101.12052559192399</v>
      </c>
      <c r="AT60" s="82">
        <v>101.306092299639</v>
      </c>
      <c r="AU60" s="82">
        <v>92.499528227102402</v>
      </c>
      <c r="AV60" s="82">
        <v>85.782860964130805</v>
      </c>
      <c r="AW60" s="82">
        <v>97.415642472273504</v>
      </c>
      <c r="AX60" s="82">
        <v>89.9237618885644</v>
      </c>
      <c r="AY60" s="82">
        <v>84.201070045016095</v>
      </c>
      <c r="AZ60" s="82">
        <v>85.152359237891204</v>
      </c>
      <c r="BA60" s="82">
        <v>85.955381115097097</v>
      </c>
      <c r="BB60" s="82">
        <v>85.622708168686998</v>
      </c>
      <c r="BC60" s="82">
        <v>83.874664184437705</v>
      </c>
      <c r="BD60" s="82">
        <v>84.263772242812195</v>
      </c>
      <c r="BE60" s="82">
        <v>87.111739749423407</v>
      </c>
      <c r="BF60" s="82">
        <v>90.2219069863404</v>
      </c>
      <c r="BG60" s="82">
        <v>94.6574114729288</v>
      </c>
      <c r="BH60" s="82">
        <v>110.79127962902599</v>
      </c>
      <c r="BI60" s="82">
        <v>44.540594276458201</v>
      </c>
      <c r="BJ60" s="82">
        <v>44.540594276458201</v>
      </c>
      <c r="BK60" s="82">
        <v>44.540594276458201</v>
      </c>
      <c r="BL60" s="82">
        <v>44.540594276458201</v>
      </c>
      <c r="BM60" s="82">
        <v>44.540594276458201</v>
      </c>
      <c r="BN60" s="82">
        <v>44.540594276458201</v>
      </c>
      <c r="BO60" s="82">
        <v>44.540594276458201</v>
      </c>
      <c r="BP60" s="82">
        <v>44.540594276458201</v>
      </c>
      <c r="BQ60" s="82"/>
      <c r="BR60" s="82"/>
      <c r="BS60" s="82"/>
      <c r="BT60" s="82"/>
    </row>
    <row r="61" spans="1:72" x14ac:dyDescent="0.65">
      <c r="B61" s="1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72" x14ac:dyDescent="0.65">
      <c r="A62" s="1" t="s">
        <v>23</v>
      </c>
      <c r="B62" s="1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72" x14ac:dyDescent="0.65">
      <c r="A63" s="3" t="s">
        <v>180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17"/>
      <c r="AI63" s="5"/>
      <c r="AJ63" s="5"/>
      <c r="AK63" s="5"/>
    </row>
    <row r="64" spans="1:72" x14ac:dyDescent="0.65">
      <c r="A64" s="19" t="s">
        <v>197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7"/>
      <c r="AI64" s="5"/>
      <c r="AJ64" s="5"/>
      <c r="AK64" s="5"/>
    </row>
    <row r="65" spans="1:72" x14ac:dyDescent="0.65">
      <c r="A65" s="90" t="s">
        <v>28</v>
      </c>
      <c r="B65" s="112" t="s">
        <v>634</v>
      </c>
      <c r="C65" s="81" t="s">
        <v>679</v>
      </c>
      <c r="D65" s="82"/>
      <c r="E65" s="83">
        <v>100.454689754689</v>
      </c>
      <c r="F65" s="83">
        <v>90.271012759170603</v>
      </c>
      <c r="G65" s="83">
        <v>84.171969696969697</v>
      </c>
      <c r="H65" s="83">
        <v>82.066195132098997</v>
      </c>
      <c r="I65" s="83">
        <v>89.888106060606006</v>
      </c>
      <c r="J65" s="83">
        <v>92.745909090909095</v>
      </c>
      <c r="K65" s="83">
        <v>91.807453416149002</v>
      </c>
      <c r="L65" s="83">
        <v>87.160981711525196</v>
      </c>
      <c r="M65" s="83">
        <v>93.987085137085103</v>
      </c>
      <c r="N65" s="83">
        <v>92.604206349206294</v>
      </c>
      <c r="O65" s="83">
        <v>77.071258234519107</v>
      </c>
      <c r="P65" s="83">
        <v>68.724413388543795</v>
      </c>
      <c r="Q65" s="83">
        <v>68.848257575757501</v>
      </c>
      <c r="R65" s="83">
        <v>72.305976874003093</v>
      </c>
      <c r="S65" s="83">
        <v>70.968896574439995</v>
      </c>
      <c r="T65" s="83">
        <v>69.545598845598803</v>
      </c>
      <c r="U65" s="83">
        <v>66.926190476190499</v>
      </c>
      <c r="V65" s="83">
        <v>71.219448051948007</v>
      </c>
      <c r="W65" s="83">
        <v>79.729004329004297</v>
      </c>
      <c r="X65" s="83">
        <v>78.980631313131298</v>
      </c>
      <c r="Y65" s="83">
        <v>84.7561870255348</v>
      </c>
      <c r="Z65" s="83">
        <v>86.812614237614198</v>
      </c>
      <c r="AA65" s="83">
        <v>81.344588744588705</v>
      </c>
      <c r="AB65" s="83">
        <v>81.479864433811798</v>
      </c>
      <c r="AC65" s="85">
        <v>90.486677489177495</v>
      </c>
      <c r="AD65" s="85">
        <v>94.807738095238093</v>
      </c>
      <c r="AE65" s="85">
        <v>93.695606060605996</v>
      </c>
      <c r="AF65" s="85">
        <v>86.524122807017505</v>
      </c>
      <c r="AG65" s="85">
        <v>82.438023088023002</v>
      </c>
      <c r="AH65" s="84">
        <v>81.678531746031695</v>
      </c>
      <c r="AI65" s="85">
        <v>72.542408557625905</v>
      </c>
      <c r="AJ65" s="85">
        <v>74.857308488612802</v>
      </c>
      <c r="AK65" s="85">
        <v>74.440681818181801</v>
      </c>
      <c r="AL65" s="82">
        <v>65.678377192982396</v>
      </c>
      <c r="AM65" s="82">
        <v>69.779183135704898</v>
      </c>
      <c r="AN65" s="82">
        <v>77.853715728715699</v>
      </c>
      <c r="AO65" s="82">
        <v>90.4823913043478</v>
      </c>
      <c r="AP65" s="82">
        <v>92.040462519936199</v>
      </c>
      <c r="AQ65" s="82">
        <v>100.895526695526</v>
      </c>
      <c r="AR65" s="82">
        <v>121.32233044733</v>
      </c>
      <c r="AS65" s="82">
        <v>137.28786231884001</v>
      </c>
      <c r="AT65" s="82">
        <v>157.91359649122799</v>
      </c>
      <c r="AU65" s="82">
        <v>124.57843967626501</v>
      </c>
      <c r="AV65" s="82">
        <v>100.776154401154</v>
      </c>
      <c r="AW65" s="82">
        <v>98.377555994729903</v>
      </c>
      <c r="AX65" s="82">
        <v>93.811821475625806</v>
      </c>
      <c r="AY65" s="82">
        <v>95.677915804002694</v>
      </c>
      <c r="AZ65" s="82">
        <v>92.175108225108204</v>
      </c>
      <c r="BA65" s="82">
        <v>97.007729468598995</v>
      </c>
      <c r="BB65" s="82">
        <v>86.577134387351705</v>
      </c>
      <c r="BC65" s="82">
        <v>81.289008093355903</v>
      </c>
      <c r="BD65" s="82">
        <v>81.716801555931994</v>
      </c>
      <c r="BE65" s="82">
        <v>77.990850586611401</v>
      </c>
      <c r="BF65" s="82">
        <v>78.153643578643496</v>
      </c>
      <c r="BG65" s="82">
        <v>78.485867996737497</v>
      </c>
      <c r="BH65" s="82">
        <v>75.110085638998697</v>
      </c>
      <c r="BI65" s="82">
        <v>73.104644775390597</v>
      </c>
      <c r="BJ65" s="82">
        <v>74.056835730000003</v>
      </c>
      <c r="BK65" s="82">
        <v>76.109434640000003</v>
      </c>
      <c r="BL65" s="82">
        <v>78.820964454999995</v>
      </c>
      <c r="BM65" s="82">
        <v>80.459544829999999</v>
      </c>
      <c r="BN65" s="82">
        <v>81.205944439999996</v>
      </c>
      <c r="BO65" s="82">
        <v>81.637456709999995</v>
      </c>
      <c r="BP65" s="82">
        <v>80.16798249</v>
      </c>
      <c r="BQ65" s="82"/>
      <c r="BR65" s="82"/>
      <c r="BS65" s="82"/>
      <c r="BT65" s="82"/>
    </row>
    <row r="66" spans="1:72" x14ac:dyDescent="0.65">
      <c r="A66" s="90" t="s">
        <v>29</v>
      </c>
      <c r="B66" s="112" t="s">
        <v>634</v>
      </c>
      <c r="C66" s="81" t="s">
        <v>680</v>
      </c>
      <c r="D66" s="82"/>
      <c r="E66" s="83">
        <v>73.412675302720004</v>
      </c>
      <c r="F66" s="83">
        <v>82.086142383844006</v>
      </c>
      <c r="G66" s="83">
        <v>84.618181090154806</v>
      </c>
      <c r="H66" s="83">
        <v>86.442121402219698</v>
      </c>
      <c r="I66" s="83">
        <v>91.811544321576605</v>
      </c>
      <c r="J66" s="83">
        <v>99.110717531837196</v>
      </c>
      <c r="K66" s="83">
        <v>97.273733000967695</v>
      </c>
      <c r="L66" s="83">
        <v>97.162473738098996</v>
      </c>
      <c r="M66" s="83">
        <v>103.944163780886</v>
      </c>
      <c r="N66" s="83">
        <v>107.349323801298</v>
      </c>
      <c r="O66" s="83">
        <v>105.66363384570199</v>
      </c>
      <c r="P66" s="83">
        <v>109.31953384971</v>
      </c>
      <c r="Q66" s="83">
        <v>99.431324689545406</v>
      </c>
      <c r="R66" s="83">
        <v>100.464345262763</v>
      </c>
      <c r="S66" s="83">
        <v>79.590019112911705</v>
      </c>
      <c r="T66" s="83">
        <v>72.061104427915794</v>
      </c>
      <c r="U66" s="83">
        <v>72.735828203560999</v>
      </c>
      <c r="V66" s="83">
        <v>72.9495279590043</v>
      </c>
      <c r="W66" s="83">
        <v>73.360676043106494</v>
      </c>
      <c r="X66" s="83">
        <v>74.063134502705594</v>
      </c>
      <c r="Y66" s="83">
        <v>75.7857431989124</v>
      </c>
      <c r="Z66" s="83">
        <v>74.420500389051398</v>
      </c>
      <c r="AA66" s="83">
        <v>65.634699211193904</v>
      </c>
      <c r="AB66" s="83">
        <v>60.974688983694001</v>
      </c>
      <c r="AC66" s="85">
        <v>66.396122249133697</v>
      </c>
      <c r="AD66" s="85">
        <v>62.481866126818502</v>
      </c>
      <c r="AE66" s="85">
        <v>57.649529752968299</v>
      </c>
      <c r="AF66" s="85">
        <v>53.274603136425696</v>
      </c>
      <c r="AG66" s="85">
        <v>47.432608836702499</v>
      </c>
      <c r="AH66" s="84">
        <v>42.707846226689</v>
      </c>
      <c r="AI66" s="85">
        <v>34.4158769173834</v>
      </c>
      <c r="AJ66" s="85">
        <v>38.671752484656203</v>
      </c>
      <c r="AK66" s="85">
        <v>39.226486741932803</v>
      </c>
      <c r="AL66" s="82">
        <v>35.412096528232297</v>
      </c>
      <c r="AM66" s="82">
        <v>29.525372750127001</v>
      </c>
      <c r="AN66" s="82">
        <v>30.104897477355198</v>
      </c>
      <c r="AO66" s="82">
        <v>37.904705644179401</v>
      </c>
      <c r="AP66" s="82">
        <v>40.446767276709899</v>
      </c>
      <c r="AQ66" s="82">
        <v>54.127626920151499</v>
      </c>
      <c r="AR66" s="82">
        <v>57.196067886320002</v>
      </c>
      <c r="AS66" s="82">
        <v>58.054542559143499</v>
      </c>
      <c r="AT66" s="82">
        <v>57.7024350482179</v>
      </c>
      <c r="AU66" s="82">
        <v>56.917119280000001</v>
      </c>
      <c r="AV66" s="82">
        <v>57.551790306666597</v>
      </c>
      <c r="AW66" s="82">
        <v>58.580295546666598</v>
      </c>
      <c r="AX66" s="82">
        <v>59.757258559999997</v>
      </c>
      <c r="AY66" s="82">
        <v>58.468579669999997</v>
      </c>
      <c r="AZ66" s="82">
        <v>57.729758750000002</v>
      </c>
      <c r="BA66" s="82">
        <v>58.410880913333301</v>
      </c>
      <c r="BB66" s="82">
        <v>58.518442880000002</v>
      </c>
      <c r="BC66" s="82">
        <v>59.416851360000003</v>
      </c>
      <c r="BD66" s="82">
        <v>58.264569979999997</v>
      </c>
      <c r="BE66" s="82">
        <v>58.403840153333299</v>
      </c>
      <c r="BF66" s="82">
        <v>59.1151506</v>
      </c>
      <c r="BG66" s="82">
        <v>59.1296810766666</v>
      </c>
      <c r="BH66" s="82">
        <v>54.411421081217398</v>
      </c>
      <c r="BI66" s="82">
        <v>57.423233032226499</v>
      </c>
      <c r="BJ66" s="82">
        <v>57.423233032226499</v>
      </c>
      <c r="BK66" s="82">
        <v>57.423233032226499</v>
      </c>
      <c r="BL66" s="82">
        <v>57.423233032226499</v>
      </c>
      <c r="BM66" s="82">
        <v>57.423233032226499</v>
      </c>
      <c r="BN66" s="82">
        <v>57.423233032226499</v>
      </c>
      <c r="BO66" s="82">
        <v>57.423233032226499</v>
      </c>
      <c r="BP66" s="82">
        <v>57.423233032226499</v>
      </c>
      <c r="BQ66" s="82"/>
      <c r="BR66" s="82"/>
      <c r="BS66" s="82"/>
      <c r="BT66" s="82"/>
    </row>
    <row r="67" spans="1:72" x14ac:dyDescent="0.65">
      <c r="A67" s="90" t="s">
        <v>33</v>
      </c>
      <c r="B67" s="112" t="s">
        <v>634</v>
      </c>
      <c r="C67" s="81" t="s">
        <v>681</v>
      </c>
      <c r="D67" s="82"/>
      <c r="E67" s="83">
        <v>174.74851139347001</v>
      </c>
      <c r="F67" s="83">
        <v>162.86707987998901</v>
      </c>
      <c r="G67" s="83">
        <v>134.71571630573999</v>
      </c>
      <c r="H67" s="83">
        <v>140.42930153643101</v>
      </c>
      <c r="I67" s="83">
        <v>143.136160313723</v>
      </c>
      <c r="J67" s="83">
        <v>131.76973508459201</v>
      </c>
      <c r="K67" s="83">
        <v>117.482562295194</v>
      </c>
      <c r="L67" s="83">
        <v>114.64632784860299</v>
      </c>
      <c r="M67" s="83">
        <v>102.096564026511</v>
      </c>
      <c r="N67" s="83">
        <v>96.081598052459199</v>
      </c>
      <c r="O67" s="83">
        <v>83.358660573781606</v>
      </c>
      <c r="P67" s="83">
        <v>73.468198090582007</v>
      </c>
      <c r="Q67" s="83">
        <v>78.590196932586906</v>
      </c>
      <c r="R67" s="83">
        <v>81.217538407439605</v>
      </c>
      <c r="S67" s="83">
        <v>66.104760545120001</v>
      </c>
      <c r="T67" s="83">
        <v>57.0126196878199</v>
      </c>
      <c r="U67" s="83">
        <v>59.335504907578702</v>
      </c>
      <c r="V67" s="83">
        <v>75.217486018440397</v>
      </c>
      <c r="W67" s="83">
        <v>76.088266588216598</v>
      </c>
      <c r="X67" s="83">
        <v>87.292973618054504</v>
      </c>
      <c r="Y67" s="83">
        <v>115.41294970458701</v>
      </c>
      <c r="Z67" s="83">
        <v>93.207810343929694</v>
      </c>
      <c r="AA67" s="83">
        <v>82.037864129562394</v>
      </c>
      <c r="AB67" s="83">
        <v>72.503773166472399</v>
      </c>
      <c r="AC67" s="83">
        <v>77.799932922357598</v>
      </c>
      <c r="AD67" s="83">
        <v>74.637849261140303</v>
      </c>
      <c r="AE67" s="83">
        <v>65.912407111797506</v>
      </c>
      <c r="AF67" s="83">
        <v>63.295151348226199</v>
      </c>
      <c r="AG67" s="83">
        <v>74.516632803054804</v>
      </c>
      <c r="AH67" s="85">
        <v>83.030996796300201</v>
      </c>
      <c r="AI67" s="83">
        <v>71.863504107964602</v>
      </c>
      <c r="AJ67" s="83">
        <v>69.9315479209519</v>
      </c>
      <c r="AK67" s="83">
        <v>71.748776604942293</v>
      </c>
      <c r="AL67" s="82">
        <v>62.286149979267101</v>
      </c>
      <c r="AM67" s="82">
        <v>79.086335722399895</v>
      </c>
      <c r="AN67" s="82">
        <v>106.472557439163</v>
      </c>
      <c r="AO67" s="82">
        <v>105.935104718095</v>
      </c>
      <c r="AP67" s="82">
        <v>100.604027357844</v>
      </c>
      <c r="AQ67" s="82">
        <v>84.132353933952402</v>
      </c>
      <c r="AR67" s="82">
        <v>87.408662718693506</v>
      </c>
      <c r="AS67" s="82">
        <v>95.133998430553902</v>
      </c>
      <c r="AT67" s="82">
        <v>95.714256522014693</v>
      </c>
      <c r="AU67" s="82">
        <v>74.3998135829045</v>
      </c>
      <c r="AV67" s="82">
        <v>67.895265933930105</v>
      </c>
      <c r="AW67" s="82">
        <v>73.009101535954002</v>
      </c>
      <c r="AX67" s="82">
        <v>70.060864160350107</v>
      </c>
      <c r="AY67" s="82">
        <v>68.653462461248694</v>
      </c>
      <c r="AZ67" s="82">
        <v>75.460253132595696</v>
      </c>
      <c r="BA67" s="82">
        <v>97.470198084993996</v>
      </c>
      <c r="BB67" s="82">
        <v>104.309650775412</v>
      </c>
      <c r="BC67" s="82">
        <v>108.51086976598801</v>
      </c>
      <c r="BD67" s="82">
        <v>109.982000287063</v>
      </c>
      <c r="BE67" s="82">
        <v>109.249935509355</v>
      </c>
      <c r="BF67" s="82">
        <v>99.989844231482195</v>
      </c>
      <c r="BG67" s="82">
        <v>99.090103039319601</v>
      </c>
      <c r="BH67" s="82">
        <v>93.251348476738798</v>
      </c>
      <c r="BI67" s="82">
        <v>95.884587605794195</v>
      </c>
      <c r="BJ67" s="82">
        <v>98.353839463333301</v>
      </c>
      <c r="BK67" s="82">
        <v>98.444557840000002</v>
      </c>
      <c r="BL67" s="82">
        <v>98.429438110000007</v>
      </c>
      <c r="BM67" s="82">
        <v>98.746952429999993</v>
      </c>
      <c r="BN67" s="82">
        <v>98.746952429999993</v>
      </c>
      <c r="BO67" s="82">
        <v>98.746952429999993</v>
      </c>
      <c r="BP67" s="82">
        <v>98.746952429999993</v>
      </c>
      <c r="BQ67" s="82"/>
      <c r="BR67" s="82"/>
      <c r="BS67" s="82"/>
      <c r="BT67" s="82"/>
    </row>
    <row r="68" spans="1:72" x14ac:dyDescent="0.65">
      <c r="A68" s="20" t="s">
        <v>193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6"/>
      <c r="AD68" s="6"/>
      <c r="AE68" s="6"/>
      <c r="AF68" s="6"/>
      <c r="AG68" s="6"/>
      <c r="AH68" s="17"/>
      <c r="AI68" s="6"/>
      <c r="AJ68" s="6"/>
      <c r="AK68" s="6"/>
    </row>
    <row r="69" spans="1:72" x14ac:dyDescent="0.65">
      <c r="A69" s="21" t="s">
        <v>184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  <c r="AD69" s="6"/>
      <c r="AE69" s="6"/>
      <c r="AF69" s="6"/>
      <c r="AG69" s="6"/>
      <c r="AH69" s="17"/>
      <c r="AI69" s="6"/>
      <c r="AJ69" s="6"/>
      <c r="AK69" s="6"/>
    </row>
    <row r="70" spans="1:72" x14ac:dyDescent="0.65">
      <c r="A70" s="91" t="s">
        <v>198</v>
      </c>
      <c r="B70" s="112" t="s">
        <v>634</v>
      </c>
      <c r="C70" s="81" t="s">
        <v>682</v>
      </c>
      <c r="D70" s="82"/>
      <c r="E70" s="83">
        <v>373.259088666666</v>
      </c>
      <c r="F70" s="83">
        <v>361.01186026666602</v>
      </c>
      <c r="G70" s="83">
        <v>355.08083006666601</v>
      </c>
      <c r="H70" s="83">
        <v>352.68943106666597</v>
      </c>
      <c r="I70" s="83">
        <v>322.53138266666599</v>
      </c>
      <c r="J70" s="83">
        <v>301.775477533333</v>
      </c>
      <c r="K70" s="83">
        <v>301.08865853333299</v>
      </c>
      <c r="L70" s="83">
        <v>296.34121119999998</v>
      </c>
      <c r="M70" s="83">
        <v>289.78476703333303</v>
      </c>
      <c r="N70" s="83">
        <v>291.51483046666601</v>
      </c>
      <c r="O70" s="83">
        <v>286.473202666666</v>
      </c>
      <c r="P70" s="83">
        <v>260.39190289999999</v>
      </c>
      <c r="Q70" s="83">
        <v>249.89618886666599</v>
      </c>
      <c r="R70" s="83">
        <v>245.38335889999999</v>
      </c>
      <c r="S70" s="83">
        <v>243.58137486666601</v>
      </c>
      <c r="T70" s="83">
        <v>245.2024098</v>
      </c>
      <c r="U70" s="83">
        <v>258.23910756666601</v>
      </c>
      <c r="V70" s="83">
        <v>275.74453976666598</v>
      </c>
      <c r="W70" s="83">
        <v>290.71809083333301</v>
      </c>
      <c r="X70" s="83">
        <v>272.80579523333301</v>
      </c>
      <c r="Y70" s="83">
        <v>261.84351636666599</v>
      </c>
      <c r="Z70" s="83">
        <v>268.00684339999998</v>
      </c>
      <c r="AA70" s="83">
        <v>268.170706</v>
      </c>
      <c r="AB70" s="83">
        <v>263.69666666666598</v>
      </c>
      <c r="AC70" s="85">
        <v>274.93933129999999</v>
      </c>
      <c r="AD70" s="85">
        <v>272.889095266666</v>
      </c>
      <c r="AE70" s="85">
        <v>266.99234823333302</v>
      </c>
      <c r="AF70" s="85">
        <v>263.99497803333298</v>
      </c>
      <c r="AG70" s="85">
        <v>270.2313934</v>
      </c>
      <c r="AH70" s="84">
        <v>270.88201296666603</v>
      </c>
      <c r="AI70" s="85">
        <v>277.45359239999999</v>
      </c>
      <c r="AJ70" s="85">
        <v>273.84545853333299</v>
      </c>
      <c r="AK70" s="85">
        <v>273.29747370000001</v>
      </c>
      <c r="AL70" s="82">
        <v>276.89298559999997</v>
      </c>
      <c r="AM70" s="82">
        <v>280.61594573333298</v>
      </c>
      <c r="AN70" s="82">
        <v>285.15588453333299</v>
      </c>
      <c r="AO70" s="82">
        <v>281.12546090000001</v>
      </c>
      <c r="AP70" s="82">
        <v>272.012617733333</v>
      </c>
      <c r="AQ70" s="82">
        <v>270.40936900000003</v>
      </c>
      <c r="AR70" s="82">
        <v>261.85732669999999</v>
      </c>
      <c r="AS70" s="82">
        <v>256.15595403333299</v>
      </c>
      <c r="AT70" s="82">
        <v>229.7144414</v>
      </c>
      <c r="AU70" s="82">
        <v>215.38915433333301</v>
      </c>
      <c r="AV70" s="82">
        <v>210.701316166666</v>
      </c>
      <c r="AW70" s="82">
        <v>224.94921903333301</v>
      </c>
      <c r="AX70" s="82">
        <v>217.01754513333299</v>
      </c>
      <c r="AY70" s="82">
        <v>206.06681800000001</v>
      </c>
      <c r="AZ70" s="82">
        <v>201.47119230000001</v>
      </c>
      <c r="BA70" s="82">
        <v>200.54254943333299</v>
      </c>
      <c r="BB70" s="82">
        <v>191.07711760000001</v>
      </c>
      <c r="BC70" s="82">
        <v>200.00707686666601</v>
      </c>
      <c r="BD70" s="82">
        <v>195.37148023333299</v>
      </c>
      <c r="BE70" s="82">
        <v>195.31794876666601</v>
      </c>
      <c r="BF70" s="82">
        <v>206.10359070000001</v>
      </c>
      <c r="BG70" s="82">
        <v>201.84262649999999</v>
      </c>
      <c r="BH70" s="82">
        <v>193.13617110000001</v>
      </c>
      <c r="BI70" s="82">
        <v>189.99415588378901</v>
      </c>
      <c r="BJ70" s="82">
        <v>189.99415588378901</v>
      </c>
      <c r="BK70" s="82">
        <v>189.99415588378901</v>
      </c>
      <c r="BL70" s="82">
        <v>189.99415588378901</v>
      </c>
      <c r="BM70" s="82">
        <v>189.99415588378901</v>
      </c>
      <c r="BN70" s="82">
        <v>189.99415588378901</v>
      </c>
      <c r="BO70" s="82">
        <v>189.99415588378901</v>
      </c>
      <c r="BP70" s="82">
        <v>189.99415588378901</v>
      </c>
      <c r="BQ70" s="82"/>
      <c r="BR70" s="82"/>
      <c r="BS70" s="82"/>
      <c r="BT70" s="82"/>
    </row>
    <row r="71" spans="1:72" x14ac:dyDescent="0.65">
      <c r="A71" s="91" t="s">
        <v>199</v>
      </c>
      <c r="B71" s="112" t="s">
        <v>634</v>
      </c>
      <c r="C71" s="81" t="s">
        <v>683</v>
      </c>
      <c r="D71" s="82"/>
      <c r="E71" s="83">
        <v>882.86781666666604</v>
      </c>
      <c r="F71" s="83">
        <v>883.79306666666605</v>
      </c>
      <c r="G71" s="83">
        <v>864.25746666666601</v>
      </c>
      <c r="H71" s="83">
        <v>874.44972780000001</v>
      </c>
      <c r="I71" s="83">
        <v>845.16081206666604</v>
      </c>
      <c r="J71" s="83">
        <v>837.39044636666597</v>
      </c>
      <c r="K71" s="83">
        <v>845.96079396666596</v>
      </c>
      <c r="L71" s="83">
        <v>882.67886880000003</v>
      </c>
      <c r="M71" s="83">
        <v>901.90233333333299</v>
      </c>
      <c r="N71" s="83">
        <v>917.28949999999998</v>
      </c>
      <c r="O71" s="83">
        <v>909.96833333333302</v>
      </c>
      <c r="P71" s="83">
        <v>862.60783333333302</v>
      </c>
      <c r="Q71" s="83">
        <v>826.16549999999995</v>
      </c>
      <c r="R71" s="83">
        <v>834.81283333333295</v>
      </c>
      <c r="S71" s="83">
        <v>844.93166666666605</v>
      </c>
      <c r="T71" s="83">
        <v>827.09199999999998</v>
      </c>
      <c r="U71" s="83">
        <v>780.25833333333298</v>
      </c>
      <c r="V71" s="83">
        <v>782.25666666666598</v>
      </c>
      <c r="W71" s="83">
        <v>716.166333333333</v>
      </c>
      <c r="X71" s="83">
        <v>676.83550000000002</v>
      </c>
      <c r="Y71" s="83">
        <v>674.928</v>
      </c>
      <c r="Z71" s="83">
        <v>696.80066666666596</v>
      </c>
      <c r="AA71" s="83">
        <v>713.24283333333301</v>
      </c>
      <c r="AB71" s="83">
        <v>723.46666666666601</v>
      </c>
      <c r="AC71" s="85">
        <v>758.49466666666603</v>
      </c>
      <c r="AD71" s="85">
        <v>741.96299999999997</v>
      </c>
      <c r="AE71" s="85">
        <v>710.33483333333299</v>
      </c>
      <c r="AF71" s="85">
        <v>700.97900000000004</v>
      </c>
      <c r="AG71" s="85">
        <v>709.66266666666604</v>
      </c>
      <c r="AH71" s="84">
        <v>700.57933333333301</v>
      </c>
      <c r="AI71" s="85">
        <v>671.58533333333298</v>
      </c>
      <c r="AJ71" s="85">
        <v>701.723833333333</v>
      </c>
      <c r="AK71" s="85">
        <v>698.09050000000002</v>
      </c>
      <c r="AL71" s="82">
        <v>676.94403333333298</v>
      </c>
      <c r="AM71" s="82">
        <v>708.28219999999999</v>
      </c>
      <c r="AN71" s="82">
        <v>727.30996666666601</v>
      </c>
      <c r="AO71" s="82">
        <v>751.46416666666596</v>
      </c>
      <c r="AP71" s="82">
        <v>762.12950000000001</v>
      </c>
      <c r="AQ71" s="82">
        <v>751.046333333333</v>
      </c>
      <c r="AR71" s="82">
        <v>735.16866666666601</v>
      </c>
      <c r="AS71" s="82">
        <v>731.64433333333295</v>
      </c>
      <c r="AT71" s="82">
        <v>685.46466666666595</v>
      </c>
      <c r="AU71" s="82">
        <v>641.51949999999999</v>
      </c>
      <c r="AV71" s="82">
        <v>639.41216666666605</v>
      </c>
      <c r="AW71" s="82">
        <v>662.06600000000003</v>
      </c>
      <c r="AX71" s="82">
        <v>682.24916666666604</v>
      </c>
      <c r="AY71" s="82">
        <v>690.13350000000003</v>
      </c>
      <c r="AZ71" s="82">
        <v>676.49033333333296</v>
      </c>
      <c r="BA71" s="82">
        <v>691.11450000000002</v>
      </c>
      <c r="BB71" s="82">
        <v>687.97166666666601</v>
      </c>
      <c r="BC71" s="82">
        <v>708.60900000000004</v>
      </c>
      <c r="BD71" s="82">
        <v>698.47199999999998</v>
      </c>
      <c r="BE71" s="82">
        <v>686.64549999999997</v>
      </c>
      <c r="BF71" s="82">
        <v>727.93833333333305</v>
      </c>
      <c r="BG71" s="82">
        <v>734.96883333333301</v>
      </c>
      <c r="BH71" s="82">
        <v>724.21416666666596</v>
      </c>
      <c r="BI71" s="82">
        <v>736.89447021484295</v>
      </c>
      <c r="BJ71" s="82">
        <v>736.89447021484295</v>
      </c>
      <c r="BK71" s="82">
        <v>736.89447021484295</v>
      </c>
      <c r="BL71" s="82">
        <v>736.89447021484295</v>
      </c>
      <c r="BM71" s="82">
        <v>736.89447021484295</v>
      </c>
      <c r="BN71" s="82">
        <v>736.89447021484295</v>
      </c>
      <c r="BO71" s="82">
        <v>736.89447021484295</v>
      </c>
      <c r="BP71" s="82">
        <v>736.89447021484295</v>
      </c>
      <c r="BQ71" s="82"/>
      <c r="BR71" s="82"/>
      <c r="BS71" s="82"/>
      <c r="BT71" s="82"/>
    </row>
    <row r="72" spans="1:72" x14ac:dyDescent="0.65">
      <c r="A72" s="21" t="s">
        <v>191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17"/>
      <c r="AI72" s="5"/>
      <c r="AJ72" s="5"/>
      <c r="AK72" s="5"/>
    </row>
    <row r="73" spans="1:72" x14ac:dyDescent="0.65">
      <c r="A73" s="91" t="s">
        <v>200</v>
      </c>
      <c r="B73" s="112" t="s">
        <v>634</v>
      </c>
      <c r="C73" s="81" t="s">
        <v>684</v>
      </c>
      <c r="D73" s="82"/>
      <c r="E73" s="83">
        <v>160.020717433333</v>
      </c>
      <c r="F73" s="83">
        <v>156.4302222</v>
      </c>
      <c r="G73" s="83">
        <v>162.13573856666599</v>
      </c>
      <c r="H73" s="83">
        <v>166.11966743333301</v>
      </c>
      <c r="I73" s="83">
        <v>170.08195393333301</v>
      </c>
      <c r="J73" s="83">
        <v>184.97058003333299</v>
      </c>
      <c r="K73" s="83">
        <v>165.08928316666601</v>
      </c>
      <c r="L73" s="83">
        <v>181.76315070000001</v>
      </c>
      <c r="M73" s="83">
        <v>186.9317235</v>
      </c>
      <c r="N73" s="83">
        <v>181.25501993333299</v>
      </c>
      <c r="O73" s="83">
        <v>179.05087633333301</v>
      </c>
      <c r="P73" s="83">
        <v>189.65246859999999</v>
      </c>
      <c r="Q73" s="83">
        <v>189.064994166666</v>
      </c>
      <c r="R73" s="83">
        <v>178.99576329999999</v>
      </c>
      <c r="S73" s="83">
        <v>180.39688926666599</v>
      </c>
      <c r="T73" s="83">
        <v>175.89570443333301</v>
      </c>
      <c r="U73" s="83">
        <v>186.844816733333</v>
      </c>
      <c r="V73" s="83">
        <v>178.75520183333299</v>
      </c>
      <c r="W73" s="83">
        <v>179.66895553333299</v>
      </c>
      <c r="X73" s="83">
        <v>186.0090749</v>
      </c>
      <c r="Y73" s="83">
        <v>181.867122133333</v>
      </c>
      <c r="Z73" s="83">
        <v>188.41305093333301</v>
      </c>
      <c r="AA73" s="83">
        <v>188.82945636666599</v>
      </c>
      <c r="AB73" s="83">
        <v>203.72073333333299</v>
      </c>
      <c r="AC73" s="85">
        <v>231.268975933333</v>
      </c>
      <c r="AD73" s="85">
        <v>214.75103213333301</v>
      </c>
      <c r="AE73" s="85">
        <v>205.454581533333</v>
      </c>
      <c r="AF73" s="85">
        <v>194.19</v>
      </c>
      <c r="AG73" s="85">
        <v>187.266666666666</v>
      </c>
      <c r="AH73" s="84">
        <v>184.07</v>
      </c>
      <c r="AI73" s="85">
        <v>187.77666666666599</v>
      </c>
      <c r="AJ73" s="85">
        <v>184.44</v>
      </c>
      <c r="AK73" s="85">
        <v>196.45333333333301</v>
      </c>
      <c r="AL73" s="82">
        <v>189.98</v>
      </c>
      <c r="AM73" s="82">
        <v>195.4</v>
      </c>
      <c r="AN73" s="82">
        <v>217.28</v>
      </c>
      <c r="AO73" s="82">
        <v>220.15666666666601</v>
      </c>
      <c r="AP73" s="82">
        <v>237.583333333333</v>
      </c>
      <c r="AQ73" s="82">
        <v>246.326666666666</v>
      </c>
      <c r="AR73" s="82">
        <v>239.93</v>
      </c>
      <c r="AS73" s="82">
        <v>269.95</v>
      </c>
      <c r="AT73" s="82">
        <v>283.27666666666602</v>
      </c>
      <c r="AU73" s="82">
        <v>272.05</v>
      </c>
      <c r="AV73" s="82">
        <v>258.31666666666598</v>
      </c>
      <c r="AW73" s="82">
        <v>225.69333333333299</v>
      </c>
      <c r="AX73" s="82">
        <v>213.67</v>
      </c>
      <c r="AY73" s="82">
        <v>214.94</v>
      </c>
      <c r="AZ73" s="82">
        <v>208.12</v>
      </c>
      <c r="BA73" s="82">
        <v>207.143333333333</v>
      </c>
      <c r="BB73" s="82">
        <v>197.89666666666599</v>
      </c>
      <c r="BC73" s="82">
        <v>187.25333333333299</v>
      </c>
      <c r="BD73" s="82">
        <v>187.486556733333</v>
      </c>
      <c r="BE73" s="82">
        <v>199.13088450000001</v>
      </c>
      <c r="BF73" s="82">
        <v>216.7763832</v>
      </c>
      <c r="BG73" s="82">
        <v>208.34391336666599</v>
      </c>
      <c r="BH73" s="82">
        <v>198.94749933333301</v>
      </c>
      <c r="BI73" s="82">
        <v>192.05553181966101</v>
      </c>
      <c r="BJ73" s="82">
        <v>219.63580279999999</v>
      </c>
      <c r="BK73" s="82">
        <v>229.7165688</v>
      </c>
      <c r="BL73" s="82">
        <v>235.69366009999999</v>
      </c>
      <c r="BM73" s="82">
        <v>241.84917200000001</v>
      </c>
      <c r="BN73" s="82">
        <v>241.84917200000001</v>
      </c>
      <c r="BO73" s="82">
        <v>241.84917200000001</v>
      </c>
      <c r="BP73" s="82">
        <v>241.84917200000001</v>
      </c>
      <c r="BQ73" s="82"/>
      <c r="BR73" s="82"/>
      <c r="BS73" s="82"/>
      <c r="BT73" s="82"/>
    </row>
    <row r="74" spans="1:72" x14ac:dyDescent="0.65">
      <c r="A74" s="91" t="s">
        <v>201</v>
      </c>
      <c r="B74" s="112" t="s">
        <v>634</v>
      </c>
      <c r="C74" s="81" t="s">
        <v>685</v>
      </c>
      <c r="D74" s="82"/>
      <c r="E74" s="83">
        <v>310.12420396666602</v>
      </c>
      <c r="F74" s="83">
        <v>323.6087761</v>
      </c>
      <c r="G74" s="83">
        <v>320.06166626666601</v>
      </c>
      <c r="H74" s="83">
        <v>313.56858360000001</v>
      </c>
      <c r="I74" s="83">
        <v>306.27913100000001</v>
      </c>
      <c r="J74" s="83">
        <v>345.46263140000002</v>
      </c>
      <c r="K74" s="83">
        <v>341.59395256666602</v>
      </c>
      <c r="L74" s="83">
        <v>336.80377446666603</v>
      </c>
      <c r="M74" s="83">
        <v>344.626448066666</v>
      </c>
      <c r="N74" s="83">
        <v>332.33408930000002</v>
      </c>
      <c r="O74" s="83">
        <v>323.25643163333302</v>
      </c>
      <c r="P74" s="83">
        <v>331.20280076666597</v>
      </c>
      <c r="Q74" s="83">
        <v>336.70009726666598</v>
      </c>
      <c r="R74" s="83">
        <v>325.00649376666598</v>
      </c>
      <c r="S74" s="83">
        <v>304.210213966666</v>
      </c>
      <c r="T74" s="83">
        <v>306.00064436666599</v>
      </c>
      <c r="U74" s="83">
        <v>319.07817496666598</v>
      </c>
      <c r="V74" s="83">
        <v>328.62225713333299</v>
      </c>
      <c r="W74" s="83">
        <v>325.7765253</v>
      </c>
      <c r="X74" s="83">
        <v>327.10987840000001</v>
      </c>
      <c r="Y74" s="83">
        <v>308.47857726666598</v>
      </c>
      <c r="Z74" s="83">
        <v>321.24844773333302</v>
      </c>
      <c r="AA74" s="83">
        <v>320.84326829999998</v>
      </c>
      <c r="AB74" s="83">
        <v>329.014010066666</v>
      </c>
      <c r="AC74" s="83">
        <v>339.51901850000002</v>
      </c>
      <c r="AD74" s="83">
        <v>345.27017289999998</v>
      </c>
      <c r="AE74" s="83">
        <v>344.35962460000002</v>
      </c>
      <c r="AF74" s="83">
        <v>349.13333333333298</v>
      </c>
      <c r="AG74" s="83">
        <v>348.83</v>
      </c>
      <c r="AH74" s="84">
        <v>351.50333333333299</v>
      </c>
      <c r="AI74" s="83">
        <v>362.76666666666603</v>
      </c>
      <c r="AJ74" s="83">
        <v>352.36666666666599</v>
      </c>
      <c r="AK74" s="83">
        <v>354.83</v>
      </c>
      <c r="AL74" s="82">
        <v>355.243333333333</v>
      </c>
      <c r="AM74" s="82">
        <v>334.35333333333301</v>
      </c>
      <c r="AN74" s="82">
        <v>346.85</v>
      </c>
      <c r="AO74" s="82">
        <v>351.7</v>
      </c>
      <c r="AP74" s="82">
        <v>418.02</v>
      </c>
      <c r="AQ74" s="82">
        <v>331.37333333333299</v>
      </c>
      <c r="AR74" s="82">
        <v>312.046666666666</v>
      </c>
      <c r="AS74" s="82">
        <v>377.29</v>
      </c>
      <c r="AT74" s="82">
        <v>430.356666666666</v>
      </c>
      <c r="AU74" s="82">
        <v>412.053333333333</v>
      </c>
      <c r="AV74" s="82">
        <v>380.62333333333299</v>
      </c>
      <c r="AW74" s="82">
        <v>316.54333333333301</v>
      </c>
      <c r="AX74" s="82">
        <v>318.79000000000002</v>
      </c>
      <c r="AY74" s="82">
        <v>325.77666666666602</v>
      </c>
      <c r="AZ74" s="82">
        <v>312.416666666666</v>
      </c>
      <c r="BA74" s="82">
        <v>334.89</v>
      </c>
      <c r="BB74" s="82">
        <v>316.45</v>
      </c>
      <c r="BC74" s="82">
        <v>314.67333333333301</v>
      </c>
      <c r="BD74" s="82">
        <v>318.212468466666</v>
      </c>
      <c r="BE74" s="82">
        <v>328.23030773333301</v>
      </c>
      <c r="BF74" s="82">
        <v>326.90029133333297</v>
      </c>
      <c r="BG74" s="82">
        <v>317.565606</v>
      </c>
      <c r="BH74" s="82">
        <v>285.60434116666602</v>
      </c>
      <c r="BI74" s="82">
        <v>289.89221191406199</v>
      </c>
      <c r="BJ74" s="82">
        <v>289.89221191406199</v>
      </c>
      <c r="BK74" s="82">
        <v>289.89221191406199</v>
      </c>
      <c r="BL74" s="82">
        <v>289.89221191406199</v>
      </c>
      <c r="BM74" s="82">
        <v>289.89221191406199</v>
      </c>
      <c r="BN74" s="82">
        <v>289.89221191406199</v>
      </c>
      <c r="BO74" s="82">
        <v>289.89221191406199</v>
      </c>
      <c r="BP74" s="82">
        <v>289.89221191406199</v>
      </c>
      <c r="BQ74" s="82"/>
      <c r="BR74" s="82"/>
      <c r="BS74" s="82"/>
      <c r="BT74" s="82"/>
    </row>
    <row r="75" spans="1:72" x14ac:dyDescent="0.65">
      <c r="A75" s="20" t="s">
        <v>202</v>
      </c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17"/>
      <c r="AI75" s="5"/>
      <c r="AJ75" s="5"/>
      <c r="AK75" s="5"/>
    </row>
    <row r="76" spans="1:72" x14ac:dyDescent="0.65">
      <c r="A76" s="92" t="s">
        <v>203</v>
      </c>
      <c r="B76" s="112" t="s">
        <v>634</v>
      </c>
      <c r="C76" s="81" t="s">
        <v>686</v>
      </c>
      <c r="D76" s="82"/>
      <c r="E76" s="83">
        <v>1337.72704320512</v>
      </c>
      <c r="F76" s="83">
        <v>1239.2968441666601</v>
      </c>
      <c r="G76" s="83">
        <v>1133.51861111111</v>
      </c>
      <c r="H76" s="83">
        <v>1122.71296212121</v>
      </c>
      <c r="I76" s="83">
        <v>1229.6507475084099</v>
      </c>
      <c r="J76" s="83">
        <v>1099.7881295419299</v>
      </c>
      <c r="K76" s="83">
        <v>1017.65037834418</v>
      </c>
      <c r="L76" s="83">
        <v>1126.4943951339401</v>
      </c>
      <c r="M76" s="83">
        <v>1062.3594267421499</v>
      </c>
      <c r="N76" s="83">
        <v>1033.2151821924999</v>
      </c>
      <c r="O76" s="83">
        <v>1033.1810066666601</v>
      </c>
      <c r="P76" s="83">
        <v>967.07953719943896</v>
      </c>
      <c r="Q76" s="83">
        <v>890.73921859099198</v>
      </c>
      <c r="R76" s="83">
        <v>971.85765443670402</v>
      </c>
      <c r="S76" s="83">
        <v>940.92643106060598</v>
      </c>
      <c r="T76" s="83">
        <v>915.93830829170099</v>
      </c>
      <c r="U76" s="83">
        <v>959.73450504167101</v>
      </c>
      <c r="V76" s="83">
        <v>1009.28940860573</v>
      </c>
      <c r="W76" s="83">
        <v>1083.12033642857</v>
      </c>
      <c r="X76" s="83">
        <v>1016.42161130182</v>
      </c>
      <c r="Y76" s="83">
        <v>1039.1122217699301</v>
      </c>
      <c r="Z76" s="83">
        <v>1025.4848067441401</v>
      </c>
      <c r="AA76" s="83">
        <v>1140.3343648452701</v>
      </c>
      <c r="AB76" s="83">
        <v>1151.9015460666899</v>
      </c>
      <c r="AC76" s="83">
        <v>1375.6531346338299</v>
      </c>
      <c r="AD76" s="83">
        <v>1554.6145398359999</v>
      </c>
      <c r="AE76" s="83">
        <v>1633.28998677308</v>
      </c>
      <c r="AF76" s="83">
        <v>1513.1793544214099</v>
      </c>
      <c r="AG76" s="83">
        <v>1585.9779470782</v>
      </c>
      <c r="AH76" s="84">
        <v>1486.6633289557601</v>
      </c>
      <c r="AI76" s="83">
        <v>1352.2271693468001</v>
      </c>
      <c r="AJ76" s="83">
        <v>1148.6255661380201</v>
      </c>
      <c r="AK76" s="83">
        <v>1113.25396741805</v>
      </c>
      <c r="AL76" s="82">
        <v>838.22466924242997</v>
      </c>
      <c r="AM76" s="82">
        <v>716.26266000402904</v>
      </c>
      <c r="AN76" s="82">
        <v>810.73828564872497</v>
      </c>
      <c r="AO76" s="82">
        <v>910.27925912932506</v>
      </c>
      <c r="AP76" s="82">
        <v>935.61521985760305</v>
      </c>
      <c r="AQ76" s="82">
        <v>885.55034287576905</v>
      </c>
      <c r="AR76" s="82">
        <v>903.24010459850797</v>
      </c>
      <c r="AS76" s="82">
        <v>929.70141700138799</v>
      </c>
      <c r="AT76" s="82">
        <v>927.80535928802897</v>
      </c>
      <c r="AU76" s="82">
        <v>861.536593800844</v>
      </c>
      <c r="AV76" s="82">
        <v>804.89632464342503</v>
      </c>
      <c r="AW76" s="82">
        <v>923.84139623479996</v>
      </c>
      <c r="AX76" s="82">
        <v>879.29183253057397</v>
      </c>
      <c r="AY76" s="82">
        <v>850.17554855711103</v>
      </c>
      <c r="AZ76" s="82">
        <v>876.64703703703697</v>
      </c>
      <c r="BA76" s="82">
        <v>888.09217222222196</v>
      </c>
      <c r="BB76" s="82">
        <v>889.53112083333303</v>
      </c>
      <c r="BC76" s="82">
        <v>872.34461944444399</v>
      </c>
      <c r="BD76" s="82">
        <v>873.55925809523796</v>
      </c>
      <c r="BE76" s="82">
        <v>912.18804365079302</v>
      </c>
      <c r="BF76" s="82">
        <v>939.05762539682496</v>
      </c>
      <c r="BG76" s="82">
        <v>989.43402447089898</v>
      </c>
      <c r="BH76" s="82">
        <v>1153.1120877777701</v>
      </c>
      <c r="BI76" s="82">
        <v>464.778971354166</v>
      </c>
      <c r="BJ76" s="82">
        <v>464.778971354166</v>
      </c>
      <c r="BK76" s="82">
        <v>464.778971354166</v>
      </c>
      <c r="BL76" s="82">
        <v>464.778971354166</v>
      </c>
      <c r="BM76" s="82">
        <v>464.778971354166</v>
      </c>
      <c r="BN76" s="82">
        <v>464.778971354166</v>
      </c>
      <c r="BO76" s="82">
        <v>464.778971354166</v>
      </c>
      <c r="BP76" s="82">
        <v>464.778971354166</v>
      </c>
      <c r="BQ76" s="82"/>
      <c r="BR76" s="82"/>
      <c r="BS76" s="82"/>
      <c r="BT76" s="82"/>
    </row>
    <row r="77" spans="1:72" x14ac:dyDescent="0.65">
      <c r="A77" s="92" t="s">
        <v>204</v>
      </c>
      <c r="B77" s="112" t="s">
        <v>634</v>
      </c>
      <c r="C77" s="81" t="s">
        <v>687</v>
      </c>
      <c r="D77" s="82"/>
      <c r="E77" s="83">
        <v>1534.13109333333</v>
      </c>
      <c r="F77" s="83">
        <v>1354.3141013888801</v>
      </c>
      <c r="G77" s="83">
        <v>1213.0326111111101</v>
      </c>
      <c r="H77" s="83">
        <v>1272.73992666666</v>
      </c>
      <c r="I77" s="83">
        <v>1363.94384583333</v>
      </c>
      <c r="J77" s="83">
        <v>1161.42895412698</v>
      </c>
      <c r="K77" s="83">
        <v>1071.64159444444</v>
      </c>
      <c r="L77" s="83">
        <v>1195.48834425925</v>
      </c>
      <c r="M77" s="83">
        <v>1114.0061499999999</v>
      </c>
      <c r="N77" s="83">
        <v>1086.01331944444</v>
      </c>
      <c r="O77" s="83">
        <v>1068.1340958333301</v>
      </c>
      <c r="P77" s="83">
        <v>1033.30510595238</v>
      </c>
      <c r="Q77" s="83">
        <v>947.79731249999998</v>
      </c>
      <c r="R77" s="83">
        <v>1085.4790553571399</v>
      </c>
      <c r="S77" s="83">
        <v>1003.86428009259</v>
      </c>
      <c r="T77" s="83">
        <v>994.79316249999999</v>
      </c>
      <c r="U77" s="83">
        <v>1022.20663619047</v>
      </c>
      <c r="V77" s="83">
        <v>1092.9449658333299</v>
      </c>
      <c r="W77" s="85">
        <v>1142.6756708333301</v>
      </c>
      <c r="X77" s="85">
        <v>1194.1371466666601</v>
      </c>
      <c r="Y77" s="85">
        <v>1375.29914027777</v>
      </c>
      <c r="Z77" s="85">
        <v>1412.74192962963</v>
      </c>
      <c r="AA77" s="85">
        <v>1435.5600041666601</v>
      </c>
      <c r="AB77" s="85">
        <v>1513.5223716666601</v>
      </c>
      <c r="AC77" s="85">
        <v>1662.03225</v>
      </c>
      <c r="AD77" s="85">
        <v>1662.5658866666599</v>
      </c>
      <c r="AE77" s="85">
        <v>1725.44959907407</v>
      </c>
      <c r="AF77" s="85">
        <v>1606.71185509259</v>
      </c>
      <c r="AG77" s="85">
        <v>1665.2947291666601</v>
      </c>
      <c r="AH77" s="84">
        <v>1555.8863229761901</v>
      </c>
      <c r="AI77" s="85">
        <v>1273.74364285714</v>
      </c>
      <c r="AJ77" s="85">
        <v>1215.25089166666</v>
      </c>
      <c r="AK77" s="85">
        <v>1181.83357645502</v>
      </c>
      <c r="AL77" s="82">
        <v>917.63166190476204</v>
      </c>
      <c r="AM77" s="82">
        <v>807.75278888888897</v>
      </c>
      <c r="AN77" s="82">
        <v>997.191816666666</v>
      </c>
      <c r="AO77" s="82">
        <v>1183.6259661904701</v>
      </c>
      <c r="AP77" s="82">
        <v>1273.3011868783001</v>
      </c>
      <c r="AQ77" s="82">
        <v>1246.9726931216901</v>
      </c>
      <c r="AR77" s="82">
        <v>1206.4662682539599</v>
      </c>
      <c r="AS77" s="82">
        <v>1233.6137074999999</v>
      </c>
      <c r="AT77" s="82">
        <v>1239.8191208333301</v>
      </c>
      <c r="AU77" s="82">
        <v>1116.3001291666601</v>
      </c>
      <c r="AV77" s="82">
        <v>1028.7660375</v>
      </c>
      <c r="AW77" s="82">
        <v>1157.5559042328</v>
      </c>
      <c r="AX77" s="82">
        <v>1039.53563703703</v>
      </c>
      <c r="AY77" s="82">
        <v>944.00957202380903</v>
      </c>
      <c r="AZ77" s="82">
        <v>936.21908888888902</v>
      </c>
      <c r="BA77" s="82">
        <v>941.57055324073997</v>
      </c>
      <c r="BB77" s="82">
        <v>932.59076567460295</v>
      </c>
      <c r="BC77" s="82">
        <v>912.48567731481398</v>
      </c>
      <c r="BD77" s="82">
        <v>919.818054166666</v>
      </c>
      <c r="BE77" s="82">
        <v>940.94436111111099</v>
      </c>
      <c r="BF77" s="82">
        <v>980.77451185064899</v>
      </c>
      <c r="BG77" s="82">
        <v>1024.38446759259</v>
      </c>
      <c r="BH77" s="82">
        <v>1204.4193473544899</v>
      </c>
      <c r="BI77" s="82">
        <v>482.88860066731701</v>
      </c>
      <c r="BJ77" s="82">
        <v>482.88860066731701</v>
      </c>
      <c r="BK77" s="82">
        <v>482.88860066731701</v>
      </c>
      <c r="BL77" s="82">
        <v>482.88860066731701</v>
      </c>
      <c r="BM77" s="82">
        <v>482.88860066731701</v>
      </c>
      <c r="BN77" s="82">
        <v>482.88860066731701</v>
      </c>
      <c r="BO77" s="82">
        <v>482.88860066731701</v>
      </c>
      <c r="BP77" s="82">
        <v>482.88860066731701</v>
      </c>
      <c r="BQ77" s="82"/>
      <c r="BR77" s="82"/>
      <c r="BS77" s="82"/>
      <c r="BT77" s="82"/>
    </row>
    <row r="78" spans="1:72" x14ac:dyDescent="0.65">
      <c r="A78" s="19" t="s">
        <v>205</v>
      </c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17"/>
      <c r="AI78" s="5"/>
      <c r="AJ78" s="5"/>
      <c r="AK78" s="5"/>
    </row>
    <row r="79" spans="1:72" x14ac:dyDescent="0.65">
      <c r="A79" s="20" t="s">
        <v>182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17"/>
      <c r="AI79" s="5"/>
      <c r="AJ79" s="5"/>
      <c r="AK79" s="5"/>
    </row>
    <row r="80" spans="1:72" x14ac:dyDescent="0.65">
      <c r="A80" s="92" t="s">
        <v>206</v>
      </c>
      <c r="B80" s="112" t="s">
        <v>634</v>
      </c>
      <c r="C80" s="81" t="s">
        <v>688</v>
      </c>
      <c r="D80" s="82"/>
      <c r="E80" s="83">
        <v>220.87344877344799</v>
      </c>
      <c r="F80" s="83">
        <v>181.500006901311</v>
      </c>
      <c r="G80" s="83">
        <v>181.41575230566499</v>
      </c>
      <c r="H80" s="83">
        <v>161.97712466277599</v>
      </c>
      <c r="I80" s="83">
        <v>152.10149551414699</v>
      </c>
      <c r="J80" s="83">
        <v>145.077468379446</v>
      </c>
      <c r="K80" s="83">
        <v>135.274303594955</v>
      </c>
      <c r="L80" s="83">
        <v>125.484081811907</v>
      </c>
      <c r="M80" s="83">
        <v>173.41614251207699</v>
      </c>
      <c r="N80" s="83">
        <v>211.86259018759</v>
      </c>
      <c r="O80" s="83">
        <v>206.795606374302</v>
      </c>
      <c r="P80" s="83">
        <v>209.34924637681101</v>
      </c>
      <c r="Q80" s="83">
        <v>176.41692424242399</v>
      </c>
      <c r="R80" s="83">
        <v>160.74519480519399</v>
      </c>
      <c r="S80" s="83">
        <v>152.50555775142701</v>
      </c>
      <c r="T80" s="83">
        <v>149.947066629023</v>
      </c>
      <c r="U80" s="83">
        <v>150.254403036577</v>
      </c>
      <c r="V80" s="83">
        <v>158.28814574314501</v>
      </c>
      <c r="W80" s="83">
        <v>171.86685613903001</v>
      </c>
      <c r="X80" s="83">
        <v>174.95053391053301</v>
      </c>
      <c r="Y80" s="83">
        <v>165.038054018445</v>
      </c>
      <c r="Z80" s="83">
        <v>149.59890909090899</v>
      </c>
      <c r="AA80" s="83">
        <v>148.74690821255999</v>
      </c>
      <c r="AB80" s="83">
        <v>139.63994227994201</v>
      </c>
      <c r="AC80" s="83">
        <v>136.69955928853699</v>
      </c>
      <c r="AD80" s="83">
        <v>134.660966183574</v>
      </c>
      <c r="AE80" s="83">
        <v>125.66316864295101</v>
      </c>
      <c r="AF80" s="83">
        <v>133.836012610577</v>
      </c>
      <c r="AG80" s="83">
        <v>126.899987577639</v>
      </c>
      <c r="AH80" s="84">
        <v>123.754361660079</v>
      </c>
      <c r="AI80" s="83">
        <v>130.214755317146</v>
      </c>
      <c r="AJ80" s="83">
        <v>141.35394127611499</v>
      </c>
      <c r="AK80" s="83">
        <v>142.25476482213401</v>
      </c>
      <c r="AL80" s="82">
        <v>148.68888167388101</v>
      </c>
      <c r="AM80" s="82">
        <v>158.80561453039701</v>
      </c>
      <c r="AN80" s="82">
        <v>153.578539117887</v>
      </c>
      <c r="AO80" s="82">
        <v>164.76646445824699</v>
      </c>
      <c r="AP80" s="82">
        <v>182.392012987013</v>
      </c>
      <c r="AQ80" s="82">
        <v>215.49075757575699</v>
      </c>
      <c r="AR80" s="82">
        <v>256.12688186209903</v>
      </c>
      <c r="AS80" s="82">
        <v>269.96946894409899</v>
      </c>
      <c r="AT80" s="82">
        <v>266.53693362193297</v>
      </c>
      <c r="AU80" s="82">
        <v>263.96080588493601</v>
      </c>
      <c r="AV80" s="82">
        <v>221.396399711399</v>
      </c>
      <c r="AW80" s="82">
        <v>219.64330434782599</v>
      </c>
      <c r="AX80" s="82">
        <v>219.15393478260799</v>
      </c>
      <c r="AY80" s="82">
        <v>187.81009661835699</v>
      </c>
      <c r="AZ80" s="82">
        <v>197.231673881673</v>
      </c>
      <c r="BA80" s="82">
        <v>207.19193236714901</v>
      </c>
      <c r="BB80" s="82">
        <v>240.20465744400499</v>
      </c>
      <c r="BC80" s="82">
        <v>265.76563303845899</v>
      </c>
      <c r="BD80" s="82">
        <v>308.61629493694699</v>
      </c>
      <c r="BE80" s="82">
        <v>389.22015148378199</v>
      </c>
      <c r="BF80" s="82">
        <v>384.55458152958101</v>
      </c>
      <c r="BG80" s="82">
        <v>360.65424336532999</v>
      </c>
      <c r="BH80" s="82">
        <v>397.96296047430798</v>
      </c>
      <c r="BI80" s="82">
        <v>313.47820027669201</v>
      </c>
      <c r="BJ80" s="82">
        <v>303.4357579</v>
      </c>
      <c r="BK80" s="82">
        <v>295.70914755000001</v>
      </c>
      <c r="BL80" s="82">
        <v>288.3918941</v>
      </c>
      <c r="BM80" s="82">
        <v>285.11703929999999</v>
      </c>
      <c r="BN80" s="82">
        <v>282.45621990000001</v>
      </c>
      <c r="BO80" s="82">
        <v>277.77420100000001</v>
      </c>
      <c r="BP80" s="82">
        <v>272.0176204</v>
      </c>
      <c r="BQ80" s="82"/>
      <c r="BR80" s="82"/>
      <c r="BS80" s="82"/>
      <c r="BT80" s="82"/>
    </row>
    <row r="81" spans="1:72" x14ac:dyDescent="0.65">
      <c r="A81" s="92" t="s">
        <v>207</v>
      </c>
      <c r="B81" s="112" t="s">
        <v>634</v>
      </c>
      <c r="C81" s="81" t="s">
        <v>689</v>
      </c>
      <c r="D81" s="82"/>
      <c r="E81" s="83">
        <v>100.75652958152899</v>
      </c>
      <c r="F81" s="83">
        <v>104.860676328502</v>
      </c>
      <c r="G81" s="83">
        <v>106.17771409749599</v>
      </c>
      <c r="H81" s="83">
        <v>99.579115377376198</v>
      </c>
      <c r="I81" s="83">
        <v>103.22187543133199</v>
      </c>
      <c r="J81" s="83">
        <v>97.210845191040804</v>
      </c>
      <c r="K81" s="83">
        <v>92.331510759771604</v>
      </c>
      <c r="L81" s="83">
        <v>83.706819750297996</v>
      </c>
      <c r="M81" s="83">
        <v>96.319081090407096</v>
      </c>
      <c r="N81" s="83">
        <v>102.489415584415</v>
      </c>
      <c r="O81" s="83">
        <v>100.854511575381</v>
      </c>
      <c r="P81" s="83">
        <v>102.014572463768</v>
      </c>
      <c r="Q81" s="83">
        <v>96.135969696969696</v>
      </c>
      <c r="R81" s="83">
        <v>89.947683982683998</v>
      </c>
      <c r="S81" s="83">
        <v>84.797512077294698</v>
      </c>
      <c r="T81" s="83">
        <v>81.264941966246298</v>
      </c>
      <c r="U81" s="83">
        <v>74.882091097308503</v>
      </c>
      <c r="V81" s="83">
        <v>83.350259740259702</v>
      </c>
      <c r="W81" s="83">
        <v>93.161654432524003</v>
      </c>
      <c r="X81" s="83">
        <v>103.073434343434</v>
      </c>
      <c r="Y81" s="83">
        <v>107.181449275362</v>
      </c>
      <c r="Z81" s="83">
        <v>101.349573781291</v>
      </c>
      <c r="AA81" s="83">
        <v>102.879634230503</v>
      </c>
      <c r="AB81" s="83">
        <v>92.427950937950897</v>
      </c>
      <c r="AC81" s="85">
        <v>88.650266798418897</v>
      </c>
      <c r="AD81" s="85">
        <v>87.704934437543102</v>
      </c>
      <c r="AE81" s="85">
        <v>80.619097496706203</v>
      </c>
      <c r="AF81" s="85">
        <v>82.124254344689106</v>
      </c>
      <c r="AG81" s="85">
        <v>77.937329537612101</v>
      </c>
      <c r="AH81" s="84">
        <v>72.789496047430802</v>
      </c>
      <c r="AI81" s="85">
        <v>71.794491812535298</v>
      </c>
      <c r="AJ81" s="85">
        <v>71.7401860217077</v>
      </c>
      <c r="AK81" s="85">
        <v>68.702410408432101</v>
      </c>
      <c r="AL81" s="82">
        <v>64.392229437229403</v>
      </c>
      <c r="AM81" s="82">
        <v>71.032758328627907</v>
      </c>
      <c r="AN81" s="82">
        <v>70.895398393876604</v>
      </c>
      <c r="AO81" s="82">
        <v>72.6816249137336</v>
      </c>
      <c r="AP81" s="82">
        <v>79.692027417027404</v>
      </c>
      <c r="AQ81" s="82">
        <v>97.855606060605993</v>
      </c>
      <c r="AR81" s="82">
        <v>109.06802998933399</v>
      </c>
      <c r="AS81" s="82">
        <v>107.687887853692</v>
      </c>
      <c r="AT81" s="82">
        <v>103.653484848484</v>
      </c>
      <c r="AU81" s="82">
        <v>107.16386598908301</v>
      </c>
      <c r="AV81" s="82">
        <v>96.013968253968201</v>
      </c>
      <c r="AW81" s="82">
        <v>102.143160737812</v>
      </c>
      <c r="AX81" s="82">
        <v>123.42037615283201</v>
      </c>
      <c r="AY81" s="82">
        <v>125.277094547964</v>
      </c>
      <c r="AZ81" s="82">
        <v>125.667604617604</v>
      </c>
      <c r="BA81" s="82">
        <v>155.73078674948201</v>
      </c>
      <c r="BB81" s="82">
        <v>194.81979710144901</v>
      </c>
      <c r="BC81" s="82">
        <v>223.89955455172799</v>
      </c>
      <c r="BD81" s="82">
        <v>228.54915678524301</v>
      </c>
      <c r="BE81" s="82">
        <v>255.22280538302201</v>
      </c>
      <c r="BF81" s="82">
        <v>226.688694083694</v>
      </c>
      <c r="BG81" s="82">
        <v>192.29004736809</v>
      </c>
      <c r="BH81" s="82">
        <v>206.70806060606</v>
      </c>
      <c r="BI81" s="82">
        <v>198.274495442708</v>
      </c>
      <c r="BJ81" s="82">
        <v>174.21216179999999</v>
      </c>
      <c r="BK81" s="82">
        <v>168.93793389999999</v>
      </c>
      <c r="BL81" s="82">
        <v>164.4536785</v>
      </c>
      <c r="BM81" s="82">
        <v>160.55028515000001</v>
      </c>
      <c r="BN81" s="82">
        <v>158.04096089999999</v>
      </c>
      <c r="BO81" s="82">
        <v>156.87923665</v>
      </c>
      <c r="BP81" s="82">
        <v>156.87923665</v>
      </c>
      <c r="BQ81" s="82"/>
      <c r="BR81" s="82"/>
      <c r="BS81" s="82"/>
      <c r="BT81" s="82"/>
    </row>
    <row r="82" spans="1:72" x14ac:dyDescent="0.65">
      <c r="A82" s="90" t="s">
        <v>208</v>
      </c>
      <c r="B82" s="112" t="s">
        <v>634</v>
      </c>
      <c r="C82" s="81" t="s">
        <v>690</v>
      </c>
      <c r="D82" s="82"/>
      <c r="E82" s="85">
        <v>2341.0843410846301</v>
      </c>
      <c r="F82" s="85">
        <v>2280.7103271799801</v>
      </c>
      <c r="G82" s="85">
        <v>2494.1206371203102</v>
      </c>
      <c r="H82" s="83">
        <v>2457.8408277235799</v>
      </c>
      <c r="I82" s="83">
        <v>2208.83205689121</v>
      </c>
      <c r="J82" s="83">
        <v>2308.0109374886501</v>
      </c>
      <c r="K82" s="83">
        <v>2469.3941205395199</v>
      </c>
      <c r="L82" s="83">
        <v>2770.1370370377099</v>
      </c>
      <c r="M82" s="83">
        <v>2951.2875688979798</v>
      </c>
      <c r="N82" s="83">
        <v>3084.9712039702099</v>
      </c>
      <c r="O82" s="83">
        <v>3229.1915067458499</v>
      </c>
      <c r="P82" s="83">
        <v>2985.6221451115798</v>
      </c>
      <c r="Q82" s="83">
        <v>2918.5243615429699</v>
      </c>
      <c r="R82" s="83">
        <v>3068.0517825577799</v>
      </c>
      <c r="S82" s="83">
        <v>3252.8101628505201</v>
      </c>
      <c r="T82" s="83">
        <v>3301.2788413541298</v>
      </c>
      <c r="U82" s="83">
        <v>2980.7672530412301</v>
      </c>
      <c r="V82" s="83">
        <v>3099.8774665625101</v>
      </c>
      <c r="W82" s="83">
        <v>2987.8842899710899</v>
      </c>
      <c r="X82" s="83">
        <v>2496.4972821152401</v>
      </c>
      <c r="Y82" s="83">
        <v>2097.00149511577</v>
      </c>
      <c r="Z82" s="83">
        <v>1980.96249563673</v>
      </c>
      <c r="AA82" s="83">
        <v>1991.81069629437</v>
      </c>
      <c r="AB82" s="83">
        <v>2047.57691483693</v>
      </c>
      <c r="AC82" s="85">
        <v>2192.8587210207002</v>
      </c>
      <c r="AD82" s="85">
        <v>2565.03570874246</v>
      </c>
      <c r="AE82" s="85">
        <v>2241.1814641360102</v>
      </c>
      <c r="AF82" s="85">
        <v>2175.8803724389199</v>
      </c>
      <c r="AG82" s="85">
        <v>2239.87489439722</v>
      </c>
      <c r="AH82" s="84">
        <v>2351.31150317022</v>
      </c>
      <c r="AI82" s="85">
        <v>2305.5232501006999</v>
      </c>
      <c r="AJ82" s="85">
        <v>2466.5763835575899</v>
      </c>
      <c r="AK82" s="85">
        <v>2552.5868317375398</v>
      </c>
      <c r="AL82" s="82">
        <v>2272.10342133206</v>
      </c>
      <c r="AM82" s="82">
        <v>2302.7884549073301</v>
      </c>
      <c r="AN82" s="82">
        <v>2352.3542719001598</v>
      </c>
      <c r="AO82" s="82">
        <v>2415.7354640807998</v>
      </c>
      <c r="AP82" s="82">
        <v>2380.7124174800201</v>
      </c>
      <c r="AQ82" s="82">
        <v>2452.8481122283401</v>
      </c>
      <c r="AR82" s="82">
        <v>2452.7768573008202</v>
      </c>
      <c r="AS82" s="82">
        <v>2492.6940219357298</v>
      </c>
      <c r="AT82" s="82">
        <v>2381.4573078563899</v>
      </c>
      <c r="AU82" s="82">
        <v>2243.2397681237999</v>
      </c>
      <c r="AV82" s="82">
        <v>2360.2203740926702</v>
      </c>
      <c r="AW82" s="82">
        <v>2597.4648857531301</v>
      </c>
      <c r="AX82" s="82">
        <v>2951.0182842957101</v>
      </c>
      <c r="AY82" s="82">
        <v>3470.0693426943199</v>
      </c>
      <c r="AZ82" s="82">
        <v>4013.6250841319702</v>
      </c>
      <c r="BA82" s="82">
        <v>5793.5204260638702</v>
      </c>
      <c r="BB82" s="82">
        <v>8671.1436745959109</v>
      </c>
      <c r="BC82" s="82">
        <v>6792.8025036661702</v>
      </c>
      <c r="BD82" s="82">
        <v>8304.7906669775693</v>
      </c>
      <c r="BE82" s="82">
        <v>9527.5219400325495</v>
      </c>
      <c r="BF82" s="82">
        <v>8511.6528539495794</v>
      </c>
      <c r="BG82" s="82">
        <v>7327.51341613979</v>
      </c>
      <c r="BH82" s="82">
        <v>5786.3776120438497</v>
      </c>
      <c r="BI82" s="82">
        <v>4413.8142089843705</v>
      </c>
      <c r="BJ82" s="82">
        <v>4223.6907499999998</v>
      </c>
      <c r="BK82" s="82">
        <v>4293.5519249999998</v>
      </c>
      <c r="BL82" s="82">
        <v>4368.9784</v>
      </c>
      <c r="BM82" s="82">
        <v>4401.5803999999998</v>
      </c>
      <c r="BN82" s="82">
        <v>4401.2579500000002</v>
      </c>
      <c r="BO82" s="82">
        <v>4400.419175</v>
      </c>
      <c r="BP82" s="82">
        <v>4406.9354999999996</v>
      </c>
      <c r="BQ82" s="82"/>
      <c r="BR82" s="82"/>
      <c r="BS82" s="82"/>
      <c r="BT82" s="82"/>
    </row>
    <row r="83" spans="1:72" x14ac:dyDescent="0.65">
      <c r="A83" s="90" t="s">
        <v>35</v>
      </c>
      <c r="B83" s="112" t="s">
        <v>634</v>
      </c>
      <c r="C83" s="81" t="s">
        <v>691</v>
      </c>
      <c r="D83" s="82"/>
      <c r="E83" s="83">
        <v>339.75757575757598</v>
      </c>
      <c r="F83" s="83">
        <v>341</v>
      </c>
      <c r="G83" s="83">
        <v>352.332342036765</v>
      </c>
      <c r="H83" s="83">
        <v>362.570580174832</v>
      </c>
      <c r="I83" s="83">
        <v>319.05469281494101</v>
      </c>
      <c r="J83" s="83">
        <v>264.23267826940003</v>
      </c>
      <c r="K83" s="83">
        <v>244.89697631095399</v>
      </c>
      <c r="L83" s="83">
        <v>234.22068183821401</v>
      </c>
      <c r="M83" s="83">
        <v>247.90083424291899</v>
      </c>
      <c r="N83" s="83">
        <v>222.20800000151499</v>
      </c>
      <c r="O83" s="83">
        <v>233.708593520161</v>
      </c>
      <c r="P83" s="83">
        <v>247.61278454637599</v>
      </c>
      <c r="Q83" s="83">
        <v>291.176800012424</v>
      </c>
      <c r="R83" s="83">
        <v>320.14175661002798</v>
      </c>
      <c r="S83" s="83">
        <v>387.193237631633</v>
      </c>
      <c r="T83" s="83">
        <v>363.03491695349402</v>
      </c>
      <c r="U83" s="83">
        <v>290.26497354223602</v>
      </c>
      <c r="V83" s="83">
        <v>251.38539682135601</v>
      </c>
      <c r="W83" s="83">
        <v>284.671110183785</v>
      </c>
      <c r="X83" s="83">
        <v>323.39659258932102</v>
      </c>
      <c r="Y83" s="83">
        <v>369.23743575238399</v>
      </c>
      <c r="Z83" s="83">
        <v>371.59876715745003</v>
      </c>
      <c r="AA83" s="83">
        <v>365.19617392104902</v>
      </c>
      <c r="AB83" s="83">
        <v>342.77346673318903</v>
      </c>
      <c r="AC83" s="83">
        <v>334.74191447070501</v>
      </c>
      <c r="AD83" s="83">
        <v>297.516964625051</v>
      </c>
      <c r="AE83" s="83">
        <v>282.05219833589501</v>
      </c>
      <c r="AF83" s="83">
        <v>278.729506382605</v>
      </c>
      <c r="AG83" s="83">
        <v>272.99500361116202</v>
      </c>
      <c r="AH83" s="84">
        <v>262.04412912643602</v>
      </c>
      <c r="AI83" s="83">
        <v>258.744421895627</v>
      </c>
      <c r="AJ83" s="83">
        <v>279.32178180542002</v>
      </c>
      <c r="AK83" s="83">
        <v>269.30200106051302</v>
      </c>
      <c r="AL83" s="82">
        <v>244.44821903593001</v>
      </c>
      <c r="AM83" s="82">
        <v>249.52035886474599</v>
      </c>
      <c r="AN83" s="82">
        <v>252.46189448921501</v>
      </c>
      <c r="AO83" s="82">
        <v>256.75032712195298</v>
      </c>
      <c r="AP83" s="82">
        <v>237.31596227193299</v>
      </c>
      <c r="AQ83" s="82">
        <v>258.67005201818102</v>
      </c>
      <c r="AR83" s="82">
        <v>316.07731638905801</v>
      </c>
      <c r="AS83" s="82">
        <v>302.96194161921602</v>
      </c>
      <c r="AT83" s="82">
        <v>266.46615631399698</v>
      </c>
      <c r="AU83" s="82">
        <v>265.15767470201001</v>
      </c>
      <c r="AV83" s="82">
        <v>277.205908837518</v>
      </c>
      <c r="AW83" s="82">
        <v>269.39594688299002</v>
      </c>
      <c r="AX83" s="82">
        <v>263.34444286940698</v>
      </c>
      <c r="AY83" s="82">
        <v>302.48441563326401</v>
      </c>
      <c r="AZ83" s="82">
        <v>325.637885280158</v>
      </c>
      <c r="BA83" s="82">
        <v>340.33414381559697</v>
      </c>
      <c r="BB83" s="82">
        <v>308.76333731831301</v>
      </c>
      <c r="BC83" s="82">
        <v>323.61325458852798</v>
      </c>
      <c r="BD83" s="82">
        <v>339.381695501499</v>
      </c>
      <c r="BE83" s="82">
        <v>332.10264599707301</v>
      </c>
      <c r="BF83" s="82">
        <v>313.59473284155803</v>
      </c>
      <c r="BG83" s="82">
        <v>309.70066326660702</v>
      </c>
      <c r="BH83" s="82">
        <v>311.662109543913</v>
      </c>
      <c r="BI83" s="82">
        <v>309.80010986328102</v>
      </c>
      <c r="BJ83" s="82">
        <v>309.80010986328102</v>
      </c>
      <c r="BK83" s="82">
        <v>309.80010986328102</v>
      </c>
      <c r="BL83" s="82">
        <v>309.80010986328102</v>
      </c>
      <c r="BM83" s="82">
        <v>309.80010986328102</v>
      </c>
      <c r="BN83" s="82">
        <v>309.80010986328102</v>
      </c>
      <c r="BO83" s="82">
        <v>309.80010986328102</v>
      </c>
      <c r="BP83" s="82">
        <v>309.80010986328102</v>
      </c>
      <c r="BQ83" s="82"/>
      <c r="BR83" s="82"/>
      <c r="BS83" s="82"/>
      <c r="BT83" s="82"/>
    </row>
    <row r="84" spans="1:72" x14ac:dyDescent="0.65">
      <c r="A84" s="19" t="s">
        <v>209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6"/>
      <c r="AD84" s="6"/>
      <c r="AE84" s="6"/>
      <c r="AF84" s="6"/>
      <c r="AG84" s="6"/>
      <c r="AH84" s="17"/>
      <c r="AI84" s="6"/>
      <c r="AJ84" s="6"/>
      <c r="AK84" s="6"/>
    </row>
    <row r="85" spans="1:72" x14ac:dyDescent="0.65">
      <c r="A85" s="20" t="s">
        <v>210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6"/>
      <c r="AD85" s="6"/>
      <c r="AE85" s="6"/>
      <c r="AF85" s="6"/>
      <c r="AG85" s="6"/>
      <c r="AH85" s="17"/>
      <c r="AI85" s="6"/>
      <c r="AJ85" s="6"/>
      <c r="AK85" s="6"/>
    </row>
    <row r="86" spans="1:72" x14ac:dyDescent="0.65">
      <c r="A86" s="92" t="s">
        <v>211</v>
      </c>
      <c r="B86" s="112" t="s">
        <v>634</v>
      </c>
      <c r="C86" s="81" t="s">
        <v>692</v>
      </c>
      <c r="D86" s="82"/>
      <c r="E86" s="83">
        <v>215.540318251353</v>
      </c>
      <c r="F86" s="83">
        <v>234.18610559325799</v>
      </c>
      <c r="G86" s="83">
        <v>253.33796247634501</v>
      </c>
      <c r="H86" s="83">
        <v>251.26698291832199</v>
      </c>
      <c r="I86" s="83">
        <v>237.40202391078299</v>
      </c>
      <c r="J86" s="83">
        <v>226.23016905363201</v>
      </c>
      <c r="K86" s="83">
        <v>189.80831645804901</v>
      </c>
      <c r="L86" s="83">
        <v>149.889979037253</v>
      </c>
      <c r="M86" s="83">
        <v>147.51609680952001</v>
      </c>
      <c r="N86" s="83">
        <v>153.013406505717</v>
      </c>
      <c r="O86" s="83">
        <v>122.092693999755</v>
      </c>
      <c r="P86" s="83">
        <v>107.383658341477</v>
      </c>
      <c r="Q86" s="83">
        <v>106.709610535671</v>
      </c>
      <c r="R86" s="83">
        <v>104.223412151798</v>
      </c>
      <c r="S86" s="83">
        <v>97.850893311368793</v>
      </c>
      <c r="T86" s="83">
        <v>92.328068378010698</v>
      </c>
      <c r="U86" s="83">
        <v>87.231732430538898</v>
      </c>
      <c r="V86" s="83">
        <v>106.65978070069001</v>
      </c>
      <c r="W86" s="83">
        <v>100.489678312856</v>
      </c>
      <c r="X86" s="83">
        <v>96.856309821973596</v>
      </c>
      <c r="Y86" s="83">
        <v>102.178625741891</v>
      </c>
      <c r="Z86" s="83">
        <v>104.556778161583</v>
      </c>
      <c r="AA86" s="83">
        <v>104.444652149522</v>
      </c>
      <c r="AB86" s="83">
        <v>95.458460941937503</v>
      </c>
      <c r="AC86" s="85">
        <v>105.33726003611</v>
      </c>
      <c r="AD86" s="85">
        <v>110.95736662592699</v>
      </c>
      <c r="AE86" s="85">
        <v>97.771926264501801</v>
      </c>
      <c r="AF86" s="85">
        <v>103.372401045163</v>
      </c>
      <c r="AG86" s="85">
        <v>104.412419466654</v>
      </c>
      <c r="AH86" s="84">
        <v>110.793781112113</v>
      </c>
      <c r="AI86" s="85">
        <v>114.0419111953</v>
      </c>
      <c r="AJ86" s="85">
        <v>112.490731794726</v>
      </c>
      <c r="AK86" s="85">
        <v>109.188143044786</v>
      </c>
      <c r="AL86" s="82">
        <v>99.4343348504582</v>
      </c>
      <c r="AM86" s="82">
        <v>102.253697621839</v>
      </c>
      <c r="AN86" s="82">
        <v>107.628154220356</v>
      </c>
      <c r="AO86" s="82">
        <v>134.17504852783</v>
      </c>
      <c r="AP86" s="82">
        <v>179.15091772749</v>
      </c>
      <c r="AQ86" s="82">
        <v>175.173134501692</v>
      </c>
      <c r="AR86" s="82">
        <v>223.84227430002099</v>
      </c>
      <c r="AS86" s="82">
        <v>252.14419524677299</v>
      </c>
      <c r="AT86" s="82">
        <v>259.81834824102401</v>
      </c>
      <c r="AU86" s="82">
        <v>211.09544739237501</v>
      </c>
      <c r="AV86" s="82">
        <v>177.785090639446</v>
      </c>
      <c r="AW86" s="82">
        <v>182.49526347797399</v>
      </c>
      <c r="AX86" s="82">
        <v>180.55792635541701</v>
      </c>
      <c r="AY86" s="82">
        <v>160.19091935536599</v>
      </c>
      <c r="AZ86" s="82">
        <v>144.41365021927399</v>
      </c>
      <c r="BA86" s="82">
        <v>150.80410533059199</v>
      </c>
      <c r="BB86" s="82">
        <v>134.13900237047301</v>
      </c>
      <c r="BC86" s="82">
        <v>137.412113824573</v>
      </c>
      <c r="BD86" s="82">
        <v>122.233725716636</v>
      </c>
      <c r="BE86" s="82">
        <v>112.396736333695</v>
      </c>
      <c r="BF86" s="82">
        <v>116.225580753766</v>
      </c>
      <c r="BG86" s="82">
        <v>117.80142716789</v>
      </c>
      <c r="BH86" s="82">
        <v>115.025859201043</v>
      </c>
      <c r="BI86" s="82">
        <v>121.853839874267</v>
      </c>
      <c r="BJ86" s="82">
        <v>126.6418941</v>
      </c>
      <c r="BK86" s="82">
        <v>128.2707288</v>
      </c>
      <c r="BL86" s="82">
        <v>128.2707288</v>
      </c>
      <c r="BM86" s="82">
        <v>125.0130595</v>
      </c>
      <c r="BN86" s="82">
        <v>125.0130595</v>
      </c>
      <c r="BO86" s="82">
        <v>125.0130595</v>
      </c>
      <c r="BP86" s="82">
        <v>125.0130595</v>
      </c>
      <c r="BQ86" s="82"/>
      <c r="BR86" s="82"/>
      <c r="BS86" s="82"/>
      <c r="BT86" s="82"/>
    </row>
    <row r="87" spans="1:72" x14ac:dyDescent="0.65">
      <c r="A87" s="92" t="s">
        <v>212</v>
      </c>
      <c r="B87" s="112" t="s">
        <v>634</v>
      </c>
      <c r="C87" s="81" t="s">
        <v>693</v>
      </c>
      <c r="D87" s="82"/>
      <c r="E87" s="85">
        <v>277.71650630952303</v>
      </c>
      <c r="F87" s="83">
        <v>270.14437398242598</v>
      </c>
      <c r="G87" s="83">
        <v>328.646084510577</v>
      </c>
      <c r="H87" s="83">
        <v>317.24322945801998</v>
      </c>
      <c r="I87" s="83">
        <v>305.18325225862202</v>
      </c>
      <c r="J87" s="83">
        <v>290.74857821428498</v>
      </c>
      <c r="K87" s="83">
        <v>240.480736964285</v>
      </c>
      <c r="L87" s="83">
        <v>199.505295223177</v>
      </c>
      <c r="M87" s="83">
        <v>210.17364177706099</v>
      </c>
      <c r="N87" s="83">
        <v>214.01311156462501</v>
      </c>
      <c r="O87" s="83">
        <v>173.97032605158699</v>
      </c>
      <c r="P87" s="83">
        <v>173.59985681939401</v>
      </c>
      <c r="Q87" s="83">
        <v>174.28251954887199</v>
      </c>
      <c r="R87" s="83">
        <v>168.43860907312899</v>
      </c>
      <c r="S87" s="83">
        <v>169.47561782879799</v>
      </c>
      <c r="T87" s="83">
        <v>167.181799686716</v>
      </c>
      <c r="U87" s="83">
        <v>160.014084793233</v>
      </c>
      <c r="V87" s="83">
        <v>171.126753684807</v>
      </c>
      <c r="W87" s="83">
        <v>153.51678631482301</v>
      </c>
      <c r="X87" s="83">
        <v>152.22626147392199</v>
      </c>
      <c r="Y87" s="83">
        <v>160.65125404387999</v>
      </c>
      <c r="Z87" s="83">
        <v>157.704859617794</v>
      </c>
      <c r="AA87" s="83">
        <v>151.15664470238099</v>
      </c>
      <c r="AB87" s="83">
        <v>148.867323392857</v>
      </c>
      <c r="AC87" s="83">
        <v>163.818145014321</v>
      </c>
      <c r="AD87" s="83">
        <v>173.30677565192701</v>
      </c>
      <c r="AE87" s="83">
        <v>158.00717580000699</v>
      </c>
      <c r="AF87" s="83">
        <v>162.911217765412</v>
      </c>
      <c r="AG87" s="83">
        <v>167.607952309344</v>
      </c>
      <c r="AH87" s="84">
        <v>176.00048748582699</v>
      </c>
      <c r="AI87" s="83">
        <v>170.163141369047</v>
      </c>
      <c r="AJ87" s="83">
        <v>166.90619898237401</v>
      </c>
      <c r="AK87" s="83">
        <v>167.579293971536</v>
      </c>
      <c r="AL87" s="82">
        <v>146.347928103741</v>
      </c>
      <c r="AM87" s="82">
        <v>156.19438432539599</v>
      </c>
      <c r="AN87" s="82">
        <v>192.19194753699699</v>
      </c>
      <c r="AO87" s="82">
        <v>241.02295829247001</v>
      </c>
      <c r="AP87" s="82">
        <v>288.4812417517</v>
      </c>
      <c r="AQ87" s="82">
        <v>257.09403818027198</v>
      </c>
      <c r="AR87" s="82">
        <v>250.98111456349201</v>
      </c>
      <c r="AS87" s="82">
        <v>301.77381847362898</v>
      </c>
      <c r="AT87" s="82">
        <v>343.04451686035497</v>
      </c>
      <c r="AU87" s="82">
        <v>306.386320063097</v>
      </c>
      <c r="AV87" s="82">
        <v>322.23945709750501</v>
      </c>
      <c r="AW87" s="82">
        <v>295.34756558175297</v>
      </c>
      <c r="AX87" s="82">
        <v>275.42917030373502</v>
      </c>
      <c r="AY87" s="82">
        <v>222.26516745735901</v>
      </c>
      <c r="AZ87" s="82">
        <v>212.78026149044399</v>
      </c>
      <c r="BA87" s="82">
        <v>192.64429480725599</v>
      </c>
      <c r="BB87" s="82">
        <v>194.38682116071399</v>
      </c>
      <c r="BC87" s="82">
        <v>176.906759505639</v>
      </c>
      <c r="BD87" s="82">
        <v>197.908712359026</v>
      </c>
      <c r="BE87" s="82">
        <v>214.45538730531601</v>
      </c>
      <c r="BF87" s="82">
        <v>205.36553960600901</v>
      </c>
      <c r="BG87" s="82">
        <v>190.54107778344601</v>
      </c>
      <c r="BH87" s="82">
        <v>201.663537328431</v>
      </c>
      <c r="BI87" s="82">
        <v>206.69955444335901</v>
      </c>
      <c r="BJ87" s="82">
        <v>213.35418050000001</v>
      </c>
      <c r="BK87" s="82">
        <v>215.82244274999999</v>
      </c>
      <c r="BL87" s="82">
        <v>222.0231991</v>
      </c>
      <c r="BM87" s="82">
        <v>227.68214180000001</v>
      </c>
      <c r="BN87" s="82">
        <v>230.5718147</v>
      </c>
      <c r="BO87" s="82">
        <v>228.64536609999999</v>
      </c>
      <c r="BP87" s="82">
        <v>227.9229479</v>
      </c>
      <c r="BQ87" s="82"/>
      <c r="BR87" s="82"/>
      <c r="BS87" s="82"/>
      <c r="BT87" s="82"/>
    </row>
    <row r="88" spans="1:72" x14ac:dyDescent="0.65">
      <c r="A88" s="92" t="s">
        <v>213</v>
      </c>
      <c r="B88" s="112" t="s">
        <v>634</v>
      </c>
      <c r="C88" s="81" t="s">
        <v>694</v>
      </c>
      <c r="D88" s="82"/>
      <c r="E88" s="85">
        <v>3.1453257575757498</v>
      </c>
      <c r="F88" s="83">
        <v>3.2295762987012901</v>
      </c>
      <c r="G88" s="83">
        <v>3.7712919073044899</v>
      </c>
      <c r="H88" s="83">
        <v>3.7293800897170399</v>
      </c>
      <c r="I88" s="83">
        <v>3.7797596073517101</v>
      </c>
      <c r="J88" s="83">
        <v>3.8825151515151499</v>
      </c>
      <c r="K88" s="83">
        <v>3.56706818181818</v>
      </c>
      <c r="L88" s="83">
        <v>3.4632421497584498</v>
      </c>
      <c r="M88" s="83">
        <v>4.36455096073517</v>
      </c>
      <c r="N88" s="83">
        <v>3.77575396825396</v>
      </c>
      <c r="O88" s="83">
        <v>3.5653878066378</v>
      </c>
      <c r="P88" s="83">
        <v>3.2707327855211101</v>
      </c>
      <c r="Q88" s="83">
        <v>2.83721870015949</v>
      </c>
      <c r="R88" s="83">
        <v>2.4988937590187499</v>
      </c>
      <c r="S88" s="83">
        <v>2.3295310245310201</v>
      </c>
      <c r="T88" s="83">
        <v>2.3349128787878701</v>
      </c>
      <c r="U88" s="83">
        <v>1.92730781499202</v>
      </c>
      <c r="V88" s="83">
        <v>1.93775974025974</v>
      </c>
      <c r="W88" s="83">
        <v>1.8583503278122799</v>
      </c>
      <c r="X88" s="83">
        <v>2.1417857142857102</v>
      </c>
      <c r="Y88" s="83">
        <v>2.5051601830663599</v>
      </c>
      <c r="Z88" s="83">
        <v>2.40936004784689</v>
      </c>
      <c r="AA88" s="83">
        <v>2.6263786231883999</v>
      </c>
      <c r="AB88" s="83">
        <v>2.54084848484848</v>
      </c>
      <c r="AC88" s="85">
        <v>2.5629720133667502</v>
      </c>
      <c r="AD88" s="85">
        <v>2.36012626262626</v>
      </c>
      <c r="AE88" s="85">
        <v>2.4684584650030801</v>
      </c>
      <c r="AF88" s="85">
        <v>2.8550263112491301</v>
      </c>
      <c r="AG88" s="85">
        <v>2.7697347535505399</v>
      </c>
      <c r="AH88" s="84">
        <v>2.9461614357864301</v>
      </c>
      <c r="AI88" s="85">
        <v>2.7246742424242401</v>
      </c>
      <c r="AJ88" s="85">
        <v>3.0248460144927498</v>
      </c>
      <c r="AK88" s="85">
        <v>2.8777731259968098</v>
      </c>
      <c r="AL88" s="82">
        <v>3.08177525252525</v>
      </c>
      <c r="AM88" s="82">
        <v>2.8399963924963898</v>
      </c>
      <c r="AN88" s="82">
        <v>3.07426136363636</v>
      </c>
      <c r="AO88" s="82">
        <v>3.62766018306636</v>
      </c>
      <c r="AP88" s="82">
        <v>3.8077777777777699</v>
      </c>
      <c r="AQ88" s="82">
        <v>4.8315963203463204</v>
      </c>
      <c r="AR88" s="82">
        <v>7.0195725108225098</v>
      </c>
      <c r="AS88" s="82">
        <v>6.9524854118993096</v>
      </c>
      <c r="AT88" s="82">
        <v>6.8497546897546897</v>
      </c>
      <c r="AU88" s="82">
        <v>4.6033080023840904</v>
      </c>
      <c r="AV88" s="82">
        <v>3.77107142857143</v>
      </c>
      <c r="AW88" s="82">
        <v>3.6459372529644201</v>
      </c>
      <c r="AX88" s="82">
        <v>3.4560194334650798</v>
      </c>
      <c r="AY88" s="82">
        <v>4.3705089717046199</v>
      </c>
      <c r="AZ88" s="82">
        <v>3.7814213564213501</v>
      </c>
      <c r="BA88" s="82">
        <v>3.7075603864734301</v>
      </c>
      <c r="BB88" s="82">
        <v>3.5576161067193599</v>
      </c>
      <c r="BC88" s="82">
        <v>3.3638943785682902</v>
      </c>
      <c r="BD88" s="82">
        <v>3.61127650730911</v>
      </c>
      <c r="BE88" s="82">
        <v>3.5369452208419601</v>
      </c>
      <c r="BF88" s="82">
        <v>3.5805488728816699</v>
      </c>
      <c r="BG88" s="82">
        <v>3.3724523568110301</v>
      </c>
      <c r="BH88" s="82">
        <v>3.2365518878955801</v>
      </c>
      <c r="BI88" s="82">
        <v>3.1180349191029801</v>
      </c>
      <c r="BJ88" s="82">
        <v>3.1575000000000002</v>
      </c>
      <c r="BK88" s="82">
        <v>3.1912500000000001</v>
      </c>
      <c r="BL88" s="82">
        <v>3.32</v>
      </c>
      <c r="BM88" s="82">
        <v>3.355</v>
      </c>
      <c r="BN88" s="82">
        <v>3.415</v>
      </c>
      <c r="BO88" s="82">
        <v>3.2912499999999998</v>
      </c>
      <c r="BP88" s="82">
        <v>3.3725000000000001</v>
      </c>
      <c r="BQ88" s="82"/>
      <c r="BR88" s="82"/>
      <c r="BS88" s="82"/>
      <c r="BT88" s="82"/>
    </row>
    <row r="89" spans="1:72" x14ac:dyDescent="0.65">
      <c r="A89" s="92" t="s">
        <v>32</v>
      </c>
      <c r="B89" s="112" t="s">
        <v>634</v>
      </c>
      <c r="C89" s="81" t="s">
        <v>695</v>
      </c>
      <c r="D89" s="82"/>
      <c r="E89" s="83">
        <v>555.19348951701795</v>
      </c>
      <c r="F89" s="83">
        <v>601.51000690131104</v>
      </c>
      <c r="G89" s="83">
        <v>583.91106719367599</v>
      </c>
      <c r="H89" s="83">
        <v>580.33007089528803</v>
      </c>
      <c r="I89" s="83">
        <v>570.66059351276704</v>
      </c>
      <c r="J89" s="83">
        <v>550.68807641633703</v>
      </c>
      <c r="K89" s="83">
        <v>506.01119894598099</v>
      </c>
      <c r="L89" s="83">
        <v>449.87194930673201</v>
      </c>
      <c r="M89" s="83">
        <v>440.72877846790902</v>
      </c>
      <c r="N89" s="83">
        <v>409.399584076054</v>
      </c>
      <c r="O89" s="83">
        <v>434.96031746031701</v>
      </c>
      <c r="P89" s="83">
        <v>420.81159420289799</v>
      </c>
      <c r="Q89" s="83">
        <v>406.636363636363</v>
      </c>
      <c r="R89" s="83">
        <v>381.79437229437201</v>
      </c>
      <c r="S89" s="83">
        <v>374.027762092979</v>
      </c>
      <c r="T89" s="83">
        <v>357.72777464081798</v>
      </c>
      <c r="U89" s="83">
        <v>367.71497584540998</v>
      </c>
      <c r="V89" s="83">
        <v>401.84920634920599</v>
      </c>
      <c r="W89" s="83">
        <v>418.151828847481</v>
      </c>
      <c r="X89" s="83">
        <v>365.34343434343401</v>
      </c>
      <c r="Y89" s="83">
        <v>369.60935441370202</v>
      </c>
      <c r="Z89" s="83">
        <v>407.364953886693</v>
      </c>
      <c r="AA89" s="83">
        <v>412.91580400276001</v>
      </c>
      <c r="AB89" s="83">
        <v>406.40836940836903</v>
      </c>
      <c r="AC89" s="85">
        <v>416.64235836627103</v>
      </c>
      <c r="AD89" s="85">
        <v>426.24706694271902</v>
      </c>
      <c r="AE89" s="85">
        <v>381.70553359683799</v>
      </c>
      <c r="AF89" s="85">
        <v>387.73166447079501</v>
      </c>
      <c r="AG89" s="85">
        <v>385.81066252587999</v>
      </c>
      <c r="AH89" s="84">
        <v>394.654479578392</v>
      </c>
      <c r="AI89" s="85">
        <v>408.68897044983999</v>
      </c>
      <c r="AJ89" s="85">
        <v>396.900621118012</v>
      </c>
      <c r="AK89" s="85">
        <v>443.48451910408397</v>
      </c>
      <c r="AL89" s="82">
        <v>514.906926406926</v>
      </c>
      <c r="AM89" s="82">
        <v>480.271974402409</v>
      </c>
      <c r="AN89" s="82">
        <v>472.68953510257802</v>
      </c>
      <c r="AO89" s="82">
        <v>518.85800552104797</v>
      </c>
      <c r="AP89" s="82">
        <v>467.44227994227998</v>
      </c>
      <c r="AQ89" s="82">
        <v>396.21212121212102</v>
      </c>
      <c r="AR89" s="82">
        <v>385.33847794717298</v>
      </c>
      <c r="AS89" s="82">
        <v>408.81159420289799</v>
      </c>
      <c r="AT89" s="82">
        <v>425.07215007215001</v>
      </c>
      <c r="AU89" s="82">
        <v>416.79377627203701</v>
      </c>
      <c r="AV89" s="82">
        <v>425.54689754689701</v>
      </c>
      <c r="AW89" s="82">
        <v>473.05052700922198</v>
      </c>
      <c r="AX89" s="82">
        <v>487.83728590250303</v>
      </c>
      <c r="AY89" s="82">
        <v>575.69979296066197</v>
      </c>
      <c r="AZ89" s="82">
        <v>577.70057720057696</v>
      </c>
      <c r="BA89" s="82">
        <v>613.44168391994504</v>
      </c>
      <c r="BB89" s="82">
        <v>592.05270092226601</v>
      </c>
      <c r="BC89" s="82">
        <v>561.97048120961097</v>
      </c>
      <c r="BD89" s="82">
        <v>493.239695087521</v>
      </c>
      <c r="BE89" s="82">
        <v>433.42753623188401</v>
      </c>
      <c r="BF89" s="82">
        <v>395.35930735930702</v>
      </c>
      <c r="BG89" s="82">
        <v>355.97989208858701</v>
      </c>
      <c r="BH89" s="82">
        <v>351.768115942029</v>
      </c>
      <c r="BI89" s="82">
        <v>435.675211588541</v>
      </c>
      <c r="BJ89" s="82">
        <v>427.92761130000002</v>
      </c>
      <c r="BK89" s="82">
        <v>444.58569299999999</v>
      </c>
      <c r="BL89" s="82">
        <v>455.69108080000001</v>
      </c>
      <c r="BM89" s="82">
        <v>470.40571975</v>
      </c>
      <c r="BN89" s="82">
        <v>470.40571975</v>
      </c>
      <c r="BO89" s="82">
        <v>470.40571975</v>
      </c>
      <c r="BP89" s="82">
        <v>470.40571975</v>
      </c>
      <c r="BQ89" s="82"/>
      <c r="BR89" s="82"/>
      <c r="BS89" s="82"/>
      <c r="BT89" s="82"/>
    </row>
    <row r="90" spans="1:72" x14ac:dyDescent="0.65">
      <c r="A90" s="92" t="s">
        <v>214</v>
      </c>
      <c r="B90" s="112" t="s">
        <v>634</v>
      </c>
      <c r="C90" s="81" t="s">
        <v>696</v>
      </c>
      <c r="D90" s="82"/>
      <c r="E90" s="83">
        <v>12.158200000000001</v>
      </c>
      <c r="F90" s="83">
        <v>11.882</v>
      </c>
      <c r="G90" s="83">
        <v>13.935083333333299</v>
      </c>
      <c r="H90" s="83">
        <v>12.9434</v>
      </c>
      <c r="I90" s="83">
        <v>13.372199999999999</v>
      </c>
      <c r="J90" s="83">
        <v>14.372366666666601</v>
      </c>
      <c r="K90" s="83">
        <v>11.930166666666601</v>
      </c>
      <c r="L90" s="83">
        <v>8.7684666666666597</v>
      </c>
      <c r="M90" s="83">
        <v>8.8992333333333296</v>
      </c>
      <c r="N90" s="83">
        <v>9.6714666666666602</v>
      </c>
      <c r="O90" s="83">
        <v>8.2046333333333301</v>
      </c>
      <c r="P90" s="83">
        <v>8.4199666666666602</v>
      </c>
      <c r="Q90" s="83">
        <v>9.9873666666666594</v>
      </c>
      <c r="R90" s="83">
        <v>10.0192333333333</v>
      </c>
      <c r="S90" s="83">
        <v>8.7691333333333308</v>
      </c>
      <c r="T90" s="83">
        <v>7.8108333333333304</v>
      </c>
      <c r="U90" s="83">
        <v>7.4140666666666597</v>
      </c>
      <c r="V90" s="83">
        <v>7.3696000000000002</v>
      </c>
      <c r="W90" s="83">
        <v>6.80683333333333</v>
      </c>
      <c r="X90" s="83">
        <v>6.6755000000000004</v>
      </c>
      <c r="Y90" s="83">
        <v>7.0212333333333303</v>
      </c>
      <c r="Z90" s="83">
        <v>7.1699333333333302</v>
      </c>
      <c r="AA90" s="83">
        <v>7.4854333333333303</v>
      </c>
      <c r="AB90" s="83">
        <v>7.7601000000000004</v>
      </c>
      <c r="AC90" s="85">
        <v>8.2708999999999993</v>
      </c>
      <c r="AD90" s="85">
        <v>7.8493000000000004</v>
      </c>
      <c r="AE90" s="85">
        <v>7.2088926390000001</v>
      </c>
      <c r="AF90" s="85">
        <v>7.2644666666666602</v>
      </c>
      <c r="AG90" s="85">
        <v>7.6026333333333298</v>
      </c>
      <c r="AH90" s="84">
        <v>7.3888809523333299</v>
      </c>
      <c r="AI90" s="85">
        <v>6.9104610386666598</v>
      </c>
      <c r="AJ90" s="85">
        <v>7.4023743963333297</v>
      </c>
      <c r="AK90" s="85">
        <v>7.4802849926666601</v>
      </c>
      <c r="AL90" s="82">
        <v>7.7602579363333302</v>
      </c>
      <c r="AM90" s="82">
        <v>8.7940740210000001</v>
      </c>
      <c r="AN90" s="82">
        <v>12.6853796566666</v>
      </c>
      <c r="AO90" s="82">
        <v>15.46877364</v>
      </c>
      <c r="AP90" s="82">
        <v>16.856365326666602</v>
      </c>
      <c r="AQ90" s="82">
        <v>14.9186633233333</v>
      </c>
      <c r="AR90" s="82">
        <v>14.58202865</v>
      </c>
      <c r="AS90" s="82">
        <v>16.445835243333299</v>
      </c>
      <c r="AT90" s="82">
        <v>18.145429799999999</v>
      </c>
      <c r="AU90" s="82">
        <v>15.887514326666601</v>
      </c>
      <c r="AV90" s="82">
        <v>16.749627506666599</v>
      </c>
      <c r="AW90" s="82">
        <v>16.47046705</v>
      </c>
      <c r="AX90" s="82">
        <v>15.894344316666601</v>
      </c>
      <c r="AY90" s="82">
        <v>12.8670620833333</v>
      </c>
      <c r="AZ90" s="82">
        <v>12.5470940766666</v>
      </c>
      <c r="BA90" s="82">
        <v>11.503053006666599</v>
      </c>
      <c r="BB90" s="82">
        <v>11.273156159999999</v>
      </c>
      <c r="BC90" s="82">
        <v>9.7541948410000003</v>
      </c>
      <c r="BD90" s="82">
        <v>10.523528223666601</v>
      </c>
      <c r="BE90" s="82">
        <v>10.6491504303333</v>
      </c>
      <c r="BF90" s="82">
        <v>9.0727148999999994</v>
      </c>
      <c r="BG90" s="82">
        <v>7.734386819</v>
      </c>
      <c r="BH90" s="82">
        <v>8.7278696276666601</v>
      </c>
      <c r="BI90" s="82">
        <v>8.5226049423217702</v>
      </c>
      <c r="BJ90" s="82">
        <v>8.5226049423217702</v>
      </c>
      <c r="BK90" s="82">
        <v>8.5226049423217702</v>
      </c>
      <c r="BL90" s="82">
        <v>8.5226049423217702</v>
      </c>
      <c r="BM90" s="82">
        <v>8.5226049423217702</v>
      </c>
      <c r="BN90" s="82">
        <v>8.5226049423217702</v>
      </c>
      <c r="BO90" s="82">
        <v>8.5226049423217702</v>
      </c>
      <c r="BP90" s="82">
        <v>8.5226049423217702</v>
      </c>
      <c r="BQ90" s="82"/>
      <c r="BR90" s="82"/>
      <c r="BS90" s="82"/>
      <c r="BT90" s="82"/>
    </row>
    <row r="91" spans="1:72" x14ac:dyDescent="0.65">
      <c r="A91" s="92" t="s">
        <v>37</v>
      </c>
      <c r="B91" s="112" t="s">
        <v>634</v>
      </c>
      <c r="C91" s="81" t="s">
        <v>697</v>
      </c>
      <c r="D91" s="82"/>
      <c r="E91" s="83">
        <v>244.39214799999999</v>
      </c>
      <c r="F91" s="83">
        <v>232.97724810846501</v>
      </c>
      <c r="G91" s="83">
        <v>314.31590293487301</v>
      </c>
      <c r="H91" s="83">
        <v>313.63544241945402</v>
      </c>
      <c r="I91" s="83">
        <v>274.41025674779502</v>
      </c>
      <c r="J91" s="83">
        <v>269.02209583333303</v>
      </c>
      <c r="K91" s="83">
        <v>257.96614922222199</v>
      </c>
      <c r="L91" s="83">
        <v>261.34661957671898</v>
      </c>
      <c r="M91" s="83">
        <v>249.463711637426</v>
      </c>
      <c r="N91" s="83">
        <v>275.31504523809502</v>
      </c>
      <c r="O91" s="83">
        <v>226.29300251322701</v>
      </c>
      <c r="P91" s="83">
        <v>220.52389441176399</v>
      </c>
      <c r="Q91" s="83">
        <v>205.81830097953201</v>
      </c>
      <c r="R91" s="83">
        <v>196.32774702910001</v>
      </c>
      <c r="S91" s="83">
        <v>178.93476391534301</v>
      </c>
      <c r="T91" s="83">
        <v>162.38310528404301</v>
      </c>
      <c r="U91" s="83">
        <v>162.65196444444399</v>
      </c>
      <c r="V91" s="83">
        <v>159.214072169312</v>
      </c>
      <c r="W91" s="83">
        <v>128.28629006832301</v>
      </c>
      <c r="X91" s="83">
        <v>122.65154114717301</v>
      </c>
      <c r="Y91" s="83">
        <v>143.64622578629499</v>
      </c>
      <c r="Z91" s="83">
        <v>147.364665233918</v>
      </c>
      <c r="AA91" s="83">
        <v>150.665541357487</v>
      </c>
      <c r="AB91" s="83">
        <v>139.49791373280399</v>
      </c>
      <c r="AC91" s="85">
        <v>169.86532637426899</v>
      </c>
      <c r="AD91" s="85">
        <v>188.71981973544899</v>
      </c>
      <c r="AE91" s="85">
        <v>199.74751935176101</v>
      </c>
      <c r="AF91" s="85">
        <v>186.18327794671799</v>
      </c>
      <c r="AG91" s="85">
        <v>177.089432066276</v>
      </c>
      <c r="AH91" s="84">
        <v>164.003182298941</v>
      </c>
      <c r="AI91" s="85">
        <v>153.27008155555501</v>
      </c>
      <c r="AJ91" s="85">
        <v>158.66799836419699</v>
      </c>
      <c r="AK91" s="85">
        <v>173.78254392509001</v>
      </c>
      <c r="AL91" s="82">
        <v>174.80794114550201</v>
      </c>
      <c r="AM91" s="82">
        <v>182.96463748677201</v>
      </c>
      <c r="AN91" s="82">
        <v>210.497593116123</v>
      </c>
      <c r="AO91" s="82">
        <v>236.212729056699</v>
      </c>
      <c r="AP91" s="82">
        <v>252.38339179894101</v>
      </c>
      <c r="AQ91" s="82">
        <v>262.74584809523799</v>
      </c>
      <c r="AR91" s="82">
        <v>311.830691207619</v>
      </c>
      <c r="AS91" s="82">
        <v>353.74997034347803</v>
      </c>
      <c r="AT91" s="82">
        <v>415.94525800637501</v>
      </c>
      <c r="AU91" s="82">
        <v>330.438025832758</v>
      </c>
      <c r="AV91" s="82">
        <v>340.56586867663998</v>
      </c>
      <c r="AW91" s="82">
        <v>320.64622280563799</v>
      </c>
      <c r="AX91" s="82">
        <v>298.17585863482299</v>
      </c>
      <c r="AY91" s="82">
        <v>249.80739658189501</v>
      </c>
      <c r="AZ91" s="82">
        <v>220.699206920774</v>
      </c>
      <c r="BA91" s="82">
        <v>219.05253919214201</v>
      </c>
      <c r="BB91" s="82">
        <v>213.67950327166599</v>
      </c>
      <c r="BC91" s="82">
        <v>182.41377233580201</v>
      </c>
      <c r="BD91" s="82">
        <v>189.633694471929</v>
      </c>
      <c r="BE91" s="82">
        <v>186.77960874583599</v>
      </c>
      <c r="BF91" s="82">
        <v>181.617525856322</v>
      </c>
      <c r="BG91" s="82">
        <v>159.896567277869</v>
      </c>
      <c r="BH91" s="82">
        <v>164.074096624346</v>
      </c>
      <c r="BI91" s="82">
        <v>179.653923034668</v>
      </c>
      <c r="BJ91" s="82">
        <v>194.29258329999999</v>
      </c>
      <c r="BK91" s="82">
        <v>201.66017214999999</v>
      </c>
      <c r="BL91" s="82">
        <v>211.58656429999999</v>
      </c>
      <c r="BM91" s="82">
        <v>217.32181320000001</v>
      </c>
      <c r="BN91" s="82">
        <v>220.14532030000001</v>
      </c>
      <c r="BO91" s="82">
        <v>220.18943755000001</v>
      </c>
      <c r="BP91" s="82">
        <v>225.79233450000001</v>
      </c>
      <c r="BQ91" s="82"/>
      <c r="BR91" s="82"/>
      <c r="BS91" s="82"/>
      <c r="BT91" s="82"/>
    </row>
    <row r="92" spans="1:72" x14ac:dyDescent="0.65">
      <c r="A92" s="20" t="s">
        <v>186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6"/>
      <c r="AD92" s="6"/>
      <c r="AE92" s="6"/>
      <c r="AF92" s="6"/>
      <c r="AG92" s="6"/>
      <c r="AH92" s="17"/>
      <c r="AI92" s="6"/>
      <c r="AJ92" s="6"/>
      <c r="AK92" s="6"/>
    </row>
    <row r="93" spans="1:72" x14ac:dyDescent="0.65">
      <c r="A93" s="92" t="s">
        <v>26</v>
      </c>
      <c r="B93" s="112" t="s">
        <v>634</v>
      </c>
      <c r="C93" s="81" t="s">
        <v>698</v>
      </c>
      <c r="D93" s="82"/>
      <c r="E93" s="83">
        <v>193.13023088022999</v>
      </c>
      <c r="F93" s="83">
        <v>187.66494133885399</v>
      </c>
      <c r="G93" s="83">
        <v>181.248023715415</v>
      </c>
      <c r="H93" s="83">
        <v>189.72841771754801</v>
      </c>
      <c r="I93" s="83">
        <v>193.817339544513</v>
      </c>
      <c r="J93" s="83">
        <v>181.83959156785201</v>
      </c>
      <c r="K93" s="83">
        <v>176.14775910364099</v>
      </c>
      <c r="L93" s="83">
        <v>182.443095551791</v>
      </c>
      <c r="M93" s="83">
        <v>191.82280883367801</v>
      </c>
      <c r="N93" s="83">
        <v>195.51948051948</v>
      </c>
      <c r="O93" s="83">
        <v>252.88419913419901</v>
      </c>
      <c r="P93" s="83">
        <v>256.007246376811</v>
      </c>
      <c r="Q93" s="83">
        <v>216.564393939393</v>
      </c>
      <c r="R93" s="83">
        <v>202.89718614718601</v>
      </c>
      <c r="S93" s="83">
        <v>206.274044795783</v>
      </c>
      <c r="T93" s="83">
        <v>176.24185958968499</v>
      </c>
      <c r="U93" s="83">
        <v>168.85886818495501</v>
      </c>
      <c r="V93" s="83">
        <v>179.271284271284</v>
      </c>
      <c r="W93" s="83">
        <v>185.41105150887699</v>
      </c>
      <c r="X93" s="83">
        <v>179.29184704184701</v>
      </c>
      <c r="Y93" s="83">
        <v>183.84888010540101</v>
      </c>
      <c r="Z93" s="83">
        <v>199.81571146245</v>
      </c>
      <c r="AA93" s="83">
        <v>194.395445134575</v>
      </c>
      <c r="AB93" s="83">
        <v>187.98232323232301</v>
      </c>
      <c r="AC93" s="85">
        <v>192.25918972331999</v>
      </c>
      <c r="AD93" s="85">
        <v>188.119047619047</v>
      </c>
      <c r="AE93" s="85">
        <v>179.65563241106699</v>
      </c>
      <c r="AF93" s="85">
        <v>174.19425622686401</v>
      </c>
      <c r="AG93" s="85">
        <v>189.637888198757</v>
      </c>
      <c r="AH93" s="84">
        <v>203.74884716732501</v>
      </c>
      <c r="AI93" s="85">
        <v>204.832831419787</v>
      </c>
      <c r="AJ93" s="85">
        <v>240.56862099253399</v>
      </c>
      <c r="AK93" s="85">
        <v>203.92045454545399</v>
      </c>
      <c r="AL93" s="82">
        <v>208.68795093795001</v>
      </c>
      <c r="AM93" s="82">
        <v>199.15339732730999</v>
      </c>
      <c r="AN93" s="82">
        <v>189.97995482778001</v>
      </c>
      <c r="AO93" s="82">
        <v>202.33428226363</v>
      </c>
      <c r="AP93" s="82">
        <v>237.24927849927801</v>
      </c>
      <c r="AQ93" s="82">
        <v>247.35606060606</v>
      </c>
      <c r="AR93" s="82">
        <v>256.89168078298502</v>
      </c>
      <c r="AS93" s="82">
        <v>269.23438578329802</v>
      </c>
      <c r="AT93" s="82">
        <v>267.77741702741702</v>
      </c>
      <c r="AU93" s="82">
        <v>252.09999058912101</v>
      </c>
      <c r="AV93" s="82">
        <v>227.712481962482</v>
      </c>
      <c r="AW93" s="82">
        <v>222.12608695652099</v>
      </c>
      <c r="AX93" s="82">
        <v>239.405961791831</v>
      </c>
      <c r="AY93" s="82">
        <v>217.242926155969</v>
      </c>
      <c r="AZ93" s="82">
        <v>222.33225108225099</v>
      </c>
      <c r="BA93" s="82">
        <v>234.884403036577</v>
      </c>
      <c r="BB93" s="82">
        <v>267.73830698287202</v>
      </c>
      <c r="BC93" s="82">
        <v>271.77291549030599</v>
      </c>
      <c r="BD93" s="82">
        <v>272.65615785181001</v>
      </c>
      <c r="BE93" s="82">
        <v>286.60084541062798</v>
      </c>
      <c r="BF93" s="82">
        <v>295.01911976911902</v>
      </c>
      <c r="BG93" s="82">
        <v>308.09081498211901</v>
      </c>
      <c r="BH93" s="82">
        <v>326.05072463768101</v>
      </c>
      <c r="BI93" s="82">
        <v>284.07020060221299</v>
      </c>
      <c r="BJ93" s="82">
        <v>334.30429155000002</v>
      </c>
      <c r="BK93" s="82">
        <v>329.37333899999999</v>
      </c>
      <c r="BL93" s="82">
        <v>329.42693630000002</v>
      </c>
      <c r="BM93" s="82">
        <v>329.33760749999999</v>
      </c>
      <c r="BN93" s="82">
        <v>322.70940675000003</v>
      </c>
      <c r="BO93" s="82">
        <v>313.437072</v>
      </c>
      <c r="BP93" s="82">
        <v>313.437072</v>
      </c>
      <c r="BQ93" s="82"/>
      <c r="BR93" s="82"/>
      <c r="BS93" s="82"/>
      <c r="BT93" s="82"/>
    </row>
    <row r="94" spans="1:72" x14ac:dyDescent="0.65">
      <c r="A94" s="92" t="s">
        <v>215</v>
      </c>
      <c r="B94" s="112" t="s">
        <v>634</v>
      </c>
      <c r="C94" s="81" t="s">
        <v>699</v>
      </c>
      <c r="D94" s="82"/>
      <c r="E94" s="83">
        <v>124.380739699194</v>
      </c>
      <c r="F94" s="83">
        <v>100.168447274681</v>
      </c>
      <c r="G94" s="83">
        <v>89.617673449208397</v>
      </c>
      <c r="H94" s="83">
        <v>91.086323023036798</v>
      </c>
      <c r="I94" s="83">
        <v>95.3836133360616</v>
      </c>
      <c r="J94" s="83">
        <v>101.15576947128</v>
      </c>
      <c r="K94" s="83">
        <v>107.41050109394099</v>
      </c>
      <c r="L94" s="83">
        <v>119.43111064342899</v>
      </c>
      <c r="M94" s="83">
        <v>130.15492327251101</v>
      </c>
      <c r="N94" s="83">
        <v>144.37738279312299</v>
      </c>
      <c r="O94" s="83">
        <v>140.47369700203899</v>
      </c>
      <c r="P94" s="83">
        <v>130.59798680181001</v>
      </c>
      <c r="Q94" s="83">
        <v>117.69380812211401</v>
      </c>
      <c r="R94" s="83">
        <v>109.094298578788</v>
      </c>
      <c r="S94" s="83">
        <v>99.504918226551595</v>
      </c>
      <c r="T94" s="83">
        <v>91.655533308396201</v>
      </c>
      <c r="U94" s="83">
        <v>86.667665643474805</v>
      </c>
      <c r="V94" s="83">
        <v>91.456574647801602</v>
      </c>
      <c r="W94" s="83">
        <v>92.219346786758393</v>
      </c>
      <c r="X94" s="83">
        <v>95.050062039197698</v>
      </c>
      <c r="Y94" s="83">
        <v>97.9030706699658</v>
      </c>
      <c r="Z94" s="83">
        <v>111.95060752094599</v>
      </c>
      <c r="AA94" s="83">
        <v>107.57042860474699</v>
      </c>
      <c r="AB94" s="83">
        <v>116.671955972866</v>
      </c>
      <c r="AC94" s="83">
        <v>123.552742742204</v>
      </c>
      <c r="AD94" s="83">
        <v>121.214761685304</v>
      </c>
      <c r="AE94" s="83">
        <v>110.914836310586</v>
      </c>
      <c r="AF94" s="83">
        <v>107.12621106119499</v>
      </c>
      <c r="AG94" s="83">
        <v>106.896980648685</v>
      </c>
      <c r="AH94" s="84">
        <v>111.70999950413901</v>
      </c>
      <c r="AI94" s="83">
        <v>114.90634758363601</v>
      </c>
      <c r="AJ94" s="83">
        <v>129.85541907157901</v>
      </c>
      <c r="AK94" s="83">
        <v>127.06440856491299</v>
      </c>
      <c r="AL94" s="82">
        <v>111.062686815578</v>
      </c>
      <c r="AM94" s="82">
        <v>112.699925574942</v>
      </c>
      <c r="AN94" s="82">
        <v>113.829965436463</v>
      </c>
      <c r="AO94" s="82">
        <v>128.27171909076901</v>
      </c>
      <c r="AP94" s="82">
        <v>146.87597327074101</v>
      </c>
      <c r="AQ94" s="82">
        <v>150.73263203014</v>
      </c>
      <c r="AR94" s="82">
        <v>160.37972633643699</v>
      </c>
      <c r="AS94" s="82">
        <v>166.83974440727999</v>
      </c>
      <c r="AT94" s="82">
        <v>149.60329017804301</v>
      </c>
      <c r="AU94" s="82">
        <v>131.53800481313601</v>
      </c>
      <c r="AV94" s="82">
        <v>106.125134147434</v>
      </c>
      <c r="AW94" s="82">
        <v>97.259366686070805</v>
      </c>
      <c r="AX94" s="82">
        <v>107.930603198226</v>
      </c>
      <c r="AY94" s="82">
        <v>86.939820120464603</v>
      </c>
      <c r="AZ94" s="82">
        <v>88.597653101360905</v>
      </c>
      <c r="BA94" s="82">
        <v>96.295875112297907</v>
      </c>
      <c r="BB94" s="82">
        <v>104.61441170965099</v>
      </c>
      <c r="BC94" s="82">
        <v>123.889096614579</v>
      </c>
      <c r="BD94" s="82">
        <v>128.19217048567</v>
      </c>
      <c r="BE94" s="82">
        <v>133.56018774323499</v>
      </c>
      <c r="BF94" s="82">
        <v>158.84928783950599</v>
      </c>
      <c r="BG94" s="82">
        <v>163.34784824374401</v>
      </c>
      <c r="BH94" s="82">
        <v>161.49275865416601</v>
      </c>
      <c r="BI94" s="82">
        <v>168.55284118652301</v>
      </c>
      <c r="BJ94" s="82">
        <v>168.55284118652301</v>
      </c>
      <c r="BK94" s="82">
        <v>168.55284118652301</v>
      </c>
      <c r="BL94" s="82">
        <v>168.55284118652301</v>
      </c>
      <c r="BM94" s="82">
        <v>168.55284118652301</v>
      </c>
      <c r="BN94" s="82">
        <v>168.55284118652301</v>
      </c>
      <c r="BO94" s="82">
        <v>168.55284118652301</v>
      </c>
      <c r="BP94" s="82">
        <v>168.55284118652301</v>
      </c>
      <c r="BQ94" s="82"/>
      <c r="BR94" s="82"/>
      <c r="BS94" s="82"/>
      <c r="BT94" s="82"/>
    </row>
    <row r="95" spans="1:72" x14ac:dyDescent="0.65">
      <c r="A95" s="92" t="s">
        <v>216</v>
      </c>
      <c r="B95" s="112" t="s">
        <v>634</v>
      </c>
      <c r="C95" s="81" t="s">
        <v>700</v>
      </c>
      <c r="D95" s="82"/>
      <c r="E95" s="83">
        <v>91.444924457764699</v>
      </c>
      <c r="F95" s="83">
        <v>93.944674116072704</v>
      </c>
      <c r="G95" s="83">
        <v>95.129720783359303</v>
      </c>
      <c r="H95" s="83">
        <v>96.713453492089698</v>
      </c>
      <c r="I95" s="83">
        <v>100.25704382244101</v>
      </c>
      <c r="J95" s="83">
        <v>104.107377068641</v>
      </c>
      <c r="K95" s="83">
        <v>106.36927749602199</v>
      </c>
      <c r="L95" s="83">
        <v>104.730820570042</v>
      </c>
      <c r="M95" s="83">
        <v>104.709684615467</v>
      </c>
      <c r="N95" s="83">
        <v>108.883117334495</v>
      </c>
      <c r="O95" s="83">
        <v>112.94713062482801</v>
      </c>
      <c r="P95" s="83">
        <v>113.866847826087</v>
      </c>
      <c r="Q95" s="83">
        <v>114.04482228828201</v>
      </c>
      <c r="R95" s="83">
        <v>115.648508118688</v>
      </c>
      <c r="S95" s="83">
        <v>115.45416604737299</v>
      </c>
      <c r="T95" s="83">
        <v>113.57254016592999</v>
      </c>
      <c r="U95" s="83">
        <v>112.070796942859</v>
      </c>
      <c r="V95" s="83">
        <v>111.800144300144</v>
      </c>
      <c r="W95" s="83">
        <v>110.95216106987</v>
      </c>
      <c r="X95" s="83">
        <v>110.898921300494</v>
      </c>
      <c r="Y95" s="83">
        <v>117.995545415162</v>
      </c>
      <c r="Z95" s="83">
        <v>140.93880285230301</v>
      </c>
      <c r="AA95" s="83">
        <v>127.71919208366</v>
      </c>
      <c r="AB95" s="83">
        <v>115.789778419043</v>
      </c>
      <c r="AC95" s="83">
        <v>128.287217666163</v>
      </c>
      <c r="AD95" s="83">
        <v>154.899247984955</v>
      </c>
      <c r="AE95" s="83">
        <v>125.090457386021</v>
      </c>
      <c r="AF95" s="83">
        <v>116.939072403422</v>
      </c>
      <c r="AG95" s="83">
        <v>126.428078731855</v>
      </c>
      <c r="AH95" s="84">
        <v>131.482974500995</v>
      </c>
      <c r="AI95" s="83">
        <v>110.636160063066</v>
      </c>
      <c r="AJ95" s="83">
        <v>108.61935540904101</v>
      </c>
      <c r="AK95" s="83">
        <v>112.848310752034</v>
      </c>
      <c r="AL95" s="82">
        <v>90.365978362068304</v>
      </c>
      <c r="AM95" s="82">
        <v>89.516062229548297</v>
      </c>
      <c r="AN95" s="82">
        <v>101.884018642464</v>
      </c>
      <c r="AO95" s="82">
        <v>112.281924443215</v>
      </c>
      <c r="AP95" s="82">
        <v>140.089228829608</v>
      </c>
      <c r="AQ95" s="82">
        <v>141.68289531360901</v>
      </c>
      <c r="AR95" s="82">
        <v>150.05732716855201</v>
      </c>
      <c r="AS95" s="82">
        <v>181.06720214748901</v>
      </c>
      <c r="AT95" s="82">
        <v>224.932505785128</v>
      </c>
      <c r="AU95" s="82">
        <v>180.33451068594999</v>
      </c>
      <c r="AV95" s="82">
        <v>167.83175774776501</v>
      </c>
      <c r="AW95" s="82">
        <v>166.53103095194101</v>
      </c>
      <c r="AX95" s="82">
        <v>178.607093690412</v>
      </c>
      <c r="AY95" s="82">
        <v>152.53329259268199</v>
      </c>
      <c r="AZ95" s="82">
        <v>160.67352452353799</v>
      </c>
      <c r="BA95" s="82">
        <v>168.06689633197601</v>
      </c>
      <c r="BB95" s="82">
        <v>171.06690038815799</v>
      </c>
      <c r="BC95" s="82">
        <v>170.427450518348</v>
      </c>
      <c r="BD95" s="82">
        <v>173.65794821399999</v>
      </c>
      <c r="BE95" s="82">
        <v>174.05217750993299</v>
      </c>
      <c r="BF95" s="82">
        <v>176.57686621682601</v>
      </c>
      <c r="BG95" s="82">
        <v>173.35019597473399</v>
      </c>
      <c r="BH95" s="82">
        <v>162.954460144043</v>
      </c>
      <c r="BI95" s="82">
        <v>168.220779418945</v>
      </c>
      <c r="BJ95" s="82">
        <v>168.220779418945</v>
      </c>
      <c r="BK95" s="82">
        <v>168.220779418945</v>
      </c>
      <c r="BL95" s="82">
        <v>168.220779418945</v>
      </c>
      <c r="BM95" s="82">
        <v>168.220779418945</v>
      </c>
      <c r="BN95" s="82">
        <v>168.220779418945</v>
      </c>
      <c r="BO95" s="82">
        <v>168.220779418945</v>
      </c>
      <c r="BP95" s="82">
        <v>168.220779418945</v>
      </c>
      <c r="BQ95" s="82"/>
      <c r="BR95" s="82"/>
      <c r="BS95" s="82"/>
      <c r="BT95" s="82"/>
    </row>
    <row r="96" spans="1:72" x14ac:dyDescent="0.65">
      <c r="A96" s="92" t="s">
        <v>217</v>
      </c>
      <c r="B96" s="112" t="s">
        <v>634</v>
      </c>
      <c r="C96" s="81" t="s">
        <v>701</v>
      </c>
      <c r="D96" s="82"/>
      <c r="E96" s="83">
        <v>85.073642857142801</v>
      </c>
      <c r="F96" s="83">
        <v>83.625590909090903</v>
      </c>
      <c r="G96" s="83">
        <v>83.205705568268499</v>
      </c>
      <c r="H96" s="83">
        <v>79.210594602448097</v>
      </c>
      <c r="I96" s="83">
        <v>79.740835421887994</v>
      </c>
      <c r="J96" s="83">
        <v>88.404242424242398</v>
      </c>
      <c r="K96" s="83">
        <v>95.432049441786305</v>
      </c>
      <c r="L96" s="83">
        <v>82.608292701450594</v>
      </c>
      <c r="M96" s="83">
        <v>92.805868686868607</v>
      </c>
      <c r="N96" s="83">
        <v>115.359292929292</v>
      </c>
      <c r="O96" s="83">
        <v>112.799083694083</v>
      </c>
      <c r="P96" s="83">
        <v>90.2913397129186</v>
      </c>
      <c r="Q96" s="83">
        <v>65.512859307359307</v>
      </c>
      <c r="R96" s="83">
        <v>71.884393939393902</v>
      </c>
      <c r="S96" s="83">
        <v>73.780959282263595</v>
      </c>
      <c r="T96" s="83">
        <v>60.459363636363598</v>
      </c>
      <c r="U96" s="83">
        <v>60.296232919254599</v>
      </c>
      <c r="V96" s="83">
        <v>72.618686868686794</v>
      </c>
      <c r="W96" s="83">
        <v>66.627449620427797</v>
      </c>
      <c r="X96" s="83">
        <v>50.095873015873003</v>
      </c>
      <c r="Y96" s="83">
        <v>67.178546772068501</v>
      </c>
      <c r="Z96" s="83">
        <v>69.972666666666598</v>
      </c>
      <c r="AA96" s="83">
        <v>75.194760869565201</v>
      </c>
      <c r="AB96" s="83">
        <v>60.840243145743102</v>
      </c>
      <c r="AC96" s="85">
        <v>66.396424242424203</v>
      </c>
      <c r="AD96" s="85">
        <v>64.929191919191894</v>
      </c>
      <c r="AE96" s="85">
        <v>59.504189822382003</v>
      </c>
      <c r="AF96" s="85">
        <v>57.851111474337998</v>
      </c>
      <c r="AG96" s="85">
        <v>54.854227272727201</v>
      </c>
      <c r="AH96" s="84">
        <v>78.351106060606</v>
      </c>
      <c r="AI96" s="85">
        <v>67.831000000000003</v>
      </c>
      <c r="AJ96" s="85">
        <v>58.330690312738298</v>
      </c>
      <c r="AK96" s="85">
        <v>57.439409090909102</v>
      </c>
      <c r="AL96" s="82">
        <v>52.662833333333303</v>
      </c>
      <c r="AM96" s="82">
        <v>54.730995670995597</v>
      </c>
      <c r="AN96" s="82">
        <v>68.666606060606</v>
      </c>
      <c r="AO96" s="82">
        <v>75.247</v>
      </c>
      <c r="AP96" s="82">
        <v>109.310627705627</v>
      </c>
      <c r="AQ96" s="82">
        <v>102.962922077922</v>
      </c>
      <c r="AR96" s="82">
        <v>76.1655555555555</v>
      </c>
      <c r="AS96" s="82">
        <v>88.489910282953701</v>
      </c>
      <c r="AT96" s="82">
        <v>102.167965367965</v>
      </c>
      <c r="AU96" s="82">
        <v>108.411442719116</v>
      </c>
      <c r="AV96" s="82">
        <v>85.781746031745996</v>
      </c>
      <c r="AW96" s="82">
        <v>74.131664941338798</v>
      </c>
      <c r="AX96" s="82">
        <v>76.676075757575703</v>
      </c>
      <c r="AY96" s="82">
        <v>93.710920289854997</v>
      </c>
      <c r="AZ96" s="82">
        <v>72.431191197691206</v>
      </c>
      <c r="BA96" s="82">
        <v>74.308773448773394</v>
      </c>
      <c r="BB96" s="82">
        <v>88.533811688311701</v>
      </c>
      <c r="BC96" s="82">
        <v>86.198901154401099</v>
      </c>
      <c r="BD96" s="82">
        <v>83.884181159420294</v>
      </c>
      <c r="BE96" s="82">
        <v>84.564134578871403</v>
      </c>
      <c r="BF96" s="82">
        <v>90.984431421760405</v>
      </c>
      <c r="BG96" s="82">
        <v>104.11865891067799</v>
      </c>
      <c r="BH96" s="82">
        <v>86.136921167083301</v>
      </c>
      <c r="BI96" s="82">
        <v>80.327133178710895</v>
      </c>
      <c r="BJ96" s="82">
        <v>100.06012376</v>
      </c>
      <c r="BK96" s="82">
        <v>106.99833479999999</v>
      </c>
      <c r="BL96" s="82">
        <v>84.080480899999998</v>
      </c>
      <c r="BM96" s="82">
        <v>81.203661679999996</v>
      </c>
      <c r="BN96" s="82">
        <v>88.859062953333293</v>
      </c>
      <c r="BO96" s="82">
        <v>88.859062953333293</v>
      </c>
      <c r="BP96" s="82">
        <v>88.859062953333293</v>
      </c>
      <c r="BQ96" s="82"/>
      <c r="BR96" s="82"/>
      <c r="BS96" s="82"/>
      <c r="BT96" s="82"/>
    </row>
    <row r="97" spans="1:72" x14ac:dyDescent="0.65">
      <c r="A97" s="20" t="s">
        <v>190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17"/>
      <c r="AI97" s="5"/>
      <c r="AJ97" s="5"/>
      <c r="AK97" s="5"/>
    </row>
    <row r="98" spans="1:72" x14ac:dyDescent="0.65">
      <c r="A98" s="92" t="s">
        <v>218</v>
      </c>
      <c r="B98" s="112" t="s">
        <v>634</v>
      </c>
      <c r="C98" s="81" t="s">
        <v>702</v>
      </c>
      <c r="D98" s="82"/>
      <c r="E98" s="83">
        <v>7.9804639999999996</v>
      </c>
      <c r="F98" s="83">
        <v>7.5840873333333301</v>
      </c>
      <c r="G98" s="83">
        <v>7.16763833333333</v>
      </c>
      <c r="H98" s="83">
        <v>7.2382738333333299</v>
      </c>
      <c r="I98" s="83">
        <v>7.5018426666666604</v>
      </c>
      <c r="J98" s="83">
        <v>8.0326096666666604</v>
      </c>
      <c r="K98" s="83">
        <v>8.4410448333333292</v>
      </c>
      <c r="L98" s="83">
        <v>10.038729833333299</v>
      </c>
      <c r="M98" s="83">
        <v>10.536292833333301</v>
      </c>
      <c r="N98" s="83">
        <v>10.620073</v>
      </c>
      <c r="O98" s="83">
        <v>9.6311859999999996</v>
      </c>
      <c r="P98" s="83">
        <v>9.7771851666666603</v>
      </c>
      <c r="Q98" s="83">
        <v>9.0437988333333301</v>
      </c>
      <c r="R98" s="83">
        <v>8.5300393333333293</v>
      </c>
      <c r="S98" s="83">
        <v>7.81857283333333</v>
      </c>
      <c r="T98" s="83">
        <v>8.3648533333333308</v>
      </c>
      <c r="U98" s="83">
        <v>8.1504876666666597</v>
      </c>
      <c r="V98" s="83">
        <v>8.6391816666666603</v>
      </c>
      <c r="W98" s="83">
        <v>8.4635064999999994</v>
      </c>
      <c r="X98" s="83">
        <v>8.9482684999999993</v>
      </c>
      <c r="Y98" s="83">
        <v>8.6688128333333303</v>
      </c>
      <c r="Z98" s="83">
        <v>8.9181048333333308</v>
      </c>
      <c r="AA98" s="83">
        <v>9.3041440000000009</v>
      </c>
      <c r="AB98" s="83">
        <v>9.141216</v>
      </c>
      <c r="AC98" s="85">
        <v>8.8951493333333307</v>
      </c>
      <c r="AD98" s="85">
        <v>8.4557958333333296</v>
      </c>
      <c r="AE98" s="85">
        <v>8.3537056666666594</v>
      </c>
      <c r="AF98" s="85">
        <v>8.1850699999999996</v>
      </c>
      <c r="AG98" s="85">
        <v>7.9891059999999996</v>
      </c>
      <c r="AH98" s="84">
        <v>7.6936056666666603</v>
      </c>
      <c r="AI98" s="85">
        <v>7.7349364999999999</v>
      </c>
      <c r="AJ98" s="85">
        <v>7.9052041666666604</v>
      </c>
      <c r="AK98" s="85">
        <v>7.6900744999999997</v>
      </c>
      <c r="AL98" s="82">
        <v>7.4834674999999997</v>
      </c>
      <c r="AM98" s="82">
        <v>6.9172469999999997</v>
      </c>
      <c r="AN98" s="82">
        <v>7.230508876</v>
      </c>
      <c r="AO98" s="82">
        <v>7.1971011000000003</v>
      </c>
      <c r="AP98" s="82">
        <v>7.2998598423333299</v>
      </c>
      <c r="AQ98" s="82">
        <v>8.0472060693333294</v>
      </c>
      <c r="AR98" s="82">
        <v>8.4039120940000007</v>
      </c>
      <c r="AS98" s="82">
        <v>8.2865142513333296</v>
      </c>
      <c r="AT98" s="82">
        <v>7.8210746476666602</v>
      </c>
      <c r="AU98" s="82">
        <v>8.0994884060000008</v>
      </c>
      <c r="AV98" s="82">
        <v>8.0093983223333307</v>
      </c>
      <c r="AW98" s="82">
        <v>7.03219778633333</v>
      </c>
      <c r="AX98" s="82">
        <v>7.0111260286666601</v>
      </c>
      <c r="AY98" s="82">
        <v>6.8543664183333304</v>
      </c>
      <c r="AZ98" s="82">
        <v>6.9385845876666599</v>
      </c>
      <c r="BA98" s="82">
        <v>7.1699000416666596</v>
      </c>
      <c r="BB98" s="82">
        <v>7.0784872583333298</v>
      </c>
      <c r="BC98" s="82">
        <v>7.3287904356666598</v>
      </c>
      <c r="BD98" s="82">
        <v>8.1244021310000001</v>
      </c>
      <c r="BE98" s="82">
        <v>7.3217933896666603</v>
      </c>
      <c r="BF98" s="82">
        <v>6.7848117273333299</v>
      </c>
      <c r="BG98" s="82">
        <v>6.9013376959999997</v>
      </c>
      <c r="BH98" s="82">
        <v>6.9563278483333297</v>
      </c>
      <c r="BI98" s="82">
        <v>7.2749657630920401</v>
      </c>
      <c r="BJ98" s="82">
        <v>7.2749657630920401</v>
      </c>
      <c r="BK98" s="82">
        <v>7.2749657630920401</v>
      </c>
      <c r="BL98" s="82">
        <v>7.2749657630920401</v>
      </c>
      <c r="BM98" s="82">
        <v>7.2749657630920401</v>
      </c>
      <c r="BN98" s="82">
        <v>7.2749657630920401</v>
      </c>
      <c r="BO98" s="82">
        <v>7.2749657630920401</v>
      </c>
      <c r="BP98" s="82">
        <v>7.2749657630920401</v>
      </c>
      <c r="BQ98" s="82"/>
      <c r="BR98" s="82"/>
      <c r="BS98" s="82"/>
      <c r="BT98" s="82"/>
    </row>
    <row r="99" spans="1:72" x14ac:dyDescent="0.65">
      <c r="A99" s="92" t="s">
        <v>219</v>
      </c>
      <c r="B99" s="112" t="s">
        <v>634</v>
      </c>
      <c r="C99" s="81" t="s">
        <v>703</v>
      </c>
      <c r="D99" s="82"/>
      <c r="E99" s="83">
        <v>4.7244676889967199</v>
      </c>
      <c r="F99" s="83">
        <v>4.8346701352821704</v>
      </c>
      <c r="G99" s="83">
        <v>4.6331094046355199</v>
      </c>
      <c r="H99" s="83">
        <v>4.78619472411639</v>
      </c>
      <c r="I99" s="83">
        <v>6.3842642354339896</v>
      </c>
      <c r="J99" s="83">
        <v>7.1017296281256597</v>
      </c>
      <c r="K99" s="83">
        <v>6.7082209687017897</v>
      </c>
      <c r="L99" s="83">
        <v>6.6687591937189703</v>
      </c>
      <c r="M99" s="83">
        <v>7.7624504419751901</v>
      </c>
      <c r="N99" s="83">
        <v>6.9409212443391599</v>
      </c>
      <c r="O99" s="83">
        <v>5.9383940582585302</v>
      </c>
      <c r="P99" s="83">
        <v>5.7591108221938603</v>
      </c>
      <c r="Q99" s="83">
        <v>5.5596482934373803</v>
      </c>
      <c r="R99" s="83">
        <v>5.13109854736713</v>
      </c>
      <c r="S99" s="83">
        <v>5.25351352212689</v>
      </c>
      <c r="T99" s="83">
        <v>5.2780695443051897</v>
      </c>
      <c r="U99" s="83">
        <v>6.5007514835144402</v>
      </c>
      <c r="V99" s="83">
        <v>7.34722329768611</v>
      </c>
      <c r="W99" s="83">
        <v>7.2451560768475902</v>
      </c>
      <c r="X99" s="83">
        <v>7.46301507158541</v>
      </c>
      <c r="Y99" s="83">
        <v>7.9044343066623801</v>
      </c>
      <c r="Z99" s="83">
        <v>7.8558858625188304</v>
      </c>
      <c r="AA99" s="83">
        <v>7.5072795000464598</v>
      </c>
      <c r="AB99" s="83">
        <v>6.5091666834695001</v>
      </c>
      <c r="AC99" s="83">
        <v>7.6590844666062603</v>
      </c>
      <c r="AD99" s="83">
        <v>8.5884140970955407</v>
      </c>
      <c r="AE99" s="83">
        <v>6.9963511563101299</v>
      </c>
      <c r="AF99" s="83">
        <v>6.8536203179502104</v>
      </c>
      <c r="AG99" s="83">
        <v>7.4069933237743202</v>
      </c>
      <c r="AH99" s="84">
        <v>7.54292401698895</v>
      </c>
      <c r="AI99" s="83">
        <v>6.2770617226299601</v>
      </c>
      <c r="AJ99" s="83">
        <v>6.4558494844926599</v>
      </c>
      <c r="AK99" s="83">
        <v>7.3210750009388503</v>
      </c>
      <c r="AL99" s="82">
        <v>6.1007286755725501</v>
      </c>
      <c r="AM99" s="82">
        <v>5.6357405810951802</v>
      </c>
      <c r="AN99" s="82">
        <v>5.3419959282469698</v>
      </c>
      <c r="AO99" s="82">
        <v>6.3665025704806997</v>
      </c>
      <c r="AP99" s="82">
        <v>7.5593621682638998</v>
      </c>
      <c r="AQ99" s="82">
        <v>6.6459098078987804</v>
      </c>
      <c r="AR99" s="82">
        <v>6.8851909461692404</v>
      </c>
      <c r="AS99" s="82">
        <v>8.7563184794102806</v>
      </c>
      <c r="AT99" s="82">
        <v>10.281034856991599</v>
      </c>
      <c r="AU99" s="82">
        <v>7.4816145890928301</v>
      </c>
      <c r="AV99" s="82">
        <v>7.17524964709646</v>
      </c>
      <c r="AW99" s="82">
        <v>9.98910595519426</v>
      </c>
      <c r="AX99" s="82">
        <v>10.0658200732647</v>
      </c>
      <c r="AY99" s="82">
        <v>8.0051543944617407</v>
      </c>
      <c r="AZ99" s="82">
        <v>7.7697033823654502</v>
      </c>
      <c r="BA99" s="82">
        <v>10.209922660869699</v>
      </c>
      <c r="BB99" s="82">
        <v>10.2400116322068</v>
      </c>
      <c r="BC99" s="82">
        <v>7.27480873993375</v>
      </c>
      <c r="BD99" s="82">
        <v>7.3763126985918603</v>
      </c>
      <c r="BE99" s="82">
        <v>8.7634146493249592</v>
      </c>
      <c r="BF99" s="82">
        <v>7.6530228418017101</v>
      </c>
      <c r="BG99" s="82">
        <v>6.7392068157845797</v>
      </c>
      <c r="BH99" s="82">
        <v>8.1323491179424803</v>
      </c>
      <c r="BI99" s="82">
        <v>9.2098414103190098</v>
      </c>
      <c r="BJ99" s="82">
        <v>10.663556793333299</v>
      </c>
      <c r="BK99" s="82">
        <v>7.8701421439999999</v>
      </c>
      <c r="BL99" s="82">
        <v>7.6839145010000003</v>
      </c>
      <c r="BM99" s="82">
        <v>9.8538713873333297</v>
      </c>
      <c r="BN99" s="82">
        <v>10.202036110333299</v>
      </c>
      <c r="BO99" s="82">
        <v>8.3802439500000006</v>
      </c>
      <c r="BP99" s="82">
        <v>7.7324956253333301</v>
      </c>
      <c r="BQ99" s="82"/>
      <c r="BR99" s="82"/>
      <c r="BS99" s="82"/>
      <c r="BT99" s="82"/>
    </row>
    <row r="100" spans="1:72" x14ac:dyDescent="0.65">
      <c r="A100" s="20" t="s">
        <v>192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7"/>
      <c r="AI100" s="5"/>
      <c r="AJ100" s="5"/>
      <c r="AK100" s="5"/>
    </row>
    <row r="101" spans="1:72" x14ac:dyDescent="0.65">
      <c r="A101" s="92" t="s">
        <v>34</v>
      </c>
      <c r="B101" s="112" t="s">
        <v>634</v>
      </c>
      <c r="C101" s="81" t="s">
        <v>704</v>
      </c>
      <c r="D101" s="82"/>
      <c r="E101" s="83">
        <v>34.274757575757498</v>
      </c>
      <c r="F101" s="83">
        <v>30.3969682539682</v>
      </c>
      <c r="G101" s="83">
        <v>27.767677890378099</v>
      </c>
      <c r="H101" s="83">
        <v>23.1423143547274</v>
      </c>
      <c r="I101" s="83">
        <v>21.991524227234699</v>
      </c>
      <c r="J101" s="83">
        <v>20.216030303030301</v>
      </c>
      <c r="K101" s="83">
        <v>21.134424242424199</v>
      </c>
      <c r="L101" s="83">
        <v>21.516169427191102</v>
      </c>
      <c r="M101" s="83">
        <v>22.3954385964912</v>
      </c>
      <c r="N101" s="83">
        <v>25.256190476190401</v>
      </c>
      <c r="O101" s="83">
        <v>26.4590692640692</v>
      </c>
      <c r="P101" s="83">
        <v>25.3383836072394</v>
      </c>
      <c r="Q101" s="83">
        <v>24.753779904306199</v>
      </c>
      <c r="R101" s="83">
        <v>24.6222142857142</v>
      </c>
      <c r="S101" s="83">
        <v>24.535836940836901</v>
      </c>
      <c r="T101" s="83">
        <v>25.398227272727201</v>
      </c>
      <c r="U101" s="83">
        <v>25.853209728867601</v>
      </c>
      <c r="V101" s="83">
        <v>27.5887229437229</v>
      </c>
      <c r="W101" s="83">
        <v>28.236017598343601</v>
      </c>
      <c r="X101" s="83">
        <v>28.848412698412702</v>
      </c>
      <c r="Y101" s="83">
        <v>29.979465675057199</v>
      </c>
      <c r="Z101" s="83">
        <v>28.310374800637899</v>
      </c>
      <c r="AA101" s="83">
        <v>26.251036231884001</v>
      </c>
      <c r="AB101" s="83">
        <v>27.091699855699801</v>
      </c>
      <c r="AC101" s="83">
        <v>25.660902255639101</v>
      </c>
      <c r="AD101" s="83">
        <v>25.008968253968199</v>
      </c>
      <c r="AE101" s="83">
        <v>25.5332744905742</v>
      </c>
      <c r="AF101" s="83">
        <v>25.156424775707301</v>
      </c>
      <c r="AG101" s="83">
        <v>25.852898913951499</v>
      </c>
      <c r="AH101" s="84">
        <v>26.531652236652199</v>
      </c>
      <c r="AI101" s="83">
        <v>25.695212121212101</v>
      </c>
      <c r="AJ101" s="83">
        <v>26.393942028985499</v>
      </c>
      <c r="AK101" s="83">
        <v>26.5301784764942</v>
      </c>
      <c r="AL101" s="82">
        <v>25.965578643578599</v>
      </c>
      <c r="AM101" s="82">
        <v>26.966536796536801</v>
      </c>
      <c r="AN101" s="82">
        <v>28.360257575757501</v>
      </c>
      <c r="AO101" s="82">
        <v>29.630152555301301</v>
      </c>
      <c r="AP101" s="82">
        <v>32.252272727272697</v>
      </c>
      <c r="AQ101" s="82">
        <v>35.6911544011544</v>
      </c>
      <c r="AR101" s="82">
        <v>37.006991341991302</v>
      </c>
      <c r="AS101" s="82">
        <v>35.729877574370697</v>
      </c>
      <c r="AT101" s="82">
        <v>36.410411255411198</v>
      </c>
      <c r="AU101" s="82">
        <v>35.102213438735099</v>
      </c>
      <c r="AV101" s="82">
        <v>35.698398268398201</v>
      </c>
      <c r="AW101" s="82">
        <v>37.0840968379446</v>
      </c>
      <c r="AX101" s="82">
        <v>41.646360342556001</v>
      </c>
      <c r="AY101" s="82">
        <v>40.559406487232501</v>
      </c>
      <c r="AZ101" s="82">
        <v>42.976176046176001</v>
      </c>
      <c r="BA101" s="82">
        <v>40.490572808833598</v>
      </c>
      <c r="BB101" s="82">
        <v>38.249481554677203</v>
      </c>
      <c r="BC101" s="82">
        <v>36.589777903256099</v>
      </c>
      <c r="BD101" s="82">
        <v>37.559158981115502</v>
      </c>
      <c r="BE101" s="82">
        <v>36.954266735679703</v>
      </c>
      <c r="BF101" s="82">
        <v>36.4976334776334</v>
      </c>
      <c r="BG101" s="82">
        <v>36.382854946985397</v>
      </c>
      <c r="BH101" s="82">
        <v>33.843257575757498</v>
      </c>
      <c r="BI101" s="82">
        <v>31.778182347615498</v>
      </c>
      <c r="BJ101" s="82">
        <v>32.36</v>
      </c>
      <c r="BK101" s="82">
        <v>32.81</v>
      </c>
      <c r="BL101" s="82">
        <v>33.01</v>
      </c>
      <c r="BM101" s="82">
        <v>33.31</v>
      </c>
      <c r="BN101" s="82">
        <v>33.31</v>
      </c>
      <c r="BO101" s="82">
        <v>33.409999999999997</v>
      </c>
      <c r="BP101" s="82">
        <v>33.51</v>
      </c>
      <c r="BQ101" s="82"/>
      <c r="BR101" s="82"/>
      <c r="BS101" s="82"/>
      <c r="BT101" s="82"/>
    </row>
    <row r="102" spans="1:72" x14ac:dyDescent="0.65">
      <c r="A102" s="92" t="s">
        <v>220</v>
      </c>
      <c r="B102" s="112" t="s">
        <v>634</v>
      </c>
      <c r="C102" s="81" t="s">
        <v>705</v>
      </c>
      <c r="D102" s="82"/>
      <c r="E102" s="83">
        <v>23.741560606060599</v>
      </c>
      <c r="F102" s="83">
        <v>20.9468499278499</v>
      </c>
      <c r="G102" s="83">
        <v>21.174920998147499</v>
      </c>
      <c r="H102" s="83">
        <v>19.634676328502401</v>
      </c>
      <c r="I102" s="83">
        <v>18.464203007518801</v>
      </c>
      <c r="J102" s="83">
        <v>17.3482121212121</v>
      </c>
      <c r="K102" s="83">
        <v>17.3198181818181</v>
      </c>
      <c r="L102" s="83">
        <v>17.701956866804601</v>
      </c>
      <c r="M102" s="83">
        <v>16.826992481203</v>
      </c>
      <c r="N102" s="83">
        <v>18.2323809523809</v>
      </c>
      <c r="O102" s="83">
        <v>17.6665007215007</v>
      </c>
      <c r="P102" s="83">
        <v>15.7822907565356</v>
      </c>
      <c r="Q102" s="83">
        <v>14.1385047846889</v>
      </c>
      <c r="R102" s="83">
        <v>12.5760295815295</v>
      </c>
      <c r="S102" s="83">
        <v>11.5635137085137</v>
      </c>
      <c r="T102" s="83">
        <v>14.5825151515151</v>
      </c>
      <c r="U102" s="83">
        <v>14.3451690590111</v>
      </c>
      <c r="V102" s="83">
        <v>17.006551226551199</v>
      </c>
      <c r="W102" s="83">
        <v>20.351242926155901</v>
      </c>
      <c r="X102" s="83">
        <v>20.871746031746</v>
      </c>
      <c r="Y102" s="83">
        <v>19.667618230358499</v>
      </c>
      <c r="Z102" s="83">
        <v>15.178644338118</v>
      </c>
      <c r="AA102" s="83">
        <v>13.9486956521739</v>
      </c>
      <c r="AB102" s="83">
        <v>14.5436616161616</v>
      </c>
      <c r="AC102" s="83">
        <v>13.4592898913951</v>
      </c>
      <c r="AD102" s="83">
        <v>11.9044877344877</v>
      </c>
      <c r="AE102" s="83">
        <v>10.7980465656895</v>
      </c>
      <c r="AF102" s="83">
        <v>12.843554520358801</v>
      </c>
      <c r="AG102" s="83">
        <v>12.694569757727599</v>
      </c>
      <c r="AH102" s="84">
        <v>12.2667380952381</v>
      </c>
      <c r="AI102" s="83">
        <v>11.614030303030299</v>
      </c>
      <c r="AJ102" s="83">
        <v>12.826543133195299</v>
      </c>
      <c r="AK102" s="83">
        <v>13.6809064327485</v>
      </c>
      <c r="AL102" s="82">
        <v>10.8403621933621</v>
      </c>
      <c r="AM102" s="82">
        <v>12.385844155844101</v>
      </c>
      <c r="AN102" s="82">
        <v>14.629651515151499</v>
      </c>
      <c r="AO102" s="82">
        <v>16.240831426391999</v>
      </c>
      <c r="AP102" s="82">
        <v>16.885014430014401</v>
      </c>
      <c r="AQ102" s="82">
        <v>18.787561327561299</v>
      </c>
      <c r="AR102" s="82">
        <v>19.510836940836899</v>
      </c>
      <c r="AS102" s="82">
        <v>18.5906613272311</v>
      </c>
      <c r="AT102" s="82">
        <v>19.2580158730158</v>
      </c>
      <c r="AU102" s="82">
        <v>18.196172595520402</v>
      </c>
      <c r="AV102" s="82">
        <v>19.257287157287099</v>
      </c>
      <c r="AW102" s="82">
        <v>20.769473649538799</v>
      </c>
      <c r="AX102" s="82">
        <v>25.0246126482213</v>
      </c>
      <c r="AY102" s="82">
        <v>24.921649413388501</v>
      </c>
      <c r="AZ102" s="82">
        <v>25.452965367965302</v>
      </c>
      <c r="BA102" s="82">
        <v>22.528578329882599</v>
      </c>
      <c r="BB102" s="82">
        <v>19.538779314888</v>
      </c>
      <c r="BC102" s="82">
        <v>19.465348829913999</v>
      </c>
      <c r="BD102" s="82">
        <v>21.440757889453501</v>
      </c>
      <c r="BE102" s="82">
        <v>19.3905634920634</v>
      </c>
      <c r="BF102" s="82">
        <v>17.276457431457398</v>
      </c>
      <c r="BG102" s="82">
        <v>16.1814354727398</v>
      </c>
      <c r="BH102" s="82">
        <v>15.0388985507246</v>
      </c>
      <c r="BI102" s="82">
        <v>14.4686365127563</v>
      </c>
      <c r="BJ102" s="82">
        <v>13.84</v>
      </c>
      <c r="BK102" s="82">
        <v>13.82</v>
      </c>
      <c r="BL102" s="82">
        <v>14.15</v>
      </c>
      <c r="BM102" s="82">
        <v>14.88</v>
      </c>
      <c r="BN102" s="82">
        <v>14.72</v>
      </c>
      <c r="BO102" s="82">
        <v>14.72</v>
      </c>
      <c r="BP102" s="82">
        <v>14.97</v>
      </c>
      <c r="BQ102" s="82"/>
      <c r="BR102" s="82"/>
      <c r="BS102" s="82"/>
      <c r="BT102" s="82"/>
    </row>
    <row r="103" spans="1:72" x14ac:dyDescent="0.65">
      <c r="A103" s="20" t="s">
        <v>221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17"/>
      <c r="AI103" s="5"/>
      <c r="AJ103" s="5"/>
      <c r="AK103" s="5"/>
    </row>
    <row r="104" spans="1:72" x14ac:dyDescent="0.65">
      <c r="A104" s="92" t="s">
        <v>222</v>
      </c>
      <c r="B104" s="112" t="s">
        <v>634</v>
      </c>
      <c r="C104" s="81" t="s">
        <v>706</v>
      </c>
      <c r="D104" s="82"/>
      <c r="E104" s="83">
        <v>2807.23692201515</v>
      </c>
      <c r="F104" s="83">
        <v>2751.4781191166298</v>
      </c>
      <c r="G104" s="83">
        <v>3052.3197828370799</v>
      </c>
      <c r="H104" s="83">
        <v>3466.4352916531702</v>
      </c>
      <c r="I104" s="83">
        <v>4093.9358105052402</v>
      </c>
      <c r="J104" s="83">
        <v>3936.09409934413</v>
      </c>
      <c r="K104" s="83">
        <v>3857.8800136456498</v>
      </c>
      <c r="L104" s="83">
        <v>3689.9209862490102</v>
      </c>
      <c r="M104" s="83">
        <v>3576.2307543316701</v>
      </c>
      <c r="N104" s="83">
        <v>3581.7245703816702</v>
      </c>
      <c r="O104" s="83">
        <v>3927.15433353046</v>
      </c>
      <c r="P104" s="83">
        <v>4037.1142428912999</v>
      </c>
      <c r="Q104" s="83">
        <v>4077.2263775696902</v>
      </c>
      <c r="R104" s="83">
        <v>4216.4024755339096</v>
      </c>
      <c r="S104" s="83">
        <v>4840.1299626705504</v>
      </c>
      <c r="T104" s="83">
        <v>4037.5806164730802</v>
      </c>
      <c r="U104" s="83">
        <v>4085.7079911359501</v>
      </c>
      <c r="V104" s="83">
        <v>3897.5025671457402</v>
      </c>
      <c r="W104" s="83">
        <v>3982.3330606132099</v>
      </c>
      <c r="X104" s="83">
        <v>3948.3214318964601</v>
      </c>
      <c r="Y104" s="83">
        <v>4336.8659797036898</v>
      </c>
      <c r="Z104" s="83">
        <v>4552.2364348851397</v>
      </c>
      <c r="AA104" s="83">
        <v>4653.9037116849504</v>
      </c>
      <c r="AB104" s="83">
        <v>4576.1809616049704</v>
      </c>
      <c r="AC104" s="83">
        <v>4656.9686765246697</v>
      </c>
      <c r="AD104" s="83">
        <v>3789.2621339427201</v>
      </c>
      <c r="AE104" s="83">
        <v>3613.2868489583998</v>
      </c>
      <c r="AF104" s="83">
        <v>3587.3982980109599</v>
      </c>
      <c r="AG104" s="83">
        <v>3441.876464937</v>
      </c>
      <c r="AH104" s="84">
        <v>3188.10443702476</v>
      </c>
      <c r="AI104" s="83">
        <v>3119.5751386454899</v>
      </c>
      <c r="AJ104" s="83">
        <v>2915.77777267992</v>
      </c>
      <c r="AK104" s="83">
        <v>2740.50515413003</v>
      </c>
      <c r="AL104" s="82">
        <v>2790.5682353603802</v>
      </c>
      <c r="AM104" s="82">
        <v>2985.95412035554</v>
      </c>
      <c r="AN104" s="82">
        <v>1996.3406455741199</v>
      </c>
      <c r="AO104" s="82">
        <v>3766.7748641388498</v>
      </c>
      <c r="AP104" s="82">
        <v>4337.2238052727198</v>
      </c>
      <c r="AQ104" s="82">
        <v>4409.0967521893899</v>
      </c>
      <c r="AR104" s="82">
        <v>4225.9569424702004</v>
      </c>
      <c r="AS104" s="82">
        <v>4293.9064203736998</v>
      </c>
      <c r="AT104" s="82">
        <v>4137.9129794274904</v>
      </c>
      <c r="AU104" s="82">
        <v>4209.50981256049</v>
      </c>
      <c r="AV104" s="82">
        <v>5238.2114381089395</v>
      </c>
      <c r="AW104" s="82">
        <v>5926.2831197345804</v>
      </c>
      <c r="AX104" s="82">
        <v>6744.31796232549</v>
      </c>
      <c r="AY104" s="82">
        <v>8999.5113852515497</v>
      </c>
      <c r="AZ104" s="82">
        <v>9168.3576220313807</v>
      </c>
      <c r="BA104" s="82">
        <v>10088.135624636599</v>
      </c>
      <c r="BB104" s="82">
        <v>9118.3745491068203</v>
      </c>
      <c r="BC104" s="82">
        <v>8827.9658947586995</v>
      </c>
      <c r="BD104" s="82">
        <v>7406.8936331362502</v>
      </c>
      <c r="BE104" s="82">
        <v>5339.8850108277402</v>
      </c>
      <c r="BF104" s="82">
        <v>5099.4205800364298</v>
      </c>
      <c r="BG104" s="82">
        <v>5488.4504788902204</v>
      </c>
      <c r="BH104" s="82">
        <v>5930.42141267029</v>
      </c>
      <c r="BI104" s="82">
        <v>6092.9287109375</v>
      </c>
      <c r="BJ104" s="82">
        <v>6092.9287109375</v>
      </c>
      <c r="BK104" s="82">
        <v>6092.9287109375</v>
      </c>
      <c r="BL104" s="82">
        <v>6092.9287109375</v>
      </c>
      <c r="BM104" s="82">
        <v>6092.9287109375</v>
      </c>
      <c r="BN104" s="82">
        <v>6092.9287109375</v>
      </c>
      <c r="BO104" s="82">
        <v>6092.9287109375</v>
      </c>
      <c r="BP104" s="82">
        <v>6092.9287109375</v>
      </c>
      <c r="BQ104" s="82"/>
      <c r="BR104" s="82"/>
      <c r="BS104" s="82"/>
      <c r="BT104" s="82"/>
    </row>
    <row r="105" spans="1:72" x14ac:dyDescent="0.65">
      <c r="A105" s="92" t="s">
        <v>223</v>
      </c>
      <c r="B105" s="112" t="s">
        <v>634</v>
      </c>
      <c r="C105" s="81" t="s">
        <v>707</v>
      </c>
      <c r="D105" s="82"/>
      <c r="E105" s="83">
        <v>1057.98866687909</v>
      </c>
      <c r="F105" s="83">
        <v>1038.7335145122599</v>
      </c>
      <c r="G105" s="83">
        <v>920.89585171208296</v>
      </c>
      <c r="H105" s="83">
        <v>741.71884632080503</v>
      </c>
      <c r="I105" s="83">
        <v>780.263919720182</v>
      </c>
      <c r="J105" s="83">
        <v>760.96212138287103</v>
      </c>
      <c r="K105" s="83">
        <v>726.16325950630505</v>
      </c>
      <c r="L105" s="83">
        <v>789.39878587765395</v>
      </c>
      <c r="M105" s="83">
        <v>813.68687754265397</v>
      </c>
      <c r="N105" s="83">
        <v>794.69474883041698</v>
      </c>
      <c r="O105" s="83">
        <v>695.91014546437998</v>
      </c>
      <c r="P105" s="83">
        <v>653.34167405251401</v>
      </c>
      <c r="Q105" s="83">
        <v>627.87674123045804</v>
      </c>
      <c r="R105" s="83">
        <v>599.86298304913601</v>
      </c>
      <c r="S105" s="83">
        <v>514.61567620417895</v>
      </c>
      <c r="T105" s="83">
        <v>518.00427580254097</v>
      </c>
      <c r="U105" s="83">
        <v>586.86263618774797</v>
      </c>
      <c r="V105" s="83">
        <v>647.79777010897203</v>
      </c>
      <c r="W105" s="83">
        <v>646.99130365728604</v>
      </c>
      <c r="X105" s="83">
        <v>677.73415580887797</v>
      </c>
      <c r="Y105" s="83">
        <v>698.86055700778002</v>
      </c>
      <c r="Z105" s="83">
        <v>633.29995600979305</v>
      </c>
      <c r="AA105" s="83">
        <v>633.53641722444695</v>
      </c>
      <c r="AB105" s="83">
        <v>625.50775549491004</v>
      </c>
      <c r="AC105" s="83">
        <v>633.533377001654</v>
      </c>
      <c r="AD105" s="83">
        <v>602.30683136206301</v>
      </c>
      <c r="AE105" s="83">
        <v>532.47138404550697</v>
      </c>
      <c r="AF105" s="83">
        <v>471.12493114785701</v>
      </c>
      <c r="AG105" s="83">
        <v>511.37342718975702</v>
      </c>
      <c r="AH105" s="84">
        <v>483.336647457634</v>
      </c>
      <c r="AI105" s="83">
        <v>493.89326812434098</v>
      </c>
      <c r="AJ105" s="83">
        <v>607.20210485935002</v>
      </c>
      <c r="AK105" s="83">
        <v>642.24686493386503</v>
      </c>
      <c r="AL105" s="82">
        <v>530.05996879595398</v>
      </c>
      <c r="AM105" s="82">
        <v>664.17343921845395</v>
      </c>
      <c r="AN105" s="82">
        <v>827.74596893963701</v>
      </c>
      <c r="AO105" s="82">
        <v>967.03970167459102</v>
      </c>
      <c r="AP105" s="82">
        <v>1020.61366421941</v>
      </c>
      <c r="AQ105" s="82">
        <v>1064.6609225488301</v>
      </c>
      <c r="AR105" s="82">
        <v>1241.75919132174</v>
      </c>
      <c r="AS105" s="82">
        <v>1468.1271285497601</v>
      </c>
      <c r="AT105" s="82">
        <v>1512.1603602120999</v>
      </c>
      <c r="AU105" s="82">
        <v>874.56815311075502</v>
      </c>
      <c r="AV105" s="82">
        <v>853.14775300266194</v>
      </c>
      <c r="AW105" s="82">
        <v>905.20119427330496</v>
      </c>
      <c r="AX105" s="82">
        <v>846.17890322188498</v>
      </c>
      <c r="AY105" s="82">
        <v>819.76578238305297</v>
      </c>
      <c r="AZ105" s="82">
        <v>782.27107707099697</v>
      </c>
      <c r="BA105" s="82">
        <v>846.49912342698701</v>
      </c>
      <c r="BB105" s="82">
        <v>853.75600846345606</v>
      </c>
      <c r="BC105" s="82">
        <v>897.13431126872399</v>
      </c>
      <c r="BD105" s="82">
        <v>1098.2339776224001</v>
      </c>
      <c r="BE105" s="82">
        <v>1051.5034050342299</v>
      </c>
      <c r="BF105" s="82">
        <v>939.48973558065495</v>
      </c>
      <c r="BG105" s="82">
        <v>997.31792223330694</v>
      </c>
      <c r="BH105" s="82">
        <v>998.854216181732</v>
      </c>
      <c r="BI105" s="82">
        <v>1034.7601725260399</v>
      </c>
      <c r="BJ105" s="82">
        <v>1066.12617</v>
      </c>
      <c r="BK105" s="82">
        <v>1060.38341666666</v>
      </c>
      <c r="BL105" s="82">
        <v>1054.97846333333</v>
      </c>
      <c r="BM105" s="82">
        <v>1049.0245749999999</v>
      </c>
      <c r="BN105" s="82">
        <v>1039.2703300000001</v>
      </c>
      <c r="BO105" s="82">
        <v>1030.5295149999999</v>
      </c>
      <c r="BP105" s="82">
        <v>1029.38941</v>
      </c>
      <c r="BQ105" s="82"/>
      <c r="BR105" s="82"/>
      <c r="BS105" s="82"/>
      <c r="BT105" s="82"/>
    </row>
    <row r="106" spans="1:72" x14ac:dyDescent="0.65">
      <c r="A106" s="92" t="s">
        <v>224</v>
      </c>
      <c r="B106" s="112" t="s">
        <v>634</v>
      </c>
      <c r="C106" s="81" t="s">
        <v>708</v>
      </c>
      <c r="D106" s="82"/>
      <c r="E106" s="83">
        <v>1279.6927955266999</v>
      </c>
      <c r="F106" s="83">
        <v>1241.1237074534199</v>
      </c>
      <c r="G106" s="83">
        <v>1232.9989809420199</v>
      </c>
      <c r="H106" s="83">
        <v>1202.5098782966299</v>
      </c>
      <c r="I106" s="83">
        <v>1196.04940341269</v>
      </c>
      <c r="J106" s="83">
        <v>1121.40975243873</v>
      </c>
      <c r="K106" s="83">
        <v>993.20227911976895</v>
      </c>
      <c r="L106" s="83">
        <v>1012.78620176014</v>
      </c>
      <c r="M106" s="83">
        <v>980.282612862664</v>
      </c>
      <c r="N106" s="83">
        <v>963.140794877345</v>
      </c>
      <c r="O106" s="83">
        <v>849.64811528075802</v>
      </c>
      <c r="P106" s="83">
        <v>824.401562826087</v>
      </c>
      <c r="Q106" s="83">
        <v>755.06893184848502</v>
      </c>
      <c r="R106" s="83">
        <v>772.60516595743104</v>
      </c>
      <c r="S106" s="83">
        <v>772.68942796348495</v>
      </c>
      <c r="T106" s="83">
        <v>798.072097296881</v>
      </c>
      <c r="U106" s="83">
        <v>774.73811222912298</v>
      </c>
      <c r="V106" s="83">
        <v>797.74951613997098</v>
      </c>
      <c r="W106" s="83">
        <v>810.62349242079097</v>
      </c>
      <c r="X106" s="83">
        <v>904.69422272727195</v>
      </c>
      <c r="Y106" s="83">
        <v>876.53961372134302</v>
      </c>
      <c r="Z106" s="83">
        <v>829.031340838603</v>
      </c>
      <c r="AA106" s="83">
        <v>877.22012886818504</v>
      </c>
      <c r="AB106" s="83">
        <v>905.00902010822495</v>
      </c>
      <c r="AC106" s="83">
        <v>820.13265401580998</v>
      </c>
      <c r="AD106" s="83">
        <v>806.05362887508602</v>
      </c>
      <c r="AE106" s="83">
        <v>845.52221562187106</v>
      </c>
      <c r="AF106" s="83">
        <v>846.81405009128503</v>
      </c>
      <c r="AG106" s="83">
        <v>820.02874432457895</v>
      </c>
      <c r="AH106" s="84">
        <v>815.59161218577003</v>
      </c>
      <c r="AI106" s="83">
        <v>874.64709615816503</v>
      </c>
      <c r="AJ106" s="83">
        <v>904.38836370945398</v>
      </c>
      <c r="AK106" s="83">
        <v>874.49006184782604</v>
      </c>
      <c r="AL106" s="82">
        <v>800.07855075757504</v>
      </c>
      <c r="AM106" s="82">
        <v>917.93646274170203</v>
      </c>
      <c r="AN106" s="82">
        <v>1019.95147541878</v>
      </c>
      <c r="AO106" s="82">
        <v>1218.23779116632</v>
      </c>
      <c r="AP106" s="82">
        <v>1507.95118787878</v>
      </c>
      <c r="AQ106" s="82">
        <v>1518.4506560606001</v>
      </c>
      <c r="AR106" s="82">
        <v>1795.54004771315</v>
      </c>
      <c r="AS106" s="82">
        <v>1908.5976392339501</v>
      </c>
      <c r="AT106" s="82">
        <v>2186.8815198412699</v>
      </c>
      <c r="AU106" s="82">
        <v>1641.7824917497901</v>
      </c>
      <c r="AV106" s="82">
        <v>1315.92061147186</v>
      </c>
      <c r="AW106" s="82">
        <v>1119.9971707114601</v>
      </c>
      <c r="AX106" s="82">
        <v>948.09054724637599</v>
      </c>
      <c r="AY106" s="82">
        <v>1051.4317571428501</v>
      </c>
      <c r="AZ106" s="82">
        <v>1036.37592063492</v>
      </c>
      <c r="BA106" s="82">
        <v>951.62339585921302</v>
      </c>
      <c r="BB106" s="82">
        <v>1071.7197030237101</v>
      </c>
      <c r="BC106" s="82">
        <v>1062.2851595457601</v>
      </c>
      <c r="BD106" s="82">
        <v>1168.9857357676101</v>
      </c>
      <c r="BE106" s="82">
        <v>1137.8526888681799</v>
      </c>
      <c r="BF106" s="82">
        <v>1235.0265260461699</v>
      </c>
      <c r="BG106" s="82">
        <v>1243.4112982746699</v>
      </c>
      <c r="BH106" s="82">
        <v>1280.51751992753</v>
      </c>
      <c r="BI106" s="82">
        <v>1224.50463867187</v>
      </c>
      <c r="BJ106" s="82">
        <v>1224.50463867187</v>
      </c>
      <c r="BK106" s="82">
        <v>1224.50463867187</v>
      </c>
      <c r="BL106" s="82">
        <v>1224.50463867187</v>
      </c>
      <c r="BM106" s="82">
        <v>1224.50463867187</v>
      </c>
      <c r="BN106" s="82">
        <v>1224.50463867187</v>
      </c>
      <c r="BO106" s="82">
        <v>1224.50463867187</v>
      </c>
      <c r="BP106" s="82">
        <v>1224.50463867187</v>
      </c>
      <c r="BQ106" s="82"/>
      <c r="BR106" s="82"/>
      <c r="BS106" s="82"/>
      <c r="BT106" s="82"/>
    </row>
    <row r="107" spans="1:72" x14ac:dyDescent="0.65">
      <c r="A107" s="92" t="s">
        <v>225</v>
      </c>
      <c r="B107" s="112" t="s">
        <v>634</v>
      </c>
      <c r="C107" s="81" t="s">
        <v>709</v>
      </c>
      <c r="D107" s="82"/>
      <c r="E107" s="83">
        <v>466.52640805909101</v>
      </c>
      <c r="F107" s="83">
        <v>524.22541661969694</v>
      </c>
      <c r="G107" s="83">
        <v>615.84723417391297</v>
      </c>
      <c r="H107" s="83">
        <v>544.44828813894901</v>
      </c>
      <c r="I107" s="83">
        <v>532.83484407324499</v>
      </c>
      <c r="J107" s="83">
        <v>540.04888159090899</v>
      </c>
      <c r="K107" s="83">
        <v>516.54502231022695</v>
      </c>
      <c r="L107" s="83">
        <v>479.38636562518099</v>
      </c>
      <c r="M107" s="83">
        <v>498.30074657894698</v>
      </c>
      <c r="N107" s="83">
        <v>540.40796775000001</v>
      </c>
      <c r="O107" s="83">
        <v>421.68956349621197</v>
      </c>
      <c r="P107" s="83">
        <v>370.85579668621199</v>
      </c>
      <c r="Q107" s="83">
        <v>363.94230493492802</v>
      </c>
      <c r="R107" s="83">
        <v>354.56608750227201</v>
      </c>
      <c r="S107" s="83">
        <v>347.64139790151501</v>
      </c>
      <c r="T107" s="83">
        <v>323.27246440681802</v>
      </c>
      <c r="U107" s="83">
        <v>323.42308720574101</v>
      </c>
      <c r="V107" s="83">
        <v>387.84784698863598</v>
      </c>
      <c r="W107" s="83">
        <v>372.20683434782597</v>
      </c>
      <c r="X107" s="83">
        <v>367.349515</v>
      </c>
      <c r="Y107" s="83">
        <v>375.51921964525098</v>
      </c>
      <c r="Z107" s="83">
        <v>345.92340249342101</v>
      </c>
      <c r="AA107" s="83">
        <v>354.90793081739099</v>
      </c>
      <c r="AB107" s="83">
        <v>358.94625599507498</v>
      </c>
      <c r="AC107" s="83">
        <v>369.99831522807</v>
      </c>
      <c r="AD107" s="83">
        <v>365.35823710227203</v>
      </c>
      <c r="AE107" s="83">
        <v>311.88454216914499</v>
      </c>
      <c r="AF107" s="83">
        <v>322.87189375978198</v>
      </c>
      <c r="AG107" s="83">
        <v>332.50562084210497</v>
      </c>
      <c r="AH107" s="84">
        <v>318.72669078560602</v>
      </c>
      <c r="AI107" s="83">
        <v>320.84988545908999</v>
      </c>
      <c r="AJ107" s="83">
        <v>335.92610433387603</v>
      </c>
      <c r="AK107" s="83">
        <v>327.28139197647499</v>
      </c>
      <c r="AL107" s="82">
        <v>312.65627232689297</v>
      </c>
      <c r="AM107" s="82">
        <v>342.63374324621202</v>
      </c>
      <c r="AN107" s="82">
        <v>416.93855801818103</v>
      </c>
      <c r="AO107" s="82">
        <v>510.669604100686</v>
      </c>
      <c r="AP107" s="82">
        <v>550.58068378409098</v>
      </c>
      <c r="AQ107" s="82">
        <v>499.01722361363602</v>
      </c>
      <c r="AR107" s="82">
        <v>460.13610599999998</v>
      </c>
      <c r="AS107" s="82">
        <v>571.77995461967896</v>
      </c>
      <c r="AT107" s="82">
        <v>618.81984537878805</v>
      </c>
      <c r="AU107" s="82">
        <v>561.79254065447901</v>
      </c>
      <c r="AV107" s="82">
        <v>526.37471098484798</v>
      </c>
      <c r="AW107" s="82">
        <v>554.674659334436</v>
      </c>
      <c r="AX107" s="82">
        <v>527.17166706106696</v>
      </c>
      <c r="AY107" s="82">
        <v>517.47199994202902</v>
      </c>
      <c r="AZ107" s="82">
        <v>482.588932420454</v>
      </c>
      <c r="BA107" s="82">
        <v>438.62677764130399</v>
      </c>
      <c r="BB107" s="82">
        <v>435.46264142742098</v>
      </c>
      <c r="BC107" s="82">
        <v>381.66903732361601</v>
      </c>
      <c r="BD107" s="82">
        <v>365.08152976992699</v>
      </c>
      <c r="BE107" s="82">
        <v>376.42705686213702</v>
      </c>
      <c r="BF107" s="82">
        <v>383.07895676382998</v>
      </c>
      <c r="BG107" s="82">
        <v>372.10214489519302</v>
      </c>
      <c r="BH107" s="82">
        <v>391.09779501358099</v>
      </c>
      <c r="BI107" s="82">
        <v>396.00652058919201</v>
      </c>
      <c r="BJ107" s="82">
        <v>413.73368670000002</v>
      </c>
      <c r="BK107" s="82">
        <v>411.74340473333302</v>
      </c>
      <c r="BL107" s="82">
        <v>403.62917829999998</v>
      </c>
      <c r="BM107" s="82">
        <v>407.25761540000002</v>
      </c>
      <c r="BN107" s="82">
        <v>408.77329170000002</v>
      </c>
      <c r="BO107" s="82">
        <v>406.56867166666598</v>
      </c>
      <c r="BP107" s="82">
        <v>399.6792342</v>
      </c>
      <c r="BQ107" s="82"/>
      <c r="BR107" s="82"/>
      <c r="BS107" s="82"/>
      <c r="BT107" s="82"/>
    </row>
    <row r="108" spans="1:72" x14ac:dyDescent="0.65">
      <c r="A108" s="92" t="s">
        <v>226</v>
      </c>
      <c r="B108" s="112" t="s">
        <v>634</v>
      </c>
      <c r="C108" s="81" t="s">
        <v>710</v>
      </c>
      <c r="D108" s="82"/>
      <c r="E108" s="83">
        <v>1166.17516913333</v>
      </c>
      <c r="F108" s="83">
        <v>1154.98514790476</v>
      </c>
      <c r="G108" s="83">
        <v>1192.3594259715901</v>
      </c>
      <c r="H108" s="83">
        <v>1093.4877087004099</v>
      </c>
      <c r="I108" s="83">
        <v>1119.2359101918901</v>
      </c>
      <c r="J108" s="83">
        <v>1076.0396144666599</v>
      </c>
      <c r="K108" s="83">
        <v>960.02482729999997</v>
      </c>
      <c r="L108" s="83">
        <v>889.15009245955798</v>
      </c>
      <c r="M108" s="83">
        <v>877.85058375271501</v>
      </c>
      <c r="N108" s="83">
        <v>899.73341717460301</v>
      </c>
      <c r="O108" s="83">
        <v>757.14492630158702</v>
      </c>
      <c r="P108" s="83">
        <v>716.11235498855797</v>
      </c>
      <c r="Q108" s="83">
        <v>696.416638249122</v>
      </c>
      <c r="R108" s="83">
        <v>715.40012847460298</v>
      </c>
      <c r="S108" s="83">
        <v>638.26182671428501</v>
      </c>
      <c r="T108" s="83">
        <v>638.580876266666</v>
      </c>
      <c r="U108" s="83">
        <v>686.88707160526303</v>
      </c>
      <c r="V108" s="83">
        <v>719.72269477777695</v>
      </c>
      <c r="W108" s="83">
        <v>701.40393816542405</v>
      </c>
      <c r="X108" s="83">
        <v>776.64213384127004</v>
      </c>
      <c r="Y108" s="83">
        <v>746.06886791365298</v>
      </c>
      <c r="Z108" s="83">
        <v>704.73192340350795</v>
      </c>
      <c r="AA108" s="83">
        <v>747.00577255652104</v>
      </c>
      <c r="AB108" s="83">
        <v>743.309838263492</v>
      </c>
      <c r="AC108" s="83">
        <v>712.75843464828699</v>
      </c>
      <c r="AD108" s="83">
        <v>677.33259226984103</v>
      </c>
      <c r="AE108" s="83">
        <v>621.14276033692897</v>
      </c>
      <c r="AF108" s="83">
        <v>623.28949695017195</v>
      </c>
      <c r="AG108" s="83">
        <v>649.45360936173699</v>
      </c>
      <c r="AH108" s="84">
        <v>613.71365342222202</v>
      </c>
      <c r="AI108" s="83">
        <v>628.92597679999994</v>
      </c>
      <c r="AJ108" s="83">
        <v>689.20367911028302</v>
      </c>
      <c r="AK108" s="83">
        <v>662.607934117794</v>
      </c>
      <c r="AL108" s="82">
        <v>592.65491958095197</v>
      </c>
      <c r="AM108" s="82">
        <v>695.05862782539702</v>
      </c>
      <c r="AN108" s="82">
        <v>809.71183150000002</v>
      </c>
      <c r="AO108" s="82">
        <v>1061.30709493821</v>
      </c>
      <c r="AP108" s="82">
        <v>1397.0917125873</v>
      </c>
      <c r="AQ108" s="82">
        <v>1361.5076187777699</v>
      </c>
      <c r="AR108" s="82">
        <v>1289.86351319047</v>
      </c>
      <c r="AS108" s="82">
        <v>1495.27713320526</v>
      </c>
      <c r="AT108" s="82">
        <v>1754.96707274603</v>
      </c>
      <c r="AU108" s="82">
        <v>1466.4093002132499</v>
      </c>
      <c r="AV108" s="82">
        <v>1547.6756889523799</v>
      </c>
      <c r="AW108" s="82">
        <v>1323.6340528942001</v>
      </c>
      <c r="AX108" s="82">
        <v>1172.9858038130401</v>
      </c>
      <c r="AY108" s="82">
        <v>1447.3150765728001</v>
      </c>
      <c r="AZ108" s="82">
        <v>1147.2058296984101</v>
      </c>
      <c r="BA108" s="82">
        <v>1030.8329940690101</v>
      </c>
      <c r="BB108" s="82">
        <v>985.38916920144902</v>
      </c>
      <c r="BC108" s="82">
        <v>952.51020665079295</v>
      </c>
      <c r="BD108" s="82">
        <v>946.49555957280802</v>
      </c>
      <c r="BE108" s="82">
        <v>971.26240436321598</v>
      </c>
      <c r="BF108" s="82">
        <v>1097.27492123036</v>
      </c>
      <c r="BG108" s="82">
        <v>1146.22210007889</v>
      </c>
      <c r="BH108" s="82">
        <v>1092.34191312749</v>
      </c>
      <c r="BI108" s="82">
        <v>1120.2860717773401</v>
      </c>
      <c r="BJ108" s="82">
        <v>1238.337863</v>
      </c>
      <c r="BK108" s="82">
        <v>1235.39836266666</v>
      </c>
      <c r="BL108" s="82">
        <v>1216.732538</v>
      </c>
      <c r="BM108" s="82">
        <v>1211.9925940000001</v>
      </c>
      <c r="BN108" s="82">
        <v>1206.811725</v>
      </c>
      <c r="BO108" s="82">
        <v>1193.657463</v>
      </c>
      <c r="BP108" s="82">
        <v>1174.5139690000001</v>
      </c>
      <c r="BQ108" s="82"/>
      <c r="BR108" s="82"/>
      <c r="BS108" s="82"/>
      <c r="BT108" s="82"/>
    </row>
    <row r="109" spans="1:72" x14ac:dyDescent="0.65">
      <c r="A109" s="92" t="s">
        <v>227</v>
      </c>
      <c r="B109" s="112" t="s">
        <v>634</v>
      </c>
      <c r="C109" s="81" t="s">
        <v>711</v>
      </c>
      <c r="D109" s="82"/>
      <c r="E109" s="83">
        <v>372.442598781924</v>
      </c>
      <c r="F109" s="83">
        <v>454.68316656839602</v>
      </c>
      <c r="G109" s="83">
        <v>565.94881611950802</v>
      </c>
      <c r="H109" s="83">
        <v>500.06318725249099</v>
      </c>
      <c r="I109" s="83">
        <v>464.64068276752499</v>
      </c>
      <c r="J109" s="83">
        <v>475.55630607349201</v>
      </c>
      <c r="K109" s="83">
        <v>496.50589953690701</v>
      </c>
      <c r="L109" s="83">
        <v>472.49422924152299</v>
      </c>
      <c r="M109" s="83">
        <v>493.265432877585</v>
      </c>
      <c r="N109" s="83">
        <v>531.89495198336499</v>
      </c>
      <c r="O109" s="83">
        <v>435.98233589648498</v>
      </c>
      <c r="P109" s="83">
        <v>406.72021146483797</v>
      </c>
      <c r="Q109" s="83">
        <v>372.71763160702199</v>
      </c>
      <c r="R109" s="83">
        <v>348.02794618313101</v>
      </c>
      <c r="S109" s="83">
        <v>369.33528977169999</v>
      </c>
      <c r="T109" s="83">
        <v>320.80632861676003</v>
      </c>
      <c r="U109" s="83">
        <v>294.90893084612202</v>
      </c>
      <c r="V109" s="83">
        <v>392.87146547253298</v>
      </c>
      <c r="W109" s="83">
        <v>370.00296303100998</v>
      </c>
      <c r="X109" s="83">
        <v>342.88705572919002</v>
      </c>
      <c r="Y109" s="83">
        <v>364.32165290156598</v>
      </c>
      <c r="Z109" s="83">
        <v>338.01699463327998</v>
      </c>
      <c r="AA109" s="83">
        <v>341.08818865329999</v>
      </c>
      <c r="AB109" s="83">
        <v>351.02783948950997</v>
      </c>
      <c r="AC109" s="83">
        <v>390.07684635814098</v>
      </c>
      <c r="AD109" s="83">
        <v>408.30827759560401</v>
      </c>
      <c r="AE109" s="83">
        <v>353.81454389360198</v>
      </c>
      <c r="AF109" s="83">
        <v>341.04926542474499</v>
      </c>
      <c r="AG109" s="83">
        <v>340.13017238019501</v>
      </c>
      <c r="AH109" s="84">
        <v>338.71487104631302</v>
      </c>
      <c r="AI109" s="83">
        <v>327.75606739258001</v>
      </c>
      <c r="AJ109" s="83">
        <v>331.64153667816498</v>
      </c>
      <c r="AK109" s="83">
        <v>330.02684083025002</v>
      </c>
      <c r="AL109" s="82">
        <v>317.30260905369101</v>
      </c>
      <c r="AM109" s="82">
        <v>331.32066062640399</v>
      </c>
      <c r="AN109" s="82">
        <v>425.85308910559201</v>
      </c>
      <c r="AO109" s="82">
        <v>470.41601807779398</v>
      </c>
      <c r="AP109" s="82">
        <v>440.87934991456802</v>
      </c>
      <c r="AQ109" s="82">
        <v>387.06031247918702</v>
      </c>
      <c r="AR109" s="82">
        <v>389.62449855030599</v>
      </c>
      <c r="AS109" s="82">
        <v>494.15474197583001</v>
      </c>
      <c r="AT109" s="82">
        <v>480.56804477156601</v>
      </c>
      <c r="AU109" s="82">
        <v>507.313070895566</v>
      </c>
      <c r="AV109" s="82">
        <v>469.54405682132</v>
      </c>
      <c r="AW109" s="82">
        <v>534.04558320314095</v>
      </c>
      <c r="AX109" s="82">
        <v>468.08484291895297</v>
      </c>
      <c r="AY109" s="82">
        <v>463.10174951510101</v>
      </c>
      <c r="AZ109" s="82">
        <v>464.57713431539503</v>
      </c>
      <c r="BA109" s="82">
        <v>384.15161176434299</v>
      </c>
      <c r="BB109" s="82">
        <v>393.68307027000799</v>
      </c>
      <c r="BC109" s="82">
        <v>367.91942590929102</v>
      </c>
      <c r="BD109" s="82">
        <v>330.858556427476</v>
      </c>
      <c r="BE109" s="82">
        <v>328.85610097982499</v>
      </c>
      <c r="BF109" s="82">
        <v>318.014668410615</v>
      </c>
      <c r="BG109" s="82">
        <v>284.21388473997001</v>
      </c>
      <c r="BH109" s="82">
        <v>307.48198695965402</v>
      </c>
      <c r="BI109" s="82">
        <v>329.45573933919201</v>
      </c>
      <c r="BJ109" s="82">
        <v>338.29934100000003</v>
      </c>
      <c r="BK109" s="82">
        <v>343.88438500000001</v>
      </c>
      <c r="BL109" s="82">
        <v>344.74786219999999</v>
      </c>
      <c r="BM109" s="82">
        <v>347.94456500000001</v>
      </c>
      <c r="BN109" s="82">
        <v>349.76337869999998</v>
      </c>
      <c r="BO109" s="82">
        <v>351.12289593333298</v>
      </c>
      <c r="BP109" s="82">
        <v>348.16502724999998</v>
      </c>
      <c r="BQ109" s="82"/>
      <c r="BR109" s="82"/>
      <c r="BS109" s="82"/>
      <c r="BT109" s="82"/>
    </row>
    <row r="110" spans="1:72" x14ac:dyDescent="0.65">
      <c r="A110" s="92" t="s">
        <v>228</v>
      </c>
      <c r="B110" s="112" t="s">
        <v>634</v>
      </c>
      <c r="C110" s="81" t="s">
        <v>712</v>
      </c>
      <c r="D110" s="82"/>
      <c r="E110" s="83">
        <v>1478.4696969697</v>
      </c>
      <c r="F110" s="83">
        <v>1441</v>
      </c>
      <c r="G110" s="83">
        <v>1546.08379385836</v>
      </c>
      <c r="H110" s="83">
        <v>1492.3648377848599</v>
      </c>
      <c r="I110" s="83">
        <v>1493.7996844336401</v>
      </c>
      <c r="J110" s="83">
        <v>1459.4240504402501</v>
      </c>
      <c r="K110" s="83">
        <v>1228.74739696345</v>
      </c>
      <c r="L110" s="83">
        <v>1182.9006930248399</v>
      </c>
      <c r="M110" s="83">
        <v>1133.0808290540699</v>
      </c>
      <c r="N110" s="83">
        <v>1121.4795634617601</v>
      </c>
      <c r="O110" s="83">
        <v>1012.4718627710899</v>
      </c>
      <c r="P110" s="83">
        <v>1054.21636925652</v>
      </c>
      <c r="Q110" s="83">
        <v>973.98954858045397</v>
      </c>
      <c r="R110" s="83">
        <v>1062.25448087431</v>
      </c>
      <c r="S110" s="83">
        <v>1010.39890154329</v>
      </c>
      <c r="T110" s="83">
        <v>1042.06938340021</v>
      </c>
      <c r="U110" s="83">
        <v>1024.54536456915</v>
      </c>
      <c r="V110" s="83">
        <v>1028.6489086998499</v>
      </c>
      <c r="W110" s="83">
        <v>982.03251953514302</v>
      </c>
      <c r="X110" s="83">
        <v>1003.7134226214999</v>
      </c>
      <c r="Y110" s="83">
        <v>961.53802234818795</v>
      </c>
      <c r="Z110" s="83">
        <v>942.00865941400502</v>
      </c>
      <c r="AA110" s="83">
        <v>963.86971762222197</v>
      </c>
      <c r="AB110" s="83">
        <v>944.71187169062</v>
      </c>
      <c r="AC110" s="83">
        <v>944.68245169046702</v>
      </c>
      <c r="AD110" s="83">
        <v>936.19419714678997</v>
      </c>
      <c r="AE110" s="83">
        <v>892.94358242774695</v>
      </c>
      <c r="AF110" s="83">
        <v>829.40476837505798</v>
      </c>
      <c r="AG110" s="83">
        <v>838.53985355831196</v>
      </c>
      <c r="AH110" s="84">
        <v>866.00077445751003</v>
      </c>
      <c r="AI110" s="83">
        <v>908.62914294984296</v>
      </c>
      <c r="AJ110" s="83">
        <v>920.87620772454295</v>
      </c>
      <c r="AK110" s="83">
        <v>920.29892965507202</v>
      </c>
      <c r="AL110" s="82">
        <v>914.08022486673894</v>
      </c>
      <c r="AM110" s="82">
        <v>1065.3647702399001</v>
      </c>
      <c r="AN110" s="82">
        <v>1326.2802607706799</v>
      </c>
      <c r="AO110" s="82">
        <v>1725.62070458326</v>
      </c>
      <c r="AP110" s="82">
        <v>1814.2157076421299</v>
      </c>
      <c r="AQ110" s="82">
        <v>1613.3923610909001</v>
      </c>
      <c r="AR110" s="82">
        <v>1722.4051472184799</v>
      </c>
      <c r="AS110" s="82">
        <v>2007.01701826922</v>
      </c>
      <c r="AT110" s="82">
        <v>2396.61554241558</v>
      </c>
      <c r="AU110" s="82">
        <v>1747.1882031150001</v>
      </c>
      <c r="AV110" s="82">
        <v>1585.82777773665</v>
      </c>
      <c r="AW110" s="82">
        <v>1399.79393426297</v>
      </c>
      <c r="AX110" s="82">
        <v>1168.7355645390601</v>
      </c>
      <c r="AY110" s="82">
        <v>1173.31527201311</v>
      </c>
      <c r="AZ110" s="82">
        <v>1130.4294974112499</v>
      </c>
      <c r="BA110" s="82">
        <v>1128.8372009903301</v>
      </c>
      <c r="BB110" s="82">
        <v>1208.33814620112</v>
      </c>
      <c r="BC110" s="82">
        <v>1276.7821427943099</v>
      </c>
      <c r="BD110" s="82">
        <v>1466.7037022003799</v>
      </c>
      <c r="BE110" s="82">
        <v>1460.59289278902</v>
      </c>
      <c r="BF110" s="82">
        <v>1458.37136239393</v>
      </c>
      <c r="BG110" s="82">
        <v>1534.21319007939</v>
      </c>
      <c r="BH110" s="82">
        <v>1649.4846805536199</v>
      </c>
      <c r="BI110" s="82">
        <v>1786.51245117187</v>
      </c>
      <c r="BJ110" s="82">
        <v>1786.51245117187</v>
      </c>
      <c r="BK110" s="82">
        <v>1786.51245117187</v>
      </c>
      <c r="BL110" s="82">
        <v>1786.51245117187</v>
      </c>
      <c r="BM110" s="82">
        <v>1786.51245117187</v>
      </c>
      <c r="BN110" s="82">
        <v>1786.51245117187</v>
      </c>
      <c r="BO110" s="82">
        <v>1786.51245117187</v>
      </c>
      <c r="BP110" s="82">
        <v>1786.51245117187</v>
      </c>
      <c r="BQ110" s="82"/>
      <c r="BR110" s="82"/>
      <c r="BS110" s="82"/>
      <c r="BT110" s="82"/>
    </row>
    <row r="111" spans="1:72" x14ac:dyDescent="0.65">
      <c r="A111" s="20" t="s">
        <v>229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17"/>
      <c r="AI111" s="5"/>
      <c r="AJ111" s="5"/>
      <c r="AK111" s="5"/>
    </row>
    <row r="112" spans="1:72" x14ac:dyDescent="0.65">
      <c r="A112" s="92" t="s">
        <v>25</v>
      </c>
      <c r="B112" s="112" t="s">
        <v>634</v>
      </c>
      <c r="C112" s="81" t="s">
        <v>713</v>
      </c>
      <c r="D112" s="82"/>
      <c r="E112" s="83">
        <v>1046.51487051563</v>
      </c>
      <c r="F112" s="83">
        <v>980.36749082240203</v>
      </c>
      <c r="G112" s="83">
        <v>962.84730861497906</v>
      </c>
      <c r="H112" s="83">
        <v>947.39691438967498</v>
      </c>
      <c r="I112" s="83">
        <v>932.60164366959702</v>
      </c>
      <c r="J112" s="83">
        <v>910.610444401878</v>
      </c>
      <c r="K112" s="83">
        <v>934.20391198360505</v>
      </c>
      <c r="L112" s="83">
        <v>928.12150776970304</v>
      </c>
      <c r="M112" s="83">
        <v>947.13347813703001</v>
      </c>
      <c r="N112" s="83">
        <v>929.19129166596201</v>
      </c>
      <c r="O112" s="83">
        <v>939.27419077239404</v>
      </c>
      <c r="P112" s="83">
        <v>911.90248306937804</v>
      </c>
      <c r="Q112" s="83">
        <v>974.80328507856905</v>
      </c>
      <c r="R112" s="83">
        <v>978.37090245366596</v>
      </c>
      <c r="S112" s="83">
        <v>948.92162239854395</v>
      </c>
      <c r="T112" s="83">
        <v>932.738984079072</v>
      </c>
      <c r="U112" s="83">
        <v>1028.1666781239201</v>
      </c>
      <c r="V112" s="83">
        <v>992.96037087708805</v>
      </c>
      <c r="W112" s="83">
        <v>1023.1683393818601</v>
      </c>
      <c r="X112" s="83">
        <v>965.42576865544402</v>
      </c>
      <c r="Y112" s="83">
        <v>1029.79201655733</v>
      </c>
      <c r="Z112" s="83">
        <v>1081.55177638841</v>
      </c>
      <c r="AA112" s="83">
        <v>1098.06628417968</v>
      </c>
      <c r="AB112" s="83">
        <v>1087.4929263512599</v>
      </c>
      <c r="AC112" s="83">
        <v>1185.7783867033099</v>
      </c>
      <c r="AD112" s="83">
        <v>1155.6979508699401</v>
      </c>
      <c r="AE112" s="83">
        <v>1121.4186540887599</v>
      </c>
      <c r="AF112" s="83">
        <v>1128.10221547929</v>
      </c>
      <c r="AG112" s="83">
        <v>1156.0992921859499</v>
      </c>
      <c r="AH112" s="84">
        <v>1142.43256909919</v>
      </c>
      <c r="AI112" s="83">
        <v>1134.89868164062</v>
      </c>
      <c r="AJ112" s="83">
        <v>1136.4091242009899</v>
      </c>
      <c r="AK112" s="83">
        <v>1185.5978965306899</v>
      </c>
      <c r="AL112" s="82">
        <v>1291.0079418804301</v>
      </c>
      <c r="AM112" s="82">
        <v>1252.54380519854</v>
      </c>
      <c r="AN112" s="82">
        <v>1139.64833963467</v>
      </c>
      <c r="AO112" s="82">
        <v>1231.5289611816399</v>
      </c>
      <c r="AP112" s="82">
        <v>1229.28173828125</v>
      </c>
      <c r="AQ112" s="82">
        <v>1218.3994510534999</v>
      </c>
      <c r="AR112" s="82">
        <v>1154.2815323646601</v>
      </c>
      <c r="AS112" s="82">
        <v>1269.2540792376999</v>
      </c>
      <c r="AT112" s="82">
        <v>1454.8204969265701</v>
      </c>
      <c r="AU112" s="82">
        <v>1604.6432598737899</v>
      </c>
      <c r="AV112" s="82">
        <v>1641.5736196718799</v>
      </c>
      <c r="AW112" s="82">
        <v>1658.6095933997101</v>
      </c>
      <c r="AX112" s="82">
        <v>1622.5369583552001</v>
      </c>
      <c r="AY112" s="82">
        <v>1560.77346656436</v>
      </c>
      <c r="AZ112" s="82">
        <v>1557.4250876686699</v>
      </c>
      <c r="BA112" s="82">
        <v>1612.9813282126099</v>
      </c>
      <c r="BB112" s="82">
        <v>1376.17466609185</v>
      </c>
      <c r="BC112" s="82">
        <v>1032.4531428023899</v>
      </c>
      <c r="BD112" s="82">
        <v>921.67860128176596</v>
      </c>
      <c r="BE112" s="82">
        <v>1186.9445234658001</v>
      </c>
      <c r="BF112" s="82">
        <v>1050.2339722384199</v>
      </c>
      <c r="BG112" s="82">
        <v>1014.71838789023</v>
      </c>
      <c r="BH112" s="82">
        <v>1149.8118409972201</v>
      </c>
      <c r="BI112" s="82">
        <v>1207.93566894531</v>
      </c>
      <c r="BJ112" s="82">
        <v>1207.93566894531</v>
      </c>
      <c r="BK112" s="82">
        <v>1207.93566894531</v>
      </c>
      <c r="BL112" s="82">
        <v>1207.93566894531</v>
      </c>
      <c r="BM112" s="82">
        <v>1207.93566894531</v>
      </c>
      <c r="BN112" s="82">
        <v>1207.93566894531</v>
      </c>
      <c r="BO112" s="82">
        <v>1207.93566894531</v>
      </c>
      <c r="BP112" s="82">
        <v>1207.93566894531</v>
      </c>
      <c r="BQ112" s="82"/>
      <c r="BR112" s="82"/>
      <c r="BS112" s="82"/>
      <c r="BT112" s="82"/>
    </row>
    <row r="113" spans="1:72" x14ac:dyDescent="0.65">
      <c r="A113" s="92" t="s">
        <v>230</v>
      </c>
      <c r="B113" s="112" t="s">
        <v>634</v>
      </c>
      <c r="C113" s="81" t="s">
        <v>714</v>
      </c>
      <c r="D113" s="82"/>
      <c r="E113" s="83">
        <v>1.9000424242424201</v>
      </c>
      <c r="F113" s="83">
        <v>1.26566489898989</v>
      </c>
      <c r="G113" s="83">
        <v>1.22140459845265</v>
      </c>
      <c r="H113" s="83">
        <v>1.1959531573498901</v>
      </c>
      <c r="I113" s="83">
        <v>1.24150624477861</v>
      </c>
      <c r="J113" s="83">
        <v>1.4479863636363599</v>
      </c>
      <c r="K113" s="83">
        <v>1.36309848484848</v>
      </c>
      <c r="L113" s="83">
        <v>1.3216327812284301</v>
      </c>
      <c r="M113" s="83">
        <v>1.4696570593149501</v>
      </c>
      <c r="N113" s="83">
        <v>1.5856984126984099</v>
      </c>
      <c r="O113" s="83">
        <v>1.4633679653679601</v>
      </c>
      <c r="P113" s="83">
        <v>1.3984879862700199</v>
      </c>
      <c r="Q113" s="83">
        <v>1.32047093301435</v>
      </c>
      <c r="R113" s="83">
        <v>1.1662267316017301</v>
      </c>
      <c r="S113" s="83">
        <v>1.2327680375180301</v>
      </c>
      <c r="T113" s="83">
        <v>1.3850098484848401</v>
      </c>
      <c r="U113" s="83">
        <v>1.2972169457735201</v>
      </c>
      <c r="V113" s="83">
        <v>1.4833647186147101</v>
      </c>
      <c r="W113" s="83">
        <v>1.87798222912353</v>
      </c>
      <c r="X113" s="83">
        <v>2.0737539682539601</v>
      </c>
      <c r="Y113" s="83">
        <v>1.7454336003051101</v>
      </c>
      <c r="Z113" s="83">
        <v>1.4708038277511899</v>
      </c>
      <c r="AA113" s="83">
        <v>1.3873707211870201</v>
      </c>
      <c r="AB113" s="83">
        <v>1.5469674242424201</v>
      </c>
      <c r="AC113" s="83">
        <v>1.4285697577276499</v>
      </c>
      <c r="AD113" s="83">
        <v>1.5628697691197599</v>
      </c>
      <c r="AE113" s="83">
        <v>1.5965547019723201</v>
      </c>
      <c r="AF113" s="83">
        <v>1.3849085231193901</v>
      </c>
      <c r="AG113" s="83">
        <v>1.20232539682539</v>
      </c>
      <c r="AH113" s="84">
        <v>1.03255086580086</v>
      </c>
      <c r="AI113" s="83">
        <v>1.00485757575757</v>
      </c>
      <c r="AJ113" s="83">
        <v>0.98062477570738404</v>
      </c>
      <c r="AK113" s="83">
        <v>1.0052414748993701</v>
      </c>
      <c r="AL113" s="82">
        <v>1.18235898268398</v>
      </c>
      <c r="AM113" s="82">
        <v>1.1851215728715701</v>
      </c>
      <c r="AN113" s="82">
        <v>1.1932901515151499</v>
      </c>
      <c r="AO113" s="82">
        <v>1.1403882532417999</v>
      </c>
      <c r="AP113" s="82">
        <v>1.1519455266955201</v>
      </c>
      <c r="AQ113" s="82">
        <v>1.3558834776334701</v>
      </c>
      <c r="AR113" s="82">
        <v>1.2799137806637799</v>
      </c>
      <c r="AS113" s="82">
        <v>1.4485163424866501</v>
      </c>
      <c r="AT113" s="82">
        <v>1.7542391774891699</v>
      </c>
      <c r="AU113" s="82">
        <v>1.73344552669552</v>
      </c>
      <c r="AV113" s="82">
        <v>2.0677500000000002</v>
      </c>
      <c r="AW113" s="82">
        <v>2.3590237154150202</v>
      </c>
      <c r="AX113" s="82">
        <v>2.7080691370223899</v>
      </c>
      <c r="AY113" s="82">
        <v>3.1551038647342899</v>
      </c>
      <c r="AZ113" s="82">
        <v>3.8131738816738801</v>
      </c>
      <c r="BA113" s="82">
        <v>3.5123485162180801</v>
      </c>
      <c r="BB113" s="82">
        <v>4.0958691040843203</v>
      </c>
      <c r="BC113" s="82">
        <v>4.6425949557688702</v>
      </c>
      <c r="BD113" s="82">
        <v>5.0159126043039102</v>
      </c>
      <c r="BE113" s="82">
        <v>3.7353498792270501</v>
      </c>
      <c r="BF113" s="82">
        <v>2.6459740259740201</v>
      </c>
      <c r="BG113" s="82">
        <v>2.56080442625007</v>
      </c>
      <c r="BH113" s="82">
        <v>1.7840997364953799</v>
      </c>
      <c r="BI113" s="82">
        <v>1.8057348728179901</v>
      </c>
      <c r="BJ113" s="82">
        <v>1.6174999999999999</v>
      </c>
      <c r="BK113" s="82">
        <v>1.6565000000000001</v>
      </c>
      <c r="BL113" s="82">
        <v>1.6930000000000001</v>
      </c>
      <c r="BM113" s="82">
        <v>1.7175</v>
      </c>
      <c r="BN113" s="82">
        <v>1.6950000000000001</v>
      </c>
      <c r="BO113" s="82">
        <v>1.6725000000000001</v>
      </c>
      <c r="BP113" s="82">
        <v>1.6850000000000001</v>
      </c>
      <c r="BQ113" s="82"/>
      <c r="BR113" s="82"/>
      <c r="BS113" s="82"/>
      <c r="BT113" s="82"/>
    </row>
    <row r="114" spans="1:72" x14ac:dyDescent="0.65">
      <c r="A114" s="92" t="s">
        <v>231</v>
      </c>
      <c r="B114" s="112" t="s">
        <v>634</v>
      </c>
      <c r="C114" s="81" t="s">
        <v>715</v>
      </c>
      <c r="D114" s="82"/>
      <c r="E114" s="83">
        <v>16.297548968253899</v>
      </c>
      <c r="F114" s="83">
        <v>15.522146307798399</v>
      </c>
      <c r="G114" s="83">
        <v>17.735561882081601</v>
      </c>
      <c r="H114" s="83">
        <v>20.166521682351402</v>
      </c>
      <c r="I114" s="83">
        <v>17.404558367839801</v>
      </c>
      <c r="J114" s="83">
        <v>18.0516177101449</v>
      </c>
      <c r="K114" s="83">
        <v>17.8337182364012</v>
      </c>
      <c r="L114" s="83">
        <v>18.690985940774201</v>
      </c>
      <c r="M114" s="83">
        <v>22.231504241890899</v>
      </c>
      <c r="N114" s="83">
        <v>22.706617373737298</v>
      </c>
      <c r="O114" s="83">
        <v>22.552498361565899</v>
      </c>
      <c r="P114" s="83">
        <v>21.356501021739099</v>
      </c>
      <c r="Q114" s="83">
        <v>15.737468030303001</v>
      </c>
      <c r="R114" s="83">
        <v>16.234894314574301</v>
      </c>
      <c r="S114" s="83">
        <v>16.2066324662776</v>
      </c>
      <c r="T114" s="83">
        <v>15.172001693958199</v>
      </c>
      <c r="U114" s="83">
        <v>13.768605935127599</v>
      </c>
      <c r="V114" s="83">
        <v>13.3226262626262</v>
      </c>
      <c r="W114" s="83">
        <v>16.186315417215599</v>
      </c>
      <c r="X114" s="83">
        <v>16.270406861471798</v>
      </c>
      <c r="Y114" s="83">
        <v>16.501150982213399</v>
      </c>
      <c r="Z114" s="83">
        <v>15.6915410013175</v>
      </c>
      <c r="AA114" s="83">
        <v>16.087533195307099</v>
      </c>
      <c r="AB114" s="83">
        <v>16.243732373737299</v>
      </c>
      <c r="AC114" s="83">
        <v>13.9293517786561</v>
      </c>
      <c r="AD114" s="83">
        <v>14.9905037957211</v>
      </c>
      <c r="AE114" s="83">
        <v>15.237809629776001</v>
      </c>
      <c r="AF114" s="83">
        <v>14.6803946533659</v>
      </c>
      <c r="AG114" s="83">
        <v>14.3870082815735</v>
      </c>
      <c r="AH114" s="84">
        <v>16.154992409090902</v>
      </c>
      <c r="AI114" s="83">
        <v>17.659166425748101</v>
      </c>
      <c r="AJ114" s="83">
        <v>19.480623991781101</v>
      </c>
      <c r="AK114" s="83">
        <v>16.824971966403101</v>
      </c>
      <c r="AL114" s="82">
        <v>15.081082402597399</v>
      </c>
      <c r="AM114" s="82">
        <v>20.316897036514199</v>
      </c>
      <c r="AN114" s="82">
        <v>20.084429870129799</v>
      </c>
      <c r="AO114" s="82">
        <v>16.037762146307799</v>
      </c>
      <c r="AP114" s="82">
        <v>16.17999</v>
      </c>
      <c r="AQ114" s="82">
        <v>18.171030516212099</v>
      </c>
      <c r="AR114" s="82">
        <v>20.821798980851302</v>
      </c>
      <c r="AS114" s="82">
        <v>26.763308286184198</v>
      </c>
      <c r="AT114" s="82">
        <v>28.6148378021933</v>
      </c>
      <c r="AU114" s="82">
        <v>28.304389763719801</v>
      </c>
      <c r="AV114" s="82">
        <v>26.392785188261101</v>
      </c>
      <c r="AW114" s="82">
        <v>21.6470129924163</v>
      </c>
      <c r="AX114" s="82">
        <v>20.421597551512502</v>
      </c>
      <c r="AY114" s="82">
        <v>21.017143824913699</v>
      </c>
      <c r="AZ114" s="82">
        <v>23.012227072380899</v>
      </c>
      <c r="BA114" s="82">
        <v>22.3591162113043</v>
      </c>
      <c r="BB114" s="82">
        <v>23.240938111647498</v>
      </c>
      <c r="BC114" s="82">
        <v>24.6098573073693</v>
      </c>
      <c r="BD114" s="82">
        <v>23.7278959163752</v>
      </c>
      <c r="BE114" s="82">
        <v>22.4114358617691</v>
      </c>
      <c r="BF114" s="82">
        <v>20.517324174588701</v>
      </c>
      <c r="BG114" s="82">
        <v>20.585656270360701</v>
      </c>
      <c r="BH114" s="82">
        <v>15.769776264150201</v>
      </c>
      <c r="BI114" s="82">
        <v>15.775947888692199</v>
      </c>
      <c r="BJ114" s="82">
        <v>17.813333333333301</v>
      </c>
      <c r="BK114" s="82">
        <v>17.98</v>
      </c>
      <c r="BL114" s="82">
        <v>17.913333333333298</v>
      </c>
      <c r="BM114" s="82">
        <v>17.043333333333301</v>
      </c>
      <c r="BN114" s="82">
        <v>17.1866666666666</v>
      </c>
      <c r="BO114" s="82">
        <v>17.393333333333299</v>
      </c>
      <c r="BP114" s="82">
        <v>17.239999999999998</v>
      </c>
      <c r="BQ114" s="82"/>
      <c r="BR114" s="82"/>
      <c r="BS114" s="82"/>
      <c r="BT114" s="82"/>
    </row>
    <row r="115" spans="1:72" x14ac:dyDescent="0.65">
      <c r="A115" s="92" t="s">
        <v>232</v>
      </c>
      <c r="B115" s="112" t="s">
        <v>634</v>
      </c>
      <c r="C115" s="81" t="s">
        <v>716</v>
      </c>
      <c r="D115" s="82"/>
      <c r="E115" s="83">
        <v>1309.8649773448799</v>
      </c>
      <c r="F115" s="83">
        <v>1522.80023809524</v>
      </c>
      <c r="G115" s="83">
        <v>1735.6370837143199</v>
      </c>
      <c r="H115" s="83">
        <v>1928.9076343898901</v>
      </c>
      <c r="I115" s="83">
        <v>1918.39397384979</v>
      </c>
      <c r="J115" s="83">
        <v>1804.7317213527101</v>
      </c>
      <c r="K115" s="83">
        <v>1581.8684141517199</v>
      </c>
      <c r="L115" s="83">
        <v>1542.18976019976</v>
      </c>
      <c r="M115" s="83">
        <v>1657.9484643399601</v>
      </c>
      <c r="N115" s="83">
        <v>1861.6194611548301</v>
      </c>
      <c r="O115" s="83">
        <v>1973.62674696097</v>
      </c>
      <c r="P115" s="83">
        <v>2192.6874925864799</v>
      </c>
      <c r="Q115" s="83">
        <v>2031.8616463436499</v>
      </c>
      <c r="R115" s="83">
        <v>1744.2057816572101</v>
      </c>
      <c r="S115" s="83">
        <v>1558.8969355699901</v>
      </c>
      <c r="T115" s="83">
        <v>1701.88243188154</v>
      </c>
      <c r="U115" s="83">
        <v>1466.3513492822001</v>
      </c>
      <c r="V115" s="83">
        <v>1511.53621447264</v>
      </c>
      <c r="W115" s="83">
        <v>1409.7252556654901</v>
      </c>
      <c r="X115" s="83">
        <v>1286.2031566108999</v>
      </c>
      <c r="Y115" s="83">
        <v>1139.7079362576901</v>
      </c>
      <c r="Z115" s="83">
        <v>1102.4217060037699</v>
      </c>
      <c r="AA115" s="83">
        <v>1142.76510293673</v>
      </c>
      <c r="AB115" s="83">
        <v>1260.23170335601</v>
      </c>
      <c r="AC115" s="83">
        <v>1476.92329632324</v>
      </c>
      <c r="AD115" s="83">
        <v>1376.9799188905699</v>
      </c>
      <c r="AE115" s="83">
        <v>1281.79811282435</v>
      </c>
      <c r="AF115" s="83">
        <v>1264.69279906623</v>
      </c>
      <c r="AG115" s="83">
        <v>1272.55711184853</v>
      </c>
      <c r="AH115" s="84">
        <v>1300.1020164325</v>
      </c>
      <c r="AI115" s="83">
        <v>1210.59481964421</v>
      </c>
      <c r="AJ115" s="83">
        <v>1220.8742309275499</v>
      </c>
      <c r="AK115" s="83">
        <v>1289.8537124509601</v>
      </c>
      <c r="AL115" s="82">
        <v>1285.6771936124801</v>
      </c>
      <c r="AM115" s="82">
        <v>1291.6293146368801</v>
      </c>
      <c r="AN115" s="82">
        <v>1293.0259060155499</v>
      </c>
      <c r="AO115" s="82">
        <v>1374.8606209566001</v>
      </c>
      <c r="AP115" s="82">
        <v>1470.6796483611099</v>
      </c>
      <c r="AQ115" s="82">
        <v>1476.2846264490599</v>
      </c>
      <c r="AR115" s="82">
        <v>1447.9745824261599</v>
      </c>
      <c r="AS115" s="82">
        <v>1490.6880186547701</v>
      </c>
      <c r="AT115" s="82">
        <v>1465.35636061319</v>
      </c>
      <c r="AU115" s="82">
        <v>1370.7762329755301</v>
      </c>
      <c r="AV115" s="82">
        <v>1333.9242203414999</v>
      </c>
      <c r="AW115" s="82">
        <v>1442.6075336062299</v>
      </c>
      <c r="AX115" s="82">
        <v>1626.46475416008</v>
      </c>
      <c r="AY115" s="82">
        <v>1787.17787483796</v>
      </c>
      <c r="AZ115" s="82">
        <v>1756.8334273636001</v>
      </c>
      <c r="BA115" s="82">
        <v>1605.69812562226</v>
      </c>
      <c r="BB115" s="82">
        <v>1430.7167164403199</v>
      </c>
      <c r="BC115" s="82">
        <v>1403.10932320137</v>
      </c>
      <c r="BD115" s="82">
        <v>1300.1129562328599</v>
      </c>
      <c r="BE115" s="82">
        <v>1335.0602852189099</v>
      </c>
      <c r="BF115" s="82">
        <v>1452.32428107432</v>
      </c>
      <c r="BG115" s="82">
        <v>1532.0175355229501</v>
      </c>
      <c r="BH115" s="82">
        <v>1723.6007191789099</v>
      </c>
      <c r="BI115" s="82">
        <v>1996.48718261718</v>
      </c>
      <c r="BJ115" s="82">
        <v>1996.48718261718</v>
      </c>
      <c r="BK115" s="82">
        <v>1996.48718261718</v>
      </c>
      <c r="BL115" s="82">
        <v>1996.48718261718</v>
      </c>
      <c r="BM115" s="82">
        <v>1996.48718261718</v>
      </c>
      <c r="BN115" s="82">
        <v>1996.48718261718</v>
      </c>
      <c r="BO115" s="82">
        <v>1996.48718261718</v>
      </c>
      <c r="BP115" s="82">
        <v>1996.48718261718</v>
      </c>
      <c r="BQ115" s="82"/>
      <c r="BR115" s="82"/>
      <c r="BS115" s="82"/>
      <c r="BT115" s="82"/>
    </row>
    <row r="116" spans="1:72" x14ac:dyDescent="0.65">
      <c r="A116" s="92" t="s">
        <v>233</v>
      </c>
      <c r="B116" s="112" t="s">
        <v>634</v>
      </c>
      <c r="C116" s="81" t="s">
        <v>717</v>
      </c>
      <c r="D116" s="82"/>
      <c r="E116" s="83">
        <v>1850.59897081189</v>
      </c>
      <c r="F116" s="83">
        <v>1627.8629433494</v>
      </c>
      <c r="G116" s="83">
        <v>1548.5153409561201</v>
      </c>
      <c r="H116" s="83">
        <v>1725.73326919079</v>
      </c>
      <c r="I116" s="83">
        <v>2091.8354636536901</v>
      </c>
      <c r="J116" s="83">
        <v>2521.0475243155402</v>
      </c>
      <c r="K116" s="83">
        <v>2347.1210410697299</v>
      </c>
      <c r="L116" s="83">
        <v>2312.6513766232201</v>
      </c>
      <c r="M116" s="83">
        <v>2377.33473869606</v>
      </c>
      <c r="N116" s="83">
        <v>2228.8257118636302</v>
      </c>
      <c r="O116" s="83">
        <v>2046.7857526257601</v>
      </c>
      <c r="P116" s="83">
        <v>1940.1118409666601</v>
      </c>
      <c r="Q116" s="83">
        <v>2016.80617728484</v>
      </c>
      <c r="R116" s="83">
        <v>2023.3677803174601</v>
      </c>
      <c r="S116" s="83">
        <v>2012.85562382837</v>
      </c>
      <c r="T116" s="83">
        <v>1731.8181340459801</v>
      </c>
      <c r="U116" s="83">
        <v>1821.3186232601699</v>
      </c>
      <c r="V116" s="83">
        <v>1855.36090256277</v>
      </c>
      <c r="W116" s="83">
        <v>1804.6663685430001</v>
      </c>
      <c r="X116" s="83">
        <v>1711.84500632611</v>
      </c>
      <c r="Y116" s="83">
        <v>1836.6252822889301</v>
      </c>
      <c r="Z116" s="83">
        <v>1846.96127089018</v>
      </c>
      <c r="AA116" s="83">
        <v>1960.56188186542</v>
      </c>
      <c r="AB116" s="83">
        <v>2153.4704548463201</v>
      </c>
      <c r="AC116" s="83">
        <v>2107.91539234736</v>
      </c>
      <c r="AD116" s="83">
        <v>2153.1925031849501</v>
      </c>
      <c r="AE116" s="83">
        <v>2090.9919451076398</v>
      </c>
      <c r="AF116" s="83">
        <v>1841.41299490661</v>
      </c>
      <c r="AG116" s="83">
        <v>1703.3641174827101</v>
      </c>
      <c r="AH116" s="84">
        <v>1941.24422948287</v>
      </c>
      <c r="AI116" s="83">
        <v>1913.9723656180399</v>
      </c>
      <c r="AJ116" s="83">
        <v>1828.8296880528201</v>
      </c>
      <c r="AK116" s="83">
        <v>1907.4667166086899</v>
      </c>
      <c r="AL116" s="82">
        <v>1933.3513977489099</v>
      </c>
      <c r="AM116" s="82">
        <v>1935.95299042948</v>
      </c>
      <c r="AN116" s="82">
        <v>1964.3950102461499</v>
      </c>
      <c r="AO116" s="82">
        <v>1978.62762923009</v>
      </c>
      <c r="AP116" s="82">
        <v>2017.5256390483401</v>
      </c>
      <c r="AQ116" s="82">
        <v>2072.17545501515</v>
      </c>
      <c r="AR116" s="82">
        <v>2275.0912032146298</v>
      </c>
      <c r="AS116" s="82">
        <v>2377.4997818976799</v>
      </c>
      <c r="AT116" s="82">
        <v>2350.4091778376601</v>
      </c>
      <c r="AU116" s="82">
        <v>2423.4450375564602</v>
      </c>
      <c r="AV116" s="82">
        <v>2553.28764383405</v>
      </c>
      <c r="AW116" s="82">
        <v>2528.53947353596</v>
      </c>
      <c r="AX116" s="82">
        <v>2608.3929126818798</v>
      </c>
      <c r="AY116" s="82">
        <v>2595.5754231925398</v>
      </c>
      <c r="AZ116" s="82">
        <v>2449.7464948261099</v>
      </c>
      <c r="BA116" s="82">
        <v>2494.4955271048998</v>
      </c>
      <c r="BB116" s="82">
        <v>2553.39664201798</v>
      </c>
      <c r="BC116" s="82">
        <v>2551.7366300635799</v>
      </c>
      <c r="BD116" s="82">
        <v>2329.3560696414702</v>
      </c>
      <c r="BE116" s="82">
        <v>2427.19917556366</v>
      </c>
      <c r="BF116" s="82">
        <v>2458.5236498102399</v>
      </c>
      <c r="BG116" s="82">
        <v>2503.9189125656198</v>
      </c>
      <c r="BH116" s="82">
        <v>2362.1719499999999</v>
      </c>
      <c r="BI116" s="82">
        <v>2406.171875</v>
      </c>
      <c r="BJ116" s="82">
        <v>2406.171875</v>
      </c>
      <c r="BK116" s="82">
        <v>2406.171875</v>
      </c>
      <c r="BL116" s="82">
        <v>2406.171875</v>
      </c>
      <c r="BM116" s="82">
        <v>2406.171875</v>
      </c>
      <c r="BN116" s="82">
        <v>2406.171875</v>
      </c>
      <c r="BO116" s="82">
        <v>2406.171875</v>
      </c>
      <c r="BP116" s="82">
        <v>2406.171875</v>
      </c>
      <c r="BQ116" s="82"/>
      <c r="BR116" s="82"/>
      <c r="BS116" s="82"/>
      <c r="BT116" s="82"/>
    </row>
    <row r="117" spans="1:72" x14ac:dyDescent="0.65">
      <c r="A117" s="92" t="s">
        <v>234</v>
      </c>
      <c r="B117" s="112" t="s">
        <v>634</v>
      </c>
      <c r="C117" s="81" t="s">
        <v>718</v>
      </c>
      <c r="D117" s="82"/>
      <c r="E117" s="83">
        <v>69.418085031746003</v>
      </c>
      <c r="F117" s="83">
        <v>73.950373770790605</v>
      </c>
      <c r="G117" s="83">
        <v>86.016560825168895</v>
      </c>
      <c r="H117" s="83">
        <v>81.458881833333294</v>
      </c>
      <c r="I117" s="83">
        <v>67.518347188197694</v>
      </c>
      <c r="J117" s="83">
        <v>60.209295757575703</v>
      </c>
      <c r="K117" s="83">
        <v>49.234429695652103</v>
      </c>
      <c r="L117" s="83">
        <v>49.185736733500399</v>
      </c>
      <c r="M117" s="83">
        <v>49.082677028708098</v>
      </c>
      <c r="N117" s="83">
        <v>48.988016849206304</v>
      </c>
      <c r="O117" s="83">
        <v>47.533090311004798</v>
      </c>
      <c r="P117" s="83">
        <v>49.741476355713999</v>
      </c>
      <c r="Q117" s="83">
        <v>56.330614945697597</v>
      </c>
      <c r="R117" s="83">
        <v>68.888394186602795</v>
      </c>
      <c r="S117" s="83">
        <v>72.019148461697696</v>
      </c>
      <c r="T117" s="83">
        <v>78.224609232804198</v>
      </c>
      <c r="U117" s="83">
        <v>69.257836373015806</v>
      </c>
      <c r="V117" s="83">
        <v>91.104552996633004</v>
      </c>
      <c r="W117" s="83">
        <v>124.022745196969</v>
      </c>
      <c r="X117" s="83">
        <v>148.56334447089901</v>
      </c>
      <c r="Y117" s="83">
        <v>87.848520411255393</v>
      </c>
      <c r="Z117" s="83">
        <v>85.314924069263995</v>
      </c>
      <c r="AA117" s="83">
        <v>87.897581428571399</v>
      </c>
      <c r="AB117" s="83">
        <v>76.667080318181803</v>
      </c>
      <c r="AC117" s="83">
        <v>62.231827129186598</v>
      </c>
      <c r="AD117" s="83">
        <v>55.749375281385198</v>
      </c>
      <c r="AE117" s="83">
        <v>60.713938030302998</v>
      </c>
      <c r="AF117" s="83">
        <v>62.605835098997503</v>
      </c>
      <c r="AG117" s="83">
        <v>61.624288017543797</v>
      </c>
      <c r="AH117" s="84">
        <v>64.675849051036593</v>
      </c>
      <c r="AI117" s="83">
        <v>61.839561350877197</v>
      </c>
      <c r="AJ117" s="83">
        <v>63.841646286967404</v>
      </c>
      <c r="AK117" s="83">
        <v>59.680600897533601</v>
      </c>
      <c r="AL117" s="82">
        <v>55.775149025252503</v>
      </c>
      <c r="AM117" s="82">
        <v>62.6340843898613</v>
      </c>
      <c r="AN117" s="82">
        <v>69.918932857142806</v>
      </c>
      <c r="AO117" s="82">
        <v>65.594524859000003</v>
      </c>
      <c r="AP117" s="82">
        <v>73.020366912251106</v>
      </c>
      <c r="AQ117" s="82">
        <v>70.449183909090905</v>
      </c>
      <c r="AR117" s="82">
        <v>66.732559153800395</v>
      </c>
      <c r="AS117" s="82">
        <v>65.188140555865004</v>
      </c>
      <c r="AT117" s="82">
        <v>63.200032314151002</v>
      </c>
      <c r="AU117" s="82">
        <v>59.275654638141198</v>
      </c>
      <c r="AV117" s="82">
        <v>58.342316782453103</v>
      </c>
      <c r="AW117" s="82">
        <v>60.564632877893899</v>
      </c>
      <c r="AX117" s="82">
        <v>59.362403710433298</v>
      </c>
      <c r="AY117" s="82">
        <v>68.5859802813968</v>
      </c>
      <c r="AZ117" s="82">
        <v>73.139684159614006</v>
      </c>
      <c r="BA117" s="82">
        <v>70.236260645978803</v>
      </c>
      <c r="BB117" s="82">
        <v>78.887243125409896</v>
      </c>
      <c r="BC117" s="82">
        <v>87.592070078142299</v>
      </c>
      <c r="BD117" s="82">
        <v>82.560213108111995</v>
      </c>
      <c r="BE117" s="82">
        <v>65.778497127425894</v>
      </c>
      <c r="BF117" s="82">
        <v>66.174700704476194</v>
      </c>
      <c r="BG117" s="82">
        <v>68.234674870294995</v>
      </c>
      <c r="BH117" s="82">
        <v>68.131500746576506</v>
      </c>
      <c r="BI117" s="82">
        <v>75.910233815511006</v>
      </c>
      <c r="BJ117" s="82">
        <v>75.910233815511006</v>
      </c>
      <c r="BK117" s="82">
        <v>75.910233815511006</v>
      </c>
      <c r="BL117" s="82">
        <v>75.910233815511006</v>
      </c>
      <c r="BM117" s="82">
        <v>75.910233815511006</v>
      </c>
      <c r="BN117" s="82">
        <v>75.910233815511006</v>
      </c>
      <c r="BO117" s="82">
        <v>75.910233815511006</v>
      </c>
      <c r="BP117" s="82">
        <v>75.910233815511006</v>
      </c>
      <c r="BQ117" s="82"/>
      <c r="BR117" s="82"/>
      <c r="BS117" s="82"/>
      <c r="BT117" s="82"/>
    </row>
    <row r="118" spans="1:72" x14ac:dyDescent="0.65">
      <c r="A118" s="92" t="s">
        <v>235</v>
      </c>
      <c r="B118" s="112" t="s">
        <v>634</v>
      </c>
      <c r="C118" s="81" t="s">
        <v>719</v>
      </c>
      <c r="D118" s="82"/>
      <c r="E118" s="83">
        <v>2.8953915440000002</v>
      </c>
      <c r="F118" s="83">
        <v>2.9814130466666602</v>
      </c>
      <c r="G118" s="83">
        <v>3.355086526</v>
      </c>
      <c r="H118" s="83">
        <v>3.3366037710000001</v>
      </c>
      <c r="I118" s="83">
        <v>3.4434857346666599</v>
      </c>
      <c r="J118" s="83">
        <v>3.6875391686666599</v>
      </c>
      <c r="K118" s="83">
        <v>4.3551424103333298</v>
      </c>
      <c r="L118" s="83">
        <v>3.4382213686666598</v>
      </c>
      <c r="M118" s="83">
        <v>3.27246797366666</v>
      </c>
      <c r="N118" s="83">
        <v>3.3875114970000002</v>
      </c>
      <c r="O118" s="83">
        <v>3.27551194433333</v>
      </c>
      <c r="P118" s="83">
        <v>2.7445744510000001</v>
      </c>
      <c r="Q118" s="83">
        <v>2.5000797459999999</v>
      </c>
      <c r="R118" s="83">
        <v>2.720258442</v>
      </c>
      <c r="S118" s="83">
        <v>3.04870031133333</v>
      </c>
      <c r="T118" s="83">
        <v>2.6089454216666601</v>
      </c>
      <c r="U118" s="83">
        <v>2.5917422920000002</v>
      </c>
      <c r="V118" s="83">
        <v>2.7804199879999998</v>
      </c>
      <c r="W118" s="83">
        <v>3.0760413896666599</v>
      </c>
      <c r="X118" s="83">
        <v>2.6771081049999998</v>
      </c>
      <c r="Y118" s="83">
        <v>2.6131844596666598</v>
      </c>
      <c r="Z118" s="83">
        <v>2.8670861369999998</v>
      </c>
      <c r="AA118" s="83">
        <v>3.3412347379999998</v>
      </c>
      <c r="AB118" s="83">
        <v>3.1114027449999999</v>
      </c>
      <c r="AC118" s="83">
        <v>3.144876161</v>
      </c>
      <c r="AD118" s="83">
        <v>3.3167462813333302</v>
      </c>
      <c r="AE118" s="83">
        <v>3.6425218566666602</v>
      </c>
      <c r="AF118" s="83">
        <v>3.0410029619999999</v>
      </c>
      <c r="AG118" s="83">
        <v>2.97703269866666</v>
      </c>
      <c r="AH118" s="84">
        <v>3.051930289</v>
      </c>
      <c r="AI118" s="83">
        <v>3.2167888926666599</v>
      </c>
      <c r="AJ118" s="83">
        <v>2.92867229866666</v>
      </c>
      <c r="AK118" s="83">
        <v>2.8487295330000002</v>
      </c>
      <c r="AL118" s="82">
        <v>2.9200040656666602</v>
      </c>
      <c r="AM118" s="82">
        <v>3.57525945933333</v>
      </c>
      <c r="AN118" s="82">
        <v>3.3456325146666601</v>
      </c>
      <c r="AO118" s="82">
        <v>3.3036576449999999</v>
      </c>
      <c r="AP118" s="82">
        <v>3.571559916</v>
      </c>
      <c r="AQ118" s="82">
        <v>3.73321778333333</v>
      </c>
      <c r="AR118" s="82">
        <v>3.2261641509999999</v>
      </c>
      <c r="AS118" s="82">
        <v>3.1516238266666599</v>
      </c>
      <c r="AT118" s="82">
        <v>3.0872777239999998</v>
      </c>
      <c r="AU118" s="82">
        <v>3.0352927026666601</v>
      </c>
      <c r="AV118" s="82">
        <v>2.9389397289999999</v>
      </c>
      <c r="AW118" s="82">
        <v>3.1361876199999998</v>
      </c>
      <c r="AX118" s="82">
        <v>3.3696608216666601</v>
      </c>
      <c r="AY118" s="82">
        <v>3.6070241976666599</v>
      </c>
      <c r="AZ118" s="82">
        <v>3.3285387986666599</v>
      </c>
      <c r="BA118" s="82">
        <v>3.259216989</v>
      </c>
      <c r="BB118" s="82">
        <v>3.3411481773333298</v>
      </c>
      <c r="BC118" s="82">
        <v>3.6135128533333298</v>
      </c>
      <c r="BD118" s="82">
        <v>3.19547790266666</v>
      </c>
      <c r="BE118" s="82">
        <v>3.089898196</v>
      </c>
      <c r="BF118" s="82">
        <v>3.4965851026666601</v>
      </c>
      <c r="BG118" s="82">
        <v>3.6839528989999999</v>
      </c>
      <c r="BH118" s="82">
        <v>3.4076381993333298</v>
      </c>
      <c r="BI118" s="82">
        <v>3.4737918376922599</v>
      </c>
      <c r="BJ118" s="82">
        <v>3.4737918376922599</v>
      </c>
      <c r="BK118" s="82">
        <v>3.4737918376922599</v>
      </c>
      <c r="BL118" s="82">
        <v>3.4737918376922599</v>
      </c>
      <c r="BM118" s="82">
        <v>3.4737918376922599</v>
      </c>
      <c r="BN118" s="82">
        <v>3.4737918376922599</v>
      </c>
      <c r="BO118" s="82">
        <v>3.4737918376922599</v>
      </c>
      <c r="BP118" s="82">
        <v>3.4737918376922599</v>
      </c>
      <c r="BQ118" s="82"/>
      <c r="BR118" s="82"/>
      <c r="BS118" s="82"/>
      <c r="BT118" s="82"/>
    </row>
    <row r="119" spans="1:72" x14ac:dyDescent="0.65">
      <c r="A119" s="92" t="s">
        <v>236</v>
      </c>
      <c r="B119" s="112" t="s">
        <v>634</v>
      </c>
      <c r="C119" s="81" t="s">
        <v>720</v>
      </c>
      <c r="D119" s="82"/>
      <c r="E119" s="83">
        <v>3.8423601340000002</v>
      </c>
      <c r="F119" s="83">
        <v>3.9520049793333301</v>
      </c>
      <c r="G119" s="83">
        <v>3.46617714633333</v>
      </c>
      <c r="H119" s="83">
        <v>3.6227691276666598</v>
      </c>
      <c r="I119" s="83">
        <v>3.7409186129999998</v>
      </c>
      <c r="J119" s="83">
        <v>4.1764201616666599</v>
      </c>
      <c r="K119" s="83">
        <v>3.3627224519999999</v>
      </c>
      <c r="L119" s="83">
        <v>3.46231986466666</v>
      </c>
      <c r="M119" s="83">
        <v>4.09002071133333</v>
      </c>
      <c r="N119" s="83">
        <v>4.0912527303333297</v>
      </c>
      <c r="O119" s="83">
        <v>3.2100458996666599</v>
      </c>
      <c r="P119" s="83">
        <v>3.5738253826666599</v>
      </c>
      <c r="Q119" s="83">
        <v>3.3425495766666602</v>
      </c>
      <c r="R119" s="83">
        <v>3.5903341966666602</v>
      </c>
      <c r="S119" s="83">
        <v>3.0852269890000001</v>
      </c>
      <c r="T119" s="83">
        <v>3.1762793716666602</v>
      </c>
      <c r="U119" s="83">
        <v>3.0496886463333301</v>
      </c>
      <c r="V119" s="83">
        <v>3.0107123286666599</v>
      </c>
      <c r="W119" s="83">
        <v>3.02417267733333</v>
      </c>
      <c r="X119" s="83">
        <v>3.07751508066666</v>
      </c>
      <c r="Y119" s="83">
        <v>3.6479110339999998</v>
      </c>
      <c r="Z119" s="83">
        <v>3.4243821749999999</v>
      </c>
      <c r="AA119" s="83">
        <v>2.9699091263333299</v>
      </c>
      <c r="AB119" s="83">
        <v>3.54795396966666</v>
      </c>
      <c r="AC119" s="83">
        <v>3.7992842979999999</v>
      </c>
      <c r="AD119" s="83">
        <v>3.230608642</v>
      </c>
      <c r="AE119" s="83">
        <v>2.8772770896666602</v>
      </c>
      <c r="AF119" s="83">
        <v>3.5381163799999999</v>
      </c>
      <c r="AG119" s="83">
        <v>3.5959959540000002</v>
      </c>
      <c r="AH119" s="84">
        <v>3.05011189366666</v>
      </c>
      <c r="AI119" s="83">
        <v>3.421151402</v>
      </c>
      <c r="AJ119" s="83">
        <v>3.2706159253333298</v>
      </c>
      <c r="AK119" s="83">
        <v>3.6160567726666599</v>
      </c>
      <c r="AL119" s="82">
        <v>3.5750620120000001</v>
      </c>
      <c r="AM119" s="82">
        <v>2.9995905060000001</v>
      </c>
      <c r="AN119" s="82">
        <v>3.6324010156666602</v>
      </c>
      <c r="AO119" s="82">
        <v>4.0007131246666603</v>
      </c>
      <c r="AP119" s="82">
        <v>3.8244035613333298</v>
      </c>
      <c r="AQ119" s="82">
        <v>3.6030308873333299</v>
      </c>
      <c r="AR119" s="82">
        <v>3.5255605803333299</v>
      </c>
      <c r="AS119" s="82">
        <v>4.3483986353333304</v>
      </c>
      <c r="AT119" s="82">
        <v>4.0029821176666598</v>
      </c>
      <c r="AU119" s="82">
        <v>3.00976567266666</v>
      </c>
      <c r="AV119" s="82">
        <v>3.78518749266666</v>
      </c>
      <c r="AW119" s="82">
        <v>4.9028629590000001</v>
      </c>
      <c r="AX119" s="82">
        <v>4.2731371676666603</v>
      </c>
      <c r="AY119" s="82">
        <v>3.1541915583333302</v>
      </c>
      <c r="AZ119" s="82">
        <v>4.3449288409999998</v>
      </c>
      <c r="BA119" s="82">
        <v>4.4185827973333298</v>
      </c>
      <c r="BB119" s="82">
        <v>3.580873059</v>
      </c>
      <c r="BC119" s="82">
        <v>3.3247564036666599</v>
      </c>
      <c r="BD119" s="82">
        <v>3.9062650539999999</v>
      </c>
      <c r="BE119" s="82">
        <v>4.3279178853333304</v>
      </c>
      <c r="BF119" s="82">
        <v>4.0632523166666603</v>
      </c>
      <c r="BG119" s="82">
        <v>3.9367511203333301</v>
      </c>
      <c r="BH119" s="82">
        <v>3.8980291490000001</v>
      </c>
      <c r="BI119" s="82">
        <v>4.3422398567199698</v>
      </c>
      <c r="BJ119" s="82">
        <v>4.3422398567199698</v>
      </c>
      <c r="BK119" s="82">
        <v>4.3422398567199698</v>
      </c>
      <c r="BL119" s="82">
        <v>4.3422398567199698</v>
      </c>
      <c r="BM119" s="82">
        <v>4.3422398567199698</v>
      </c>
      <c r="BN119" s="82">
        <v>4.3422398567199698</v>
      </c>
      <c r="BO119" s="82">
        <v>4.3422398567199698</v>
      </c>
      <c r="BP119" s="82">
        <v>4.3422398567199698</v>
      </c>
      <c r="BQ119" s="82"/>
      <c r="BR119" s="82"/>
      <c r="BS119" s="82"/>
      <c r="BT119" s="82"/>
    </row>
    <row r="120" spans="1:72" x14ac:dyDescent="0.65">
      <c r="A120" s="3" t="s">
        <v>237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17"/>
      <c r="AI120" s="5"/>
      <c r="AJ120" s="5"/>
      <c r="AK120" s="5"/>
    </row>
    <row r="121" spans="1:72" x14ac:dyDescent="0.65">
      <c r="A121" s="93" t="s">
        <v>238</v>
      </c>
      <c r="B121" s="112" t="s">
        <v>634</v>
      </c>
      <c r="C121" s="81" t="s">
        <v>721</v>
      </c>
      <c r="D121" s="82"/>
      <c r="E121" s="83">
        <v>269.83866419936601</v>
      </c>
      <c r="F121" s="83">
        <v>340.54877669371899</v>
      </c>
      <c r="G121" s="83">
        <v>304.60780301301298</v>
      </c>
      <c r="H121" s="83">
        <v>300.01833681872</v>
      </c>
      <c r="I121" s="83">
        <v>322.87504443687902</v>
      </c>
      <c r="J121" s="83">
        <v>292.54246803957102</v>
      </c>
      <c r="K121" s="83">
        <v>218.210676250078</v>
      </c>
      <c r="L121" s="83">
        <v>209.95254900153401</v>
      </c>
      <c r="M121" s="83">
        <v>255.64255069287699</v>
      </c>
      <c r="N121" s="83">
        <v>248.37536946966799</v>
      </c>
      <c r="O121" s="83">
        <v>221.78820863533801</v>
      </c>
      <c r="P121" s="83">
        <v>221.96273090528399</v>
      </c>
      <c r="Q121" s="83">
        <v>237.74591214729</v>
      </c>
      <c r="R121" s="83">
        <v>208.897798073068</v>
      </c>
      <c r="S121" s="83">
        <v>185.67337420929201</v>
      </c>
      <c r="T121" s="83">
        <v>164.254780302233</v>
      </c>
      <c r="U121" s="83">
        <v>151.04800307627301</v>
      </c>
      <c r="V121" s="83">
        <v>175.38205752021801</v>
      </c>
      <c r="W121" s="83">
        <v>135.50112397413901</v>
      </c>
      <c r="X121" s="83">
        <v>140.24814080572699</v>
      </c>
      <c r="Y121" s="83">
        <v>176.53910158381001</v>
      </c>
      <c r="Z121" s="83">
        <v>158.79579032425499</v>
      </c>
      <c r="AA121" s="83">
        <v>124.122446037803</v>
      </c>
      <c r="AB121" s="83">
        <v>153.045576164388</v>
      </c>
      <c r="AC121" s="83">
        <v>174.15016050476899</v>
      </c>
      <c r="AD121" s="83">
        <v>173.98044593026501</v>
      </c>
      <c r="AE121" s="83">
        <v>168.53835905273601</v>
      </c>
      <c r="AF121" s="83">
        <v>217.19947804650101</v>
      </c>
      <c r="AG121" s="83">
        <v>185.046963011305</v>
      </c>
      <c r="AH121" s="84">
        <v>168.94023589685801</v>
      </c>
      <c r="AI121" s="83">
        <v>155.15699385806801</v>
      </c>
      <c r="AJ121" s="83">
        <v>145.23375447830401</v>
      </c>
      <c r="AK121" s="83">
        <v>124.297233815249</v>
      </c>
      <c r="AL121" s="82">
        <v>141.266856668315</v>
      </c>
      <c r="AM121" s="82">
        <v>118.934587256179</v>
      </c>
      <c r="AN121" s="82">
        <v>121.162160679913</v>
      </c>
      <c r="AO121" s="82">
        <v>206.04072790099801</v>
      </c>
      <c r="AP121" s="82">
        <v>303.68968949311</v>
      </c>
      <c r="AQ121" s="82">
        <v>295.800059000651</v>
      </c>
      <c r="AR121" s="82">
        <v>520.16110107720499</v>
      </c>
      <c r="AS121" s="82">
        <v>561.34241483384199</v>
      </c>
      <c r="AT121" s="82">
        <v>606.16212769435401</v>
      </c>
      <c r="AU121" s="82">
        <v>457.41207368117</v>
      </c>
      <c r="AV121" s="82">
        <v>544.92023127832397</v>
      </c>
      <c r="AW121" s="82">
        <v>361.403050241985</v>
      </c>
      <c r="AX121" s="82">
        <v>253.28060436625699</v>
      </c>
      <c r="AY121" s="82">
        <v>231.50638621918</v>
      </c>
      <c r="AZ121" s="82">
        <v>256.15611555531598</v>
      </c>
      <c r="BA121" s="82">
        <v>232.572961347855</v>
      </c>
      <c r="BB121" s="82">
        <v>235.86831665039</v>
      </c>
      <c r="BC121" s="82">
        <v>220.964547051323</v>
      </c>
      <c r="BD121" s="82">
        <v>183.70512390136699</v>
      </c>
      <c r="BE121" s="82">
        <v>183.70512390136699</v>
      </c>
      <c r="BF121" s="82">
        <v>183.70512390136699</v>
      </c>
      <c r="BG121" s="82">
        <v>183.70512390136699</v>
      </c>
      <c r="BH121" s="82">
        <v>183.70512390136699</v>
      </c>
      <c r="BI121" s="82">
        <v>183.70512390136699</v>
      </c>
      <c r="BJ121" s="82">
        <v>183.70512390136699</v>
      </c>
      <c r="BK121" s="82">
        <v>183.70512390136699</v>
      </c>
      <c r="BL121" s="82">
        <v>183.70512390136699</v>
      </c>
      <c r="BM121" s="82">
        <v>183.70512390136699</v>
      </c>
      <c r="BN121" s="82">
        <v>183.70512390136699</v>
      </c>
      <c r="BO121" s="82">
        <v>183.70512390136699</v>
      </c>
      <c r="BP121" s="82">
        <v>183.70512390136699</v>
      </c>
      <c r="BQ121" s="82"/>
      <c r="BR121" s="82"/>
      <c r="BS121" s="82"/>
      <c r="BT121" s="82"/>
    </row>
    <row r="122" spans="1:72" x14ac:dyDescent="0.65">
      <c r="A122" s="93" t="s">
        <v>239</v>
      </c>
      <c r="B122" s="112" t="s">
        <v>634</v>
      </c>
      <c r="C122" s="81" t="s">
        <v>722</v>
      </c>
      <c r="D122" s="82"/>
      <c r="E122" s="83">
        <v>381.61821794165797</v>
      </c>
      <c r="F122" s="83">
        <v>460.57570686629902</v>
      </c>
      <c r="G122" s="83">
        <v>517.711166100382</v>
      </c>
      <c r="H122" s="83">
        <v>496.64511903168898</v>
      </c>
      <c r="I122" s="83">
        <v>463.07774978542898</v>
      </c>
      <c r="J122" s="83">
        <v>435.12219193047599</v>
      </c>
      <c r="K122" s="83">
        <v>420.45340452428098</v>
      </c>
      <c r="L122" s="83">
        <v>384.31412393187099</v>
      </c>
      <c r="M122" s="83">
        <v>496.19638730214302</v>
      </c>
      <c r="N122" s="83">
        <v>491.83773715637102</v>
      </c>
      <c r="O122" s="83">
        <v>485.88651119447297</v>
      </c>
      <c r="P122" s="83">
        <v>457.15466231194102</v>
      </c>
      <c r="Q122" s="83">
        <v>482.28738403320301</v>
      </c>
      <c r="R122" s="83">
        <v>457.87888647742699</v>
      </c>
      <c r="S122" s="83">
        <v>471.22729096238203</v>
      </c>
      <c r="T122" s="83">
        <v>420.165663207188</v>
      </c>
      <c r="U122" s="83">
        <v>364.15985197984702</v>
      </c>
      <c r="V122" s="83">
        <v>351.62642959220398</v>
      </c>
      <c r="W122" s="83">
        <v>338.40688249446902</v>
      </c>
      <c r="X122" s="83">
        <v>324.23307593319402</v>
      </c>
      <c r="Y122" s="83">
        <v>351.31070580161997</v>
      </c>
      <c r="Z122" s="83">
        <v>338.99697981521501</v>
      </c>
      <c r="AA122" s="83">
        <v>349.01744337588701</v>
      </c>
      <c r="AB122" s="83">
        <v>374.59599905303003</v>
      </c>
      <c r="AC122" s="83">
        <v>405.90220167036898</v>
      </c>
      <c r="AD122" s="83">
        <v>415.44656393131402</v>
      </c>
      <c r="AE122" s="83">
        <v>452.36066706158601</v>
      </c>
      <c r="AF122" s="83">
        <v>446.82089475697097</v>
      </c>
      <c r="AG122" s="83">
        <v>393.21904099005599</v>
      </c>
      <c r="AH122" s="84">
        <v>355.43790759462303</v>
      </c>
      <c r="AI122" s="83">
        <v>326.96211673758802</v>
      </c>
      <c r="AJ122" s="83">
        <v>282.86538071539297</v>
      </c>
      <c r="AK122" s="83">
        <v>302.35684674530597</v>
      </c>
      <c r="AL122" s="82">
        <v>294.26805707042502</v>
      </c>
      <c r="AM122" s="82">
        <v>367.42549409967398</v>
      </c>
      <c r="AN122" s="82">
        <v>403.97509029538497</v>
      </c>
      <c r="AO122" s="82">
        <v>546.27049500733199</v>
      </c>
      <c r="AP122" s="82">
        <v>624.64189665382901</v>
      </c>
      <c r="AQ122" s="82">
        <v>680.981845740116</v>
      </c>
      <c r="AR122" s="82">
        <v>787.04558692231797</v>
      </c>
      <c r="AS122" s="82">
        <v>883.24398260755004</v>
      </c>
      <c r="AT122" s="82">
        <v>941.66757607288002</v>
      </c>
      <c r="AU122" s="82">
        <v>833.06371540912198</v>
      </c>
      <c r="AV122" s="82">
        <v>760.08818250163404</v>
      </c>
      <c r="AW122" s="82">
        <v>684.28505869426897</v>
      </c>
      <c r="AX122" s="82">
        <v>598.79533253545299</v>
      </c>
      <c r="AY122" s="82">
        <v>556.04483741986598</v>
      </c>
      <c r="AZ122" s="82">
        <v>596.76751625314205</v>
      </c>
      <c r="BA122" s="82">
        <v>660.25137899858203</v>
      </c>
      <c r="BB122" s="82">
        <v>585.13370880810396</v>
      </c>
      <c r="BC122" s="82">
        <v>600.80928477717998</v>
      </c>
      <c r="BD122" s="82">
        <v>626.44933179848999</v>
      </c>
      <c r="BE122" s="82">
        <v>656.63492303588896</v>
      </c>
      <c r="BF122" s="82">
        <v>728.02007312416799</v>
      </c>
      <c r="BG122" s="82">
        <v>848.83853904551302</v>
      </c>
      <c r="BH122" s="82">
        <v>785.96215134772694</v>
      </c>
      <c r="BI122" s="82">
        <v>683.05816650390602</v>
      </c>
      <c r="BJ122" s="82">
        <v>683.05816650390602</v>
      </c>
      <c r="BK122" s="82">
        <v>683.05816650390602</v>
      </c>
      <c r="BL122" s="82">
        <v>683.05816650390602</v>
      </c>
      <c r="BM122" s="82">
        <v>683.05816650390602</v>
      </c>
      <c r="BN122" s="82">
        <v>683.05816650390602</v>
      </c>
      <c r="BO122" s="82">
        <v>683.05816650390602</v>
      </c>
      <c r="BP122" s="82">
        <v>683.05816650390602</v>
      </c>
      <c r="BQ122" s="82"/>
      <c r="BR122" s="82"/>
      <c r="BS122" s="82"/>
      <c r="BT122" s="82"/>
    </row>
    <row r="123" spans="1:72" x14ac:dyDescent="0.65">
      <c r="A123" s="93" t="s">
        <v>240</v>
      </c>
      <c r="B123" s="112" t="s">
        <v>634</v>
      </c>
      <c r="C123" s="81" t="s">
        <v>723</v>
      </c>
      <c r="D123" s="82"/>
      <c r="E123" s="83">
        <v>395.01139783333298</v>
      </c>
      <c r="F123" s="83">
        <v>379.77906669999999</v>
      </c>
      <c r="G123" s="83">
        <v>382.66085906666598</v>
      </c>
      <c r="H123" s="83">
        <v>354.10366893333298</v>
      </c>
      <c r="I123" s="83">
        <v>321.80014866666602</v>
      </c>
      <c r="J123" s="83">
        <v>323.03520253333301</v>
      </c>
      <c r="K123" s="83">
        <v>322.66468636666599</v>
      </c>
      <c r="L123" s="83">
        <v>281.23549026666598</v>
      </c>
      <c r="M123" s="83">
        <v>258.5379446</v>
      </c>
      <c r="N123" s="83">
        <v>236.30697480000001</v>
      </c>
      <c r="O123" s="83">
        <v>236.30697480000001</v>
      </c>
      <c r="P123" s="83">
        <v>247.51303036666599</v>
      </c>
      <c r="Q123" s="83">
        <v>251.1825126</v>
      </c>
      <c r="R123" s="83">
        <v>252.77435980000001</v>
      </c>
      <c r="S123" s="83">
        <v>249.2064264</v>
      </c>
      <c r="T123" s="83">
        <v>244.540667333333</v>
      </c>
      <c r="U123" s="83">
        <v>233.01349783333299</v>
      </c>
      <c r="V123" s="83">
        <v>216.54611283333301</v>
      </c>
      <c r="W123" s="83">
        <v>181.964604333333</v>
      </c>
      <c r="X123" s="83">
        <v>177.298845233333</v>
      </c>
      <c r="Y123" s="83">
        <v>176.47547599999999</v>
      </c>
      <c r="Z123" s="83">
        <v>173.45645540000001</v>
      </c>
      <c r="AA123" s="83">
        <v>176.338247766666</v>
      </c>
      <c r="AB123" s="83">
        <v>177.4360734</v>
      </c>
      <c r="AC123" s="83">
        <v>177.4360734</v>
      </c>
      <c r="AD123" s="83">
        <v>177.4360734</v>
      </c>
      <c r="AE123" s="83">
        <v>177.4360734</v>
      </c>
      <c r="AF123" s="83">
        <v>177.4360734</v>
      </c>
      <c r="AG123" s="83">
        <v>185.66976589999999</v>
      </c>
      <c r="AH123" s="84">
        <v>218.604536</v>
      </c>
      <c r="AI123" s="83">
        <v>218.604536</v>
      </c>
      <c r="AJ123" s="83">
        <v>218.604536</v>
      </c>
      <c r="AK123" s="83">
        <v>207.51058219999999</v>
      </c>
      <c r="AL123" s="82">
        <v>205.27855993333301</v>
      </c>
      <c r="AM123" s="82">
        <v>196.37536456666601</v>
      </c>
      <c r="AN123" s="82">
        <v>175.58141346666599</v>
      </c>
      <c r="AO123" s="82">
        <v>194.315582466666</v>
      </c>
      <c r="AP123" s="82">
        <v>197.03948623333301</v>
      </c>
      <c r="AQ123" s="82">
        <v>237.84068920000001</v>
      </c>
      <c r="AR123" s="82">
        <v>251.44561086666599</v>
      </c>
      <c r="AS123" s="82">
        <v>507.29400036666601</v>
      </c>
      <c r="AT123" s="82">
        <v>593.30359629999998</v>
      </c>
      <c r="AU123" s="82">
        <v>544.28244446666599</v>
      </c>
      <c r="AV123" s="82">
        <v>700.10811876666605</v>
      </c>
      <c r="AW123" s="82">
        <v>724.89684069999998</v>
      </c>
      <c r="AX123" s="82">
        <v>539.80155043333298</v>
      </c>
      <c r="AY123" s="82">
        <v>428.6332074</v>
      </c>
      <c r="AZ123" s="82">
        <v>382.15404136666598</v>
      </c>
      <c r="BA123" s="82">
        <v>360.966666733333</v>
      </c>
      <c r="BB123" s="82">
        <v>341.24531316666599</v>
      </c>
      <c r="BC123" s="82">
        <v>339.10867506666602</v>
      </c>
      <c r="BD123" s="82">
        <v>327.38000010000002</v>
      </c>
      <c r="BE123" s="82">
        <v>343.45999990000001</v>
      </c>
      <c r="BF123" s="82">
        <v>359.17</v>
      </c>
      <c r="BG123" s="82">
        <v>393.1033334</v>
      </c>
      <c r="BH123" s="82">
        <v>401.33333333333297</v>
      </c>
      <c r="BI123" s="82">
        <v>398</v>
      </c>
      <c r="BJ123" s="82">
        <v>398</v>
      </c>
      <c r="BK123" s="82">
        <v>398</v>
      </c>
      <c r="BL123" s="82">
        <v>398</v>
      </c>
      <c r="BM123" s="82">
        <v>398</v>
      </c>
      <c r="BN123" s="82">
        <v>398</v>
      </c>
      <c r="BO123" s="82">
        <v>398</v>
      </c>
      <c r="BP123" s="82">
        <v>398</v>
      </c>
      <c r="BQ123" s="82"/>
      <c r="BR123" s="82"/>
      <c r="BS123" s="82"/>
      <c r="BT123" s="82"/>
    </row>
    <row r="124" spans="1:72" x14ac:dyDescent="0.65">
      <c r="A124" s="3" t="s">
        <v>241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17"/>
      <c r="AI124" s="5"/>
      <c r="AJ124" s="5"/>
      <c r="AK124" s="5"/>
    </row>
    <row r="125" spans="1:72" x14ac:dyDescent="0.65">
      <c r="A125" s="19" t="s">
        <v>242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17"/>
      <c r="AI125" s="5"/>
      <c r="AJ125" s="5"/>
      <c r="AK125" s="5"/>
    </row>
    <row r="126" spans="1:72" x14ac:dyDescent="0.65">
      <c r="A126" s="90" t="s">
        <v>24</v>
      </c>
      <c r="B126" s="112" t="s">
        <v>634</v>
      </c>
      <c r="C126" s="81" t="s">
        <v>724</v>
      </c>
      <c r="D126" s="82"/>
      <c r="E126" s="83">
        <v>2181.1363636363599</v>
      </c>
      <c r="F126" s="83">
        <v>1978.84704944178</v>
      </c>
      <c r="G126" s="83">
        <v>1927.8990909090901</v>
      </c>
      <c r="H126" s="83">
        <v>2003.2990170584501</v>
      </c>
      <c r="I126" s="83">
        <v>2000.8281060606</v>
      </c>
      <c r="J126" s="83">
        <v>1836.0442460317399</v>
      </c>
      <c r="K126" s="83">
        <v>1782.3830572808799</v>
      </c>
      <c r="L126" s="83">
        <v>1767.4522981366399</v>
      </c>
      <c r="M126" s="83">
        <v>1709.3143434343399</v>
      </c>
      <c r="N126" s="83">
        <v>1800.2257936507899</v>
      </c>
      <c r="O126" s="83">
        <v>1989.7428886693001</v>
      </c>
      <c r="P126" s="83">
        <v>1970.40121808143</v>
      </c>
      <c r="Q126" s="83">
        <v>1802.1342279942201</v>
      </c>
      <c r="R126" s="83">
        <v>1770.31808213716</v>
      </c>
      <c r="S126" s="83">
        <v>1592.4090909090901</v>
      </c>
      <c r="T126" s="83">
        <v>1493.8612914862899</v>
      </c>
      <c r="U126" s="83">
        <v>1514.4579365079301</v>
      </c>
      <c r="V126" s="83">
        <v>1571.786002886</v>
      </c>
      <c r="W126" s="83">
        <v>1620.23178210678</v>
      </c>
      <c r="X126" s="83">
        <v>1710.25196608946</v>
      </c>
      <c r="Y126" s="83">
        <v>1851.1518288474799</v>
      </c>
      <c r="Z126" s="83">
        <v>1906.5107984607901</v>
      </c>
      <c r="AA126" s="83">
        <v>2009.82124819624</v>
      </c>
      <c r="AB126" s="83">
        <v>2103.1344098883501</v>
      </c>
      <c r="AC126" s="83">
        <v>2153.58428932178</v>
      </c>
      <c r="AD126" s="83">
        <v>2263.9910714285702</v>
      </c>
      <c r="AE126" s="83">
        <v>2053.4041666666599</v>
      </c>
      <c r="AF126" s="83">
        <v>1962.9172127453</v>
      </c>
      <c r="AG126" s="83">
        <v>1862.63923160173</v>
      </c>
      <c r="AH126" s="84">
        <v>1794.2123015873001</v>
      </c>
      <c r="AI126" s="83">
        <v>1763.7265355417501</v>
      </c>
      <c r="AJ126" s="83">
        <v>1757.3740786749399</v>
      </c>
      <c r="AK126" s="83">
        <v>1690.6922727272699</v>
      </c>
      <c r="AL126" s="82">
        <v>1498.2921778309401</v>
      </c>
      <c r="AM126" s="82">
        <v>1708.71398582094</v>
      </c>
      <c r="AN126" s="82">
        <v>1918.68568542568</v>
      </c>
      <c r="AO126" s="82">
        <v>2091.0172028985498</v>
      </c>
      <c r="AP126" s="82">
        <v>2400.2714848484802</v>
      </c>
      <c r="AQ126" s="82">
        <v>2645.06139249639</v>
      </c>
      <c r="AR126" s="82">
        <v>2755.45917027417</v>
      </c>
      <c r="AS126" s="82">
        <v>3250.0463478260799</v>
      </c>
      <c r="AT126" s="82">
        <v>2887.38849206349</v>
      </c>
      <c r="AU126" s="82">
        <v>2355.6984431269202</v>
      </c>
      <c r="AV126" s="82">
        <v>2334.8194733044702</v>
      </c>
      <c r="AW126" s="82">
        <v>2402.4997885375401</v>
      </c>
      <c r="AX126" s="82">
        <v>2265.6324150197602</v>
      </c>
      <c r="AY126" s="82">
        <v>2159.9959765355402</v>
      </c>
      <c r="AZ126" s="82">
        <v>2196.2172005771999</v>
      </c>
      <c r="BA126" s="82">
        <v>2203.4885231193898</v>
      </c>
      <c r="BB126" s="82">
        <v>2521.0507924901099</v>
      </c>
      <c r="BC126" s="82">
        <v>2386.3568617855499</v>
      </c>
      <c r="BD126" s="82">
        <v>2572.8846292113599</v>
      </c>
      <c r="BE126" s="82">
        <v>2626.2471687370598</v>
      </c>
      <c r="BF126" s="82">
        <v>2447.0345310245302</v>
      </c>
      <c r="BG126" s="82">
        <v>2619.86189158667</v>
      </c>
      <c r="BH126" s="82">
        <v>2829.34872793148</v>
      </c>
      <c r="BI126" s="82">
        <v>3071.1475423176998</v>
      </c>
      <c r="BJ126" s="82">
        <v>3028.4866666666599</v>
      </c>
      <c r="BK126" s="82">
        <v>3035.03</v>
      </c>
      <c r="BL126" s="82">
        <v>3032.5</v>
      </c>
      <c r="BM126" s="82">
        <v>3025</v>
      </c>
      <c r="BN126" s="82">
        <v>3019.3333333333298</v>
      </c>
      <c r="BO126" s="82">
        <v>3022</v>
      </c>
      <c r="BP126" s="82">
        <v>3012</v>
      </c>
      <c r="BQ126" s="82"/>
      <c r="BR126" s="82"/>
      <c r="BS126" s="82"/>
      <c r="BT126" s="82"/>
    </row>
    <row r="127" spans="1:72" x14ac:dyDescent="0.65">
      <c r="A127" s="90" t="s">
        <v>243</v>
      </c>
      <c r="B127" s="112" t="s">
        <v>634</v>
      </c>
      <c r="C127" s="81" t="s">
        <v>725</v>
      </c>
      <c r="D127" s="82"/>
      <c r="E127" s="83">
        <v>31974.0043290043</v>
      </c>
      <c r="F127" s="83">
        <v>30048.127990430599</v>
      </c>
      <c r="G127" s="83">
        <v>28888.564393939399</v>
      </c>
      <c r="H127" s="83">
        <v>24812.049407114599</v>
      </c>
      <c r="I127" s="83">
        <v>25425.463636363598</v>
      </c>
      <c r="J127" s="83">
        <v>28080.456944444399</v>
      </c>
      <c r="K127" s="83">
        <v>28257.966873705998</v>
      </c>
      <c r="L127" s="83">
        <v>26599.402570738399</v>
      </c>
      <c r="M127" s="83">
        <v>29971.948917748901</v>
      </c>
      <c r="N127" s="83">
        <v>30074.5567460317</v>
      </c>
      <c r="O127" s="83">
        <v>32129.8302628458</v>
      </c>
      <c r="P127" s="83">
        <v>30946.591899585899</v>
      </c>
      <c r="Q127" s="83">
        <v>29157.878427128398</v>
      </c>
      <c r="R127" s="83">
        <v>29848.080103668199</v>
      </c>
      <c r="S127" s="83">
        <v>29512.708794466402</v>
      </c>
      <c r="T127" s="83">
        <v>25287.975468975401</v>
      </c>
      <c r="U127" s="83">
        <v>22797.668253968201</v>
      </c>
      <c r="V127" s="83">
        <v>23368.950757575702</v>
      </c>
      <c r="W127" s="83">
        <v>26002.3715728715</v>
      </c>
      <c r="X127" s="83">
        <v>29684.483585858499</v>
      </c>
      <c r="Y127" s="83">
        <v>43496.866114561701</v>
      </c>
      <c r="Z127" s="83">
        <v>55898.9835257335</v>
      </c>
      <c r="AA127" s="83">
        <v>59047.513708513703</v>
      </c>
      <c r="AB127" s="83">
        <v>64885.320574162601</v>
      </c>
      <c r="AC127" s="83">
        <v>81900.342496392506</v>
      </c>
      <c r="AD127" s="83">
        <v>87406.865079365001</v>
      </c>
      <c r="AE127" s="83">
        <v>65386.782575757497</v>
      </c>
      <c r="AF127" s="83">
        <v>56950.957440538099</v>
      </c>
      <c r="AG127" s="83">
        <v>34712.626262626203</v>
      </c>
      <c r="AH127" s="84">
        <v>32158.5555555555</v>
      </c>
      <c r="AI127" s="83">
        <v>31065.7753623188</v>
      </c>
      <c r="AJ127" s="83">
        <v>34773.572041062798</v>
      </c>
      <c r="AK127" s="83">
        <v>32291.381060606</v>
      </c>
      <c r="AL127" s="82">
        <v>29400.644338118</v>
      </c>
      <c r="AM127" s="82">
        <v>31638.0016547462</v>
      </c>
      <c r="AN127" s="82">
        <v>32449.6805555555</v>
      </c>
      <c r="AO127" s="82">
        <v>45938.299637681099</v>
      </c>
      <c r="AP127" s="82">
        <v>45794.9712121212</v>
      </c>
      <c r="AQ127" s="82">
        <v>51695.810606060601</v>
      </c>
      <c r="AR127" s="82">
        <v>61512.992063491998</v>
      </c>
      <c r="AS127" s="82">
        <v>74186.028260869498</v>
      </c>
      <c r="AT127" s="82">
        <v>77189.8239538239</v>
      </c>
      <c r="AU127" s="82">
        <v>52179.157757701199</v>
      </c>
      <c r="AV127" s="82">
        <v>51503.8672438672</v>
      </c>
      <c r="AW127" s="82">
        <v>39784.835523715403</v>
      </c>
      <c r="AX127" s="82">
        <v>32329.672266139602</v>
      </c>
      <c r="AY127" s="82">
        <v>32981.610248447199</v>
      </c>
      <c r="AZ127" s="82">
        <v>32004.047979797899</v>
      </c>
      <c r="BA127" s="82">
        <v>28414.9428916494</v>
      </c>
      <c r="BB127" s="82">
        <v>27420.902437417601</v>
      </c>
      <c r="BC127" s="82">
        <v>25197.638481084101</v>
      </c>
      <c r="BD127" s="82">
        <v>24273.826432022001</v>
      </c>
      <c r="BE127" s="82">
        <v>25678.581935817801</v>
      </c>
      <c r="BF127" s="82">
        <v>33179.587662337603</v>
      </c>
      <c r="BG127" s="82">
        <v>33091.061892213998</v>
      </c>
      <c r="BH127" s="82">
        <v>47719.094104084303</v>
      </c>
      <c r="BI127" s="82">
        <v>55804.712239583299</v>
      </c>
      <c r="BJ127" s="82">
        <v>56356</v>
      </c>
      <c r="BK127" s="82">
        <v>56806</v>
      </c>
      <c r="BL127" s="82">
        <v>57256</v>
      </c>
      <c r="BM127" s="82">
        <v>57706</v>
      </c>
      <c r="BN127" s="82">
        <v>58006</v>
      </c>
      <c r="BO127" s="82">
        <v>58006</v>
      </c>
      <c r="BP127" s="82">
        <v>58006</v>
      </c>
      <c r="BQ127" s="82"/>
      <c r="BR127" s="82"/>
      <c r="BS127" s="82"/>
      <c r="BT127" s="82"/>
    </row>
    <row r="128" spans="1:72" x14ac:dyDescent="0.65">
      <c r="A128" s="90" t="s">
        <v>27</v>
      </c>
      <c r="B128" s="112" t="s">
        <v>634</v>
      </c>
      <c r="C128" s="81" t="s">
        <v>726</v>
      </c>
      <c r="D128" s="82"/>
      <c r="E128" s="83">
        <v>8324.7296176046093</v>
      </c>
      <c r="F128" s="83">
        <v>7870.2416267942499</v>
      </c>
      <c r="G128" s="83">
        <v>7727.4785606060595</v>
      </c>
      <c r="H128" s="83">
        <v>7913.2489078427197</v>
      </c>
      <c r="I128" s="83">
        <v>7922.3462121212096</v>
      </c>
      <c r="J128" s="83">
        <v>7156.7045634920596</v>
      </c>
      <c r="K128" s="83">
        <v>7084.0534506556196</v>
      </c>
      <c r="L128" s="83">
        <v>7162.8588336783996</v>
      </c>
      <c r="M128" s="83">
        <v>7030.2380411255399</v>
      </c>
      <c r="N128" s="83">
        <v>6795.2767857142799</v>
      </c>
      <c r="O128" s="83">
        <v>6995.8112812911704</v>
      </c>
      <c r="P128" s="83">
        <v>6632.2602139406399</v>
      </c>
      <c r="Q128" s="83">
        <v>5833.1603896103798</v>
      </c>
      <c r="R128" s="83">
        <v>6056.6250598086099</v>
      </c>
      <c r="S128" s="83">
        <v>5267.1</v>
      </c>
      <c r="T128" s="83">
        <v>4884.943001443</v>
      </c>
      <c r="U128" s="83">
        <v>4674.7347222222197</v>
      </c>
      <c r="V128" s="83">
        <v>4736.4138347763301</v>
      </c>
      <c r="W128" s="83">
        <v>4779.5932539682499</v>
      </c>
      <c r="X128" s="83">
        <v>5280.8479076478998</v>
      </c>
      <c r="Y128" s="83">
        <v>5840.0341528640402</v>
      </c>
      <c r="Z128" s="83">
        <v>5667.7412217412202</v>
      </c>
      <c r="AA128" s="83">
        <v>6349.3035714285697</v>
      </c>
      <c r="AB128" s="83">
        <v>6822.6808213716104</v>
      </c>
      <c r="AC128" s="83">
        <v>6957.1852813852802</v>
      </c>
      <c r="AD128" s="83">
        <v>6880.8811507936498</v>
      </c>
      <c r="AE128" s="83">
        <v>6117.5193181818204</v>
      </c>
      <c r="AF128" s="83">
        <v>6163.6077335136197</v>
      </c>
      <c r="AG128" s="83">
        <v>6226.3513528138501</v>
      </c>
      <c r="AH128" s="84">
        <v>6112.8307539682501</v>
      </c>
      <c r="AI128" s="83">
        <v>5803.2953761214603</v>
      </c>
      <c r="AJ128" s="83">
        <v>5898.1042356797798</v>
      </c>
      <c r="AK128" s="83">
        <v>5633.8636363636297</v>
      </c>
      <c r="AL128" s="82">
        <v>5350.7979234449704</v>
      </c>
      <c r="AM128" s="82">
        <v>6528.5845755693499</v>
      </c>
      <c r="AN128" s="82">
        <v>7184.9855339105297</v>
      </c>
      <c r="AO128" s="82">
        <v>8477.1117753623203</v>
      </c>
      <c r="AP128" s="82">
        <v>9707.5341666666609</v>
      </c>
      <c r="AQ128" s="82">
        <v>9381.8895238095192</v>
      </c>
      <c r="AR128" s="82">
        <v>9703.1011976911905</v>
      </c>
      <c r="AS128" s="82">
        <v>9985.46880434782</v>
      </c>
      <c r="AT128" s="82">
        <v>9545.6422366522293</v>
      </c>
      <c r="AU128" s="82">
        <v>7760.5443537863102</v>
      </c>
      <c r="AV128" s="82">
        <v>8024.0118614718604</v>
      </c>
      <c r="AW128" s="82">
        <v>8933.4147444005193</v>
      </c>
      <c r="AX128" s="82">
        <v>8482.9437714097494</v>
      </c>
      <c r="AY128" s="82">
        <v>8367.0737060041392</v>
      </c>
      <c r="AZ128" s="82">
        <v>8179.6147041846998</v>
      </c>
      <c r="BA128" s="82">
        <v>8449.7030296756402</v>
      </c>
      <c r="BB128" s="82">
        <v>9736.9747048748304</v>
      </c>
      <c r="BC128" s="82">
        <v>9208.5197807265195</v>
      </c>
      <c r="BD128" s="82">
        <v>9173.2087248258995</v>
      </c>
      <c r="BE128" s="82">
        <v>9347.8262560386393</v>
      </c>
      <c r="BF128" s="82">
        <v>9512.9883044732996</v>
      </c>
      <c r="BG128" s="82">
        <v>9812.4097769621603</v>
      </c>
      <c r="BH128" s="82">
        <v>11114.303450592801</v>
      </c>
      <c r="BI128" s="82">
        <v>12924.0888671875</v>
      </c>
      <c r="BJ128" s="82">
        <v>12915.11</v>
      </c>
      <c r="BK128" s="82">
        <v>12953.5</v>
      </c>
      <c r="BL128" s="82">
        <v>12967.833333333299</v>
      </c>
      <c r="BM128" s="82">
        <v>12978.916666666601</v>
      </c>
      <c r="BN128" s="82">
        <v>12999.416666666601</v>
      </c>
      <c r="BO128" s="82">
        <v>13013.5</v>
      </c>
      <c r="BP128" s="82">
        <v>13028.25</v>
      </c>
      <c r="BQ128" s="82"/>
      <c r="BR128" s="82"/>
      <c r="BS128" s="82"/>
      <c r="BT128" s="82"/>
    </row>
    <row r="129" spans="1:72" x14ac:dyDescent="0.65">
      <c r="A129" s="90" t="s">
        <v>244</v>
      </c>
      <c r="B129" s="112" t="s">
        <v>634</v>
      </c>
      <c r="C129" s="81" t="s">
        <v>727</v>
      </c>
      <c r="D129" s="82"/>
      <c r="E129" s="83">
        <v>141.802164502165</v>
      </c>
      <c r="F129" s="83">
        <v>139.513716108453</v>
      </c>
      <c r="G129" s="83">
        <v>111.733939393939</v>
      </c>
      <c r="H129" s="83">
        <v>121.055654947646</v>
      </c>
      <c r="I129" s="83">
        <v>148.333265993266</v>
      </c>
      <c r="J129" s="83">
        <v>125.405144300144</v>
      </c>
      <c r="K129" s="83">
        <v>132.810672877847</v>
      </c>
      <c r="L129" s="83">
        <v>134.895670995671</v>
      </c>
      <c r="M129" s="83">
        <v>120.44079365079401</v>
      </c>
      <c r="N129" s="83">
        <v>102.664444444444</v>
      </c>
      <c r="O129" s="83">
        <v>91.642151326933899</v>
      </c>
      <c r="P129" s="83">
        <v>74.801086956521701</v>
      </c>
      <c r="Q129" s="83">
        <v>63.683333333333302</v>
      </c>
      <c r="R129" s="83">
        <v>58.127705627705602</v>
      </c>
      <c r="S129" s="83">
        <v>55.4948397013614</v>
      </c>
      <c r="T129" s="83">
        <v>47.244058598406397</v>
      </c>
      <c r="U129" s="83">
        <v>48.409868875086197</v>
      </c>
      <c r="V129" s="83">
        <v>56.397979797979801</v>
      </c>
      <c r="W129" s="83">
        <v>58.6127266453353</v>
      </c>
      <c r="X129" s="83">
        <v>70.840187590187597</v>
      </c>
      <c r="Y129" s="83">
        <v>85.654611330698202</v>
      </c>
      <c r="Z129" s="83">
        <v>63.298023715414999</v>
      </c>
      <c r="AA129" s="83">
        <v>70.187715665976498</v>
      </c>
      <c r="AB129" s="83">
        <v>65.397546897546903</v>
      </c>
      <c r="AC129" s="83">
        <v>74.916930171277997</v>
      </c>
      <c r="AD129" s="83">
        <v>66.606970324361598</v>
      </c>
      <c r="AE129" s="83">
        <v>67.955731225296404</v>
      </c>
      <c r="AF129" s="83">
        <v>71.073985193550399</v>
      </c>
      <c r="AG129" s="83">
        <v>83.287142857142797</v>
      </c>
      <c r="AH129" s="84">
        <v>101.93695652173901</v>
      </c>
      <c r="AI129" s="83">
        <v>101.782953761214</v>
      </c>
      <c r="AJ129" s="83">
        <v>87.4896637179245</v>
      </c>
      <c r="AK129" s="83">
        <v>90.500494071146207</v>
      </c>
      <c r="AL129" s="82">
        <v>92.808080808080803</v>
      </c>
      <c r="AM129" s="82">
        <v>117.031055900621</v>
      </c>
      <c r="AN129" s="82">
        <v>131.94634230503701</v>
      </c>
      <c r="AO129" s="82">
        <v>165.267408557625</v>
      </c>
      <c r="AP129" s="82">
        <v>198.97431077694199</v>
      </c>
      <c r="AQ129" s="82">
        <v>163.38352272727201</v>
      </c>
      <c r="AR129" s="82">
        <v>105.021430387563</v>
      </c>
      <c r="AS129" s="82">
        <v>140.03109354413701</v>
      </c>
      <c r="AT129" s="82">
        <v>136.26767676767599</v>
      </c>
      <c r="AU129" s="82">
        <v>106.31791517661</v>
      </c>
      <c r="AV129" s="82">
        <v>100.198773448773</v>
      </c>
      <c r="AW129" s="82">
        <v>125.82835968379401</v>
      </c>
      <c r="AX129" s="82">
        <v>111.579216073781</v>
      </c>
      <c r="AY129" s="82">
        <v>114.671152518978</v>
      </c>
      <c r="AZ129" s="82">
        <v>129.18253968253899</v>
      </c>
      <c r="BA129" s="82">
        <v>124.23533471359499</v>
      </c>
      <c r="BB129" s="82">
        <v>113.188801054018</v>
      </c>
      <c r="BC129" s="82">
        <v>101.512830165004</v>
      </c>
      <c r="BD129" s="82">
        <v>105.308598406424</v>
      </c>
      <c r="BE129" s="82">
        <v>105.211663216011</v>
      </c>
      <c r="BF129" s="82">
        <v>99.116161616161605</v>
      </c>
      <c r="BG129" s="82">
        <v>103.63739883305099</v>
      </c>
      <c r="BH129" s="82">
        <v>106.895309617918</v>
      </c>
      <c r="BI129" s="82">
        <v>102.89515177408801</v>
      </c>
      <c r="BJ129" s="82">
        <v>100.356666666666</v>
      </c>
      <c r="BK129" s="82">
        <v>99.6666666666666</v>
      </c>
      <c r="BL129" s="82">
        <v>98.543333333333294</v>
      </c>
      <c r="BM129" s="82">
        <v>97.373333333333306</v>
      </c>
      <c r="BN129" s="82">
        <v>96.896666666666604</v>
      </c>
      <c r="BO129" s="82">
        <v>96</v>
      </c>
      <c r="BP129" s="82">
        <v>95.1</v>
      </c>
      <c r="BQ129" s="82"/>
      <c r="BR129" s="82"/>
      <c r="BS129" s="82"/>
      <c r="BT129" s="82"/>
    </row>
    <row r="130" spans="1:72" x14ac:dyDescent="0.65">
      <c r="A130" s="90" t="s">
        <v>30</v>
      </c>
      <c r="B130" s="112" t="s">
        <v>634</v>
      </c>
      <c r="C130" s="81" t="s">
        <v>728</v>
      </c>
      <c r="D130" s="82"/>
      <c r="E130" s="83">
        <v>2092.72312409812</v>
      </c>
      <c r="F130" s="83">
        <v>1974.6175438596399</v>
      </c>
      <c r="G130" s="83">
        <v>1985.6416666666601</v>
      </c>
      <c r="H130" s="83">
        <v>2201.2453106580601</v>
      </c>
      <c r="I130" s="83">
        <v>2291.2011363636302</v>
      </c>
      <c r="J130" s="83">
        <v>2051.9831349206302</v>
      </c>
      <c r="K130" s="83">
        <v>2101.91021394064</v>
      </c>
      <c r="L130" s="83">
        <v>2113.9050948930299</v>
      </c>
      <c r="M130" s="83">
        <v>2101.4262626262598</v>
      </c>
      <c r="N130" s="83">
        <v>2097.1176587301502</v>
      </c>
      <c r="O130" s="83">
        <v>2182.4384222661402</v>
      </c>
      <c r="P130" s="83">
        <v>2000.85017080745</v>
      </c>
      <c r="Q130" s="83">
        <v>1810.4213023088</v>
      </c>
      <c r="R130" s="83">
        <v>1942.2129385964899</v>
      </c>
      <c r="S130" s="83">
        <v>1716.9644927536201</v>
      </c>
      <c r="T130" s="83">
        <v>1681.68073593073</v>
      </c>
      <c r="U130" s="83">
        <v>1738.0468253968199</v>
      </c>
      <c r="V130" s="83">
        <v>1717.61551226551</v>
      </c>
      <c r="W130" s="83">
        <v>1872.65054112554</v>
      </c>
      <c r="X130" s="83">
        <v>2138.3017135642099</v>
      </c>
      <c r="Y130" s="83">
        <v>2278.3476535541699</v>
      </c>
      <c r="Z130" s="83">
        <v>2159.5500240500201</v>
      </c>
      <c r="AA130" s="83">
        <v>2330.9053030302998</v>
      </c>
      <c r="AB130" s="83">
        <v>2489.8562599680999</v>
      </c>
      <c r="AC130" s="83">
        <v>2518.38446969697</v>
      </c>
      <c r="AD130" s="83">
        <v>2383.2089285714201</v>
      </c>
      <c r="AE130" s="83">
        <v>2094.4897727272701</v>
      </c>
      <c r="AF130" s="83">
        <v>1965.6612578878</v>
      </c>
      <c r="AG130" s="83">
        <v>2035.4627164502101</v>
      </c>
      <c r="AH130" s="84">
        <v>1884.62599206349</v>
      </c>
      <c r="AI130" s="83">
        <v>2030.6780538302201</v>
      </c>
      <c r="AJ130" s="83">
        <v>2035.2597394755001</v>
      </c>
      <c r="AK130" s="83">
        <v>1843.6368939393899</v>
      </c>
      <c r="AL130" s="82">
        <v>1676.24148165869</v>
      </c>
      <c r="AM130" s="82">
        <v>1875.7026350461099</v>
      </c>
      <c r="AN130" s="82">
        <v>1904.1192857142801</v>
      </c>
      <c r="AO130" s="82">
        <v>2014.2794782608701</v>
      </c>
      <c r="AP130" s="82">
        <v>2128.4941969696902</v>
      </c>
      <c r="AQ130" s="82">
        <v>2333.4263275613198</v>
      </c>
      <c r="AR130" s="82">
        <v>2325.4998845598798</v>
      </c>
      <c r="AS130" s="82">
        <v>2324.5152173913002</v>
      </c>
      <c r="AT130" s="82">
        <v>2203.0152813852801</v>
      </c>
      <c r="AU130" s="82">
        <v>1974.7138223853401</v>
      </c>
      <c r="AV130" s="82">
        <v>2108.65561327561</v>
      </c>
      <c r="AW130" s="82">
        <v>2138.5479808959099</v>
      </c>
      <c r="AX130" s="82">
        <v>2118.6736357048699</v>
      </c>
      <c r="AY130" s="82">
        <v>2171.9458937198001</v>
      </c>
      <c r="AZ130" s="82">
        <v>2115.6724675324599</v>
      </c>
      <c r="BA130" s="82">
        <v>2073.9609937888199</v>
      </c>
      <c r="BB130" s="82">
        <v>2164.0293274044798</v>
      </c>
      <c r="BC130" s="82">
        <v>2036.26178618483</v>
      </c>
      <c r="BD130" s="82">
        <v>2003.1443955078701</v>
      </c>
      <c r="BE130" s="82">
        <v>1969.8235610766001</v>
      </c>
      <c r="BF130" s="82">
        <v>1945.43918470418</v>
      </c>
      <c r="BG130" s="82">
        <v>1965.04187307861</v>
      </c>
      <c r="BH130" s="82">
        <v>1968.69471673254</v>
      </c>
      <c r="BI130" s="82">
        <v>1944.2807210286401</v>
      </c>
      <c r="BJ130" s="82">
        <v>1962.15333333333</v>
      </c>
      <c r="BK130" s="82">
        <v>2003.38</v>
      </c>
      <c r="BL130" s="82">
        <v>2038.63</v>
      </c>
      <c r="BM130" s="82">
        <v>2072.21333333333</v>
      </c>
      <c r="BN130" s="82">
        <v>2101.38</v>
      </c>
      <c r="BO130" s="82">
        <v>2121.63</v>
      </c>
      <c r="BP130" s="82">
        <v>2141.38</v>
      </c>
      <c r="BQ130" s="82"/>
      <c r="BR130" s="82"/>
      <c r="BS130" s="82"/>
      <c r="BT130" s="82"/>
    </row>
    <row r="131" spans="1:72" x14ac:dyDescent="0.65">
      <c r="A131" s="90" t="s">
        <v>245</v>
      </c>
      <c r="B131" s="112" t="s">
        <v>634</v>
      </c>
      <c r="C131" s="81" t="s">
        <v>729</v>
      </c>
      <c r="D131" s="82"/>
      <c r="E131" s="83">
        <v>31232.3809523809</v>
      </c>
      <c r="F131" s="83">
        <v>30049.0271132376</v>
      </c>
      <c r="G131" s="83">
        <v>25418.515151515101</v>
      </c>
      <c r="H131" s="83">
        <v>24490.470078357899</v>
      </c>
      <c r="I131" s="83">
        <v>24730.6</v>
      </c>
      <c r="J131" s="83">
        <v>23877.269047619</v>
      </c>
      <c r="K131" s="83">
        <v>20616.7101449275</v>
      </c>
      <c r="L131" s="83">
        <v>20801.3940648723</v>
      </c>
      <c r="M131" s="83">
        <v>22189.316378066302</v>
      </c>
      <c r="N131" s="83">
        <v>29767.222222222201</v>
      </c>
      <c r="O131" s="83">
        <v>27946.330698287202</v>
      </c>
      <c r="P131" s="83">
        <v>20366.652864044099</v>
      </c>
      <c r="Q131" s="83">
        <v>18276.4872294372</v>
      </c>
      <c r="R131" s="83">
        <v>16446.259888357199</v>
      </c>
      <c r="S131" s="83">
        <v>12663.6799736495</v>
      </c>
      <c r="T131" s="83">
        <v>10707.7106782106</v>
      </c>
      <c r="U131" s="83">
        <v>11680.488095238001</v>
      </c>
      <c r="V131" s="83">
        <v>14133.491486291399</v>
      </c>
      <c r="W131" s="83">
        <v>15362.0144300144</v>
      </c>
      <c r="X131" s="83">
        <v>14889.0012265512</v>
      </c>
      <c r="Y131" s="83">
        <v>14896.779261559701</v>
      </c>
      <c r="Z131" s="83">
        <v>16012.0543530543</v>
      </c>
      <c r="AA131" s="83">
        <v>15647.2171717171</v>
      </c>
      <c r="AB131" s="83">
        <v>15636.8636363636</v>
      </c>
      <c r="AC131" s="83">
        <v>16923.521500721501</v>
      </c>
      <c r="AD131" s="83">
        <v>24877.940476190401</v>
      </c>
      <c r="AE131" s="83">
        <v>24890.810606060601</v>
      </c>
      <c r="AF131" s="83">
        <v>24885.1354275015</v>
      </c>
      <c r="AG131" s="83">
        <v>25464.189392279899</v>
      </c>
      <c r="AH131" s="84">
        <v>27439.084611173901</v>
      </c>
      <c r="AI131" s="83">
        <v>26265.580549677201</v>
      </c>
      <c r="AJ131" s="83">
        <v>23193.040783623099</v>
      </c>
      <c r="AK131" s="83">
        <v>22286.0188688913</v>
      </c>
      <c r="AL131" s="82">
        <v>19180.455407380901</v>
      </c>
      <c r="AM131" s="82">
        <v>17658.884044610299</v>
      </c>
      <c r="AN131" s="82">
        <v>19492.124783092699</v>
      </c>
      <c r="AO131" s="82">
        <v>23547.7126773899</v>
      </c>
      <c r="AP131" s="82">
        <v>30057.023145158699</v>
      </c>
      <c r="AQ131" s="82">
        <v>42808.760812727203</v>
      </c>
      <c r="AR131" s="82">
        <v>43161.5958685281</v>
      </c>
      <c r="AS131" s="82">
        <v>42356.916910592103</v>
      </c>
      <c r="AT131" s="82">
        <v>41575.683245714303</v>
      </c>
      <c r="AU131" s="82">
        <v>35431.161128260799</v>
      </c>
      <c r="AV131" s="82">
        <v>37328.269393939401</v>
      </c>
      <c r="AW131" s="82">
        <v>70878.530151816798</v>
      </c>
      <c r="AX131" s="82">
        <v>58267.856385072402</v>
      </c>
      <c r="AY131" s="82">
        <v>47798.318082857098</v>
      </c>
      <c r="AZ131" s="82">
        <v>49420.290440952303</v>
      </c>
      <c r="BA131" s="82">
        <v>42717.492145079297</v>
      </c>
      <c r="BB131" s="82">
        <v>44092.452440000001</v>
      </c>
      <c r="BC131" s="82">
        <v>44092.452440000001</v>
      </c>
      <c r="BD131" s="82">
        <v>47865.719588102103</v>
      </c>
      <c r="BE131" s="82">
        <v>51343.439500834997</v>
      </c>
      <c r="BF131" s="82">
        <v>44980.107308102401</v>
      </c>
      <c r="BG131" s="82">
        <v>50160.7318773304</v>
      </c>
      <c r="BH131" s="82">
        <v>61116.069059391302</v>
      </c>
      <c r="BI131" s="82">
        <v>55865.13671875</v>
      </c>
      <c r="BJ131" s="82">
        <v>53329.821219999998</v>
      </c>
      <c r="BK131" s="82">
        <v>53329.821219999998</v>
      </c>
      <c r="BL131" s="82">
        <v>53329.821219999998</v>
      </c>
      <c r="BM131" s="82">
        <v>53329.821219999998</v>
      </c>
      <c r="BN131" s="82">
        <v>53329.821219999998</v>
      </c>
      <c r="BO131" s="82">
        <v>53329.821219999998</v>
      </c>
      <c r="BP131" s="82">
        <v>53329.821219999998</v>
      </c>
      <c r="BQ131" s="82"/>
      <c r="BR131" s="82"/>
      <c r="BS131" s="82"/>
      <c r="BT131" s="82"/>
    </row>
    <row r="132" spans="1:72" x14ac:dyDescent="0.65">
      <c r="A132" s="90" t="s">
        <v>31</v>
      </c>
      <c r="B132" s="112" t="s">
        <v>634</v>
      </c>
      <c r="C132" s="81" t="s">
        <v>730</v>
      </c>
      <c r="D132" s="82"/>
      <c r="E132" s="83">
        <v>19654.3641774891</v>
      </c>
      <c r="F132" s="83">
        <v>17154.939393939301</v>
      </c>
      <c r="G132" s="83">
        <v>16373.4534090909</v>
      </c>
      <c r="H132" s="83">
        <v>16984.2009222661</v>
      </c>
      <c r="I132" s="83">
        <v>17305.2893939393</v>
      </c>
      <c r="J132" s="83">
        <v>14952.603571428501</v>
      </c>
      <c r="K132" s="83">
        <v>13953.323326432001</v>
      </c>
      <c r="L132" s="83">
        <v>13908.738026224901</v>
      </c>
      <c r="M132" s="83">
        <v>14660.965079365</v>
      </c>
      <c r="N132" s="83">
        <v>18467.828174603099</v>
      </c>
      <c r="O132" s="83">
        <v>18584.215876152801</v>
      </c>
      <c r="P132" s="83">
        <v>15860.4890614216</v>
      </c>
      <c r="Q132" s="83">
        <v>14392.8426587301</v>
      </c>
      <c r="R132" s="83">
        <v>13055.8314593301</v>
      </c>
      <c r="S132" s="83">
        <v>10578.8810935441</v>
      </c>
      <c r="T132" s="83">
        <v>9422.9828643578603</v>
      </c>
      <c r="U132" s="83">
        <v>8507.6791666666595</v>
      </c>
      <c r="V132" s="83">
        <v>8822.5198051947991</v>
      </c>
      <c r="W132" s="83">
        <v>10263.543290043201</v>
      </c>
      <c r="X132" s="83">
        <v>10786.974062048999</v>
      </c>
      <c r="Y132" s="83">
        <v>10273.1424430641</v>
      </c>
      <c r="Z132" s="83">
        <v>9232.0527296777309</v>
      </c>
      <c r="AA132" s="83">
        <v>10532.385281385201</v>
      </c>
      <c r="AB132" s="83">
        <v>11600.9593301435</v>
      </c>
      <c r="AC132" s="83">
        <v>13284.416666666601</v>
      </c>
      <c r="AD132" s="83">
        <v>14470.0809523809</v>
      </c>
      <c r="AE132" s="83">
        <v>13238.5219696969</v>
      </c>
      <c r="AF132" s="83">
        <v>11463.2359666458</v>
      </c>
      <c r="AG132" s="83">
        <v>12411.5299062049</v>
      </c>
      <c r="AH132" s="84">
        <v>12244.3448412698</v>
      </c>
      <c r="AI132" s="83">
        <v>15650.6093857833</v>
      </c>
      <c r="AJ132" s="83">
        <v>15349.1506383712</v>
      </c>
      <c r="AK132" s="83">
        <v>12689.546969696899</v>
      </c>
      <c r="AL132" s="82">
        <v>12236.922345294999</v>
      </c>
      <c r="AM132" s="82">
        <v>14278.5251355166</v>
      </c>
      <c r="AN132" s="82">
        <v>15956.711847041801</v>
      </c>
      <c r="AO132" s="82">
        <v>17618.072144927501</v>
      </c>
      <c r="AP132" s="82">
        <v>17367.6394696969</v>
      </c>
      <c r="AQ132" s="82">
        <v>19112.227676767601</v>
      </c>
      <c r="AR132" s="82">
        <v>19770.268203463202</v>
      </c>
      <c r="AS132" s="82">
        <v>26765.042156862699</v>
      </c>
      <c r="AT132" s="82">
        <v>29079.921507936499</v>
      </c>
      <c r="AU132" s="82">
        <v>22096.916841709</v>
      </c>
      <c r="AV132" s="82">
        <v>25527.170346320301</v>
      </c>
      <c r="AW132" s="82">
        <v>26096.016389986798</v>
      </c>
      <c r="AX132" s="82">
        <v>22379.620096837902</v>
      </c>
      <c r="AY132" s="82">
        <v>20394.087674258099</v>
      </c>
      <c r="AZ132" s="82">
        <v>17244.974300144298</v>
      </c>
      <c r="BA132" s="82">
        <v>16615.830572808802</v>
      </c>
      <c r="BB132" s="82">
        <v>18402.306037549399</v>
      </c>
      <c r="BC132" s="82">
        <v>16268.613521237199</v>
      </c>
      <c r="BD132" s="82">
        <v>15977.135820314899</v>
      </c>
      <c r="BE132" s="82">
        <v>15569.764591442299</v>
      </c>
      <c r="BF132" s="82">
        <v>15166.5043578643</v>
      </c>
      <c r="BG132" s="82">
        <v>15028.419666227401</v>
      </c>
      <c r="BH132" s="82">
        <v>14880.637615942</v>
      </c>
      <c r="BI132" s="82">
        <v>17180.180989583299</v>
      </c>
      <c r="BJ132" s="82">
        <v>17089.8</v>
      </c>
      <c r="BK132" s="82">
        <v>17269.66</v>
      </c>
      <c r="BL132" s="82">
        <v>17427.66</v>
      </c>
      <c r="BM132" s="82">
        <v>17570.326666666599</v>
      </c>
      <c r="BN132" s="82">
        <v>17717.66</v>
      </c>
      <c r="BO132" s="82">
        <v>17862.326666666599</v>
      </c>
      <c r="BP132" s="82">
        <v>18003.66</v>
      </c>
      <c r="BQ132" s="82"/>
      <c r="BR132" s="82"/>
      <c r="BS132" s="82"/>
      <c r="BT132" s="82"/>
    </row>
    <row r="133" spans="1:72" x14ac:dyDescent="0.65">
      <c r="A133" s="90" t="s">
        <v>36</v>
      </c>
      <c r="B133" s="112" t="s">
        <v>634</v>
      </c>
      <c r="C133" s="81" t="s">
        <v>731</v>
      </c>
      <c r="D133" s="82"/>
      <c r="E133" s="83">
        <v>22942.147907647901</v>
      </c>
      <c r="F133" s="83">
        <v>20555.087320574101</v>
      </c>
      <c r="G133" s="83">
        <v>19330.970075757501</v>
      </c>
      <c r="H133" s="83">
        <v>21609.219523611398</v>
      </c>
      <c r="I133" s="83">
        <v>24037.545075757502</v>
      </c>
      <c r="J133" s="83">
        <v>20879.553968253898</v>
      </c>
      <c r="K133" s="83">
        <v>21312.370600414</v>
      </c>
      <c r="L133" s="83">
        <v>22896.8643029675</v>
      </c>
      <c r="M133" s="83">
        <v>22636.282720057701</v>
      </c>
      <c r="N133" s="83">
        <v>23146.15</v>
      </c>
      <c r="O133" s="83">
        <v>21915.1945322793</v>
      </c>
      <c r="P133" s="83">
        <v>19897.8674430641</v>
      </c>
      <c r="Q133" s="83">
        <v>18369.9802128427</v>
      </c>
      <c r="R133" s="83">
        <v>15589.803429027101</v>
      </c>
      <c r="S133" s="83">
        <v>15229.5495059288</v>
      </c>
      <c r="T133" s="83">
        <v>15077.1966089466</v>
      </c>
      <c r="U133" s="83">
        <v>15438.6043650793</v>
      </c>
      <c r="V133" s="83">
        <v>16902.119155844099</v>
      </c>
      <c r="W133" s="83">
        <v>18584.257215007201</v>
      </c>
      <c r="X133" s="83">
        <v>20810.067604617601</v>
      </c>
      <c r="Y133" s="83">
        <v>20004.485455486501</v>
      </c>
      <c r="Z133" s="83">
        <v>19923.164562289501</v>
      </c>
      <c r="AA133" s="83">
        <v>20513.698412698399</v>
      </c>
      <c r="AB133" s="83">
        <v>19803.327352471999</v>
      </c>
      <c r="AC133" s="83">
        <v>21186.799855699799</v>
      </c>
      <c r="AD133" s="83">
        <v>20936.819047618999</v>
      </c>
      <c r="AE133" s="83">
        <v>19308.564393939301</v>
      </c>
      <c r="AF133" s="83">
        <v>19148.640281533801</v>
      </c>
      <c r="AG133" s="83">
        <v>21038.368253968201</v>
      </c>
      <c r="AH133" s="84">
        <v>19773.801587301499</v>
      </c>
      <c r="AI133" s="83">
        <v>17139.151656314702</v>
      </c>
      <c r="AJ133" s="83">
        <v>16693.305831607999</v>
      </c>
      <c r="AK133" s="83">
        <v>16266.796969696899</v>
      </c>
      <c r="AL133" s="82">
        <v>15730.853110047799</v>
      </c>
      <c r="AM133" s="82">
        <v>17693.846621808101</v>
      </c>
      <c r="AN133" s="82">
        <v>18810.3411471861</v>
      </c>
      <c r="AO133" s="82">
        <v>25098.995833333302</v>
      </c>
      <c r="AP133" s="82">
        <v>31038.290151515099</v>
      </c>
      <c r="AQ133" s="82">
        <v>34643.8281818182</v>
      </c>
      <c r="AR133" s="82">
        <v>38768.042229437197</v>
      </c>
      <c r="AS133" s="82">
        <v>43241.574065217399</v>
      </c>
      <c r="AT133" s="82">
        <v>36968.251031745996</v>
      </c>
      <c r="AU133" s="82">
        <v>23726.653632285499</v>
      </c>
      <c r="AV133" s="82">
        <v>21596.667972582902</v>
      </c>
      <c r="AW133" s="82">
        <v>26287.489916996001</v>
      </c>
      <c r="AX133" s="82">
        <v>26151.589947298999</v>
      </c>
      <c r="AY133" s="82">
        <v>26785.821476880599</v>
      </c>
      <c r="AZ133" s="82">
        <v>24424.082128427101</v>
      </c>
      <c r="BA133" s="82">
        <v>26233.045341614899</v>
      </c>
      <c r="BB133" s="82">
        <v>32168.776810276599</v>
      </c>
      <c r="BC133" s="82">
        <v>31656.1986131501</v>
      </c>
      <c r="BD133" s="82">
        <v>30179.3162761151</v>
      </c>
      <c r="BE133" s="82">
        <v>31852.2144906832</v>
      </c>
      <c r="BF133" s="82">
        <v>32263.970295815299</v>
      </c>
      <c r="BG133" s="82">
        <v>33991.093293493897</v>
      </c>
      <c r="BH133" s="82">
        <v>38126.018602766802</v>
      </c>
      <c r="BI133" s="82">
        <v>47357.59375</v>
      </c>
      <c r="BJ133" s="82">
        <v>46489.666666666599</v>
      </c>
      <c r="BK133" s="82">
        <v>46586.333333333299</v>
      </c>
      <c r="BL133" s="82">
        <v>46639</v>
      </c>
      <c r="BM133" s="82">
        <v>46585</v>
      </c>
      <c r="BN133" s="82">
        <v>46516</v>
      </c>
      <c r="BO133" s="82">
        <v>46516</v>
      </c>
      <c r="BP133" s="82">
        <v>46516</v>
      </c>
      <c r="BQ133" s="82"/>
      <c r="BR133" s="82"/>
      <c r="BS133" s="82"/>
      <c r="BT133" s="82"/>
    </row>
    <row r="134" spans="1:72" x14ac:dyDescent="0.65">
      <c r="A134" s="90" t="s">
        <v>246</v>
      </c>
      <c r="B134" s="112" t="s">
        <v>634</v>
      </c>
      <c r="C134" s="81" t="s">
        <v>732</v>
      </c>
      <c r="D134" s="82"/>
      <c r="E134" s="83">
        <v>51.8856481481481</v>
      </c>
      <c r="F134" s="83">
        <v>51.340740740740699</v>
      </c>
      <c r="G134" s="83">
        <v>49.110185185185202</v>
      </c>
      <c r="H134" s="83">
        <v>43.259259259259302</v>
      </c>
      <c r="I134" s="83">
        <v>42.8125</v>
      </c>
      <c r="J134" s="83">
        <v>40.651666666666699</v>
      </c>
      <c r="K134" s="83">
        <v>35.823223870868802</v>
      </c>
      <c r="L134" s="83">
        <v>35.011265265400397</v>
      </c>
      <c r="M134" s="83">
        <v>35.154861173622997</v>
      </c>
      <c r="N134" s="83">
        <v>29.8366258339084</v>
      </c>
      <c r="O134" s="83">
        <v>31.2004521484082</v>
      </c>
      <c r="P134" s="83">
        <v>37.7657858118042</v>
      </c>
      <c r="Q134" s="83">
        <v>37.801136363636303</v>
      </c>
      <c r="R134" s="83">
        <v>36.858946608946603</v>
      </c>
      <c r="S134" s="83">
        <v>36.478221657569399</v>
      </c>
      <c r="T134" s="83">
        <v>36.121988518727598</v>
      </c>
      <c r="U134" s="83">
        <v>32.934713595583098</v>
      </c>
      <c r="V134" s="83">
        <v>27.707828282828199</v>
      </c>
      <c r="W134" s="83">
        <v>25.540804002760499</v>
      </c>
      <c r="X134" s="83">
        <v>19.757395382395298</v>
      </c>
      <c r="Y134" s="83">
        <v>23.987252964426801</v>
      </c>
      <c r="Z134" s="83">
        <v>21.547101449275299</v>
      </c>
      <c r="AA134" s="83">
        <v>20.399792960662499</v>
      </c>
      <c r="AB134" s="83">
        <v>22.423340548340501</v>
      </c>
      <c r="AC134" s="83">
        <v>22.2864459815546</v>
      </c>
      <c r="AD134" s="83">
        <v>21.964975845410599</v>
      </c>
      <c r="AE134" s="83">
        <v>25.523745059288501</v>
      </c>
      <c r="AF134" s="83">
        <v>28.4015637743898</v>
      </c>
      <c r="AG134" s="83">
        <v>28.186083505866101</v>
      </c>
      <c r="AH134" s="84">
        <v>24.954776021080299</v>
      </c>
      <c r="AI134" s="83">
        <v>25.3080855135203</v>
      </c>
      <c r="AJ134" s="83">
        <v>25.176828847481001</v>
      </c>
      <c r="AK134" s="83">
        <v>24.6633893280632</v>
      </c>
      <c r="AL134" s="82">
        <v>32.188059163059101</v>
      </c>
      <c r="AM134" s="82">
        <v>31.239626074408601</v>
      </c>
      <c r="AN134" s="82">
        <v>29.631996988518701</v>
      </c>
      <c r="AO134" s="82">
        <v>28.9514751552795</v>
      </c>
      <c r="AP134" s="82">
        <v>30.717173615857799</v>
      </c>
      <c r="AQ134" s="82">
        <v>36.5214962121212</v>
      </c>
      <c r="AR134" s="82">
        <v>35.235025847247897</v>
      </c>
      <c r="AS134" s="82">
        <v>39.406512177019302</v>
      </c>
      <c r="AT134" s="82">
        <v>43.309291591002903</v>
      </c>
      <c r="AU134" s="82">
        <v>39.897286474083003</v>
      </c>
      <c r="AV134" s="82">
        <v>40.478635322604603</v>
      </c>
      <c r="AW134" s="82">
        <v>40.706431219773499</v>
      </c>
      <c r="AX134" s="82">
        <v>43.641722239689003</v>
      </c>
      <c r="AY134" s="82">
        <v>48.275819100282902</v>
      </c>
      <c r="AZ134" s="82">
        <v>63.330689995836899</v>
      </c>
      <c r="BA134" s="82">
        <v>77.8319781465148</v>
      </c>
      <c r="BB134" s="82">
        <v>71.592091038713406</v>
      </c>
      <c r="BC134" s="82">
        <v>66.056964449354993</v>
      </c>
      <c r="BD134" s="82">
        <v>63.296611869285698</v>
      </c>
      <c r="BE134" s="82">
        <v>55.036643717133202</v>
      </c>
      <c r="BF134" s="82">
        <v>56.522411910288596</v>
      </c>
      <c r="BG134" s="82">
        <v>60.263120231456398</v>
      </c>
      <c r="BH134" s="82">
        <v>63.237839115727198</v>
      </c>
      <c r="BI134" s="82">
        <v>77.706222534179602</v>
      </c>
      <c r="BJ134" s="82">
        <v>86.3</v>
      </c>
      <c r="BK134" s="82">
        <v>87.233333333333306</v>
      </c>
      <c r="BL134" s="82">
        <v>88.116666666666603</v>
      </c>
      <c r="BM134" s="82">
        <v>89.216666666666598</v>
      </c>
      <c r="BN134" s="82">
        <v>90.466666666666598</v>
      </c>
      <c r="BO134" s="82">
        <v>91.683333333333294</v>
      </c>
      <c r="BP134" s="82">
        <v>92.783333333333303</v>
      </c>
      <c r="BQ134" s="82"/>
      <c r="BR134" s="82"/>
      <c r="BS134" s="82"/>
      <c r="BT134" s="82"/>
    </row>
    <row r="135" spans="1:72" x14ac:dyDescent="0.65">
      <c r="A135" s="90" t="s">
        <v>38</v>
      </c>
      <c r="B135" s="112" t="s">
        <v>634</v>
      </c>
      <c r="C135" s="81" t="s">
        <v>733</v>
      </c>
      <c r="D135" s="82"/>
      <c r="E135" s="83">
        <v>2027.6456349206301</v>
      </c>
      <c r="F135" s="83">
        <v>1928.8765948963301</v>
      </c>
      <c r="G135" s="83">
        <v>1891.3060606060601</v>
      </c>
      <c r="H135" s="83">
        <v>1952.26179009777</v>
      </c>
      <c r="I135" s="83">
        <v>2029.7488636363601</v>
      </c>
      <c r="J135" s="83">
        <v>1841.8748015873</v>
      </c>
      <c r="K135" s="83">
        <v>1860.2977915803999</v>
      </c>
      <c r="L135" s="83">
        <v>1908.74287439613</v>
      </c>
      <c r="M135" s="83">
        <v>2026.4538600288599</v>
      </c>
      <c r="N135" s="83">
        <v>2071.42757936507</v>
      </c>
      <c r="O135" s="83">
        <v>2310.7326581027601</v>
      </c>
      <c r="P135" s="83">
        <v>2235.27099723947</v>
      </c>
      <c r="Q135" s="83">
        <v>2079.8457972582901</v>
      </c>
      <c r="R135" s="83">
        <v>2192.2061802232802</v>
      </c>
      <c r="S135" s="83">
        <v>1842.84985177865</v>
      </c>
      <c r="T135" s="83">
        <v>1611.8120490620399</v>
      </c>
      <c r="U135" s="83">
        <v>1677.2994047619</v>
      </c>
      <c r="V135" s="83">
        <v>1916.8639971139901</v>
      </c>
      <c r="W135" s="83">
        <v>2251.5643939393899</v>
      </c>
      <c r="X135" s="83">
        <v>2514.1723484848399</v>
      </c>
      <c r="Y135" s="83">
        <v>2779.0760179434001</v>
      </c>
      <c r="Z135" s="83">
        <v>2592.8428932178899</v>
      </c>
      <c r="AA135" s="83">
        <v>2961.5916305916298</v>
      </c>
      <c r="AB135" s="83">
        <v>3229.9521531100399</v>
      </c>
      <c r="AC135" s="83">
        <v>3414.5337662337602</v>
      </c>
      <c r="AD135" s="83">
        <v>3112.1634920634901</v>
      </c>
      <c r="AE135" s="83">
        <v>2534.2666666666601</v>
      </c>
      <c r="AF135" s="83">
        <v>2628.5521895152901</v>
      </c>
      <c r="AG135" s="83">
        <v>2709.1624278499198</v>
      </c>
      <c r="AH135" s="84">
        <v>2758.8948412698401</v>
      </c>
      <c r="AI135" s="83">
        <v>2350.36076604554</v>
      </c>
      <c r="AJ135" s="83">
        <v>2383.22195479641</v>
      </c>
      <c r="AK135" s="83">
        <v>2123.7231060606</v>
      </c>
      <c r="AL135" s="82">
        <v>1968.1347256778299</v>
      </c>
      <c r="AM135" s="82">
        <v>2344.5228508689302</v>
      </c>
      <c r="AN135" s="82">
        <v>2630.70282106782</v>
      </c>
      <c r="AO135" s="82">
        <v>2747.2614855072402</v>
      </c>
      <c r="AP135" s="82">
        <v>2916.8282575757498</v>
      </c>
      <c r="AQ135" s="82">
        <v>2990.4943506493501</v>
      </c>
      <c r="AR135" s="82">
        <v>3356.7994949494901</v>
      </c>
      <c r="AS135" s="82">
        <v>3727.1274637681099</v>
      </c>
      <c r="AT135" s="82">
        <v>3931.2953463203398</v>
      </c>
      <c r="AU135" s="82">
        <v>3273.4871303093</v>
      </c>
      <c r="AV135" s="82">
        <v>3007.5512193362101</v>
      </c>
      <c r="AW135" s="82">
        <v>3132.39365480895</v>
      </c>
      <c r="AX135" s="82">
        <v>2543.8626231884</v>
      </c>
      <c r="AY135" s="82">
        <v>2435.1016356107598</v>
      </c>
      <c r="AZ135" s="82">
        <v>2500.45361471861</v>
      </c>
      <c r="BA135" s="82">
        <v>2446.29574189095</v>
      </c>
      <c r="BB135" s="82">
        <v>2829.9776021080302</v>
      </c>
      <c r="BC135" s="82">
        <v>2781.9435623313798</v>
      </c>
      <c r="BD135" s="82">
        <v>3047.9084139531901</v>
      </c>
      <c r="BE135" s="82">
        <v>2836.62236680469</v>
      </c>
      <c r="BF135" s="82">
        <v>2636.2054545454498</v>
      </c>
      <c r="BG135" s="82">
        <v>2829.8934537925802</v>
      </c>
      <c r="BH135" s="82">
        <v>3163.6725434782602</v>
      </c>
      <c r="BI135" s="82">
        <v>3275.3710123697902</v>
      </c>
      <c r="BJ135" s="82">
        <v>3303.14</v>
      </c>
      <c r="BK135" s="82">
        <v>3302.8166666666598</v>
      </c>
      <c r="BL135" s="82">
        <v>3296.5666666666598</v>
      </c>
      <c r="BM135" s="82">
        <v>3287.0666666666598</v>
      </c>
      <c r="BN135" s="82">
        <v>3260.8166666666598</v>
      </c>
      <c r="BO135" s="82">
        <v>3226.4</v>
      </c>
      <c r="BP135" s="82">
        <v>3182.9</v>
      </c>
      <c r="BQ135" s="82"/>
      <c r="BR135" s="82"/>
      <c r="BS135" s="82"/>
      <c r="BT135" s="82"/>
    </row>
    <row r="136" spans="1:72" x14ac:dyDescent="0.65">
      <c r="A136" s="19" t="s">
        <v>187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7"/>
      <c r="AI136" s="5"/>
      <c r="AJ136" s="5"/>
      <c r="AK136" s="5"/>
    </row>
    <row r="137" spans="1:72" x14ac:dyDescent="0.65">
      <c r="A137" s="90" t="s">
        <v>77</v>
      </c>
      <c r="B137" s="112" t="s">
        <v>634</v>
      </c>
      <c r="C137" s="81" t="s">
        <v>734</v>
      </c>
      <c r="D137" s="82"/>
      <c r="E137" s="83">
        <v>1690.8369408369399</v>
      </c>
      <c r="F137" s="83">
        <v>1610.7559011164201</v>
      </c>
      <c r="G137" s="83">
        <v>1654.7977272727201</v>
      </c>
      <c r="H137" s="83">
        <v>1718.8922149887601</v>
      </c>
      <c r="I137" s="83">
        <v>1630.46818181818</v>
      </c>
      <c r="J137" s="83">
        <v>1413.6486111111101</v>
      </c>
      <c r="K137" s="83">
        <v>1327.53892339544</v>
      </c>
      <c r="L137" s="83">
        <v>1272.46966298596</v>
      </c>
      <c r="M137" s="83">
        <v>1293.9512626262599</v>
      </c>
      <c r="N137" s="83">
        <v>1288.5400793650699</v>
      </c>
      <c r="O137" s="83">
        <v>1281.9243577075099</v>
      </c>
      <c r="P137" s="83">
        <v>1200.3595347063299</v>
      </c>
      <c r="Q137" s="83">
        <v>1219.22076118326</v>
      </c>
      <c r="R137" s="83">
        <v>1192.82239234449</v>
      </c>
      <c r="S137" s="83">
        <v>1124.0145915678499</v>
      </c>
      <c r="T137" s="83">
        <v>1104.4001556922599</v>
      </c>
      <c r="U137" s="83">
        <v>1181.2083333333301</v>
      </c>
      <c r="V137" s="83">
        <v>1259.35465007215</v>
      </c>
      <c r="W137" s="83">
        <v>1334.8147907647899</v>
      </c>
      <c r="X137" s="83">
        <v>1217.9837902837901</v>
      </c>
      <c r="Y137" s="83">
        <v>1219.35588164251</v>
      </c>
      <c r="Z137" s="83">
        <v>1256.96311928811</v>
      </c>
      <c r="AA137" s="83">
        <v>1277.83863636363</v>
      </c>
      <c r="AB137" s="83">
        <v>1274.35120320855</v>
      </c>
      <c r="AC137" s="83">
        <v>1329.2826839826801</v>
      </c>
      <c r="AD137" s="83">
        <v>1306.4442857142801</v>
      </c>
      <c r="AE137" s="83">
        <v>1212.74765151515</v>
      </c>
      <c r="AF137" s="83">
        <v>1228.08748740603</v>
      </c>
      <c r="AG137" s="83">
        <v>1304.2360245310199</v>
      </c>
      <c r="AH137" s="84">
        <v>1309.8117063492</v>
      </c>
      <c r="AI137" s="83">
        <v>1474.3633885438201</v>
      </c>
      <c r="AJ137" s="83">
        <v>1480.2870370370299</v>
      </c>
      <c r="AK137" s="83">
        <v>1583.23416666666</v>
      </c>
      <c r="AL137" s="82">
        <v>1710.5099202551801</v>
      </c>
      <c r="AM137" s="82">
        <v>1911.18587740761</v>
      </c>
      <c r="AN137" s="82">
        <v>1873.2410401002501</v>
      </c>
      <c r="AO137" s="82">
        <v>1797.79608695652</v>
      </c>
      <c r="AP137" s="82">
        <v>1817.2678030303</v>
      </c>
      <c r="AQ137" s="82">
        <v>1789.4381673881601</v>
      </c>
      <c r="AR137" s="82">
        <v>1794.5804947976001</v>
      </c>
      <c r="AS137" s="82">
        <v>1873.62942028985</v>
      </c>
      <c r="AT137" s="82">
        <v>1873.5990909090899</v>
      </c>
      <c r="AU137" s="82">
        <v>1728.24042223477</v>
      </c>
      <c r="AV137" s="82">
        <v>1730.6444949494901</v>
      </c>
      <c r="AW137" s="82">
        <v>1887.70560210803</v>
      </c>
      <c r="AX137" s="82">
        <v>1978.0746976284499</v>
      </c>
      <c r="AY137" s="82">
        <v>1928.3356452726</v>
      </c>
      <c r="AZ137" s="82">
        <v>1978.1555194805101</v>
      </c>
      <c r="BA137" s="82">
        <v>2073.5994893029601</v>
      </c>
      <c r="BB137" s="82">
        <v>2337.4698254281898</v>
      </c>
      <c r="BC137" s="82">
        <v>2477.1132859652398</v>
      </c>
      <c r="BD137" s="82">
        <v>2660.6445580023801</v>
      </c>
      <c r="BE137" s="82">
        <v>2862.70119392684</v>
      </c>
      <c r="BF137" s="82">
        <v>3287.29331168831</v>
      </c>
      <c r="BG137" s="82">
        <v>3458.4763190915301</v>
      </c>
      <c r="BH137" s="82">
        <v>4151.4459591567802</v>
      </c>
      <c r="BI137" s="82">
        <v>4846.86865234375</v>
      </c>
      <c r="BJ137" s="82">
        <v>4907.3</v>
      </c>
      <c r="BK137" s="82">
        <v>4959.7333333333299</v>
      </c>
      <c r="BL137" s="82">
        <v>5006.6666666666597</v>
      </c>
      <c r="BM137" s="82">
        <v>5053.1666666666597</v>
      </c>
      <c r="BN137" s="82">
        <v>5097.0666666666602</v>
      </c>
      <c r="BO137" s="82">
        <v>5140.2666666666601</v>
      </c>
      <c r="BP137" s="82">
        <v>5175</v>
      </c>
      <c r="BQ137" s="82"/>
      <c r="BR137" s="82"/>
      <c r="BS137" s="82"/>
      <c r="BT137" s="82"/>
    </row>
    <row r="138" spans="1:72" x14ac:dyDescent="0.65">
      <c r="A138" s="90" t="s">
        <v>247</v>
      </c>
      <c r="B138" s="112" t="s">
        <v>634</v>
      </c>
      <c r="C138" s="81" t="s">
        <v>735</v>
      </c>
      <c r="D138" s="82"/>
      <c r="E138" s="83">
        <v>32.620743145743099</v>
      </c>
      <c r="F138" s="83">
        <v>29.4217942583732</v>
      </c>
      <c r="G138" s="83">
        <v>29.912378787878701</v>
      </c>
      <c r="H138" s="83">
        <v>32.6412436724221</v>
      </c>
      <c r="I138" s="83">
        <v>30.079840909090901</v>
      </c>
      <c r="J138" s="83">
        <v>23.106492063491999</v>
      </c>
      <c r="K138" s="83">
        <v>21.370786749482399</v>
      </c>
      <c r="L138" s="83">
        <v>20.761191856452701</v>
      </c>
      <c r="M138" s="83">
        <v>20.4899426406926</v>
      </c>
      <c r="N138" s="83">
        <v>19.6169007936507</v>
      </c>
      <c r="O138" s="83">
        <v>19.738809617918299</v>
      </c>
      <c r="P138" s="83">
        <v>16.467666666666599</v>
      </c>
      <c r="Q138" s="83">
        <v>16.720955988455898</v>
      </c>
      <c r="R138" s="83">
        <v>16.405296650717698</v>
      </c>
      <c r="S138" s="83">
        <v>14.909285243741699</v>
      </c>
      <c r="T138" s="83">
        <v>14.755764790764699</v>
      </c>
      <c r="U138" s="83">
        <v>14.834773809523799</v>
      </c>
      <c r="V138" s="83">
        <v>16.776231962481901</v>
      </c>
      <c r="W138" s="83">
        <v>19.617857142857101</v>
      </c>
      <c r="X138" s="83">
        <v>17.177032467532399</v>
      </c>
      <c r="Y138" s="83">
        <v>17.423231711525101</v>
      </c>
      <c r="Z138" s="83">
        <v>17.2563347763347</v>
      </c>
      <c r="AA138" s="83">
        <v>16.833823953823899</v>
      </c>
      <c r="AB138" s="83">
        <v>16.7010207336523</v>
      </c>
      <c r="AC138" s="83">
        <v>16.766045093795</v>
      </c>
      <c r="AD138" s="83">
        <v>16.533388888888801</v>
      </c>
      <c r="AE138" s="83">
        <v>14.992666666666601</v>
      </c>
      <c r="AF138" s="83">
        <v>14.5485923306289</v>
      </c>
      <c r="AG138" s="83">
        <v>15.5723971861471</v>
      </c>
      <c r="AH138" s="84">
        <v>14.887742063492</v>
      </c>
      <c r="AI138" s="83">
        <v>17.017691511387099</v>
      </c>
      <c r="AJ138" s="83">
        <v>17.3061130089717</v>
      </c>
      <c r="AK138" s="83">
        <v>16.935060606060599</v>
      </c>
      <c r="AL138" s="82">
        <v>16.3288803827751</v>
      </c>
      <c r="AM138" s="82">
        <v>24.401807359307298</v>
      </c>
      <c r="AN138" s="82">
        <v>24.3922835497835</v>
      </c>
      <c r="AO138" s="82">
        <v>26.2870760869565</v>
      </c>
      <c r="AP138" s="82">
        <v>26.697780303030299</v>
      </c>
      <c r="AQ138" s="82">
        <v>24.3588023088023</v>
      </c>
      <c r="AR138" s="82">
        <v>23.3202958152958</v>
      </c>
      <c r="AS138" s="82">
        <v>23.9445724637681</v>
      </c>
      <c r="AT138" s="82">
        <v>22.707305194805102</v>
      </c>
      <c r="AU138" s="82">
        <v>19.2152947173599</v>
      </c>
      <c r="AV138" s="82">
        <v>21.216259018759001</v>
      </c>
      <c r="AW138" s="82">
        <v>22.562254281949901</v>
      </c>
      <c r="AX138" s="82">
        <v>24.200701581027602</v>
      </c>
      <c r="AY138" s="82">
        <v>23.583536922015099</v>
      </c>
      <c r="AZ138" s="82">
        <v>23.247200577200498</v>
      </c>
      <c r="BA138" s="82">
        <v>23.373440303657599</v>
      </c>
      <c r="BB138" s="82">
        <v>28.7854347826087</v>
      </c>
      <c r="BC138" s="82">
        <v>29.438294278185499</v>
      </c>
      <c r="BD138" s="82">
        <v>31.306445354162701</v>
      </c>
      <c r="BE138" s="82">
        <v>31.889796238785301</v>
      </c>
      <c r="BF138" s="82">
        <v>33.639534632034596</v>
      </c>
      <c r="BG138" s="82">
        <v>39.382774170274097</v>
      </c>
      <c r="BH138" s="82">
        <v>54.973862318840503</v>
      </c>
      <c r="BI138" s="82">
        <v>80.955500284830705</v>
      </c>
      <c r="BJ138" s="82">
        <v>77.137</v>
      </c>
      <c r="BK138" s="82">
        <v>78.103999999999999</v>
      </c>
      <c r="BL138" s="82">
        <v>79.009</v>
      </c>
      <c r="BM138" s="82">
        <v>79.245000000000005</v>
      </c>
      <c r="BN138" s="82">
        <v>79.245000000000005</v>
      </c>
      <c r="BO138" s="82">
        <v>79.245000000000005</v>
      </c>
      <c r="BP138" s="82">
        <v>79.245000000000005</v>
      </c>
      <c r="BQ138" s="82"/>
      <c r="BR138" s="82"/>
      <c r="BS138" s="82"/>
      <c r="BT138" s="82"/>
    </row>
    <row r="139" spans="1:72" x14ac:dyDescent="0.65">
      <c r="A139" s="90" t="s">
        <v>248</v>
      </c>
      <c r="B139" s="112" t="s">
        <v>634</v>
      </c>
      <c r="C139" s="81" t="s">
        <v>736</v>
      </c>
      <c r="D139" s="82"/>
      <c r="E139" s="83">
        <v>681.74314574314599</v>
      </c>
      <c r="F139" s="83">
        <v>628.71428571428601</v>
      </c>
      <c r="G139" s="83">
        <v>613.12457180500598</v>
      </c>
      <c r="H139" s="83">
        <v>653.16287094547897</v>
      </c>
      <c r="I139" s="83">
        <v>740.47603519668701</v>
      </c>
      <c r="J139" s="83">
        <v>713.01689723320101</v>
      </c>
      <c r="K139" s="83">
        <v>722.75183512139995</v>
      </c>
      <c r="L139" s="83">
        <v>724.973461321287</v>
      </c>
      <c r="M139" s="83">
        <v>744.98975155279504</v>
      </c>
      <c r="N139" s="83">
        <v>815.49603174603101</v>
      </c>
      <c r="O139" s="83">
        <v>863.20374552983196</v>
      </c>
      <c r="P139" s="83">
        <v>788.55434782608597</v>
      </c>
      <c r="Q139" s="83">
        <v>786.03787878787796</v>
      </c>
      <c r="R139" s="83">
        <v>759.00072150072106</v>
      </c>
      <c r="S139" s="83">
        <v>615.13285024154595</v>
      </c>
      <c r="T139" s="83">
        <v>605.92167011732204</v>
      </c>
      <c r="U139" s="83">
        <v>525.31055900621095</v>
      </c>
      <c r="V139" s="83">
        <v>568.52020202020196</v>
      </c>
      <c r="W139" s="83">
        <v>676.06791517660997</v>
      </c>
      <c r="X139" s="83">
        <v>682.69733044733005</v>
      </c>
      <c r="Y139" s="83">
        <v>765.55750988142302</v>
      </c>
      <c r="Z139" s="83">
        <v>819.49907773385996</v>
      </c>
      <c r="AA139" s="83">
        <v>901.30158730158701</v>
      </c>
      <c r="AB139" s="83">
        <v>993.65620490620495</v>
      </c>
      <c r="AC139" s="83">
        <v>1033.92602108036</v>
      </c>
      <c r="AD139" s="83">
        <v>978.21946169772195</v>
      </c>
      <c r="AE139" s="83">
        <v>954.23168642951202</v>
      </c>
      <c r="AF139" s="83">
        <v>1157.2669395821499</v>
      </c>
      <c r="AG139" s="83">
        <v>1435.23123024953</v>
      </c>
      <c r="AH139" s="84">
        <v>1388.36765480895</v>
      </c>
      <c r="AI139" s="83">
        <v>1533.4046050567699</v>
      </c>
      <c r="AJ139" s="83">
        <v>1798.87122780601</v>
      </c>
      <c r="AK139" s="83">
        <v>2286.7537549407102</v>
      </c>
      <c r="AL139" s="82">
        <v>1966.7914862914799</v>
      </c>
      <c r="AM139" s="82">
        <v>2170.0250956772702</v>
      </c>
      <c r="AN139" s="82">
        <v>2347.1254783863401</v>
      </c>
      <c r="AO139" s="82">
        <v>2400.86394064872</v>
      </c>
      <c r="AP139" s="82">
        <v>2788.0620490620399</v>
      </c>
      <c r="AQ139" s="82">
        <v>2461.6363636363599</v>
      </c>
      <c r="AR139" s="82">
        <v>1942.0505364200999</v>
      </c>
      <c r="AS139" s="82">
        <v>2321.2465838509302</v>
      </c>
      <c r="AT139" s="82">
        <v>2101.2525252525202</v>
      </c>
      <c r="AU139" s="82">
        <v>2074.1905075600698</v>
      </c>
      <c r="AV139" s="82">
        <v>1932.92207792207</v>
      </c>
      <c r="AW139" s="82">
        <v>1568.05757575757</v>
      </c>
      <c r="AX139" s="82">
        <v>1446.23320158102</v>
      </c>
      <c r="AY139" s="82">
        <v>1250.35541752933</v>
      </c>
      <c r="AZ139" s="82">
        <v>1093.37518037518</v>
      </c>
      <c r="BA139" s="82">
        <v>979.891649413388</v>
      </c>
      <c r="BB139" s="82">
        <v>971.47424242424199</v>
      </c>
      <c r="BC139" s="82">
        <v>970.42643829600297</v>
      </c>
      <c r="BD139" s="82">
        <v>1009.90730284208</v>
      </c>
      <c r="BE139" s="82">
        <v>960.63937198067595</v>
      </c>
      <c r="BF139" s="82">
        <v>990.47546897546897</v>
      </c>
      <c r="BG139" s="82">
        <v>1170.90008783487</v>
      </c>
      <c r="BH139" s="82">
        <v>1479.63188405797</v>
      </c>
      <c r="BI139" s="82">
        <v>1498.80908203125</v>
      </c>
      <c r="BJ139" s="82">
        <v>1715.05</v>
      </c>
      <c r="BK139" s="82">
        <v>1736.2</v>
      </c>
      <c r="BL139" s="82">
        <v>1744.1</v>
      </c>
      <c r="BM139" s="82">
        <v>1756.9</v>
      </c>
      <c r="BN139" s="82">
        <v>1773</v>
      </c>
      <c r="BO139" s="82">
        <v>1787.9</v>
      </c>
      <c r="BP139" s="82">
        <v>1803.2</v>
      </c>
      <c r="BQ139" s="82"/>
      <c r="BR139" s="82"/>
      <c r="BS139" s="82"/>
      <c r="BT139" s="82"/>
    </row>
    <row r="140" spans="1:72" x14ac:dyDescent="0.65">
      <c r="A140" s="90" t="s">
        <v>249</v>
      </c>
      <c r="B140" s="112" t="s">
        <v>634</v>
      </c>
      <c r="C140" s="81" t="s">
        <v>737</v>
      </c>
      <c r="D140" s="82"/>
      <c r="E140" s="83">
        <v>1604.1630591630601</v>
      </c>
      <c r="F140" s="83">
        <v>1500.1207729468599</v>
      </c>
      <c r="G140" s="83">
        <v>1500.9096837944601</v>
      </c>
      <c r="H140" s="83">
        <v>1597.3648284082999</v>
      </c>
      <c r="I140" s="83">
        <v>1632.1312284334001</v>
      </c>
      <c r="J140" s="83">
        <v>1466.15569828722</v>
      </c>
      <c r="K140" s="83">
        <v>1451.47543760587</v>
      </c>
      <c r="L140" s="83">
        <v>1396.1911663215999</v>
      </c>
      <c r="M140" s="83">
        <v>1427.47446514837</v>
      </c>
      <c r="N140" s="83">
        <v>1446.9888167388101</v>
      </c>
      <c r="O140" s="83">
        <v>1433.78304787</v>
      </c>
      <c r="P140" s="83">
        <v>1226.9862318840501</v>
      </c>
      <c r="Q140" s="83">
        <v>1192.66969696969</v>
      </c>
      <c r="R140" s="83">
        <v>1126.3455988455901</v>
      </c>
      <c r="S140" s="83">
        <v>987.29788568919003</v>
      </c>
      <c r="T140" s="83">
        <v>906.78198130372004</v>
      </c>
      <c r="U140" s="83">
        <v>914.14492753623199</v>
      </c>
      <c r="V140" s="83">
        <v>1003.73015873015</v>
      </c>
      <c r="W140" s="83">
        <v>1084.7232887885</v>
      </c>
      <c r="X140" s="83">
        <v>943.30519480519399</v>
      </c>
      <c r="Y140" s="83">
        <v>979.33998682476897</v>
      </c>
      <c r="Z140" s="83">
        <v>941.30329380764101</v>
      </c>
      <c r="AA140" s="83">
        <v>952.33402346445803</v>
      </c>
      <c r="AB140" s="83">
        <v>920.61904761904702</v>
      </c>
      <c r="AC140" s="83">
        <v>976.62285902503299</v>
      </c>
      <c r="AD140" s="83">
        <v>904.43478260869495</v>
      </c>
      <c r="AE140" s="83">
        <v>813.55853096179203</v>
      </c>
      <c r="AF140" s="83">
        <v>822.303563586172</v>
      </c>
      <c r="AG140" s="83">
        <v>822.32476117830799</v>
      </c>
      <c r="AH140" s="84">
        <v>842.22081686429499</v>
      </c>
      <c r="AI140" s="83">
        <v>882.09539494322098</v>
      </c>
      <c r="AJ140" s="83">
        <v>907.90874584352798</v>
      </c>
      <c r="AK140" s="83">
        <v>902.25072463768095</v>
      </c>
      <c r="AL140" s="82">
        <v>789.01082251082198</v>
      </c>
      <c r="AM140" s="82">
        <v>903.19794215446404</v>
      </c>
      <c r="AN140" s="82">
        <v>938.518790388355</v>
      </c>
      <c r="AO140" s="82">
        <v>1159.18571428571</v>
      </c>
      <c r="AP140" s="82">
        <v>1181.4105339105299</v>
      </c>
      <c r="AQ140" s="82">
        <v>1023.24242424242</v>
      </c>
      <c r="AR140" s="82">
        <v>999.37627831105999</v>
      </c>
      <c r="AS140" s="82">
        <v>1028.80759144237</v>
      </c>
      <c r="AT140" s="82">
        <v>958.69264069264</v>
      </c>
      <c r="AU140" s="82">
        <v>885.97035573122503</v>
      </c>
      <c r="AV140" s="82">
        <v>970.04040404040404</v>
      </c>
      <c r="AW140" s="82">
        <v>993.98623188405804</v>
      </c>
      <c r="AX140" s="82">
        <v>1025.9700922266099</v>
      </c>
      <c r="AY140" s="82">
        <v>931.60179434092504</v>
      </c>
      <c r="AZ140" s="82">
        <v>914.97979797979804</v>
      </c>
      <c r="BA140" s="82">
        <v>910.766735679779</v>
      </c>
      <c r="BB140" s="82">
        <v>980.00141633728504</v>
      </c>
      <c r="BC140" s="82">
        <v>963.35817805382999</v>
      </c>
      <c r="BD140" s="82">
        <v>965.80218332392201</v>
      </c>
      <c r="BE140" s="82">
        <v>968.66442374050996</v>
      </c>
      <c r="BF140" s="82">
        <v>1072.8109668109601</v>
      </c>
      <c r="BG140" s="82">
        <v>1384.89284145805</v>
      </c>
      <c r="BH140" s="82">
        <v>1692.98478260869</v>
      </c>
      <c r="BI140" s="82">
        <v>1822.8878580729099</v>
      </c>
      <c r="BJ140" s="82">
        <v>2070.6</v>
      </c>
      <c r="BK140" s="82">
        <v>2087.3000000000002</v>
      </c>
      <c r="BL140" s="82">
        <v>2091.4</v>
      </c>
      <c r="BM140" s="82">
        <v>2094.3000000000002</v>
      </c>
      <c r="BN140" s="82">
        <v>2097.9</v>
      </c>
      <c r="BO140" s="82">
        <v>2103.6</v>
      </c>
      <c r="BP140" s="82">
        <v>2110.3000000000002</v>
      </c>
      <c r="BQ140" s="82"/>
      <c r="BR140" s="82"/>
      <c r="BS140" s="82"/>
      <c r="BT140" s="82"/>
    </row>
    <row r="141" spans="1:72" x14ac:dyDescent="0.65">
      <c r="B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</row>
    <row r="142" spans="1:72" x14ac:dyDescent="0.65">
      <c r="A142" s="1" t="s">
        <v>44</v>
      </c>
      <c r="B142" s="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</row>
    <row r="143" spans="1:72" x14ac:dyDescent="0.65">
      <c r="B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</row>
    <row r="144" spans="1:72" x14ac:dyDescent="0.65">
      <c r="A144" s="1" t="s">
        <v>39</v>
      </c>
      <c r="B144" s="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</row>
    <row r="145" spans="1:72" x14ac:dyDescent="0.65">
      <c r="A145" s="82" t="s">
        <v>11</v>
      </c>
      <c r="B145" s="81" t="str">
        <f>$A$2</f>
        <v>IMF.RES.GAS:GAS_LIVE_2026_JAN_GAS1_VINTAGE</v>
      </c>
      <c r="C145" s="81" t="s">
        <v>738</v>
      </c>
      <c r="D145" s="82"/>
      <c r="E145" s="86">
        <v>1.31099862933333</v>
      </c>
      <c r="F145" s="86">
        <v>1.2825643879999999</v>
      </c>
      <c r="G145" s="86">
        <v>1.251470369</v>
      </c>
      <c r="H145" s="86">
        <v>1.29737565333333</v>
      </c>
      <c r="I145" s="86">
        <v>1.3203565150000001</v>
      </c>
      <c r="J145" s="86">
        <v>1.3065598483333301</v>
      </c>
      <c r="K145" s="86">
        <v>1.3245845063333299</v>
      </c>
      <c r="L145" s="86">
        <v>1.3610487093333301</v>
      </c>
      <c r="M145" s="86">
        <v>1.3697083693333301</v>
      </c>
      <c r="N145" s="86">
        <v>1.3712341269999999</v>
      </c>
      <c r="O145" s="86">
        <v>1.3252210929999999</v>
      </c>
      <c r="P145" s="86">
        <v>1.2492090819999999</v>
      </c>
      <c r="Q145" s="86">
        <v>1.126955505</v>
      </c>
      <c r="R145" s="86">
        <v>1.104735909</v>
      </c>
      <c r="S145" s="86">
        <v>1.11186706833333</v>
      </c>
      <c r="T145" s="86">
        <v>1.0949424243333299</v>
      </c>
      <c r="U145" s="86">
        <v>1.1017423016666601</v>
      </c>
      <c r="V145" s="86">
        <v>1.12930634933333</v>
      </c>
      <c r="W145" s="86">
        <v>1.1164117950000001</v>
      </c>
      <c r="X145" s="86">
        <v>1.078930231</v>
      </c>
      <c r="Y145" s="86">
        <v>1.0647251579999999</v>
      </c>
      <c r="Z145" s="86">
        <v>1.1003207073333301</v>
      </c>
      <c r="AA145" s="86">
        <v>1.1744151140000001</v>
      </c>
      <c r="AB145" s="86">
        <v>1.177669139</v>
      </c>
      <c r="AC145" s="86">
        <v>1.2294496826666601</v>
      </c>
      <c r="AD145" s="86">
        <v>1.1922270993333299</v>
      </c>
      <c r="AE145" s="86">
        <v>1.163112793</v>
      </c>
      <c r="AF145" s="86">
        <v>1.1411705883333301</v>
      </c>
      <c r="AG145" s="86">
        <v>1.13566784266666</v>
      </c>
      <c r="AH145" s="86">
        <v>1.123874697</v>
      </c>
      <c r="AI145" s="86">
        <v>1.11161744433333</v>
      </c>
      <c r="AJ145" s="86">
        <v>1.1072322533333301</v>
      </c>
      <c r="AK145" s="86">
        <v>1.1022924243333301</v>
      </c>
      <c r="AL145" s="86">
        <v>1.1006113636666599</v>
      </c>
      <c r="AM145" s="86">
        <v>1.1694631876666599</v>
      </c>
      <c r="AN145" s="86">
        <v>1.1927604616666601</v>
      </c>
      <c r="AO145" s="86">
        <v>1.20559456533333</v>
      </c>
      <c r="AP145" s="86">
        <v>1.2057365223333301</v>
      </c>
      <c r="AQ145" s="86">
        <v>1.1787984846666599</v>
      </c>
      <c r="AR145" s="86">
        <v>1.1439768083333299</v>
      </c>
      <c r="AS145" s="86">
        <v>1.12251109033333</v>
      </c>
      <c r="AT145" s="86">
        <v>1.06543516733333</v>
      </c>
      <c r="AU145" s="86">
        <v>1.00703707556666</v>
      </c>
      <c r="AV145" s="86">
        <v>1.0205249639</v>
      </c>
      <c r="AW145" s="86">
        <v>1.0729975363333299</v>
      </c>
      <c r="AX145" s="86">
        <v>1.0891695286666601</v>
      </c>
      <c r="AY145" s="86">
        <v>1.0883607316666599</v>
      </c>
      <c r="AZ145" s="86">
        <v>1.07579417833333</v>
      </c>
      <c r="BA145" s="86">
        <v>1.0857350216666599</v>
      </c>
      <c r="BB145" s="86">
        <v>1.0766329723333301</v>
      </c>
      <c r="BC145" s="86">
        <v>1.0987422926666599</v>
      </c>
      <c r="BD145" s="86">
        <v>1.0671080230000001</v>
      </c>
      <c r="BE145" s="86">
        <v>1.05243455966666</v>
      </c>
      <c r="BF145" s="86">
        <v>1.13360627</v>
      </c>
      <c r="BG145" s="86">
        <v>1.1680176046666599</v>
      </c>
      <c r="BH145" s="86">
        <v>1.1593843123435801</v>
      </c>
      <c r="BI145" s="86">
        <v>1.1587430402980099</v>
      </c>
      <c r="BJ145" s="86">
        <v>1.15844397575386</v>
      </c>
      <c r="BK145" s="86">
        <v>1.15772099163408</v>
      </c>
      <c r="BL145" s="86">
        <v>1.15680801618038</v>
      </c>
      <c r="BM145" s="86">
        <v>1.1559632961597299</v>
      </c>
      <c r="BN145" s="86">
        <v>1.15530413974099</v>
      </c>
      <c r="BO145" s="86">
        <v>1.1548449011869799</v>
      </c>
      <c r="BP145" s="86">
        <v>1.15452432066974</v>
      </c>
      <c r="BQ145" s="86">
        <v>1.1538078276616099</v>
      </c>
      <c r="BR145" s="86">
        <v>1.15359589919767</v>
      </c>
      <c r="BS145" s="86">
        <v>1.1534002139529</v>
      </c>
      <c r="BT145" s="86">
        <v>1.1532180996849899</v>
      </c>
    </row>
    <row r="146" spans="1:72" x14ac:dyDescent="0.65">
      <c r="A146" s="82" t="s">
        <v>119</v>
      </c>
      <c r="B146" s="81" t="str">
        <f t="shared" ref="B146:B206" si="4">$A$2</f>
        <v>IMF.RES.GAS:GAS_LIVE_2026_JAN_GAS1_VINTAGE</v>
      </c>
      <c r="C146" s="81" t="s">
        <v>739</v>
      </c>
      <c r="D146" s="82"/>
      <c r="E146" s="86">
        <v>1.31099862933333</v>
      </c>
      <c r="F146" s="86">
        <v>1.2825643879999999</v>
      </c>
      <c r="G146" s="86">
        <v>1.251470369</v>
      </c>
      <c r="H146" s="86">
        <v>1.29737565333333</v>
      </c>
      <c r="I146" s="86">
        <v>1.3203565150000001</v>
      </c>
      <c r="J146" s="86">
        <v>1.3065598483333301</v>
      </c>
      <c r="K146" s="86">
        <v>1.3245845063333299</v>
      </c>
      <c r="L146" s="86">
        <v>1.3610487093333301</v>
      </c>
      <c r="M146" s="86">
        <v>1.3697083693333301</v>
      </c>
      <c r="N146" s="86">
        <v>1.3712341269999999</v>
      </c>
      <c r="O146" s="86">
        <v>1.3252210929999999</v>
      </c>
      <c r="P146" s="86">
        <v>1.2492090819999999</v>
      </c>
      <c r="Q146" s="86">
        <v>1.126955505</v>
      </c>
      <c r="R146" s="86">
        <v>1.104735909</v>
      </c>
      <c r="S146" s="86">
        <v>1.11186706833333</v>
      </c>
      <c r="T146" s="86">
        <v>1.0949424243333299</v>
      </c>
      <c r="U146" s="86">
        <v>1.1017423016666601</v>
      </c>
      <c r="V146" s="86">
        <v>1.12930634933333</v>
      </c>
      <c r="W146" s="86">
        <v>1.1164117950000001</v>
      </c>
      <c r="X146" s="86">
        <v>1.078930231</v>
      </c>
      <c r="Y146" s="86">
        <v>1.0647251579999999</v>
      </c>
      <c r="Z146" s="86">
        <v>1.1003207073333301</v>
      </c>
      <c r="AA146" s="86">
        <v>1.1744151140000001</v>
      </c>
      <c r="AB146" s="86">
        <v>1.177669139</v>
      </c>
      <c r="AC146" s="86">
        <v>1.2294496826666601</v>
      </c>
      <c r="AD146" s="86">
        <v>1.1922270993333299</v>
      </c>
      <c r="AE146" s="86">
        <v>1.163112793</v>
      </c>
      <c r="AF146" s="86">
        <v>1.1411705883333301</v>
      </c>
      <c r="AG146" s="86">
        <v>1.13566784266666</v>
      </c>
      <c r="AH146" s="86">
        <v>1.123874697</v>
      </c>
      <c r="AI146" s="86">
        <v>1.11161744433333</v>
      </c>
      <c r="AJ146" s="86">
        <v>1.1072322533333301</v>
      </c>
      <c r="AK146" s="86">
        <v>1.1022924243333301</v>
      </c>
      <c r="AL146" s="86">
        <v>1.1006113636666599</v>
      </c>
      <c r="AM146" s="86">
        <v>1.1694631876666599</v>
      </c>
      <c r="AN146" s="86">
        <v>1.1927604616666601</v>
      </c>
      <c r="AO146" s="86">
        <v>1.20559456533333</v>
      </c>
      <c r="AP146" s="86">
        <v>1.2057365223333301</v>
      </c>
      <c r="AQ146" s="86">
        <v>1.1787984846666599</v>
      </c>
      <c r="AR146" s="86">
        <v>1.1439768083333299</v>
      </c>
      <c r="AS146" s="86">
        <v>1.12251109033333</v>
      </c>
      <c r="AT146" s="86">
        <v>1.06543516733333</v>
      </c>
      <c r="AU146" s="86">
        <v>1.00703707556666</v>
      </c>
      <c r="AV146" s="86">
        <v>1.0205249639</v>
      </c>
      <c r="AW146" s="86">
        <v>1.0729975363333299</v>
      </c>
      <c r="AX146" s="86">
        <v>1.0891695286666601</v>
      </c>
      <c r="AY146" s="86">
        <v>1.0883607316666599</v>
      </c>
      <c r="AZ146" s="86">
        <v>1.07579417833333</v>
      </c>
      <c r="BA146" s="86">
        <v>1.0857350216666599</v>
      </c>
      <c r="BB146" s="86">
        <v>1.0766329723333301</v>
      </c>
      <c r="BC146" s="86">
        <v>1.0987422926666599</v>
      </c>
      <c r="BD146" s="86">
        <v>1.0671080230000001</v>
      </c>
      <c r="BE146" s="86">
        <v>1.05243455966666</v>
      </c>
      <c r="BF146" s="86">
        <v>1.13360627</v>
      </c>
      <c r="BG146" s="86">
        <v>1.1680176046666599</v>
      </c>
      <c r="BH146" s="86">
        <v>1.1593843123435801</v>
      </c>
      <c r="BI146" s="86">
        <v>1.1587430402980099</v>
      </c>
      <c r="BJ146" s="86">
        <v>1.15844397575386</v>
      </c>
      <c r="BK146" s="86">
        <v>1.15772099163408</v>
      </c>
      <c r="BL146" s="86">
        <v>1.15680801618038</v>
      </c>
      <c r="BM146" s="86">
        <v>1.1559632961597299</v>
      </c>
      <c r="BN146" s="86">
        <v>1.15530413974099</v>
      </c>
      <c r="BO146" s="86">
        <v>1.1548449011869799</v>
      </c>
      <c r="BP146" s="86">
        <v>1.15452432066974</v>
      </c>
      <c r="BQ146" s="86">
        <v>1.1538078276616099</v>
      </c>
      <c r="BR146" s="86">
        <v>1.15359589919767</v>
      </c>
      <c r="BS146" s="86">
        <v>1.1534002139529</v>
      </c>
      <c r="BT146" s="86">
        <v>1.1532180996849899</v>
      </c>
    </row>
    <row r="147" spans="1:72" x14ac:dyDescent="0.65">
      <c r="A147" s="82" t="s">
        <v>120</v>
      </c>
      <c r="B147" s="81" t="str">
        <f t="shared" si="4"/>
        <v>IMF.RES.GAS:GAS_LIVE_2026_JAN_GAS1_VINTAGE</v>
      </c>
      <c r="C147" s="81" t="s">
        <v>740</v>
      </c>
      <c r="D147" s="82"/>
      <c r="E147" s="86">
        <v>0.67030295543750396</v>
      </c>
      <c r="F147" s="86">
        <v>0.65576475869579598</v>
      </c>
      <c r="G147" s="86">
        <v>0.639866639227335</v>
      </c>
      <c r="H147" s="86">
        <v>0.66333763841097304</v>
      </c>
      <c r="I147" s="86">
        <v>0.675087566404033</v>
      </c>
      <c r="J147" s="86">
        <v>0.66803344274979604</v>
      </c>
      <c r="K147" s="86">
        <v>0.67724930404653405</v>
      </c>
      <c r="L147" s="86">
        <v>0.69589315499472504</v>
      </c>
      <c r="M147" s="86">
        <v>0.70032076884664396</v>
      </c>
      <c r="N147" s="86">
        <v>0.70110087635428398</v>
      </c>
      <c r="O147" s="86">
        <v>0.67757478564087803</v>
      </c>
      <c r="P147" s="86">
        <v>0.63871046154318101</v>
      </c>
      <c r="Q147" s="86">
        <v>0.576203200175884</v>
      </c>
      <c r="R147" s="86">
        <v>0.56484250113762402</v>
      </c>
      <c r="S147" s="86">
        <v>0.56848860500827403</v>
      </c>
      <c r="T147" s="86">
        <v>0.55983517193893795</v>
      </c>
      <c r="U147" s="86">
        <v>0.56331189401260096</v>
      </c>
      <c r="V147" s="86">
        <v>0.57740516779747397</v>
      </c>
      <c r="W147" s="86">
        <v>0.57081228685519703</v>
      </c>
      <c r="X147" s="86">
        <v>0.55164826748745999</v>
      </c>
      <c r="Y147" s="86">
        <v>0.54438532899076097</v>
      </c>
      <c r="Z147" s="86">
        <v>0.56258504437161405</v>
      </c>
      <c r="AA147" s="86">
        <v>0.60046891294233096</v>
      </c>
      <c r="AB147" s="86">
        <v>0.60213266950604105</v>
      </c>
      <c r="AC147" s="86">
        <v>0.62860764108673295</v>
      </c>
      <c r="AD147" s="86">
        <v>0.60957603643125102</v>
      </c>
      <c r="AE147" s="86">
        <v>0.59469012797635701</v>
      </c>
      <c r="AF147" s="86">
        <v>0.58347125687474499</v>
      </c>
      <c r="AG147" s="86">
        <v>0.58065774769109102</v>
      </c>
      <c r="AH147" s="86">
        <v>0.57462800805795999</v>
      </c>
      <c r="AI147" s="86">
        <v>0.56836097428372201</v>
      </c>
      <c r="AJ147" s="86">
        <v>0.56611886172792703</v>
      </c>
      <c r="AK147" s="86">
        <v>0.56359316726573006</v>
      </c>
      <c r="AL147" s="86">
        <v>0.56273365459506497</v>
      </c>
      <c r="AM147" s="86">
        <v>0.59793703321181602</v>
      </c>
      <c r="AN147" s="86">
        <v>0.60984874026201996</v>
      </c>
      <c r="AO147" s="86">
        <v>0.61641071326921704</v>
      </c>
      <c r="AP147" s="86">
        <v>0.61648329473079599</v>
      </c>
      <c r="AQ147" s="86">
        <v>0.60271009477647097</v>
      </c>
      <c r="AR147" s="86">
        <v>0.58490605437759602</v>
      </c>
      <c r="AS147" s="86">
        <v>0.57393080704014798</v>
      </c>
      <c r="AT147" s="86">
        <v>0.54474835099846797</v>
      </c>
      <c r="AU147" s="86">
        <v>0.51488988080081899</v>
      </c>
      <c r="AV147" s="86">
        <v>0.52178612860013396</v>
      </c>
      <c r="AW147" s="86">
        <v>0.54861492887077801</v>
      </c>
      <c r="AX147" s="86">
        <v>0.55688353725357798</v>
      </c>
      <c r="AY147" s="86">
        <v>0.55647000591394302</v>
      </c>
      <c r="AZ147" s="86">
        <v>0.55004482921998998</v>
      </c>
      <c r="BA147" s="86">
        <v>0.55512750170856695</v>
      </c>
      <c r="BB147" s="86">
        <v>0.55047369778218602</v>
      </c>
      <c r="BC147" s="86">
        <v>0.56177801376738601</v>
      </c>
      <c r="BD147" s="86">
        <v>0.54560366851924702</v>
      </c>
      <c r="BE147" s="86">
        <v>0.53810124584788299</v>
      </c>
      <c r="BF147" s="86">
        <v>0.57960368232412796</v>
      </c>
      <c r="BG147" s="86">
        <v>0.59719791836032099</v>
      </c>
      <c r="BH147" s="86">
        <v>0.59281491609224801</v>
      </c>
      <c r="BI147" s="86">
        <v>0.59281767492063298</v>
      </c>
      <c r="BJ147" s="86">
        <v>0.59363525533665595</v>
      </c>
      <c r="BK147" s="86">
        <v>0.59425919992231602</v>
      </c>
      <c r="BL147" s="86">
        <v>0.59477907936164698</v>
      </c>
      <c r="BM147" s="86">
        <v>0.59543061021382604</v>
      </c>
      <c r="BN147" s="86">
        <v>0.59598651393992397</v>
      </c>
      <c r="BO147" s="86">
        <v>0.59659077047620601</v>
      </c>
      <c r="BP147" s="86">
        <v>0.59722150246767702</v>
      </c>
      <c r="BQ147" s="86">
        <v>0.59777946716769303</v>
      </c>
      <c r="BR147" s="86">
        <v>0.59840353001684199</v>
      </c>
      <c r="BS147" s="86">
        <v>0.59901669612466102</v>
      </c>
      <c r="BT147" s="86">
        <v>0.59962431606099997</v>
      </c>
    </row>
    <row r="148" spans="1:72" x14ac:dyDescent="0.65">
      <c r="A148" s="94" t="s">
        <v>121</v>
      </c>
      <c r="B148" s="81" t="str">
        <f t="shared" si="4"/>
        <v>IMF.RES.GAS:GAS_LIVE_2026_JAN_GAS1_VINTAGE</v>
      </c>
      <c r="C148" s="81" t="s">
        <v>741</v>
      </c>
      <c r="D148" s="82"/>
      <c r="E148" s="86">
        <v>1.31099862933333</v>
      </c>
      <c r="F148" s="86">
        <v>1.2825643879999999</v>
      </c>
      <c r="G148" s="86">
        <v>1.251470369</v>
      </c>
      <c r="H148" s="86">
        <v>1.29737565333333</v>
      </c>
      <c r="I148" s="86">
        <v>1.3203565150000001</v>
      </c>
      <c r="J148" s="86">
        <v>1.3065598483333301</v>
      </c>
      <c r="K148" s="86">
        <v>1.3245845063333299</v>
      </c>
      <c r="L148" s="86">
        <v>1.3610487093333301</v>
      </c>
      <c r="M148" s="86">
        <v>1.3697083693333301</v>
      </c>
      <c r="N148" s="86">
        <v>1.3712341269999999</v>
      </c>
      <c r="O148" s="86">
        <v>1.3252210929999999</v>
      </c>
      <c r="P148" s="86">
        <v>1.2492090819999999</v>
      </c>
      <c r="Q148" s="86">
        <v>1.126955505</v>
      </c>
      <c r="R148" s="86">
        <v>1.104735909</v>
      </c>
      <c r="S148" s="86">
        <v>1.11186706833333</v>
      </c>
      <c r="T148" s="86">
        <v>1.0949424243333299</v>
      </c>
      <c r="U148" s="86">
        <v>1.1017423016666601</v>
      </c>
      <c r="V148" s="86">
        <v>1.12930634933333</v>
      </c>
      <c r="W148" s="86">
        <v>1.1164117950000001</v>
      </c>
      <c r="X148" s="86">
        <v>1.078930231</v>
      </c>
      <c r="Y148" s="86">
        <v>1.0647251579999999</v>
      </c>
      <c r="Z148" s="86">
        <v>1.1003207073333301</v>
      </c>
      <c r="AA148" s="86">
        <v>1.1744151140000001</v>
      </c>
      <c r="AB148" s="86">
        <v>1.177669139</v>
      </c>
      <c r="AC148" s="86">
        <v>1.2294496826666601</v>
      </c>
      <c r="AD148" s="86">
        <v>1.1922270993333299</v>
      </c>
      <c r="AE148" s="86">
        <v>1.163112793</v>
      </c>
      <c r="AF148" s="86">
        <v>1.1411705883333301</v>
      </c>
      <c r="AG148" s="86">
        <v>1.13566784266666</v>
      </c>
      <c r="AH148" s="86">
        <v>1.123874697</v>
      </c>
      <c r="AI148" s="86">
        <v>1.11161744433333</v>
      </c>
      <c r="AJ148" s="86">
        <v>1.1072322533333301</v>
      </c>
      <c r="AK148" s="86">
        <v>1.1022924243333301</v>
      </c>
      <c r="AL148" s="86">
        <v>1.1006113636666599</v>
      </c>
      <c r="AM148" s="86">
        <v>1.1694631876666599</v>
      </c>
      <c r="AN148" s="86">
        <v>1.1927604616666601</v>
      </c>
      <c r="AO148" s="86">
        <v>1.20559456533333</v>
      </c>
      <c r="AP148" s="86">
        <v>1.2057365223333301</v>
      </c>
      <c r="AQ148" s="86">
        <v>1.1787984846666599</v>
      </c>
      <c r="AR148" s="86">
        <v>1.1439768083333299</v>
      </c>
      <c r="AS148" s="86">
        <v>1.12251109033333</v>
      </c>
      <c r="AT148" s="86">
        <v>1.06543516733333</v>
      </c>
      <c r="AU148" s="86">
        <v>1.00703707556666</v>
      </c>
      <c r="AV148" s="86">
        <v>1.0205249639</v>
      </c>
      <c r="AW148" s="86">
        <v>1.0729975363333299</v>
      </c>
      <c r="AX148" s="86">
        <v>1.0891695286666601</v>
      </c>
      <c r="AY148" s="86">
        <v>1.0883607316666599</v>
      </c>
      <c r="AZ148" s="86">
        <v>1.07579417833333</v>
      </c>
      <c r="BA148" s="86">
        <v>1.0857350216666599</v>
      </c>
      <c r="BB148" s="86">
        <v>1.0766329723333301</v>
      </c>
      <c r="BC148" s="86">
        <v>1.0987422926666599</v>
      </c>
      <c r="BD148" s="86">
        <v>1.0671080230000001</v>
      </c>
      <c r="BE148" s="86">
        <v>1.05243455966666</v>
      </c>
      <c r="BF148" s="86">
        <v>1.13360627</v>
      </c>
      <c r="BG148" s="86">
        <v>1.1680176046666599</v>
      </c>
      <c r="BH148" s="86">
        <v>1.1593843123435801</v>
      </c>
      <c r="BI148" s="86">
        <v>1.1587430402980099</v>
      </c>
      <c r="BJ148" s="86">
        <v>1.15844397575386</v>
      </c>
      <c r="BK148" s="86">
        <v>1.15772099163408</v>
      </c>
      <c r="BL148" s="86">
        <v>1.15680801618038</v>
      </c>
      <c r="BM148" s="86">
        <v>1.1559632961597299</v>
      </c>
      <c r="BN148" s="86">
        <v>1.15530413974099</v>
      </c>
      <c r="BO148" s="86">
        <v>1.1548449011869799</v>
      </c>
      <c r="BP148" s="86">
        <v>1.15452432066974</v>
      </c>
      <c r="BQ148" s="86">
        <v>1.1538078276616099</v>
      </c>
      <c r="BR148" s="86">
        <v>1.15359589919767</v>
      </c>
      <c r="BS148" s="86">
        <v>1.1534002139529</v>
      </c>
      <c r="BT148" s="86">
        <v>1.1532180996849899</v>
      </c>
    </row>
    <row r="149" spans="1:72" x14ac:dyDescent="0.65">
      <c r="A149" s="82" t="s">
        <v>122</v>
      </c>
      <c r="B149" s="81" t="str">
        <f t="shared" si="4"/>
        <v>IMF.RES.GAS:GAS_LIVE_2026_JAN_GAS1_VINTAGE</v>
      </c>
      <c r="C149" s="81" t="s">
        <v>742</v>
      </c>
      <c r="D149" s="82"/>
      <c r="E149" s="86">
        <v>0.19986045264145799</v>
      </c>
      <c r="F149" s="86">
        <v>0.1955256804943</v>
      </c>
      <c r="G149" s="86">
        <v>0.190785427855789</v>
      </c>
      <c r="H149" s="86">
        <v>0.197783643338409</v>
      </c>
      <c r="I149" s="86">
        <v>0.201287053114762</v>
      </c>
      <c r="J149" s="86">
        <v>0.199183764840276</v>
      </c>
      <c r="K149" s="86">
        <v>0.20193160623841699</v>
      </c>
      <c r="L149" s="86">
        <v>0.20749053815011201</v>
      </c>
      <c r="M149" s="86">
        <v>0.20881069480672201</v>
      </c>
      <c r="N149" s="86">
        <v>0.20904329506354799</v>
      </c>
      <c r="O149" s="86">
        <v>0.202028653250136</v>
      </c>
      <c r="P149" s="86">
        <v>0.190440696874947</v>
      </c>
      <c r="Q149" s="86">
        <v>0.171803259207539</v>
      </c>
      <c r="R149" s="86">
        <v>0.168415903633927</v>
      </c>
      <c r="S149" s="86">
        <v>0.169503041866057</v>
      </c>
      <c r="T149" s="86">
        <v>0.16692289652116399</v>
      </c>
      <c r="U149" s="86">
        <v>0.167959531137965</v>
      </c>
      <c r="V149" s="86">
        <v>0.17216164311583401</v>
      </c>
      <c r="W149" s="86">
        <v>0.17019588098000299</v>
      </c>
      <c r="X149" s="86">
        <v>0.16448185338368199</v>
      </c>
      <c r="Y149" s="86">
        <v>0.16231630396504601</v>
      </c>
      <c r="Z149" s="86">
        <v>0.16774281047893799</v>
      </c>
      <c r="AA149" s="86">
        <v>0.17903842995806099</v>
      </c>
      <c r="AB149" s="86">
        <v>0.17953450287137701</v>
      </c>
      <c r="AC149" s="86">
        <v>0.18742839586537899</v>
      </c>
      <c r="AD149" s="86">
        <v>0.181753849617175</v>
      </c>
      <c r="AE149" s="86">
        <v>0.17731540222910899</v>
      </c>
      <c r="AF149" s="86">
        <v>0.17397033469165399</v>
      </c>
      <c r="AG149" s="86">
        <v>0.17313144652266299</v>
      </c>
      <c r="AH149" s="86">
        <v>0.171333593055642</v>
      </c>
      <c r="AI149" s="86">
        <v>0.169464986932578</v>
      </c>
      <c r="AJ149" s="86">
        <v>0.16879646887423</v>
      </c>
      <c r="AK149" s="86">
        <v>0.16804339679785901</v>
      </c>
      <c r="AL149" s="86">
        <v>0.167787120751309</v>
      </c>
      <c r="AM149" s="86">
        <v>0.178283513655112</v>
      </c>
      <c r="AN149" s="86">
        <v>0.18183516018072299</v>
      </c>
      <c r="AO149" s="86">
        <v>0.18379170667182901</v>
      </c>
      <c r="AP149" s="86">
        <v>0.18381334787696901</v>
      </c>
      <c r="AQ149" s="86">
        <v>0.17970667050838099</v>
      </c>
      <c r="AR149" s="86">
        <v>0.174398140172806</v>
      </c>
      <c r="AS149" s="86">
        <v>0.17112571255941</v>
      </c>
      <c r="AT149" s="86">
        <v>0.16242454419014199</v>
      </c>
      <c r="AU149" s="86">
        <v>0.15352181249177399</v>
      </c>
      <c r="AV149" s="86">
        <v>0.155578027812798</v>
      </c>
      <c r="AW149" s="86">
        <v>0.163577419912179</v>
      </c>
      <c r="AX149" s="86">
        <v>0.166042824250166</v>
      </c>
      <c r="AY149" s="86">
        <v>0.165919523942372</v>
      </c>
      <c r="AZ149" s="86">
        <v>0.16400376523664401</v>
      </c>
      <c r="BA149" s="86">
        <v>0.165519237033321</v>
      </c>
      <c r="BB149" s="86">
        <v>0.16413163855760801</v>
      </c>
      <c r="BC149" s="86">
        <v>0.16750218271421199</v>
      </c>
      <c r="BD149" s="86">
        <v>0.162679569392505</v>
      </c>
      <c r="BE149" s="86">
        <v>0.16044261432786999</v>
      </c>
      <c r="BF149" s="86">
        <v>0.172817161795666</v>
      </c>
      <c r="BG149" s="86">
        <v>0.17806313594742701</v>
      </c>
      <c r="BH149" s="86">
        <v>0.176675800602106</v>
      </c>
      <c r="BI149" s="86">
        <v>0.17599536246498099</v>
      </c>
      <c r="BJ149" s="86">
        <v>0.17517819120681899</v>
      </c>
      <c r="BK149" s="86">
        <v>0.174288658315885</v>
      </c>
      <c r="BL149" s="86">
        <v>0.173358641785545</v>
      </c>
      <c r="BM149" s="86">
        <v>0.172599721105057</v>
      </c>
      <c r="BN149" s="86">
        <v>0.17167425999727701</v>
      </c>
      <c r="BO149" s="86">
        <v>0.17077005245348001</v>
      </c>
      <c r="BP149" s="86">
        <v>0.169887269066336</v>
      </c>
      <c r="BQ149" s="86">
        <v>0.169009050312973</v>
      </c>
      <c r="BR149" s="86">
        <v>0.16816810812135299</v>
      </c>
      <c r="BS149" s="86">
        <v>0.167344587559666</v>
      </c>
      <c r="BT149" s="86">
        <v>0.16653499689048201</v>
      </c>
    </row>
    <row r="150" spans="1:72" x14ac:dyDescent="0.65">
      <c r="A150" s="82" t="s">
        <v>123</v>
      </c>
      <c r="B150" s="81" t="str">
        <f t="shared" si="4"/>
        <v>IMF.RES.GAS:GAS_LIVE_2026_JAN_GAS1_VINTAGE</v>
      </c>
      <c r="C150" s="81" t="s">
        <v>743</v>
      </c>
      <c r="D150" s="82"/>
      <c r="E150" s="86">
        <v>1.31099862933333</v>
      </c>
      <c r="F150" s="86">
        <v>1.2825643879999999</v>
      </c>
      <c r="G150" s="86">
        <v>1.251470369</v>
      </c>
      <c r="H150" s="86">
        <v>1.29737565333333</v>
      </c>
      <c r="I150" s="86">
        <v>1.3203565150000001</v>
      </c>
      <c r="J150" s="86">
        <v>1.3065598483333301</v>
      </c>
      <c r="K150" s="86">
        <v>1.3245845063333299</v>
      </c>
      <c r="L150" s="86">
        <v>1.3610487093333301</v>
      </c>
      <c r="M150" s="86">
        <v>1.3697083693333301</v>
      </c>
      <c r="N150" s="86">
        <v>1.3712341269999999</v>
      </c>
      <c r="O150" s="86">
        <v>1.3252210929999999</v>
      </c>
      <c r="P150" s="86">
        <v>1.2492090819999999</v>
      </c>
      <c r="Q150" s="86">
        <v>1.126955505</v>
      </c>
      <c r="R150" s="86">
        <v>1.104735909</v>
      </c>
      <c r="S150" s="86">
        <v>1.11186706833333</v>
      </c>
      <c r="T150" s="86">
        <v>1.0949424243333299</v>
      </c>
      <c r="U150" s="86">
        <v>1.1017423016666601</v>
      </c>
      <c r="V150" s="86">
        <v>1.12930634933333</v>
      </c>
      <c r="W150" s="86">
        <v>1.1164117950000001</v>
      </c>
      <c r="X150" s="86">
        <v>1.078930231</v>
      </c>
      <c r="Y150" s="86">
        <v>1.0647251579999999</v>
      </c>
      <c r="Z150" s="86">
        <v>1.1003207073333301</v>
      </c>
      <c r="AA150" s="86">
        <v>1.1744151140000001</v>
      </c>
      <c r="AB150" s="86">
        <v>1.177669139</v>
      </c>
      <c r="AC150" s="86">
        <v>1.2294496826666601</v>
      </c>
      <c r="AD150" s="86">
        <v>1.1922270993333299</v>
      </c>
      <c r="AE150" s="86">
        <v>1.163112793</v>
      </c>
      <c r="AF150" s="86">
        <v>1.1411705883333301</v>
      </c>
      <c r="AG150" s="86">
        <v>1.13566784266666</v>
      </c>
      <c r="AH150" s="86">
        <v>1.123874697</v>
      </c>
      <c r="AI150" s="86">
        <v>1.11161744433333</v>
      </c>
      <c r="AJ150" s="86">
        <v>1.1072322533333301</v>
      </c>
      <c r="AK150" s="86">
        <v>1.1022924243333301</v>
      </c>
      <c r="AL150" s="86">
        <v>1.1006113636666599</v>
      </c>
      <c r="AM150" s="86">
        <v>1.1694631876666599</v>
      </c>
      <c r="AN150" s="86">
        <v>1.1927604616666601</v>
      </c>
      <c r="AO150" s="86">
        <v>1.20559456533333</v>
      </c>
      <c r="AP150" s="86">
        <v>1.2057365223333301</v>
      </c>
      <c r="AQ150" s="86">
        <v>1.1787984846666599</v>
      </c>
      <c r="AR150" s="86">
        <v>1.1439768083333299</v>
      </c>
      <c r="AS150" s="86">
        <v>1.12251109033333</v>
      </c>
      <c r="AT150" s="86">
        <v>1.06543516733333</v>
      </c>
      <c r="AU150" s="86">
        <v>1.00703707556666</v>
      </c>
      <c r="AV150" s="86">
        <v>1.0205249639</v>
      </c>
      <c r="AW150" s="86">
        <v>1.0729975363333299</v>
      </c>
      <c r="AX150" s="86">
        <v>1.0891695286666601</v>
      </c>
      <c r="AY150" s="86">
        <v>1.0883607316666599</v>
      </c>
      <c r="AZ150" s="86">
        <v>1.07579417833333</v>
      </c>
      <c r="BA150" s="86">
        <v>1.0857350216666599</v>
      </c>
      <c r="BB150" s="86">
        <v>1.0766329723333301</v>
      </c>
      <c r="BC150" s="86">
        <v>1.0987422926666599</v>
      </c>
      <c r="BD150" s="86">
        <v>1.0671080230000001</v>
      </c>
      <c r="BE150" s="86">
        <v>1.05243455966666</v>
      </c>
      <c r="BF150" s="86">
        <v>1.13360627</v>
      </c>
      <c r="BG150" s="86">
        <v>1.1680176046666599</v>
      </c>
      <c r="BH150" s="86">
        <v>1.1593843123435801</v>
      </c>
      <c r="BI150" s="86">
        <v>1.1587430402980099</v>
      </c>
      <c r="BJ150" s="86">
        <v>1.15844397575386</v>
      </c>
      <c r="BK150" s="86">
        <v>1.15772099163408</v>
      </c>
      <c r="BL150" s="86">
        <v>1.15680801618038</v>
      </c>
      <c r="BM150" s="86">
        <v>1.1559632961597299</v>
      </c>
      <c r="BN150" s="86">
        <v>1.15530413974099</v>
      </c>
      <c r="BO150" s="86">
        <v>1.1548449011869799</v>
      </c>
      <c r="BP150" s="86">
        <v>1.15452432066974</v>
      </c>
      <c r="BQ150" s="86">
        <v>1.1538078276616099</v>
      </c>
      <c r="BR150" s="86">
        <v>1.15359589919767</v>
      </c>
      <c r="BS150" s="86">
        <v>1.1534002139529</v>
      </c>
      <c r="BT150" s="86">
        <v>1.1532180996849899</v>
      </c>
    </row>
    <row r="151" spans="1:72" x14ac:dyDescent="0.65">
      <c r="A151" s="82" t="s">
        <v>124</v>
      </c>
      <c r="B151" s="81" t="str">
        <f t="shared" si="4"/>
        <v>IMF.RES.GAS:GAS_LIVE_2026_JAN_GAS1_VINTAGE</v>
      </c>
      <c r="C151" s="81" t="s">
        <v>744</v>
      </c>
      <c r="D151" s="82"/>
      <c r="E151" s="86">
        <v>6.7707428681606E-4</v>
      </c>
      <c r="F151" s="86">
        <v>6.6238922670908498E-4</v>
      </c>
      <c r="G151" s="86">
        <v>6.4633050607611502E-4</v>
      </c>
      <c r="H151" s="86">
        <v>6.7003860687473002E-4</v>
      </c>
      <c r="I151" s="86">
        <v>6.8190723142950104E-4</v>
      </c>
      <c r="J151" s="86">
        <v>6.7478184774506301E-4</v>
      </c>
      <c r="K151" s="86">
        <v>6.8409080672289101E-4</v>
      </c>
      <c r="L151" s="86">
        <v>7.0292299593204097E-4</v>
      </c>
      <c r="M151" s="86">
        <v>7.0739533708281E-4</v>
      </c>
      <c r="N151" s="86">
        <v>7.0818332515609902E-4</v>
      </c>
      <c r="O151" s="86">
        <v>6.8441957629876004E-4</v>
      </c>
      <c r="P151" s="86">
        <v>6.45162648804144E-4</v>
      </c>
      <c r="Q151" s="86">
        <v>5.8202394552412599E-4</v>
      </c>
      <c r="R151" s="86">
        <v>5.7054848187494504E-4</v>
      </c>
      <c r="S151" s="86">
        <v>5.7423141831115104E-4</v>
      </c>
      <c r="T151" s="86">
        <v>5.6549056915271799E-4</v>
      </c>
      <c r="U151" s="86">
        <v>5.6900241271447998E-4</v>
      </c>
      <c r="V151" s="86">
        <v>5.8323805529876104E-4</v>
      </c>
      <c r="W151" s="86">
        <v>5.7657857375262701E-4</v>
      </c>
      <c r="X151" s="86">
        <v>5.5722096143616298E-4</v>
      </c>
      <c r="Y151" s="86">
        <v>5.4988465348324305E-4</v>
      </c>
      <c r="Z151" s="86">
        <v>5.6826822051332399E-4</v>
      </c>
      <c r="AA151" s="86">
        <v>6.0653478802026497E-4</v>
      </c>
      <c r="AB151" s="86">
        <v>6.0821535168132496E-4</v>
      </c>
      <c r="AC151" s="86">
        <v>6.3495777069657905E-4</v>
      </c>
      <c r="AD151" s="86">
        <v>6.1573391073214598E-4</v>
      </c>
      <c r="AE151" s="86">
        <v>6.0069762636409197E-4</v>
      </c>
      <c r="AF151" s="86">
        <v>5.89365423382758E-4</v>
      </c>
      <c r="AG151" s="86">
        <v>5.8652349241927304E-4</v>
      </c>
      <c r="AH151" s="86">
        <v>5.8043284097775605E-4</v>
      </c>
      <c r="AI151" s="86">
        <v>5.7410249827417295E-4</v>
      </c>
      <c r="AJ151" s="86">
        <v>5.7183773612839799E-4</v>
      </c>
      <c r="AK151" s="86">
        <v>5.6928652736102595E-4</v>
      </c>
      <c r="AL151" s="86">
        <v>5.6841833198193695E-4</v>
      </c>
      <c r="AM151" s="86">
        <v>6.0397733150163203E-4</v>
      </c>
      <c r="AN151" s="86">
        <v>6.16009369388911E-4</v>
      </c>
      <c r="AO151" s="86">
        <v>6.2263763077119005E-4</v>
      </c>
      <c r="AP151" s="86">
        <v>6.2271094544321401E-4</v>
      </c>
      <c r="AQ151" s="86">
        <v>6.0879861004233199E-4</v>
      </c>
      <c r="AR151" s="86">
        <v>5.90814715062121E-4</v>
      </c>
      <c r="AS151" s="86">
        <v>5.7972859690711201E-4</v>
      </c>
      <c r="AT151" s="86">
        <v>5.50251342701861E-4</v>
      </c>
      <c r="AU151" s="86">
        <v>5.2009124531530505E-4</v>
      </c>
      <c r="AV151" s="86">
        <v>5.2705715829920398E-4</v>
      </c>
      <c r="AW151" s="86">
        <v>5.5415698034537203E-4</v>
      </c>
      <c r="AX151" s="86">
        <v>5.6250911735794399E-4</v>
      </c>
      <c r="AY151" s="86">
        <v>5.6209140856733103E-4</v>
      </c>
      <c r="AZ151" s="86">
        <v>5.5560132540055499E-4</v>
      </c>
      <c r="BA151" s="86">
        <v>5.6073534252282296E-4</v>
      </c>
      <c r="BB151" s="86">
        <v>5.5603452634876997E-4</v>
      </c>
      <c r="BC151" s="86">
        <v>5.6745303736909902E-4</v>
      </c>
      <c r="BD151" s="86">
        <v>5.5111530055209203E-4</v>
      </c>
      <c r="BE151" s="86">
        <v>5.4353708918005502E-4</v>
      </c>
      <c r="BF151" s="86">
        <v>5.8545877899259901E-4</v>
      </c>
      <c r="BG151" s="86">
        <v>6.03230750188076E-4</v>
      </c>
      <c r="BH151" s="86">
        <v>5.9904114246345805E-4</v>
      </c>
      <c r="BI151" s="86">
        <v>6.0083720074643196E-4</v>
      </c>
      <c r="BJ151" s="86">
        <v>6.0279111273543501E-4</v>
      </c>
      <c r="BK151" s="86">
        <v>6.0438425338276704E-4</v>
      </c>
      <c r="BL151" s="86">
        <v>6.0581651615770297E-4</v>
      </c>
      <c r="BM151" s="86">
        <v>6.0722374080175604E-4</v>
      </c>
      <c r="BN151" s="86">
        <v>6.0888423558728305E-4</v>
      </c>
      <c r="BO151" s="86">
        <v>6.1070899703691598E-4</v>
      </c>
      <c r="BP151" s="86">
        <v>6.1262710329004701E-4</v>
      </c>
      <c r="BQ151" s="86">
        <v>6.1429378390164295E-4</v>
      </c>
      <c r="BR151" s="86">
        <v>6.1620480333604902E-4</v>
      </c>
      <c r="BS151" s="86">
        <v>6.1810787428617797E-4</v>
      </c>
      <c r="BT151" s="86">
        <v>6.2004330598229302E-4</v>
      </c>
    </row>
    <row r="152" spans="1:72" x14ac:dyDescent="0.65">
      <c r="A152" s="82" t="s">
        <v>12</v>
      </c>
      <c r="B152" s="81" t="str">
        <f t="shared" si="4"/>
        <v>IMF.RES.GAS:GAS_LIVE_2026_JAN_GAS1_VINTAGE</v>
      </c>
      <c r="C152" s="81" t="s">
        <v>745</v>
      </c>
      <c r="D152" s="82"/>
      <c r="E152" s="86">
        <v>1.26153748462767E-2</v>
      </c>
      <c r="F152" s="86">
        <v>1.24726418425977E-2</v>
      </c>
      <c r="G152" s="86">
        <v>1.2721806820611701E-2</v>
      </c>
      <c r="H152" s="86">
        <v>1.2328509727666999E-2</v>
      </c>
      <c r="I152" s="86">
        <v>1.08258487086288E-2</v>
      </c>
      <c r="J152" s="86">
        <v>1.01312807667091E-2</v>
      </c>
      <c r="K152" s="86">
        <v>1.0104432166384099E-2</v>
      </c>
      <c r="L152" s="86">
        <v>9.9660708195998503E-3</v>
      </c>
      <c r="M152" s="86">
        <v>9.72877438790044E-3</v>
      </c>
      <c r="N152" s="86">
        <v>9.7909249432949104E-3</v>
      </c>
      <c r="O152" s="86">
        <v>9.5852355748147801E-3</v>
      </c>
      <c r="P152" s="86">
        <v>8.7314328762632398E-3</v>
      </c>
      <c r="Q152" s="86">
        <v>8.3972944072753901E-3</v>
      </c>
      <c r="R152" s="86">
        <v>8.2419984875058399E-3</v>
      </c>
      <c r="S152" s="86">
        <v>8.1796882938718202E-3</v>
      </c>
      <c r="T152" s="86">
        <v>8.2300271234449895E-3</v>
      </c>
      <c r="U152" s="86">
        <v>8.6587652203786204E-3</v>
      </c>
      <c r="V152" s="86">
        <v>9.2444430794706399E-3</v>
      </c>
      <c r="W152" s="86">
        <v>9.7661223836404392E-3</v>
      </c>
      <c r="X152" s="86">
        <v>9.1647423223059406E-3</v>
      </c>
      <c r="Y152" s="86">
        <v>8.8018839173247508E-3</v>
      </c>
      <c r="Z152" s="86">
        <v>9.0029184391371298E-3</v>
      </c>
      <c r="AA152" s="86">
        <v>9.0081599109086592E-3</v>
      </c>
      <c r="AB152" s="86">
        <v>8.8521451933050999E-3</v>
      </c>
      <c r="AC152" s="86">
        <v>9.2399957087563496E-3</v>
      </c>
      <c r="AD152" s="86">
        <v>9.1673546485118908E-3</v>
      </c>
      <c r="AE152" s="86">
        <v>8.9706686553779596E-3</v>
      </c>
      <c r="AF152" s="86">
        <v>8.8565780602288501E-3</v>
      </c>
      <c r="AG152" s="86">
        <v>9.0778455766778992E-3</v>
      </c>
      <c r="AH152" s="86">
        <v>9.1026558480872908E-3</v>
      </c>
      <c r="AI152" s="86">
        <v>9.31689877182903E-3</v>
      </c>
      <c r="AJ152" s="86">
        <v>9.2004388352664602E-3</v>
      </c>
      <c r="AK152" s="86">
        <v>9.1869229062398992E-3</v>
      </c>
      <c r="AL152" s="86">
        <v>9.2943492949984201E-3</v>
      </c>
      <c r="AM152" s="86">
        <v>9.4212399015152007E-3</v>
      </c>
      <c r="AN152" s="86">
        <v>9.5682280920558003E-3</v>
      </c>
      <c r="AO152" s="86">
        <v>9.4422823511470192E-3</v>
      </c>
      <c r="AP152" s="86">
        <v>9.1365866480258903E-3</v>
      </c>
      <c r="AQ152" s="86">
        <v>9.0848346575332205E-3</v>
      </c>
      <c r="AR152" s="86">
        <v>8.8038179620489997E-3</v>
      </c>
      <c r="AS152" s="86">
        <v>8.6065078598432394E-3</v>
      </c>
      <c r="AT152" s="86">
        <v>7.7140889248271801E-3</v>
      </c>
      <c r="AU152" s="86">
        <v>7.2245880710354298E-3</v>
      </c>
      <c r="AV152" s="86">
        <v>7.0545600286879596E-3</v>
      </c>
      <c r="AW152" s="86">
        <v>7.5608456942591398E-3</v>
      </c>
      <c r="AX152" s="86">
        <v>7.2870933148205001E-3</v>
      </c>
      <c r="AY152" s="86">
        <v>6.9225627657118604E-3</v>
      </c>
      <c r="AZ152" s="86">
        <v>6.7558454547316299E-3</v>
      </c>
      <c r="BA152" s="86">
        <v>6.7315471186879198E-3</v>
      </c>
      <c r="BB152" s="86">
        <v>6.4190704961393898E-3</v>
      </c>
      <c r="BC152" s="86">
        <v>6.70846918781363E-3</v>
      </c>
      <c r="BD152" s="86">
        <v>6.5763597923749698E-3</v>
      </c>
      <c r="BE152" s="86">
        <v>6.5566646865914098E-3</v>
      </c>
      <c r="BF152" s="86">
        <v>6.9168396885857701E-3</v>
      </c>
      <c r="BG152" s="86">
        <v>6.7803879704394603E-3</v>
      </c>
      <c r="BH152" s="86">
        <v>6.5336481728463904E-3</v>
      </c>
      <c r="BI152" s="86">
        <v>6.5388684032177602E-3</v>
      </c>
      <c r="BJ152" s="86">
        <v>6.5534085827872101E-3</v>
      </c>
      <c r="BK152" s="86">
        <v>6.5635293902562598E-3</v>
      </c>
      <c r="BL152" s="86">
        <v>6.5740619660992596E-3</v>
      </c>
      <c r="BM152" s="86">
        <v>6.5694369779073399E-3</v>
      </c>
      <c r="BN152" s="86">
        <v>6.5932831357171503E-3</v>
      </c>
      <c r="BO152" s="86">
        <v>6.6212738418529801E-3</v>
      </c>
      <c r="BP152" s="86">
        <v>6.6475800965295501E-3</v>
      </c>
      <c r="BQ152" s="86">
        <v>6.7000560244248998E-3</v>
      </c>
      <c r="BR152" s="86">
        <v>6.7072795492379199E-3</v>
      </c>
      <c r="BS152" s="86">
        <v>6.7067083598266602E-3</v>
      </c>
      <c r="BT152" s="86">
        <v>6.7040519198149004E-3</v>
      </c>
    </row>
    <row r="153" spans="1:72" x14ac:dyDescent="0.65">
      <c r="A153" s="82" t="s">
        <v>13</v>
      </c>
      <c r="B153" s="81" t="str">
        <f t="shared" si="4"/>
        <v>IMF.RES.GAS:GAS_LIVE_2026_JAN_GAS1_VINTAGE</v>
      </c>
      <c r="C153" s="81" t="s">
        <v>746</v>
      </c>
      <c r="D153" s="82"/>
      <c r="E153" s="86">
        <v>1.57118554633333</v>
      </c>
      <c r="F153" s="86">
        <v>1.582648941</v>
      </c>
      <c r="G153" s="86">
        <v>1.58063511533333</v>
      </c>
      <c r="H153" s="86">
        <v>1.58530088133333</v>
      </c>
      <c r="I153" s="86">
        <v>1.55055101333333</v>
      </c>
      <c r="J153" s="86">
        <v>1.536741331</v>
      </c>
      <c r="K153" s="86">
        <v>1.5516583846666601</v>
      </c>
      <c r="L153" s="86">
        <v>1.61843340466666</v>
      </c>
      <c r="M153" s="86">
        <v>1.647044819</v>
      </c>
      <c r="N153" s="86">
        <v>1.6830717156666599</v>
      </c>
      <c r="O153" s="86">
        <v>1.66270562733333</v>
      </c>
      <c r="P153" s="86">
        <v>1.59247921</v>
      </c>
      <c r="Q153" s="86">
        <v>1.5185045643333299</v>
      </c>
      <c r="R153" s="86">
        <v>1.53224627333333</v>
      </c>
      <c r="S153" s="86">
        <v>1.5505579846666599</v>
      </c>
      <c r="T153" s="86">
        <v>1.5111519796666599</v>
      </c>
      <c r="U153" s="86">
        <v>1.4305999</v>
      </c>
      <c r="V153" s="86">
        <v>1.4344221079999999</v>
      </c>
      <c r="W153" s="86">
        <v>1.31345353733333</v>
      </c>
      <c r="X153" s="86">
        <v>1.24234116433333</v>
      </c>
      <c r="Y153" s="86">
        <v>1.23689270466666</v>
      </c>
      <c r="Z153" s="86">
        <v>1.2788393713333299</v>
      </c>
      <c r="AA153" s="86">
        <v>1.30933783966666</v>
      </c>
      <c r="AB153" s="86">
        <v>1.32721246033333</v>
      </c>
      <c r="AC153" s="86">
        <v>1.3915091020000001</v>
      </c>
      <c r="AD153" s="86">
        <v>1.3616555556666601</v>
      </c>
      <c r="AE153" s="86">
        <v>1.303620145</v>
      </c>
      <c r="AF153" s="86">
        <v>1.286371717</v>
      </c>
      <c r="AG153" s="86">
        <v>1.30234995833333</v>
      </c>
      <c r="AH153" s="86">
        <v>1.285382738</v>
      </c>
      <c r="AI153" s="86">
        <v>1.2325799239999999</v>
      </c>
      <c r="AJ153" s="86">
        <v>1.2883272593333299</v>
      </c>
      <c r="AK153" s="86">
        <v>1.2804860543333301</v>
      </c>
      <c r="AL153" s="86">
        <v>1.2411653709999999</v>
      </c>
      <c r="AM153" s="86">
        <v>1.29200952366666</v>
      </c>
      <c r="AN153" s="86">
        <v>1.318210981</v>
      </c>
      <c r="AO153" s="86">
        <v>1.37850392833333</v>
      </c>
      <c r="AP153" s="86">
        <v>1.39833945366666</v>
      </c>
      <c r="AQ153" s="86">
        <v>1.3777669316666601</v>
      </c>
      <c r="AR153" s="86">
        <v>1.34828450966666</v>
      </c>
      <c r="AS153" s="86">
        <v>1.34191525566666</v>
      </c>
      <c r="AT153" s="86">
        <v>1.2561040353333299</v>
      </c>
      <c r="AU153" s="86">
        <v>1.1768240910000001</v>
      </c>
      <c r="AV153" s="86">
        <v>1.1734931373333299</v>
      </c>
      <c r="AW153" s="86">
        <v>1.2153197636666599</v>
      </c>
      <c r="AX153" s="86">
        <v>1.25159187833333</v>
      </c>
      <c r="AY153" s="86">
        <v>1.266661898</v>
      </c>
      <c r="AZ153" s="86">
        <v>1.2400713293333301</v>
      </c>
      <c r="BA153" s="86">
        <v>1.268130357</v>
      </c>
      <c r="BB153" s="86">
        <v>1.2619890143333301</v>
      </c>
      <c r="BC153" s="86">
        <v>1.3002574603333299</v>
      </c>
      <c r="BD153" s="86">
        <v>1.2831266349999999</v>
      </c>
      <c r="BE153" s="86">
        <v>1.259660733</v>
      </c>
      <c r="BF153" s="86">
        <v>1.3350708333333301</v>
      </c>
      <c r="BG153" s="86">
        <v>1.348341872</v>
      </c>
      <c r="BH153" s="86">
        <v>1.3229397253700499</v>
      </c>
      <c r="BI153" s="86">
        <v>1.3198718848139299</v>
      </c>
      <c r="BJ153" s="86">
        <v>1.3252344161067</v>
      </c>
      <c r="BK153" s="86">
        <v>1.33038786081914</v>
      </c>
      <c r="BL153" s="86">
        <v>1.3353937149711299</v>
      </c>
      <c r="BM153" s="86">
        <v>1.3406832022577</v>
      </c>
      <c r="BN153" s="86">
        <v>1.34556798818946</v>
      </c>
      <c r="BO153" s="86">
        <v>1.3505051102738099</v>
      </c>
      <c r="BP153" s="86">
        <v>1.3555848061956799</v>
      </c>
      <c r="BQ153" s="86">
        <v>1.3596399795995999</v>
      </c>
      <c r="BR153" s="86">
        <v>1.3652465230363799</v>
      </c>
      <c r="BS153" s="86">
        <v>1.3710643338474899</v>
      </c>
      <c r="BT153" s="86">
        <v>1.37697416058037</v>
      </c>
    </row>
    <row r="154" spans="1:72" x14ac:dyDescent="0.65">
      <c r="A154" s="82" t="s">
        <v>51</v>
      </c>
      <c r="B154" s="81" t="str">
        <f t="shared" si="4"/>
        <v>IMF.RES.GAS:GAS_LIVE_2026_JAN_GAS1_VINTAGE</v>
      </c>
      <c r="C154" s="81" t="s">
        <v>747</v>
      </c>
      <c r="D154" s="82"/>
      <c r="E154" s="86">
        <v>0.99878646944731397</v>
      </c>
      <c r="F154" s="86">
        <v>0.989921824112867</v>
      </c>
      <c r="G154" s="86">
        <v>1.0052376300091399</v>
      </c>
      <c r="H154" s="86">
        <v>1.0088032916787399</v>
      </c>
      <c r="I154" s="86">
        <v>0.99117550166167301</v>
      </c>
      <c r="J154" s="86">
        <v>0.97719247740608295</v>
      </c>
      <c r="K154" s="86">
        <v>0.96295059318366705</v>
      </c>
      <c r="L154" s="86">
        <v>0.952533660145091</v>
      </c>
      <c r="M154" s="86">
        <v>0.90623059092902603</v>
      </c>
      <c r="N154" s="86">
        <v>0.91699052363656097</v>
      </c>
      <c r="O154" s="86">
        <v>0.91804206054912196</v>
      </c>
      <c r="P154" s="86">
        <v>0.88050018788929596</v>
      </c>
      <c r="Q154" s="86">
        <v>0.80570699529741996</v>
      </c>
      <c r="R154" s="86">
        <v>0.81340406704336699</v>
      </c>
      <c r="S154" s="86">
        <v>0.76374272392477205</v>
      </c>
      <c r="T154" s="86">
        <v>0.74891999497079997</v>
      </c>
      <c r="U154" s="86">
        <v>0.72735327716401299</v>
      </c>
      <c r="V154" s="86">
        <v>0.77607098872658897</v>
      </c>
      <c r="W154" s="86">
        <v>0.76621834635473296</v>
      </c>
      <c r="X154" s="86">
        <v>0.74964766561155105</v>
      </c>
      <c r="Y154" s="86">
        <v>0.75588987119641604</v>
      </c>
      <c r="Z154" s="86">
        <v>0.74353916878739001</v>
      </c>
      <c r="AA154" s="86">
        <v>0.79845831402555201</v>
      </c>
      <c r="AB154" s="86">
        <v>0.78649323681714001</v>
      </c>
      <c r="AC154" s="86">
        <v>0.79061104251023695</v>
      </c>
      <c r="AD154" s="86">
        <v>0.77450503752838495</v>
      </c>
      <c r="AE154" s="86">
        <v>0.76515380647817899</v>
      </c>
      <c r="AF154" s="86">
        <v>0.75737305516450504</v>
      </c>
      <c r="AG154" s="86">
        <v>0.75237791019066302</v>
      </c>
      <c r="AH154" s="86">
        <v>0.747734673158164</v>
      </c>
      <c r="AI154" s="86">
        <v>0.75715622219434697</v>
      </c>
      <c r="AJ154" s="86">
        <v>0.75760447370719697</v>
      </c>
      <c r="AK154" s="86">
        <v>0.74392445383290995</v>
      </c>
      <c r="AL154" s="86">
        <v>0.72184742284124304</v>
      </c>
      <c r="AM154" s="86">
        <v>0.75097231150205901</v>
      </c>
      <c r="AN154" s="86">
        <v>0.76719660716721405</v>
      </c>
      <c r="AO154" s="86">
        <v>0.78973567938322997</v>
      </c>
      <c r="AP154" s="86">
        <v>0.81366549552122203</v>
      </c>
      <c r="AQ154" s="86">
        <v>0.79284583052294599</v>
      </c>
      <c r="AR154" s="86">
        <v>0.79429655248652797</v>
      </c>
      <c r="AS154" s="86">
        <v>0.78955087799086099</v>
      </c>
      <c r="AT154" s="86">
        <v>0.78422209351781902</v>
      </c>
      <c r="AU154" s="86">
        <v>0.76566579311653504</v>
      </c>
      <c r="AV154" s="86">
        <v>0.73611985182856599</v>
      </c>
      <c r="AW154" s="86">
        <v>0.73983434861155295</v>
      </c>
      <c r="AX154" s="86">
        <v>0.74456724441371003</v>
      </c>
      <c r="AY154" s="86">
        <v>0.74552010189750795</v>
      </c>
      <c r="AZ154" s="86">
        <v>0.73336733080434102</v>
      </c>
      <c r="BA154" s="86">
        <v>0.74145583588537101</v>
      </c>
      <c r="BB154" s="86">
        <v>0.73050320372435795</v>
      </c>
      <c r="BC154" s="86">
        <v>0.73316417558103997</v>
      </c>
      <c r="BD154" s="86">
        <v>0.716398736273135</v>
      </c>
      <c r="BE154" s="86">
        <v>0.69683777600910302</v>
      </c>
      <c r="BF154" s="86">
        <v>0.722145384992394</v>
      </c>
      <c r="BG154" s="86">
        <v>0.72605676553262799</v>
      </c>
      <c r="BH154" s="86">
        <v>0.71314136464266997</v>
      </c>
      <c r="BI154" s="86">
        <v>0.712873212215685</v>
      </c>
      <c r="BJ154" s="86">
        <v>0.71420819474773101</v>
      </c>
      <c r="BK154" s="86">
        <v>0.71542085300342895</v>
      </c>
      <c r="BL154" s="86">
        <v>0.71656774233007703</v>
      </c>
      <c r="BM154" s="86">
        <v>0.71776968929467999</v>
      </c>
      <c r="BN154" s="86">
        <v>0.71893811972382704</v>
      </c>
      <c r="BO154" s="86">
        <v>0.72013691073655794</v>
      </c>
      <c r="BP154" s="86">
        <v>0.72135333998914397</v>
      </c>
      <c r="BQ154" s="86">
        <v>0.72248558073541402</v>
      </c>
      <c r="BR154" s="86">
        <v>0.72370288124453996</v>
      </c>
      <c r="BS154" s="86">
        <v>0.72491604724299996</v>
      </c>
      <c r="BT154" s="86">
        <v>0.72612800605497696</v>
      </c>
    </row>
    <row r="155" spans="1:72" x14ac:dyDescent="0.65">
      <c r="B155" s="114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</row>
    <row r="156" spans="1:72" x14ac:dyDescent="0.65">
      <c r="A156" s="82" t="s">
        <v>98</v>
      </c>
      <c r="B156" s="81" t="str">
        <f t="shared" si="4"/>
        <v>IMF.RES.GAS:GAS_LIVE_2026_JAN_GAS1_VINTAGE</v>
      </c>
      <c r="C156" s="81" t="s">
        <v>748</v>
      </c>
      <c r="D156" s="82"/>
      <c r="E156" s="86">
        <v>1.31099862933333</v>
      </c>
      <c r="F156" s="86">
        <v>1.2825643879999999</v>
      </c>
      <c r="G156" s="86">
        <v>1.251470369</v>
      </c>
      <c r="H156" s="86">
        <v>1.29737565333333</v>
      </c>
      <c r="I156" s="86">
        <v>1.3203565150000001</v>
      </c>
      <c r="J156" s="86">
        <v>1.3065598483333301</v>
      </c>
      <c r="K156" s="86">
        <v>1.3245845063333299</v>
      </c>
      <c r="L156" s="86">
        <v>1.3610487093333301</v>
      </c>
      <c r="M156" s="86">
        <v>1.3697083693333301</v>
      </c>
      <c r="N156" s="86">
        <v>1.3712341269999999</v>
      </c>
      <c r="O156" s="86">
        <v>1.3252210929999999</v>
      </c>
      <c r="P156" s="86">
        <v>1.2492090819999999</v>
      </c>
      <c r="Q156" s="86">
        <v>1.126955505</v>
      </c>
      <c r="R156" s="86">
        <v>1.104735909</v>
      </c>
      <c r="S156" s="86">
        <v>1.11186706833333</v>
      </c>
      <c r="T156" s="86">
        <v>1.0949424243333299</v>
      </c>
      <c r="U156" s="86">
        <v>1.1017423016666601</v>
      </c>
      <c r="V156" s="86">
        <v>1.12930634933333</v>
      </c>
      <c r="W156" s="86">
        <v>1.1164117950000001</v>
      </c>
      <c r="X156" s="86">
        <v>1.078930231</v>
      </c>
      <c r="Y156" s="86">
        <v>1.0647251579999999</v>
      </c>
      <c r="Z156" s="86">
        <v>1.1003207073333301</v>
      </c>
      <c r="AA156" s="86">
        <v>1.1744151140000001</v>
      </c>
      <c r="AB156" s="86">
        <v>1.177669139</v>
      </c>
      <c r="AC156" s="86">
        <v>1.2294496826666601</v>
      </c>
      <c r="AD156" s="86">
        <v>1.1922270993333299</v>
      </c>
      <c r="AE156" s="86">
        <v>1.163112793</v>
      </c>
      <c r="AF156" s="86">
        <v>1.1411705883333301</v>
      </c>
      <c r="AG156" s="86">
        <v>1.13566784266666</v>
      </c>
      <c r="AH156" s="86">
        <v>1.123874697</v>
      </c>
      <c r="AI156" s="86">
        <v>1.11161744433333</v>
      </c>
      <c r="AJ156" s="86">
        <v>1.1072322533333301</v>
      </c>
      <c r="AK156" s="86">
        <v>1.1022924243333301</v>
      </c>
      <c r="AL156" s="86">
        <v>1.1006113636666599</v>
      </c>
      <c r="AM156" s="86">
        <v>1.1694631876666599</v>
      </c>
      <c r="AN156" s="86">
        <v>1.1927604616666601</v>
      </c>
      <c r="AO156" s="86">
        <v>1.20559456533333</v>
      </c>
      <c r="AP156" s="86">
        <v>1.2057365223333301</v>
      </c>
      <c r="AQ156" s="86">
        <v>1.1787984846666599</v>
      </c>
      <c r="AR156" s="86">
        <v>1.1439768083333299</v>
      </c>
      <c r="AS156" s="86">
        <v>1.12251109033333</v>
      </c>
      <c r="AT156" s="86">
        <v>1.06543516733333</v>
      </c>
      <c r="AU156" s="86">
        <v>1.00703707556666</v>
      </c>
      <c r="AV156" s="86">
        <v>1.0205249639</v>
      </c>
      <c r="AW156" s="86">
        <v>1.0729975363333299</v>
      </c>
      <c r="AX156" s="86">
        <v>1.0891695286666601</v>
      </c>
      <c r="AY156" s="86">
        <v>1.0883607316666599</v>
      </c>
      <c r="AZ156" s="86">
        <v>1.07579417833333</v>
      </c>
      <c r="BA156" s="86">
        <v>1.0857350216666599</v>
      </c>
      <c r="BB156" s="86">
        <v>1.0766329723333301</v>
      </c>
      <c r="BC156" s="86">
        <v>1.0987422926666599</v>
      </c>
      <c r="BD156" s="86">
        <v>1.0671080230000001</v>
      </c>
      <c r="BE156" s="86">
        <v>1.05243455966666</v>
      </c>
      <c r="BF156" s="86">
        <v>1.13360627</v>
      </c>
      <c r="BG156" s="86">
        <v>1.1680176046666599</v>
      </c>
      <c r="BH156" s="86">
        <v>1.1593843123435801</v>
      </c>
      <c r="BI156" s="86">
        <v>1.1587430402980099</v>
      </c>
      <c r="BJ156" s="86">
        <v>1.15844397575386</v>
      </c>
      <c r="BK156" s="86">
        <v>1.15772099163408</v>
      </c>
      <c r="BL156" s="86">
        <v>1.15680801618038</v>
      </c>
      <c r="BM156" s="86">
        <v>1.1559632961597299</v>
      </c>
      <c r="BN156" s="86">
        <v>1.15530413974099</v>
      </c>
      <c r="BO156" s="86">
        <v>1.1548449011869799</v>
      </c>
      <c r="BP156" s="86">
        <v>1.15452432066974</v>
      </c>
      <c r="BQ156" s="86">
        <v>1.1538078276616099</v>
      </c>
      <c r="BR156" s="86">
        <v>1.15359589919767</v>
      </c>
      <c r="BS156" s="86">
        <v>1.1534002139529</v>
      </c>
      <c r="BT156" s="86">
        <v>1.1532180996849899</v>
      </c>
    </row>
    <row r="157" spans="1:72" x14ac:dyDescent="0.65">
      <c r="A157" s="82" t="s">
        <v>107</v>
      </c>
      <c r="B157" s="81" t="str">
        <f t="shared" si="4"/>
        <v>IMF.RES.GAS:GAS_LIVE_2026_JAN_GAS1_VINTAGE</v>
      </c>
      <c r="C157" s="81" t="s">
        <v>749</v>
      </c>
      <c r="D157" s="82"/>
      <c r="E157" s="86">
        <v>9.5273985983832701E-2</v>
      </c>
      <c r="F157" s="86">
        <v>9.3207589078726505E-2</v>
      </c>
      <c r="G157" s="86">
        <v>9.09478985923272E-2</v>
      </c>
      <c r="H157" s="86">
        <v>9.4283965708111997E-2</v>
      </c>
      <c r="I157" s="86">
        <v>9.5954050057048101E-2</v>
      </c>
      <c r="J157" s="86">
        <v>9.4951407188312201E-2</v>
      </c>
      <c r="K157" s="86">
        <v>9.6261310170078607E-2</v>
      </c>
      <c r="L157" s="86">
        <v>9.8911267147760801E-2</v>
      </c>
      <c r="M157" s="86">
        <v>9.9540589182890798E-2</v>
      </c>
      <c r="N157" s="86">
        <v>9.9651470316780802E-2</v>
      </c>
      <c r="O157" s="86">
        <v>9.6307572727338794E-2</v>
      </c>
      <c r="P157" s="86">
        <v>9.0783564457170202E-2</v>
      </c>
      <c r="Q157" s="86">
        <v>8.1899050529421605E-2</v>
      </c>
      <c r="R157" s="86">
        <v>8.0284289514036697E-2</v>
      </c>
      <c r="S157" s="86">
        <v>8.0802531073692604E-2</v>
      </c>
      <c r="T157" s="86">
        <v>7.9572569226930595E-2</v>
      </c>
      <c r="U157" s="86">
        <v>8.0066735584737703E-2</v>
      </c>
      <c r="V157" s="86">
        <v>8.2069893049812395E-2</v>
      </c>
      <c r="W157" s="86">
        <v>8.1132809241077505E-2</v>
      </c>
      <c r="X157" s="86">
        <v>7.8408917756153496E-2</v>
      </c>
      <c r="Y157" s="86">
        <v>7.7376594841682203E-2</v>
      </c>
      <c r="Z157" s="86">
        <v>7.9963424295497396E-2</v>
      </c>
      <c r="AA157" s="86">
        <v>8.5348074823950001E-2</v>
      </c>
      <c r="AB157" s="86">
        <v>8.5584554043153099E-2</v>
      </c>
      <c r="AC157" s="86">
        <v>8.9347592906162399E-2</v>
      </c>
      <c r="AD157" s="86">
        <v>8.6642522280279702E-2</v>
      </c>
      <c r="AE157" s="86">
        <v>8.4526703124205099E-2</v>
      </c>
      <c r="AF157" s="86">
        <v>8.2932100923187202E-2</v>
      </c>
      <c r="AG157" s="86">
        <v>8.2532200799885602E-2</v>
      </c>
      <c r="AH157" s="86">
        <v>8.1675159480534595E-2</v>
      </c>
      <c r="AI157" s="86">
        <v>8.0784390190136293E-2</v>
      </c>
      <c r="AJ157" s="86">
        <v>8.04657059317989E-2</v>
      </c>
      <c r="AK157" s="86">
        <v>8.0106714558064396E-2</v>
      </c>
      <c r="AL157" s="86">
        <v>7.9984547115009602E-2</v>
      </c>
      <c r="AM157" s="86">
        <v>8.4988204302716197E-2</v>
      </c>
      <c r="AN157" s="86">
        <v>8.66812832326814E-2</v>
      </c>
      <c r="AO157" s="86">
        <v>8.7613973920142196E-2</v>
      </c>
      <c r="AP157" s="86">
        <v>8.7624290337662197E-2</v>
      </c>
      <c r="AQ157" s="86">
        <v>8.5666626793504896E-2</v>
      </c>
      <c r="AR157" s="86">
        <v>8.3136036883885697E-2</v>
      </c>
      <c r="AS157" s="86">
        <v>8.1576062319377696E-2</v>
      </c>
      <c r="AT157" s="86">
        <v>7.7428193232221207E-2</v>
      </c>
      <c r="AU157" s="86">
        <v>7.3184238393542794E-2</v>
      </c>
      <c r="AV157" s="86">
        <v>7.4164441465665698E-2</v>
      </c>
      <c r="AW157" s="86">
        <v>7.7977772020474304E-2</v>
      </c>
      <c r="AX157" s="86">
        <v>7.9153036537478599E-2</v>
      </c>
      <c r="AY157" s="86">
        <v>7.9094258967222095E-2</v>
      </c>
      <c r="AZ157" s="86">
        <v>7.8181011920767193E-2</v>
      </c>
      <c r="BA157" s="86">
        <v>7.8903441179819206E-2</v>
      </c>
      <c r="BB157" s="86">
        <v>7.8241969458030206E-2</v>
      </c>
      <c r="BC157" s="86">
        <v>7.9848716428178604E-2</v>
      </c>
      <c r="BD157" s="86">
        <v>7.7549764394671594E-2</v>
      </c>
      <c r="BE157" s="86">
        <v>7.64834022271801E-2</v>
      </c>
      <c r="BF157" s="86">
        <v>8.2382380471356001E-2</v>
      </c>
      <c r="BG157" s="86">
        <v>8.4883149689081394E-2</v>
      </c>
      <c r="BH157" s="86">
        <v>8.4252096335622903E-2</v>
      </c>
      <c r="BI157" s="86">
        <v>8.4183893231227602E-2</v>
      </c>
      <c r="BJ157" s="86">
        <v>8.4195597455662796E-2</v>
      </c>
      <c r="BK157" s="86">
        <v>8.4172633775480496E-2</v>
      </c>
      <c r="BL157" s="86">
        <v>8.4128511912796494E-2</v>
      </c>
      <c r="BM157" s="86">
        <v>8.4131559905647094E-2</v>
      </c>
      <c r="BN157" s="86">
        <v>8.4082453767324705E-2</v>
      </c>
      <c r="BO157" s="86">
        <v>8.4039357323502803E-2</v>
      </c>
      <c r="BP157" s="86">
        <v>8.4003121201459696E-2</v>
      </c>
      <c r="BQ157" s="86">
        <v>8.3934354515040804E-2</v>
      </c>
      <c r="BR157" s="86">
        <v>8.3913863172893302E-2</v>
      </c>
      <c r="BS157" s="86">
        <v>8.3899765273707599E-2</v>
      </c>
      <c r="BT157" s="86">
        <v>8.3890118800676497E-2</v>
      </c>
    </row>
    <row r="158" spans="1:72" x14ac:dyDescent="0.65">
      <c r="A158" s="82" t="s">
        <v>99</v>
      </c>
      <c r="B158" s="81" t="str">
        <f t="shared" si="4"/>
        <v>IMF.RES.GAS:GAS_LIVE_2026_JAN_GAS1_VINTAGE</v>
      </c>
      <c r="C158" s="81" t="s">
        <v>750</v>
      </c>
      <c r="D158" s="82"/>
      <c r="E158" s="86">
        <v>1.31099862933333</v>
      </c>
      <c r="F158" s="86">
        <v>1.2825643879999999</v>
      </c>
      <c r="G158" s="86">
        <v>1.251470369</v>
      </c>
      <c r="H158" s="86">
        <v>1.29737565333333</v>
      </c>
      <c r="I158" s="86">
        <v>1.3203565150000001</v>
      </c>
      <c r="J158" s="86">
        <v>1.3065598483333301</v>
      </c>
      <c r="K158" s="86">
        <v>1.3245845063333299</v>
      </c>
      <c r="L158" s="86">
        <v>1.3610487093333301</v>
      </c>
      <c r="M158" s="86">
        <v>1.3697083693333301</v>
      </c>
      <c r="N158" s="86">
        <v>1.3712341269999999</v>
      </c>
      <c r="O158" s="86">
        <v>1.3252210929999999</v>
      </c>
      <c r="P158" s="86">
        <v>1.2492090819999999</v>
      </c>
      <c r="Q158" s="86">
        <v>1.126955505</v>
      </c>
      <c r="R158" s="86">
        <v>1.104735909</v>
      </c>
      <c r="S158" s="86">
        <v>1.11186706833333</v>
      </c>
      <c r="T158" s="86">
        <v>1.0949424243333299</v>
      </c>
      <c r="U158" s="86">
        <v>1.1017423016666601</v>
      </c>
      <c r="V158" s="86">
        <v>1.12930634933333</v>
      </c>
      <c r="W158" s="86">
        <v>1.1164117950000001</v>
      </c>
      <c r="X158" s="86">
        <v>1.078930231</v>
      </c>
      <c r="Y158" s="86">
        <v>1.0647251579999999</v>
      </c>
      <c r="Z158" s="86">
        <v>1.1003207073333301</v>
      </c>
      <c r="AA158" s="86">
        <v>1.1744151140000001</v>
      </c>
      <c r="AB158" s="86">
        <v>1.177669139</v>
      </c>
      <c r="AC158" s="86">
        <v>1.2294496826666601</v>
      </c>
      <c r="AD158" s="86">
        <v>1.1922270993333299</v>
      </c>
      <c r="AE158" s="86">
        <v>1.163112793</v>
      </c>
      <c r="AF158" s="86">
        <v>1.1411705883333301</v>
      </c>
      <c r="AG158" s="86">
        <v>1.13566784266666</v>
      </c>
      <c r="AH158" s="86">
        <v>1.123874697</v>
      </c>
      <c r="AI158" s="86">
        <v>1.11161744433333</v>
      </c>
      <c r="AJ158" s="86">
        <v>1.1072322533333301</v>
      </c>
      <c r="AK158" s="86">
        <v>1.1022924243333301</v>
      </c>
      <c r="AL158" s="86">
        <v>1.1006113636666599</v>
      </c>
      <c r="AM158" s="86">
        <v>1.1694631876666599</v>
      </c>
      <c r="AN158" s="86">
        <v>1.1927604616666601</v>
      </c>
      <c r="AO158" s="86">
        <v>1.20559456533333</v>
      </c>
      <c r="AP158" s="86">
        <v>1.2057365223333301</v>
      </c>
      <c r="AQ158" s="86">
        <v>1.1787984846666599</v>
      </c>
      <c r="AR158" s="86">
        <v>1.1439768083333299</v>
      </c>
      <c r="AS158" s="86">
        <v>1.12251109033333</v>
      </c>
      <c r="AT158" s="86">
        <v>1.06543516733333</v>
      </c>
      <c r="AU158" s="86">
        <v>1.00703707556666</v>
      </c>
      <c r="AV158" s="86">
        <v>1.0205249639</v>
      </c>
      <c r="AW158" s="86">
        <v>1.0729975363333299</v>
      </c>
      <c r="AX158" s="86">
        <v>1.0891695286666601</v>
      </c>
      <c r="AY158" s="86">
        <v>1.0883607316666599</v>
      </c>
      <c r="AZ158" s="86">
        <v>1.07579417833333</v>
      </c>
      <c r="BA158" s="86">
        <v>1.0857350216666599</v>
      </c>
      <c r="BB158" s="86">
        <v>1.0766329723333301</v>
      </c>
      <c r="BC158" s="86">
        <v>1.0987422926666599</v>
      </c>
      <c r="BD158" s="86">
        <v>1.0671080230000001</v>
      </c>
      <c r="BE158" s="86">
        <v>1.05243455966666</v>
      </c>
      <c r="BF158" s="86">
        <v>1.13360627</v>
      </c>
      <c r="BG158" s="86">
        <v>1.1680176046666599</v>
      </c>
      <c r="BH158" s="86">
        <v>1.1593843123435801</v>
      </c>
      <c r="BI158" s="86">
        <v>1.1587430402980099</v>
      </c>
      <c r="BJ158" s="86">
        <v>1.15844397575386</v>
      </c>
      <c r="BK158" s="86">
        <v>1.15772099163408</v>
      </c>
      <c r="BL158" s="86">
        <v>1.15680801618038</v>
      </c>
      <c r="BM158" s="86">
        <v>1.1559632961597299</v>
      </c>
      <c r="BN158" s="86">
        <v>1.15530413974099</v>
      </c>
      <c r="BO158" s="86">
        <v>1.1548449011869799</v>
      </c>
      <c r="BP158" s="86">
        <v>1.15452432066974</v>
      </c>
      <c r="BQ158" s="86">
        <v>1.1538078276616099</v>
      </c>
      <c r="BR158" s="86">
        <v>1.15359589919767</v>
      </c>
      <c r="BS158" s="86">
        <v>1.1534002139529</v>
      </c>
      <c r="BT158" s="86">
        <v>1.1532180996849899</v>
      </c>
    </row>
    <row r="159" spans="1:72" x14ac:dyDescent="0.65">
      <c r="A159" s="82" t="s">
        <v>115</v>
      </c>
      <c r="B159" s="81" t="str">
        <f t="shared" si="4"/>
        <v>IMF.RES.GAS:GAS_LIVE_2026_JAN_GAS1_VINTAGE</v>
      </c>
      <c r="C159" s="81" t="s">
        <v>751</v>
      </c>
      <c r="D159" s="82"/>
      <c r="E159" s="86">
        <v>3.2498807119832503E-2</v>
      </c>
      <c r="F159" s="86">
        <v>3.1793940688995201E-2</v>
      </c>
      <c r="G159" s="86">
        <v>3.1023140092067601E-2</v>
      </c>
      <c r="H159" s="86">
        <v>3.2161102365978397E-2</v>
      </c>
      <c r="I159" s="86">
        <v>3.2730783046065998E-2</v>
      </c>
      <c r="J159" s="86">
        <v>3.2388772613053902E-2</v>
      </c>
      <c r="K159" s="86">
        <v>3.2835592213499097E-2</v>
      </c>
      <c r="L159" s="86">
        <v>3.3739516194470798E-2</v>
      </c>
      <c r="M159" s="86">
        <v>3.3954183558544598E-2</v>
      </c>
      <c r="N159" s="86">
        <v>3.3992006103138503E-2</v>
      </c>
      <c r="O159" s="86">
        <v>3.2851372784761398E-2</v>
      </c>
      <c r="P159" s="86">
        <v>3.0967084251572199E-2</v>
      </c>
      <c r="Q159" s="86">
        <v>2.79364972397056E-2</v>
      </c>
      <c r="R159" s="86">
        <v>2.73856878425578E-2</v>
      </c>
      <c r="S159" s="86">
        <v>2.75624646648438E-2</v>
      </c>
      <c r="T159" s="86">
        <v>2.7142913699174601E-2</v>
      </c>
      <c r="U159" s="86">
        <v>2.7311478255193099E-2</v>
      </c>
      <c r="V159" s="86">
        <v>2.7994773148503901E-2</v>
      </c>
      <c r="W159" s="86">
        <v>2.7675125496096901E-2</v>
      </c>
      <c r="X159" s="86">
        <v>2.6745981794699499E-2</v>
      </c>
      <c r="Y159" s="86">
        <v>2.6393847233136401E-2</v>
      </c>
      <c r="Z159" s="86">
        <v>2.7276237852184401E-2</v>
      </c>
      <c r="AA159" s="86">
        <v>2.9112990215642499E-2</v>
      </c>
      <c r="AB159" s="86">
        <v>2.9193655388337601E-2</v>
      </c>
      <c r="AC159" s="86">
        <v>3.0477261536758001E-2</v>
      </c>
      <c r="AD159" s="86">
        <v>2.9554537798391501E-2</v>
      </c>
      <c r="AE159" s="86">
        <v>2.8832812996561701E-2</v>
      </c>
      <c r="AF159" s="86">
        <v>2.8288879950950099E-2</v>
      </c>
      <c r="AG159" s="86">
        <v>2.8152470449025999E-2</v>
      </c>
      <c r="AH159" s="86">
        <v>2.7860126004278601E-2</v>
      </c>
      <c r="AI159" s="86">
        <v>2.7556276647521E-2</v>
      </c>
      <c r="AJ159" s="86">
        <v>2.7447570602141601E-2</v>
      </c>
      <c r="AK159" s="86">
        <v>2.7325115439882901E-2</v>
      </c>
      <c r="AL159" s="86">
        <v>2.72834430344811E-2</v>
      </c>
      <c r="AM159" s="86">
        <v>2.8990235168323799E-2</v>
      </c>
      <c r="AN159" s="86">
        <v>2.9567759505270599E-2</v>
      </c>
      <c r="AO159" s="86">
        <v>2.9885908624794101E-2</v>
      </c>
      <c r="AP159" s="86">
        <v>2.98894276469037E-2</v>
      </c>
      <c r="AQ159" s="86">
        <v>2.9221651136137301E-2</v>
      </c>
      <c r="AR159" s="86">
        <v>2.8358444327659001E-2</v>
      </c>
      <c r="AS159" s="86">
        <v>2.78263230779782E-2</v>
      </c>
      <c r="AT159" s="86">
        <v>2.6411447904762599E-2</v>
      </c>
      <c r="AU159" s="86">
        <v>2.4963797023955601E-2</v>
      </c>
      <c r="AV159" s="86">
        <v>2.52981530420253E-2</v>
      </c>
      <c r="AW159" s="86">
        <v>2.6598914135467201E-2</v>
      </c>
      <c r="AX159" s="86">
        <v>2.6999807353678702E-2</v>
      </c>
      <c r="AY159" s="86">
        <v>2.69797577997631E-2</v>
      </c>
      <c r="AZ159" s="86">
        <v>2.6668241079758001E-2</v>
      </c>
      <c r="BA159" s="86">
        <v>2.6914668149069901E-2</v>
      </c>
      <c r="BB159" s="86">
        <v>2.6689034239879901E-2</v>
      </c>
      <c r="BC159" s="86">
        <v>2.7237109974657E-2</v>
      </c>
      <c r="BD159" s="86">
        <v>2.6452916913527299E-2</v>
      </c>
      <c r="BE159" s="86">
        <v>2.6089171258894199E-2</v>
      </c>
      <c r="BF159" s="86">
        <v>2.8101365397534401E-2</v>
      </c>
      <c r="BG159" s="86">
        <v>2.89544001018016E-2</v>
      </c>
      <c r="BH159" s="86">
        <v>2.8728869831856001E-2</v>
      </c>
      <c r="BI159" s="86">
        <v>2.86256482041614E-2</v>
      </c>
      <c r="BJ159" s="86">
        <v>2.8559496068259398E-2</v>
      </c>
      <c r="BK159" s="86">
        <v>2.84898754679144E-2</v>
      </c>
      <c r="BL159" s="86">
        <v>2.8418695305150898E-2</v>
      </c>
      <c r="BM159" s="86">
        <v>2.8340008095298401E-2</v>
      </c>
      <c r="BN159" s="86">
        <v>2.82725232767248E-2</v>
      </c>
      <c r="BO159" s="86">
        <v>2.82156366097682E-2</v>
      </c>
      <c r="BP159" s="86">
        <v>2.81776599004262E-2</v>
      </c>
      <c r="BQ159" s="86">
        <v>2.80395360987305E-2</v>
      </c>
      <c r="BR159" s="86">
        <v>2.8058945604357802E-2</v>
      </c>
      <c r="BS159" s="86">
        <v>2.8095085046819599E-2</v>
      </c>
      <c r="BT159" s="86">
        <v>2.8130608623236301E-2</v>
      </c>
    </row>
    <row r="160" spans="1:72" x14ac:dyDescent="0.65">
      <c r="A160" s="82" t="s">
        <v>166</v>
      </c>
      <c r="B160" s="81" t="str">
        <f t="shared" si="4"/>
        <v>IMF.RES.GAS:GAS_LIVE_2026_JAN_GAS1_VINTAGE</v>
      </c>
      <c r="C160" s="81" t="s">
        <v>752</v>
      </c>
      <c r="D160" s="82"/>
      <c r="E160" s="86">
        <v>1.31099862933333</v>
      </c>
      <c r="F160" s="86">
        <v>1.2825643879999999</v>
      </c>
      <c r="G160" s="86">
        <v>1.251470369</v>
      </c>
      <c r="H160" s="86">
        <v>1.29737565333333</v>
      </c>
      <c r="I160" s="86">
        <v>1.3203565150000001</v>
      </c>
      <c r="J160" s="86">
        <v>1.3065598483333301</v>
      </c>
      <c r="K160" s="86">
        <v>1.3245845063333299</v>
      </c>
      <c r="L160" s="86">
        <v>1.3610487093333301</v>
      </c>
      <c r="M160" s="86">
        <v>1.3697083693333301</v>
      </c>
      <c r="N160" s="86">
        <v>1.3712341269999999</v>
      </c>
      <c r="O160" s="86">
        <v>1.3252210929999999</v>
      </c>
      <c r="P160" s="86">
        <v>1.2492090819999999</v>
      </c>
      <c r="Q160" s="86">
        <v>1.126955505</v>
      </c>
      <c r="R160" s="86">
        <v>1.104735909</v>
      </c>
      <c r="S160" s="86">
        <v>1.11186706833333</v>
      </c>
      <c r="T160" s="86">
        <v>1.0949424243333299</v>
      </c>
      <c r="U160" s="86">
        <v>1.1017423016666601</v>
      </c>
      <c r="V160" s="86">
        <v>1.12930634933333</v>
      </c>
      <c r="W160" s="86">
        <v>1.1164117950000001</v>
      </c>
      <c r="X160" s="86">
        <v>1.078930231</v>
      </c>
      <c r="Y160" s="86">
        <v>1.0647251579999999</v>
      </c>
      <c r="Z160" s="86">
        <v>1.1003207073333301</v>
      </c>
      <c r="AA160" s="86">
        <v>1.1744151140000001</v>
      </c>
      <c r="AB160" s="86">
        <v>1.177669139</v>
      </c>
      <c r="AC160" s="86">
        <v>1.2294496826666601</v>
      </c>
      <c r="AD160" s="86">
        <v>1.1922270993333299</v>
      </c>
      <c r="AE160" s="86">
        <v>1.163112793</v>
      </c>
      <c r="AF160" s="86">
        <v>1.1411705883333301</v>
      </c>
      <c r="AG160" s="86">
        <v>1.13566784266666</v>
      </c>
      <c r="AH160" s="86">
        <v>1.123874697</v>
      </c>
      <c r="AI160" s="86">
        <v>1.11161744433333</v>
      </c>
      <c r="AJ160" s="86">
        <v>1.1072322533333301</v>
      </c>
      <c r="AK160" s="86">
        <v>1.1022924243333301</v>
      </c>
      <c r="AL160" s="86">
        <v>1.1006113636666599</v>
      </c>
      <c r="AM160" s="86">
        <v>1.1694631876666599</v>
      </c>
      <c r="AN160" s="86">
        <v>1.1927604616666601</v>
      </c>
      <c r="AO160" s="86">
        <v>1.20559456533333</v>
      </c>
      <c r="AP160" s="86">
        <v>1.2057365223333301</v>
      </c>
      <c r="AQ160" s="86">
        <v>1.1787984846666599</v>
      </c>
      <c r="AR160" s="86">
        <v>1.1439768083333299</v>
      </c>
      <c r="AS160" s="86">
        <v>1.12251109033333</v>
      </c>
      <c r="AT160" s="86">
        <v>1.06543516733333</v>
      </c>
      <c r="AU160" s="86">
        <v>1.00703707556666</v>
      </c>
      <c r="AV160" s="86">
        <v>1.0205249639</v>
      </c>
      <c r="AW160" s="86">
        <v>1.0729975363333299</v>
      </c>
      <c r="AX160" s="86">
        <v>1.0891695286666601</v>
      </c>
      <c r="AY160" s="86">
        <v>1.0883607316666599</v>
      </c>
      <c r="AZ160" s="86">
        <v>1.07579417833333</v>
      </c>
      <c r="BA160" s="86">
        <v>1.0857350216666599</v>
      </c>
      <c r="BB160" s="86">
        <v>1.0766329723333301</v>
      </c>
      <c r="BC160" s="86">
        <v>1.0987422926666599</v>
      </c>
      <c r="BD160" s="86">
        <v>1.0671080230000001</v>
      </c>
      <c r="BE160" s="86">
        <v>1.05243455966666</v>
      </c>
      <c r="BF160" s="86">
        <v>1.13360627</v>
      </c>
      <c r="BG160" s="86">
        <v>1.1680176046666599</v>
      </c>
      <c r="BH160" s="86">
        <v>1.1593843123435801</v>
      </c>
      <c r="BI160" s="86">
        <v>1.1587430402980099</v>
      </c>
      <c r="BJ160" s="86">
        <v>1.15844397575386</v>
      </c>
      <c r="BK160" s="86">
        <v>1.15772099163408</v>
      </c>
      <c r="BL160" s="86">
        <v>1.15680801618038</v>
      </c>
      <c r="BM160" s="86">
        <v>1.1559632961597299</v>
      </c>
      <c r="BN160" s="86">
        <v>1.15530413974099</v>
      </c>
      <c r="BO160" s="86">
        <v>1.1548449011869799</v>
      </c>
      <c r="BP160" s="86">
        <v>1.15452432066974</v>
      </c>
      <c r="BQ160" s="86">
        <v>1.1538078276616099</v>
      </c>
      <c r="BR160" s="86">
        <v>1.15359589919767</v>
      </c>
      <c r="BS160" s="86">
        <v>1.1534002139529</v>
      </c>
      <c r="BT160" s="86">
        <v>1.1532180996849899</v>
      </c>
    </row>
    <row r="161" spans="1:72" x14ac:dyDescent="0.65">
      <c r="A161" s="82" t="s">
        <v>167</v>
      </c>
      <c r="B161" s="81" t="str">
        <f t="shared" si="4"/>
        <v>IMF.RES.GAS:GAS_LIVE_2026_JAN_GAS1_VINTAGE</v>
      </c>
      <c r="C161" s="81" t="s">
        <v>753</v>
      </c>
      <c r="D161" s="82"/>
      <c r="E161" s="86">
        <v>2.2399741477211199</v>
      </c>
      <c r="F161" s="86">
        <v>2.1913913619945502</v>
      </c>
      <c r="G161" s="86">
        <v>2.1382640763129701</v>
      </c>
      <c r="H161" s="86">
        <v>2.21669791129169</v>
      </c>
      <c r="I161" s="86">
        <v>2.2559630446594201</v>
      </c>
      <c r="J161" s="86">
        <v>2.2323900401065702</v>
      </c>
      <c r="K161" s="86">
        <v>2.2631869967456799</v>
      </c>
      <c r="L161" s="86">
        <v>2.3254897865501101</v>
      </c>
      <c r="M161" s="86">
        <v>2.3402856941079402</v>
      </c>
      <c r="N161" s="86">
        <v>2.3428926058564001</v>
      </c>
      <c r="O161" s="86">
        <v>2.2642746696419098</v>
      </c>
      <c r="P161" s="86">
        <v>2.13440043808541</v>
      </c>
      <c r="Q161" s="86">
        <v>1.9255178002098099</v>
      </c>
      <c r="R161" s="86">
        <v>1.88755336645742</v>
      </c>
      <c r="S161" s="86">
        <v>1.89973767557303</v>
      </c>
      <c r="T161" s="86">
        <v>1.8708202044398501</v>
      </c>
      <c r="U161" s="86">
        <v>1.88243848465277</v>
      </c>
      <c r="V161" s="86">
        <v>1.9295344562262</v>
      </c>
      <c r="W161" s="86">
        <v>1.90750280210636</v>
      </c>
      <c r="X161" s="86">
        <v>1.8434617478309301</v>
      </c>
      <c r="Y161" s="86">
        <v>1.8191909396282699</v>
      </c>
      <c r="Z161" s="86">
        <v>1.88000954652578</v>
      </c>
      <c r="AA161" s="86">
        <v>2.0066073565543601</v>
      </c>
      <c r="AB161" s="86">
        <v>2.0121671883596401</v>
      </c>
      <c r="AC161" s="86">
        <v>2.1006394999037399</v>
      </c>
      <c r="AD161" s="86">
        <v>2.0370409403686698</v>
      </c>
      <c r="AE161" s="86">
        <v>1.98729619460287</v>
      </c>
      <c r="AF161" s="86">
        <v>1.9498057120824299</v>
      </c>
      <c r="AG161" s="86">
        <v>1.9404037129048299</v>
      </c>
      <c r="AH161" s="86">
        <v>1.92025392722041</v>
      </c>
      <c r="AI161" s="86">
        <v>1.8993111676468299</v>
      </c>
      <c r="AJ161" s="86">
        <v>1.89181862398352</v>
      </c>
      <c r="AK161" s="86">
        <v>1.88337842503397</v>
      </c>
      <c r="AL161" s="86">
        <v>1.8805061623558601</v>
      </c>
      <c r="AM161" s="86">
        <v>1.9981464880836399</v>
      </c>
      <c r="AN161" s="86">
        <v>2.0379522440201701</v>
      </c>
      <c r="AO161" s="86">
        <v>2.05988061204381</v>
      </c>
      <c r="AP161" s="86">
        <v>2.0601231599786298</v>
      </c>
      <c r="AQ161" s="86">
        <v>2.0140967899935101</v>
      </c>
      <c r="AR161" s="86">
        <v>1.95460042361925</v>
      </c>
      <c r="AS161" s="86">
        <v>1.9179240669042701</v>
      </c>
      <c r="AT161" s="86">
        <v>1.8204040625986</v>
      </c>
      <c r="AU161" s="86">
        <v>1.72062499883245</v>
      </c>
      <c r="AV161" s="86">
        <v>1.7436704242799099</v>
      </c>
      <c r="AW161" s="86">
        <v>1.8333251371722099</v>
      </c>
      <c r="AX161" s="86">
        <v>1.8609566265828701</v>
      </c>
      <c r="AY161" s="86">
        <v>1.8595747148628901</v>
      </c>
      <c r="AZ161" s="86">
        <v>1.8381034837244301</v>
      </c>
      <c r="BA161" s="86">
        <v>1.85508842297226</v>
      </c>
      <c r="BB161" s="86">
        <v>1.83953664836185</v>
      </c>
      <c r="BC161" s="86">
        <v>1.8773126649512299</v>
      </c>
      <c r="BD161" s="86">
        <v>1.82326230620188</v>
      </c>
      <c r="BE161" s="86">
        <v>1.79819120560056</v>
      </c>
      <c r="BF161" s="86">
        <v>1.9368813068750701</v>
      </c>
      <c r="BG161" s="86">
        <v>1.9956765628862101</v>
      </c>
      <c r="BH161" s="86">
        <v>1.9809185278168799</v>
      </c>
      <c r="BI161" s="86">
        <v>1.9798300288377999</v>
      </c>
      <c r="BJ161" s="86">
        <v>1.97931904672659</v>
      </c>
      <c r="BK161" s="86">
        <v>1.9780837550174399</v>
      </c>
      <c r="BL161" s="86">
        <v>1.97652384384132</v>
      </c>
      <c r="BM161" s="86">
        <v>1.97508055399647</v>
      </c>
      <c r="BN161" s="86">
        <v>1.97395431838933</v>
      </c>
      <c r="BO161" s="86">
        <v>1.9731696627340101</v>
      </c>
      <c r="BP161" s="86">
        <v>1.9726219184001801</v>
      </c>
      <c r="BQ161" s="86">
        <v>1.97139771741375</v>
      </c>
      <c r="BR161" s="86">
        <v>1.9710356161347899</v>
      </c>
      <c r="BS161" s="86">
        <v>1.9707012680435101</v>
      </c>
      <c r="BT161" s="86">
        <v>1.97039010734286</v>
      </c>
    </row>
    <row r="162" spans="1:72" x14ac:dyDescent="0.65">
      <c r="A162" s="82" t="s">
        <v>170</v>
      </c>
      <c r="B162" s="81" t="str">
        <f t="shared" si="4"/>
        <v>IMF.RES.GAS:GAS_LIVE_2026_JAN_GAS1_VINTAGE</v>
      </c>
      <c r="C162" s="81" t="s">
        <v>754</v>
      </c>
      <c r="D162" s="82"/>
      <c r="E162" s="86">
        <v>5.2248423842577302E-2</v>
      </c>
      <c r="F162" s="86">
        <v>5.0724515172913903E-2</v>
      </c>
      <c r="G162" s="86">
        <v>4.9881116689850701E-2</v>
      </c>
      <c r="H162" s="86">
        <v>5.1523374425341301E-2</v>
      </c>
      <c r="I162" s="86">
        <v>5.1620007924867498E-2</v>
      </c>
      <c r="J162" s="86">
        <v>5.0570604997121002E-2</v>
      </c>
      <c r="K162" s="86">
        <v>5.1240883404116602E-2</v>
      </c>
      <c r="L162" s="86">
        <v>5.0968399617688599E-2</v>
      </c>
      <c r="M162" s="86">
        <v>4.9910161690780497E-2</v>
      </c>
      <c r="N162" s="86">
        <v>4.9942566047746502E-2</v>
      </c>
      <c r="O162" s="86">
        <v>4.7952431179815902E-2</v>
      </c>
      <c r="P162" s="86">
        <v>4.5214088690658301E-2</v>
      </c>
      <c r="Q162" s="86">
        <v>4.0758100676952201E-2</v>
      </c>
      <c r="R162" s="86">
        <v>4.0330711837925297E-2</v>
      </c>
      <c r="S162" s="86">
        <v>4.1071135183845302E-2</v>
      </c>
      <c r="T162" s="86">
        <v>4.0457984391601698E-2</v>
      </c>
      <c r="U162" s="86">
        <v>4.0738728930191898E-2</v>
      </c>
      <c r="V162" s="86">
        <v>4.1764697701381102E-2</v>
      </c>
      <c r="W162" s="86">
        <v>4.1299559465493102E-2</v>
      </c>
      <c r="X162" s="86">
        <v>3.9910600273384403E-2</v>
      </c>
      <c r="Y162" s="86">
        <v>3.9401620734387702E-2</v>
      </c>
      <c r="Z162" s="86">
        <v>4.1421588948022899E-2</v>
      </c>
      <c r="AA162" s="86">
        <v>4.5044368675432302E-2</v>
      </c>
      <c r="AB162" s="86">
        <v>4.5906656477123997E-2</v>
      </c>
      <c r="AC162" s="86">
        <v>4.8395683122960602E-2</v>
      </c>
      <c r="AD162" s="86">
        <v>4.6543378419904802E-2</v>
      </c>
      <c r="AE162" s="86">
        <v>4.5235223149302797E-2</v>
      </c>
      <c r="AF162" s="86">
        <v>4.4121540117446401E-2</v>
      </c>
      <c r="AG162" s="86">
        <v>4.4215832213115397E-2</v>
      </c>
      <c r="AH162" s="86">
        <v>4.3757931135139698E-2</v>
      </c>
      <c r="AI162" s="86">
        <v>4.3177892886887101E-2</v>
      </c>
      <c r="AJ162" s="86">
        <v>4.3290667992673601E-2</v>
      </c>
      <c r="AK162" s="86">
        <v>4.3021238134923097E-2</v>
      </c>
      <c r="AL162" s="86">
        <v>4.0641595317015902E-2</v>
      </c>
      <c r="AM162" s="86">
        <v>4.4189129464315399E-2</v>
      </c>
      <c r="AN162" s="86">
        <v>4.4720052489497397E-2</v>
      </c>
      <c r="AO162" s="86">
        <v>4.6247051746995102E-2</v>
      </c>
      <c r="AP162" s="86">
        <v>4.7007944359863899E-2</v>
      </c>
      <c r="AQ162" s="86">
        <v>4.6232085065981303E-2</v>
      </c>
      <c r="AR162" s="86">
        <v>4.5072115389174501E-2</v>
      </c>
      <c r="AS162" s="86">
        <v>4.5539414381005103E-2</v>
      </c>
      <c r="AT162" s="86">
        <v>4.3232649278250899E-2</v>
      </c>
      <c r="AU162" s="86">
        <v>4.0985846215041699E-2</v>
      </c>
      <c r="AV162" s="86">
        <v>4.1771676016529501E-2</v>
      </c>
      <c r="AW162" s="86">
        <v>4.5110068535836399E-2</v>
      </c>
      <c r="AX162" s="86">
        <v>4.6176579233804499E-2</v>
      </c>
      <c r="AY162" s="86">
        <v>4.51121035876084E-2</v>
      </c>
      <c r="AZ162" s="86">
        <v>4.38570843695964E-2</v>
      </c>
      <c r="BA162" s="86">
        <v>4.3290667956766997E-2</v>
      </c>
      <c r="BB162" s="86">
        <v>4.3146843055095203E-2</v>
      </c>
      <c r="BC162" s="86">
        <v>4.36046511675756E-2</v>
      </c>
      <c r="BD162" s="86">
        <v>4.2269595442095201E-2</v>
      </c>
      <c r="BE162" s="86">
        <v>4.1945135757052797E-2</v>
      </c>
      <c r="BF162" s="86">
        <v>4.5771478241838602E-2</v>
      </c>
      <c r="BG162" s="86">
        <v>4.76795931425349E-2</v>
      </c>
      <c r="BH162" s="86">
        <v>4.7722151468582399E-2</v>
      </c>
      <c r="BI162" s="86">
        <v>4.7724288344320499E-2</v>
      </c>
      <c r="BJ162" s="86">
        <v>4.7711969790424802E-2</v>
      </c>
      <c r="BK162" s="86">
        <v>4.7682191986336303E-2</v>
      </c>
      <c r="BL162" s="86">
        <v>4.7644590045972698E-2</v>
      </c>
      <c r="BM162" s="86">
        <v>4.7609799967762802E-2</v>
      </c>
      <c r="BN162" s="86">
        <v>4.7582652351206997E-2</v>
      </c>
      <c r="BO162" s="86">
        <v>4.7563738540571603E-2</v>
      </c>
      <c r="BP162" s="86">
        <v>4.7550533735276998E-2</v>
      </c>
      <c r="BQ162" s="86">
        <v>4.7521025349506599E-2</v>
      </c>
      <c r="BR162" s="86">
        <v>4.7512296912659298E-2</v>
      </c>
      <c r="BS162" s="86">
        <v>4.7504237377654898E-2</v>
      </c>
      <c r="BT162" s="86">
        <v>4.7496736721303702E-2</v>
      </c>
    </row>
    <row r="163" spans="1:72" x14ac:dyDescent="0.65">
      <c r="A163" s="82" t="s">
        <v>54</v>
      </c>
      <c r="B163" s="81" t="str">
        <f t="shared" si="4"/>
        <v>IMF.RES.GAS:GAS_LIVE_2026_JAN_GAS1_VINTAGE</v>
      </c>
      <c r="C163" s="81" t="s">
        <v>755</v>
      </c>
      <c r="D163" s="82"/>
      <c r="E163" s="86">
        <v>0.17633772200941</v>
      </c>
      <c r="F163" s="86">
        <v>0.17257491146425499</v>
      </c>
      <c r="G163" s="86">
        <v>0.167998107664908</v>
      </c>
      <c r="H163" s="86">
        <v>0.17385460578282899</v>
      </c>
      <c r="I163" s="86">
        <v>0.17698627767210501</v>
      </c>
      <c r="J163" s="86">
        <v>0.17538252030204801</v>
      </c>
      <c r="K163" s="86">
        <v>0.177601218508462</v>
      </c>
      <c r="L163" s="86">
        <v>0.182392662598727</v>
      </c>
      <c r="M163" s="86">
        <v>0.18422313105392399</v>
      </c>
      <c r="N163" s="86">
        <v>0.18382352942357799</v>
      </c>
      <c r="O163" s="86">
        <v>0.17775144425668801</v>
      </c>
      <c r="P163" s="86">
        <v>0.16790261648277199</v>
      </c>
      <c r="Q163" s="86">
        <v>0.15106215156667399</v>
      </c>
      <c r="R163" s="86">
        <v>0.14789134002024301</v>
      </c>
      <c r="S163" s="86">
        <v>0.148980363496313</v>
      </c>
      <c r="T163" s="86">
        <v>0.14667444304921901</v>
      </c>
      <c r="U163" s="86">
        <v>0.14769264217710901</v>
      </c>
      <c r="V163" s="86">
        <v>0.15174050917221199</v>
      </c>
      <c r="W163" s="86">
        <v>0.149981941501589</v>
      </c>
      <c r="X163" s="86">
        <v>0.14496140955686901</v>
      </c>
      <c r="Y163" s="86">
        <v>0.14301156163293499</v>
      </c>
      <c r="Z163" s="86">
        <v>0.14785225491206999</v>
      </c>
      <c r="AA163" s="86">
        <v>0.15784441828471901</v>
      </c>
      <c r="AB163" s="86">
        <v>0.15822105641786</v>
      </c>
      <c r="AC163" s="86">
        <v>0.16508535741593999</v>
      </c>
      <c r="AD163" s="86">
        <v>0.15999141105951301</v>
      </c>
      <c r="AE163" s="86">
        <v>0.15599619798245401</v>
      </c>
      <c r="AF163" s="86">
        <v>0.15289924746542399</v>
      </c>
      <c r="AG163" s="86">
        <v>0.15215465939966</v>
      </c>
      <c r="AH163" s="86">
        <v>0.15054650852370899</v>
      </c>
      <c r="AI163" s="86">
        <v>0.14893608355287599</v>
      </c>
      <c r="AJ163" s="86">
        <v>0.148175123783537</v>
      </c>
      <c r="AK163" s="86">
        <v>0.1475030912112</v>
      </c>
      <c r="AL163" s="86">
        <v>0.14753297893225201</v>
      </c>
      <c r="AM163" s="86">
        <v>0.157033733052337</v>
      </c>
      <c r="AN163" s="86">
        <v>0.16018232978371</v>
      </c>
      <c r="AO163" s="86">
        <v>0.16208177837988799</v>
      </c>
      <c r="AP163" s="86">
        <v>0.162160648250506</v>
      </c>
      <c r="AQ163" s="86">
        <v>0.15850539985537501</v>
      </c>
      <c r="AR163" s="86">
        <v>0.153773531035335</v>
      </c>
      <c r="AS163" s="86">
        <v>0.15082700064155999</v>
      </c>
      <c r="AT163" s="86">
        <v>0.14311047907486599</v>
      </c>
      <c r="AU163" s="86">
        <v>0.13532119626467001</v>
      </c>
      <c r="AV163" s="86">
        <v>0.137041473997559</v>
      </c>
      <c r="AW163" s="86">
        <v>0.14414722614238701</v>
      </c>
      <c r="AX163" s="86">
        <v>0.14626212499192801</v>
      </c>
      <c r="AY163" s="86">
        <v>0.14598626102864401</v>
      </c>
      <c r="AZ163" s="86">
        <v>0.14420735631915399</v>
      </c>
      <c r="BA163" s="86">
        <v>0.14562402709355399</v>
      </c>
      <c r="BB163" s="86">
        <v>0.144306689808371</v>
      </c>
      <c r="BC163" s="86">
        <v>0.147249938059174</v>
      </c>
      <c r="BD163" s="86">
        <v>0.143060145181513</v>
      </c>
      <c r="BE163" s="86">
        <v>0.141018324344304</v>
      </c>
      <c r="BF163" s="86">
        <v>0.15187711761096101</v>
      </c>
      <c r="BG163" s="86">
        <v>0.15648859618253699</v>
      </c>
      <c r="BH163" s="86">
        <v>0.15530127626608101</v>
      </c>
      <c r="BI163" s="86">
        <v>0.15554462133668001</v>
      </c>
      <c r="BJ163" s="86">
        <v>0.15583663964300901</v>
      </c>
      <c r="BK163" s="86">
        <v>0.15603287376887301</v>
      </c>
      <c r="BL163" s="86">
        <v>0.156177867844845</v>
      </c>
      <c r="BM163" s="86">
        <v>0.15639088459742201</v>
      </c>
      <c r="BN163" s="86">
        <v>0.15655550403781501</v>
      </c>
      <c r="BO163" s="86">
        <v>0.15674482655840799</v>
      </c>
      <c r="BP163" s="86">
        <v>0.156947545398337</v>
      </c>
      <c r="BQ163" s="86">
        <v>0.15712052861723999</v>
      </c>
      <c r="BR163" s="86">
        <v>0.15731900460908299</v>
      </c>
      <c r="BS163" s="86">
        <v>0.15751151504927999</v>
      </c>
      <c r="BT163" s="86">
        <v>0.15770091883079301</v>
      </c>
    </row>
    <row r="164" spans="1:72" x14ac:dyDescent="0.65">
      <c r="A164" s="82" t="s">
        <v>171</v>
      </c>
      <c r="B164" s="81" t="str">
        <f t="shared" si="4"/>
        <v>IMF.RES.GAS:GAS_LIVE_2026_JAN_GAS1_VINTAGE</v>
      </c>
      <c r="C164" s="81" t="s">
        <v>756</v>
      </c>
      <c r="D164" s="82"/>
      <c r="E164" s="86">
        <v>1.31099862933333</v>
      </c>
      <c r="F164" s="86">
        <v>1.2825643879999999</v>
      </c>
      <c r="G164" s="86">
        <v>1.251470369</v>
      </c>
      <c r="H164" s="86">
        <v>1.29737565333333</v>
      </c>
      <c r="I164" s="86">
        <v>1.3203565150000001</v>
      </c>
      <c r="J164" s="86">
        <v>1.3065598483333301</v>
      </c>
      <c r="K164" s="86">
        <v>1.3245845063333299</v>
      </c>
      <c r="L164" s="86">
        <v>1.3610487093333301</v>
      </c>
      <c r="M164" s="86">
        <v>1.3697083693333301</v>
      </c>
      <c r="N164" s="86">
        <v>1.3712341269999999</v>
      </c>
      <c r="O164" s="86">
        <v>1.3252210929999999</v>
      </c>
      <c r="P164" s="86">
        <v>1.2492090819999999</v>
      </c>
      <c r="Q164" s="86">
        <v>1.126955505</v>
      </c>
      <c r="R164" s="86">
        <v>1.104735909</v>
      </c>
      <c r="S164" s="86">
        <v>1.11186706833333</v>
      </c>
      <c r="T164" s="86">
        <v>1.0949424243333299</v>
      </c>
      <c r="U164" s="86">
        <v>1.1017423016666601</v>
      </c>
      <c r="V164" s="86">
        <v>1.12930634933333</v>
      </c>
      <c r="W164" s="86">
        <v>1.1164117950000001</v>
      </c>
      <c r="X164" s="86">
        <v>1.078930231</v>
      </c>
      <c r="Y164" s="86">
        <v>1.0647251579999999</v>
      </c>
      <c r="Z164" s="86">
        <v>1.1003207073333301</v>
      </c>
      <c r="AA164" s="86">
        <v>1.1744151140000001</v>
      </c>
      <c r="AB164" s="86">
        <v>1.177669139</v>
      </c>
      <c r="AC164" s="86">
        <v>1.2294496826666601</v>
      </c>
      <c r="AD164" s="86">
        <v>1.1922270993333299</v>
      </c>
      <c r="AE164" s="86">
        <v>1.163112793</v>
      </c>
      <c r="AF164" s="86">
        <v>1.1411705883333301</v>
      </c>
      <c r="AG164" s="86">
        <v>1.13566784266666</v>
      </c>
      <c r="AH164" s="86">
        <v>1.123874697</v>
      </c>
      <c r="AI164" s="86">
        <v>1.11161744433333</v>
      </c>
      <c r="AJ164" s="86">
        <v>1.1072322533333301</v>
      </c>
      <c r="AK164" s="86">
        <v>1.1022924243333301</v>
      </c>
      <c r="AL164" s="86">
        <v>1.1006113636666599</v>
      </c>
      <c r="AM164" s="86">
        <v>1.1694631876666599</v>
      </c>
      <c r="AN164" s="86">
        <v>1.1927604616666601</v>
      </c>
      <c r="AO164" s="86">
        <v>1.20559456533333</v>
      </c>
      <c r="AP164" s="86">
        <v>1.2057365223333301</v>
      </c>
      <c r="AQ164" s="86">
        <v>1.1787984846666599</v>
      </c>
      <c r="AR164" s="86">
        <v>1.1439768083333299</v>
      </c>
      <c r="AS164" s="86">
        <v>1.12251109033333</v>
      </c>
      <c r="AT164" s="86">
        <v>1.06543516733333</v>
      </c>
      <c r="AU164" s="86">
        <v>1.00703707556666</v>
      </c>
      <c r="AV164" s="86">
        <v>1.0205249639</v>
      </c>
      <c r="AW164" s="86">
        <v>1.0729975363333299</v>
      </c>
      <c r="AX164" s="86">
        <v>1.0891695286666601</v>
      </c>
      <c r="AY164" s="86">
        <v>1.0883607316666599</v>
      </c>
      <c r="AZ164" s="86">
        <v>1.07579417833333</v>
      </c>
      <c r="BA164" s="86">
        <v>1.0857350216666599</v>
      </c>
      <c r="BB164" s="86">
        <v>1.0766329723333301</v>
      </c>
      <c r="BC164" s="86">
        <v>1.0987422926666599</v>
      </c>
      <c r="BD164" s="86">
        <v>1.0671080230000001</v>
      </c>
      <c r="BE164" s="86">
        <v>1.05243455966666</v>
      </c>
      <c r="BF164" s="86">
        <v>1.13360627</v>
      </c>
      <c r="BG164" s="86">
        <v>1.1680176046666599</v>
      </c>
      <c r="BH164" s="86">
        <v>1.1593843123435801</v>
      </c>
      <c r="BI164" s="86">
        <v>1.1587430402980099</v>
      </c>
      <c r="BJ164" s="86">
        <v>1.15844397575386</v>
      </c>
      <c r="BK164" s="86">
        <v>1.15772099163408</v>
      </c>
      <c r="BL164" s="86">
        <v>1.15680801618038</v>
      </c>
      <c r="BM164" s="86">
        <v>1.1559632961597299</v>
      </c>
      <c r="BN164" s="86">
        <v>1.15530413974099</v>
      </c>
      <c r="BO164" s="86">
        <v>1.1548449011869799</v>
      </c>
      <c r="BP164" s="86">
        <v>1.15452432066974</v>
      </c>
      <c r="BQ164" s="86">
        <v>1.1538078276616099</v>
      </c>
      <c r="BR164" s="86">
        <v>1.15359589919767</v>
      </c>
      <c r="BS164" s="86">
        <v>1.1534002139529</v>
      </c>
      <c r="BT164" s="86">
        <v>1.1532180996849899</v>
      </c>
    </row>
    <row r="165" spans="1:72" x14ac:dyDescent="0.65">
      <c r="A165" s="82" t="s">
        <v>172</v>
      </c>
      <c r="B165" s="81" t="str">
        <f t="shared" si="4"/>
        <v>IMF.RES.GAS:GAS_LIVE_2026_JAN_GAS1_VINTAGE</v>
      </c>
      <c r="C165" s="81" t="s">
        <v>757</v>
      </c>
      <c r="D165" s="82"/>
      <c r="E165" s="86">
        <v>8.3788083630522495E-2</v>
      </c>
      <c r="F165" s="86">
        <v>8.1970804392008503E-2</v>
      </c>
      <c r="G165" s="86">
        <v>7.9983534378075705E-2</v>
      </c>
      <c r="H165" s="86">
        <v>8.2917416776381606E-2</v>
      </c>
      <c r="I165" s="86">
        <v>8.4386161530300499E-2</v>
      </c>
      <c r="J165" s="86">
        <v>8.3504393819317499E-2</v>
      </c>
      <c r="K165" s="86">
        <v>8.4656379426414199E-2</v>
      </c>
      <c r="L165" s="86">
        <v>8.6986866752734301E-2</v>
      </c>
      <c r="M165" s="86">
        <v>8.7540319899104796E-2</v>
      </c>
      <c r="N165" s="86">
        <v>8.7637833586849498E-2</v>
      </c>
      <c r="O165" s="86">
        <v>8.4697064729717594E-2</v>
      </c>
      <c r="P165" s="86">
        <v>7.9839011798090304E-2</v>
      </c>
      <c r="Q165" s="86">
        <v>7.2025584152467598E-2</v>
      </c>
      <c r="R165" s="86">
        <v>7.0605493142280096E-2</v>
      </c>
      <c r="S165" s="86">
        <v>7.1061257291253899E-2</v>
      </c>
      <c r="T165" s="86">
        <v>6.9979575392311005E-2</v>
      </c>
      <c r="U165" s="86">
        <v>7.0414166762534106E-2</v>
      </c>
      <c r="V165" s="86">
        <v>7.2175830489264903E-2</v>
      </c>
      <c r="W165" s="86">
        <v>7.1351718264670905E-2</v>
      </c>
      <c r="X165" s="86">
        <v>6.8956209719683498E-2</v>
      </c>
      <c r="Y165" s="86">
        <v>6.8048340086664202E-2</v>
      </c>
      <c r="Z165" s="86">
        <v>7.0323310325139804E-2</v>
      </c>
      <c r="AA165" s="86">
        <v>7.5058806002581996E-2</v>
      </c>
      <c r="AB165" s="86">
        <v>7.5266776104712801E-2</v>
      </c>
      <c r="AC165" s="86">
        <v>7.8576156012594794E-2</v>
      </c>
      <c r="AD165" s="86">
        <v>7.6197199348953304E-2</v>
      </c>
      <c r="AE165" s="86">
        <v>7.4336456035176898E-2</v>
      </c>
      <c r="AF165" s="86">
        <v>7.2934093562392596E-2</v>
      </c>
      <c r="AG165" s="86">
        <v>7.2582404015355803E-2</v>
      </c>
      <c r="AH165" s="86">
        <v>7.18286846343614E-2</v>
      </c>
      <c r="AI165" s="86">
        <v>7.1045303409899493E-2</v>
      </c>
      <c r="AJ165" s="86">
        <v>7.0765038623939597E-2</v>
      </c>
      <c r="AK165" s="86">
        <v>7.0449326009058399E-2</v>
      </c>
      <c r="AL165" s="86">
        <v>7.0341886650560903E-2</v>
      </c>
      <c r="AM165" s="86">
        <v>7.4742320227184605E-2</v>
      </c>
      <c r="AN165" s="86">
        <v>7.6231287414944199E-2</v>
      </c>
      <c r="AO165" s="86">
        <v>7.7051536137776405E-2</v>
      </c>
      <c r="AP165" s="86">
        <v>7.7060608843667805E-2</v>
      </c>
      <c r="AQ165" s="86">
        <v>7.5338954448037704E-2</v>
      </c>
      <c r="AR165" s="86">
        <v>7.3113443708750295E-2</v>
      </c>
      <c r="AS165" s="86">
        <v>7.1741534284338604E-2</v>
      </c>
      <c r="AT165" s="86">
        <v>6.8093717953634197E-2</v>
      </c>
      <c r="AU165" s="86">
        <v>6.4361399637407904E-2</v>
      </c>
      <c r="AV165" s="86">
        <v>6.5223432816074997E-2</v>
      </c>
      <c r="AW165" s="86">
        <v>6.8577041423269799E-2</v>
      </c>
      <c r="AX165" s="86">
        <v>6.9610620113421798E-2</v>
      </c>
      <c r="AY165" s="86">
        <v>6.9558928563819997E-2</v>
      </c>
      <c r="AZ165" s="86">
        <v>6.8755779423857799E-2</v>
      </c>
      <c r="BA165" s="86">
        <v>6.93911151091397E-2</v>
      </c>
      <c r="BB165" s="86">
        <v>6.8809388131180801E-2</v>
      </c>
      <c r="BC165" s="86">
        <v>7.0222431241718106E-2</v>
      </c>
      <c r="BD165" s="86">
        <v>6.8200632917055401E-2</v>
      </c>
      <c r="BE165" s="86">
        <v>6.7262827685674001E-2</v>
      </c>
      <c r="BF165" s="86">
        <v>7.2450645507650194E-2</v>
      </c>
      <c r="BG165" s="86">
        <v>7.4649930634557396E-2</v>
      </c>
      <c r="BH165" s="86">
        <v>7.40131461888201E-2</v>
      </c>
      <c r="BI165" s="86">
        <v>7.3339038898673006E-2</v>
      </c>
      <c r="BJ165" s="86">
        <v>7.2961215862778303E-2</v>
      </c>
      <c r="BK165" s="86">
        <v>7.2622312598536506E-2</v>
      </c>
      <c r="BL165" s="86">
        <v>7.2311550884198397E-2</v>
      </c>
      <c r="BM165" s="86">
        <v>7.1941256736814493E-2</v>
      </c>
      <c r="BN165" s="86">
        <v>7.1659648306571705E-2</v>
      </c>
      <c r="BO165" s="86">
        <v>7.1385422348603206E-2</v>
      </c>
      <c r="BP165" s="86">
        <v>7.1117077680338106E-2</v>
      </c>
      <c r="BQ165" s="86">
        <v>7.0851482108062594E-2</v>
      </c>
      <c r="BR165" s="86">
        <v>7.0590976861085494E-2</v>
      </c>
      <c r="BS165" s="86">
        <v>7.0334910712890802E-2</v>
      </c>
      <c r="BT165" s="86">
        <v>7.0084724892538794E-2</v>
      </c>
    </row>
    <row r="166" spans="1:72" x14ac:dyDescent="0.65">
      <c r="A166" s="82" t="s">
        <v>100</v>
      </c>
      <c r="B166" s="81" t="str">
        <f t="shared" si="4"/>
        <v>IMF.RES.GAS:GAS_LIVE_2026_JAN_GAS1_VINTAGE</v>
      </c>
      <c r="C166" s="81" t="s">
        <v>758</v>
      </c>
      <c r="D166" s="82"/>
      <c r="E166" s="86">
        <v>1.31099862933333</v>
      </c>
      <c r="F166" s="86">
        <v>1.2825643879999999</v>
      </c>
      <c r="G166" s="86">
        <v>1.251470369</v>
      </c>
      <c r="H166" s="86">
        <v>1.29737565333333</v>
      </c>
      <c r="I166" s="86">
        <v>1.3203565150000001</v>
      </c>
      <c r="J166" s="86">
        <v>1.3065598483333301</v>
      </c>
      <c r="K166" s="86">
        <v>1.3245845063333299</v>
      </c>
      <c r="L166" s="86">
        <v>1.3610487093333301</v>
      </c>
      <c r="M166" s="86">
        <v>1.3697083693333301</v>
      </c>
      <c r="N166" s="86">
        <v>1.3712341269999999</v>
      </c>
      <c r="O166" s="86">
        <v>1.3252210929999999</v>
      </c>
      <c r="P166" s="86">
        <v>1.2492090819999999</v>
      </c>
      <c r="Q166" s="86">
        <v>1.126955505</v>
      </c>
      <c r="R166" s="86">
        <v>1.104735909</v>
      </c>
      <c r="S166" s="86">
        <v>1.11186706833333</v>
      </c>
      <c r="T166" s="86">
        <v>1.0949424243333299</v>
      </c>
      <c r="U166" s="86">
        <v>1.1017423016666601</v>
      </c>
      <c r="V166" s="86">
        <v>1.12930634933333</v>
      </c>
      <c r="W166" s="86">
        <v>1.1164117950000001</v>
      </c>
      <c r="X166" s="86">
        <v>1.078930231</v>
      </c>
      <c r="Y166" s="86">
        <v>1.0647251579999999</v>
      </c>
      <c r="Z166" s="86">
        <v>1.1003207073333301</v>
      </c>
      <c r="AA166" s="86">
        <v>1.1744151140000001</v>
      </c>
      <c r="AB166" s="86">
        <v>1.177669139</v>
      </c>
      <c r="AC166" s="86">
        <v>1.2294496826666601</v>
      </c>
      <c r="AD166" s="86">
        <v>1.1922270993333299</v>
      </c>
      <c r="AE166" s="86">
        <v>1.163112793</v>
      </c>
      <c r="AF166" s="86">
        <v>1.1411705883333301</v>
      </c>
      <c r="AG166" s="86">
        <v>1.13566784266666</v>
      </c>
      <c r="AH166" s="86">
        <v>1.123874697</v>
      </c>
      <c r="AI166" s="86">
        <v>1.11161744433333</v>
      </c>
      <c r="AJ166" s="86">
        <v>1.1072322533333301</v>
      </c>
      <c r="AK166" s="86">
        <v>1.1022924243333301</v>
      </c>
      <c r="AL166" s="86">
        <v>1.1006113636666599</v>
      </c>
      <c r="AM166" s="86">
        <v>1.1694631876666599</v>
      </c>
      <c r="AN166" s="86">
        <v>1.1927604616666601</v>
      </c>
      <c r="AO166" s="86">
        <v>1.20559456533333</v>
      </c>
      <c r="AP166" s="86">
        <v>1.2057365223333301</v>
      </c>
      <c r="AQ166" s="86">
        <v>1.1787984846666599</v>
      </c>
      <c r="AR166" s="86">
        <v>1.1439768083333299</v>
      </c>
      <c r="AS166" s="86">
        <v>1.12251109033333</v>
      </c>
      <c r="AT166" s="86">
        <v>1.06543516733333</v>
      </c>
      <c r="AU166" s="86">
        <v>1.00703707556666</v>
      </c>
      <c r="AV166" s="86">
        <v>1.0205249639</v>
      </c>
      <c r="AW166" s="86">
        <v>1.0729975363333299</v>
      </c>
      <c r="AX166" s="86">
        <v>1.0891695286666601</v>
      </c>
      <c r="AY166" s="86">
        <v>1.0883607316666599</v>
      </c>
      <c r="AZ166" s="86">
        <v>1.07579417833333</v>
      </c>
      <c r="BA166" s="86">
        <v>1.0857350216666599</v>
      </c>
      <c r="BB166" s="86">
        <v>1.0766329723333301</v>
      </c>
      <c r="BC166" s="86">
        <v>1.0987422926666599</v>
      </c>
      <c r="BD166" s="86">
        <v>1.0671080230000001</v>
      </c>
      <c r="BE166" s="86">
        <v>1.05243455966666</v>
      </c>
      <c r="BF166" s="86">
        <v>1.13360627</v>
      </c>
      <c r="BG166" s="86">
        <v>1.1680176046666599</v>
      </c>
      <c r="BH166" s="86">
        <v>1.1593843123435801</v>
      </c>
      <c r="BI166" s="86">
        <v>1.1587430402980099</v>
      </c>
      <c r="BJ166" s="86">
        <v>1.15844397575386</v>
      </c>
      <c r="BK166" s="86">
        <v>1.15772099163408</v>
      </c>
      <c r="BL166" s="86">
        <v>1.15680801618038</v>
      </c>
      <c r="BM166" s="86">
        <v>1.1559632961597299</v>
      </c>
      <c r="BN166" s="86">
        <v>1.15530413974099</v>
      </c>
      <c r="BO166" s="86">
        <v>1.1548449011869799</v>
      </c>
      <c r="BP166" s="86">
        <v>1.15452432066974</v>
      </c>
      <c r="BQ166" s="86">
        <v>1.1538078276616099</v>
      </c>
      <c r="BR166" s="86">
        <v>1.15359589919767</v>
      </c>
      <c r="BS166" s="86">
        <v>1.1534002139529</v>
      </c>
      <c r="BT166" s="86">
        <v>1.1532180996849899</v>
      </c>
    </row>
    <row r="167" spans="1:72" x14ac:dyDescent="0.65">
      <c r="A167" s="82" t="s">
        <v>108</v>
      </c>
      <c r="B167" s="81" t="str">
        <f t="shared" si="4"/>
        <v>IMF.RES.GAS:GAS_LIVE_2026_JAN_GAS1_VINTAGE</v>
      </c>
      <c r="C167" s="81" t="s">
        <v>759</v>
      </c>
      <c r="D167" s="82"/>
      <c r="E167" s="86">
        <v>3.2498807119832503E-2</v>
      </c>
      <c r="F167" s="86">
        <v>3.1793940688995201E-2</v>
      </c>
      <c r="G167" s="86">
        <v>3.1023140092067601E-2</v>
      </c>
      <c r="H167" s="86">
        <v>3.2161102365978397E-2</v>
      </c>
      <c r="I167" s="86">
        <v>3.2730783046065998E-2</v>
      </c>
      <c r="J167" s="86">
        <v>3.2388772613053902E-2</v>
      </c>
      <c r="K167" s="86">
        <v>3.2835592213499097E-2</v>
      </c>
      <c r="L167" s="86">
        <v>3.3739516194470798E-2</v>
      </c>
      <c r="M167" s="86">
        <v>3.3954183558544598E-2</v>
      </c>
      <c r="N167" s="86">
        <v>3.3992006103138503E-2</v>
      </c>
      <c r="O167" s="86">
        <v>3.2851372784761398E-2</v>
      </c>
      <c r="P167" s="86">
        <v>3.0967084251572199E-2</v>
      </c>
      <c r="Q167" s="86">
        <v>2.79364972397056E-2</v>
      </c>
      <c r="R167" s="86">
        <v>2.73856878425578E-2</v>
      </c>
      <c r="S167" s="86">
        <v>2.75624646648438E-2</v>
      </c>
      <c r="T167" s="86">
        <v>2.7142913699174601E-2</v>
      </c>
      <c r="U167" s="86">
        <v>2.7311478255193099E-2</v>
      </c>
      <c r="V167" s="86">
        <v>2.7994773148503901E-2</v>
      </c>
      <c r="W167" s="86">
        <v>2.7675125496096901E-2</v>
      </c>
      <c r="X167" s="86">
        <v>2.6745981794699499E-2</v>
      </c>
      <c r="Y167" s="86">
        <v>2.6393847233136401E-2</v>
      </c>
      <c r="Z167" s="86">
        <v>2.7276237852184401E-2</v>
      </c>
      <c r="AA167" s="86">
        <v>2.9112990215642499E-2</v>
      </c>
      <c r="AB167" s="86">
        <v>2.9193655388337601E-2</v>
      </c>
      <c r="AC167" s="86">
        <v>3.0477261536758001E-2</v>
      </c>
      <c r="AD167" s="86">
        <v>2.9554537798391501E-2</v>
      </c>
      <c r="AE167" s="86">
        <v>2.8832812996561701E-2</v>
      </c>
      <c r="AF167" s="86">
        <v>2.8288879950950099E-2</v>
      </c>
      <c r="AG167" s="86">
        <v>2.8152470449025999E-2</v>
      </c>
      <c r="AH167" s="86">
        <v>2.7860126004278601E-2</v>
      </c>
      <c r="AI167" s="86">
        <v>2.7556276647521E-2</v>
      </c>
      <c r="AJ167" s="86">
        <v>2.7447570602141601E-2</v>
      </c>
      <c r="AK167" s="86">
        <v>2.7325115439882901E-2</v>
      </c>
      <c r="AL167" s="86">
        <v>2.72834430344811E-2</v>
      </c>
      <c r="AM167" s="86">
        <v>2.8990235168323799E-2</v>
      </c>
      <c r="AN167" s="86">
        <v>2.9567759505270599E-2</v>
      </c>
      <c r="AO167" s="86">
        <v>2.9885908624794101E-2</v>
      </c>
      <c r="AP167" s="86">
        <v>2.98894276469037E-2</v>
      </c>
      <c r="AQ167" s="86">
        <v>2.9221651136137301E-2</v>
      </c>
      <c r="AR167" s="86">
        <v>2.8358444327659001E-2</v>
      </c>
      <c r="AS167" s="86">
        <v>2.78263230779782E-2</v>
      </c>
      <c r="AT167" s="86">
        <v>2.6411447904762599E-2</v>
      </c>
      <c r="AU167" s="86">
        <v>2.4963797023955601E-2</v>
      </c>
      <c r="AV167" s="86">
        <v>2.52981530420253E-2</v>
      </c>
      <c r="AW167" s="86">
        <v>2.6598914135467201E-2</v>
      </c>
      <c r="AX167" s="86">
        <v>2.6999807353678702E-2</v>
      </c>
      <c r="AY167" s="86">
        <v>2.69797577997631E-2</v>
      </c>
      <c r="AZ167" s="86">
        <v>2.6668241079758001E-2</v>
      </c>
      <c r="BA167" s="86">
        <v>2.6914668149069901E-2</v>
      </c>
      <c r="BB167" s="86">
        <v>2.6689034239879901E-2</v>
      </c>
      <c r="BC167" s="86">
        <v>2.7237109974657E-2</v>
      </c>
      <c r="BD167" s="86">
        <v>2.6452916913527299E-2</v>
      </c>
      <c r="BE167" s="86">
        <v>2.6089171258894199E-2</v>
      </c>
      <c r="BF167" s="86">
        <v>2.8101365397534401E-2</v>
      </c>
      <c r="BG167" s="86">
        <v>2.89544001018016E-2</v>
      </c>
      <c r="BH167" s="86">
        <v>2.87425722346536E-2</v>
      </c>
      <c r="BI167" s="86">
        <v>2.8746581761826599E-2</v>
      </c>
      <c r="BJ167" s="86">
        <v>2.8773912310516198E-2</v>
      </c>
      <c r="BK167" s="86">
        <v>2.8775823245466702E-2</v>
      </c>
      <c r="BL167" s="86">
        <v>2.8762169442793299E-2</v>
      </c>
      <c r="BM167" s="86">
        <v>2.8785578360365299E-2</v>
      </c>
      <c r="BN167" s="86">
        <v>2.8767720098883801E-2</v>
      </c>
      <c r="BO167" s="86">
        <v>2.8752009399029398E-2</v>
      </c>
      <c r="BP167" s="86">
        <v>2.8736924589675202E-2</v>
      </c>
      <c r="BQ167" s="86">
        <v>2.8725088132816899E-2</v>
      </c>
      <c r="BR167" s="86">
        <v>2.8707187051652799E-2</v>
      </c>
      <c r="BS167" s="86">
        <v>2.8687874938723001E-2</v>
      </c>
      <c r="BT167" s="86">
        <v>2.8668044627887801E-2</v>
      </c>
    </row>
    <row r="168" spans="1:72" x14ac:dyDescent="0.65">
      <c r="A168" s="82" t="s">
        <v>101</v>
      </c>
      <c r="B168" s="81" t="str">
        <f t="shared" si="4"/>
        <v>IMF.RES.GAS:GAS_LIVE_2026_JAN_GAS1_VINTAGE</v>
      </c>
      <c r="C168" s="81" t="s">
        <v>760</v>
      </c>
      <c r="D168" s="82"/>
      <c r="E168" s="86">
        <v>1.31099862933333</v>
      </c>
      <c r="F168" s="86">
        <v>1.2825643879999999</v>
      </c>
      <c r="G168" s="86">
        <v>1.251470369</v>
      </c>
      <c r="H168" s="86">
        <v>1.29737565333333</v>
      </c>
      <c r="I168" s="86">
        <v>1.3203565150000001</v>
      </c>
      <c r="J168" s="86">
        <v>1.3065598483333301</v>
      </c>
      <c r="K168" s="86">
        <v>1.3245845063333299</v>
      </c>
      <c r="L168" s="86">
        <v>1.3610487093333301</v>
      </c>
      <c r="M168" s="86">
        <v>1.3697083693333301</v>
      </c>
      <c r="N168" s="86">
        <v>1.3712341269999999</v>
      </c>
      <c r="O168" s="86">
        <v>1.3252210929999999</v>
      </c>
      <c r="P168" s="86">
        <v>1.2492090819999999</v>
      </c>
      <c r="Q168" s="86">
        <v>1.126955505</v>
      </c>
      <c r="R168" s="86">
        <v>1.104735909</v>
      </c>
      <c r="S168" s="86">
        <v>1.11186706833333</v>
      </c>
      <c r="T168" s="86">
        <v>1.0949424243333299</v>
      </c>
      <c r="U168" s="86">
        <v>1.1017423016666601</v>
      </c>
      <c r="V168" s="86">
        <v>1.12930634933333</v>
      </c>
      <c r="W168" s="86">
        <v>1.1164117950000001</v>
      </c>
      <c r="X168" s="86">
        <v>1.078930231</v>
      </c>
      <c r="Y168" s="86">
        <v>1.0647251579999999</v>
      </c>
      <c r="Z168" s="86">
        <v>1.1003207073333301</v>
      </c>
      <c r="AA168" s="86">
        <v>1.1744151140000001</v>
      </c>
      <c r="AB168" s="86">
        <v>1.177669139</v>
      </c>
      <c r="AC168" s="86">
        <v>1.2294496826666601</v>
      </c>
      <c r="AD168" s="86">
        <v>1.1922270993333299</v>
      </c>
      <c r="AE168" s="86">
        <v>1.163112793</v>
      </c>
      <c r="AF168" s="86">
        <v>1.1411705883333301</v>
      </c>
      <c r="AG168" s="86">
        <v>1.13566784266666</v>
      </c>
      <c r="AH168" s="86">
        <v>1.123874697</v>
      </c>
      <c r="AI168" s="86">
        <v>1.11161744433333</v>
      </c>
      <c r="AJ168" s="86">
        <v>1.1072322533333301</v>
      </c>
      <c r="AK168" s="86">
        <v>1.1022924243333301</v>
      </c>
      <c r="AL168" s="86">
        <v>1.1006113636666599</v>
      </c>
      <c r="AM168" s="86">
        <v>1.1694631876666599</v>
      </c>
      <c r="AN168" s="86">
        <v>1.1927604616666601</v>
      </c>
      <c r="AO168" s="86">
        <v>1.20559456533333</v>
      </c>
      <c r="AP168" s="86">
        <v>1.2057365223333301</v>
      </c>
      <c r="AQ168" s="86">
        <v>1.1787984846666599</v>
      </c>
      <c r="AR168" s="86">
        <v>1.1439768083333299</v>
      </c>
      <c r="AS168" s="86">
        <v>1.12251109033333</v>
      </c>
      <c r="AT168" s="86">
        <v>1.06543516733333</v>
      </c>
      <c r="AU168" s="86">
        <v>1.00703707556666</v>
      </c>
      <c r="AV168" s="86">
        <v>1.0205249639</v>
      </c>
      <c r="AW168" s="86">
        <v>1.0729975363333299</v>
      </c>
      <c r="AX168" s="86">
        <v>1.0891695286666601</v>
      </c>
      <c r="AY168" s="86">
        <v>1.0883607316666599</v>
      </c>
      <c r="AZ168" s="86">
        <v>1.07579417833333</v>
      </c>
      <c r="BA168" s="86">
        <v>1.0857350216666599</v>
      </c>
      <c r="BB168" s="86">
        <v>1.0766329723333301</v>
      </c>
      <c r="BC168" s="86">
        <v>1.0987422926666599</v>
      </c>
      <c r="BD168" s="86">
        <v>1.0671080230000001</v>
      </c>
      <c r="BE168" s="86">
        <v>1.05243455966666</v>
      </c>
      <c r="BF168" s="86">
        <v>1.13360627</v>
      </c>
      <c r="BG168" s="86">
        <v>1.1680176046666599</v>
      </c>
      <c r="BH168" s="86">
        <v>1.1593843123435801</v>
      </c>
      <c r="BI168" s="86">
        <v>1.1587430402980099</v>
      </c>
      <c r="BJ168" s="86">
        <v>1.15844397575386</v>
      </c>
      <c r="BK168" s="86">
        <v>1.15772099163408</v>
      </c>
      <c r="BL168" s="86">
        <v>1.15680801618038</v>
      </c>
      <c r="BM168" s="86">
        <v>1.1559632961597299</v>
      </c>
      <c r="BN168" s="86">
        <v>1.15530413974099</v>
      </c>
      <c r="BO168" s="86">
        <v>1.1548449011869799</v>
      </c>
      <c r="BP168" s="86">
        <v>1.15452432066974</v>
      </c>
      <c r="BQ168" s="86">
        <v>1.1538078276616099</v>
      </c>
      <c r="BR168" s="86">
        <v>1.15359589919767</v>
      </c>
      <c r="BS168" s="86">
        <v>1.1534002139529</v>
      </c>
      <c r="BT168" s="86">
        <v>1.1532180996849899</v>
      </c>
    </row>
    <row r="169" spans="1:72" x14ac:dyDescent="0.65">
      <c r="A169" s="82" t="s">
        <v>109</v>
      </c>
      <c r="B169" s="81" t="str">
        <f t="shared" si="4"/>
        <v>IMF.RES.GAS:GAS_LIVE_2026_JAN_GAS1_VINTAGE</v>
      </c>
      <c r="C169" s="81" t="s">
        <v>761</v>
      </c>
      <c r="D169" s="82"/>
      <c r="E169" s="86">
        <v>0.59490524131275502</v>
      </c>
      <c r="F169" s="86">
        <v>0.58200234513615601</v>
      </c>
      <c r="G169" s="86">
        <v>0.56789249447522605</v>
      </c>
      <c r="H169" s="86">
        <v>0.58872340431968495</v>
      </c>
      <c r="I169" s="86">
        <v>0.59915166469272196</v>
      </c>
      <c r="J169" s="86">
        <v>0.59289101031139901</v>
      </c>
      <c r="K169" s="86">
        <v>0.60107024351358895</v>
      </c>
      <c r="L169" s="86">
        <v>0.61761697743048405</v>
      </c>
      <c r="M169" s="86">
        <v>0.62154655981655105</v>
      </c>
      <c r="N169" s="86">
        <v>0.62223891846023305</v>
      </c>
      <c r="O169" s="86">
        <v>0.60135911394874997</v>
      </c>
      <c r="P169" s="86">
        <v>0.56686636717172401</v>
      </c>
      <c r="Q169" s="86">
        <v>0.51139011258287104</v>
      </c>
      <c r="R169" s="86">
        <v>0.50130729950855601</v>
      </c>
      <c r="S169" s="86">
        <v>0.50454327853180903</v>
      </c>
      <c r="T169" s="86">
        <v>0.49686320992024002</v>
      </c>
      <c r="U169" s="86">
        <v>0.49994885972594699</v>
      </c>
      <c r="V169" s="86">
        <v>0.51245687923244598</v>
      </c>
      <c r="W169" s="86">
        <v>0.50660558558067903</v>
      </c>
      <c r="X169" s="86">
        <v>0.48959719336936303</v>
      </c>
      <c r="Y169" s="86">
        <v>0.483151212273847</v>
      </c>
      <c r="Z169" s="86">
        <v>0.49930376834217399</v>
      </c>
      <c r="AA169" s="86">
        <v>0.53292634421044505</v>
      </c>
      <c r="AB169" s="86">
        <v>0.53440295637810797</v>
      </c>
      <c r="AC169" s="86">
        <v>0.55789994267243204</v>
      </c>
      <c r="AD169" s="86">
        <v>0.54100907076399896</v>
      </c>
      <c r="AE169" s="86">
        <v>0.52779757454474496</v>
      </c>
      <c r="AF169" s="86">
        <v>0.51784063616960996</v>
      </c>
      <c r="AG169" s="86">
        <v>0.51534359905190197</v>
      </c>
      <c r="AH169" s="86">
        <v>0.50999210286289898</v>
      </c>
      <c r="AI169" s="86">
        <v>0.50443000409914796</v>
      </c>
      <c r="AJ169" s="86">
        <v>0.502440091179571</v>
      </c>
      <c r="AK169" s="86">
        <v>0.50019849450850296</v>
      </c>
      <c r="AL169" s="86">
        <v>0.49943566243592202</v>
      </c>
      <c r="AM169" s="86">
        <v>0.53067925800884197</v>
      </c>
      <c r="AN169" s="86">
        <v>0.541251100038874</v>
      </c>
      <c r="AO169" s="86">
        <v>0.54707496237405695</v>
      </c>
      <c r="AP169" s="86">
        <v>0.54713937965219195</v>
      </c>
      <c r="AQ169" s="86">
        <v>0.53491543109876805</v>
      </c>
      <c r="AR169" s="86">
        <v>0.51911404328760702</v>
      </c>
      <c r="AS169" s="86">
        <v>0.50937332513503697</v>
      </c>
      <c r="AT169" s="86">
        <v>0.48347340046255299</v>
      </c>
      <c r="AU169" s="86">
        <v>0.45697350176142298</v>
      </c>
      <c r="AV169" s="86">
        <v>0.46309403864392301</v>
      </c>
      <c r="AW169" s="86">
        <v>0.486905053901526</v>
      </c>
      <c r="AX169" s="86">
        <v>0.49424358407715402</v>
      </c>
      <c r="AY169" s="86">
        <v>0.49387656799972102</v>
      </c>
      <c r="AZ169" s="86">
        <v>0.48817411471261302</v>
      </c>
      <c r="BA169" s="86">
        <v>0.49268507274853102</v>
      </c>
      <c r="BB169" s="86">
        <v>0.48855474283518802</v>
      </c>
      <c r="BC169" s="86">
        <v>0.498587514993654</v>
      </c>
      <c r="BD169" s="86">
        <v>0.48423250926846101</v>
      </c>
      <c r="BE169" s="86">
        <v>0.47757398190626998</v>
      </c>
      <c r="BF169" s="86">
        <v>0.51440809816173605</v>
      </c>
      <c r="BG169" s="86">
        <v>0.530023281042726</v>
      </c>
      <c r="BH169" s="86">
        <v>0.52630588311567095</v>
      </c>
      <c r="BI169" s="86">
        <v>0.527635627076391</v>
      </c>
      <c r="BJ169" s="86">
        <v>0.52933224241328503</v>
      </c>
      <c r="BK169" s="86">
        <v>0.53066121298284497</v>
      </c>
      <c r="BL169" s="86">
        <v>0.53179390598415299</v>
      </c>
      <c r="BM169" s="86">
        <v>0.53317120556680797</v>
      </c>
      <c r="BN169" s="86">
        <v>0.53438529332496099</v>
      </c>
      <c r="BO169" s="86">
        <v>0.53569823977772202</v>
      </c>
      <c r="BP169" s="86">
        <v>0.53706598057840005</v>
      </c>
      <c r="BQ169" s="86">
        <v>0.53829999800582196</v>
      </c>
      <c r="BR169" s="86">
        <v>0.53965552936003003</v>
      </c>
      <c r="BS169" s="86">
        <v>0.54098977342084098</v>
      </c>
      <c r="BT169" s="86">
        <v>0.54231398667144304</v>
      </c>
    </row>
    <row r="170" spans="1:72" x14ac:dyDescent="0.65">
      <c r="A170" s="82" t="s">
        <v>57</v>
      </c>
      <c r="B170" s="81" t="str">
        <f t="shared" si="4"/>
        <v>IMF.RES.GAS:GAS_LIVE_2026_JAN_GAS1_VINTAGE</v>
      </c>
      <c r="C170" s="81" t="s">
        <v>762</v>
      </c>
      <c r="D170" s="82"/>
      <c r="E170" s="86">
        <v>0.17271157167117501</v>
      </c>
      <c r="F170" s="86">
        <v>0.16968325791080499</v>
      </c>
      <c r="G170" s="86">
        <v>0.16920473772897701</v>
      </c>
      <c r="H170" s="86">
        <v>0.176159718141359</v>
      </c>
      <c r="I170" s="86">
        <v>0.17761989342176501</v>
      </c>
      <c r="J170" s="86">
        <v>0.17162471396054599</v>
      </c>
      <c r="K170" s="86">
        <v>0.16703786192407299</v>
      </c>
      <c r="L170" s="86">
        <v>0.16510731974394</v>
      </c>
      <c r="M170" s="86">
        <v>0.16402405687063701</v>
      </c>
      <c r="N170" s="86">
        <v>0.16713091922530099</v>
      </c>
      <c r="O170" s="86">
        <v>0.16008537887299201</v>
      </c>
      <c r="P170" s="86">
        <v>0.14534883718951699</v>
      </c>
      <c r="Q170" s="86">
        <v>0.128976784185933</v>
      </c>
      <c r="R170" s="86">
        <v>0.12903225805454499</v>
      </c>
      <c r="S170" s="86">
        <v>0.12160518848002699</v>
      </c>
      <c r="T170" s="86">
        <v>0.117233294234859</v>
      </c>
      <c r="U170" s="86">
        <v>0.11565150346160701</v>
      </c>
      <c r="V170" s="86">
        <v>0.121114251090366</v>
      </c>
      <c r="W170" s="86">
        <v>0.120192307687287</v>
      </c>
      <c r="X170" s="86">
        <v>0.119379228006451</v>
      </c>
      <c r="Y170" s="86">
        <v>0.11848341233236601</v>
      </c>
      <c r="Z170" s="86">
        <v>0.117370892031791</v>
      </c>
      <c r="AA170" s="86">
        <v>0.12557555461896899</v>
      </c>
      <c r="AB170" s="86">
        <v>0.12249897917449799</v>
      </c>
      <c r="AC170" s="86">
        <v>0.12760527434006499</v>
      </c>
      <c r="AD170" s="86">
        <v>0.12474012474018201</v>
      </c>
      <c r="AE170" s="86">
        <v>0.121408336695119</v>
      </c>
      <c r="AF170" s="86">
        <v>0.11848341232048699</v>
      </c>
      <c r="AG170" s="86">
        <v>0.11659541393216701</v>
      </c>
      <c r="AH170" s="86">
        <v>0.11565150350895299</v>
      </c>
      <c r="AI170" s="86">
        <v>0.112824370080039</v>
      </c>
      <c r="AJ170" s="86">
        <v>0.109729334309178</v>
      </c>
      <c r="AK170" s="86">
        <v>0.105411103308287</v>
      </c>
      <c r="AL170" s="86">
        <v>9.9800399169742302E-2</v>
      </c>
      <c r="AM170" s="86">
        <v>0.10952902520184001</v>
      </c>
      <c r="AN170" s="86">
        <v>0.11078286559579199</v>
      </c>
      <c r="AO170" s="86">
        <v>0.117416829746376</v>
      </c>
      <c r="AP170" s="86">
        <v>0.11956954960829801</v>
      </c>
      <c r="AQ170" s="86">
        <v>0.114155251141945</v>
      </c>
      <c r="AR170" s="86">
        <v>0.114678899083158</v>
      </c>
      <c r="AS170" s="86">
        <v>0.11299435025556</v>
      </c>
      <c r="AT170" s="86">
        <v>0.10619469029406201</v>
      </c>
      <c r="AU170" s="86">
        <v>0.100066711146705</v>
      </c>
      <c r="AV170" s="86">
        <v>9.8071265120711196E-2</v>
      </c>
      <c r="AW170" s="86">
        <v>9.7688049485217004E-2</v>
      </c>
      <c r="AX170" s="86">
        <v>9.3457943928159801E-2</v>
      </c>
      <c r="AY170" s="86">
        <v>9.5419847334166405E-2</v>
      </c>
      <c r="AZ170" s="86">
        <v>9.2279298666697401E-2</v>
      </c>
      <c r="BA170" s="86">
        <v>9.5087163255461696E-2</v>
      </c>
      <c r="BB170" s="86">
        <v>9.3109869637335502E-2</v>
      </c>
      <c r="BC170" s="86">
        <v>9.3399750940964796E-2</v>
      </c>
      <c r="BD170" s="86">
        <v>9.0744101646343306E-2</v>
      </c>
      <c r="BE170" s="86">
        <v>9.0279867587235496E-2</v>
      </c>
      <c r="BF170" s="86">
        <v>9.7055968922423394E-2</v>
      </c>
      <c r="BG170" s="86">
        <v>9.9009901010940801E-2</v>
      </c>
      <c r="BH170" s="86">
        <v>9.9062851585300996E-2</v>
      </c>
      <c r="BI170" s="86">
        <v>9.8209262854033599E-2</v>
      </c>
      <c r="BJ170" s="86">
        <v>9.8133597408128395E-2</v>
      </c>
      <c r="BK170" s="86">
        <v>9.8128313235304104E-2</v>
      </c>
      <c r="BL170" s="86">
        <v>9.8159603258139702E-2</v>
      </c>
      <c r="BM170" s="86">
        <v>9.8139790086140405E-2</v>
      </c>
      <c r="BN170" s="86">
        <v>9.81530184988086E-2</v>
      </c>
      <c r="BO170" s="86">
        <v>9.8147916755531903E-2</v>
      </c>
      <c r="BP170" s="86">
        <v>9.8134944645121E-2</v>
      </c>
      <c r="BQ170" s="86">
        <v>9.8120070541305698E-2</v>
      </c>
      <c r="BR170" s="86">
        <v>9.8119795668151696E-2</v>
      </c>
      <c r="BS170" s="86">
        <v>9.8129023412105498E-2</v>
      </c>
      <c r="BT170" s="86">
        <v>9.8144876750089594E-2</v>
      </c>
    </row>
    <row r="171" spans="1:72" x14ac:dyDescent="0.65">
      <c r="A171" s="82" t="s">
        <v>58</v>
      </c>
      <c r="B171" s="81" t="str">
        <f t="shared" si="4"/>
        <v>IMF.RES.GAS:GAS_LIVE_2026_JAN_GAS1_VINTAGE</v>
      </c>
      <c r="C171" s="81" t="s">
        <v>763</v>
      </c>
      <c r="D171" s="82"/>
      <c r="E171" s="86">
        <v>0.14806435467948401</v>
      </c>
      <c r="F171" s="86">
        <v>0.14385170614510201</v>
      </c>
      <c r="G171" s="86">
        <v>0.14822712942013899</v>
      </c>
      <c r="H171" s="86">
        <v>0.15041582455651301</v>
      </c>
      <c r="I171" s="86">
        <v>0.155462001979528</v>
      </c>
      <c r="J171" s="86">
        <v>0.15250148181658299</v>
      </c>
      <c r="K171" s="86">
        <v>0.15257407727727201</v>
      </c>
      <c r="L171" s="86">
        <v>0.15356406848307799</v>
      </c>
      <c r="M171" s="86">
        <v>0.154629769958637</v>
      </c>
      <c r="N171" s="86">
        <v>0.15148233035058101</v>
      </c>
      <c r="O171" s="86">
        <v>0.14391505559158599</v>
      </c>
      <c r="P171" s="86">
        <v>0.134660064126541</v>
      </c>
      <c r="Q171" s="86">
        <v>0.120000768025857</v>
      </c>
      <c r="R171" s="86">
        <v>0.11872588133834</v>
      </c>
      <c r="S171" s="86">
        <v>0.11787087481396</v>
      </c>
      <c r="T171" s="86">
        <v>0.117654533329803</v>
      </c>
      <c r="U171" s="86">
        <v>0.118116142061271</v>
      </c>
      <c r="V171" s="86">
        <v>0.121713087385817</v>
      </c>
      <c r="W171" s="86">
        <v>0.11738287832548799</v>
      </c>
      <c r="X171" s="86">
        <v>0.110539376884423</v>
      </c>
      <c r="Y171" s="86">
        <v>0.112005913942281</v>
      </c>
      <c r="Z171" s="86">
        <v>0.113564654432495</v>
      </c>
      <c r="AA171" s="86">
        <v>0.122843683860654</v>
      </c>
      <c r="AB171" s="86">
        <v>0.120172664069047</v>
      </c>
      <c r="AC171" s="86">
        <v>0.12326904579356</v>
      </c>
      <c r="AD171" s="86">
        <v>0.115352849010438</v>
      </c>
      <c r="AE171" s="86">
        <v>0.11176514416889601</v>
      </c>
      <c r="AF171" s="86">
        <v>0.11060295198167799</v>
      </c>
      <c r="AG171" s="86">
        <v>0.108955566475614</v>
      </c>
      <c r="AH171" s="86">
        <v>0.105865215247213</v>
      </c>
      <c r="AI171" s="86">
        <v>0.104224207149194</v>
      </c>
      <c r="AJ171" s="86">
        <v>0.104007729838411</v>
      </c>
      <c r="AK171" s="86">
        <v>0.10332280279870899</v>
      </c>
      <c r="AL171" s="86">
        <v>0.10323292194047699</v>
      </c>
      <c r="AM171" s="86">
        <v>0.112803652688686</v>
      </c>
      <c r="AN171" s="86">
        <v>0.11613003157747701</v>
      </c>
      <c r="AO171" s="86">
        <v>0.11913575607190401</v>
      </c>
      <c r="AP171" s="86">
        <v>0.118897653429303</v>
      </c>
      <c r="AQ171" s="86">
        <v>0.115622733527045</v>
      </c>
      <c r="AR171" s="86">
        <v>0.11295519107240699</v>
      </c>
      <c r="AS171" s="86">
        <v>0.107082650022569</v>
      </c>
      <c r="AT171" s="86">
        <v>0.10166086664849699</v>
      </c>
      <c r="AU171" s="86">
        <v>9.4773121743875102E-2</v>
      </c>
      <c r="AV171" s="86">
        <v>9.3194190962920198E-2</v>
      </c>
      <c r="AW171" s="86">
        <v>9.5780449761869099E-2</v>
      </c>
      <c r="AX171" s="86">
        <v>9.5015992114395903E-2</v>
      </c>
      <c r="AY171" s="86">
        <v>9.2489943609755307E-2</v>
      </c>
      <c r="AZ171" s="86">
        <v>9.3777217544327607E-2</v>
      </c>
      <c r="BA171" s="86">
        <v>9.6252278700346902E-2</v>
      </c>
      <c r="BB171" s="86">
        <v>9.3629587509113696E-2</v>
      </c>
      <c r="BC171" s="86">
        <v>9.5950798657263595E-2</v>
      </c>
      <c r="BD171" s="86">
        <v>9.2774803423600005E-2</v>
      </c>
      <c r="BE171" s="86">
        <v>9.3630264235843502E-2</v>
      </c>
      <c r="BF171" s="86">
        <v>0.103455189874793</v>
      </c>
      <c r="BG171" s="86">
        <v>0.10503021395744699</v>
      </c>
      <c r="BH171" s="86">
        <v>0.10566476615430399</v>
      </c>
      <c r="BI171" s="86">
        <v>0.105692528560188</v>
      </c>
      <c r="BJ171" s="86">
        <v>0.10584794072473799</v>
      </c>
      <c r="BK171" s="86">
        <v>0.105947055201766</v>
      </c>
      <c r="BL171" s="86">
        <v>0.106012671926279</v>
      </c>
      <c r="BM171" s="86">
        <v>0.106146735794304</v>
      </c>
      <c r="BN171" s="86">
        <v>0.106207969857142</v>
      </c>
      <c r="BO171" s="86">
        <v>0.106276447313436</v>
      </c>
      <c r="BP171" s="86">
        <v>0.106348304060498</v>
      </c>
      <c r="BQ171" s="86">
        <v>0.106415085235462</v>
      </c>
      <c r="BR171" s="86">
        <v>0.10648317653706001</v>
      </c>
      <c r="BS171" s="86">
        <v>0.106548227314436</v>
      </c>
      <c r="BT171" s="86">
        <v>0.106611351892484</v>
      </c>
    </row>
    <row r="172" spans="1:72" x14ac:dyDescent="0.65">
      <c r="A172" s="82" t="s">
        <v>14</v>
      </c>
      <c r="B172" s="81" t="str">
        <f t="shared" si="4"/>
        <v>IMF.RES.GAS:GAS_LIVE_2026_JAN_GAS1_VINTAGE</v>
      </c>
      <c r="C172" s="81" t="s">
        <v>764</v>
      </c>
      <c r="D172" s="82"/>
      <c r="E172" s="86">
        <v>1.0856259503366401</v>
      </c>
      <c r="F172" s="86">
        <v>1.0678165854227599</v>
      </c>
      <c r="G172" s="86">
        <v>1.03954983814874</v>
      </c>
      <c r="H172" s="86">
        <v>1.0739234247304601</v>
      </c>
      <c r="I172" s="86">
        <v>1.07479407087319</v>
      </c>
      <c r="J172" s="86">
        <v>1.0617806268732</v>
      </c>
      <c r="K172" s="86">
        <v>1.07302085782006</v>
      </c>
      <c r="L172" s="86">
        <v>1.1068792216816601</v>
      </c>
      <c r="M172" s="86">
        <v>1.1197741904257601</v>
      </c>
      <c r="N172" s="86">
        <v>1.1253100629074699</v>
      </c>
      <c r="O172" s="86">
        <v>1.08862298270336</v>
      </c>
      <c r="P172" s="86">
        <v>1.0369879485381399</v>
      </c>
      <c r="Q172" s="86">
        <v>1.0497439024753199</v>
      </c>
      <c r="R172" s="86">
        <v>1.06221091514156</v>
      </c>
      <c r="S172" s="86">
        <v>1.0365630798022401</v>
      </c>
      <c r="T172" s="86">
        <v>1.0093335334354401</v>
      </c>
      <c r="U172" s="86">
        <v>1.0052777350170099</v>
      </c>
      <c r="V172" s="86">
        <v>1.0303895785694099</v>
      </c>
      <c r="W172" s="86">
        <v>1.02512489507724</v>
      </c>
      <c r="X172" s="86">
        <v>0.99917068825730704</v>
      </c>
      <c r="Y172" s="86">
        <v>0.99588368081238798</v>
      </c>
      <c r="Z172" s="86">
        <v>1.0149879893167699</v>
      </c>
      <c r="AA172" s="86">
        <v>1.0388890809862501</v>
      </c>
      <c r="AB172" s="86">
        <v>1.0133423410067299</v>
      </c>
      <c r="AC172" s="86">
        <v>1.05529759378781</v>
      </c>
      <c r="AD172" s="86">
        <v>1.01557554359669</v>
      </c>
      <c r="AE172" s="86">
        <v>1.0165735370628299</v>
      </c>
      <c r="AF172" s="86">
        <v>1.00441271968624</v>
      </c>
      <c r="AG172" s="86">
        <v>1.0028916708367599</v>
      </c>
      <c r="AH172" s="86">
        <v>0.99793427606836504</v>
      </c>
      <c r="AI172" s="86">
        <v>1.0146344102934199</v>
      </c>
      <c r="AJ172" s="86">
        <v>1.0100261932652099</v>
      </c>
      <c r="AK172" s="86">
        <v>1.0333211633203001</v>
      </c>
      <c r="AL172" s="86">
        <v>1.03707544732851</v>
      </c>
      <c r="AM172" s="86">
        <v>1.0873268432708101</v>
      </c>
      <c r="AN172" s="86">
        <v>1.1059867061109401</v>
      </c>
      <c r="AO172" s="86">
        <v>1.1056524637587</v>
      </c>
      <c r="AP172" s="86">
        <v>1.0981086905022699</v>
      </c>
      <c r="AQ172" s="86">
        <v>1.0891071137819801</v>
      </c>
      <c r="AR172" s="86">
        <v>1.0844810757447501</v>
      </c>
      <c r="AS172" s="86">
        <v>1.08263773875095</v>
      </c>
      <c r="AT172" s="86">
        <v>1.03670989755967</v>
      </c>
      <c r="AU172" s="86">
        <v>1.03461119305297</v>
      </c>
      <c r="AV172" s="86">
        <v>1.0367815535139799</v>
      </c>
      <c r="AW172" s="86">
        <v>1.08150978757495</v>
      </c>
      <c r="AX172" s="86">
        <v>1.1129660544748801</v>
      </c>
      <c r="AY172" s="86">
        <v>1.1317338162830699</v>
      </c>
      <c r="AZ172" s="86">
        <v>1.1271076914567699</v>
      </c>
      <c r="BA172" s="86">
        <v>1.1435105772162399</v>
      </c>
      <c r="BB172" s="86">
        <v>1.1058766285887101</v>
      </c>
      <c r="BC172" s="86">
        <v>1.1552012939405201</v>
      </c>
      <c r="BD172" s="86">
        <v>1.1397916459284501</v>
      </c>
      <c r="BE172" s="86">
        <v>1.11242954611224</v>
      </c>
      <c r="BF172" s="86">
        <v>1.2097701033549799</v>
      </c>
      <c r="BG172" s="86">
        <v>1.24952275209171</v>
      </c>
      <c r="BH172" s="86">
        <v>1.25030739708834</v>
      </c>
      <c r="BI172" s="86">
        <v>1.2536721056452</v>
      </c>
      <c r="BJ172" s="86">
        <v>1.25927702547788</v>
      </c>
      <c r="BK172" s="86">
        <v>1.26468831846024</v>
      </c>
      <c r="BL172" s="86">
        <v>1.2700268663076999</v>
      </c>
      <c r="BM172" s="86">
        <v>1.27520214060504</v>
      </c>
      <c r="BN172" s="86">
        <v>1.28071979316086</v>
      </c>
      <c r="BO172" s="86">
        <v>1.2863708367648901</v>
      </c>
      <c r="BP172" s="86">
        <v>1.29213010972525</v>
      </c>
      <c r="BQ172" s="86">
        <v>1.2974384775171299</v>
      </c>
      <c r="BR172" s="86">
        <v>1.30334112327431</v>
      </c>
      <c r="BS172" s="86">
        <v>1.3092937039022099</v>
      </c>
      <c r="BT172" s="86">
        <v>1.31528693021537</v>
      </c>
    </row>
    <row r="173" spans="1:72" x14ac:dyDescent="0.65">
      <c r="A173" s="82" t="s">
        <v>102</v>
      </c>
      <c r="B173" s="81" t="str">
        <f t="shared" si="4"/>
        <v>IMF.RES.GAS:GAS_LIVE_2026_JAN_GAS1_VINTAGE</v>
      </c>
      <c r="C173" s="81" t="s">
        <v>765</v>
      </c>
      <c r="D173" s="82"/>
      <c r="E173" s="86">
        <v>1.31099862933333</v>
      </c>
      <c r="F173" s="86">
        <v>1.2825643879999999</v>
      </c>
      <c r="G173" s="86">
        <v>1.251470369</v>
      </c>
      <c r="H173" s="86">
        <v>1.29737565333333</v>
      </c>
      <c r="I173" s="86">
        <v>1.3203565150000001</v>
      </c>
      <c r="J173" s="86">
        <v>1.3065598483333301</v>
      </c>
      <c r="K173" s="86">
        <v>1.3245845063333299</v>
      </c>
      <c r="L173" s="86">
        <v>1.3610487093333301</v>
      </c>
      <c r="M173" s="86">
        <v>1.3697083693333301</v>
      </c>
      <c r="N173" s="86">
        <v>1.3712341269999999</v>
      </c>
      <c r="O173" s="86">
        <v>1.3252210929999999</v>
      </c>
      <c r="P173" s="86">
        <v>1.2492090819999999</v>
      </c>
      <c r="Q173" s="86">
        <v>1.126955505</v>
      </c>
      <c r="R173" s="86">
        <v>1.104735909</v>
      </c>
      <c r="S173" s="86">
        <v>1.11186706833333</v>
      </c>
      <c r="T173" s="86">
        <v>1.0949424243333299</v>
      </c>
      <c r="U173" s="86">
        <v>1.1017423016666601</v>
      </c>
      <c r="V173" s="86">
        <v>1.12930634933333</v>
      </c>
      <c r="W173" s="86">
        <v>1.1164117950000001</v>
      </c>
      <c r="X173" s="86">
        <v>1.078930231</v>
      </c>
      <c r="Y173" s="86">
        <v>1.0647251579999999</v>
      </c>
      <c r="Z173" s="86">
        <v>1.1003207073333301</v>
      </c>
      <c r="AA173" s="86">
        <v>1.1744151140000001</v>
      </c>
      <c r="AB173" s="86">
        <v>1.177669139</v>
      </c>
      <c r="AC173" s="86">
        <v>1.2294496826666601</v>
      </c>
      <c r="AD173" s="86">
        <v>1.1922270993333299</v>
      </c>
      <c r="AE173" s="86">
        <v>1.163112793</v>
      </c>
      <c r="AF173" s="86">
        <v>1.1411705883333301</v>
      </c>
      <c r="AG173" s="86">
        <v>1.13566784266666</v>
      </c>
      <c r="AH173" s="86">
        <v>1.123874697</v>
      </c>
      <c r="AI173" s="86">
        <v>1.11161744433333</v>
      </c>
      <c r="AJ173" s="86">
        <v>1.1072322533333301</v>
      </c>
      <c r="AK173" s="86">
        <v>1.1022924243333301</v>
      </c>
      <c r="AL173" s="86">
        <v>1.1006113636666599</v>
      </c>
      <c r="AM173" s="86">
        <v>1.1694631876666599</v>
      </c>
      <c r="AN173" s="86">
        <v>1.1927604616666601</v>
      </c>
      <c r="AO173" s="86">
        <v>1.20559456533333</v>
      </c>
      <c r="AP173" s="86">
        <v>1.2057365223333301</v>
      </c>
      <c r="AQ173" s="86">
        <v>1.1787984846666599</v>
      </c>
      <c r="AR173" s="86">
        <v>1.1439768083333299</v>
      </c>
      <c r="AS173" s="86">
        <v>1.12251109033333</v>
      </c>
      <c r="AT173" s="86">
        <v>1.06543516733333</v>
      </c>
      <c r="AU173" s="86">
        <v>1.00703707556666</v>
      </c>
      <c r="AV173" s="86">
        <v>1.0205249639</v>
      </c>
      <c r="AW173" s="86">
        <v>1.0729975363333299</v>
      </c>
      <c r="AX173" s="86">
        <v>1.0891695286666601</v>
      </c>
      <c r="AY173" s="86">
        <v>1.0883607316666599</v>
      </c>
      <c r="AZ173" s="86">
        <v>1.07579417833333</v>
      </c>
      <c r="BA173" s="86">
        <v>1.0857350216666599</v>
      </c>
      <c r="BB173" s="86">
        <v>1.0766329723333301</v>
      </c>
      <c r="BC173" s="86">
        <v>1.0987422926666599</v>
      </c>
      <c r="BD173" s="86">
        <v>1.0671080230000001</v>
      </c>
      <c r="BE173" s="86">
        <v>1.05243455966666</v>
      </c>
      <c r="BF173" s="86">
        <v>1.13360627</v>
      </c>
      <c r="BG173" s="86">
        <v>1.1680176046666599</v>
      </c>
      <c r="BH173" s="86">
        <v>1.1593843123435801</v>
      </c>
      <c r="BI173" s="86">
        <v>1.1587430402980099</v>
      </c>
      <c r="BJ173" s="86">
        <v>1.15844397575386</v>
      </c>
      <c r="BK173" s="86">
        <v>1.15772099163408</v>
      </c>
      <c r="BL173" s="86">
        <v>1.15680801618038</v>
      </c>
      <c r="BM173" s="86">
        <v>1.1559632961597299</v>
      </c>
      <c r="BN173" s="86">
        <v>1.15530413974099</v>
      </c>
      <c r="BO173" s="86">
        <v>1.1548449011869799</v>
      </c>
      <c r="BP173" s="86">
        <v>1.15452432066974</v>
      </c>
      <c r="BQ173" s="86">
        <v>1.1538078276616099</v>
      </c>
      <c r="BR173" s="86">
        <v>1.15359589919767</v>
      </c>
      <c r="BS173" s="86">
        <v>1.1534002139529</v>
      </c>
      <c r="BT173" s="86">
        <v>1.1532180996849899</v>
      </c>
    </row>
    <row r="174" spans="1:72" x14ac:dyDescent="0.65">
      <c r="A174" s="82" t="s">
        <v>110</v>
      </c>
      <c r="B174" s="81" t="str">
        <f t="shared" si="4"/>
        <v>IMF.RES.GAS:GAS_LIVE_2026_JAN_GAS1_VINTAGE</v>
      </c>
      <c r="C174" s="81" t="s">
        <v>766</v>
      </c>
      <c r="D174" s="82"/>
      <c r="E174" s="86">
        <v>0.22049414106145601</v>
      </c>
      <c r="F174" s="86">
        <v>0.215711844971096</v>
      </c>
      <c r="G174" s="86">
        <v>0.21048220639013199</v>
      </c>
      <c r="H174" s="86">
        <v>0.21820292097578101</v>
      </c>
      <c r="I174" s="86">
        <v>0.222068024447797</v>
      </c>
      <c r="J174" s="86">
        <v>0.219747591689049</v>
      </c>
      <c r="K174" s="86">
        <v>0.222779121543247</v>
      </c>
      <c r="L174" s="86">
        <v>0.228911960235889</v>
      </c>
      <c r="M174" s="86">
        <v>0.23036841049515</v>
      </c>
      <c r="N174" s="86">
        <v>0.23062502451339001</v>
      </c>
      <c r="O174" s="86">
        <v>0.22288618773472699</v>
      </c>
      <c r="P174" s="86">
        <v>0.21010188521846701</v>
      </c>
      <c r="Q174" s="86">
        <v>0.18954030960033499</v>
      </c>
      <c r="R174" s="86">
        <v>0.185803241822282</v>
      </c>
      <c r="S174" s="86">
        <v>0.18700261672382201</v>
      </c>
      <c r="T174" s="86">
        <v>0.18415609594336299</v>
      </c>
      <c r="U174" s="86">
        <v>0.18529975321224901</v>
      </c>
      <c r="V174" s="86">
        <v>0.18993569323419199</v>
      </c>
      <c r="W174" s="86">
        <v>0.18776698487822299</v>
      </c>
      <c r="X174" s="86">
        <v>0.181463038348529</v>
      </c>
      <c r="Y174" s="86">
        <v>0.17907391657542401</v>
      </c>
      <c r="Z174" s="86">
        <v>0.18506065820905601</v>
      </c>
      <c r="AA174" s="86">
        <v>0.197522442828719</v>
      </c>
      <c r="AB174" s="86">
        <v>0.19806973054612301</v>
      </c>
      <c r="AC174" s="86">
        <v>0.20677859281646899</v>
      </c>
      <c r="AD174" s="86">
        <v>0.20051820370809501</v>
      </c>
      <c r="AE174" s="86">
        <v>0.195621528895526</v>
      </c>
      <c r="AF174" s="86">
        <v>0.191931114990646</v>
      </c>
      <c r="AG174" s="86">
        <v>0.19100561960712401</v>
      </c>
      <c r="AH174" s="86">
        <v>0.189022154890989</v>
      </c>
      <c r="AI174" s="86">
        <v>0.18696063298086699</v>
      </c>
      <c r="AJ174" s="86">
        <v>0.18622309679943899</v>
      </c>
      <c r="AK174" s="86">
        <v>0.185392277202855</v>
      </c>
      <c r="AL174" s="86">
        <v>0.18510954309507199</v>
      </c>
      <c r="AM174" s="86">
        <v>0.196689588606725</v>
      </c>
      <c r="AN174" s="86">
        <v>0.20060790881299101</v>
      </c>
      <c r="AO174" s="86">
        <v>0.20276645009668001</v>
      </c>
      <c r="AP174" s="86">
        <v>0.202790325550156</v>
      </c>
      <c r="AQ174" s="86">
        <v>0.19825967285205801</v>
      </c>
      <c r="AR174" s="86">
        <v>0.19240308731364</v>
      </c>
      <c r="AS174" s="86">
        <v>0.18879281271321299</v>
      </c>
      <c r="AT174" s="86">
        <v>0.17919333157296599</v>
      </c>
      <c r="AU174" s="86">
        <v>0.16937147760942101</v>
      </c>
      <c r="AV174" s="86">
        <v>0.171639977580549</v>
      </c>
      <c r="AW174" s="86">
        <v>0.180465230734213</v>
      </c>
      <c r="AX174" s="86">
        <v>0.18318516459150799</v>
      </c>
      <c r="AY174" s="86">
        <v>0.183049134701149</v>
      </c>
      <c r="AZ174" s="86">
        <v>0.180935592153248</v>
      </c>
      <c r="BA174" s="86">
        <v>0.18260752198076</v>
      </c>
      <c r="BB174" s="86">
        <v>0.18107666717683599</v>
      </c>
      <c r="BC174" s="86">
        <v>0.18479518791917299</v>
      </c>
      <c r="BD174" s="86">
        <v>0.179474685698812</v>
      </c>
      <c r="BE174" s="86">
        <v>0.17700678632677</v>
      </c>
      <c r="BF174" s="86">
        <v>0.190658887975067</v>
      </c>
      <c r="BG174" s="86">
        <v>0.196446458999427</v>
      </c>
      <c r="BH174" s="86">
        <v>0.19507125036912301</v>
      </c>
      <c r="BI174" s="86">
        <v>0.19550813970720499</v>
      </c>
      <c r="BJ174" s="86">
        <v>0.19555273443577101</v>
      </c>
      <c r="BK174" s="86">
        <v>0.195506327332682</v>
      </c>
      <c r="BL174" s="86">
        <v>0.19543304793069</v>
      </c>
      <c r="BM174" s="86">
        <v>0.19527407199121499</v>
      </c>
      <c r="BN174" s="86">
        <v>0.19531740202313899</v>
      </c>
      <c r="BO174" s="86">
        <v>0.19541879122288799</v>
      </c>
      <c r="BP174" s="86">
        <v>0.195539793419446</v>
      </c>
      <c r="BQ174" s="86">
        <v>0.19571221575244699</v>
      </c>
      <c r="BR174" s="86">
        <v>0.195767290921433</v>
      </c>
      <c r="BS174" s="86">
        <v>0.195777158217393</v>
      </c>
      <c r="BT174" s="86">
        <v>0.195751820937378</v>
      </c>
    </row>
    <row r="175" spans="1:72" x14ac:dyDescent="0.65">
      <c r="A175" s="82" t="s">
        <v>103</v>
      </c>
      <c r="B175" s="81" t="str">
        <f t="shared" si="4"/>
        <v>IMF.RES.GAS:GAS_LIVE_2026_JAN_GAS1_VINTAGE</v>
      </c>
      <c r="C175" s="81" t="s">
        <v>767</v>
      </c>
      <c r="D175" s="82"/>
      <c r="E175" s="86">
        <v>1.31099862933333</v>
      </c>
      <c r="F175" s="86">
        <v>1.2825643879999999</v>
      </c>
      <c r="G175" s="86">
        <v>1.251470369</v>
      </c>
      <c r="H175" s="86">
        <v>1.29737565333333</v>
      </c>
      <c r="I175" s="86">
        <v>1.3203565150000001</v>
      </c>
      <c r="J175" s="86">
        <v>1.3065598483333301</v>
      </c>
      <c r="K175" s="86">
        <v>1.3245845063333299</v>
      </c>
      <c r="L175" s="86">
        <v>1.3610487093333301</v>
      </c>
      <c r="M175" s="86">
        <v>1.3697083693333301</v>
      </c>
      <c r="N175" s="86">
        <v>1.3712341269999999</v>
      </c>
      <c r="O175" s="86">
        <v>1.3252210929999999</v>
      </c>
      <c r="P175" s="86">
        <v>1.2492090819999999</v>
      </c>
      <c r="Q175" s="86">
        <v>1.126955505</v>
      </c>
      <c r="R175" s="86">
        <v>1.104735909</v>
      </c>
      <c r="S175" s="86">
        <v>1.11186706833333</v>
      </c>
      <c r="T175" s="86">
        <v>1.0949424243333299</v>
      </c>
      <c r="U175" s="86">
        <v>1.1017423016666601</v>
      </c>
      <c r="V175" s="86">
        <v>1.12930634933333</v>
      </c>
      <c r="W175" s="86">
        <v>1.1164117950000001</v>
      </c>
      <c r="X175" s="86">
        <v>1.078930231</v>
      </c>
      <c r="Y175" s="86">
        <v>1.0647251579999999</v>
      </c>
      <c r="Z175" s="86">
        <v>1.1003207073333301</v>
      </c>
      <c r="AA175" s="86">
        <v>1.1744151140000001</v>
      </c>
      <c r="AB175" s="86">
        <v>1.177669139</v>
      </c>
      <c r="AC175" s="86">
        <v>1.2294496826666601</v>
      </c>
      <c r="AD175" s="86">
        <v>1.1922270993333299</v>
      </c>
      <c r="AE175" s="86">
        <v>1.163112793</v>
      </c>
      <c r="AF175" s="86">
        <v>1.1411705883333301</v>
      </c>
      <c r="AG175" s="86">
        <v>1.13566784266666</v>
      </c>
      <c r="AH175" s="86">
        <v>1.123874697</v>
      </c>
      <c r="AI175" s="86">
        <v>1.11161744433333</v>
      </c>
      <c r="AJ175" s="86">
        <v>1.1072322533333301</v>
      </c>
      <c r="AK175" s="86">
        <v>1.1022924243333301</v>
      </c>
      <c r="AL175" s="86">
        <v>1.1006113636666599</v>
      </c>
      <c r="AM175" s="86">
        <v>1.1694631876666599</v>
      </c>
      <c r="AN175" s="86">
        <v>1.1927604616666601</v>
      </c>
      <c r="AO175" s="86">
        <v>1.20559456533333</v>
      </c>
      <c r="AP175" s="86">
        <v>1.2057365223333301</v>
      </c>
      <c r="AQ175" s="86">
        <v>1.1787984846666599</v>
      </c>
      <c r="AR175" s="86">
        <v>1.1439768083333299</v>
      </c>
      <c r="AS175" s="86">
        <v>1.12251109033333</v>
      </c>
      <c r="AT175" s="86">
        <v>1.06543516733333</v>
      </c>
      <c r="AU175" s="86">
        <v>1.00703707556666</v>
      </c>
      <c r="AV175" s="86">
        <v>1.0205249639</v>
      </c>
      <c r="AW175" s="86">
        <v>1.0729975363333299</v>
      </c>
      <c r="AX175" s="86">
        <v>1.0891695286666601</v>
      </c>
      <c r="AY175" s="86">
        <v>1.0883607316666599</v>
      </c>
      <c r="AZ175" s="86">
        <v>1.07579417833333</v>
      </c>
      <c r="BA175" s="86">
        <v>1.0857350216666599</v>
      </c>
      <c r="BB175" s="86">
        <v>1.0766329723333301</v>
      </c>
      <c r="BC175" s="86">
        <v>1.0987422926666599</v>
      </c>
      <c r="BD175" s="86">
        <v>1.0671080230000001</v>
      </c>
      <c r="BE175" s="86">
        <v>1.05243455966666</v>
      </c>
      <c r="BF175" s="86">
        <v>1.13360627</v>
      </c>
      <c r="BG175" s="86">
        <v>1.1680176046666599</v>
      </c>
      <c r="BH175" s="86">
        <v>1.1593843123435801</v>
      </c>
      <c r="BI175" s="86">
        <v>1.1587430402980099</v>
      </c>
      <c r="BJ175" s="86">
        <v>1.15844397575386</v>
      </c>
      <c r="BK175" s="86">
        <v>1.15772099163408</v>
      </c>
      <c r="BL175" s="86">
        <v>1.15680801618038</v>
      </c>
      <c r="BM175" s="86">
        <v>1.1559632961597299</v>
      </c>
      <c r="BN175" s="86">
        <v>1.15530413974099</v>
      </c>
      <c r="BO175" s="86">
        <v>1.1548449011869799</v>
      </c>
      <c r="BP175" s="86">
        <v>1.15452432066974</v>
      </c>
      <c r="BQ175" s="86">
        <v>1.1538078276616099</v>
      </c>
      <c r="BR175" s="86">
        <v>1.15359589919767</v>
      </c>
      <c r="BS175" s="86">
        <v>1.1534002139529</v>
      </c>
      <c r="BT175" s="86">
        <v>1.1532180996849899</v>
      </c>
    </row>
    <row r="176" spans="1:72" x14ac:dyDescent="0.65">
      <c r="A176" s="82" t="s">
        <v>111</v>
      </c>
      <c r="B176" s="81" t="str">
        <f t="shared" si="4"/>
        <v>IMF.RES.GAS:GAS_LIVE_2026_JAN_GAS1_VINTAGE</v>
      </c>
      <c r="C176" s="81" t="s">
        <v>768</v>
      </c>
      <c r="D176" s="82"/>
      <c r="E176" s="86">
        <v>3.8473914287111702E-3</v>
      </c>
      <c r="F176" s="86">
        <v>3.76394537931034E-3</v>
      </c>
      <c r="G176" s="86">
        <v>3.6726936727806301E-3</v>
      </c>
      <c r="H176" s="86">
        <v>3.8074120420640701E-3</v>
      </c>
      <c r="I176" s="86">
        <v>3.8748540425531902E-3</v>
      </c>
      <c r="J176" s="86">
        <v>3.8343649254096298E-3</v>
      </c>
      <c r="K176" s="86">
        <v>3.8872619408168202E-3</v>
      </c>
      <c r="L176" s="86">
        <v>3.99427354169723E-3</v>
      </c>
      <c r="M176" s="86">
        <v>4.0196870706774197E-3</v>
      </c>
      <c r="N176" s="86">
        <v>4.0241647160674902E-3</v>
      </c>
      <c r="O176" s="86">
        <v>3.8891301335289802E-3</v>
      </c>
      <c r="P176" s="86">
        <v>3.66605746735143E-3</v>
      </c>
      <c r="Q176" s="86">
        <v>3.3072795451210501E-3</v>
      </c>
      <c r="R176" s="86">
        <v>3.2420716331621399E-3</v>
      </c>
      <c r="S176" s="86">
        <v>3.26299946686231E-3</v>
      </c>
      <c r="T176" s="86">
        <v>3.2133306656884301E-3</v>
      </c>
      <c r="U176" s="86">
        <v>3.2332862851552902E-3</v>
      </c>
      <c r="V176" s="86">
        <v>3.31417857471264E-3</v>
      </c>
      <c r="W176" s="86">
        <v>3.2763368892149598E-3</v>
      </c>
      <c r="X176" s="86">
        <v>3.1663396360968399E-3</v>
      </c>
      <c r="Y176" s="86">
        <v>3.1246519677182601E-3</v>
      </c>
      <c r="Z176" s="86">
        <v>3.2291143281976001E-3</v>
      </c>
      <c r="AA176" s="86">
        <v>3.4465593954512101E-3</v>
      </c>
      <c r="AB176" s="86">
        <v>3.45610899192956E-3</v>
      </c>
      <c r="AC176" s="86">
        <v>3.6080695015896298E-3</v>
      </c>
      <c r="AD176" s="86">
        <v>3.4988322797749999E-3</v>
      </c>
      <c r="AE176" s="86">
        <v>3.41339044167278E-3</v>
      </c>
      <c r="AF176" s="86">
        <v>3.3489965908535101E-3</v>
      </c>
      <c r="AG176" s="86">
        <v>3.3328476674003402E-3</v>
      </c>
      <c r="AH176" s="86">
        <v>3.2982382890682301E-3</v>
      </c>
      <c r="AI176" s="86">
        <v>3.2622668945952501E-3</v>
      </c>
      <c r="AJ176" s="86">
        <v>3.2493976620200501E-3</v>
      </c>
      <c r="AK176" s="86">
        <v>3.2349007317192401E-3</v>
      </c>
      <c r="AL176" s="86">
        <v>3.2299673181707001E-3</v>
      </c>
      <c r="AM176" s="86">
        <v>3.4320269630716501E-3</v>
      </c>
      <c r="AN176" s="86">
        <v>3.50039753974076E-3</v>
      </c>
      <c r="AO176" s="86">
        <v>3.5380618204939999E-3</v>
      </c>
      <c r="AP176" s="86">
        <v>3.5384784221080901E-3</v>
      </c>
      <c r="AQ176" s="86">
        <v>3.4594232858889701E-3</v>
      </c>
      <c r="AR176" s="86">
        <v>3.35723201271704E-3</v>
      </c>
      <c r="AS176" s="86">
        <v>3.2942365086818201E-3</v>
      </c>
      <c r="AT176" s="86">
        <v>3.1267356341403698E-3</v>
      </c>
      <c r="AU176" s="86">
        <v>2.9553545871362102E-3</v>
      </c>
      <c r="AV176" s="86">
        <v>2.9949375316214201E-3</v>
      </c>
      <c r="AW176" s="86">
        <v>3.1489289400831498E-3</v>
      </c>
      <c r="AX176" s="86">
        <v>3.1963889322572702E-3</v>
      </c>
      <c r="AY176" s="86">
        <v>3.19401535338713E-3</v>
      </c>
      <c r="AZ176" s="86">
        <v>3.1571362533626799E-3</v>
      </c>
      <c r="BA176" s="86">
        <v>3.1863096747371E-3</v>
      </c>
      <c r="BB176" s="86">
        <v>3.1595978645145499E-3</v>
      </c>
      <c r="BC176" s="86">
        <v>3.2244821501589598E-3</v>
      </c>
      <c r="BD176" s="86">
        <v>3.13164496845194E-3</v>
      </c>
      <c r="BE176" s="86">
        <v>3.0885827136219101E-3</v>
      </c>
      <c r="BF176" s="86">
        <v>3.3267975641966198E-3</v>
      </c>
      <c r="BG176" s="86">
        <v>3.4277846065052602E-3</v>
      </c>
      <c r="BH176" s="86">
        <v>3.4027879579290798E-3</v>
      </c>
      <c r="BI176" s="86">
        <v>3.40308874471825E-3</v>
      </c>
      <c r="BJ176" s="86">
        <v>3.3996415389601301E-3</v>
      </c>
      <c r="BK176" s="86">
        <v>3.3937018692584199E-3</v>
      </c>
      <c r="BL176" s="86">
        <v>3.3871180442384499E-3</v>
      </c>
      <c r="BM176" s="86">
        <v>3.37751993567946E-3</v>
      </c>
      <c r="BN176" s="86">
        <v>3.3745411381039402E-3</v>
      </c>
      <c r="BO176" s="86">
        <v>3.3735448820219902E-3</v>
      </c>
      <c r="BP176" s="86">
        <v>3.3736651027281199E-3</v>
      </c>
      <c r="BQ176" s="86">
        <v>3.37170051382993E-3</v>
      </c>
      <c r="BR176" s="86">
        <v>3.3717100055312898E-3</v>
      </c>
      <c r="BS176" s="86">
        <v>3.3713770442401702E-3</v>
      </c>
      <c r="BT176" s="86">
        <v>3.3709188138460601E-3</v>
      </c>
    </row>
    <row r="177" spans="1:72" x14ac:dyDescent="0.65">
      <c r="A177" s="82" t="s">
        <v>61</v>
      </c>
      <c r="B177" s="81" t="str">
        <f t="shared" si="4"/>
        <v>IMF.RES.GAS:GAS_LIVE_2026_JAN_GAS1_VINTAGE</v>
      </c>
      <c r="C177" s="81" t="s">
        <v>769</v>
      </c>
      <c r="D177" s="82"/>
      <c r="E177" s="86">
        <v>8.03691916820478E-3</v>
      </c>
      <c r="F177" s="86">
        <v>7.8672184413202707E-3</v>
      </c>
      <c r="G177" s="86">
        <v>8.1322362777870392E-3</v>
      </c>
      <c r="H177" s="86">
        <v>7.9473424904343906E-3</v>
      </c>
      <c r="I177" s="86">
        <v>7.8625662837905706E-3</v>
      </c>
      <c r="J177" s="86">
        <v>8.2973666881957994E-3</v>
      </c>
      <c r="K177" s="86">
        <v>8.2604604434309992E-3</v>
      </c>
      <c r="L177" s="86">
        <v>8.3366154843460393E-3</v>
      </c>
      <c r="M177" s="86">
        <v>8.7497040987421799E-3</v>
      </c>
      <c r="N177" s="86">
        <v>8.8577117516704402E-3</v>
      </c>
      <c r="O177" s="86">
        <v>8.5648004783072801E-3</v>
      </c>
      <c r="P177" s="86">
        <v>8.1217017853080307E-3</v>
      </c>
      <c r="Q177" s="86">
        <v>7.4879694899333098E-3</v>
      </c>
      <c r="R177" s="86">
        <v>7.4822208016957501E-3</v>
      </c>
      <c r="S177" s="86">
        <v>7.6151192565905197E-3</v>
      </c>
      <c r="T177" s="86">
        <v>7.7423701482742004E-3</v>
      </c>
      <c r="U177" s="86">
        <v>7.78127463380334E-3</v>
      </c>
      <c r="V177" s="86">
        <v>8.0921823094891494E-3</v>
      </c>
      <c r="W177" s="86">
        <v>8.4600739085395008E-3</v>
      </c>
      <c r="X177" s="86">
        <v>8.8531452924529297E-3</v>
      </c>
      <c r="Y177" s="86">
        <v>8.94583027624604E-3</v>
      </c>
      <c r="Z177" s="86">
        <v>9.5244293723755705E-3</v>
      </c>
      <c r="AA177" s="86">
        <v>9.4588401665763894E-3</v>
      </c>
      <c r="AB177" s="86">
        <v>9.5365255910127497E-3</v>
      </c>
      <c r="AC177" s="86">
        <v>9.8904394077323193E-3</v>
      </c>
      <c r="AD177" s="86">
        <v>9.6644433453084207E-3</v>
      </c>
      <c r="AE177" s="86">
        <v>9.2407931989434405E-3</v>
      </c>
      <c r="AF177" s="86">
        <v>8.3052981098832197E-3</v>
      </c>
      <c r="AG177" s="86">
        <v>8.3434171975138496E-3</v>
      </c>
      <c r="AH177" s="86">
        <v>8.1515041205994804E-3</v>
      </c>
      <c r="AI177" s="86">
        <v>8.0328071310816797E-3</v>
      </c>
      <c r="AJ177" s="86">
        <v>8.1033403816295601E-3</v>
      </c>
      <c r="AK177" s="86">
        <v>7.7937960150690098E-3</v>
      </c>
      <c r="AL177" s="86">
        <v>7.0760632781609496E-3</v>
      </c>
      <c r="AM177" s="86">
        <v>7.2656325496481397E-3</v>
      </c>
      <c r="AN177" s="86">
        <v>7.4391543357901803E-3</v>
      </c>
      <c r="AO177" s="86">
        <v>7.8074784514247401E-3</v>
      </c>
      <c r="AP177" s="86">
        <v>8.0900266196410105E-3</v>
      </c>
      <c r="AQ177" s="86">
        <v>7.9172900166228702E-3</v>
      </c>
      <c r="AR177" s="86">
        <v>7.6947769559960197E-3</v>
      </c>
      <c r="AS177" s="86">
        <v>7.8031212620012997E-3</v>
      </c>
      <c r="AT177" s="86">
        <v>7.66242703547466E-3</v>
      </c>
      <c r="AU177" s="86">
        <v>7.1966969981223598E-3</v>
      </c>
      <c r="AV177" s="86">
        <v>6.9683411784119496E-3</v>
      </c>
      <c r="AW177" s="86">
        <v>7.0421973521635301E-3</v>
      </c>
      <c r="AX177" s="86">
        <v>7.2728124403424101E-3</v>
      </c>
      <c r="AY177" s="86">
        <v>7.5022668892419601E-3</v>
      </c>
      <c r="AZ177" s="86">
        <v>7.1953191317209999E-3</v>
      </c>
      <c r="BA177" s="86">
        <v>7.2852371987713101E-3</v>
      </c>
      <c r="BB177" s="86">
        <v>7.1832543719961596E-3</v>
      </c>
      <c r="BC177" s="86">
        <v>7.2679219297812001E-3</v>
      </c>
      <c r="BD177" s="86">
        <v>7.2587568618050101E-3</v>
      </c>
      <c r="BE177" s="86">
        <v>7.2227569331510802E-3</v>
      </c>
      <c r="BF177" s="86">
        <v>7.8301180204473006E-3</v>
      </c>
      <c r="BG177" s="86">
        <v>8.1782258662829801E-3</v>
      </c>
      <c r="BH177" s="86">
        <v>8.0123271304061595E-3</v>
      </c>
      <c r="BI177" s="86">
        <v>7.9831527205071091E-3</v>
      </c>
      <c r="BJ177" s="86">
        <v>8.0299260492588693E-3</v>
      </c>
      <c r="BK177" s="86">
        <v>8.0715373582429702E-3</v>
      </c>
      <c r="BL177" s="86">
        <v>8.1103556182731493E-3</v>
      </c>
      <c r="BM177" s="86">
        <v>8.1534218836727193E-3</v>
      </c>
      <c r="BN177" s="86">
        <v>8.1933378504063601E-3</v>
      </c>
      <c r="BO177" s="86">
        <v>8.2345823204053297E-3</v>
      </c>
      <c r="BP177" s="86">
        <v>8.2764844506193602E-3</v>
      </c>
      <c r="BQ177" s="86">
        <v>8.3176795101878205E-3</v>
      </c>
      <c r="BR177" s="86">
        <v>8.3590305311776296E-3</v>
      </c>
      <c r="BS177" s="86">
        <v>8.4000092776231397E-3</v>
      </c>
      <c r="BT177" s="86">
        <v>8.4409533273404006E-3</v>
      </c>
    </row>
    <row r="178" spans="1:72" x14ac:dyDescent="0.65">
      <c r="A178" s="82" t="s">
        <v>104</v>
      </c>
      <c r="B178" s="81" t="str">
        <f t="shared" si="4"/>
        <v>IMF.RES.GAS:GAS_LIVE_2026_JAN_GAS1_VINTAGE</v>
      </c>
      <c r="C178" s="81" t="s">
        <v>770</v>
      </c>
      <c r="D178" s="82"/>
      <c r="E178" s="86">
        <v>1.31099862933333</v>
      </c>
      <c r="F178" s="86">
        <v>1.2825643879999999</v>
      </c>
      <c r="G178" s="86">
        <v>1.251470369</v>
      </c>
      <c r="H178" s="86">
        <v>1.29737565333333</v>
      </c>
      <c r="I178" s="86">
        <v>1.3203565150000001</v>
      </c>
      <c r="J178" s="86">
        <v>1.3065598483333301</v>
      </c>
      <c r="K178" s="86">
        <v>1.3245845063333299</v>
      </c>
      <c r="L178" s="86">
        <v>1.3610487093333301</v>
      </c>
      <c r="M178" s="86">
        <v>1.3697083693333301</v>
      </c>
      <c r="N178" s="86">
        <v>1.3712341269999999</v>
      </c>
      <c r="O178" s="86">
        <v>1.3252210929999999</v>
      </c>
      <c r="P178" s="86">
        <v>1.2492090819999999</v>
      </c>
      <c r="Q178" s="86">
        <v>1.126955505</v>
      </c>
      <c r="R178" s="86">
        <v>1.104735909</v>
      </c>
      <c r="S178" s="86">
        <v>1.11186706833333</v>
      </c>
      <c r="T178" s="86">
        <v>1.0949424243333299</v>
      </c>
      <c r="U178" s="86">
        <v>1.1017423016666601</v>
      </c>
      <c r="V178" s="86">
        <v>1.12930634933333</v>
      </c>
      <c r="W178" s="86">
        <v>1.1164117950000001</v>
      </c>
      <c r="X178" s="86">
        <v>1.078930231</v>
      </c>
      <c r="Y178" s="86">
        <v>1.0647251579999999</v>
      </c>
      <c r="Z178" s="86">
        <v>1.1003207073333301</v>
      </c>
      <c r="AA178" s="86">
        <v>1.1744151140000001</v>
      </c>
      <c r="AB178" s="86">
        <v>1.177669139</v>
      </c>
      <c r="AC178" s="86">
        <v>1.2294496826666601</v>
      </c>
      <c r="AD178" s="86">
        <v>1.1922270993333299</v>
      </c>
      <c r="AE178" s="86">
        <v>1.163112793</v>
      </c>
      <c r="AF178" s="86">
        <v>1.1411705883333301</v>
      </c>
      <c r="AG178" s="86">
        <v>1.13566784266666</v>
      </c>
      <c r="AH178" s="86">
        <v>1.123874697</v>
      </c>
      <c r="AI178" s="86">
        <v>1.11161744433333</v>
      </c>
      <c r="AJ178" s="86">
        <v>1.1072322533333301</v>
      </c>
      <c r="AK178" s="86">
        <v>1.1022924243333301</v>
      </c>
      <c r="AL178" s="86">
        <v>1.1006113636666599</v>
      </c>
      <c r="AM178" s="86">
        <v>1.1694631876666599</v>
      </c>
      <c r="AN178" s="86">
        <v>1.1927604616666601</v>
      </c>
      <c r="AO178" s="86">
        <v>1.20559456533333</v>
      </c>
      <c r="AP178" s="86">
        <v>1.2057365223333301</v>
      </c>
      <c r="AQ178" s="86">
        <v>1.1787984846666599</v>
      </c>
      <c r="AR178" s="86">
        <v>1.1439768083333299</v>
      </c>
      <c r="AS178" s="86">
        <v>1.12251109033333</v>
      </c>
      <c r="AT178" s="86">
        <v>1.06543516733333</v>
      </c>
      <c r="AU178" s="86">
        <v>1.00703707556666</v>
      </c>
      <c r="AV178" s="86">
        <v>1.0205249639</v>
      </c>
      <c r="AW178" s="86">
        <v>1.0729975363333299</v>
      </c>
      <c r="AX178" s="86">
        <v>1.0891695286666601</v>
      </c>
      <c r="AY178" s="86">
        <v>1.0883607316666599</v>
      </c>
      <c r="AZ178" s="86">
        <v>1.07579417833333</v>
      </c>
      <c r="BA178" s="86">
        <v>1.0857350216666599</v>
      </c>
      <c r="BB178" s="86">
        <v>1.0766329723333301</v>
      </c>
      <c r="BC178" s="86">
        <v>1.0987422926666599</v>
      </c>
      <c r="BD178" s="86">
        <v>1.0671080230000001</v>
      </c>
      <c r="BE178" s="86">
        <v>1.05243455966666</v>
      </c>
      <c r="BF178" s="86">
        <v>1.13360627</v>
      </c>
      <c r="BG178" s="86">
        <v>1.1680176046666599</v>
      </c>
      <c r="BH178" s="86">
        <v>1.1593843123435801</v>
      </c>
      <c r="BI178" s="86">
        <v>1.1587430402980099</v>
      </c>
      <c r="BJ178" s="86">
        <v>1.15844397575386</v>
      </c>
      <c r="BK178" s="86">
        <v>1.15772099163408</v>
      </c>
      <c r="BL178" s="86">
        <v>1.15680801618038</v>
      </c>
      <c r="BM178" s="86">
        <v>1.1559632961597299</v>
      </c>
      <c r="BN178" s="86">
        <v>1.15530413974099</v>
      </c>
      <c r="BO178" s="86">
        <v>1.1548449011869799</v>
      </c>
      <c r="BP178" s="86">
        <v>1.15452432066974</v>
      </c>
      <c r="BQ178" s="86">
        <v>1.1538078276616099</v>
      </c>
      <c r="BR178" s="86">
        <v>1.15359589919767</v>
      </c>
      <c r="BS178" s="86">
        <v>1.1534002139529</v>
      </c>
      <c r="BT178" s="86">
        <v>1.1532180996849899</v>
      </c>
    </row>
    <row r="179" spans="1:72" x14ac:dyDescent="0.65">
      <c r="A179" s="82" t="s">
        <v>112</v>
      </c>
      <c r="B179" s="81" t="str">
        <f t="shared" si="4"/>
        <v>IMF.RES.GAS:GAS_LIVE_2026_JAN_GAS1_VINTAGE</v>
      </c>
      <c r="C179" s="81" t="s">
        <v>771</v>
      </c>
      <c r="D179" s="82"/>
      <c r="E179" s="86">
        <v>1.66462488043299</v>
      </c>
      <c r="F179" s="86">
        <v>1.6285208414808101</v>
      </c>
      <c r="G179" s="86">
        <v>1.5890395815451099</v>
      </c>
      <c r="H179" s="86">
        <v>1.64732726906427</v>
      </c>
      <c r="I179" s="86">
        <v>1.67650694419755</v>
      </c>
      <c r="J179" s="86">
        <v>1.6589887911754899</v>
      </c>
      <c r="K179" s="86">
        <v>1.6818753857887501</v>
      </c>
      <c r="L179" s="86">
        <v>1.7281753728374201</v>
      </c>
      <c r="M179" s="86">
        <v>1.7391708728856701</v>
      </c>
      <c r="N179" s="86">
        <v>1.74110818549349</v>
      </c>
      <c r="O179" s="86">
        <v>1.68268368411964</v>
      </c>
      <c r="P179" s="86">
        <v>1.5861683393349599</v>
      </c>
      <c r="Q179" s="86">
        <v>1.4309383173938801</v>
      </c>
      <c r="R179" s="86">
        <v>1.40272525026537</v>
      </c>
      <c r="S179" s="86">
        <v>1.41177995481425</v>
      </c>
      <c r="T179" s="86">
        <v>1.3902900898635899</v>
      </c>
      <c r="U179" s="86">
        <v>1.3989241530423699</v>
      </c>
      <c r="V179" s="86">
        <v>1.43392327396038</v>
      </c>
      <c r="W179" s="86">
        <v>1.4175505673189699</v>
      </c>
      <c r="X179" s="86">
        <v>1.36995879826909</v>
      </c>
      <c r="Y179" s="86">
        <v>1.35192207617412</v>
      </c>
      <c r="Z179" s="86">
        <v>1.3971191005852599</v>
      </c>
      <c r="AA179" s="86">
        <v>1.49119959012854</v>
      </c>
      <c r="AB179" s="86">
        <v>1.4953313495792</v>
      </c>
      <c r="AC179" s="86">
        <v>1.56107907759454</v>
      </c>
      <c r="AD179" s="86">
        <v>1.5138161461587001</v>
      </c>
      <c r="AE179" s="86">
        <v>1.4768486027802099</v>
      </c>
      <c r="AF179" s="86">
        <v>1.4489877499902599</v>
      </c>
      <c r="AG179" s="86">
        <v>1.4420007042813801</v>
      </c>
      <c r="AH179" s="86">
        <v>1.42702649816395</v>
      </c>
      <c r="AI179" s="86">
        <v>1.4114629977161599</v>
      </c>
      <c r="AJ179" s="86">
        <v>1.40589495372228</v>
      </c>
      <c r="AK179" s="86">
        <v>1.39962266474005</v>
      </c>
      <c r="AL179" s="86">
        <v>1.39748815799943</v>
      </c>
      <c r="AM179" s="86">
        <v>1.4849119407015301</v>
      </c>
      <c r="AN179" s="86">
        <v>1.51449337662293</v>
      </c>
      <c r="AO179" s="86">
        <v>1.53078932675101</v>
      </c>
      <c r="AP179" s="86">
        <v>1.5309695749594101</v>
      </c>
      <c r="AQ179" s="86">
        <v>1.4967653227758799</v>
      </c>
      <c r="AR179" s="86">
        <v>1.45255091438071</v>
      </c>
      <c r="AS179" s="86">
        <v>1.4252950748552899</v>
      </c>
      <c r="AT179" s="86">
        <v>1.3528236020607001</v>
      </c>
      <c r="AU179" s="86">
        <v>1.2786733212369601</v>
      </c>
      <c r="AV179" s="86">
        <v>1.29579940665139</v>
      </c>
      <c r="AW179" s="86">
        <v>1.36242582994313</v>
      </c>
      <c r="AX179" s="86">
        <v>1.3829600244128299</v>
      </c>
      <c r="AY179" s="86">
        <v>1.38193306406421</v>
      </c>
      <c r="AZ179" s="86">
        <v>1.3659768327822599</v>
      </c>
      <c r="BA179" s="86">
        <v>1.3785991000942901</v>
      </c>
      <c r="BB179" s="86">
        <v>1.3670418814640199</v>
      </c>
      <c r="BC179" s="86">
        <v>1.3951149273794401</v>
      </c>
      <c r="BD179" s="86">
        <v>1.3549476906003799</v>
      </c>
      <c r="BE179" s="86">
        <v>1.33631623546361</v>
      </c>
      <c r="BF179" s="86">
        <v>1.4393830469650699</v>
      </c>
      <c r="BG179" s="86">
        <v>1.4830764289209</v>
      </c>
      <c r="BH179" s="86">
        <v>1.4711284537273599</v>
      </c>
      <c r="BI179" s="86">
        <v>1.4624231790112701</v>
      </c>
      <c r="BJ179" s="86">
        <v>1.4554506723274201</v>
      </c>
      <c r="BK179" s="86">
        <v>1.4516293277280301</v>
      </c>
      <c r="BL179" s="86">
        <v>1.44943415112582</v>
      </c>
      <c r="BM179" s="86">
        <v>1.4453053935259901</v>
      </c>
      <c r="BN179" s="86">
        <v>1.4423540377856601</v>
      </c>
      <c r="BO179" s="86">
        <v>1.4385569243468601</v>
      </c>
      <c r="BP179" s="86">
        <v>1.4342927614222001</v>
      </c>
      <c r="BQ179" s="86">
        <v>1.4309577004803999</v>
      </c>
      <c r="BR179" s="86">
        <v>1.4267908680764601</v>
      </c>
      <c r="BS179" s="86">
        <v>1.4229653139435601</v>
      </c>
      <c r="BT179" s="86">
        <v>1.41957227356286</v>
      </c>
    </row>
    <row r="180" spans="1:72" x14ac:dyDescent="0.65">
      <c r="A180" s="82" t="s">
        <v>164</v>
      </c>
      <c r="B180" s="81" t="str">
        <f t="shared" si="4"/>
        <v>IMF.RES.GAS:GAS_LIVE_2026_JAN_GAS1_VINTAGE</v>
      </c>
      <c r="C180" s="81" t="s">
        <v>772</v>
      </c>
      <c r="D180" s="82"/>
      <c r="E180" s="86">
        <v>1.31099862933333</v>
      </c>
      <c r="F180" s="86">
        <v>1.2825643879999999</v>
      </c>
      <c r="G180" s="86">
        <v>1.251470369</v>
      </c>
      <c r="H180" s="86">
        <v>1.29737565333333</v>
      </c>
      <c r="I180" s="86">
        <v>1.3203565150000001</v>
      </c>
      <c r="J180" s="86">
        <v>1.3065598483333301</v>
      </c>
      <c r="K180" s="86">
        <v>1.3245845063333299</v>
      </c>
      <c r="L180" s="86">
        <v>1.3610487093333301</v>
      </c>
      <c r="M180" s="86">
        <v>1.3697083693333301</v>
      </c>
      <c r="N180" s="86">
        <v>1.3712341269999999</v>
      </c>
      <c r="O180" s="86">
        <v>1.3252210929999999</v>
      </c>
      <c r="P180" s="86">
        <v>1.2492090819999999</v>
      </c>
      <c r="Q180" s="86">
        <v>1.126955505</v>
      </c>
      <c r="R180" s="86">
        <v>1.104735909</v>
      </c>
      <c r="S180" s="86">
        <v>1.11186706833333</v>
      </c>
      <c r="T180" s="86">
        <v>1.0949424243333299</v>
      </c>
      <c r="U180" s="86">
        <v>1.1017423016666601</v>
      </c>
      <c r="V180" s="86">
        <v>1.12930634933333</v>
      </c>
      <c r="W180" s="86">
        <v>1.1164117950000001</v>
      </c>
      <c r="X180" s="86">
        <v>1.078930231</v>
      </c>
      <c r="Y180" s="86">
        <v>1.0647251579999999</v>
      </c>
      <c r="Z180" s="86">
        <v>1.1003207073333301</v>
      </c>
      <c r="AA180" s="86">
        <v>1.1744151140000001</v>
      </c>
      <c r="AB180" s="86">
        <v>1.177669139</v>
      </c>
      <c r="AC180" s="86">
        <v>1.2294496826666601</v>
      </c>
      <c r="AD180" s="86">
        <v>1.1922270993333299</v>
      </c>
      <c r="AE180" s="86">
        <v>1.163112793</v>
      </c>
      <c r="AF180" s="86">
        <v>1.1411705883333301</v>
      </c>
      <c r="AG180" s="86">
        <v>1.13566784266666</v>
      </c>
      <c r="AH180" s="86">
        <v>1.123874697</v>
      </c>
      <c r="AI180" s="86">
        <v>1.11161744433333</v>
      </c>
      <c r="AJ180" s="86">
        <v>1.1072322533333301</v>
      </c>
      <c r="AK180" s="86">
        <v>1.1022924243333301</v>
      </c>
      <c r="AL180" s="86">
        <v>1.1006113636666599</v>
      </c>
      <c r="AM180" s="86">
        <v>1.1694631876666599</v>
      </c>
      <c r="AN180" s="86">
        <v>1.1927604616666601</v>
      </c>
      <c r="AO180" s="86">
        <v>1.20559456533333</v>
      </c>
      <c r="AP180" s="86">
        <v>1.2057365223333301</v>
      </c>
      <c r="AQ180" s="86">
        <v>1.1787984846666599</v>
      </c>
      <c r="AR180" s="86">
        <v>1.1439768083333299</v>
      </c>
      <c r="AS180" s="86">
        <v>1.12251109033333</v>
      </c>
      <c r="AT180" s="86">
        <v>1.06543516733333</v>
      </c>
      <c r="AU180" s="86">
        <v>1.00703707556666</v>
      </c>
      <c r="AV180" s="86">
        <v>1.0205249639</v>
      </c>
      <c r="AW180" s="86">
        <v>1.0729975363333299</v>
      </c>
      <c r="AX180" s="86">
        <v>1.0891695286666601</v>
      </c>
      <c r="AY180" s="86">
        <v>1.0883607316666599</v>
      </c>
      <c r="AZ180" s="86">
        <v>1.07579417833333</v>
      </c>
      <c r="BA180" s="86">
        <v>1.0857350216666599</v>
      </c>
      <c r="BB180" s="86">
        <v>1.0766329723333301</v>
      </c>
      <c r="BC180" s="86">
        <v>1.0987422926666599</v>
      </c>
      <c r="BD180" s="86">
        <v>1.0671080230000001</v>
      </c>
      <c r="BE180" s="86">
        <v>1.05243455966666</v>
      </c>
      <c r="BF180" s="86">
        <v>1.13360627</v>
      </c>
      <c r="BG180" s="86">
        <v>1.1680176046666599</v>
      </c>
      <c r="BH180" s="86">
        <v>1.1593843123435801</v>
      </c>
      <c r="BI180" s="86">
        <v>1.1587430402980099</v>
      </c>
      <c r="BJ180" s="86">
        <v>1.15844397575386</v>
      </c>
      <c r="BK180" s="86">
        <v>1.15772099163408</v>
      </c>
      <c r="BL180" s="86">
        <v>1.15680801618038</v>
      </c>
      <c r="BM180" s="86">
        <v>1.1559632961597299</v>
      </c>
      <c r="BN180" s="86">
        <v>1.15530413974099</v>
      </c>
      <c r="BO180" s="86">
        <v>1.1548449011869799</v>
      </c>
      <c r="BP180" s="86">
        <v>1.15452432066974</v>
      </c>
      <c r="BQ180" s="86">
        <v>1.1538078276616099</v>
      </c>
      <c r="BR180" s="86">
        <v>1.15359589919767</v>
      </c>
      <c r="BS180" s="86">
        <v>1.1534002139529</v>
      </c>
      <c r="BT180" s="86">
        <v>1.1532180996849899</v>
      </c>
    </row>
    <row r="181" spans="1:72" x14ac:dyDescent="0.65">
      <c r="A181" s="82" t="s">
        <v>165</v>
      </c>
      <c r="B181" s="81" t="str">
        <f t="shared" si="4"/>
        <v>IMF.RES.GAS:GAS_LIVE_2026_JAN_GAS1_VINTAGE</v>
      </c>
      <c r="C181" s="81" t="s">
        <v>773</v>
      </c>
      <c r="D181" s="82"/>
      <c r="E181" s="86">
        <v>3.0538053327121601</v>
      </c>
      <c r="F181" s="86">
        <v>2.9875713673421802</v>
      </c>
      <c r="G181" s="86">
        <v>2.9151417866293898</v>
      </c>
      <c r="H181" s="86">
        <v>3.0220723348086</v>
      </c>
      <c r="I181" s="86">
        <v>3.0756033426508198</v>
      </c>
      <c r="J181" s="86">
        <v>3.04346575432875</v>
      </c>
      <c r="K181" s="86">
        <v>3.08545191319201</v>
      </c>
      <c r="L181" s="86">
        <v>3.17039065765975</v>
      </c>
      <c r="M181" s="86">
        <v>3.1905622393042901</v>
      </c>
      <c r="N181" s="86">
        <v>3.1941162986256701</v>
      </c>
      <c r="O181" s="86">
        <v>3.0869347612392199</v>
      </c>
      <c r="P181" s="86">
        <v>2.9098744048450902</v>
      </c>
      <c r="Q181" s="86">
        <v>2.6251001747029998</v>
      </c>
      <c r="R181" s="86">
        <v>2.5733424388539401</v>
      </c>
      <c r="S181" s="86">
        <v>2.5899535717058702</v>
      </c>
      <c r="T181" s="86">
        <v>2.5505297561922502</v>
      </c>
      <c r="U181" s="86">
        <v>2.56636920956596</v>
      </c>
      <c r="V181" s="86">
        <v>2.63057616895721</v>
      </c>
      <c r="W181" s="86">
        <v>2.6005399371069098</v>
      </c>
      <c r="X181" s="86">
        <v>2.5132313789890501</v>
      </c>
      <c r="Y181" s="86">
        <v>2.4801424598183002</v>
      </c>
      <c r="Z181" s="86">
        <v>2.56305778554235</v>
      </c>
      <c r="AA181" s="86">
        <v>2.73565132541346</v>
      </c>
      <c r="AB181" s="86">
        <v>2.7432311646866898</v>
      </c>
      <c r="AC181" s="86">
        <v>2.8638473856665798</v>
      </c>
      <c r="AD181" s="86">
        <v>2.7771420902243902</v>
      </c>
      <c r="AE181" s="86">
        <v>2.7093239995341198</v>
      </c>
      <c r="AF181" s="86">
        <v>2.65821241167792</v>
      </c>
      <c r="AG181" s="86">
        <v>2.6453944623029702</v>
      </c>
      <c r="AH181" s="86">
        <v>2.6179238225017398</v>
      </c>
      <c r="AI181" s="86">
        <v>2.5893721042006299</v>
      </c>
      <c r="AJ181" s="86">
        <v>2.57915735693765</v>
      </c>
      <c r="AK181" s="86">
        <v>2.5676506506716299</v>
      </c>
      <c r="AL181" s="86">
        <v>2.5637348326733398</v>
      </c>
      <c r="AM181" s="86">
        <v>2.7241164399409801</v>
      </c>
      <c r="AN181" s="86">
        <v>2.77838449025545</v>
      </c>
      <c r="AO181" s="86">
        <v>2.8082799099308899</v>
      </c>
      <c r="AP181" s="86">
        <v>2.8086105807904298</v>
      </c>
      <c r="AQ181" s="86">
        <v>2.7458618324403998</v>
      </c>
      <c r="AR181" s="86">
        <v>2.6647491458964199</v>
      </c>
      <c r="AS181" s="86">
        <v>2.6147474734063199</v>
      </c>
      <c r="AT181" s="86">
        <v>2.4817963366721001</v>
      </c>
      <c r="AU181" s="86">
        <v>2.3457653751844001</v>
      </c>
      <c r="AV181" s="86">
        <v>2.3771837034707599</v>
      </c>
      <c r="AW181" s="86">
        <v>2.4994119178507601</v>
      </c>
      <c r="AX181" s="86">
        <v>2.5370825265936801</v>
      </c>
      <c r="AY181" s="86">
        <v>2.53519853637704</v>
      </c>
      <c r="AZ181" s="86">
        <v>2.5059263413308401</v>
      </c>
      <c r="BA181" s="86">
        <v>2.52908227735072</v>
      </c>
      <c r="BB181" s="86">
        <v>2.5078802057613099</v>
      </c>
      <c r="BC181" s="86">
        <v>2.5593810684059299</v>
      </c>
      <c r="BD181" s="86">
        <v>2.4856930421616501</v>
      </c>
      <c r="BE181" s="86">
        <v>2.4515130670083001</v>
      </c>
      <c r="BF181" s="86">
        <v>2.6405922897740499</v>
      </c>
      <c r="BG181" s="86">
        <v>2.72074913735538</v>
      </c>
      <c r="BH181" s="86">
        <v>2.7006374637272499</v>
      </c>
      <c r="BI181" s="86">
        <v>2.6991452138318501</v>
      </c>
      <c r="BJ181" s="86">
        <v>2.6984485808382499</v>
      </c>
      <c r="BK181" s="86">
        <v>2.6967644808620501</v>
      </c>
      <c r="BL181" s="86">
        <v>2.6946378201266801</v>
      </c>
      <c r="BM181" s="86">
        <v>2.6926701517813401</v>
      </c>
      <c r="BN181" s="86">
        <v>2.69113473035405</v>
      </c>
      <c r="BO181" s="86">
        <v>2.6900649922827502</v>
      </c>
      <c r="BP181" s="86">
        <v>2.6893182405538001</v>
      </c>
      <c r="BQ181" s="86">
        <v>2.6876492608004101</v>
      </c>
      <c r="BR181" s="86">
        <v>2.6871556002741102</v>
      </c>
      <c r="BS181" s="86">
        <v>2.6866997762704399</v>
      </c>
      <c r="BT181" s="86">
        <v>2.6862755641392702</v>
      </c>
    </row>
    <row r="182" spans="1:72" x14ac:dyDescent="0.65">
      <c r="A182" s="82" t="s">
        <v>105</v>
      </c>
      <c r="B182" s="81" t="str">
        <f t="shared" si="4"/>
        <v>IMF.RES.GAS:GAS_LIVE_2026_JAN_GAS1_VINTAGE</v>
      </c>
      <c r="C182" s="81" t="s">
        <v>774</v>
      </c>
      <c r="D182" s="82"/>
      <c r="E182" s="86">
        <v>1.31099862933333</v>
      </c>
      <c r="F182" s="86">
        <v>1.2825643879999999</v>
      </c>
      <c r="G182" s="86">
        <v>1.251470369</v>
      </c>
      <c r="H182" s="86">
        <v>1.29737565333333</v>
      </c>
      <c r="I182" s="86">
        <v>1.3203565150000001</v>
      </c>
      <c r="J182" s="86">
        <v>1.3065598483333301</v>
      </c>
      <c r="K182" s="86">
        <v>1.3245845063333299</v>
      </c>
      <c r="L182" s="86">
        <v>1.3610487093333301</v>
      </c>
      <c r="M182" s="86">
        <v>1.3697083693333301</v>
      </c>
      <c r="N182" s="86">
        <v>1.3712341269999999</v>
      </c>
      <c r="O182" s="86">
        <v>1.3252210929999999</v>
      </c>
      <c r="P182" s="86">
        <v>1.2492090819999999</v>
      </c>
      <c r="Q182" s="86">
        <v>1.126955505</v>
      </c>
      <c r="R182" s="86">
        <v>1.104735909</v>
      </c>
      <c r="S182" s="86">
        <v>1.11186706833333</v>
      </c>
      <c r="T182" s="86">
        <v>1.0949424243333299</v>
      </c>
      <c r="U182" s="86">
        <v>1.1017423016666601</v>
      </c>
      <c r="V182" s="86">
        <v>1.12930634933333</v>
      </c>
      <c r="W182" s="86">
        <v>1.1164117950000001</v>
      </c>
      <c r="X182" s="86">
        <v>1.078930231</v>
      </c>
      <c r="Y182" s="86">
        <v>1.0647251579999999</v>
      </c>
      <c r="Z182" s="86">
        <v>1.1003207073333301</v>
      </c>
      <c r="AA182" s="86">
        <v>1.1744151140000001</v>
      </c>
      <c r="AB182" s="86">
        <v>1.177669139</v>
      </c>
      <c r="AC182" s="86">
        <v>1.2294496826666601</v>
      </c>
      <c r="AD182" s="86">
        <v>1.1922270993333299</v>
      </c>
      <c r="AE182" s="86">
        <v>1.163112793</v>
      </c>
      <c r="AF182" s="86">
        <v>1.1411705883333301</v>
      </c>
      <c r="AG182" s="86">
        <v>1.13566784266666</v>
      </c>
      <c r="AH182" s="86">
        <v>1.123874697</v>
      </c>
      <c r="AI182" s="86">
        <v>1.11161744433333</v>
      </c>
      <c r="AJ182" s="86">
        <v>1.1072322533333301</v>
      </c>
      <c r="AK182" s="86">
        <v>1.1022924243333301</v>
      </c>
      <c r="AL182" s="86">
        <v>1.1006113636666599</v>
      </c>
      <c r="AM182" s="86">
        <v>1.1694631876666599</v>
      </c>
      <c r="AN182" s="86">
        <v>1.1927604616666601</v>
      </c>
      <c r="AO182" s="86">
        <v>1.20559456533333</v>
      </c>
      <c r="AP182" s="86">
        <v>1.2057365223333301</v>
      </c>
      <c r="AQ182" s="86">
        <v>1.1787984846666599</v>
      </c>
      <c r="AR182" s="86">
        <v>1.1439768083333299</v>
      </c>
      <c r="AS182" s="86">
        <v>1.12251109033333</v>
      </c>
      <c r="AT182" s="86">
        <v>1.06543516733333</v>
      </c>
      <c r="AU182" s="86">
        <v>1.00703707556666</v>
      </c>
      <c r="AV182" s="86">
        <v>1.0205249639</v>
      </c>
      <c r="AW182" s="86">
        <v>1.0729975363333299</v>
      </c>
      <c r="AX182" s="86">
        <v>1.0891695286666601</v>
      </c>
      <c r="AY182" s="86">
        <v>1.0883607316666599</v>
      </c>
      <c r="AZ182" s="86">
        <v>1.07579417833333</v>
      </c>
      <c r="BA182" s="86">
        <v>1.0857350216666599</v>
      </c>
      <c r="BB182" s="86">
        <v>1.0766329723333301</v>
      </c>
      <c r="BC182" s="86">
        <v>1.0987422926666599</v>
      </c>
      <c r="BD182" s="86">
        <v>1.0671080230000001</v>
      </c>
      <c r="BE182" s="86">
        <v>1.05243455966666</v>
      </c>
      <c r="BF182" s="86">
        <v>1.13360627</v>
      </c>
      <c r="BG182" s="86">
        <v>1.1680176046666599</v>
      </c>
      <c r="BH182" s="86">
        <v>1.1593843123435801</v>
      </c>
      <c r="BI182" s="86">
        <v>1.1587430402980099</v>
      </c>
      <c r="BJ182" s="86">
        <v>1.15844397575386</v>
      </c>
      <c r="BK182" s="86">
        <v>1.15772099163408</v>
      </c>
      <c r="BL182" s="86">
        <v>1.15680801618038</v>
      </c>
      <c r="BM182" s="86">
        <v>1.1559632961597299</v>
      </c>
      <c r="BN182" s="86">
        <v>1.15530413974099</v>
      </c>
      <c r="BO182" s="86">
        <v>1.1548449011869799</v>
      </c>
      <c r="BP182" s="86">
        <v>1.15452432066974</v>
      </c>
      <c r="BQ182" s="86">
        <v>1.1538078276616099</v>
      </c>
      <c r="BR182" s="86">
        <v>1.15359589919767</v>
      </c>
      <c r="BS182" s="86">
        <v>1.1534002139529</v>
      </c>
      <c r="BT182" s="86">
        <v>1.1532180996849899</v>
      </c>
    </row>
    <row r="183" spans="1:72" x14ac:dyDescent="0.65">
      <c r="A183" s="82" t="s">
        <v>113</v>
      </c>
      <c r="B183" s="81" t="str">
        <f t="shared" si="4"/>
        <v>IMF.RES.GAS:GAS_LIVE_2026_JAN_GAS1_VINTAGE</v>
      </c>
      <c r="C183" s="81" t="s">
        <v>775</v>
      </c>
      <c r="D183" s="82"/>
      <c r="E183" s="86">
        <v>6.5392335937058304E-3</v>
      </c>
      <c r="F183" s="86">
        <v>6.3974041958879098E-3</v>
      </c>
      <c r="G183" s="86">
        <v>6.2423078830019596E-3</v>
      </c>
      <c r="H183" s="86">
        <v>6.4712824758997398E-3</v>
      </c>
      <c r="I183" s="86">
        <v>6.5859105306212001E-3</v>
      </c>
      <c r="J183" s="86">
        <v>6.5170930474223801E-3</v>
      </c>
      <c r="K183" s="86">
        <v>6.6069996624800896E-3</v>
      </c>
      <c r="L183" s="86">
        <v>6.7888823402267196E-3</v>
      </c>
      <c r="M183" s="86">
        <v>6.8320765421999597E-3</v>
      </c>
      <c r="N183" s="86">
        <v>6.8396869893556497E-3</v>
      </c>
      <c r="O183" s="86">
        <v>6.6101749433864401E-3</v>
      </c>
      <c r="P183" s="86">
        <v>6.2310286309992897E-3</v>
      </c>
      <c r="Q183" s="86">
        <v>5.6212303598328003E-3</v>
      </c>
      <c r="R183" s="86">
        <v>5.5103994822477799E-3</v>
      </c>
      <c r="S183" s="86">
        <v>5.5459695550390204E-3</v>
      </c>
      <c r="T183" s="86">
        <v>5.46154978668076E-3</v>
      </c>
      <c r="U183" s="86">
        <v>5.4954674318226397E-3</v>
      </c>
      <c r="V183" s="86">
        <v>5.6329563219308099E-3</v>
      </c>
      <c r="W183" s="86">
        <v>5.56863855607984E-3</v>
      </c>
      <c r="X183" s="86">
        <v>5.3816813030596201E-3</v>
      </c>
      <c r="Y183" s="86">
        <v>5.3108266976586403E-3</v>
      </c>
      <c r="Z183" s="86">
        <v>5.4883765491831301E-3</v>
      </c>
      <c r="AA183" s="86">
        <v>5.8579578914815297E-3</v>
      </c>
      <c r="AB183" s="86">
        <v>5.8741888997516003E-3</v>
      </c>
      <c r="AC183" s="86">
        <v>6.1324691626513401E-3</v>
      </c>
      <c r="AD183" s="86">
        <v>5.9468036997502704E-3</v>
      </c>
      <c r="AE183" s="86">
        <v>5.80158215201364E-3</v>
      </c>
      <c r="AF183" s="86">
        <v>5.6921348965659401E-3</v>
      </c>
      <c r="AG183" s="86">
        <v>5.6646873168996002E-3</v>
      </c>
      <c r="AH183" s="86">
        <v>5.6058633543160999E-3</v>
      </c>
      <c r="AI183" s="86">
        <v>5.5447244357764401E-3</v>
      </c>
      <c r="AJ183" s="86">
        <v>5.5228511952860196E-3</v>
      </c>
      <c r="AK183" s="86">
        <v>5.4982114321152596E-3</v>
      </c>
      <c r="AL183" s="86">
        <v>5.4898263368614898E-3</v>
      </c>
      <c r="AM183" s="86">
        <v>5.8332577870665002E-3</v>
      </c>
      <c r="AN183" s="86">
        <v>5.9494640998526797E-3</v>
      </c>
      <c r="AO183" s="86">
        <v>6.01348033904956E-3</v>
      </c>
      <c r="AP183" s="86">
        <v>6.01418841758029E-3</v>
      </c>
      <c r="AQ183" s="86">
        <v>5.8798220521875597E-3</v>
      </c>
      <c r="AR183" s="86">
        <v>5.7061322629130403E-3</v>
      </c>
      <c r="AS183" s="86">
        <v>5.5990617129384797E-3</v>
      </c>
      <c r="AT183" s="86">
        <v>5.3143682092822902E-3</v>
      </c>
      <c r="AU183" s="86">
        <v>5.0230797556222798E-3</v>
      </c>
      <c r="AV183" s="86">
        <v>5.09035705898784E-3</v>
      </c>
      <c r="AW183" s="86">
        <v>5.3520891468228204E-3</v>
      </c>
      <c r="AX183" s="86">
        <v>5.4327547044954998E-3</v>
      </c>
      <c r="AY183" s="86">
        <v>5.4287204420679497E-3</v>
      </c>
      <c r="AZ183" s="86">
        <v>5.3660387383073398E-3</v>
      </c>
      <c r="BA183" s="86">
        <v>5.4156234558048397E-3</v>
      </c>
      <c r="BB183" s="86">
        <v>5.3702226251400803E-3</v>
      </c>
      <c r="BC183" s="86">
        <v>5.4805034500187803E-3</v>
      </c>
      <c r="BD183" s="86">
        <v>5.3227123781686104E-3</v>
      </c>
      <c r="BE183" s="86">
        <v>5.2495214516348901E-3</v>
      </c>
      <c r="BF183" s="86">
        <v>5.6544042357917403E-3</v>
      </c>
      <c r="BG183" s="86">
        <v>5.8260472494621298E-3</v>
      </c>
      <c r="BH183" s="86">
        <v>5.7840060188647201E-3</v>
      </c>
      <c r="BI183" s="86">
        <v>5.78824542644415E-3</v>
      </c>
      <c r="BJ183" s="86">
        <v>5.7887058264240801E-3</v>
      </c>
      <c r="BK183" s="86">
        <v>5.7854063064730404E-3</v>
      </c>
      <c r="BL183" s="86">
        <v>5.7805375934455398E-3</v>
      </c>
      <c r="BM183" s="86">
        <v>5.7753791227519698E-3</v>
      </c>
      <c r="BN183" s="86">
        <v>5.7732646168432997E-3</v>
      </c>
      <c r="BO183" s="86">
        <v>5.7729923717324298E-3</v>
      </c>
      <c r="BP183" s="86">
        <v>5.7737595555329702E-3</v>
      </c>
      <c r="BQ183" s="86">
        <v>5.7726432459732297E-3</v>
      </c>
      <c r="BR183" s="86">
        <v>5.7732983706931702E-3</v>
      </c>
      <c r="BS183" s="86">
        <v>5.7735691713090001E-3</v>
      </c>
      <c r="BT183" s="86">
        <v>5.7735915489949101E-3</v>
      </c>
    </row>
    <row r="184" spans="1:72" x14ac:dyDescent="0.65">
      <c r="A184" s="82" t="s">
        <v>168</v>
      </c>
      <c r="B184" s="81" t="str">
        <f t="shared" si="4"/>
        <v>IMF.RES.GAS:GAS_LIVE_2026_JAN_GAS1_VINTAGE</v>
      </c>
      <c r="C184" s="81" t="s">
        <v>776</v>
      </c>
      <c r="D184" s="82"/>
      <c r="E184" s="86">
        <v>1.31099862933333</v>
      </c>
      <c r="F184" s="86">
        <v>1.2825643879999999</v>
      </c>
      <c r="G184" s="86">
        <v>1.251470369</v>
      </c>
      <c r="H184" s="86">
        <v>1.29737565333333</v>
      </c>
      <c r="I184" s="86">
        <v>1.3203565150000001</v>
      </c>
      <c r="J184" s="86">
        <v>1.3065598483333301</v>
      </c>
      <c r="K184" s="86">
        <v>1.3245845063333299</v>
      </c>
      <c r="L184" s="86">
        <v>1.3610487093333301</v>
      </c>
      <c r="M184" s="86">
        <v>1.3697083693333301</v>
      </c>
      <c r="N184" s="86">
        <v>1.3712341269999999</v>
      </c>
      <c r="O184" s="86">
        <v>1.3252210929999999</v>
      </c>
      <c r="P184" s="86">
        <v>1.2492090819999999</v>
      </c>
      <c r="Q184" s="86">
        <v>1.126955505</v>
      </c>
      <c r="R184" s="86">
        <v>1.104735909</v>
      </c>
      <c r="S184" s="86">
        <v>1.11186706833333</v>
      </c>
      <c r="T184" s="86">
        <v>1.0949424243333299</v>
      </c>
      <c r="U184" s="86">
        <v>1.1017423016666601</v>
      </c>
      <c r="V184" s="86">
        <v>1.12930634933333</v>
      </c>
      <c r="W184" s="86">
        <v>1.1164117950000001</v>
      </c>
      <c r="X184" s="86">
        <v>1.078930231</v>
      </c>
      <c r="Y184" s="86">
        <v>1.0647251579999999</v>
      </c>
      <c r="Z184" s="86">
        <v>1.1003207073333301</v>
      </c>
      <c r="AA184" s="87">
        <v>1.1744151140000001</v>
      </c>
      <c r="AB184" s="87">
        <v>1.177669139</v>
      </c>
      <c r="AC184" s="86">
        <v>1.2294496826666601</v>
      </c>
      <c r="AD184" s="86">
        <v>1.1922270993333299</v>
      </c>
      <c r="AE184" s="86">
        <v>1.163112793</v>
      </c>
      <c r="AF184" s="86">
        <v>1.1411705883333301</v>
      </c>
      <c r="AG184" s="86">
        <v>1.13566784266666</v>
      </c>
      <c r="AH184" s="86">
        <v>1.123874697</v>
      </c>
      <c r="AI184" s="86">
        <v>1.11161744433333</v>
      </c>
      <c r="AJ184" s="86">
        <v>1.1072322533333301</v>
      </c>
      <c r="AK184" s="86">
        <v>1.1022924243333301</v>
      </c>
      <c r="AL184" s="86">
        <v>1.1006113636666599</v>
      </c>
      <c r="AM184" s="86">
        <v>1.1694631876666599</v>
      </c>
      <c r="AN184" s="86">
        <v>1.1927604616666601</v>
      </c>
      <c r="AO184" s="86">
        <v>1.20559456533333</v>
      </c>
      <c r="AP184" s="86">
        <v>1.2057365223333301</v>
      </c>
      <c r="AQ184" s="86">
        <v>1.1787984846666599</v>
      </c>
      <c r="AR184" s="86">
        <v>1.1439768083333299</v>
      </c>
      <c r="AS184" s="86">
        <v>1.12251109033333</v>
      </c>
      <c r="AT184" s="86">
        <v>1.06543516733333</v>
      </c>
      <c r="AU184" s="86">
        <v>1.00703707556666</v>
      </c>
      <c r="AV184" s="86">
        <v>1.0205249639</v>
      </c>
      <c r="AW184" s="86">
        <v>1.0729975363333299</v>
      </c>
      <c r="AX184" s="86">
        <v>1.0891695286666601</v>
      </c>
      <c r="AY184" s="86">
        <v>1.0883607316666599</v>
      </c>
      <c r="AZ184" s="86">
        <v>1.07579417833333</v>
      </c>
      <c r="BA184" s="86">
        <v>1.0857350216666599</v>
      </c>
      <c r="BB184" s="86">
        <v>1.0766329723333301</v>
      </c>
      <c r="BC184" s="86">
        <v>1.0987422926666599</v>
      </c>
      <c r="BD184" s="86">
        <v>1.0671080230000001</v>
      </c>
      <c r="BE184" s="86">
        <v>1.05243455966666</v>
      </c>
      <c r="BF184" s="86">
        <v>1.13360627</v>
      </c>
      <c r="BG184" s="86">
        <v>1.1680176046666599</v>
      </c>
      <c r="BH184" s="86">
        <v>1.1593843123435801</v>
      </c>
      <c r="BI184" s="86">
        <v>1.1587430402980099</v>
      </c>
      <c r="BJ184" s="86">
        <v>1.15844397575386</v>
      </c>
      <c r="BK184" s="86">
        <v>1.15772099163408</v>
      </c>
      <c r="BL184" s="86">
        <v>1.15680801618038</v>
      </c>
      <c r="BM184" s="86">
        <v>1.1559632961597299</v>
      </c>
      <c r="BN184" s="86">
        <v>1.15530413974099</v>
      </c>
      <c r="BO184" s="86">
        <v>1.1548449011869799</v>
      </c>
      <c r="BP184" s="86">
        <v>1.15452432066974</v>
      </c>
      <c r="BQ184" s="86">
        <v>1.1538078276616099</v>
      </c>
      <c r="BR184" s="86">
        <v>1.15359589919767</v>
      </c>
      <c r="BS184" s="86">
        <v>1.1534002139529</v>
      </c>
      <c r="BT184" s="86">
        <v>1.1532180996849899</v>
      </c>
    </row>
    <row r="185" spans="1:72" x14ac:dyDescent="0.65">
      <c r="A185" s="82" t="s">
        <v>169</v>
      </c>
      <c r="B185" s="81" t="str">
        <f t="shared" si="4"/>
        <v>IMF.RES.GAS:GAS_LIVE_2026_JAN_GAS1_VINTAGE</v>
      </c>
      <c r="C185" s="81" t="s">
        <v>777</v>
      </c>
      <c r="D185" s="82"/>
      <c r="E185" s="86">
        <v>4.3517182146097497E-2</v>
      </c>
      <c r="F185" s="86">
        <v>4.25733382460333E-2</v>
      </c>
      <c r="G185" s="86">
        <v>4.1541205901878701E-2</v>
      </c>
      <c r="H185" s="86">
        <v>4.3064982185930203E-2</v>
      </c>
      <c r="I185" s="86">
        <v>4.3827807043749598E-2</v>
      </c>
      <c r="J185" s="86">
        <v>4.3369841609683699E-2</v>
      </c>
      <c r="K185" s="86">
        <v>4.3968150645068503E-2</v>
      </c>
      <c r="L185" s="86">
        <v>4.5178540441257797E-2</v>
      </c>
      <c r="M185" s="86">
        <v>4.5465988492774799E-2</v>
      </c>
      <c r="N185" s="86">
        <v>4.5516634368983601E-2</v>
      </c>
      <c r="O185" s="86">
        <v>4.3989281451238101E-2</v>
      </c>
      <c r="P185" s="86">
        <v>4.1466144924649798E-2</v>
      </c>
      <c r="Q185" s="86">
        <v>3.7408069607647802E-2</v>
      </c>
      <c r="R185" s="86">
        <v>3.66705141406094E-2</v>
      </c>
      <c r="S185" s="86">
        <v>3.6907225264998102E-2</v>
      </c>
      <c r="T185" s="86">
        <v>3.6345430005089698E-2</v>
      </c>
      <c r="U185" s="86">
        <v>3.6571144581645898E-2</v>
      </c>
      <c r="V185" s="86">
        <v>3.7486103343734103E-2</v>
      </c>
      <c r="W185" s="86">
        <v>3.7058082553276202E-2</v>
      </c>
      <c r="X185" s="86">
        <v>3.5813922558587202E-2</v>
      </c>
      <c r="Y185" s="86">
        <v>3.5342400517825098E-2</v>
      </c>
      <c r="Z185" s="86">
        <v>3.65239562946734E-2</v>
      </c>
      <c r="AA185" s="86">
        <v>3.8983440018588597E-2</v>
      </c>
      <c r="AB185" s="86">
        <v>3.90914538604527E-2</v>
      </c>
      <c r="AC185" s="86">
        <v>4.0810253026178897E-2</v>
      </c>
      <c r="AD185" s="86">
        <v>3.9574689614729201E-2</v>
      </c>
      <c r="AE185" s="86">
        <v>3.8608271692225998E-2</v>
      </c>
      <c r="AF185" s="86">
        <v>3.7879923930602598E-2</v>
      </c>
      <c r="AG185" s="86">
        <v>3.7697266237358598E-2</v>
      </c>
      <c r="AH185" s="86">
        <v>3.7305805516829299E-2</v>
      </c>
      <c r="AI185" s="86">
        <v>3.6898939266193101E-2</v>
      </c>
      <c r="AJ185" s="86">
        <v>3.6753377591891803E-2</v>
      </c>
      <c r="AK185" s="86">
        <v>3.6589405308814098E-2</v>
      </c>
      <c r="AL185" s="86">
        <v>3.6533604317422398E-2</v>
      </c>
      <c r="AM185" s="86">
        <v>3.88190661776096E-2</v>
      </c>
      <c r="AN185" s="86">
        <v>3.9592394000752401E-2</v>
      </c>
      <c r="AO185" s="86">
        <v>4.0018408196685E-2</v>
      </c>
      <c r="AP185" s="86">
        <v>4.0023120305826602E-2</v>
      </c>
      <c r="AQ185" s="86">
        <v>3.9128941268892797E-2</v>
      </c>
      <c r="AR185" s="86">
        <v>3.7973073369625299E-2</v>
      </c>
      <c r="AS185" s="86">
        <v>3.7260542067759798E-2</v>
      </c>
      <c r="AT185" s="86">
        <v>3.5365968510035602E-2</v>
      </c>
      <c r="AU185" s="86">
        <v>3.3427506989532799E-2</v>
      </c>
      <c r="AV185" s="86">
        <v>3.38752228606519E-2</v>
      </c>
      <c r="AW185" s="86">
        <v>3.5616993173117298E-2</v>
      </c>
      <c r="AX185" s="86">
        <v>3.6153804974661898E-2</v>
      </c>
      <c r="AY185" s="86">
        <v>3.6126957832658402E-2</v>
      </c>
      <c r="AZ185" s="86">
        <v>3.5709824680785103E-2</v>
      </c>
      <c r="BA185" s="86">
        <v>3.6039800227931497E-2</v>
      </c>
      <c r="BB185" s="86">
        <v>3.5737667540773198E-2</v>
      </c>
      <c r="BC185" s="86">
        <v>3.6471562526278499E-2</v>
      </c>
      <c r="BD185" s="86">
        <v>3.5421497145322903E-2</v>
      </c>
      <c r="BE185" s="86">
        <v>3.4934427393834698E-2</v>
      </c>
      <c r="BF185" s="86">
        <v>3.7628834561508298E-2</v>
      </c>
      <c r="BG185" s="86">
        <v>3.8771081612781803E-2</v>
      </c>
      <c r="BH185" s="86">
        <v>3.8484517976643602E-2</v>
      </c>
      <c r="BI185" s="86">
        <v>3.8463222475536601E-2</v>
      </c>
      <c r="BJ185" s="86">
        <v>3.8453295351319798E-2</v>
      </c>
      <c r="BK185" s="86">
        <v>3.8429296675100498E-2</v>
      </c>
      <c r="BL185" s="86">
        <v>3.8398991441956597E-2</v>
      </c>
      <c r="BM185" s="86">
        <v>3.8370951874119603E-2</v>
      </c>
      <c r="BN185" s="86">
        <v>3.8349071889430902E-2</v>
      </c>
      <c r="BO185" s="86">
        <v>3.8333827962125297E-2</v>
      </c>
      <c r="BP185" s="86">
        <v>3.8323186638443502E-2</v>
      </c>
      <c r="BQ185" s="86">
        <v>3.8299403427657801E-2</v>
      </c>
      <c r="BR185" s="86">
        <v>3.8292368691418603E-2</v>
      </c>
      <c r="BS185" s="86">
        <v>3.8285873131278701E-2</v>
      </c>
      <c r="BT185" s="86">
        <v>3.8279828045043797E-2</v>
      </c>
    </row>
    <row r="186" spans="1:72" x14ac:dyDescent="0.65">
      <c r="A186" s="82" t="s">
        <v>161</v>
      </c>
      <c r="B186" s="81" t="str">
        <f t="shared" si="4"/>
        <v>IMF.RES.GAS:GAS_LIVE_2026_JAN_GAS1_VINTAGE</v>
      </c>
      <c r="C186" s="81" t="s">
        <v>778</v>
      </c>
      <c r="D186" s="82"/>
      <c r="E186" s="86">
        <v>1.31099862933333</v>
      </c>
      <c r="F186" s="86">
        <v>1.2825643879999999</v>
      </c>
      <c r="G186" s="86">
        <v>1.251470369</v>
      </c>
      <c r="H186" s="86">
        <v>1.29737565333333</v>
      </c>
      <c r="I186" s="86">
        <v>1.3203565150000001</v>
      </c>
      <c r="J186" s="86">
        <v>1.3065598483333301</v>
      </c>
      <c r="K186" s="86">
        <v>1.3245845063333299</v>
      </c>
      <c r="L186" s="86">
        <v>1.3610487093333301</v>
      </c>
      <c r="M186" s="86">
        <v>1.3697083693333301</v>
      </c>
      <c r="N186" s="86">
        <v>1.3712341269999999</v>
      </c>
      <c r="O186" s="86">
        <v>1.3252210929999999</v>
      </c>
      <c r="P186" s="86">
        <v>1.2492090819999999</v>
      </c>
      <c r="Q186" s="86">
        <v>1.126955505</v>
      </c>
      <c r="R186" s="86">
        <v>1.104735909</v>
      </c>
      <c r="S186" s="86">
        <v>1.11186706833333</v>
      </c>
      <c r="T186" s="86">
        <v>1.0949424243333299</v>
      </c>
      <c r="U186" s="86">
        <v>1.1017423016666601</v>
      </c>
      <c r="V186" s="86">
        <v>1.12930634933333</v>
      </c>
      <c r="W186" s="86">
        <v>1.1164117950000001</v>
      </c>
      <c r="X186" s="86">
        <v>1.078930231</v>
      </c>
      <c r="Y186" s="86">
        <v>1.0647251579999999</v>
      </c>
      <c r="Z186" s="86">
        <v>1.1003207073333301</v>
      </c>
      <c r="AA186" s="86">
        <v>1.1744151140000001</v>
      </c>
      <c r="AB186" s="86">
        <v>1.177669139</v>
      </c>
      <c r="AC186" s="86">
        <v>1.2294496826666601</v>
      </c>
      <c r="AD186" s="86">
        <v>1.1922270993333299</v>
      </c>
      <c r="AE186" s="86">
        <v>1.163112793</v>
      </c>
      <c r="AF186" s="86">
        <v>1.1411705883333301</v>
      </c>
      <c r="AG186" s="86">
        <v>1.13566784266666</v>
      </c>
      <c r="AH186" s="86">
        <v>1.123874697</v>
      </c>
      <c r="AI186" s="86">
        <v>1.11161744433333</v>
      </c>
      <c r="AJ186" s="86">
        <v>1.1072322533333301</v>
      </c>
      <c r="AK186" s="86">
        <v>1.1022924243333301</v>
      </c>
      <c r="AL186" s="86">
        <v>1.1006113636666599</v>
      </c>
      <c r="AM186" s="86">
        <v>1.1694631876666599</v>
      </c>
      <c r="AN186" s="86">
        <v>1.1927604616666601</v>
      </c>
      <c r="AO186" s="86">
        <v>1.20559456533333</v>
      </c>
      <c r="AP186" s="86">
        <v>1.2057365223333301</v>
      </c>
      <c r="AQ186" s="86">
        <v>1.1787984846666599</v>
      </c>
      <c r="AR186" s="86">
        <v>1.1439768083333299</v>
      </c>
      <c r="AS186" s="86">
        <v>1.12251109033333</v>
      </c>
      <c r="AT186" s="86">
        <v>1.06543516733333</v>
      </c>
      <c r="AU186" s="86">
        <v>1.00703707556666</v>
      </c>
      <c r="AV186" s="86">
        <v>1.0205249639</v>
      </c>
      <c r="AW186" s="86">
        <v>1.0729975363333299</v>
      </c>
      <c r="AX186" s="86">
        <v>1.0891695286666601</v>
      </c>
      <c r="AY186" s="86">
        <v>1.0883607316666599</v>
      </c>
      <c r="AZ186" s="86">
        <v>1.07579417833333</v>
      </c>
      <c r="BA186" s="86">
        <v>1.0857350216666599</v>
      </c>
      <c r="BB186" s="86">
        <v>1.0766329723333301</v>
      </c>
      <c r="BC186" s="86">
        <v>1.0987422926666599</v>
      </c>
      <c r="BD186" s="86">
        <v>1.0671080230000001</v>
      </c>
      <c r="BE186" s="86">
        <v>1.05243455966666</v>
      </c>
      <c r="BF186" s="86">
        <v>1.13360627</v>
      </c>
      <c r="BG186" s="86">
        <v>1.1680176046666599</v>
      </c>
      <c r="BH186" s="86">
        <v>1.1593843123435801</v>
      </c>
      <c r="BI186" s="86">
        <v>1.1587430402980099</v>
      </c>
      <c r="BJ186" s="86">
        <v>1.15844397575386</v>
      </c>
      <c r="BK186" s="86">
        <v>1.15772099163408</v>
      </c>
      <c r="BL186" s="86">
        <v>1.15680801618038</v>
      </c>
      <c r="BM186" s="86">
        <v>1.1559632961597299</v>
      </c>
      <c r="BN186" s="86">
        <v>1.15530413974099</v>
      </c>
      <c r="BO186" s="86">
        <v>1.1548449011869799</v>
      </c>
      <c r="BP186" s="86">
        <v>1.15452432066974</v>
      </c>
      <c r="BQ186" s="86">
        <v>1.1538078276616099</v>
      </c>
      <c r="BR186" s="86">
        <v>1.15359589919767</v>
      </c>
      <c r="BS186" s="86">
        <v>1.1534002139529</v>
      </c>
      <c r="BT186" s="86">
        <v>1.1532180996849899</v>
      </c>
    </row>
    <row r="187" spans="1:72" x14ac:dyDescent="0.65">
      <c r="A187" s="82" t="s">
        <v>162</v>
      </c>
      <c r="B187" s="81" t="str">
        <f t="shared" si="4"/>
        <v>IMF.RES.GAS:GAS_LIVE_2026_JAN_GAS1_VINTAGE</v>
      </c>
      <c r="C187" s="81" t="s">
        <v>779</v>
      </c>
      <c r="D187" s="82"/>
      <c r="E187" s="86">
        <v>5.4707003393979804E-3</v>
      </c>
      <c r="F187" s="86">
        <v>5.3520463528626203E-3</v>
      </c>
      <c r="G187" s="86">
        <v>5.2222933107995296E-3</v>
      </c>
      <c r="H187" s="86">
        <v>5.4138526678907204E-3</v>
      </c>
      <c r="I187" s="86">
        <v>5.5097501043231498E-3</v>
      </c>
      <c r="J187" s="86">
        <v>5.4521776345073103E-3</v>
      </c>
      <c r="K187" s="86">
        <v>5.5273931995215003E-3</v>
      </c>
      <c r="L187" s="86">
        <v>5.67955562232237E-3</v>
      </c>
      <c r="M187" s="86">
        <v>5.7156917431703102E-3</v>
      </c>
      <c r="N187" s="86">
        <v>5.7220586170923004E-3</v>
      </c>
      <c r="O187" s="86">
        <v>5.5300496286095797E-3</v>
      </c>
      <c r="P187" s="86">
        <v>5.2128571273577003E-3</v>
      </c>
      <c r="Q187" s="86">
        <v>4.70270199048573E-3</v>
      </c>
      <c r="R187" s="86">
        <v>4.6099812593890796E-3</v>
      </c>
      <c r="S187" s="86">
        <v>4.6397390599788504E-3</v>
      </c>
      <c r="T187" s="86">
        <v>4.5691137720469599E-3</v>
      </c>
      <c r="U187" s="86">
        <v>4.5974891573471299E-3</v>
      </c>
      <c r="V187" s="86">
        <v>4.7125118900573004E-3</v>
      </c>
      <c r="W187" s="86">
        <v>4.6587038683024501E-3</v>
      </c>
      <c r="X187" s="86">
        <v>4.5022960732765804E-3</v>
      </c>
      <c r="Y187" s="86">
        <v>4.44301935403104E-3</v>
      </c>
      <c r="Z187" s="86">
        <v>4.5915569493128498E-3</v>
      </c>
      <c r="AA187" s="86">
        <v>4.9007474294775503E-3</v>
      </c>
      <c r="AB187" s="86">
        <v>4.9143262351861103E-3</v>
      </c>
      <c r="AC187" s="86">
        <v>5.1304026150336603E-3</v>
      </c>
      <c r="AD187" s="86">
        <v>4.9750755271796496E-3</v>
      </c>
      <c r="AE187" s="86">
        <v>4.85358367968619E-3</v>
      </c>
      <c r="AF187" s="86">
        <v>4.7620204821120504E-3</v>
      </c>
      <c r="AG187" s="86">
        <v>4.7390579313414498E-3</v>
      </c>
      <c r="AH187" s="86">
        <v>4.6898460065097599E-3</v>
      </c>
      <c r="AI187" s="86">
        <v>4.6386973974851097E-3</v>
      </c>
      <c r="AJ187" s="86">
        <v>4.6203983197017698E-3</v>
      </c>
      <c r="AK187" s="86">
        <v>4.59978477855672E-3</v>
      </c>
      <c r="AL187" s="86">
        <v>4.5927698366994901E-3</v>
      </c>
      <c r="AM187" s="86">
        <v>4.8800834070550202E-3</v>
      </c>
      <c r="AN187" s="86">
        <v>4.9773012087575797E-3</v>
      </c>
      <c r="AO187" s="86">
        <v>5.0308569743504096E-3</v>
      </c>
      <c r="AP187" s="86">
        <v>5.0314493504145102E-3</v>
      </c>
      <c r="AQ187" s="86">
        <v>4.9190389111444903E-3</v>
      </c>
      <c r="AR187" s="86">
        <v>4.7737306306682202E-3</v>
      </c>
      <c r="AS187" s="86">
        <v>4.6841557767206303E-3</v>
      </c>
      <c r="AT187" s="86">
        <v>4.4459821704779402E-3</v>
      </c>
      <c r="AU187" s="86">
        <v>4.2022912517387196E-3</v>
      </c>
      <c r="AV187" s="86">
        <v>4.2585752124019299E-3</v>
      </c>
      <c r="AW187" s="86">
        <v>4.4775393771212301E-3</v>
      </c>
      <c r="AX187" s="86">
        <v>4.5450239053023899E-3</v>
      </c>
      <c r="AY187" s="86">
        <v>4.5416488552272802E-3</v>
      </c>
      <c r="AZ187" s="86">
        <v>4.4892095573916399E-3</v>
      </c>
      <c r="BA187" s="86">
        <v>4.5306919615534401E-3</v>
      </c>
      <c r="BB187" s="86">
        <v>4.4927097827296503E-3</v>
      </c>
      <c r="BC187" s="86">
        <v>4.5849703416235401E-3</v>
      </c>
      <c r="BD187" s="86">
        <v>4.4529628734768798E-3</v>
      </c>
      <c r="BE187" s="86">
        <v>4.3917315960051197E-3</v>
      </c>
      <c r="BF187" s="86">
        <v>4.7304551410449003E-3</v>
      </c>
      <c r="BG187" s="86">
        <v>4.8740510960885702E-3</v>
      </c>
      <c r="BH187" s="86">
        <v>4.8285719350328396E-3</v>
      </c>
      <c r="BI187" s="86">
        <v>4.7588243916997603E-3</v>
      </c>
      <c r="BJ187" s="86">
        <v>4.7461688334743402E-3</v>
      </c>
      <c r="BK187" s="86">
        <v>4.7416054969869597E-3</v>
      </c>
      <c r="BL187" s="86">
        <v>4.7416023556211603E-3</v>
      </c>
      <c r="BM187" s="86">
        <v>4.7328366219692997E-3</v>
      </c>
      <c r="BN187" s="86">
        <v>4.7325353557351501E-3</v>
      </c>
      <c r="BO187" s="86">
        <v>4.7309821083427401E-3</v>
      </c>
      <c r="BP187" s="86">
        <v>4.7290980186995403E-3</v>
      </c>
      <c r="BQ187" s="86">
        <v>4.7258314258009203E-3</v>
      </c>
      <c r="BR187" s="86">
        <v>4.7257268462526404E-3</v>
      </c>
      <c r="BS187" s="86">
        <v>4.7264610261776004E-3</v>
      </c>
      <c r="BT187" s="86">
        <v>4.7274331091448803E-3</v>
      </c>
    </row>
    <row r="188" spans="1:72" x14ac:dyDescent="0.65">
      <c r="A188" s="82" t="s">
        <v>106</v>
      </c>
      <c r="B188" s="81" t="str">
        <f t="shared" si="4"/>
        <v>IMF.RES.GAS:GAS_LIVE_2026_JAN_GAS1_VINTAGE</v>
      </c>
      <c r="C188" s="81" t="s">
        <v>780</v>
      </c>
      <c r="D188" s="82"/>
      <c r="E188" s="86">
        <v>1.31099862933333</v>
      </c>
      <c r="F188" s="86">
        <v>1.2825643879999999</v>
      </c>
      <c r="G188" s="86">
        <v>1.251470369</v>
      </c>
      <c r="H188" s="86">
        <v>1.29737565333333</v>
      </c>
      <c r="I188" s="86">
        <v>1.3203565150000001</v>
      </c>
      <c r="J188" s="86">
        <v>1.3065598483333301</v>
      </c>
      <c r="K188" s="86">
        <v>1.3245845063333299</v>
      </c>
      <c r="L188" s="86">
        <v>1.3610487093333301</v>
      </c>
      <c r="M188" s="86">
        <v>1.3697083693333301</v>
      </c>
      <c r="N188" s="86">
        <v>1.3712341269999999</v>
      </c>
      <c r="O188" s="86">
        <v>1.3252210929999999</v>
      </c>
      <c r="P188" s="86">
        <v>1.2492090819999999</v>
      </c>
      <c r="Q188" s="86">
        <v>1.126955505</v>
      </c>
      <c r="R188" s="86">
        <v>1.104735909</v>
      </c>
      <c r="S188" s="86">
        <v>1.11186706833333</v>
      </c>
      <c r="T188" s="86">
        <v>1.0949424243333299</v>
      </c>
      <c r="U188" s="86">
        <v>1.1017423016666601</v>
      </c>
      <c r="V188" s="86">
        <v>1.12930634933333</v>
      </c>
      <c r="W188" s="86">
        <v>1.1164117950000001</v>
      </c>
      <c r="X188" s="86">
        <v>1.078930231</v>
      </c>
      <c r="Y188" s="86">
        <v>1.0647251579999999</v>
      </c>
      <c r="Z188" s="86">
        <v>1.1003207073333301</v>
      </c>
      <c r="AA188" s="86">
        <v>1.1744151140000001</v>
      </c>
      <c r="AB188" s="86">
        <v>1.177669139</v>
      </c>
      <c r="AC188" s="86">
        <v>1.2294496826666601</v>
      </c>
      <c r="AD188" s="86">
        <v>1.1922270993333299</v>
      </c>
      <c r="AE188" s="86">
        <v>1.163112793</v>
      </c>
      <c r="AF188" s="86">
        <v>1.1411705883333301</v>
      </c>
      <c r="AG188" s="86">
        <v>1.13566784266666</v>
      </c>
      <c r="AH188" s="86">
        <v>1.123874697</v>
      </c>
      <c r="AI188" s="86">
        <v>1.11161744433333</v>
      </c>
      <c r="AJ188" s="86">
        <v>1.1072322533333301</v>
      </c>
      <c r="AK188" s="86">
        <v>1.1022924243333301</v>
      </c>
      <c r="AL188" s="86">
        <v>1.1006113636666599</v>
      </c>
      <c r="AM188" s="86">
        <v>1.1694631876666599</v>
      </c>
      <c r="AN188" s="86">
        <v>1.1927604616666601</v>
      </c>
      <c r="AO188" s="86">
        <v>1.20559456533333</v>
      </c>
      <c r="AP188" s="86">
        <v>1.2057365223333301</v>
      </c>
      <c r="AQ188" s="86">
        <v>1.1787984846666599</v>
      </c>
      <c r="AR188" s="86">
        <v>1.1439768083333299</v>
      </c>
      <c r="AS188" s="86">
        <v>1.12251109033333</v>
      </c>
      <c r="AT188" s="86">
        <v>1.06543516733333</v>
      </c>
      <c r="AU188" s="86">
        <v>1.00703707556666</v>
      </c>
      <c r="AV188" s="86">
        <v>1.0205249639</v>
      </c>
      <c r="AW188" s="86">
        <v>1.0729975363333299</v>
      </c>
      <c r="AX188" s="86">
        <v>1.0891695286666601</v>
      </c>
      <c r="AY188" s="86">
        <v>1.0883607316666599</v>
      </c>
      <c r="AZ188" s="86">
        <v>1.07579417833333</v>
      </c>
      <c r="BA188" s="86">
        <v>1.0857350216666599</v>
      </c>
      <c r="BB188" s="86">
        <v>1.0766329723333301</v>
      </c>
      <c r="BC188" s="86">
        <v>1.0987422926666599</v>
      </c>
      <c r="BD188" s="86">
        <v>1.0671080230000001</v>
      </c>
      <c r="BE188" s="86">
        <v>1.05243455966666</v>
      </c>
      <c r="BF188" s="86">
        <v>1.13360627</v>
      </c>
      <c r="BG188" s="86">
        <v>1.1680176046666599</v>
      </c>
      <c r="BH188" s="86">
        <v>1.1593843123435801</v>
      </c>
      <c r="BI188" s="86">
        <v>1.1587430402980099</v>
      </c>
      <c r="BJ188" s="86">
        <v>1.15844397575386</v>
      </c>
      <c r="BK188" s="86">
        <v>1.15772099163408</v>
      </c>
      <c r="BL188" s="86">
        <v>1.15680801618038</v>
      </c>
      <c r="BM188" s="86">
        <v>1.1559632961597299</v>
      </c>
      <c r="BN188" s="86">
        <v>1.15530413974099</v>
      </c>
      <c r="BO188" s="86">
        <v>1.1548449011869799</v>
      </c>
      <c r="BP188" s="86">
        <v>1.15452432066974</v>
      </c>
      <c r="BQ188" s="86">
        <v>1.1538078276616099</v>
      </c>
      <c r="BR188" s="86">
        <v>1.15359589919767</v>
      </c>
      <c r="BS188" s="86">
        <v>1.1534002139529</v>
      </c>
      <c r="BT188" s="86">
        <v>1.1532180996849899</v>
      </c>
    </row>
    <row r="189" spans="1:72" x14ac:dyDescent="0.65">
      <c r="A189" s="82" t="s">
        <v>114</v>
      </c>
      <c r="B189" s="81" t="str">
        <f t="shared" si="4"/>
        <v>IMF.RES.GAS:GAS_LIVE_2026_JAN_GAS1_VINTAGE</v>
      </c>
      <c r="C189" s="81" t="s">
        <v>781</v>
      </c>
      <c r="D189" s="82"/>
      <c r="E189" s="86">
        <v>7.8792604505988108E-3</v>
      </c>
      <c r="F189" s="86">
        <v>7.7083672183957796E-3</v>
      </c>
      <c r="G189" s="86">
        <v>7.5214884004663803E-3</v>
      </c>
      <c r="H189" s="86">
        <v>7.7973847158615099E-3</v>
      </c>
      <c r="I189" s="86">
        <v>7.9355024761698697E-3</v>
      </c>
      <c r="J189" s="86">
        <v>7.8525828395017202E-3</v>
      </c>
      <c r="K189" s="86">
        <v>7.9609132158555002E-3</v>
      </c>
      <c r="L189" s="86">
        <v>8.1800674896525694E-3</v>
      </c>
      <c r="M189" s="86">
        <v>8.2321130944510504E-3</v>
      </c>
      <c r="N189" s="86">
        <v>8.2412830827112808E-3</v>
      </c>
      <c r="O189" s="86">
        <v>7.9647391787770593E-3</v>
      </c>
      <c r="P189" s="86">
        <v>7.5078977918815199E-3</v>
      </c>
      <c r="Q189" s="86">
        <v>6.7731389960693804E-3</v>
      </c>
      <c r="R189" s="86">
        <v>6.6395965345642004E-3</v>
      </c>
      <c r="S189" s="86">
        <v>6.6824556653404298E-3</v>
      </c>
      <c r="T189" s="86">
        <v>6.5807365062765704E-3</v>
      </c>
      <c r="U189" s="86">
        <v>6.6216045921331504E-3</v>
      </c>
      <c r="V189" s="86">
        <v>6.7872678550679301E-3</v>
      </c>
      <c r="W189" s="86">
        <v>6.7097700227182599E-3</v>
      </c>
      <c r="X189" s="86">
        <v>6.4845012861659002E-3</v>
      </c>
      <c r="Y189" s="86">
        <v>6.3991270779993501E-3</v>
      </c>
      <c r="Z189" s="86">
        <v>6.6130606381145799E-3</v>
      </c>
      <c r="AA189" s="86">
        <v>7.05837699085259E-3</v>
      </c>
      <c r="AB189" s="86">
        <v>7.0779340749822697E-3</v>
      </c>
      <c r="AC189" s="86">
        <v>7.3891414101346599E-3</v>
      </c>
      <c r="AD189" s="86">
        <v>7.1654291787369897E-3</v>
      </c>
      <c r="AE189" s="86">
        <v>6.9904486735662798E-3</v>
      </c>
      <c r="AF189" s="86">
        <v>6.8585733675509504E-3</v>
      </c>
      <c r="AG189" s="86">
        <v>6.8255012000208301E-3</v>
      </c>
      <c r="AH189" s="86">
        <v>6.75462296707655E-3</v>
      </c>
      <c r="AI189" s="86">
        <v>6.6809553948849803E-3</v>
      </c>
      <c r="AJ189" s="86">
        <v>6.6545998661746396E-3</v>
      </c>
      <c r="AK189" s="86">
        <v>6.6249108959487799E-3</v>
      </c>
      <c r="AL189" s="86">
        <v>6.6148075178600703E-3</v>
      </c>
      <c r="AM189" s="86">
        <v>7.0286153141890899E-3</v>
      </c>
      <c r="AN189" s="86">
        <v>7.1686347509205498E-3</v>
      </c>
      <c r="AO189" s="86">
        <v>7.2457692674463801E-3</v>
      </c>
      <c r="AP189" s="86">
        <v>7.2466224461993998E-3</v>
      </c>
      <c r="AQ189" s="86">
        <v>7.0847215791392699E-3</v>
      </c>
      <c r="AR189" s="86">
        <v>6.8754390894265899E-3</v>
      </c>
      <c r="AS189" s="86">
        <v>6.7464275259537E-3</v>
      </c>
      <c r="AT189" s="86">
        <v>6.4033943200349401E-3</v>
      </c>
      <c r="AU189" s="86">
        <v>6.0524147197881196E-3</v>
      </c>
      <c r="AV189" s="86">
        <v>6.13347856129722E-3</v>
      </c>
      <c r="AW189" s="86">
        <v>6.4488450731030999E-3</v>
      </c>
      <c r="AX189" s="86">
        <v>6.5460407045464502E-3</v>
      </c>
      <c r="AY189" s="86">
        <v>6.5411797366765603E-3</v>
      </c>
      <c r="AZ189" s="86">
        <v>6.4656532300393799E-3</v>
      </c>
      <c r="BA189" s="86">
        <v>6.5253989017505501E-3</v>
      </c>
      <c r="BB189" s="86">
        <v>6.47069448351023E-3</v>
      </c>
      <c r="BC189" s="86">
        <v>6.6035741749105497E-3</v>
      </c>
      <c r="BD189" s="86">
        <v>6.4134483850804697E-3</v>
      </c>
      <c r="BE189" s="86">
        <v>6.3252590943148196E-3</v>
      </c>
      <c r="BF189" s="86">
        <v>6.8131108987535003E-3</v>
      </c>
      <c r="BG189" s="86">
        <v>7.0199271853801804E-3</v>
      </c>
      <c r="BH189" s="86">
        <v>6.9691852326684402E-3</v>
      </c>
      <c r="BI189" s="86">
        <v>6.9726736606803398E-3</v>
      </c>
      <c r="BJ189" s="86">
        <v>6.9630454161982401E-3</v>
      </c>
      <c r="BK189" s="86">
        <v>6.9480726495594197E-3</v>
      </c>
      <c r="BL189" s="86">
        <v>6.9317403388848902E-3</v>
      </c>
      <c r="BM189" s="86">
        <v>6.90925069150877E-3</v>
      </c>
      <c r="BN189" s="86">
        <v>6.9006904450326896E-3</v>
      </c>
      <c r="BO189" s="86">
        <v>6.8962705714331598E-3</v>
      </c>
      <c r="BP189" s="86">
        <v>6.89399887050322E-3</v>
      </c>
      <c r="BQ189" s="86">
        <v>6.8890626034463099E-3</v>
      </c>
      <c r="BR189" s="86">
        <v>6.8857211488532397E-3</v>
      </c>
      <c r="BS189" s="86">
        <v>6.8812628721653104E-3</v>
      </c>
      <c r="BT189" s="86">
        <v>6.8762578609730804E-3</v>
      </c>
    </row>
    <row r="190" spans="1:72" x14ac:dyDescent="0.65">
      <c r="A190" s="82" t="s">
        <v>65</v>
      </c>
      <c r="B190" s="81" t="str">
        <f t="shared" si="4"/>
        <v>IMF.RES.GAS:GAS_LIVE_2026_JAN_GAS1_VINTAGE</v>
      </c>
      <c r="C190" s="81" t="s">
        <v>782</v>
      </c>
      <c r="D190" s="82"/>
      <c r="E190" s="86">
        <v>1.055055726</v>
      </c>
      <c r="F190" s="86">
        <v>1.01054563883333</v>
      </c>
      <c r="G190" s="86">
        <v>1.0385254873333301</v>
      </c>
      <c r="H190" s="86">
        <v>1.0390723100000001</v>
      </c>
      <c r="I190" s="86">
        <v>1.0382563766666599</v>
      </c>
      <c r="J190" s="86">
        <v>0.991289354566666</v>
      </c>
      <c r="K190" s="86">
        <v>0.91641193963333301</v>
      </c>
      <c r="L190" s="86">
        <v>0.92774868310000003</v>
      </c>
      <c r="M190" s="86">
        <v>0.89663839199999995</v>
      </c>
      <c r="N190" s="86">
        <v>0.93296993483333301</v>
      </c>
      <c r="O190" s="86">
        <v>0.92524004326666598</v>
      </c>
      <c r="P190" s="86">
        <v>0.85593340579999999</v>
      </c>
      <c r="Q190" s="86">
        <v>0.78606621213333305</v>
      </c>
      <c r="R190" s="86">
        <v>0.77834437229999998</v>
      </c>
      <c r="S190" s="86">
        <v>0.72584392513333296</v>
      </c>
      <c r="T190" s="86">
        <v>0.72019521926666596</v>
      </c>
      <c r="U190" s="86">
        <v>0.72136363010000004</v>
      </c>
      <c r="V190" s="86">
        <v>0.74601909740000005</v>
      </c>
      <c r="W190" s="86">
        <v>0.75818635106666599</v>
      </c>
      <c r="X190" s="86">
        <v>0.749986332233333</v>
      </c>
      <c r="Y190" s="86">
        <v>0.75792507726666603</v>
      </c>
      <c r="Z190" s="86">
        <v>0.75104133070000001</v>
      </c>
      <c r="AA190" s="86">
        <v>0.78944140786666595</v>
      </c>
      <c r="AB190" s="86">
        <v>0.76868492063333305</v>
      </c>
      <c r="AC190" s="86">
        <v>0.78628682539999994</v>
      </c>
      <c r="AD190" s="86">
        <v>0.75728315406666602</v>
      </c>
      <c r="AE190" s="86">
        <v>0.73114681816666605</v>
      </c>
      <c r="AF190" s="86">
        <v>0.71784513556666596</v>
      </c>
      <c r="AG190" s="86">
        <v>0.71229682540000006</v>
      </c>
      <c r="AH190" s="86">
        <v>0.70043630813333302</v>
      </c>
      <c r="AI190" s="86">
        <v>0.68556176673333302</v>
      </c>
      <c r="AJ190" s="86">
        <v>0.683401645</v>
      </c>
      <c r="AK190" s="86">
        <v>0.65910368686666598</v>
      </c>
      <c r="AL190" s="86">
        <v>0.65664896826666597</v>
      </c>
      <c r="AM190" s="86">
        <v>0.715518063233333</v>
      </c>
      <c r="AN190" s="86">
        <v>0.73041904759999998</v>
      </c>
      <c r="AO190" s="86">
        <v>0.77304060640000005</v>
      </c>
      <c r="AP190" s="86">
        <v>0.77026238093333299</v>
      </c>
      <c r="AQ190" s="86">
        <v>0.73492409813333304</v>
      </c>
      <c r="AR190" s="86">
        <v>0.728890108233333</v>
      </c>
      <c r="AS190" s="86">
        <v>0.72352059876666597</v>
      </c>
      <c r="AT190" s="86">
        <v>0.71599444443333304</v>
      </c>
      <c r="AU190" s="86">
        <v>0.68341262626666599</v>
      </c>
      <c r="AV190" s="86">
        <v>0.65689348483333299</v>
      </c>
      <c r="AW190" s="86">
        <v>0.68501434783333304</v>
      </c>
      <c r="AX190" s="86">
        <v>0.66845858806666603</v>
      </c>
      <c r="AY190" s="86">
        <v>0.65501240983333298</v>
      </c>
      <c r="AZ190" s="86">
        <v>0.65082302346666598</v>
      </c>
      <c r="BA190" s="86">
        <v>0.65804442203333302</v>
      </c>
      <c r="BB190" s="86">
        <v>0.65923898169999995</v>
      </c>
      <c r="BC190" s="86">
        <v>0.67010262249999997</v>
      </c>
      <c r="BD190" s="86">
        <v>0.65296902596666595</v>
      </c>
      <c r="BE190" s="86">
        <v>0.62732888890000005</v>
      </c>
      <c r="BF190" s="86">
        <v>0.64048591706666602</v>
      </c>
      <c r="BG190" s="86">
        <v>0.65428945983333298</v>
      </c>
      <c r="BH190" s="86">
        <v>0.65275019041265103</v>
      </c>
      <c r="BI190" s="86">
        <v>0.65305260122761999</v>
      </c>
      <c r="BJ190" s="86">
        <v>0.65284852879043698</v>
      </c>
      <c r="BK190" s="86">
        <v>0.65225747220619601</v>
      </c>
      <c r="BL190" s="86">
        <v>0.65153307830493301</v>
      </c>
      <c r="BM190" s="86">
        <v>0.65059046978368096</v>
      </c>
      <c r="BN190" s="86">
        <v>0.65027581472200702</v>
      </c>
      <c r="BO190" s="86">
        <v>0.65019375385070899</v>
      </c>
      <c r="BP190" s="86">
        <v>0.65022479332935801</v>
      </c>
      <c r="BQ190" s="86">
        <v>0.65017316318424601</v>
      </c>
      <c r="BR190" s="86">
        <v>0.65010577563563299</v>
      </c>
      <c r="BS190" s="86">
        <v>0.64994975212943396</v>
      </c>
      <c r="BT190" s="86">
        <v>0.64973469094772895</v>
      </c>
    </row>
    <row r="191" spans="1:72" x14ac:dyDescent="0.65">
      <c r="A191" s="82" t="s">
        <v>66</v>
      </c>
      <c r="B191" s="81" t="str">
        <f t="shared" si="4"/>
        <v>IMF.RES.GAS:GAS_LIVE_2026_JAN_GAS1_VINTAGE</v>
      </c>
      <c r="C191" s="81" t="s">
        <v>783</v>
      </c>
      <c r="D191" s="82"/>
      <c r="E191" s="86">
        <v>0.81842137420000005</v>
      </c>
      <c r="F191" s="86">
        <v>0.79183734436666597</v>
      </c>
      <c r="G191" s="86">
        <v>0.80845854416666596</v>
      </c>
      <c r="H191" s="86">
        <v>0.82358612436666601</v>
      </c>
      <c r="I191" s="86">
        <v>0.83473409983333302</v>
      </c>
      <c r="J191" s="86">
        <v>0.82156486653333305</v>
      </c>
      <c r="K191" s="86">
        <v>0.797724683166666</v>
      </c>
      <c r="L191" s="86">
        <v>0.8280931373</v>
      </c>
      <c r="M191" s="86">
        <v>0.83623907286666599</v>
      </c>
      <c r="N191" s="86">
        <v>0.86169786820000005</v>
      </c>
      <c r="O191" s="86">
        <v>0.84325183010000004</v>
      </c>
      <c r="P191" s="86">
        <v>0.78217047390000005</v>
      </c>
      <c r="Q191" s="86">
        <v>0.751884230866666</v>
      </c>
      <c r="R191" s="86">
        <v>0.73225206840000001</v>
      </c>
      <c r="S191" s="86">
        <v>0.65115817233333295</v>
      </c>
      <c r="T191" s="86">
        <v>0.66579374260000002</v>
      </c>
      <c r="U191" s="86">
        <v>0.66287796809999999</v>
      </c>
      <c r="V191" s="86">
        <v>0.69096051280000004</v>
      </c>
      <c r="W191" s="86">
        <v>0.72203257633333295</v>
      </c>
      <c r="X191" s="86">
        <v>0.71198272376666605</v>
      </c>
      <c r="Y191" s="86">
        <v>0.71184862116666603</v>
      </c>
      <c r="Z191" s="86">
        <v>0.70456965216666601</v>
      </c>
      <c r="AA191" s="86">
        <v>0.73020068843333297</v>
      </c>
      <c r="AB191" s="86">
        <v>0.69677612863333305</v>
      </c>
      <c r="AC191" s="86">
        <v>0.72745872546666601</v>
      </c>
      <c r="AD191" s="86">
        <v>0.705071787633333</v>
      </c>
      <c r="AE191" s="86">
        <v>0.66846865583333304</v>
      </c>
      <c r="AF191" s="86">
        <v>0.67080528936666595</v>
      </c>
      <c r="AG191" s="86">
        <v>0.68142632716666596</v>
      </c>
      <c r="AH191" s="86">
        <v>0.66300253706666601</v>
      </c>
      <c r="AI191" s="86">
        <v>0.64872794363333297</v>
      </c>
      <c r="AJ191" s="86">
        <v>0.64397739009999999</v>
      </c>
      <c r="AK191" s="86">
        <v>0.63504172299999995</v>
      </c>
      <c r="AL191" s="86">
        <v>0.61750926696666597</v>
      </c>
      <c r="AM191" s="86">
        <v>0.66179183763333305</v>
      </c>
      <c r="AN191" s="86">
        <v>0.68574307580000005</v>
      </c>
      <c r="AO191" s="86">
        <v>0.71939581883333303</v>
      </c>
      <c r="AP191" s="86">
        <v>0.71530617826666598</v>
      </c>
      <c r="AQ191" s="86">
        <v>0.70038325776666599</v>
      </c>
      <c r="AR191" s="86">
        <v>0.69502938523333302</v>
      </c>
      <c r="AS191" s="86">
        <v>0.6757356162</v>
      </c>
      <c r="AT191" s="86">
        <v>0.65126960273333301</v>
      </c>
      <c r="AU191" s="86">
        <v>0.61389727176666598</v>
      </c>
      <c r="AV191" s="86">
        <v>0.60285707489999996</v>
      </c>
      <c r="AW191" s="86">
        <v>0.63037353103333305</v>
      </c>
      <c r="AX191" s="86">
        <v>0.61873472563333298</v>
      </c>
      <c r="AY191" s="86">
        <v>0.60492779216666603</v>
      </c>
      <c r="AZ191" s="86">
        <v>0.60376423216666597</v>
      </c>
      <c r="BA191" s="86">
        <v>0.61298958199999998</v>
      </c>
      <c r="BB191" s="86">
        <v>0.60547650866666602</v>
      </c>
      <c r="BC191" s="86">
        <v>0.61113709016666595</v>
      </c>
      <c r="BD191" s="86">
        <v>0.59223427756666602</v>
      </c>
      <c r="BE191" s="86">
        <v>0.56783093333333301</v>
      </c>
      <c r="BF191" s="86">
        <v>0.59229935113333299</v>
      </c>
      <c r="BG191" s="86">
        <v>0.59307062516666598</v>
      </c>
      <c r="BH191" s="86">
        <v>0.570477170523215</v>
      </c>
      <c r="BI191" s="86">
        <v>0.56815305204642896</v>
      </c>
      <c r="BJ191" s="86">
        <v>0.56742976696110103</v>
      </c>
      <c r="BK191" s="86">
        <v>0.56662983513019805</v>
      </c>
      <c r="BL191" s="86">
        <v>0.56584260653401497</v>
      </c>
      <c r="BM191" s="86">
        <v>0.56476988578516596</v>
      </c>
      <c r="BN191" s="86">
        <v>0.564241757108495</v>
      </c>
      <c r="BO191" s="86">
        <v>0.56382265243782503</v>
      </c>
      <c r="BP191" s="86">
        <v>0.563439005782572</v>
      </c>
      <c r="BQ191" s="86">
        <v>0.56314675774871903</v>
      </c>
      <c r="BR191" s="86">
        <v>0.56264072291062495</v>
      </c>
      <c r="BS191" s="86">
        <v>0.56208299189629995</v>
      </c>
      <c r="BT191" s="86">
        <v>0.56152703019561301</v>
      </c>
    </row>
    <row r="192" spans="1:72" x14ac:dyDescent="0.65">
      <c r="A192" s="82" t="s">
        <v>67</v>
      </c>
      <c r="B192" s="81" t="str">
        <f t="shared" si="4"/>
        <v>IMF.RES.GAS:GAS_LIVE_2026_JAN_GAS1_VINTAGE</v>
      </c>
      <c r="C192" s="81" t="s">
        <v>784</v>
      </c>
      <c r="D192" s="82"/>
      <c r="E192" s="86">
        <v>0.26518254240060501</v>
      </c>
      <c r="F192" s="86">
        <v>0.26151995398522099</v>
      </c>
      <c r="G192" s="86">
        <v>0.25073129961099899</v>
      </c>
      <c r="H192" s="86">
        <v>0.26037824278226102</v>
      </c>
      <c r="I192" s="86">
        <v>0.26967988997724801</v>
      </c>
      <c r="J192" s="86">
        <v>0.27576824436943798</v>
      </c>
      <c r="K192" s="86">
        <v>0.27914507166882202</v>
      </c>
      <c r="L192" s="86">
        <v>0.283580678713304</v>
      </c>
      <c r="M192" s="86">
        <v>0.28593486403388702</v>
      </c>
      <c r="N192" s="86">
        <v>0.28860584140469397</v>
      </c>
      <c r="O192" s="86">
        <v>0.28439523355576202</v>
      </c>
      <c r="P192" s="86">
        <v>0.260876370683919</v>
      </c>
      <c r="Q192" s="86">
        <v>0.253440454167916</v>
      </c>
      <c r="R192" s="86">
        <v>0.25807783628182501</v>
      </c>
      <c r="S192" s="86">
        <v>0.25981224234211697</v>
      </c>
      <c r="T192" s="86">
        <v>0.25787152837997601</v>
      </c>
      <c r="U192" s="86">
        <v>0.25583081054668499</v>
      </c>
      <c r="V192" s="86">
        <v>0.26204306239298503</v>
      </c>
      <c r="W192" s="86">
        <v>0.26273153217586198</v>
      </c>
      <c r="X192" s="86">
        <v>0.26102163866637401</v>
      </c>
      <c r="Y192" s="86">
        <v>0.26793848129779502</v>
      </c>
      <c r="Z192" s="86">
        <v>0.27831895355330499</v>
      </c>
      <c r="AA192" s="86">
        <v>0.28065214152650297</v>
      </c>
      <c r="AB192" s="86">
        <v>0.28490901689831799</v>
      </c>
      <c r="AC192" s="86">
        <v>0.28883732199894502</v>
      </c>
      <c r="AD192" s="86">
        <v>0.28085588228539099</v>
      </c>
      <c r="AE192" s="86">
        <v>0.27512116962349698</v>
      </c>
      <c r="AF192" s="86">
        <v>0.269922364007599</v>
      </c>
      <c r="AG192" s="86">
        <v>0.27442428674424102</v>
      </c>
      <c r="AH192" s="86">
        <v>0.27816026859117499</v>
      </c>
      <c r="AI192" s="86">
        <v>0.28355569560941801</v>
      </c>
      <c r="AJ192" s="86">
        <v>0.28633413525592499</v>
      </c>
      <c r="AK192" s="86">
        <v>0.28539555176450199</v>
      </c>
      <c r="AL192" s="86">
        <v>0.284531969161683</v>
      </c>
      <c r="AM192" s="86">
        <v>0.29263762997888298</v>
      </c>
      <c r="AN192" s="86">
        <v>0.29994221893050899</v>
      </c>
      <c r="AO192" s="86">
        <v>0.30602676517595501</v>
      </c>
      <c r="AP192" s="86">
        <v>0.306452653883723</v>
      </c>
      <c r="AQ192" s="86">
        <v>0.30921932739416602</v>
      </c>
      <c r="AR192" s="86">
        <v>0.316855983922115</v>
      </c>
      <c r="AS192" s="86">
        <v>0.31277794727546199</v>
      </c>
      <c r="AT192" s="86">
        <v>0.298856281757368</v>
      </c>
      <c r="AU192" s="86">
        <v>0.29392890154690199</v>
      </c>
      <c r="AV192" s="86">
        <v>0.28628456364229399</v>
      </c>
      <c r="AW192" s="86">
        <v>0.282795083764322</v>
      </c>
      <c r="AX192" s="86">
        <v>0.27414563383956903</v>
      </c>
      <c r="AY192" s="86">
        <v>0.26703749367047702</v>
      </c>
      <c r="AZ192" s="86">
        <v>0.26731672645256799</v>
      </c>
      <c r="BA192" s="86">
        <v>0.27304971247509902</v>
      </c>
      <c r="BB192" s="86">
        <v>0.26844367262280699</v>
      </c>
      <c r="BC192" s="86">
        <v>0.269154933738668</v>
      </c>
      <c r="BD192" s="86">
        <v>0.27056033044417499</v>
      </c>
      <c r="BE192" s="86">
        <v>0.27679873037581298</v>
      </c>
      <c r="BF192" s="86">
        <v>0.279256804564054</v>
      </c>
      <c r="BG192" s="86">
        <v>0.29729166436919402</v>
      </c>
      <c r="BH192" s="86">
        <v>0.30666208914644399</v>
      </c>
      <c r="BI192" s="86">
        <v>0.30767134296324899</v>
      </c>
      <c r="BJ192" s="86">
        <v>0.306995272260637</v>
      </c>
      <c r="BK192" s="86">
        <v>0.306126371465481</v>
      </c>
      <c r="BL192" s="86">
        <v>0.30516380980028102</v>
      </c>
      <c r="BM192" s="86">
        <v>0.304364111652554</v>
      </c>
      <c r="BN192" s="86">
        <v>0.30347777057279002</v>
      </c>
      <c r="BO192" s="86">
        <v>0.30265974469231699</v>
      </c>
      <c r="BP192" s="86">
        <v>0.30188398850494103</v>
      </c>
      <c r="BQ192" s="86">
        <v>0.30107662093684001</v>
      </c>
      <c r="BR192" s="86">
        <v>0.30031537244413897</v>
      </c>
      <c r="BS192" s="86">
        <v>0.29954964098443498</v>
      </c>
      <c r="BT192" s="86">
        <v>0.29878218576760801</v>
      </c>
    </row>
    <row r="193" spans="1:72" x14ac:dyDescent="0.65">
      <c r="A193" s="82" t="s">
        <v>68</v>
      </c>
      <c r="B193" s="81" t="str">
        <f t="shared" si="4"/>
        <v>IMF.RES.GAS:GAS_LIVE_2026_JAN_GAS1_VINTAGE</v>
      </c>
      <c r="C193" s="81" t="s">
        <v>785</v>
      </c>
      <c r="D193" s="82"/>
      <c r="E193" s="86">
        <v>3.3643602120614E-2</v>
      </c>
      <c r="F193" s="86">
        <v>3.3717336314209E-2</v>
      </c>
      <c r="G193" s="86">
        <v>3.3481021850667501E-2</v>
      </c>
      <c r="H193" s="86">
        <v>3.42313353700371E-2</v>
      </c>
      <c r="I193" s="86">
        <v>3.3842092816916802E-2</v>
      </c>
      <c r="J193" s="86">
        <v>3.33863805826237E-2</v>
      </c>
      <c r="K193" s="86">
        <v>3.3388238446879201E-2</v>
      </c>
      <c r="L193" s="86">
        <v>3.3748059467563998E-2</v>
      </c>
      <c r="M193" s="86">
        <v>3.2935545110916398E-2</v>
      </c>
      <c r="N193" s="86">
        <v>3.3153567296054003E-2</v>
      </c>
      <c r="O193" s="86">
        <v>3.3262373620108303E-2</v>
      </c>
      <c r="P193" s="86">
        <v>3.2370840333090602E-2</v>
      </c>
      <c r="Q193" s="86">
        <v>3.16532492039866E-2</v>
      </c>
      <c r="R193" s="86">
        <v>3.2271944933276397E-2</v>
      </c>
      <c r="S193" s="86">
        <v>3.1049793538972401E-2</v>
      </c>
      <c r="T193" s="86">
        <v>3.0446034427779201E-2</v>
      </c>
      <c r="U193" s="86">
        <v>2.9984707792807701E-2</v>
      </c>
      <c r="V193" s="86">
        <v>3.08236067544332E-2</v>
      </c>
      <c r="W193" s="86">
        <v>3.1517902195658698E-2</v>
      </c>
      <c r="X193" s="86">
        <v>3.1466000973949602E-2</v>
      </c>
      <c r="Y193" s="86">
        <v>3.2155030116061599E-2</v>
      </c>
      <c r="Z193" s="86">
        <v>3.3035645444079297E-2</v>
      </c>
      <c r="AA193" s="86">
        <v>3.30221909187089E-2</v>
      </c>
      <c r="AB193" s="86">
        <v>3.3203470861236303E-2</v>
      </c>
      <c r="AC193" s="87">
        <v>3.4104861090883003E-2</v>
      </c>
      <c r="AD193" s="87">
        <v>3.3575073844457202E-2</v>
      </c>
      <c r="AE193" s="87">
        <v>3.2591337242785602E-2</v>
      </c>
      <c r="AF193" s="87">
        <v>3.2401957063763698E-2</v>
      </c>
      <c r="AG193" s="87">
        <v>3.2431380591553198E-2</v>
      </c>
      <c r="AH193" s="87">
        <v>3.2105477188013702E-2</v>
      </c>
      <c r="AI193" s="87">
        <v>3.2036222287054501E-2</v>
      </c>
      <c r="AJ193" s="87">
        <v>3.2774348611449497E-2</v>
      </c>
      <c r="AK193" s="87">
        <v>3.3170796429013202E-2</v>
      </c>
      <c r="AL193" s="87">
        <v>3.3408316463579502E-2</v>
      </c>
      <c r="AM193" s="87">
        <v>3.3920151947720398E-2</v>
      </c>
      <c r="AN193" s="87">
        <v>3.4755610108442699E-2</v>
      </c>
      <c r="AO193" s="87">
        <v>3.5225324653540897E-2</v>
      </c>
      <c r="AP193" s="87">
        <v>3.5724918106242197E-2</v>
      </c>
      <c r="AQ193" s="87">
        <v>3.58783008385875E-2</v>
      </c>
      <c r="AR193" s="87">
        <v>3.59173900129044E-2</v>
      </c>
      <c r="AS193" s="87">
        <v>3.57142857297085E-2</v>
      </c>
      <c r="AT193" s="87">
        <v>3.3945483562016099E-2</v>
      </c>
      <c r="AU193" s="87">
        <v>3.2895818945653001E-2</v>
      </c>
      <c r="AV193" s="87">
        <v>3.1880300116821698E-2</v>
      </c>
      <c r="AW193" s="87">
        <v>3.2897983363122003E-2</v>
      </c>
      <c r="AX193" s="87">
        <v>3.2563743558659403E-2</v>
      </c>
      <c r="AY193" s="87">
        <v>3.1557687432818303E-2</v>
      </c>
      <c r="AZ193" s="87">
        <v>3.1410652399158197E-2</v>
      </c>
      <c r="BA193" s="87">
        <v>3.17978504368805E-2</v>
      </c>
      <c r="BB193" s="87">
        <v>3.0907760943975199E-2</v>
      </c>
      <c r="BC193" s="87">
        <v>3.0961349895851802E-2</v>
      </c>
      <c r="BD193" s="87">
        <v>3.0917635397423801E-2</v>
      </c>
      <c r="BE193" s="87">
        <v>3.0403761933952101E-2</v>
      </c>
      <c r="BF193" s="87">
        <v>3.2416662163830601E-2</v>
      </c>
      <c r="BG193" s="87">
        <v>3.3352526675127198E-2</v>
      </c>
      <c r="BH193" s="87">
        <v>3.2415039137434799E-2</v>
      </c>
      <c r="BI193" s="87">
        <v>3.2419909074605499E-2</v>
      </c>
      <c r="BJ193" s="87">
        <v>3.25513756170068E-2</v>
      </c>
      <c r="BK193" s="87">
        <v>3.2677232213961203E-2</v>
      </c>
      <c r="BL193" s="87">
        <v>3.2798942460334102E-2</v>
      </c>
      <c r="BM193" s="87">
        <v>3.2932509467134198E-2</v>
      </c>
      <c r="BN193" s="87">
        <v>3.3049905932033198E-2</v>
      </c>
      <c r="BO193" s="87">
        <v>3.3166521280995502E-2</v>
      </c>
      <c r="BP193" s="87">
        <v>3.3283084410990399E-2</v>
      </c>
      <c r="BQ193" s="87">
        <v>3.3397123518884499E-2</v>
      </c>
      <c r="BR193" s="87">
        <v>3.3515453938432103E-2</v>
      </c>
      <c r="BS193" s="87">
        <v>3.3633485975056797E-2</v>
      </c>
      <c r="BT193" s="87">
        <v>3.3749409978731097E-2</v>
      </c>
    </row>
    <row r="194" spans="1:72" x14ac:dyDescent="0.65">
      <c r="A194" s="82" t="s">
        <v>69</v>
      </c>
      <c r="B194" s="81" t="str">
        <f t="shared" si="4"/>
        <v>IMF.RES.GAS:GAS_LIVE_2026_JAN_GAS1_VINTAGE</v>
      </c>
      <c r="C194" s="81" t="s">
        <v>786</v>
      </c>
      <c r="D194" s="82"/>
      <c r="E194" s="86">
        <v>0.12887151510106501</v>
      </c>
      <c r="F194" s="86">
        <v>0.12885490936618099</v>
      </c>
      <c r="G194" s="86">
        <v>0.128949065103903</v>
      </c>
      <c r="H194" s="86">
        <v>0.129026708556014</v>
      </c>
      <c r="I194" s="86">
        <v>0.12894352271533899</v>
      </c>
      <c r="J194" s="86">
        <v>0.128849375095516</v>
      </c>
      <c r="K194" s="86">
        <v>0.128949065103903</v>
      </c>
      <c r="L194" s="86">
        <v>0.128987875123071</v>
      </c>
      <c r="M194" s="86">
        <v>0.12889366275416</v>
      </c>
      <c r="N194" s="86">
        <v>0.128993421328083</v>
      </c>
      <c r="O194" s="86">
        <v>0.129021159491052</v>
      </c>
      <c r="P194" s="86">
        <v>0.128949065112267</v>
      </c>
      <c r="Q194" s="86">
        <v>0.128954607972391</v>
      </c>
      <c r="R194" s="86">
        <v>0.12901006279121599</v>
      </c>
      <c r="S194" s="86">
        <v>0.12901561090168301</v>
      </c>
      <c r="T194" s="86">
        <v>0.12903225809999999</v>
      </c>
      <c r="U194" s="86">
        <v>0.12864493996207299</v>
      </c>
      <c r="V194" s="86">
        <v>0.12886044414838399</v>
      </c>
      <c r="W194" s="86">
        <v>0.12891581799999999</v>
      </c>
      <c r="X194" s="86">
        <v>0.128893662735828</v>
      </c>
      <c r="Y194" s="86">
        <v>0.128843841292722</v>
      </c>
      <c r="Z194" s="86">
        <v>0.128413663218129</v>
      </c>
      <c r="AA194" s="86">
        <v>0.12795359548176899</v>
      </c>
      <c r="AB194" s="86">
        <v>0.128057369714976</v>
      </c>
      <c r="AC194" s="86">
        <v>0.127741111355789</v>
      </c>
      <c r="AD194" s="86">
        <v>0.12740476492130801</v>
      </c>
      <c r="AE194" s="86">
        <v>0.12744806488745999</v>
      </c>
      <c r="AF194" s="86">
        <v>0.127708484115022</v>
      </c>
      <c r="AG194" s="86">
        <v>0.12743182395445601</v>
      </c>
      <c r="AH194" s="86">
        <v>0.12755102036652599</v>
      </c>
      <c r="AI194" s="86">
        <v>0.127719357990739</v>
      </c>
      <c r="AJ194" s="86">
        <v>0.12776831346159201</v>
      </c>
      <c r="AK194" s="86">
        <v>0.12867252838609</v>
      </c>
      <c r="AL194" s="86">
        <v>0.12899342132305</v>
      </c>
      <c r="AM194" s="86">
        <v>0.12899896800223801</v>
      </c>
      <c r="AN194" s="86">
        <v>0.128982329402793</v>
      </c>
      <c r="AO194" s="86">
        <v>0.12889920080214201</v>
      </c>
      <c r="AP194" s="86">
        <v>0.12876641772612299</v>
      </c>
      <c r="AQ194" s="86">
        <v>0.128551227662492</v>
      </c>
      <c r="AR194" s="86">
        <v>0.128369704775875</v>
      </c>
      <c r="AS194" s="86">
        <v>0.128106584666629</v>
      </c>
      <c r="AT194" s="86">
        <v>0.12743182395445601</v>
      </c>
      <c r="AU194" s="86">
        <v>0.127404764930065</v>
      </c>
      <c r="AV194" s="86">
        <v>0.127822752486595</v>
      </c>
      <c r="AW194" s="86">
        <v>0.12756186751759899</v>
      </c>
      <c r="AX194" s="86">
        <v>0.127545597563926</v>
      </c>
      <c r="AY194" s="86">
        <v>0.12780641585298699</v>
      </c>
      <c r="AZ194" s="86">
        <v>0.12796996969986199</v>
      </c>
      <c r="BA194" s="86">
        <v>0.12784998933396</v>
      </c>
      <c r="BB194" s="86">
        <v>0.12790449797478501</v>
      </c>
      <c r="BC194" s="86">
        <v>0.12821060725740999</v>
      </c>
      <c r="BD194" s="86">
        <v>0.12860633598023</v>
      </c>
      <c r="BE194" s="86">
        <v>0.128512679895739</v>
      </c>
      <c r="BF194" s="86">
        <v>0.128090175464672</v>
      </c>
      <c r="BG194" s="86">
        <v>0.12785543811590699</v>
      </c>
      <c r="BH194" s="86">
        <v>0.12871043616924999</v>
      </c>
      <c r="BI194" s="86">
        <v>0.12934846192900801</v>
      </c>
      <c r="BJ194" s="86">
        <v>0.12971340257970601</v>
      </c>
      <c r="BK194" s="86">
        <v>0.129994093102591</v>
      </c>
      <c r="BL194" s="86">
        <v>0.130210430611788</v>
      </c>
      <c r="BM194" s="86">
        <v>0.130635290933246</v>
      </c>
      <c r="BN194" s="86">
        <v>0.13078035559033699</v>
      </c>
      <c r="BO194" s="86">
        <v>0.130911090322683</v>
      </c>
      <c r="BP194" s="86">
        <v>0.13103809702205699</v>
      </c>
      <c r="BQ194" s="86">
        <v>0.131145770491158</v>
      </c>
      <c r="BR194" s="86">
        <v>0.13129326044511899</v>
      </c>
      <c r="BS194" s="86">
        <v>0.13144765352175899</v>
      </c>
      <c r="BT194" s="86">
        <v>0.131598801958203</v>
      </c>
    </row>
    <row r="195" spans="1:72" x14ac:dyDescent="0.65">
      <c r="A195" s="82" t="s">
        <v>70</v>
      </c>
      <c r="B195" s="81" t="str">
        <f t="shared" si="4"/>
        <v>IMF.RES.GAS:GAS_LIVE_2026_JAN_GAS1_VINTAGE</v>
      </c>
      <c r="C195" s="81" t="s">
        <v>787</v>
      </c>
      <c r="D195" s="82"/>
      <c r="E195" s="86">
        <v>8.8362640275691396E-4</v>
      </c>
      <c r="F195" s="86">
        <v>8.6822387442009796E-4</v>
      </c>
      <c r="G195" s="86">
        <v>8.82397061029521E-4</v>
      </c>
      <c r="H195" s="86">
        <v>9.1703297039206198E-4</v>
      </c>
      <c r="I195" s="86">
        <v>9.2187706462050804E-4</v>
      </c>
      <c r="J195" s="86">
        <v>8.9081304506623098E-4</v>
      </c>
      <c r="K195" s="86">
        <v>9.0047905485718404E-4</v>
      </c>
      <c r="L195" s="86">
        <v>9.4153388423527098E-4</v>
      </c>
      <c r="M195" s="86">
        <v>9.3547119684184903E-4</v>
      </c>
      <c r="N195" s="86">
        <v>9.7121952798730898E-4</v>
      </c>
      <c r="O195" s="86">
        <v>9.74491072037628E-4</v>
      </c>
      <c r="P195" s="86">
        <v>9.2032726837663404E-4</v>
      </c>
      <c r="Q195" s="86">
        <v>9.0913774345951104E-4</v>
      </c>
      <c r="R195" s="86">
        <v>9.1126413598490905E-4</v>
      </c>
      <c r="S195" s="86">
        <v>8.5541247989780601E-4</v>
      </c>
      <c r="T195" s="86">
        <v>8.6395825353718903E-4</v>
      </c>
      <c r="U195" s="86">
        <v>8.3173513117502701E-4</v>
      </c>
      <c r="V195" s="86">
        <v>8.5971709576102104E-4</v>
      </c>
      <c r="W195" s="86">
        <v>8.9199169853059195E-4</v>
      </c>
      <c r="X195" s="86">
        <v>8.6393924165133499E-4</v>
      </c>
      <c r="Y195" s="86">
        <v>8.6585334176097204E-4</v>
      </c>
      <c r="Z195" s="86">
        <v>8.8546509053880496E-4</v>
      </c>
      <c r="AA195" s="86">
        <v>8.8318937346545804E-4</v>
      </c>
      <c r="AB195" s="86">
        <v>9.0296443223101402E-4</v>
      </c>
      <c r="AC195" s="86">
        <v>9.3220681318886204E-4</v>
      </c>
      <c r="AD195" s="86">
        <v>9.2679837501351595E-4</v>
      </c>
      <c r="AE195" s="86">
        <v>8.9164970055430803E-4</v>
      </c>
      <c r="AF195" s="86">
        <v>8.8697302715024396E-4</v>
      </c>
      <c r="AG195" s="86">
        <v>8.8884411748148902E-4</v>
      </c>
      <c r="AH195" s="86">
        <v>8.5717714422862696E-4</v>
      </c>
      <c r="AI195" s="86">
        <v>8.3755834989837597E-4</v>
      </c>
      <c r="AJ195" s="86">
        <v>8.5047995418747904E-4</v>
      </c>
      <c r="AK195" s="86">
        <v>8.3841974646186798E-4</v>
      </c>
      <c r="AL195" s="86">
        <v>8.1879740495809095E-4</v>
      </c>
      <c r="AM195" s="86">
        <v>8.41620961972759E-4</v>
      </c>
      <c r="AN195" s="86">
        <v>8.9460308020418802E-4</v>
      </c>
      <c r="AO195" s="86">
        <v>8.9814174473015296E-4</v>
      </c>
      <c r="AP195" s="86">
        <v>8.91800783595621E-4</v>
      </c>
      <c r="AQ195" s="86">
        <v>8.6359266061384102E-4</v>
      </c>
      <c r="AR195" s="86">
        <v>8.4522518207559105E-4</v>
      </c>
      <c r="AS195" s="86">
        <v>8.3024757982830396E-4</v>
      </c>
      <c r="AT195" s="86">
        <v>7.9374108694904404E-4</v>
      </c>
      <c r="AU195" s="86">
        <v>7.4674605406939204E-4</v>
      </c>
      <c r="AV195" s="86">
        <v>7.3403833637551404E-4</v>
      </c>
      <c r="AW195" s="86">
        <v>7.8457627650560199E-4</v>
      </c>
      <c r="AX195" s="86">
        <v>7.6046976752439099E-4</v>
      </c>
      <c r="AY195" s="86">
        <v>7.6253609337508595E-4</v>
      </c>
      <c r="AZ195" s="86">
        <v>7.5660897943536796E-4</v>
      </c>
      <c r="BA195" s="86">
        <v>7.5263421976919196E-4</v>
      </c>
      <c r="BB195" s="86">
        <v>7.2933253917123399E-4</v>
      </c>
      <c r="BC195" s="86">
        <v>7.3667538399204303E-4</v>
      </c>
      <c r="BD195" s="86">
        <v>7.1619556913674498E-4</v>
      </c>
      <c r="BE195" s="86">
        <v>6.8834178464080001E-4</v>
      </c>
      <c r="BF195" s="86">
        <v>7.1330916007846402E-4</v>
      </c>
      <c r="BG195" s="86">
        <v>7.2169098383435099E-4</v>
      </c>
      <c r="BH195" s="86">
        <v>6.9454680205959798E-4</v>
      </c>
      <c r="BI195" s="86">
        <v>6.9158323627412695E-4</v>
      </c>
      <c r="BJ195" s="86">
        <v>6.92264355563949E-4</v>
      </c>
      <c r="BK195" s="86">
        <v>6.9233569613026203E-4</v>
      </c>
      <c r="BL195" s="86">
        <v>6.9207511343802298E-4</v>
      </c>
      <c r="BM195" s="86">
        <v>6.9235490275660304E-4</v>
      </c>
      <c r="BN195" s="86">
        <v>6.9218675813331905E-4</v>
      </c>
      <c r="BO195" s="86">
        <v>6.9216066757257604E-4</v>
      </c>
      <c r="BP195" s="86">
        <v>6.9221043640260499E-4</v>
      </c>
      <c r="BQ195" s="86">
        <v>6.9214680702814303E-4</v>
      </c>
      <c r="BR195" s="86">
        <v>6.9216825176874599E-4</v>
      </c>
      <c r="BS195" s="86">
        <v>6.9215364083647496E-4</v>
      </c>
      <c r="BT195" s="86">
        <v>6.9211967111986199E-4</v>
      </c>
    </row>
    <row r="196" spans="1:72" x14ac:dyDescent="0.65">
      <c r="A196" s="82" t="s">
        <v>71</v>
      </c>
      <c r="B196" s="81" t="str">
        <f t="shared" si="4"/>
        <v>IMF.RES.GAS:GAS_LIVE_2026_JAN_GAS1_VINTAGE</v>
      </c>
      <c r="C196" s="81" t="s">
        <v>788</v>
      </c>
      <c r="D196" s="82"/>
      <c r="E196" s="86">
        <v>0.79100886590367103</v>
      </c>
      <c r="F196" s="86">
        <v>0.79106726836607999</v>
      </c>
      <c r="G196" s="86">
        <v>0.80168889128494403</v>
      </c>
      <c r="H196" s="86">
        <v>0.81765158354733203</v>
      </c>
      <c r="I196" s="86">
        <v>0.80792847141317403</v>
      </c>
      <c r="J196" s="86">
        <v>0.80070462004437004</v>
      </c>
      <c r="K196" s="86">
        <v>0.78839482811582995</v>
      </c>
      <c r="L196" s="86">
        <v>0.79989334754795804</v>
      </c>
      <c r="M196" s="86">
        <v>0.78810487049105504</v>
      </c>
      <c r="N196" s="86">
        <v>0.79812706184927995</v>
      </c>
      <c r="O196" s="86">
        <v>0.79908371735021999</v>
      </c>
      <c r="P196" s="86">
        <v>0.77222064918525202</v>
      </c>
      <c r="Q196" s="86">
        <v>0.737300007395291</v>
      </c>
      <c r="R196" s="86">
        <v>0.74434299324934095</v>
      </c>
      <c r="S196" s="86">
        <v>0.71844241682948895</v>
      </c>
      <c r="T196" s="86">
        <v>0.71041227592937295</v>
      </c>
      <c r="U196" s="86">
        <v>0.71181132256200697</v>
      </c>
      <c r="V196" s="86">
        <v>0.73583517294140199</v>
      </c>
      <c r="W196" s="86">
        <v>0.73937948584055802</v>
      </c>
      <c r="X196" s="86">
        <v>0.70930370018051603</v>
      </c>
      <c r="Y196" s="86">
        <v>0.70596540768704097</v>
      </c>
      <c r="Z196" s="86">
        <v>0.71833919977570804</v>
      </c>
      <c r="AA196" s="86">
        <v>0.73491585213350896</v>
      </c>
      <c r="AB196" s="86">
        <v>0.73833431779374004</v>
      </c>
      <c r="AC196" s="86">
        <v>0.75822676034159497</v>
      </c>
      <c r="AD196" s="86">
        <v>0.74981254686913701</v>
      </c>
      <c r="AE196" s="86">
        <v>0.73106540596574199</v>
      </c>
      <c r="AF196" s="86">
        <v>0.72729035858035496</v>
      </c>
      <c r="AG196" s="86">
        <v>0.73817081273541396</v>
      </c>
      <c r="AH196" s="86">
        <v>0.73353220207722702</v>
      </c>
      <c r="AI196" s="86">
        <v>0.72713170775362501</v>
      </c>
      <c r="AJ196" s="86">
        <v>0.73346046651809405</v>
      </c>
      <c r="AK196" s="86">
        <v>0.72167428432504699</v>
      </c>
      <c r="AL196" s="86">
        <v>0.70811499787995602</v>
      </c>
      <c r="AM196" s="86">
        <v>0.72753728626031</v>
      </c>
      <c r="AN196" s="86">
        <v>0.74261102034818005</v>
      </c>
      <c r="AO196" s="86">
        <v>0.75086349303108901</v>
      </c>
      <c r="AP196" s="86">
        <v>0.75043149812042498</v>
      </c>
      <c r="AQ196" s="86">
        <v>0.73946265714885795</v>
      </c>
      <c r="AR196" s="86">
        <v>0.73679298571547702</v>
      </c>
      <c r="AS196" s="86">
        <v>0.73953557167178996</v>
      </c>
      <c r="AT196" s="86">
        <v>0.72626915533720504</v>
      </c>
      <c r="AU196" s="86">
        <v>0.71551230680298605</v>
      </c>
      <c r="AV196" s="86">
        <v>0.72047839765116595</v>
      </c>
      <c r="AW196" s="86">
        <v>0.75048781705631495</v>
      </c>
      <c r="AX196" s="86">
        <v>0.74677021880668104</v>
      </c>
      <c r="AY196" s="86">
        <v>0.74094198423766799</v>
      </c>
      <c r="AZ196" s="86">
        <v>0.74081390755606202</v>
      </c>
      <c r="BA196" s="86">
        <v>0.74625009331652503</v>
      </c>
      <c r="BB196" s="86">
        <v>0.73897085989882405</v>
      </c>
      <c r="BC196" s="86">
        <v>0.75772883414137804</v>
      </c>
      <c r="BD196" s="86">
        <v>0.75078832773900805</v>
      </c>
      <c r="BE196" s="86">
        <v>0.74154637135832102</v>
      </c>
      <c r="BF196" s="86">
        <v>0.76869859327474399</v>
      </c>
      <c r="BG196" s="86">
        <v>0.77897798090896098</v>
      </c>
      <c r="BH196" s="86">
        <v>0.76985063541163101</v>
      </c>
      <c r="BI196" s="86">
        <v>0.77258931101344896</v>
      </c>
      <c r="BJ196" s="86">
        <v>0.77371543616387195</v>
      </c>
      <c r="BK196" s="86">
        <v>0.77401473712836699</v>
      </c>
      <c r="BL196" s="86">
        <v>0.77384497476203995</v>
      </c>
      <c r="BM196" s="86">
        <v>0.77454653513855198</v>
      </c>
      <c r="BN196" s="86">
        <v>0.77441663127040095</v>
      </c>
      <c r="BO196" s="86">
        <v>0.77444296791939105</v>
      </c>
      <c r="BP196" s="86">
        <v>0.77455279468786098</v>
      </c>
      <c r="BQ196" s="86">
        <v>0.77453451750779501</v>
      </c>
      <c r="BR196" s="86">
        <v>0.77461325287918903</v>
      </c>
      <c r="BS196" s="86">
        <v>0.774652328667778</v>
      </c>
      <c r="BT196" s="86">
        <v>0.77467010557265104</v>
      </c>
    </row>
    <row r="197" spans="1:72" x14ac:dyDescent="0.65"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</row>
    <row r="198" spans="1:72" x14ac:dyDescent="0.65">
      <c r="A198" s="1" t="s">
        <v>134</v>
      </c>
      <c r="B198" s="114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</row>
    <row r="199" spans="1:72" x14ac:dyDescent="0.65">
      <c r="A199" s="82" t="s">
        <v>7</v>
      </c>
      <c r="B199" s="81" t="str">
        <f t="shared" si="4"/>
        <v>IMF.RES.GAS:GAS_LIVE_2026_JAN_GAS1_VINTAGE</v>
      </c>
      <c r="C199" s="81" t="s">
        <v>789</v>
      </c>
      <c r="D199" s="82"/>
      <c r="E199" s="86">
        <v>1.3201000000000001</v>
      </c>
      <c r="F199" s="86">
        <v>1.252628571</v>
      </c>
      <c r="G199" s="86">
        <v>1.2855700000000001</v>
      </c>
      <c r="H199" s="86">
        <v>1.3119368419999999</v>
      </c>
      <c r="I199" s="86">
        <v>1.29636</v>
      </c>
      <c r="J199" s="86">
        <v>1.318875</v>
      </c>
      <c r="K199" s="86">
        <v>1.334790476</v>
      </c>
      <c r="L199" s="86">
        <v>1.37036</v>
      </c>
      <c r="M199" s="86">
        <v>1.382252381</v>
      </c>
      <c r="N199" s="86">
        <v>1.359238095</v>
      </c>
      <c r="O199" s="86">
        <v>1.2901363640000001</v>
      </c>
      <c r="P199" s="86">
        <v>1.2331333330000001</v>
      </c>
      <c r="Q199" s="86">
        <v>1.083768182</v>
      </c>
      <c r="R199" s="86">
        <v>1.1213227269999999</v>
      </c>
      <c r="S199" s="86">
        <v>1.1221181819999999</v>
      </c>
      <c r="T199" s="86">
        <v>1.0877181819999999</v>
      </c>
      <c r="U199" s="86">
        <v>1.1099666669999999</v>
      </c>
      <c r="V199" s="86">
        <v>1.1228909090000001</v>
      </c>
      <c r="W199" s="86">
        <v>1.1212090910000001</v>
      </c>
      <c r="X199" s="86">
        <v>1.054290476</v>
      </c>
      <c r="Y199" s="86">
        <v>1.068469565</v>
      </c>
      <c r="Z199" s="86">
        <v>1.122945455</v>
      </c>
      <c r="AA199" s="86">
        <v>1.1914571430000001</v>
      </c>
      <c r="AB199" s="86">
        <v>1.183621053</v>
      </c>
      <c r="AC199" s="86">
        <v>1.233619048</v>
      </c>
      <c r="AD199" s="86">
        <v>1.167828571</v>
      </c>
      <c r="AE199" s="86">
        <v>1.16587</v>
      </c>
      <c r="AF199" s="86">
        <v>1.1384210530000001</v>
      </c>
      <c r="AG199" s="86">
        <v>1.1302476189999999</v>
      </c>
      <c r="AH199" s="86">
        <v>1.12934</v>
      </c>
      <c r="AI199" s="86">
        <v>1.1003904760000001</v>
      </c>
      <c r="AJ199" s="86">
        <v>1.111345</v>
      </c>
      <c r="AK199" s="86">
        <v>1.106340909</v>
      </c>
      <c r="AL199" s="86">
        <v>1.125459091</v>
      </c>
      <c r="AM199" s="86">
        <v>1.179240909</v>
      </c>
      <c r="AN199" s="86">
        <v>1.2169727269999999</v>
      </c>
      <c r="AO199" s="86">
        <v>1.189908696</v>
      </c>
      <c r="AP199" s="86">
        <v>1.204709091</v>
      </c>
      <c r="AQ199" s="86">
        <v>1.1770318179999999</v>
      </c>
      <c r="AR199" s="86">
        <v>1.1303782609999999</v>
      </c>
      <c r="AS199" s="86">
        <v>1.1018956520000001</v>
      </c>
      <c r="AT199" s="86">
        <v>1.056581818</v>
      </c>
      <c r="AU199" s="86">
        <v>0.99037727269999998</v>
      </c>
      <c r="AV199" s="86">
        <v>1.058880952</v>
      </c>
      <c r="AW199" s="86">
        <v>1.0705826089999999</v>
      </c>
      <c r="AX199" s="86">
        <v>1.083986364</v>
      </c>
      <c r="AY199" s="86">
        <v>1.0683809520000001</v>
      </c>
      <c r="AZ199" s="86">
        <v>1.0903052630000001</v>
      </c>
      <c r="BA199" s="86">
        <v>1.0872200000000001</v>
      </c>
      <c r="BB199" s="86">
        <v>1.0759000000000001</v>
      </c>
      <c r="BC199" s="86">
        <v>1.1106</v>
      </c>
      <c r="BD199" s="86">
        <v>1.0478749999999999</v>
      </c>
      <c r="BE199" s="86">
        <v>1.080680952</v>
      </c>
      <c r="BF199" s="86">
        <v>1.1516190479999999</v>
      </c>
      <c r="BG199" s="86">
        <v>1.1732229999999999</v>
      </c>
      <c r="BH199" s="86">
        <v>1.15772448863582</v>
      </c>
      <c r="BI199" s="86">
        <v>1.15867817788497</v>
      </c>
      <c r="BJ199" s="86">
        <v>1.1582078946640399</v>
      </c>
      <c r="BK199" s="86">
        <v>1.15741682164092</v>
      </c>
      <c r="BL199" s="86">
        <v>1.1565184170231899</v>
      </c>
      <c r="BM199" s="86">
        <v>1.1557366799286299</v>
      </c>
      <c r="BN199" s="86">
        <v>1.15513845603802</v>
      </c>
      <c r="BO199" s="86">
        <v>1.15475646887228</v>
      </c>
      <c r="BP199" s="86">
        <v>1.15427011355475</v>
      </c>
      <c r="BQ199" s="86">
        <v>1.15373052867936</v>
      </c>
      <c r="BR199" s="86">
        <v>1.15353082783255</v>
      </c>
      <c r="BS199" s="86">
        <v>1.1533409326141699</v>
      </c>
      <c r="BT199" s="86">
        <v>1.1531415271204299</v>
      </c>
    </row>
    <row r="200" spans="1:72" x14ac:dyDescent="0.65">
      <c r="A200" s="82" t="s">
        <v>125</v>
      </c>
      <c r="B200" s="81" t="str">
        <f t="shared" si="4"/>
        <v>IMF.RES.GAS:GAS_LIVE_2026_JAN_GAS1_VINTAGE</v>
      </c>
      <c r="C200" s="81" t="s">
        <v>790</v>
      </c>
      <c r="D200" s="82"/>
      <c r="E200" s="86">
        <v>1.3201000000000001</v>
      </c>
      <c r="F200" s="86">
        <v>1.252628571</v>
      </c>
      <c r="G200" s="86">
        <v>1.2855700000000001</v>
      </c>
      <c r="H200" s="86">
        <v>1.3119368419999999</v>
      </c>
      <c r="I200" s="86">
        <v>1.29636</v>
      </c>
      <c r="J200" s="86">
        <v>1.318875</v>
      </c>
      <c r="K200" s="86">
        <v>1.334790476</v>
      </c>
      <c r="L200" s="86">
        <v>1.37036</v>
      </c>
      <c r="M200" s="86">
        <v>1.382252381</v>
      </c>
      <c r="N200" s="86">
        <v>1.359238095</v>
      </c>
      <c r="O200" s="86">
        <v>1.2901363640000001</v>
      </c>
      <c r="P200" s="86">
        <v>1.2331333330000001</v>
      </c>
      <c r="Q200" s="86">
        <v>1.083768182</v>
      </c>
      <c r="R200" s="86">
        <v>1.1213227269999999</v>
      </c>
      <c r="S200" s="86">
        <v>1.1221181819999999</v>
      </c>
      <c r="T200" s="86">
        <v>1.0877181819999999</v>
      </c>
      <c r="U200" s="86">
        <v>1.1099666669999999</v>
      </c>
      <c r="V200" s="86">
        <v>1.1228909090000001</v>
      </c>
      <c r="W200" s="86">
        <v>1.1212090910000001</v>
      </c>
      <c r="X200" s="86">
        <v>1.054290476</v>
      </c>
      <c r="Y200" s="86">
        <v>1.068469565</v>
      </c>
      <c r="Z200" s="86">
        <v>1.122945455</v>
      </c>
      <c r="AA200" s="86">
        <v>1.1914571430000001</v>
      </c>
      <c r="AB200" s="86">
        <v>1.183621053</v>
      </c>
      <c r="AC200" s="86">
        <v>1.233619048</v>
      </c>
      <c r="AD200" s="86">
        <v>1.167828571</v>
      </c>
      <c r="AE200" s="86">
        <v>1.16587</v>
      </c>
      <c r="AF200" s="86">
        <v>1.1384210530000001</v>
      </c>
      <c r="AG200" s="86">
        <v>1.1302476189999999</v>
      </c>
      <c r="AH200" s="86">
        <v>1.12934</v>
      </c>
      <c r="AI200" s="86">
        <v>1.1003904760000001</v>
      </c>
      <c r="AJ200" s="86">
        <v>1.111345</v>
      </c>
      <c r="AK200" s="86">
        <v>1.106340909</v>
      </c>
      <c r="AL200" s="86">
        <v>1.125459091</v>
      </c>
      <c r="AM200" s="86">
        <v>1.179240909</v>
      </c>
      <c r="AN200" s="86">
        <v>1.2169727269999999</v>
      </c>
      <c r="AO200" s="86">
        <v>1.189908696</v>
      </c>
      <c r="AP200" s="86">
        <v>1.204709091</v>
      </c>
      <c r="AQ200" s="86">
        <v>1.1770318179999999</v>
      </c>
      <c r="AR200" s="86">
        <v>1.1303782609999999</v>
      </c>
      <c r="AS200" s="86">
        <v>1.1018956520000001</v>
      </c>
      <c r="AT200" s="86">
        <v>1.056581818</v>
      </c>
      <c r="AU200" s="86">
        <v>0.99037727269999998</v>
      </c>
      <c r="AV200" s="86">
        <v>1.058880952</v>
      </c>
      <c r="AW200" s="86">
        <v>1.0705826089999999</v>
      </c>
      <c r="AX200" s="86">
        <v>1.083986364</v>
      </c>
      <c r="AY200" s="86">
        <v>1.0683809520000001</v>
      </c>
      <c r="AZ200" s="86">
        <v>1.0903052630000001</v>
      </c>
      <c r="BA200" s="86">
        <v>1.0872200000000001</v>
      </c>
      <c r="BB200" s="86">
        <v>1.0759000000000001</v>
      </c>
      <c r="BC200" s="86">
        <v>1.1106</v>
      </c>
      <c r="BD200" s="86">
        <v>1.0478749999999999</v>
      </c>
      <c r="BE200" s="86">
        <v>1.080680952</v>
      </c>
      <c r="BF200" s="86">
        <v>1.1516190479999999</v>
      </c>
      <c r="BG200" s="86">
        <v>1.1732229999999999</v>
      </c>
      <c r="BH200" s="86">
        <v>1.15772448863582</v>
      </c>
      <c r="BI200" s="86">
        <v>1.15867817788497</v>
      </c>
      <c r="BJ200" s="86">
        <v>1.1582078946640399</v>
      </c>
      <c r="BK200" s="86">
        <v>1.15741682164092</v>
      </c>
      <c r="BL200" s="86">
        <v>1.1565184170231899</v>
      </c>
      <c r="BM200" s="86">
        <v>1.1557366799286299</v>
      </c>
      <c r="BN200" s="86">
        <v>1.15513845603802</v>
      </c>
      <c r="BO200" s="86">
        <v>1.15475646887228</v>
      </c>
      <c r="BP200" s="86">
        <v>1.15427011355475</v>
      </c>
      <c r="BQ200" s="86">
        <v>1.15373052867936</v>
      </c>
      <c r="BR200" s="86">
        <v>1.15353082783255</v>
      </c>
      <c r="BS200" s="86">
        <v>1.1533409326141699</v>
      </c>
      <c r="BT200" s="86">
        <v>1.1531415271204299</v>
      </c>
    </row>
    <row r="201" spans="1:72" x14ac:dyDescent="0.65">
      <c r="A201" s="82" t="s">
        <v>126</v>
      </c>
      <c r="B201" s="81" t="str">
        <f t="shared" si="4"/>
        <v>IMF.RES.GAS:GAS_LIVE_2026_JAN_GAS1_VINTAGE</v>
      </c>
      <c r="C201" s="81" t="s">
        <v>791</v>
      </c>
      <c r="D201" s="82"/>
      <c r="E201" s="86">
        <v>0.674956412367128</v>
      </c>
      <c r="F201" s="86">
        <v>0.64045881850672004</v>
      </c>
      <c r="G201" s="86">
        <v>0.65730150370942197</v>
      </c>
      <c r="H201" s="86">
        <v>0.67078265595680597</v>
      </c>
      <c r="I201" s="86">
        <v>0.66281834310752896</v>
      </c>
      <c r="J201" s="86">
        <v>0.67433007981266202</v>
      </c>
      <c r="K201" s="86">
        <v>0.68246753347683498</v>
      </c>
      <c r="L201" s="86">
        <v>0.70065394231605005</v>
      </c>
      <c r="M201" s="86">
        <v>0.70673442016944199</v>
      </c>
      <c r="N201" s="86">
        <v>0.694967402586114</v>
      </c>
      <c r="O201" s="86">
        <v>0.65963624854920899</v>
      </c>
      <c r="P201" s="86">
        <v>0.63049106159533197</v>
      </c>
      <c r="Q201" s="86">
        <v>0.55412187255538503</v>
      </c>
      <c r="R201" s="86">
        <v>0.57332320651590296</v>
      </c>
      <c r="S201" s="86">
        <v>0.57372991619925995</v>
      </c>
      <c r="T201" s="86">
        <v>0.55614147548611004</v>
      </c>
      <c r="U201" s="86">
        <v>0.56751694523552598</v>
      </c>
      <c r="V201" s="86">
        <v>0.57412500524074095</v>
      </c>
      <c r="W201" s="86">
        <v>0.57326510535169195</v>
      </c>
      <c r="X201" s="86">
        <v>0.53905016080129597</v>
      </c>
      <c r="Y201" s="86">
        <v>0.54629981388975501</v>
      </c>
      <c r="Z201" s="86">
        <v>0.574152894167693</v>
      </c>
      <c r="AA201" s="86">
        <v>0.60918236400914105</v>
      </c>
      <c r="AB201" s="86">
        <v>0.60517583481181902</v>
      </c>
      <c r="AC201" s="86">
        <v>0.63073940373140802</v>
      </c>
      <c r="AD201" s="86">
        <v>0.59710126698128096</v>
      </c>
      <c r="AE201" s="86">
        <v>0.59609986553023497</v>
      </c>
      <c r="AF201" s="86">
        <v>0.58206544178174902</v>
      </c>
      <c r="AG201" s="86">
        <v>0.57788643133605599</v>
      </c>
      <c r="AH201" s="86">
        <v>0.577422373110137</v>
      </c>
      <c r="AI201" s="86">
        <v>0.56262071652444201</v>
      </c>
      <c r="AJ201" s="86">
        <v>0.56822167570801096</v>
      </c>
      <c r="AK201" s="86">
        <v>0.56566312460694401</v>
      </c>
      <c r="AL201" s="86">
        <v>0.57543809584677597</v>
      </c>
      <c r="AM201" s="86">
        <v>0.60293630274614796</v>
      </c>
      <c r="AN201" s="86">
        <v>0.62222827495232202</v>
      </c>
      <c r="AO201" s="86">
        <v>0.60839065562957895</v>
      </c>
      <c r="AP201" s="86">
        <v>0.61595797743157599</v>
      </c>
      <c r="AQ201" s="86">
        <v>0.60180681245302503</v>
      </c>
      <c r="AR201" s="86">
        <v>0.57795322753</v>
      </c>
      <c r="AS201" s="86">
        <v>0.563390300793013</v>
      </c>
      <c r="AT201" s="86">
        <v>0.54022170536294001</v>
      </c>
      <c r="AU201" s="86">
        <v>0.50637185885276303</v>
      </c>
      <c r="AV201" s="86">
        <v>0.54139723391092198</v>
      </c>
      <c r="AW201" s="86">
        <v>0.54738019613156497</v>
      </c>
      <c r="AX201" s="86">
        <v>0.55423342724060798</v>
      </c>
      <c r="AY201" s="86">
        <v>0.54625450678228604</v>
      </c>
      <c r="AZ201" s="86">
        <v>0.557464228997407</v>
      </c>
      <c r="BA201" s="86">
        <v>0.55588675907415197</v>
      </c>
      <c r="BB201" s="86">
        <v>0.55009893497901097</v>
      </c>
      <c r="BC201" s="86">
        <v>0.56784076325652</v>
      </c>
      <c r="BD201" s="86">
        <v>0.53576998000848697</v>
      </c>
      <c r="BE201" s="86">
        <v>0.55254339692099996</v>
      </c>
      <c r="BF201" s="86">
        <v>0.58881346947331803</v>
      </c>
      <c r="BG201" s="86">
        <v>0.59985939473267103</v>
      </c>
      <c r="BH201" s="86">
        <v>0.59203007626714199</v>
      </c>
      <c r="BI201" s="86">
        <v>0.59310028118323299</v>
      </c>
      <c r="BJ201" s="86">
        <v>0.59385020666086097</v>
      </c>
      <c r="BK201" s="86">
        <v>0.59442777439344596</v>
      </c>
      <c r="BL201" s="86">
        <v>0.59499920952770202</v>
      </c>
      <c r="BM201" s="86">
        <v>0.59561645682720099</v>
      </c>
      <c r="BN201" s="86">
        <v>0.59618572531788505</v>
      </c>
      <c r="BO201" s="86">
        <v>0.59680493045719596</v>
      </c>
      <c r="BP201" s="86">
        <v>0.59740612403501603</v>
      </c>
      <c r="BQ201" s="86">
        <v>0.59798761909707399</v>
      </c>
      <c r="BR201" s="86">
        <v>0.59860869571895303</v>
      </c>
      <c r="BS201" s="86">
        <v>0.59922085082080701</v>
      </c>
      <c r="BT201" s="86">
        <v>0.59981898468040795</v>
      </c>
    </row>
    <row r="202" spans="1:72" x14ac:dyDescent="0.65">
      <c r="A202" s="82" t="s">
        <v>127</v>
      </c>
      <c r="B202" s="81" t="str">
        <f t="shared" si="4"/>
        <v>IMF.RES.GAS:GAS_LIVE_2026_JAN_GAS1_VINTAGE</v>
      </c>
      <c r="C202" s="81" t="s">
        <v>792</v>
      </c>
      <c r="D202" s="82"/>
      <c r="E202" s="86">
        <v>1.3201000000000001</v>
      </c>
      <c r="F202" s="86">
        <v>1.252628571</v>
      </c>
      <c r="G202" s="86">
        <v>1.2855700000000001</v>
      </c>
      <c r="H202" s="86">
        <v>1.3119368419999999</v>
      </c>
      <c r="I202" s="86">
        <v>1.29636</v>
      </c>
      <c r="J202" s="86">
        <v>1.318875</v>
      </c>
      <c r="K202" s="86">
        <v>1.334790476</v>
      </c>
      <c r="L202" s="86">
        <v>1.37036</v>
      </c>
      <c r="M202" s="86">
        <v>1.382252381</v>
      </c>
      <c r="N202" s="86">
        <v>1.359238095</v>
      </c>
      <c r="O202" s="86">
        <v>1.2901363640000001</v>
      </c>
      <c r="P202" s="86">
        <v>1.2331333330000001</v>
      </c>
      <c r="Q202" s="86">
        <v>1.083768182</v>
      </c>
      <c r="R202" s="86">
        <v>1.1213227269999999</v>
      </c>
      <c r="S202" s="86">
        <v>1.1221181819999999</v>
      </c>
      <c r="T202" s="86">
        <v>1.0877181819999999</v>
      </c>
      <c r="U202" s="86">
        <v>1.1099666669999999</v>
      </c>
      <c r="V202" s="86">
        <v>1.1228909090000001</v>
      </c>
      <c r="W202" s="86">
        <v>1.1212090910000001</v>
      </c>
      <c r="X202" s="86">
        <v>1.054290476</v>
      </c>
      <c r="Y202" s="86">
        <v>1.068469565</v>
      </c>
      <c r="Z202" s="86">
        <v>1.122945455</v>
      </c>
      <c r="AA202" s="86">
        <v>1.1914571430000001</v>
      </c>
      <c r="AB202" s="86">
        <v>1.183621053</v>
      </c>
      <c r="AC202" s="86">
        <v>1.233619048</v>
      </c>
      <c r="AD202" s="86">
        <v>1.167828571</v>
      </c>
      <c r="AE202" s="86">
        <v>1.16587</v>
      </c>
      <c r="AF202" s="86">
        <v>1.1384210530000001</v>
      </c>
      <c r="AG202" s="86">
        <v>1.1302476189999999</v>
      </c>
      <c r="AH202" s="86">
        <v>1.12934</v>
      </c>
      <c r="AI202" s="86">
        <v>1.1003904760000001</v>
      </c>
      <c r="AJ202" s="86">
        <v>1.111345</v>
      </c>
      <c r="AK202" s="86">
        <v>1.106340909</v>
      </c>
      <c r="AL202" s="86">
        <v>1.125459091</v>
      </c>
      <c r="AM202" s="86">
        <v>1.179240909</v>
      </c>
      <c r="AN202" s="86">
        <v>1.2169727269999999</v>
      </c>
      <c r="AO202" s="86">
        <v>1.189908696</v>
      </c>
      <c r="AP202" s="86">
        <v>1.204709091</v>
      </c>
      <c r="AQ202" s="86">
        <v>1.1770318179999999</v>
      </c>
      <c r="AR202" s="86">
        <v>1.1303782609999999</v>
      </c>
      <c r="AS202" s="86">
        <v>1.1018956520000001</v>
      </c>
      <c r="AT202" s="86">
        <v>1.056581818</v>
      </c>
      <c r="AU202" s="86">
        <v>0.99037727269999998</v>
      </c>
      <c r="AV202" s="86">
        <v>1.058880952</v>
      </c>
      <c r="AW202" s="86">
        <v>1.0705826089999999</v>
      </c>
      <c r="AX202" s="86">
        <v>1.083986364</v>
      </c>
      <c r="AY202" s="86">
        <v>1.0683809520000001</v>
      </c>
      <c r="AZ202" s="86">
        <v>1.0903052630000001</v>
      </c>
      <c r="BA202" s="86">
        <v>1.0872200000000001</v>
      </c>
      <c r="BB202" s="86">
        <v>1.0759000000000001</v>
      </c>
      <c r="BC202" s="86">
        <v>1.1106</v>
      </c>
      <c r="BD202" s="86">
        <v>1.0478749999999999</v>
      </c>
      <c r="BE202" s="86">
        <v>1.080680952</v>
      </c>
      <c r="BF202" s="86">
        <v>1.1516190479999999</v>
      </c>
      <c r="BG202" s="86">
        <v>1.1732229999999999</v>
      </c>
      <c r="BH202" s="86">
        <v>1.15772448863582</v>
      </c>
      <c r="BI202" s="86">
        <v>1.15867817788497</v>
      </c>
      <c r="BJ202" s="86">
        <v>1.1582078946640399</v>
      </c>
      <c r="BK202" s="86">
        <v>1.15741682164092</v>
      </c>
      <c r="BL202" s="86">
        <v>1.1565184170231899</v>
      </c>
      <c r="BM202" s="86">
        <v>1.1557366799286299</v>
      </c>
      <c r="BN202" s="86">
        <v>1.15513845603802</v>
      </c>
      <c r="BO202" s="86">
        <v>1.15475646887228</v>
      </c>
      <c r="BP202" s="86">
        <v>1.15427011355475</v>
      </c>
      <c r="BQ202" s="86">
        <v>1.15373052867936</v>
      </c>
      <c r="BR202" s="86">
        <v>1.15353082783255</v>
      </c>
      <c r="BS202" s="86">
        <v>1.1533409326141699</v>
      </c>
      <c r="BT202" s="86">
        <v>1.1531415271204299</v>
      </c>
    </row>
    <row r="203" spans="1:72" x14ac:dyDescent="0.65">
      <c r="A203" s="82" t="s">
        <v>128</v>
      </c>
      <c r="B203" s="81" t="str">
        <f t="shared" si="4"/>
        <v>IMF.RES.GAS:GAS_LIVE_2026_JAN_GAS1_VINTAGE</v>
      </c>
      <c r="C203" s="81" t="s">
        <v>793</v>
      </c>
      <c r="D203" s="82"/>
      <c r="E203" s="86">
        <v>0.20124794765510501</v>
      </c>
      <c r="F203" s="86">
        <v>0.190961994612451</v>
      </c>
      <c r="G203" s="86">
        <v>0.195983883089897</v>
      </c>
      <c r="H203" s="86">
        <v>0.200003482240451</v>
      </c>
      <c r="I203" s="86">
        <v>0.197628807985889</v>
      </c>
      <c r="J203" s="86">
        <v>0.201061197608989</v>
      </c>
      <c r="K203" s="86">
        <v>0.20348749628405499</v>
      </c>
      <c r="L203" s="86">
        <v>0.20891003526145699</v>
      </c>
      <c r="M203" s="86">
        <v>0.21072301705752</v>
      </c>
      <c r="N203" s="86">
        <v>0.20721451177439901</v>
      </c>
      <c r="O203" s="86">
        <v>0.19668002079404601</v>
      </c>
      <c r="P203" s="86">
        <v>0.18798996473854199</v>
      </c>
      <c r="Q203" s="86">
        <v>0.165219394259074</v>
      </c>
      <c r="R203" s="86">
        <v>0.170944547737123</v>
      </c>
      <c r="S203" s="86">
        <v>0.171065814070129</v>
      </c>
      <c r="T203" s="86">
        <v>0.16582156787716201</v>
      </c>
      <c r="U203" s="86">
        <v>0.169213327550433</v>
      </c>
      <c r="V203" s="86">
        <v>0.171183615541872</v>
      </c>
      <c r="W203" s="86">
        <v>0.17092722404060001</v>
      </c>
      <c r="X203" s="86">
        <v>0.16072554694896099</v>
      </c>
      <c r="Y203" s="86">
        <v>0.16288713513233299</v>
      </c>
      <c r="Z203" s="86">
        <v>0.171191931025966</v>
      </c>
      <c r="AA203" s="86">
        <v>0.181636470530842</v>
      </c>
      <c r="AB203" s="86">
        <v>0.180441866311358</v>
      </c>
      <c r="AC203" s="86">
        <v>0.18806401151294899</v>
      </c>
      <c r="AD203" s="86">
        <v>0.178034317950719</v>
      </c>
      <c r="AE203" s="86">
        <v>0.177735735726579</v>
      </c>
      <c r="AF203" s="86">
        <v>0.17355117073222701</v>
      </c>
      <c r="AG203" s="86">
        <v>0.17230513875147299</v>
      </c>
      <c r="AH203" s="86">
        <v>0.17216677312689699</v>
      </c>
      <c r="AI203" s="86">
        <v>0.167753446643606</v>
      </c>
      <c r="AJ203" s="86">
        <v>0.169423453061709</v>
      </c>
      <c r="AK203" s="86">
        <v>0.168660584306593</v>
      </c>
      <c r="AL203" s="86">
        <v>0.17157513236385899</v>
      </c>
      <c r="AM203" s="86">
        <v>0.17977411766320001</v>
      </c>
      <c r="AN203" s="86">
        <v>0.18552629623588099</v>
      </c>
      <c r="AO203" s="86">
        <v>0.181400411307448</v>
      </c>
      <c r="AP203" s="86">
        <v>0.183656716979924</v>
      </c>
      <c r="AQ203" s="86">
        <v>0.17943734391126201</v>
      </c>
      <c r="AR203" s="86">
        <v>0.172325054995983</v>
      </c>
      <c r="AS203" s="86">
        <v>0.16798290924557499</v>
      </c>
      <c r="AT203" s="86">
        <v>0.16107485978501601</v>
      </c>
      <c r="AU203" s="86">
        <v>0.15098204191738099</v>
      </c>
      <c r="AV203" s="86">
        <v>0.16142536050381301</v>
      </c>
      <c r="AW203" s="86">
        <v>0.16320926661351201</v>
      </c>
      <c r="AX203" s="86">
        <v>0.16525265589055299</v>
      </c>
      <c r="AY203" s="86">
        <v>0.16287362616756801</v>
      </c>
      <c r="AZ203" s="86">
        <v>0.16621596583312601</v>
      </c>
      <c r="BA203" s="86">
        <v>0.16574562052085701</v>
      </c>
      <c r="BB203" s="86">
        <v>0.164019897645729</v>
      </c>
      <c r="BC203" s="86">
        <v>0.169309878543868</v>
      </c>
      <c r="BD203" s="86">
        <v>0.15974751393765099</v>
      </c>
      <c r="BE203" s="86">
        <v>0.164748749079589</v>
      </c>
      <c r="BF203" s="86">
        <v>0.17556319209948201</v>
      </c>
      <c r="BG203" s="86">
        <v>0.178856693350326</v>
      </c>
      <c r="BH203" s="86">
        <v>0.17628021762837601</v>
      </c>
      <c r="BI203" s="86">
        <v>0.17572753016169201</v>
      </c>
      <c r="BJ203" s="86">
        <v>0.17488286202181</v>
      </c>
      <c r="BK203" s="86">
        <v>0.173968964333129</v>
      </c>
      <c r="BL203" s="86">
        <v>0.173108638714316</v>
      </c>
      <c r="BM203" s="86">
        <v>0.17229068247954299</v>
      </c>
      <c r="BN203" s="86">
        <v>0.17136918504951601</v>
      </c>
      <c r="BO203" s="86">
        <v>0.170473928129908</v>
      </c>
      <c r="BP203" s="86">
        <v>0.16959132315352499</v>
      </c>
      <c r="BQ203" s="86">
        <v>0.168725865932223</v>
      </c>
      <c r="BR203" s="86">
        <v>0.167891669573526</v>
      </c>
      <c r="BS203" s="86">
        <v>0.167071078791106</v>
      </c>
      <c r="BT203" s="86">
        <v>0.166277459226882</v>
      </c>
    </row>
    <row r="204" spans="1:72" x14ac:dyDescent="0.65">
      <c r="A204" s="82" t="s">
        <v>8</v>
      </c>
      <c r="B204" s="81" t="str">
        <f t="shared" si="4"/>
        <v>IMF.RES.GAS:GAS_LIVE_2026_JAN_GAS1_VINTAGE</v>
      </c>
      <c r="C204" s="81" t="s">
        <v>794</v>
      </c>
      <c r="D204" s="82"/>
      <c r="E204" s="86">
        <v>1.2130804699999999E-2</v>
      </c>
      <c r="F204" s="86">
        <v>1.2606933799999999E-2</v>
      </c>
      <c r="G204" s="86">
        <v>1.2792995099999999E-2</v>
      </c>
      <c r="H204" s="86">
        <v>1.1964903000000001E-2</v>
      </c>
      <c r="I204" s="86">
        <v>1.0549811799999999E-2</v>
      </c>
      <c r="J204" s="86">
        <v>1.02742072E-2</v>
      </c>
      <c r="K204" s="86">
        <v>1.00726349E-2</v>
      </c>
      <c r="L204" s="86">
        <v>9.6700970000000008E-3</v>
      </c>
      <c r="M204" s="86">
        <v>9.7777994999999895E-3</v>
      </c>
      <c r="N204" s="86">
        <v>9.7988894999999892E-3</v>
      </c>
      <c r="O204" s="86">
        <v>9.3245126999999903E-3</v>
      </c>
      <c r="P204" s="86">
        <v>8.3813421999999905E-3</v>
      </c>
      <c r="Q204" s="86">
        <v>8.3065572999999893E-3</v>
      </c>
      <c r="R204" s="86">
        <v>8.0807784000000004E-3</v>
      </c>
      <c r="S204" s="86">
        <v>8.3135885999999892E-3</v>
      </c>
      <c r="T204" s="86">
        <v>8.2018305999999892E-3</v>
      </c>
      <c r="U204" s="86">
        <v>8.8440432999999999E-3</v>
      </c>
      <c r="V204" s="86">
        <v>9.4794080999999995E-3</v>
      </c>
      <c r="W204" s="86">
        <v>9.8092868000000007E-3</v>
      </c>
      <c r="X204" s="86">
        <v>8.6281648999999901E-3</v>
      </c>
      <c r="Y204" s="86">
        <v>8.8484184999999896E-3</v>
      </c>
      <c r="Z204" s="86">
        <v>9.0166520999999996E-3</v>
      </c>
      <c r="AA204" s="86">
        <v>9.0315342999999892E-3</v>
      </c>
      <c r="AB204" s="86">
        <v>8.8535142000000008E-3</v>
      </c>
      <c r="AC204" s="86">
        <v>9.4339198999999901E-3</v>
      </c>
      <c r="AD204" s="86">
        <v>9.0888237999999996E-3</v>
      </c>
      <c r="AE204" s="86">
        <v>8.9328407999999995E-3</v>
      </c>
      <c r="AF204" s="86">
        <v>8.8831422999999902E-3</v>
      </c>
      <c r="AG204" s="86">
        <v>8.9923205999999992E-3</v>
      </c>
      <c r="AH204" s="86">
        <v>9.2543750000000004E-3</v>
      </c>
      <c r="AI204" s="86">
        <v>9.3038641999999908E-3</v>
      </c>
      <c r="AJ204" s="86">
        <v>9.1613065000000007E-3</v>
      </c>
      <c r="AK204" s="86">
        <v>9.3202848999999893E-3</v>
      </c>
      <c r="AL204" s="86">
        <v>9.2975686999999894E-3</v>
      </c>
      <c r="AM204" s="86">
        <v>9.4615832999999996E-3</v>
      </c>
      <c r="AN204" s="86">
        <v>9.6256744999999901E-3</v>
      </c>
      <c r="AO204" s="86">
        <v>9.2039024999999997E-3</v>
      </c>
      <c r="AP204" s="86">
        <v>9.0821646999999991E-3</v>
      </c>
      <c r="AQ204" s="86">
        <v>9.07286039999999E-3</v>
      </c>
      <c r="AR204" s="86">
        <v>8.8015407999999899E-3</v>
      </c>
      <c r="AS204" s="86">
        <v>8.4381388999999907E-3</v>
      </c>
      <c r="AT204" s="86">
        <v>7.4740809999999901E-3</v>
      </c>
      <c r="AU204" s="86">
        <v>6.9788541000000001E-3</v>
      </c>
      <c r="AV204" s="86">
        <v>7.3843053000000004E-3</v>
      </c>
      <c r="AW204" s="86">
        <v>7.4710243000000003E-3</v>
      </c>
      <c r="AX204" s="86">
        <v>7.0842314999999996E-3</v>
      </c>
      <c r="AY204" s="86">
        <v>6.7681171999999902E-3</v>
      </c>
      <c r="AZ204" s="86">
        <v>6.9111485000000004E-3</v>
      </c>
      <c r="BA204" s="86">
        <v>6.6833750999999901E-3</v>
      </c>
      <c r="BB204" s="86">
        <v>6.3362903000000002E-3</v>
      </c>
      <c r="BC204" s="86">
        <v>6.982238E-3</v>
      </c>
      <c r="BD204" s="86">
        <v>6.5566245999999998E-3</v>
      </c>
      <c r="BE204" s="86">
        <v>6.7035361E-3</v>
      </c>
      <c r="BF204" s="86">
        <v>6.9224272999999998E-3</v>
      </c>
      <c r="BG204" s="86">
        <v>6.7580304999999901E-3</v>
      </c>
      <c r="BH204" s="86">
        <v>6.5090206069026903E-3</v>
      </c>
      <c r="BI204" s="86">
        <v>6.5443193079077798E-3</v>
      </c>
      <c r="BJ204" s="86">
        <v>6.5565006557088802E-3</v>
      </c>
      <c r="BK204" s="86">
        <v>6.5678859065668701E-3</v>
      </c>
      <c r="BL204" s="86">
        <v>6.57167621005794E-3</v>
      </c>
      <c r="BM204" s="86">
        <v>6.5768089541078699E-3</v>
      </c>
      <c r="BN204" s="86">
        <v>6.6031020934135803E-3</v>
      </c>
      <c r="BO204" s="86">
        <v>6.6286815420977599E-3</v>
      </c>
      <c r="BP204" s="86">
        <v>6.6663755695733603E-3</v>
      </c>
      <c r="BQ204" s="86">
        <v>6.7033061018420903E-3</v>
      </c>
      <c r="BR204" s="86">
        <v>6.7069343603435999E-3</v>
      </c>
      <c r="BS204" s="86">
        <v>6.7064870436190603E-3</v>
      </c>
      <c r="BT204" s="86">
        <v>6.6987269888692403E-3</v>
      </c>
    </row>
    <row r="205" spans="1:72" x14ac:dyDescent="0.65">
      <c r="A205" s="82" t="s">
        <v>9</v>
      </c>
      <c r="B205" s="81" t="str">
        <f t="shared" si="4"/>
        <v>IMF.RES.GAS:GAS_LIVE_2026_JAN_GAS1_VINTAGE</v>
      </c>
      <c r="C205" s="81" t="s">
        <v>795</v>
      </c>
      <c r="D205" s="82"/>
      <c r="E205" s="86">
        <v>1.581644761</v>
      </c>
      <c r="F205" s="86">
        <v>1.5563320439999999</v>
      </c>
      <c r="G205" s="86">
        <v>1.6117607329999999</v>
      </c>
      <c r="H205" s="86">
        <v>1.5509999999999999</v>
      </c>
      <c r="I205" s="86">
        <v>1.5072951750000001</v>
      </c>
      <c r="J205" s="86">
        <v>1.5501464890000001</v>
      </c>
      <c r="K205" s="86">
        <v>1.586797842</v>
      </c>
      <c r="L205" s="86">
        <v>1.6375147759999999</v>
      </c>
      <c r="M205" s="86">
        <v>1.662320877</v>
      </c>
      <c r="N205" s="86">
        <v>1.690390651</v>
      </c>
      <c r="O205" s="86">
        <v>1.6296318320000001</v>
      </c>
      <c r="P205" s="86">
        <v>1.5708</v>
      </c>
      <c r="Q205" s="86">
        <v>1.4975767959999999</v>
      </c>
      <c r="R205" s="86">
        <v>1.555181277</v>
      </c>
      <c r="S205" s="86">
        <v>1.5355917990000001</v>
      </c>
      <c r="T205" s="86">
        <v>1.49890506</v>
      </c>
      <c r="U205" s="86">
        <v>1.422551847</v>
      </c>
      <c r="V205" s="86">
        <v>1.4198949789999999</v>
      </c>
      <c r="W205" s="86">
        <v>1.3138775949999999</v>
      </c>
      <c r="X205" s="86">
        <v>1.2498148229999999</v>
      </c>
      <c r="Y205" s="86">
        <v>1.2332465829999999</v>
      </c>
      <c r="Z205" s="86">
        <v>1.2801172730000001</v>
      </c>
      <c r="AA205" s="86">
        <v>1.3328024999999999</v>
      </c>
      <c r="AB205" s="86">
        <v>1.3404324999999999</v>
      </c>
      <c r="AC205" s="86">
        <v>1.3969857139999999</v>
      </c>
      <c r="AD205" s="86">
        <v>1.3291738099999999</v>
      </c>
      <c r="AE205" s="86">
        <v>1.306186842</v>
      </c>
      <c r="AF205" s="86">
        <v>1.2676833329999999</v>
      </c>
      <c r="AG205" s="86">
        <v>1.317014286</v>
      </c>
      <c r="AH205" s="86">
        <v>1.2676925000000001</v>
      </c>
      <c r="AI205" s="86">
        <v>1.2361124999999999</v>
      </c>
      <c r="AJ205" s="86">
        <v>1.313083333</v>
      </c>
      <c r="AK205" s="86">
        <v>1.238102273</v>
      </c>
      <c r="AL205" s="86">
        <v>1.2521954550000001</v>
      </c>
      <c r="AM205" s="86">
        <v>1.2956049999999999</v>
      </c>
      <c r="AN205" s="86">
        <v>1.3375117649999999</v>
      </c>
      <c r="AO205" s="86">
        <v>1.385706522</v>
      </c>
      <c r="AP205" s="86">
        <v>1.403022727</v>
      </c>
      <c r="AQ205" s="86">
        <v>1.372542105</v>
      </c>
      <c r="AR205" s="86">
        <v>1.327273529</v>
      </c>
      <c r="AS205" s="86">
        <v>1.317582609</v>
      </c>
      <c r="AT205" s="86">
        <v>1.230257895</v>
      </c>
      <c r="AU205" s="86">
        <v>1.1319049999999999</v>
      </c>
      <c r="AV205" s="86">
        <v>1.2207294120000001</v>
      </c>
      <c r="AW205" s="86">
        <v>1.2137108700000001</v>
      </c>
      <c r="AX205" s="86">
        <v>1.261709524</v>
      </c>
      <c r="AY205" s="86">
        <v>1.238815</v>
      </c>
      <c r="AZ205" s="86">
        <v>1.2640562500000001</v>
      </c>
      <c r="BA205" s="86">
        <v>1.271455</v>
      </c>
      <c r="BB205" s="86">
        <v>1.271028947</v>
      </c>
      <c r="BC205" s="86">
        <v>1.3220700000000001</v>
      </c>
      <c r="BD205" s="86">
        <v>1.2683</v>
      </c>
      <c r="BE205" s="86">
        <v>1.2909428570000001</v>
      </c>
      <c r="BF205" s="86">
        <v>1.355985</v>
      </c>
      <c r="BG205" s="86">
        <v>1.3504285709999999</v>
      </c>
      <c r="BH205" s="86">
        <v>1.3172075410244699</v>
      </c>
      <c r="BI205" s="86">
        <v>1.3216479645877901</v>
      </c>
      <c r="BJ205" s="86">
        <v>1.32696987859071</v>
      </c>
      <c r="BK205" s="86">
        <v>1.3320428350728599</v>
      </c>
      <c r="BL205" s="86">
        <v>1.3371695168453299</v>
      </c>
      <c r="BM205" s="86">
        <v>1.34232074094274</v>
      </c>
      <c r="BN205" s="86">
        <v>1.3471939173507399</v>
      </c>
      <c r="BO205" s="86">
        <v>1.35225160940047</v>
      </c>
      <c r="BP205" s="86">
        <v>1.35689297455613</v>
      </c>
      <c r="BQ205" s="86">
        <v>1.3614848273907401</v>
      </c>
      <c r="BR205" s="86">
        <v>1.3671860944859</v>
      </c>
      <c r="BS205" s="86">
        <v>1.37303346978937</v>
      </c>
      <c r="BT205" s="86">
        <v>1.37894042030687</v>
      </c>
    </row>
    <row r="206" spans="1:72" x14ac:dyDescent="0.65">
      <c r="A206" s="82" t="s">
        <v>15</v>
      </c>
      <c r="B206" s="81" t="str">
        <f t="shared" si="4"/>
        <v>IMF.RES.GAS:GAS_LIVE_2026_JAN_GAS1_VINTAGE</v>
      </c>
      <c r="C206" s="81" t="s">
        <v>796</v>
      </c>
      <c r="D206" s="82"/>
      <c r="E206" s="86">
        <v>1.094603604</v>
      </c>
      <c r="F206" s="86">
        <v>1.0434730759999999</v>
      </c>
      <c r="G206" s="86">
        <v>1.064318444</v>
      </c>
      <c r="H206" s="86">
        <v>1.0847101539999999</v>
      </c>
      <c r="I206" s="86">
        <v>1.0568472579999999</v>
      </c>
      <c r="J206" s="86">
        <v>1.0719198679999999</v>
      </c>
      <c r="K206" s="86">
        <v>1.082274508</v>
      </c>
      <c r="L206" s="86">
        <v>1.1185353069999999</v>
      </c>
      <c r="M206" s="86">
        <v>1.1347280529999999</v>
      </c>
      <c r="N206" s="86">
        <v>1.115893512</v>
      </c>
      <c r="O206" s="86">
        <v>1.067805659</v>
      </c>
      <c r="P206" s="86">
        <v>1.0254857630000001</v>
      </c>
      <c r="Q206" s="86">
        <v>1.0202098719999999</v>
      </c>
      <c r="R206" s="86">
        <v>1.0727311740000001</v>
      </c>
      <c r="S206" s="86">
        <v>1.028736026</v>
      </c>
      <c r="T206" s="86">
        <v>1.004126045</v>
      </c>
      <c r="U206" s="86">
        <v>1.0172535039999999</v>
      </c>
      <c r="V206" s="86">
        <v>1.0308457150000001</v>
      </c>
      <c r="W206" s="86">
        <v>1.026869759</v>
      </c>
      <c r="X206" s="86">
        <v>0.98106543709999905</v>
      </c>
      <c r="Y206" s="86">
        <v>0.99790440079999998</v>
      </c>
      <c r="Z206" s="86">
        <v>1.0328444539999999</v>
      </c>
      <c r="AA206" s="86">
        <v>1.0392849719999999</v>
      </c>
      <c r="AB206" s="86">
        <v>1.0132738880000001</v>
      </c>
      <c r="AC206" s="86">
        <v>1.0558547140000001</v>
      </c>
      <c r="AD206" s="86">
        <v>1.0105705679999999</v>
      </c>
      <c r="AE206" s="86">
        <v>1.033164583</v>
      </c>
      <c r="AF206" s="86">
        <v>1.0077495940000001</v>
      </c>
      <c r="AG206" s="86">
        <v>0.99938038419999997</v>
      </c>
      <c r="AH206" s="86">
        <v>1.0112245929999999</v>
      </c>
      <c r="AI206" s="86">
        <v>1.009591116</v>
      </c>
      <c r="AJ206" s="86">
        <v>1.016725128</v>
      </c>
      <c r="AK206" s="86">
        <v>1.044921161</v>
      </c>
      <c r="AL206" s="86">
        <v>1.051458373</v>
      </c>
      <c r="AM206" s="86">
        <v>1.093649179</v>
      </c>
      <c r="AN206" s="86">
        <v>1.1250239070000001</v>
      </c>
      <c r="AO206" s="86">
        <v>1.0759051049999999</v>
      </c>
      <c r="AP206" s="86">
        <v>1.10144289</v>
      </c>
      <c r="AQ206" s="86">
        <v>1.08421064</v>
      </c>
      <c r="AR206" s="86">
        <v>1.085894234</v>
      </c>
      <c r="AS206" s="86">
        <v>1.0756505000000001</v>
      </c>
      <c r="AT206" s="86">
        <v>1.031331862</v>
      </c>
      <c r="AU206" s="86">
        <v>1.027823173</v>
      </c>
      <c r="AV206" s="86">
        <v>1.072903814</v>
      </c>
      <c r="AW206" s="86">
        <v>1.0804736800000001</v>
      </c>
      <c r="AX206" s="86">
        <v>1.110087364</v>
      </c>
      <c r="AY206" s="86">
        <v>1.113300602</v>
      </c>
      <c r="AZ206" s="86">
        <v>1.1546944100000001</v>
      </c>
      <c r="BA206" s="86">
        <v>1.1262529560000001</v>
      </c>
      <c r="BB206" s="86">
        <v>1.118680852</v>
      </c>
      <c r="BC206" s="86">
        <v>1.180372762</v>
      </c>
      <c r="BD206" s="86">
        <v>1.1221707270000001</v>
      </c>
      <c r="BE206" s="86">
        <v>1.1318491020000001</v>
      </c>
      <c r="BF206" s="86">
        <v>1.228863547</v>
      </c>
      <c r="BG206" s="86">
        <v>1.255387706</v>
      </c>
      <c r="BH206" s="86">
        <v>1.2498215019927601</v>
      </c>
      <c r="BI206" s="86">
        <v>1.2555519108625299</v>
      </c>
      <c r="BJ206" s="86">
        <v>1.2610852559177299</v>
      </c>
      <c r="BK206" s="86">
        <v>1.26647955996812</v>
      </c>
      <c r="BL206" s="86">
        <v>1.2717441721780001</v>
      </c>
      <c r="BM206" s="86">
        <v>1.2770376570904001</v>
      </c>
      <c r="BN206" s="86">
        <v>1.28259573330474</v>
      </c>
      <c r="BO206" s="86">
        <v>1.28831463047438</v>
      </c>
      <c r="BP206" s="86">
        <v>1.29388503381929</v>
      </c>
      <c r="BQ206" s="86">
        <v>1.29940065330245</v>
      </c>
      <c r="BR206" s="86">
        <v>1.3053253109377201</v>
      </c>
      <c r="BS206" s="86">
        <v>1.3113025260747799</v>
      </c>
      <c r="BT206" s="86">
        <v>1.31721744072019</v>
      </c>
    </row>
    <row r="207" spans="1:72" x14ac:dyDescent="0.65">
      <c r="A207" s="1"/>
      <c r="B207" s="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</row>
    <row r="208" spans="1:72" x14ac:dyDescent="0.65">
      <c r="A208" s="82" t="s">
        <v>40</v>
      </c>
      <c r="B208" s="112" t="s">
        <v>634</v>
      </c>
      <c r="C208" s="81" t="s">
        <v>797</v>
      </c>
      <c r="D208" s="82"/>
      <c r="E208" s="86">
        <v>0.64853150912094903</v>
      </c>
      <c r="F208" s="86">
        <v>0.65372044040781296</v>
      </c>
      <c r="G208" s="86">
        <v>0.65837411079741004</v>
      </c>
      <c r="H208" s="86">
        <v>0.65096486832020795</v>
      </c>
      <c r="I208" s="86">
        <v>0.65714034197925097</v>
      </c>
      <c r="J208" s="86">
        <v>0.66406269751095903</v>
      </c>
      <c r="K208" s="86">
        <v>0.659986337352646</v>
      </c>
      <c r="L208" s="86">
        <v>0.65107555007538598</v>
      </c>
      <c r="M208" s="86">
        <v>0.64897101890377995</v>
      </c>
      <c r="N208" s="86">
        <v>0.647033396521833</v>
      </c>
      <c r="O208" s="86">
        <v>0.65702333365000098</v>
      </c>
      <c r="P208" s="86">
        <v>0.68030313720399005</v>
      </c>
      <c r="Q208" s="86">
        <v>0.71130147218670203</v>
      </c>
      <c r="R208" s="86">
        <v>0.71549036244030495</v>
      </c>
      <c r="S208" s="86">
        <v>0.71350255575193899</v>
      </c>
      <c r="T208" s="86">
        <v>0.71876154421272598</v>
      </c>
      <c r="U208" s="86">
        <v>0.71943216328409698</v>
      </c>
      <c r="V208" s="86">
        <v>0.70959877397587501</v>
      </c>
      <c r="W208" s="86">
        <v>0.71625382263969395</v>
      </c>
      <c r="X208" s="86">
        <v>0.73272919959539995</v>
      </c>
      <c r="Y208" s="86">
        <v>0.73862511349152704</v>
      </c>
      <c r="Z208" s="86">
        <v>0.72830389461654099</v>
      </c>
      <c r="AA208" s="86">
        <v>0.70975967293034803</v>
      </c>
      <c r="AB208" s="86">
        <v>0.70870029044424798</v>
      </c>
      <c r="AC208" s="86">
        <v>0.69085953113619103</v>
      </c>
      <c r="AD208" s="86">
        <v>0.69958535139313005</v>
      </c>
      <c r="AE208" s="86">
        <v>0.71415746192558605</v>
      </c>
      <c r="AF208" s="86">
        <v>0.72104643044509098</v>
      </c>
      <c r="AG208" s="86">
        <v>0.71815010253739697</v>
      </c>
      <c r="AH208" s="86">
        <v>0.72213047707214295</v>
      </c>
      <c r="AI208" s="86">
        <v>0.72773490797550799</v>
      </c>
      <c r="AJ208" s="86">
        <v>0.72709676265548495</v>
      </c>
      <c r="AK208" s="86">
        <v>0.72798471721845004</v>
      </c>
      <c r="AL208" s="86">
        <v>0.73050118224893001</v>
      </c>
      <c r="AM208" s="86">
        <v>0.71159403516432396</v>
      </c>
      <c r="AN208" s="86">
        <v>0.70209848823732701</v>
      </c>
      <c r="AO208" s="86">
        <v>0.69605202116604503</v>
      </c>
      <c r="AP208" s="86">
        <v>0.69693099321001095</v>
      </c>
      <c r="AQ208" s="86">
        <v>0.70329270033968605</v>
      </c>
      <c r="AR208" s="86">
        <v>0.71184159124838198</v>
      </c>
      <c r="AS208" s="86">
        <v>0.71719596112832296</v>
      </c>
      <c r="AT208" s="86">
        <v>0.74176627439120302</v>
      </c>
      <c r="AU208" s="86">
        <v>0.76501122207702799</v>
      </c>
      <c r="AV208" s="86">
        <v>0.76739441218264004</v>
      </c>
      <c r="AW208" s="86">
        <v>0.74641461470853199</v>
      </c>
      <c r="AX208" s="86">
        <v>0.74556565399068098</v>
      </c>
      <c r="AY208" s="86">
        <v>0.75061065317791398</v>
      </c>
      <c r="AZ208" s="86">
        <v>0.75594167181118399</v>
      </c>
      <c r="BA208" s="86">
        <v>0.75204816026683396</v>
      </c>
      <c r="BB208" s="86">
        <v>0.75731737735120097</v>
      </c>
      <c r="BC208" s="86">
        <v>0.74744597666276602</v>
      </c>
      <c r="BD208" s="86">
        <v>0.75634872846627199</v>
      </c>
      <c r="BE208" s="86">
        <v>0.76189657675343503</v>
      </c>
      <c r="BF208" s="86">
        <v>0.73787580336163805</v>
      </c>
      <c r="BG208" s="86">
        <v>0.73067361297028299</v>
      </c>
      <c r="BH208" s="86">
        <v>0.73382184581617904</v>
      </c>
      <c r="BI208" s="86">
        <v>0.72865001411925001</v>
      </c>
      <c r="BJ208" s="86">
        <v>0.72753012143123197</v>
      </c>
      <c r="BK208" s="86">
        <v>0.72705702648669202</v>
      </c>
      <c r="BL208" s="86">
        <v>0.72671720702528897</v>
      </c>
      <c r="BM208" s="86">
        <v>0.72637158785700795</v>
      </c>
      <c r="BN208" s="86">
        <v>0.72605047070794304</v>
      </c>
      <c r="BO208" s="86">
        <v>0.725703733496461</v>
      </c>
      <c r="BP208" s="86">
        <v>0.72536100411302395</v>
      </c>
      <c r="BQ208" s="86">
        <v>0.72501867891598204</v>
      </c>
      <c r="BR208" s="86">
        <v>0.72477550303191796</v>
      </c>
      <c r="BS208" s="86">
        <v>0.724579215232248</v>
      </c>
      <c r="BT208" s="86">
        <v>0.72439769463256498</v>
      </c>
    </row>
    <row r="209" spans="1:72" x14ac:dyDescent="0.65">
      <c r="B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</row>
    <row r="210" spans="1:72" x14ac:dyDescent="0.65">
      <c r="A210" s="1" t="s">
        <v>163</v>
      </c>
      <c r="B210" s="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</row>
    <row r="211" spans="1:72" x14ac:dyDescent="0.65">
      <c r="A211" s="82" t="s">
        <v>10</v>
      </c>
      <c r="B211" s="81" t="str">
        <f>$A$2</f>
        <v>IMF.RES.GAS:GAS_LIVE_2026_JAN_GAS1_VINTAGE</v>
      </c>
      <c r="C211" s="81" t="s">
        <v>798</v>
      </c>
      <c r="D211" s="82"/>
      <c r="E211" s="83">
        <v>99.068284746448896</v>
      </c>
      <c r="F211" s="83">
        <v>99.727914902073096</v>
      </c>
      <c r="G211" s="83">
        <v>98.886309919454106</v>
      </c>
      <c r="H211" s="83">
        <v>96.578363113903606</v>
      </c>
      <c r="I211" s="83">
        <v>95.985225347323507</v>
      </c>
      <c r="J211" s="83">
        <v>98.210286286301297</v>
      </c>
      <c r="K211" s="83">
        <v>98.767696059286607</v>
      </c>
      <c r="L211" s="83">
        <v>98.377786958426498</v>
      </c>
      <c r="M211" s="83">
        <v>100.20800735709</v>
      </c>
      <c r="N211" s="83">
        <v>100.197640069434</v>
      </c>
      <c r="O211" s="83">
        <v>102.712579152296</v>
      </c>
      <c r="P211" s="83">
        <v>109.367680125402</v>
      </c>
      <c r="Q211" s="83">
        <v>119.0276898986</v>
      </c>
      <c r="R211" s="83">
        <v>119.654158766058</v>
      </c>
      <c r="S211" s="83">
        <v>122.159194815882</v>
      </c>
      <c r="T211" s="83">
        <v>123.74387193158</v>
      </c>
      <c r="U211" s="83">
        <v>122.859339871592</v>
      </c>
      <c r="V211" s="83">
        <v>119.414020983302</v>
      </c>
      <c r="W211" s="83">
        <v>120.981016365158</v>
      </c>
      <c r="X211" s="83">
        <v>126.824135755239</v>
      </c>
      <c r="Y211" s="83">
        <v>130.686029766058</v>
      </c>
      <c r="Z211" s="83">
        <v>128.72472929675001</v>
      </c>
      <c r="AA211" s="83">
        <v>123.36325878293501</v>
      </c>
      <c r="AB211" s="83">
        <v>123.518551913778</v>
      </c>
      <c r="AC211" s="83">
        <v>119.014699165179</v>
      </c>
      <c r="AD211" s="83">
        <v>122.069667038727</v>
      </c>
      <c r="AE211" s="83">
        <v>125.67065218014</v>
      </c>
      <c r="AF211" s="83">
        <v>128.411105742313</v>
      </c>
      <c r="AG211" s="83">
        <v>128.04458569452501</v>
      </c>
      <c r="AH211" s="83">
        <v>130.754289661549</v>
      </c>
      <c r="AI211" s="83">
        <v>132.70447818274201</v>
      </c>
      <c r="AJ211" s="83">
        <v>133.97374999147101</v>
      </c>
      <c r="AK211" s="83">
        <v>137.12085227165801</v>
      </c>
      <c r="AL211" s="83">
        <v>139.54783916056701</v>
      </c>
      <c r="AM211" s="83">
        <v>134.64578198314501</v>
      </c>
      <c r="AN211" s="83">
        <v>132.33213150102699</v>
      </c>
      <c r="AO211" s="83">
        <v>131.98948284790799</v>
      </c>
      <c r="AP211" s="83">
        <v>132.35028805741101</v>
      </c>
      <c r="AQ211" s="83">
        <v>135.423981207369</v>
      </c>
      <c r="AR211" s="83">
        <v>138.26819105326501</v>
      </c>
      <c r="AS211" s="83">
        <v>141.61519735920399</v>
      </c>
      <c r="AT211" s="83">
        <v>148.587239708429</v>
      </c>
      <c r="AU211" s="83">
        <v>155.40745369114501</v>
      </c>
      <c r="AV211" s="83">
        <v>156.62025116915399</v>
      </c>
      <c r="AW211" s="83">
        <v>149.75089824795</v>
      </c>
      <c r="AX211" s="83">
        <v>149.49973432789099</v>
      </c>
      <c r="AY211" s="83">
        <v>150.67904914720501</v>
      </c>
      <c r="AZ211" s="83">
        <v>152.60931274278599</v>
      </c>
      <c r="BA211" s="83">
        <v>151.18888080372901</v>
      </c>
      <c r="BB211" s="83">
        <v>154.01347514413601</v>
      </c>
      <c r="BC211" s="83">
        <v>150.95603510825799</v>
      </c>
      <c r="BD211" s="83">
        <v>154.44530715988699</v>
      </c>
      <c r="BE211" s="83">
        <v>156.845068935185</v>
      </c>
      <c r="BF211" s="83">
        <v>148.413045538576</v>
      </c>
      <c r="BG211" s="83">
        <v>146.443614831047</v>
      </c>
      <c r="BH211" s="83">
        <v>149.217690308378</v>
      </c>
      <c r="BI211" s="83">
        <v>149.66971279586301</v>
      </c>
      <c r="BJ211" s="83">
        <v>149.66971279586301</v>
      </c>
      <c r="BK211" s="83">
        <v>149.66971279586301</v>
      </c>
      <c r="BL211" s="83">
        <v>149.669712795864</v>
      </c>
      <c r="BM211" s="83">
        <v>149.66971279586301</v>
      </c>
      <c r="BN211" s="83">
        <v>149.66971279586301</v>
      </c>
      <c r="BO211" s="83">
        <v>149.669712795864</v>
      </c>
      <c r="BP211" s="83">
        <v>149.66971279586301</v>
      </c>
      <c r="BQ211" s="83">
        <v>149.66971279586301</v>
      </c>
      <c r="BR211" s="83">
        <v>149.669712795864</v>
      </c>
      <c r="BS211" s="83">
        <v>149.669712795864</v>
      </c>
      <c r="BT211" s="83">
        <v>149.66971279586301</v>
      </c>
    </row>
    <row r="212" spans="1:72" x14ac:dyDescent="0.65">
      <c r="A212" s="82" t="s">
        <v>11</v>
      </c>
      <c r="B212" s="81" t="str">
        <f t="shared" ref="B212:B267" si="5">$A$2</f>
        <v>IMF.RES.GAS:GAS_LIVE_2026_JAN_GAS1_VINTAGE</v>
      </c>
      <c r="C212" s="81" t="s">
        <v>799</v>
      </c>
      <c r="D212" s="82"/>
      <c r="E212" s="83">
        <v>94.058935037743595</v>
      </c>
      <c r="F212" s="83">
        <v>92.669347906550001</v>
      </c>
      <c r="G212" s="83">
        <v>90.079402724684599</v>
      </c>
      <c r="H212" s="83">
        <v>92.346546824529696</v>
      </c>
      <c r="I212" s="83">
        <v>95.391251188996307</v>
      </c>
      <c r="J212" s="83">
        <v>95.518310743894304</v>
      </c>
      <c r="K212" s="83">
        <v>96.380476552762005</v>
      </c>
      <c r="L212" s="83">
        <v>97.300662088274606</v>
      </c>
      <c r="M212" s="83">
        <v>98.0364380400258</v>
      </c>
      <c r="N212" s="83">
        <v>96.656077355781804</v>
      </c>
      <c r="O212" s="83">
        <v>93.909424818465894</v>
      </c>
      <c r="P212" s="83">
        <v>91.476753482583703</v>
      </c>
      <c r="Q212" s="83">
        <v>84.334924691024995</v>
      </c>
      <c r="R212" s="83">
        <v>82.474287038419604</v>
      </c>
      <c r="S212" s="83">
        <v>83.966887120403698</v>
      </c>
      <c r="T212" s="83">
        <v>83.401997476142697</v>
      </c>
      <c r="U212" s="83">
        <v>84.880527333923098</v>
      </c>
      <c r="V212" s="83">
        <v>85.036269278406294</v>
      </c>
      <c r="W212" s="83">
        <v>84.387628685145003</v>
      </c>
      <c r="X212" s="83">
        <v>83.343249754649307</v>
      </c>
      <c r="Y212" s="83">
        <v>81.865140374316098</v>
      </c>
      <c r="Z212" s="83">
        <v>83.3091817886895</v>
      </c>
      <c r="AA212" s="83">
        <v>87.261513907183797</v>
      </c>
      <c r="AB212" s="83">
        <v>87.668357477403006</v>
      </c>
      <c r="AC212" s="83">
        <v>89.704620326761003</v>
      </c>
      <c r="AD212" s="83">
        <v>88.155505092103994</v>
      </c>
      <c r="AE212" s="83">
        <v>87.295784023420197</v>
      </c>
      <c r="AF212" s="83">
        <v>86.098464069064505</v>
      </c>
      <c r="AG212" s="83">
        <v>84.661930765963305</v>
      </c>
      <c r="AH212" s="83">
        <v>84.593062434705303</v>
      </c>
      <c r="AI212" s="83">
        <v>84.498346093085999</v>
      </c>
      <c r="AJ212" s="83">
        <v>83.750634965203403</v>
      </c>
      <c r="AK212" s="83">
        <v>84.875568262295701</v>
      </c>
      <c r="AL212" s="83">
        <v>85.024839076555196</v>
      </c>
      <c r="AM212" s="83">
        <v>86.974853244156193</v>
      </c>
      <c r="AN212" s="83">
        <v>86.457380810401801</v>
      </c>
      <c r="AO212" s="83">
        <v>84.735145464933694</v>
      </c>
      <c r="AP212" s="83">
        <v>84.416292657648597</v>
      </c>
      <c r="AQ212" s="83">
        <v>83.464619672048599</v>
      </c>
      <c r="AR212" s="83">
        <v>82.005509147329505</v>
      </c>
      <c r="AS212" s="83">
        <v>81.119534980220394</v>
      </c>
      <c r="AT212" s="83">
        <v>79.8959174567959</v>
      </c>
      <c r="AU212" s="83">
        <v>77.921827061660693</v>
      </c>
      <c r="AV212" s="83">
        <v>79.516433767913398</v>
      </c>
      <c r="AW212" s="83">
        <v>80.756439974492196</v>
      </c>
      <c r="AX212" s="83">
        <v>82.362893913082601</v>
      </c>
      <c r="AY212" s="83">
        <v>83.282281383364705</v>
      </c>
      <c r="AZ212" s="83">
        <v>83.595638825167896</v>
      </c>
      <c r="BA212" s="83">
        <v>84.554988401012096</v>
      </c>
      <c r="BB212" s="83">
        <v>85.370566237587497</v>
      </c>
      <c r="BC212" s="83">
        <v>85.939306203903797</v>
      </c>
      <c r="BD212" s="83">
        <v>84.647637514709899</v>
      </c>
      <c r="BE212" s="83">
        <v>84.681951736272296</v>
      </c>
      <c r="BF212" s="83">
        <v>87.817329542401396</v>
      </c>
      <c r="BG212" s="83">
        <v>89.779071512594101</v>
      </c>
      <c r="BH212" s="83">
        <v>90.191024403693604</v>
      </c>
      <c r="BI212" s="83">
        <v>90.243078852307093</v>
      </c>
      <c r="BJ212" s="83">
        <v>90.243078852306994</v>
      </c>
      <c r="BK212" s="83">
        <v>90.243078852306994</v>
      </c>
      <c r="BL212" s="83">
        <v>90.243078852306894</v>
      </c>
      <c r="BM212" s="83">
        <v>90.243078852306894</v>
      </c>
      <c r="BN212" s="83">
        <v>90.243078852306894</v>
      </c>
      <c r="BO212" s="83">
        <v>90.243078852306894</v>
      </c>
      <c r="BP212" s="83">
        <v>90.243078852306894</v>
      </c>
      <c r="BQ212" s="83">
        <v>90.243078852307093</v>
      </c>
      <c r="BR212" s="83">
        <v>90.243078852306994</v>
      </c>
      <c r="BS212" s="83">
        <v>90.243078852306894</v>
      </c>
      <c r="BT212" s="83">
        <v>90.243078852306795</v>
      </c>
    </row>
    <row r="213" spans="1:72" x14ac:dyDescent="0.65">
      <c r="A213" s="82" t="s">
        <v>129</v>
      </c>
      <c r="B213" s="81" t="str">
        <f t="shared" si="5"/>
        <v>IMF.RES.GAS:GAS_LIVE_2026_JAN_GAS1_VINTAGE</v>
      </c>
      <c r="C213" s="81" t="s">
        <v>800</v>
      </c>
      <c r="D213" s="82"/>
      <c r="E213" s="83">
        <v>95.548379463345597</v>
      </c>
      <c r="F213" s="83">
        <v>95.865566453195299</v>
      </c>
      <c r="G213" s="83">
        <v>95.494746376032097</v>
      </c>
      <c r="H213" s="83">
        <v>97.361891166016093</v>
      </c>
      <c r="I213" s="83">
        <v>101.253642108455</v>
      </c>
      <c r="J213" s="83">
        <v>101.180741062896</v>
      </c>
      <c r="K213" s="83">
        <v>101.10028048965501</v>
      </c>
      <c r="L213" s="83">
        <v>101.15260323161399</v>
      </c>
      <c r="M213" s="83">
        <v>100.009402585811</v>
      </c>
      <c r="N213" s="83">
        <v>99.743011793984806</v>
      </c>
      <c r="O213" s="83">
        <v>99.138185278889907</v>
      </c>
      <c r="P213" s="83">
        <v>98.640803435722404</v>
      </c>
      <c r="Q213" s="83">
        <v>96.341545108331999</v>
      </c>
      <c r="R213" s="83">
        <v>95.200506176600001</v>
      </c>
      <c r="S213" s="83">
        <v>95.640944500862204</v>
      </c>
      <c r="T213" s="83">
        <v>94.807727139354995</v>
      </c>
      <c r="U213" s="83">
        <v>94.751775741925897</v>
      </c>
      <c r="V213" s="83">
        <v>94.678881550042405</v>
      </c>
      <c r="W213" s="83">
        <v>94.457050773274403</v>
      </c>
      <c r="X213" s="83">
        <v>94.250907710165293</v>
      </c>
      <c r="Y213" s="83">
        <v>93.398168821029898</v>
      </c>
      <c r="Z213" s="83">
        <v>94.440285520688903</v>
      </c>
      <c r="AA213" s="83">
        <v>96.857612058059999</v>
      </c>
      <c r="AB213" s="83">
        <v>97.457213653621594</v>
      </c>
      <c r="AC213" s="83">
        <v>98.440006719271096</v>
      </c>
      <c r="AD213" s="83">
        <v>98.293840116174806</v>
      </c>
      <c r="AE213" s="83">
        <v>98.517140840433598</v>
      </c>
      <c r="AF213" s="83">
        <v>98.543711689176305</v>
      </c>
      <c r="AG213" s="83">
        <v>98.883464923498096</v>
      </c>
      <c r="AH213" s="83">
        <v>99.221329452407502</v>
      </c>
      <c r="AI213" s="83">
        <v>99.282098761322999</v>
      </c>
      <c r="AJ213" s="83">
        <v>98.748849424541504</v>
      </c>
      <c r="AK213" s="83">
        <v>100.456252819254</v>
      </c>
      <c r="AL213" s="83">
        <v>100.054351056884</v>
      </c>
      <c r="AM213" s="83">
        <v>100.186798468034</v>
      </c>
      <c r="AN213" s="83">
        <v>98.923124291886495</v>
      </c>
      <c r="AO213" s="83">
        <v>96.874681964532996</v>
      </c>
      <c r="AP213" s="83">
        <v>95.808538999026595</v>
      </c>
      <c r="AQ213" s="83">
        <v>94.609608988035802</v>
      </c>
      <c r="AR213" s="83">
        <v>93.442798360862596</v>
      </c>
      <c r="AS213" s="83">
        <v>91.046987496665196</v>
      </c>
      <c r="AT213" s="83">
        <v>90.796275514005202</v>
      </c>
      <c r="AU213" s="83">
        <v>90.3220239115618</v>
      </c>
      <c r="AV213" s="83">
        <v>92.060869794069703</v>
      </c>
      <c r="AW213" s="83">
        <v>92.633358746131606</v>
      </c>
      <c r="AX213" s="83">
        <v>94.620481090203896</v>
      </c>
      <c r="AY213" s="83">
        <v>96.360813026422704</v>
      </c>
      <c r="AZ213" s="83">
        <v>97.642113188929997</v>
      </c>
      <c r="BA213" s="83">
        <v>100.185470315765</v>
      </c>
      <c r="BB213" s="83">
        <v>101.228178250182</v>
      </c>
      <c r="BC213" s="83">
        <v>101.73827277978999</v>
      </c>
      <c r="BD213" s="83">
        <v>101.086257629405</v>
      </c>
      <c r="BE213" s="83">
        <v>101.75659942789299</v>
      </c>
      <c r="BF213" s="83">
        <v>103.272878660529</v>
      </c>
      <c r="BG213" s="83">
        <v>104.23858985849</v>
      </c>
      <c r="BH213" s="83">
        <v>104.347364784409</v>
      </c>
      <c r="BI213" s="83">
        <v>104.376508014357</v>
      </c>
      <c r="BJ213" s="83">
        <v>104.376508014357</v>
      </c>
      <c r="BK213" s="83">
        <v>104.376508014357</v>
      </c>
      <c r="BL213" s="83">
        <v>104.376508014358</v>
      </c>
      <c r="BM213" s="83">
        <v>104.376508014357</v>
      </c>
      <c r="BN213" s="83">
        <v>104.376508014357</v>
      </c>
      <c r="BO213" s="83">
        <v>104.376508014357</v>
      </c>
      <c r="BP213" s="83">
        <v>104.376508014357</v>
      </c>
      <c r="BQ213" s="83">
        <v>104.376508014357</v>
      </c>
      <c r="BR213" s="83">
        <v>104.376508014357</v>
      </c>
      <c r="BS213" s="83">
        <v>104.376508014357</v>
      </c>
      <c r="BT213" s="83">
        <v>104.376508014357</v>
      </c>
    </row>
    <row r="214" spans="1:72" x14ac:dyDescent="0.65">
      <c r="A214" s="82" t="s">
        <v>130</v>
      </c>
      <c r="B214" s="81" t="str">
        <f t="shared" si="5"/>
        <v>IMF.RES.GAS:GAS_LIVE_2026_JAN_GAS1_VINTAGE</v>
      </c>
      <c r="C214" s="81" t="s">
        <v>801</v>
      </c>
      <c r="D214" s="82"/>
      <c r="E214" s="83">
        <v>96.976264224771697</v>
      </c>
      <c r="F214" s="83">
        <v>96.058155947749896</v>
      </c>
      <c r="G214" s="83">
        <v>94.573925727214501</v>
      </c>
      <c r="H214" s="83">
        <v>95.018294721716003</v>
      </c>
      <c r="I214" s="83">
        <v>95.578325967649505</v>
      </c>
      <c r="J214" s="83">
        <v>95.358856518437705</v>
      </c>
      <c r="K214" s="83">
        <v>95.501661026871602</v>
      </c>
      <c r="L214" s="83">
        <v>95.792936250438402</v>
      </c>
      <c r="M214" s="83">
        <v>95.555370286697496</v>
      </c>
      <c r="N214" s="83">
        <v>95.203083667558005</v>
      </c>
      <c r="O214" s="83">
        <v>94.377613328215205</v>
      </c>
      <c r="P214" s="83">
        <v>93.646929100622799</v>
      </c>
      <c r="Q214" s="83">
        <v>90.973808941646197</v>
      </c>
      <c r="R214" s="83">
        <v>90.377991784814796</v>
      </c>
      <c r="S214" s="83">
        <v>91.096422081316405</v>
      </c>
      <c r="T214" s="83">
        <v>91.0170710210745</v>
      </c>
      <c r="U214" s="83">
        <v>91.796656183155605</v>
      </c>
      <c r="V214" s="83">
        <v>92.076729436404193</v>
      </c>
      <c r="W214" s="83">
        <v>92.066338148262005</v>
      </c>
      <c r="X214" s="83">
        <v>91.790233280016906</v>
      </c>
      <c r="Y214" s="83">
        <v>92.050374991562606</v>
      </c>
      <c r="Z214" s="83">
        <v>92.257165394184895</v>
      </c>
      <c r="AA214" s="83">
        <v>93.378608045280899</v>
      </c>
      <c r="AB214" s="83">
        <v>92.915470657398799</v>
      </c>
      <c r="AC214" s="83">
        <v>93.185812788088896</v>
      </c>
      <c r="AD214" s="83">
        <v>92.049680521035</v>
      </c>
      <c r="AE214" s="83">
        <v>91.219028413577306</v>
      </c>
      <c r="AF214" s="83">
        <v>90.211781520500693</v>
      </c>
      <c r="AG214" s="83">
        <v>89.338196542440997</v>
      </c>
      <c r="AH214" s="83">
        <v>88.5603613560734</v>
      </c>
      <c r="AI214" s="83">
        <v>87.800049079597798</v>
      </c>
      <c r="AJ214" s="83">
        <v>86.904388264562499</v>
      </c>
      <c r="AK214" s="83">
        <v>85.559195766875504</v>
      </c>
      <c r="AL214" s="83">
        <v>85.737592107346899</v>
      </c>
      <c r="AM214" s="83">
        <v>86.9857280100194</v>
      </c>
      <c r="AN214" s="83">
        <v>87.733270962169399</v>
      </c>
      <c r="AO214" s="83">
        <v>86.325207005362202</v>
      </c>
      <c r="AP214" s="83">
        <v>88.068959262788894</v>
      </c>
      <c r="AQ214" s="83">
        <v>89.607126111917196</v>
      </c>
      <c r="AR214" s="83">
        <v>90.649066429055793</v>
      </c>
      <c r="AS214" s="83">
        <v>94.5032117739688</v>
      </c>
      <c r="AT214" s="83">
        <v>93.980152724631296</v>
      </c>
      <c r="AU214" s="83">
        <v>92.360952580996496</v>
      </c>
      <c r="AV214" s="83">
        <v>91.908277024904805</v>
      </c>
      <c r="AW214" s="83">
        <v>92.059602802833794</v>
      </c>
      <c r="AX214" s="83">
        <v>91.507941332631702</v>
      </c>
      <c r="AY214" s="83">
        <v>90.953878398301995</v>
      </c>
      <c r="AZ214" s="83">
        <v>90.414522789505</v>
      </c>
      <c r="BA214" s="83">
        <v>88.907935167580902</v>
      </c>
      <c r="BB214" s="83">
        <v>89.186218635590393</v>
      </c>
      <c r="BC214" s="83">
        <v>89.534513015456099</v>
      </c>
      <c r="BD214" s="83">
        <v>89.369813740873596</v>
      </c>
      <c r="BE214" s="83">
        <v>89.288046798395996</v>
      </c>
      <c r="BF214" s="83">
        <v>90.930273877395294</v>
      </c>
      <c r="BG214" s="83">
        <v>92.187127666908907</v>
      </c>
      <c r="BH214" s="83">
        <v>92.807654913030703</v>
      </c>
      <c r="BI214" s="83">
        <v>92.8803351290764</v>
      </c>
      <c r="BJ214" s="83">
        <v>92.880335129076698</v>
      </c>
      <c r="BK214" s="83">
        <v>92.880335129076698</v>
      </c>
      <c r="BL214" s="83">
        <v>92.880335129076499</v>
      </c>
      <c r="BM214" s="83">
        <v>92.880335129076499</v>
      </c>
      <c r="BN214" s="83">
        <v>92.880335129076798</v>
      </c>
      <c r="BO214" s="83">
        <v>92.880335129076698</v>
      </c>
      <c r="BP214" s="83">
        <v>92.880335129076499</v>
      </c>
      <c r="BQ214" s="83">
        <v>92.880335129076499</v>
      </c>
      <c r="BR214" s="83">
        <v>92.880335129076599</v>
      </c>
      <c r="BS214" s="83">
        <v>92.8803351290764</v>
      </c>
      <c r="BT214" s="83">
        <v>92.8803351290763</v>
      </c>
    </row>
    <row r="215" spans="1:72" x14ac:dyDescent="0.65">
      <c r="A215" s="82" t="s">
        <v>131</v>
      </c>
      <c r="B215" s="81" t="str">
        <f t="shared" si="5"/>
        <v>IMF.RES.GAS:GAS_LIVE_2026_JAN_GAS1_VINTAGE</v>
      </c>
      <c r="C215" s="81" t="s">
        <v>802</v>
      </c>
      <c r="D215" s="82"/>
      <c r="E215" s="83">
        <v>103.641819539287</v>
      </c>
      <c r="F215" s="83">
        <v>102.692853137626</v>
      </c>
      <c r="G215" s="83">
        <v>101.290486966998</v>
      </c>
      <c r="H215" s="83">
        <v>102.047931468193</v>
      </c>
      <c r="I215" s="83">
        <v>102.025251817805</v>
      </c>
      <c r="J215" s="83">
        <v>102.593551954267</v>
      </c>
      <c r="K215" s="83">
        <v>103.684065325069</v>
      </c>
      <c r="L215" s="83">
        <v>104.923589717962</v>
      </c>
      <c r="M215" s="83">
        <v>106.175681882029</v>
      </c>
      <c r="N215" s="83">
        <v>106.29930578584499</v>
      </c>
      <c r="O215" s="83">
        <v>105.643354159015</v>
      </c>
      <c r="P215" s="83">
        <v>104.88361425027701</v>
      </c>
      <c r="Q215" s="83">
        <v>102.573710346341</v>
      </c>
      <c r="R215" s="83">
        <v>101.655149922955</v>
      </c>
      <c r="S215" s="83">
        <v>102.259133875313</v>
      </c>
      <c r="T215" s="83">
        <v>101.80328507669201</v>
      </c>
      <c r="U215" s="83">
        <v>102.264073695718</v>
      </c>
      <c r="V215" s="83">
        <v>102.200927330895</v>
      </c>
      <c r="W215" s="83">
        <v>101.795071192797</v>
      </c>
      <c r="X215" s="83">
        <v>101.31363165488099</v>
      </c>
      <c r="Y215" s="83">
        <v>100.496278439953</v>
      </c>
      <c r="Z215" s="83">
        <v>101.224051237555</v>
      </c>
      <c r="AA215" s="83">
        <v>103.148085644415</v>
      </c>
      <c r="AB215" s="83">
        <v>103.34026574489999</v>
      </c>
      <c r="AC215" s="83">
        <v>104.534642615785</v>
      </c>
      <c r="AD215" s="83">
        <v>103.61945943680099</v>
      </c>
      <c r="AE215" s="83">
        <v>102.938333958798</v>
      </c>
      <c r="AF215" s="83">
        <v>102.204505702719</v>
      </c>
      <c r="AG215" s="83">
        <v>100.734668452994</v>
      </c>
      <c r="AH215" s="83">
        <v>100.920063198515</v>
      </c>
      <c r="AI215" s="83">
        <v>101.206838157509</v>
      </c>
      <c r="AJ215" s="83">
        <v>101.31801710480499</v>
      </c>
      <c r="AK215" s="83">
        <v>102.25872441710101</v>
      </c>
      <c r="AL215" s="83">
        <v>102.700444383796</v>
      </c>
      <c r="AM215" s="83">
        <v>103.916744613661</v>
      </c>
      <c r="AN215" s="83">
        <v>103.873565572166</v>
      </c>
      <c r="AO215" s="83">
        <v>103.838767646387</v>
      </c>
      <c r="AP215" s="83">
        <v>103.679650192048</v>
      </c>
      <c r="AQ215" s="83">
        <v>103.076713455264</v>
      </c>
      <c r="AR215" s="83">
        <v>102.20455589232</v>
      </c>
      <c r="AS215" s="83">
        <v>101.716863139197</v>
      </c>
      <c r="AT215" s="83">
        <v>100.901334972417</v>
      </c>
      <c r="AU215" s="83">
        <v>99.665292731935907</v>
      </c>
      <c r="AV215" s="83">
        <v>100.29161967987299</v>
      </c>
      <c r="AW215" s="83">
        <v>100.49734726083101</v>
      </c>
      <c r="AX215" s="83">
        <v>101.166809585794</v>
      </c>
      <c r="AY215" s="83">
        <v>101.614159195933</v>
      </c>
      <c r="AZ215" s="83">
        <v>101.774875721984</v>
      </c>
      <c r="BA215" s="83">
        <v>102.473599850409</v>
      </c>
      <c r="BB215" s="83">
        <v>102.787121133276</v>
      </c>
      <c r="BC215" s="83">
        <v>102.828955269592</v>
      </c>
      <c r="BD215" s="83">
        <v>101.977166201156</v>
      </c>
      <c r="BE215" s="83">
        <v>102.11340825114701</v>
      </c>
      <c r="BF215" s="83">
        <v>103.160425925859</v>
      </c>
      <c r="BG215" s="83">
        <v>103.649764851586</v>
      </c>
      <c r="BH215" s="83">
        <v>103.481976358325</v>
      </c>
      <c r="BI215" s="83">
        <v>103.457260125038</v>
      </c>
      <c r="BJ215" s="83">
        <v>103.457260125039</v>
      </c>
      <c r="BK215" s="83">
        <v>103.457260125038</v>
      </c>
      <c r="BL215" s="83">
        <v>103.457260125038</v>
      </c>
      <c r="BM215" s="83">
        <v>103.457260125038</v>
      </c>
      <c r="BN215" s="83">
        <v>103.457260125038</v>
      </c>
      <c r="BO215" s="83">
        <v>103.457260125038</v>
      </c>
      <c r="BP215" s="83">
        <v>103.457260125039</v>
      </c>
      <c r="BQ215" s="83">
        <v>103.457260125038</v>
      </c>
      <c r="BR215" s="83">
        <v>103.457260125038</v>
      </c>
      <c r="BS215" s="83">
        <v>103.457260125038</v>
      </c>
      <c r="BT215" s="83">
        <v>103.457260125038</v>
      </c>
    </row>
    <row r="216" spans="1:72" x14ac:dyDescent="0.65">
      <c r="A216" s="82" t="s">
        <v>12</v>
      </c>
      <c r="B216" s="81" t="str">
        <f t="shared" si="5"/>
        <v>IMF.RES.GAS:GAS_LIVE_2026_JAN_GAS1_VINTAGE</v>
      </c>
      <c r="C216" s="81" t="s">
        <v>803</v>
      </c>
      <c r="D216" s="82"/>
      <c r="E216" s="83">
        <v>106.124624304707</v>
      </c>
      <c r="F216" s="83">
        <v>105.465228379073</v>
      </c>
      <c r="G216" s="83">
        <v>108.017986797582</v>
      </c>
      <c r="H216" s="83">
        <v>103.05273646897101</v>
      </c>
      <c r="I216" s="83">
        <v>91.007338386871396</v>
      </c>
      <c r="J216" s="83">
        <v>85.851255325768406</v>
      </c>
      <c r="K216" s="83">
        <v>84.802501809159196</v>
      </c>
      <c r="L216" s="83">
        <v>81.571183851818702</v>
      </c>
      <c r="M216" s="83">
        <v>78.957493721079004</v>
      </c>
      <c r="N216" s="83">
        <v>78.426429166484397</v>
      </c>
      <c r="O216" s="83">
        <v>77.4558703942579</v>
      </c>
      <c r="P216" s="83">
        <v>73.156740945964202</v>
      </c>
      <c r="Q216" s="83">
        <v>72.751180640936497</v>
      </c>
      <c r="R216" s="83">
        <v>71.776881934552605</v>
      </c>
      <c r="S216" s="83">
        <v>72.642083770313604</v>
      </c>
      <c r="T216" s="83">
        <v>73.729903694646396</v>
      </c>
      <c r="U216" s="83">
        <v>79.132882315734506</v>
      </c>
      <c r="V216" s="83">
        <v>82.577574282256194</v>
      </c>
      <c r="W216" s="83">
        <v>86.570565060648207</v>
      </c>
      <c r="X216" s="83">
        <v>82.356867718965702</v>
      </c>
      <c r="Y216" s="83">
        <v>78.587491509744595</v>
      </c>
      <c r="Z216" s="83">
        <v>78.5510036459346</v>
      </c>
      <c r="AA216" s="83">
        <v>76.335924044772796</v>
      </c>
      <c r="AB216" s="83">
        <v>74.273951118477498</v>
      </c>
      <c r="AC216" s="83">
        <v>75.511164640458702</v>
      </c>
      <c r="AD216" s="83">
        <v>75.367796628142003</v>
      </c>
      <c r="AE216" s="83">
        <v>74.470449392047001</v>
      </c>
      <c r="AF216" s="83">
        <v>73.404589466885298</v>
      </c>
      <c r="AG216" s="83">
        <v>74.377850114680399</v>
      </c>
      <c r="AH216" s="83">
        <v>74.710882670970406</v>
      </c>
      <c r="AI216" s="83">
        <v>76.596040160019697</v>
      </c>
      <c r="AJ216" s="83">
        <v>75.063548343474693</v>
      </c>
      <c r="AK216" s="83">
        <v>73.802556777624702</v>
      </c>
      <c r="AL216" s="83">
        <v>75.757075329561999</v>
      </c>
      <c r="AM216" s="83">
        <v>75.406639164399294</v>
      </c>
      <c r="AN216" s="83">
        <v>75.714798938792697</v>
      </c>
      <c r="AO216" s="83">
        <v>76.647488376467194</v>
      </c>
      <c r="AP216" s="83">
        <v>73.408333658919403</v>
      </c>
      <c r="AQ216" s="83">
        <v>72.819258823326606</v>
      </c>
      <c r="AR216" s="83">
        <v>70.085481513031795</v>
      </c>
      <c r="AS216" s="83">
        <v>67.808280568184301</v>
      </c>
      <c r="AT216" s="83">
        <v>61.798429426663702</v>
      </c>
      <c r="AU216" s="83">
        <v>59.165711570320603</v>
      </c>
      <c r="AV216" s="83">
        <v>57.6665542226526</v>
      </c>
      <c r="AW216" s="83">
        <v>58.915090353745903</v>
      </c>
      <c r="AX216" s="83">
        <v>56.695872326843002</v>
      </c>
      <c r="AY216" s="83">
        <v>53.930815901731698</v>
      </c>
      <c r="AZ216" s="83">
        <v>52.859351725320401</v>
      </c>
      <c r="BA216" s="83">
        <v>52.3570467953706</v>
      </c>
      <c r="BB216" s="83">
        <v>50.401007667625002</v>
      </c>
      <c r="BC216" s="83">
        <v>52.027161107481703</v>
      </c>
      <c r="BD216" s="83">
        <v>51.5079572281089</v>
      </c>
      <c r="BE216" s="83">
        <v>51.993327169514899</v>
      </c>
      <c r="BF216" s="83">
        <v>52.560299598484001</v>
      </c>
      <c r="BG216" s="83">
        <v>50.602923701478197</v>
      </c>
      <c r="BH216" s="83">
        <v>49.209416601951197</v>
      </c>
      <c r="BI216" s="83">
        <v>49.015859716910903</v>
      </c>
      <c r="BJ216" s="83">
        <v>49.015859716911002</v>
      </c>
      <c r="BK216" s="83">
        <v>49.015859716910903</v>
      </c>
      <c r="BL216" s="83">
        <v>49.015859716910903</v>
      </c>
      <c r="BM216" s="83">
        <v>49.015859716911002</v>
      </c>
      <c r="BN216" s="83">
        <v>49.015859716910903</v>
      </c>
      <c r="BO216" s="83">
        <v>49.015859716911002</v>
      </c>
      <c r="BP216" s="83">
        <v>49.015859716911102</v>
      </c>
      <c r="BQ216" s="83">
        <v>49.015859716911002</v>
      </c>
      <c r="BR216" s="83">
        <v>49.015859716911002</v>
      </c>
      <c r="BS216" s="83">
        <v>49.015859716910903</v>
      </c>
      <c r="BT216" s="83">
        <v>49.015859716911002</v>
      </c>
    </row>
    <row r="217" spans="1:72" x14ac:dyDescent="0.65">
      <c r="A217" s="82" t="s">
        <v>13</v>
      </c>
      <c r="B217" s="81" t="str">
        <f t="shared" si="5"/>
        <v>IMF.RES.GAS:GAS_LIVE_2026_JAN_GAS1_VINTAGE</v>
      </c>
      <c r="C217" s="81" t="s">
        <v>804</v>
      </c>
      <c r="D217" s="82"/>
      <c r="E217" s="83">
        <v>99.371682337363396</v>
      </c>
      <c r="F217" s="83">
        <v>103.23622471314999</v>
      </c>
      <c r="G217" s="83">
        <v>106.33722094055</v>
      </c>
      <c r="H217" s="83">
        <v>105.831891914674</v>
      </c>
      <c r="I217" s="83">
        <v>106.79510339843701</v>
      </c>
      <c r="J217" s="83">
        <v>107.390323050999</v>
      </c>
      <c r="K217" s="83">
        <v>107.091564571254</v>
      </c>
      <c r="L217" s="83">
        <v>108.716555397131</v>
      </c>
      <c r="M217" s="83">
        <v>110.127880634824</v>
      </c>
      <c r="N217" s="83">
        <v>111.355895019751</v>
      </c>
      <c r="O217" s="83">
        <v>112.199794509943</v>
      </c>
      <c r="P217" s="83">
        <v>112.621611148052</v>
      </c>
      <c r="Q217" s="83">
        <v>114.25914725511799</v>
      </c>
      <c r="R217" s="83">
        <v>116.89985236164399</v>
      </c>
      <c r="S217" s="83">
        <v>118.910515453993</v>
      </c>
      <c r="T217" s="83">
        <v>117.452905592154</v>
      </c>
      <c r="U217" s="83">
        <v>111.744909161915</v>
      </c>
      <c r="V217" s="83">
        <v>109.05946543279001</v>
      </c>
      <c r="W217" s="83">
        <v>99.799918628726601</v>
      </c>
      <c r="X217" s="83">
        <v>96.673067787158303</v>
      </c>
      <c r="Y217" s="83">
        <v>95.821204069645702</v>
      </c>
      <c r="Z217" s="83">
        <v>96.940695362249002</v>
      </c>
      <c r="AA217" s="83">
        <v>95.245061154389006</v>
      </c>
      <c r="AB217" s="83">
        <v>97.142139908999496</v>
      </c>
      <c r="AC217" s="83">
        <v>98.880418777500793</v>
      </c>
      <c r="AD217" s="83">
        <v>99.620115334338706</v>
      </c>
      <c r="AE217" s="83">
        <v>97.814210467255407</v>
      </c>
      <c r="AF217" s="83">
        <v>98.491391471283194</v>
      </c>
      <c r="AG217" s="83">
        <v>99.770573260724902</v>
      </c>
      <c r="AH217" s="83">
        <v>100.35458263894699</v>
      </c>
      <c r="AI217" s="83">
        <v>98.047044627206105</v>
      </c>
      <c r="AJ217" s="83">
        <v>104.01919293249099</v>
      </c>
      <c r="AK217" s="83">
        <v>105.229707476109</v>
      </c>
      <c r="AL217" s="83">
        <v>103.40119169000501</v>
      </c>
      <c r="AM217" s="83">
        <v>103.69767000302799</v>
      </c>
      <c r="AN217" s="83">
        <v>104.82709053948101</v>
      </c>
      <c r="AO217" s="83">
        <v>110.129173778346</v>
      </c>
      <c r="AP217" s="83">
        <v>112.405368036949</v>
      </c>
      <c r="AQ217" s="83">
        <v>113.23363961506701</v>
      </c>
      <c r="AR217" s="83">
        <v>113.66052243527</v>
      </c>
      <c r="AS217" s="83">
        <v>115.42191344122</v>
      </c>
      <c r="AT217" s="83">
        <v>113.30346660734899</v>
      </c>
      <c r="AU217" s="83">
        <v>111.309789114308</v>
      </c>
      <c r="AV217" s="83">
        <v>110.725914967664</v>
      </c>
      <c r="AW217" s="83">
        <v>111.62407651775401</v>
      </c>
      <c r="AX217" s="83">
        <v>113.768979131691</v>
      </c>
      <c r="AY217" s="83">
        <v>114.92382117389501</v>
      </c>
      <c r="AZ217" s="83">
        <v>112.85753785970201</v>
      </c>
      <c r="BA217" s="83">
        <v>113.696523638755</v>
      </c>
      <c r="BB217" s="83">
        <v>113.962334058908</v>
      </c>
      <c r="BC217" s="83">
        <v>115.17958549069201</v>
      </c>
      <c r="BD217" s="83">
        <v>116.04710008855</v>
      </c>
      <c r="BE217" s="83">
        <v>115.07292364682201</v>
      </c>
      <c r="BF217" s="83">
        <v>114.926237424768</v>
      </c>
      <c r="BG217" s="83">
        <v>113.339744055895</v>
      </c>
      <c r="BH217" s="83">
        <v>111.706713683082</v>
      </c>
      <c r="BI217" s="83">
        <v>111.326144916808</v>
      </c>
      <c r="BJ217" s="83">
        <v>111.326144916808</v>
      </c>
      <c r="BK217" s="83">
        <v>111.326144916807</v>
      </c>
      <c r="BL217" s="83">
        <v>111.326144916808</v>
      </c>
      <c r="BM217" s="83">
        <v>111.326144916808</v>
      </c>
      <c r="BN217" s="83">
        <v>111.326144916808</v>
      </c>
      <c r="BO217" s="83">
        <v>111.326144916808</v>
      </c>
      <c r="BP217" s="83">
        <v>111.326144916808</v>
      </c>
      <c r="BQ217" s="83">
        <v>111.326144916808</v>
      </c>
      <c r="BR217" s="83">
        <v>111.326144916808</v>
      </c>
      <c r="BS217" s="83">
        <v>111.326144916808</v>
      </c>
      <c r="BT217" s="83">
        <v>111.326144916808</v>
      </c>
    </row>
    <row r="218" spans="1:72" x14ac:dyDescent="0.65">
      <c r="A218" s="82" t="s">
        <v>51</v>
      </c>
      <c r="B218" s="81" t="str">
        <f t="shared" si="5"/>
        <v>IMF.RES.GAS:GAS_LIVE_2026_JAN_GAS1_VINTAGE</v>
      </c>
      <c r="C218" s="81" t="s">
        <v>805</v>
      </c>
      <c r="D218" s="82"/>
      <c r="E218" s="83">
        <v>101.163799556764</v>
      </c>
      <c r="F218" s="83">
        <v>100.99529846095299</v>
      </c>
      <c r="G218" s="83">
        <v>103.17870425852099</v>
      </c>
      <c r="H218" s="83">
        <v>103.434333600157</v>
      </c>
      <c r="I218" s="83">
        <v>103.448780433237</v>
      </c>
      <c r="J218" s="83">
        <v>102.307147077153</v>
      </c>
      <c r="K218" s="83">
        <v>100.09399381828599</v>
      </c>
      <c r="L218" s="83">
        <v>97.7469761003874</v>
      </c>
      <c r="M218" s="83">
        <v>92.480729183778607</v>
      </c>
      <c r="N218" s="83">
        <v>92.798818909591105</v>
      </c>
      <c r="O218" s="83">
        <v>93.031191642038195</v>
      </c>
      <c r="P218" s="83">
        <v>90.315699590592601</v>
      </c>
      <c r="Q218" s="83">
        <v>83.596533950770606</v>
      </c>
      <c r="R218" s="83">
        <v>84.409484467532195</v>
      </c>
      <c r="S218" s="83">
        <v>79.275801173797305</v>
      </c>
      <c r="T218" s="83">
        <v>77.765129947869895</v>
      </c>
      <c r="U218" s="83">
        <v>75.508771404669204</v>
      </c>
      <c r="V218" s="83">
        <v>79.504140538501403</v>
      </c>
      <c r="W218" s="83">
        <v>78.137670518223203</v>
      </c>
      <c r="X218" s="83">
        <v>76.914805539645798</v>
      </c>
      <c r="Y218" s="83">
        <v>77.117534144554199</v>
      </c>
      <c r="Z218" s="83">
        <v>75.293476442623302</v>
      </c>
      <c r="AA218" s="83">
        <v>80.111612431024497</v>
      </c>
      <c r="AB218" s="83">
        <v>78.925383791936895</v>
      </c>
      <c r="AC218" s="83">
        <v>79.018659226622503</v>
      </c>
      <c r="AD218" s="83">
        <v>77.567901947359601</v>
      </c>
      <c r="AE218" s="83">
        <v>76.732718601769093</v>
      </c>
      <c r="AF218" s="83">
        <v>75.835327894815606</v>
      </c>
      <c r="AG218" s="83">
        <v>74.514919368696496</v>
      </c>
      <c r="AH218" s="83">
        <v>74.136151952815297</v>
      </c>
      <c r="AI218" s="83">
        <v>75.248115993405804</v>
      </c>
      <c r="AJ218" s="83">
        <v>75.336477402921801</v>
      </c>
      <c r="AK218" s="83">
        <v>74.131397516304403</v>
      </c>
      <c r="AL218" s="83">
        <v>72.026442867281304</v>
      </c>
      <c r="AM218" s="83">
        <v>74.040744956309894</v>
      </c>
      <c r="AN218" s="83">
        <v>75.179034770748302</v>
      </c>
      <c r="AO218" s="83">
        <v>77.118792082481306</v>
      </c>
      <c r="AP218" s="83">
        <v>79.554569899964406</v>
      </c>
      <c r="AQ218" s="83">
        <v>77.969226092493301</v>
      </c>
      <c r="AR218" s="83">
        <v>78.837670540691207</v>
      </c>
      <c r="AS218" s="83">
        <v>78.110865369282806</v>
      </c>
      <c r="AT218" s="83">
        <v>79.426206121311793</v>
      </c>
      <c r="AU218" s="83">
        <v>79.421357729589403</v>
      </c>
      <c r="AV218" s="83">
        <v>77.166003296505806</v>
      </c>
      <c r="AW218" s="83">
        <v>77.256587697366697</v>
      </c>
      <c r="AX218" s="83">
        <v>78.386096464650606</v>
      </c>
      <c r="AY218" s="83">
        <v>79.250013442229303</v>
      </c>
      <c r="AZ218" s="83">
        <v>78.7142534293708</v>
      </c>
      <c r="BA218" s="83">
        <v>80.260525310589401</v>
      </c>
      <c r="BB218" s="83">
        <v>79.799710874685303</v>
      </c>
      <c r="BC218" s="83">
        <v>79.852378925675595</v>
      </c>
      <c r="BD218" s="83">
        <v>78.705028655300893</v>
      </c>
      <c r="BE218" s="83">
        <v>77.4375476389135</v>
      </c>
      <c r="BF218" s="83">
        <v>78.925166663563502</v>
      </c>
      <c r="BG218" s="83">
        <v>78.908074411292304</v>
      </c>
      <c r="BH218" s="83">
        <v>77.740714419851301</v>
      </c>
      <c r="BI218" s="83">
        <v>77.726841684432401</v>
      </c>
      <c r="BJ218" s="83">
        <v>77.726841684432401</v>
      </c>
      <c r="BK218" s="83">
        <v>77.726841684432401</v>
      </c>
      <c r="BL218" s="83">
        <v>77.726841684432301</v>
      </c>
      <c r="BM218" s="83">
        <v>77.726841684432401</v>
      </c>
      <c r="BN218" s="83">
        <v>77.726841684432202</v>
      </c>
      <c r="BO218" s="83">
        <v>77.726841684432301</v>
      </c>
      <c r="BP218" s="83">
        <v>77.726841684432401</v>
      </c>
      <c r="BQ218" s="83">
        <v>77.726841684432301</v>
      </c>
      <c r="BR218" s="83">
        <v>77.726841684432301</v>
      </c>
      <c r="BS218" s="83">
        <v>77.726841684432301</v>
      </c>
      <c r="BT218" s="83">
        <v>77.726841684432301</v>
      </c>
    </row>
    <row r="219" spans="1:72" x14ac:dyDescent="0.65">
      <c r="B219" s="8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</row>
    <row r="220" spans="1:72" x14ac:dyDescent="0.65">
      <c r="A220" s="82" t="s">
        <v>52</v>
      </c>
      <c r="B220" s="81" t="str">
        <f t="shared" si="5"/>
        <v>IMF.RES.GAS:GAS_LIVE_2026_JAN_GAS1_VINTAGE</v>
      </c>
      <c r="C220" s="81" t="s">
        <v>806</v>
      </c>
      <c r="D220" s="82"/>
      <c r="E220" s="83">
        <v>98.911450795818098</v>
      </c>
      <c r="F220" s="83">
        <v>98.172047388540605</v>
      </c>
      <c r="G220" s="83">
        <v>97.196627875194196</v>
      </c>
      <c r="H220" s="83">
        <v>97.926111279596597</v>
      </c>
      <c r="I220" s="83">
        <v>97.992594736899207</v>
      </c>
      <c r="J220" s="83">
        <v>98.620387567836204</v>
      </c>
      <c r="K220" s="83">
        <v>99.531080856119303</v>
      </c>
      <c r="L220" s="83">
        <v>100.478386415941</v>
      </c>
      <c r="M220" s="83">
        <v>102.319330646531</v>
      </c>
      <c r="N220" s="83">
        <v>101.81092602071099</v>
      </c>
      <c r="O220" s="83">
        <v>100.66529460558699</v>
      </c>
      <c r="P220" s="83">
        <v>99.566605701744095</v>
      </c>
      <c r="Q220" s="83">
        <v>95.698913027292704</v>
      </c>
      <c r="R220" s="83">
        <v>95.452272637947303</v>
      </c>
      <c r="S220" s="83">
        <v>96.761630485385595</v>
      </c>
      <c r="T220" s="83">
        <v>97.469852929218106</v>
      </c>
      <c r="U220" s="83">
        <v>99.129738347885095</v>
      </c>
      <c r="V220" s="83">
        <v>99.687376757798901</v>
      </c>
      <c r="W220" s="83">
        <v>99.6662072355536</v>
      </c>
      <c r="X220" s="83">
        <v>99.343571131115297</v>
      </c>
      <c r="Y220" s="83">
        <v>99.587735102915303</v>
      </c>
      <c r="Z220" s="83">
        <v>99.800443542267402</v>
      </c>
      <c r="AA220" s="83">
        <v>100.909353227105</v>
      </c>
      <c r="AB220" s="83">
        <v>101.030905984236</v>
      </c>
      <c r="AC220" s="83">
        <v>100.746006885501</v>
      </c>
      <c r="AD220" s="83">
        <v>100.961791678979</v>
      </c>
      <c r="AE220" s="83">
        <v>101.23971493066</v>
      </c>
      <c r="AF220" s="83">
        <v>100.927547073074</v>
      </c>
      <c r="AG220" s="83">
        <v>103.904411418252</v>
      </c>
      <c r="AH220" s="83">
        <v>101.599861340348</v>
      </c>
      <c r="AI220" s="83">
        <v>98.777345939278803</v>
      </c>
      <c r="AJ220" s="83">
        <v>96.525319918290904</v>
      </c>
      <c r="AK220" s="83">
        <v>89.310706713913007</v>
      </c>
      <c r="AL220" s="83">
        <v>91.128859804118093</v>
      </c>
      <c r="AM220" s="83">
        <v>94.884774249120497</v>
      </c>
      <c r="AN220" s="83">
        <v>98.551671281198196</v>
      </c>
      <c r="AO220" s="83">
        <v>103.554833312486</v>
      </c>
      <c r="AP220" s="83">
        <v>105.444608864266</v>
      </c>
      <c r="AQ220" s="83">
        <v>105.799659403836</v>
      </c>
      <c r="AR220" s="83">
        <v>105.19157953831601</v>
      </c>
      <c r="AS220" s="83">
        <v>106.51057506658501</v>
      </c>
      <c r="AT220" s="83">
        <v>105.74936368792601</v>
      </c>
      <c r="AU220" s="83">
        <v>104.684746188159</v>
      </c>
      <c r="AV220" s="83">
        <v>105.238808764037</v>
      </c>
      <c r="AW220" s="83">
        <v>105.404552703004</v>
      </c>
      <c r="AX220" s="83">
        <v>105.86394146606099</v>
      </c>
      <c r="AY220" s="83">
        <v>106.192339936167</v>
      </c>
      <c r="AZ220" s="83">
        <v>106.30504491789</v>
      </c>
      <c r="BA220" s="83">
        <v>106.579791263313</v>
      </c>
      <c r="BB220" s="83">
        <v>107.023932521783</v>
      </c>
      <c r="BC220" s="83">
        <v>107.28939803863901</v>
      </c>
      <c r="BD220" s="83">
        <v>106.931445676677</v>
      </c>
      <c r="BE220" s="83">
        <v>107.13622710987001</v>
      </c>
      <c r="BF220" s="83">
        <v>108.24930324786401</v>
      </c>
      <c r="BG220" s="83">
        <v>108.963207942252</v>
      </c>
      <c r="BH220" s="83">
        <v>109.102794031454</v>
      </c>
      <c r="BI220" s="83">
        <v>109.124797944333</v>
      </c>
      <c r="BJ220" s="83">
        <v>109.124797944333</v>
      </c>
      <c r="BK220" s="83">
        <v>109.124797944333</v>
      </c>
      <c r="BL220" s="83">
        <v>109.124797944333</v>
      </c>
      <c r="BM220" s="83">
        <v>109.124797944333</v>
      </c>
      <c r="BN220" s="83">
        <v>109.124797944333</v>
      </c>
      <c r="BO220" s="83">
        <v>109.124797944333</v>
      </c>
      <c r="BP220" s="83">
        <v>109.124797944333</v>
      </c>
      <c r="BQ220" s="83">
        <v>109.124797944333</v>
      </c>
      <c r="BR220" s="83">
        <v>109.124797944333</v>
      </c>
      <c r="BS220" s="83">
        <v>109.124797944333</v>
      </c>
      <c r="BT220" s="83">
        <v>109.124797944333</v>
      </c>
    </row>
    <row r="221" spans="1:72" x14ac:dyDescent="0.65">
      <c r="A221" s="82" t="s">
        <v>53</v>
      </c>
      <c r="B221" s="81" t="str">
        <f t="shared" si="5"/>
        <v>IMF.RES.GAS:GAS_LIVE_2026_JAN_GAS1_VINTAGE</v>
      </c>
      <c r="C221" s="81" t="s">
        <v>807</v>
      </c>
      <c r="D221" s="82"/>
      <c r="E221" s="83">
        <v>99.252690630676497</v>
      </c>
      <c r="F221" s="83">
        <v>98.669117700059402</v>
      </c>
      <c r="G221" s="83">
        <v>97.656351927579394</v>
      </c>
      <c r="H221" s="83">
        <v>98.743445261836996</v>
      </c>
      <c r="I221" s="83">
        <v>100.04400151529001</v>
      </c>
      <c r="J221" s="83">
        <v>100.24360941109499</v>
      </c>
      <c r="K221" s="83">
        <v>100.766147915627</v>
      </c>
      <c r="L221" s="83">
        <v>101.22907666806201</v>
      </c>
      <c r="M221" s="83">
        <v>102.01686410339001</v>
      </c>
      <c r="N221" s="83">
        <v>101.28942363973999</v>
      </c>
      <c r="O221" s="83">
        <v>99.928128171511602</v>
      </c>
      <c r="P221" s="83">
        <v>98.7123995858136</v>
      </c>
      <c r="Q221" s="83">
        <v>95.119354800714007</v>
      </c>
      <c r="R221" s="83">
        <v>94.209483836668795</v>
      </c>
      <c r="S221" s="83">
        <v>94.8968538278328</v>
      </c>
      <c r="T221" s="83">
        <v>94.955164286489094</v>
      </c>
      <c r="U221" s="83">
        <v>95.278206148343301</v>
      </c>
      <c r="V221" s="83">
        <v>96.045024606272307</v>
      </c>
      <c r="W221" s="83">
        <v>96.751898357511607</v>
      </c>
      <c r="X221" s="83">
        <v>97.074754522511796</v>
      </c>
      <c r="Y221" s="83">
        <v>97.965120872183604</v>
      </c>
      <c r="Z221" s="83">
        <v>98.644932912932106</v>
      </c>
      <c r="AA221" s="83">
        <v>100.225026310226</v>
      </c>
      <c r="AB221" s="83">
        <v>100.018910173084</v>
      </c>
      <c r="AC221" s="83">
        <v>100.897621353513</v>
      </c>
      <c r="AD221" s="83">
        <v>99.921191772225001</v>
      </c>
      <c r="AE221" s="83">
        <v>99.288112103933898</v>
      </c>
      <c r="AF221" s="83">
        <v>98.412918766712593</v>
      </c>
      <c r="AG221" s="83">
        <v>97.448121234090394</v>
      </c>
      <c r="AH221" s="83">
        <v>96.903984959790193</v>
      </c>
      <c r="AI221" s="83">
        <v>96.510674379414098</v>
      </c>
      <c r="AJ221" s="83">
        <v>95.926310304652006</v>
      </c>
      <c r="AK221" s="83">
        <v>94.649911676429596</v>
      </c>
      <c r="AL221" s="83">
        <v>95.615199700158399</v>
      </c>
      <c r="AM221" s="83">
        <v>97.619095268933606</v>
      </c>
      <c r="AN221" s="83">
        <v>98.678544831223704</v>
      </c>
      <c r="AO221" s="83">
        <v>99.888401153264994</v>
      </c>
      <c r="AP221" s="83">
        <v>100.339265667223</v>
      </c>
      <c r="AQ221" s="83">
        <v>100.163252700385</v>
      </c>
      <c r="AR221" s="83">
        <v>99.686211010658596</v>
      </c>
      <c r="AS221" s="83">
        <v>99.323442922441302</v>
      </c>
      <c r="AT221" s="83">
        <v>99.4073424120634</v>
      </c>
      <c r="AU221" s="83">
        <v>99.190305698593093</v>
      </c>
      <c r="AV221" s="83">
        <v>100.473148367945</v>
      </c>
      <c r="AW221" s="83">
        <v>102.96739894210801</v>
      </c>
      <c r="AX221" s="83">
        <v>103.202635869665</v>
      </c>
      <c r="AY221" s="83">
        <v>102.864717899163</v>
      </c>
      <c r="AZ221" s="83">
        <v>102.142678488371</v>
      </c>
      <c r="BA221" s="83">
        <v>101.21822613639701</v>
      </c>
      <c r="BB221" s="83">
        <v>101.20805622463401</v>
      </c>
      <c r="BC221" s="83">
        <v>101.351778579681</v>
      </c>
      <c r="BD221" s="83">
        <v>100.896435368694</v>
      </c>
      <c r="BE221" s="83">
        <v>100.42836307773101</v>
      </c>
      <c r="BF221" s="83">
        <v>102.12328652425801</v>
      </c>
      <c r="BG221" s="83">
        <v>103.322687578911</v>
      </c>
      <c r="BH221" s="83">
        <v>103.758039751224</v>
      </c>
      <c r="BI221" s="83">
        <v>103.828224658591</v>
      </c>
      <c r="BJ221" s="83">
        <v>103.828224658591</v>
      </c>
      <c r="BK221" s="83">
        <v>103.828224658591</v>
      </c>
      <c r="BL221" s="83">
        <v>103.828224658591</v>
      </c>
      <c r="BM221" s="83">
        <v>103.828224658591</v>
      </c>
      <c r="BN221" s="83">
        <v>103.828224658591</v>
      </c>
      <c r="BO221" s="83">
        <v>103.828224658591</v>
      </c>
      <c r="BP221" s="83">
        <v>103.828224658591</v>
      </c>
      <c r="BQ221" s="83">
        <v>103.828224658591</v>
      </c>
      <c r="BR221" s="83">
        <v>103.828224658591</v>
      </c>
      <c r="BS221" s="83">
        <v>103.828224658591</v>
      </c>
      <c r="BT221" s="83">
        <v>103.828224658591</v>
      </c>
    </row>
    <row r="222" spans="1:72" x14ac:dyDescent="0.65">
      <c r="A222" s="82" t="s">
        <v>54</v>
      </c>
      <c r="B222" s="81" t="str">
        <f t="shared" si="5"/>
        <v>IMF.RES.GAS:GAS_LIVE_2026_JAN_GAS1_VINTAGE</v>
      </c>
      <c r="C222" s="81" t="s">
        <v>808</v>
      </c>
      <c r="D222" s="82"/>
      <c r="E222" s="83">
        <v>95.074123920854902</v>
      </c>
      <c r="F222" s="83">
        <v>94.0596834301153</v>
      </c>
      <c r="G222" s="83">
        <v>91.8339378523752</v>
      </c>
      <c r="H222" s="83">
        <v>92.345241451162806</v>
      </c>
      <c r="I222" s="83">
        <v>92.231260644826307</v>
      </c>
      <c r="J222" s="83">
        <v>92.646111235539394</v>
      </c>
      <c r="K222" s="83">
        <v>93.323169145889906</v>
      </c>
      <c r="L222" s="83">
        <v>94.235507762363895</v>
      </c>
      <c r="M222" s="83">
        <v>94.978146097986993</v>
      </c>
      <c r="N222" s="83">
        <v>94.693404359317398</v>
      </c>
      <c r="O222" s="83">
        <v>94.394445952617005</v>
      </c>
      <c r="P222" s="83">
        <v>94.258167187184995</v>
      </c>
      <c r="Q222" s="83">
        <v>92.359436935402002</v>
      </c>
      <c r="R222" s="83">
        <v>91.497016466968304</v>
      </c>
      <c r="S222" s="83">
        <v>92.591349709219998</v>
      </c>
      <c r="T222" s="83">
        <v>92.428461951407698</v>
      </c>
      <c r="U222" s="83">
        <v>93.185252166768294</v>
      </c>
      <c r="V222" s="83">
        <v>93.565474569169993</v>
      </c>
      <c r="W222" s="83">
        <v>93.894391674671397</v>
      </c>
      <c r="X222" s="83">
        <v>93.963791167648495</v>
      </c>
      <c r="Y222" s="83">
        <v>93.764869239989594</v>
      </c>
      <c r="Z222" s="83">
        <v>94.606913498571302</v>
      </c>
      <c r="AA222" s="83">
        <v>95.732194593927701</v>
      </c>
      <c r="AB222" s="83">
        <v>95.844353989761402</v>
      </c>
      <c r="AC222" s="83">
        <v>96.631585354390495</v>
      </c>
      <c r="AD222" s="83">
        <v>96.067207747231393</v>
      </c>
      <c r="AE222" s="83">
        <v>95.500844202746904</v>
      </c>
      <c r="AF222" s="83">
        <v>94.596000721384499</v>
      </c>
      <c r="AG222" s="83">
        <v>93.941542442845403</v>
      </c>
      <c r="AH222" s="83">
        <v>93.640998898293802</v>
      </c>
      <c r="AI222" s="83">
        <v>93.431079954051697</v>
      </c>
      <c r="AJ222" s="83">
        <v>92.863440390465499</v>
      </c>
      <c r="AK222" s="83">
        <v>92.072926970068906</v>
      </c>
      <c r="AL222" s="83">
        <v>93.043285468738205</v>
      </c>
      <c r="AM222" s="83">
        <v>94.300295407609497</v>
      </c>
      <c r="AN222" s="83">
        <v>95.0947204955296</v>
      </c>
      <c r="AO222" s="83">
        <v>94.859252957135794</v>
      </c>
      <c r="AP222" s="83">
        <v>95.884141186498198</v>
      </c>
      <c r="AQ222" s="83">
        <v>96.704571802712294</v>
      </c>
      <c r="AR222" s="83">
        <v>96.750532867487294</v>
      </c>
      <c r="AS222" s="83">
        <v>99.1540829690137</v>
      </c>
      <c r="AT222" s="83">
        <v>98.552064875961705</v>
      </c>
      <c r="AU222" s="83">
        <v>97.494153300599507</v>
      </c>
      <c r="AV222" s="83">
        <v>97.769527484006503</v>
      </c>
      <c r="AW222" s="83">
        <v>98.507879781666404</v>
      </c>
      <c r="AX222" s="83">
        <v>98.549883663925698</v>
      </c>
      <c r="AY222" s="83">
        <v>98.111212667287802</v>
      </c>
      <c r="AZ222" s="83">
        <v>97.311684326176703</v>
      </c>
      <c r="BA222" s="83">
        <v>96.123485933444599</v>
      </c>
      <c r="BB222" s="83">
        <v>96.202230671509795</v>
      </c>
      <c r="BC222" s="83">
        <v>96.225921180971199</v>
      </c>
      <c r="BD222" s="83">
        <v>95.742224459494395</v>
      </c>
      <c r="BE222" s="83">
        <v>95.295896029560296</v>
      </c>
      <c r="BF222" s="83">
        <v>96.021884187975104</v>
      </c>
      <c r="BG222" s="83">
        <v>96.719173857786899</v>
      </c>
      <c r="BH222" s="83">
        <v>96.533071393265203</v>
      </c>
      <c r="BI222" s="83">
        <v>96.535263891541305</v>
      </c>
      <c r="BJ222" s="83">
        <v>96.535263891541504</v>
      </c>
      <c r="BK222" s="83">
        <v>96.535263891541305</v>
      </c>
      <c r="BL222" s="83">
        <v>96.535263891541405</v>
      </c>
      <c r="BM222" s="83">
        <v>96.535263891541504</v>
      </c>
      <c r="BN222" s="83">
        <v>96.535263891541604</v>
      </c>
      <c r="BO222" s="83">
        <v>96.535263891541703</v>
      </c>
      <c r="BP222" s="83">
        <v>96.535263891541604</v>
      </c>
      <c r="BQ222" s="83">
        <v>96.535263891541604</v>
      </c>
      <c r="BR222" s="83">
        <v>96.535263891541703</v>
      </c>
      <c r="BS222" s="83">
        <v>96.535263891541703</v>
      </c>
      <c r="BT222" s="83">
        <v>96.535263891541504</v>
      </c>
    </row>
    <row r="223" spans="1:72" x14ac:dyDescent="0.65">
      <c r="A223" s="82" t="s">
        <v>55</v>
      </c>
      <c r="B223" s="81" t="str">
        <f t="shared" si="5"/>
        <v>IMF.RES.GAS:GAS_LIVE_2026_JAN_GAS1_VINTAGE</v>
      </c>
      <c r="C223" s="81" t="s">
        <v>809</v>
      </c>
      <c r="D223" s="82"/>
      <c r="E223" s="83">
        <v>98.523614202533906</v>
      </c>
      <c r="F223" s="83">
        <v>98.204100623641594</v>
      </c>
      <c r="G223" s="83">
        <v>97.503233002423201</v>
      </c>
      <c r="H223" s="83">
        <v>98.322818285113996</v>
      </c>
      <c r="I223" s="83">
        <v>98.481319612386201</v>
      </c>
      <c r="J223" s="83">
        <v>99.057313994718598</v>
      </c>
      <c r="K223" s="83">
        <v>99.980751806234395</v>
      </c>
      <c r="L223" s="83">
        <v>101.065917815882</v>
      </c>
      <c r="M223" s="83">
        <v>102.230884515741</v>
      </c>
      <c r="N223" s="83">
        <v>102.442724437886</v>
      </c>
      <c r="O223" s="83">
        <v>102.110345965674</v>
      </c>
      <c r="P223" s="83">
        <v>101.744691844965</v>
      </c>
      <c r="Q223" s="83">
        <v>99.805670313552696</v>
      </c>
      <c r="R223" s="83">
        <v>99.557541333173603</v>
      </c>
      <c r="S223" s="83">
        <v>100.424998043979</v>
      </c>
      <c r="T223" s="83">
        <v>100.741209932366</v>
      </c>
      <c r="U223" s="83">
        <v>95.187354530628497</v>
      </c>
      <c r="V223" s="83">
        <v>99.875402019709398</v>
      </c>
      <c r="W223" s="83">
        <v>106.233953642518</v>
      </c>
      <c r="X223" s="83">
        <v>112.701574657474</v>
      </c>
      <c r="Y223" s="83">
        <v>123.723805854491</v>
      </c>
      <c r="Z223" s="83">
        <v>127.384719528281</v>
      </c>
      <c r="AA223" s="83">
        <v>129.67579729351601</v>
      </c>
      <c r="AB223" s="83">
        <v>128.572684673509</v>
      </c>
      <c r="AC223" s="83">
        <v>135.406802784635</v>
      </c>
      <c r="AD223" s="83">
        <v>130.768454154984</v>
      </c>
      <c r="AE223" s="83">
        <v>125.811965313535</v>
      </c>
      <c r="AF223" s="83">
        <v>120.75569285500799</v>
      </c>
      <c r="AG223" s="83">
        <v>113.23015266091799</v>
      </c>
      <c r="AH223" s="83">
        <v>110.472933643497</v>
      </c>
      <c r="AI223" s="83">
        <v>108.81524392267001</v>
      </c>
      <c r="AJ223" s="83">
        <v>107.743964399527</v>
      </c>
      <c r="AK223" s="83">
        <v>103.910485467699</v>
      </c>
      <c r="AL223" s="83">
        <v>104.41472475926</v>
      </c>
      <c r="AM223" s="83">
        <v>105.99540015407899</v>
      </c>
      <c r="AN223" s="83">
        <v>107.7653950479</v>
      </c>
      <c r="AO223" s="83">
        <v>105.35712035851201</v>
      </c>
      <c r="AP223" s="83">
        <v>109.64228933321201</v>
      </c>
      <c r="AQ223" s="83">
        <v>113.724641232395</v>
      </c>
      <c r="AR223" s="83">
        <v>116.189465411732</v>
      </c>
      <c r="AS223" s="83">
        <v>129.252963589205</v>
      </c>
      <c r="AT223" s="83">
        <v>125.47883203923899</v>
      </c>
      <c r="AU223" s="83">
        <v>119.026912580597</v>
      </c>
      <c r="AV223" s="83">
        <v>113.15293797250401</v>
      </c>
      <c r="AW223" s="83">
        <v>106.552916411423</v>
      </c>
      <c r="AX223" s="83">
        <v>102.66331618774301</v>
      </c>
      <c r="AY223" s="83">
        <v>100.100801741461</v>
      </c>
      <c r="AZ223" s="83">
        <v>98.523632529696897</v>
      </c>
      <c r="BA223" s="83">
        <v>93.2203824118276</v>
      </c>
      <c r="BB223" s="83">
        <v>93.271307226122204</v>
      </c>
      <c r="BC223" s="83">
        <v>93.503350278697695</v>
      </c>
      <c r="BD223" s="83">
        <v>93.389591168490696</v>
      </c>
      <c r="BE223" s="83">
        <v>93.574278119539898</v>
      </c>
      <c r="BF223" s="83">
        <v>94.459576810342199</v>
      </c>
      <c r="BG223" s="83">
        <v>94.993143753944807</v>
      </c>
      <c r="BH223" s="83">
        <v>94.981290089328596</v>
      </c>
      <c r="BI223" s="83">
        <v>94.992088298222697</v>
      </c>
      <c r="BJ223" s="83">
        <v>94.992088298222697</v>
      </c>
      <c r="BK223" s="83">
        <v>94.992088298222299</v>
      </c>
      <c r="BL223" s="83">
        <v>94.992088298222598</v>
      </c>
      <c r="BM223" s="83">
        <v>94.992088298222598</v>
      </c>
      <c r="BN223" s="83">
        <v>94.992088298222697</v>
      </c>
      <c r="BO223" s="83">
        <v>94.992088298222896</v>
      </c>
      <c r="BP223" s="83">
        <v>94.992088298222995</v>
      </c>
      <c r="BQ223" s="83">
        <v>94.992088298222995</v>
      </c>
      <c r="BR223" s="83">
        <v>94.992088298222995</v>
      </c>
      <c r="BS223" s="83">
        <v>94.992088298222896</v>
      </c>
      <c r="BT223" s="83">
        <v>94.992088298222797</v>
      </c>
    </row>
    <row r="224" spans="1:72" x14ac:dyDescent="0.65">
      <c r="A224" s="82" t="s">
        <v>56</v>
      </c>
      <c r="B224" s="81" t="str">
        <f t="shared" si="5"/>
        <v>IMF.RES.GAS:GAS_LIVE_2026_JAN_GAS1_VINTAGE</v>
      </c>
      <c r="C224" s="81" t="s">
        <v>810</v>
      </c>
      <c r="D224" s="82"/>
      <c r="E224" s="83">
        <v>94.646090850953499</v>
      </c>
      <c r="F224" s="83">
        <v>94.167931241300707</v>
      </c>
      <c r="G224" s="83">
        <v>93.495232148352699</v>
      </c>
      <c r="H224" s="83">
        <v>95.149078802120698</v>
      </c>
      <c r="I224" s="83">
        <v>96.422571020168206</v>
      </c>
      <c r="J224" s="83">
        <v>97.611694342932196</v>
      </c>
      <c r="K224" s="83">
        <v>98.935718611162798</v>
      </c>
      <c r="L224" s="83">
        <v>99.680414964641301</v>
      </c>
      <c r="M224" s="83">
        <v>103.973150040227</v>
      </c>
      <c r="N224" s="83">
        <v>101.693224504933</v>
      </c>
      <c r="O224" s="83">
        <v>98.260016041529695</v>
      </c>
      <c r="P224" s="83">
        <v>95.006984439904301</v>
      </c>
      <c r="Q224" s="83">
        <v>88.015230424995295</v>
      </c>
      <c r="R224" s="83">
        <v>86.531827203262495</v>
      </c>
      <c r="S224" s="83">
        <v>87.174851114386797</v>
      </c>
      <c r="T224" s="83">
        <v>87.376580667319701</v>
      </c>
      <c r="U224" s="83">
        <v>88.733114672933496</v>
      </c>
      <c r="V224" s="83">
        <v>88.583161138816706</v>
      </c>
      <c r="W224" s="83">
        <v>87.961982547864096</v>
      </c>
      <c r="X224" s="83">
        <v>86.803428408686997</v>
      </c>
      <c r="Y224" s="83">
        <v>85.7718238531113</v>
      </c>
      <c r="Z224" s="83">
        <v>85.346993883369507</v>
      </c>
      <c r="AA224" s="83">
        <v>86.009537656368394</v>
      </c>
      <c r="AB224" s="83">
        <v>85.425588306356701</v>
      </c>
      <c r="AC224" s="83">
        <v>84.660519603189002</v>
      </c>
      <c r="AD224" s="83">
        <v>83.826920150834695</v>
      </c>
      <c r="AE224" s="83">
        <v>83.475598730885693</v>
      </c>
      <c r="AF224" s="83">
        <v>83.026058784724498</v>
      </c>
      <c r="AG224" s="83">
        <v>82.015923400942796</v>
      </c>
      <c r="AH224" s="83">
        <v>82.224743803316699</v>
      </c>
      <c r="AI224" s="83">
        <v>82.483548782560106</v>
      </c>
      <c r="AJ224" s="83">
        <v>82.081470081908805</v>
      </c>
      <c r="AK224" s="83">
        <v>83.626618752910503</v>
      </c>
      <c r="AL224" s="83">
        <v>83.278717497660196</v>
      </c>
      <c r="AM224" s="83">
        <v>83.050441761603295</v>
      </c>
      <c r="AN224" s="83">
        <v>81.755560702509598</v>
      </c>
      <c r="AO224" s="83">
        <v>80.367597830808407</v>
      </c>
      <c r="AP224" s="83">
        <v>79.067230934925007</v>
      </c>
      <c r="AQ224" s="83">
        <v>77.680260340166697</v>
      </c>
      <c r="AR224" s="83">
        <v>76.125559541264295</v>
      </c>
      <c r="AS224" s="83">
        <v>74.828281811426905</v>
      </c>
      <c r="AT224" s="83">
        <v>73.442088146861494</v>
      </c>
      <c r="AU224" s="83">
        <v>71.858909412926096</v>
      </c>
      <c r="AV224" s="83">
        <v>71.537932961547995</v>
      </c>
      <c r="AW224" s="83">
        <v>70.394835900139</v>
      </c>
      <c r="AX224" s="83">
        <v>70.368166163722904</v>
      </c>
      <c r="AY224" s="83">
        <v>70.317821308854903</v>
      </c>
      <c r="AZ224" s="83">
        <v>70.247856239559098</v>
      </c>
      <c r="BA224" s="83">
        <v>69.884850043723702</v>
      </c>
      <c r="BB224" s="83">
        <v>70.115200994188996</v>
      </c>
      <c r="BC224" s="83">
        <v>70.236436819614894</v>
      </c>
      <c r="BD224" s="83">
        <v>69.804354932227199</v>
      </c>
      <c r="BE224" s="83">
        <v>70.002419916159795</v>
      </c>
      <c r="BF224" s="83">
        <v>70.706417849667204</v>
      </c>
      <c r="BG224" s="83">
        <v>71.061012000486002</v>
      </c>
      <c r="BH224" s="83">
        <v>70.982339247252796</v>
      </c>
      <c r="BI224" s="83">
        <v>70.981482881070505</v>
      </c>
      <c r="BJ224" s="83">
        <v>70.981482881070406</v>
      </c>
      <c r="BK224" s="83">
        <v>70.981482881070406</v>
      </c>
      <c r="BL224" s="83">
        <v>70.981482881070406</v>
      </c>
      <c r="BM224" s="83">
        <v>70.981482881070605</v>
      </c>
      <c r="BN224" s="83">
        <v>70.981482881070505</v>
      </c>
      <c r="BO224" s="83">
        <v>70.981482881070704</v>
      </c>
      <c r="BP224" s="83">
        <v>70.981482881070505</v>
      </c>
      <c r="BQ224" s="83">
        <v>70.981482881070605</v>
      </c>
      <c r="BR224" s="83">
        <v>70.981482881070406</v>
      </c>
      <c r="BS224" s="83">
        <v>70.981482881070605</v>
      </c>
      <c r="BT224" s="83">
        <v>70.981482881070605</v>
      </c>
    </row>
    <row r="225" spans="1:72" x14ac:dyDescent="0.65">
      <c r="A225" s="82" t="s">
        <v>57</v>
      </c>
      <c r="B225" s="81" t="str">
        <f t="shared" si="5"/>
        <v>IMF.RES.GAS:GAS_LIVE_2026_JAN_GAS1_VINTAGE</v>
      </c>
      <c r="C225" s="81" t="s">
        <v>811</v>
      </c>
      <c r="D225" s="82"/>
      <c r="E225" s="83">
        <v>107.312595864893</v>
      </c>
      <c r="F225" s="83">
        <v>107.533866419414</v>
      </c>
      <c r="G225" s="83">
        <v>108.145392071367</v>
      </c>
      <c r="H225" s="83">
        <v>110.566159527762</v>
      </c>
      <c r="I225" s="83">
        <v>110.960328110044</v>
      </c>
      <c r="J225" s="83">
        <v>109.49796032524</v>
      </c>
      <c r="K225" s="83">
        <v>106.440528058636</v>
      </c>
      <c r="L225" s="83">
        <v>103.525783627488</v>
      </c>
      <c r="M225" s="83">
        <v>104.29934552423001</v>
      </c>
      <c r="N225" s="83">
        <v>105.741882997452</v>
      </c>
      <c r="O225" s="83">
        <v>103.460409622491</v>
      </c>
      <c r="P225" s="83">
        <v>98.409381074668005</v>
      </c>
      <c r="Q225" s="83">
        <v>94.186164312169197</v>
      </c>
      <c r="R225" s="83">
        <v>94.249292114318493</v>
      </c>
      <c r="S225" s="83">
        <v>88.3152068758219</v>
      </c>
      <c r="T225" s="83">
        <v>85.238518546913497</v>
      </c>
      <c r="U225" s="83">
        <v>82.780097849579306</v>
      </c>
      <c r="V225" s="83">
        <v>84.172818067310601</v>
      </c>
      <c r="W225" s="83">
        <v>84.371106528470904</v>
      </c>
      <c r="X225" s="83">
        <v>86.760798857337207</v>
      </c>
      <c r="Y225" s="83">
        <v>86.155405038408603</v>
      </c>
      <c r="Z225" s="83">
        <v>83.165462499203699</v>
      </c>
      <c r="AA225" s="83">
        <v>84.692548169602105</v>
      </c>
      <c r="AB225" s="83">
        <v>82.824687452244603</v>
      </c>
      <c r="AC225" s="83">
        <v>82.493475257339995</v>
      </c>
      <c r="AD225" s="83">
        <v>83.939247548490897</v>
      </c>
      <c r="AE225" s="83">
        <v>84.654504204532202</v>
      </c>
      <c r="AF225" s="83">
        <v>84.276420025165805</v>
      </c>
      <c r="AG225" s="83">
        <v>86.288070782977996</v>
      </c>
      <c r="AH225" s="83">
        <v>85.451818548160801</v>
      </c>
      <c r="AI225" s="83">
        <v>82.617644528098793</v>
      </c>
      <c r="AJ225" s="83">
        <v>78.769749907484098</v>
      </c>
      <c r="AK225" s="83">
        <v>72.249072934801802</v>
      </c>
      <c r="AL225" s="83">
        <v>69.195981634072297</v>
      </c>
      <c r="AM225" s="83">
        <v>73.392424518062398</v>
      </c>
      <c r="AN225" s="83">
        <v>74.418757426430702</v>
      </c>
      <c r="AO225" s="83">
        <v>79.966739376460595</v>
      </c>
      <c r="AP225" s="83">
        <v>82.656463021421203</v>
      </c>
      <c r="AQ225" s="83">
        <v>81.143589095615994</v>
      </c>
      <c r="AR225" s="83">
        <v>83.691577231973199</v>
      </c>
      <c r="AS225" s="83">
        <v>85.476701395094295</v>
      </c>
      <c r="AT225" s="83">
        <v>84.333167648571802</v>
      </c>
      <c r="AU225" s="83">
        <v>83.586786146106803</v>
      </c>
      <c r="AV225" s="83">
        <v>81.929666627468706</v>
      </c>
      <c r="AW225" s="83">
        <v>77.9570629961175</v>
      </c>
      <c r="AX225" s="83">
        <v>74.452014930060898</v>
      </c>
      <c r="AY225" s="83">
        <v>76.876739938153705</v>
      </c>
      <c r="AZ225" s="83">
        <v>75.310630070187003</v>
      </c>
      <c r="BA225" s="83">
        <v>77.117272990346706</v>
      </c>
      <c r="BB225" s="83">
        <v>77.0034711194198</v>
      </c>
      <c r="BC225" s="83">
        <v>76.145310828127194</v>
      </c>
      <c r="BD225" s="83">
        <v>76.207747674336304</v>
      </c>
      <c r="BE225" s="83">
        <v>77.054311596103901</v>
      </c>
      <c r="BF225" s="83">
        <v>78.087360823347296</v>
      </c>
      <c r="BG225" s="83">
        <v>78.534980096208798</v>
      </c>
      <c r="BH225" s="83">
        <v>79.625457201463902</v>
      </c>
      <c r="BI225" s="83">
        <v>79.691907073837896</v>
      </c>
      <c r="BJ225" s="83">
        <v>79.691907073837896</v>
      </c>
      <c r="BK225" s="83">
        <v>79.691907073837996</v>
      </c>
      <c r="BL225" s="83">
        <v>79.691907073837797</v>
      </c>
      <c r="BM225" s="83">
        <v>79.691907073837896</v>
      </c>
      <c r="BN225" s="83">
        <v>79.691907073837996</v>
      </c>
      <c r="BO225" s="83">
        <v>79.691907073837996</v>
      </c>
      <c r="BP225" s="83">
        <v>79.691907073837896</v>
      </c>
      <c r="BQ225" s="83">
        <v>79.691907073837996</v>
      </c>
      <c r="BR225" s="83">
        <v>79.691907073838095</v>
      </c>
      <c r="BS225" s="83">
        <v>79.691907073837996</v>
      </c>
      <c r="BT225" s="83">
        <v>79.691907073837896</v>
      </c>
    </row>
    <row r="226" spans="1:72" x14ac:dyDescent="0.65">
      <c r="A226" s="82" t="s">
        <v>58</v>
      </c>
      <c r="B226" s="81" t="str">
        <f t="shared" si="5"/>
        <v>IMF.RES.GAS:GAS_LIVE_2026_JAN_GAS1_VINTAGE</v>
      </c>
      <c r="C226" s="81" t="s">
        <v>812</v>
      </c>
      <c r="D226" s="82"/>
      <c r="E226" s="83">
        <v>104.78995759935999</v>
      </c>
      <c r="F226" s="83">
        <v>104.064513592541</v>
      </c>
      <c r="G226" s="83">
        <v>109.12922777733</v>
      </c>
      <c r="H226" s="83">
        <v>108.215740831628</v>
      </c>
      <c r="I226" s="83">
        <v>110.941698919264</v>
      </c>
      <c r="J226" s="83">
        <v>111.570901259092</v>
      </c>
      <c r="K226" s="83">
        <v>112.20904857843701</v>
      </c>
      <c r="L226" s="83">
        <v>111.58663663674599</v>
      </c>
      <c r="M226" s="83">
        <v>116.419718089995</v>
      </c>
      <c r="N226" s="83">
        <v>112.26741910512401</v>
      </c>
      <c r="O226" s="83">
        <v>107.657516157348</v>
      </c>
      <c r="P226" s="83">
        <v>104.336652617922</v>
      </c>
      <c r="Q226" s="83">
        <v>97.546614287049195</v>
      </c>
      <c r="R226" s="83">
        <v>96.991612905627505</v>
      </c>
      <c r="S226" s="83">
        <v>96.614137581661595</v>
      </c>
      <c r="T226" s="83">
        <v>98.321346353355594</v>
      </c>
      <c r="U226" s="83">
        <v>98.318137926712197</v>
      </c>
      <c r="V226" s="83">
        <v>99.3433514096224</v>
      </c>
      <c r="W226" s="83">
        <v>97.112963609194196</v>
      </c>
      <c r="X226" s="83">
        <v>94.517178706091499</v>
      </c>
      <c r="Y226" s="83">
        <v>97.570326152466706</v>
      </c>
      <c r="Z226" s="83">
        <v>96.476133560816393</v>
      </c>
      <c r="AA226" s="83">
        <v>99.152255926971705</v>
      </c>
      <c r="AB226" s="83">
        <v>96.765265157334497</v>
      </c>
      <c r="AC226" s="83">
        <v>95.495581628811095</v>
      </c>
      <c r="AD226" s="83">
        <v>91.442057112029104</v>
      </c>
      <c r="AE226" s="83">
        <v>90.589525671980297</v>
      </c>
      <c r="AF226" s="83">
        <v>91.241255821026002</v>
      </c>
      <c r="AG226" s="83">
        <v>89.188435424797603</v>
      </c>
      <c r="AH226" s="83">
        <v>88.319454442574198</v>
      </c>
      <c r="AI226" s="83">
        <v>88.792140578885196</v>
      </c>
      <c r="AJ226" s="83">
        <v>89.340616355909802</v>
      </c>
      <c r="AK226" s="83">
        <v>92.538594929547997</v>
      </c>
      <c r="AL226" s="83">
        <v>92.280770774382404</v>
      </c>
      <c r="AM226" s="83">
        <v>93.983624483478096</v>
      </c>
      <c r="AN226" s="83">
        <v>92.7516681349137</v>
      </c>
      <c r="AO226" s="83">
        <v>92.334432236936806</v>
      </c>
      <c r="AP226" s="83">
        <v>89.481335702150901</v>
      </c>
      <c r="AQ226" s="83">
        <v>86.680888615590106</v>
      </c>
      <c r="AR226" s="83">
        <v>85.235655789136402</v>
      </c>
      <c r="AS226" s="83">
        <v>77.074906522695201</v>
      </c>
      <c r="AT226" s="83">
        <v>77.477073685848396</v>
      </c>
      <c r="AU226" s="83">
        <v>77.131824201997702</v>
      </c>
      <c r="AV226" s="83">
        <v>76.791457876685001</v>
      </c>
      <c r="AW226" s="83">
        <v>78.129275411874801</v>
      </c>
      <c r="AX226" s="83">
        <v>77.059189879960101</v>
      </c>
      <c r="AY226" s="83">
        <v>74.692324697861594</v>
      </c>
      <c r="AZ226" s="83">
        <v>76.049205789431497</v>
      </c>
      <c r="BA226" s="83">
        <v>76.700188568691701</v>
      </c>
      <c r="BB226" s="83">
        <v>75.111015014917498</v>
      </c>
      <c r="BC226" s="83">
        <v>75.513928269216507</v>
      </c>
      <c r="BD226" s="83">
        <v>74.840272460032196</v>
      </c>
      <c r="BE226" s="83">
        <v>76.427286852697094</v>
      </c>
      <c r="BF226" s="83">
        <v>79.279901547719405</v>
      </c>
      <c r="BG226" s="83">
        <v>78.665337768420699</v>
      </c>
      <c r="BH226" s="83">
        <v>79.760667379629595</v>
      </c>
      <c r="BI226" s="83">
        <v>79.798262336734197</v>
      </c>
      <c r="BJ226" s="83">
        <v>79.798262336734496</v>
      </c>
      <c r="BK226" s="83">
        <v>79.798262336734396</v>
      </c>
      <c r="BL226" s="83">
        <v>79.798262336734396</v>
      </c>
      <c r="BM226" s="83">
        <v>79.798262336734496</v>
      </c>
      <c r="BN226" s="83">
        <v>79.798262336734396</v>
      </c>
      <c r="BO226" s="83">
        <v>79.798262336734297</v>
      </c>
      <c r="BP226" s="83">
        <v>79.798262336734297</v>
      </c>
      <c r="BQ226" s="83">
        <v>79.798262336734396</v>
      </c>
      <c r="BR226" s="83">
        <v>79.798262336734496</v>
      </c>
      <c r="BS226" s="83">
        <v>79.798262336734297</v>
      </c>
      <c r="BT226" s="83">
        <v>79.798262336734197</v>
      </c>
    </row>
    <row r="227" spans="1:72" x14ac:dyDescent="0.65">
      <c r="A227" s="82" t="s">
        <v>14</v>
      </c>
      <c r="B227" s="81" t="str">
        <f t="shared" si="5"/>
        <v>IMF.RES.GAS:GAS_LIVE_2026_JAN_GAS1_VINTAGE</v>
      </c>
      <c r="C227" s="81" t="s">
        <v>813</v>
      </c>
      <c r="D227" s="82"/>
      <c r="E227" s="83">
        <v>112.521416881156</v>
      </c>
      <c r="F227" s="83">
        <v>111.92300721716499</v>
      </c>
      <c r="G227" s="83">
        <v>109.992458831471</v>
      </c>
      <c r="H227" s="83">
        <v>110.53656713748001</v>
      </c>
      <c r="I227" s="83">
        <v>109.497527757995</v>
      </c>
      <c r="J227" s="83">
        <v>109.34766451107799</v>
      </c>
      <c r="K227" s="83">
        <v>109.469217004219</v>
      </c>
      <c r="L227" s="83">
        <v>110.558140024024</v>
      </c>
      <c r="M227" s="83">
        <v>111.791280600156</v>
      </c>
      <c r="N227" s="83">
        <v>111.612339290921</v>
      </c>
      <c r="O227" s="83">
        <v>110.24838323085</v>
      </c>
      <c r="P227" s="83">
        <v>109.931889286699</v>
      </c>
      <c r="Q227" s="83">
        <v>119.674584368422</v>
      </c>
      <c r="R227" s="83">
        <v>122.064779471275</v>
      </c>
      <c r="S227" s="83">
        <v>118.639342206256</v>
      </c>
      <c r="T227" s="83">
        <v>116.570983772727</v>
      </c>
      <c r="U227" s="83">
        <v>114.99365331210799</v>
      </c>
      <c r="V227" s="83">
        <v>115.271506658647</v>
      </c>
      <c r="W227" s="83">
        <v>115.66546489090599</v>
      </c>
      <c r="X227" s="83">
        <v>116.16888732636301</v>
      </c>
      <c r="Y227" s="83">
        <v>117.921023666393</v>
      </c>
      <c r="Z227" s="83">
        <v>116.587963884253</v>
      </c>
      <c r="AA227" s="83">
        <v>113.216767973145</v>
      </c>
      <c r="AB227" s="83">
        <v>109.31361883704901</v>
      </c>
      <c r="AC227" s="83">
        <v>108.82285646472501</v>
      </c>
      <c r="AD227" s="83">
        <v>106.689119709881</v>
      </c>
      <c r="AE227" s="83">
        <v>108.788649662732</v>
      </c>
      <c r="AF227" s="83">
        <v>108.677272932441</v>
      </c>
      <c r="AG227" s="83">
        <v>108.78597405917399</v>
      </c>
      <c r="AH227" s="83">
        <v>108.37703051443199</v>
      </c>
      <c r="AI227" s="83">
        <v>110.218232149031</v>
      </c>
      <c r="AJ227" s="83">
        <v>108.97766900701301</v>
      </c>
      <c r="AK227" s="83">
        <v>110.075858394615</v>
      </c>
      <c r="AL227" s="83">
        <v>111.06424626619101</v>
      </c>
      <c r="AM227" s="83">
        <v>111.809762992066</v>
      </c>
      <c r="AN227" s="83">
        <v>112.342213911813</v>
      </c>
      <c r="AO227" s="83">
        <v>112.28840243075</v>
      </c>
      <c r="AP227" s="83">
        <v>111.586453983117</v>
      </c>
      <c r="AQ227" s="83">
        <v>112.302124048145</v>
      </c>
      <c r="AR227" s="83">
        <v>113.786557381356</v>
      </c>
      <c r="AS227" s="83">
        <v>115.65750510568201</v>
      </c>
      <c r="AT227" s="83">
        <v>114.980176679724</v>
      </c>
      <c r="AU227" s="83">
        <v>119.111120463955</v>
      </c>
      <c r="AV227" s="83">
        <v>117.851546814062</v>
      </c>
      <c r="AW227" s="83">
        <v>117.324769892182</v>
      </c>
      <c r="AX227" s="83">
        <v>118.75057501167301</v>
      </c>
      <c r="AY227" s="83">
        <v>120.19193923234999</v>
      </c>
      <c r="AZ227" s="83">
        <v>119.948959230044</v>
      </c>
      <c r="BA227" s="83">
        <v>119.391731170946</v>
      </c>
      <c r="BB227" s="83">
        <v>115.92165180504399</v>
      </c>
      <c r="BC227" s="83">
        <v>118.470696366946</v>
      </c>
      <c r="BD227" s="83">
        <v>118.95600067491</v>
      </c>
      <c r="BE227" s="83">
        <v>116.772441005986</v>
      </c>
      <c r="BF227" s="83">
        <v>119.621193013618</v>
      </c>
      <c r="BG227" s="83">
        <v>120.677640601428</v>
      </c>
      <c r="BH227" s="83">
        <v>121.40313619950599</v>
      </c>
      <c r="BI227" s="83">
        <v>121.42275048458301</v>
      </c>
      <c r="BJ227" s="83">
        <v>121.42275048458301</v>
      </c>
      <c r="BK227" s="83">
        <v>121.42275048458301</v>
      </c>
      <c r="BL227" s="83">
        <v>121.42275048458301</v>
      </c>
      <c r="BM227" s="83">
        <v>121.42275048458301</v>
      </c>
      <c r="BN227" s="83">
        <v>121.42275048458301</v>
      </c>
      <c r="BO227" s="83">
        <v>121.42275048458301</v>
      </c>
      <c r="BP227" s="83">
        <v>121.42275048458301</v>
      </c>
      <c r="BQ227" s="83">
        <v>121.42275048458301</v>
      </c>
      <c r="BR227" s="83">
        <v>121.42275048458301</v>
      </c>
      <c r="BS227" s="83">
        <v>121.42275048458301</v>
      </c>
      <c r="BT227" s="83">
        <v>121.42275048458301</v>
      </c>
    </row>
    <row r="228" spans="1:72" x14ac:dyDescent="0.65">
      <c r="A228" s="82" t="s">
        <v>59</v>
      </c>
      <c r="B228" s="81" t="str">
        <f t="shared" si="5"/>
        <v>IMF.RES.GAS:GAS_LIVE_2026_JAN_GAS1_VINTAGE</v>
      </c>
      <c r="C228" s="81" t="s">
        <v>814</v>
      </c>
      <c r="D228" s="82"/>
      <c r="E228" s="83">
        <v>115.48224040209</v>
      </c>
      <c r="F228" s="83">
        <v>114.384740158414</v>
      </c>
      <c r="G228" s="83">
        <v>110.576939186161</v>
      </c>
      <c r="H228" s="83">
        <v>109.496520668415</v>
      </c>
      <c r="I228" s="83">
        <v>107.606985416591</v>
      </c>
      <c r="J228" s="83">
        <v>106.894283034399</v>
      </c>
      <c r="K228" s="83">
        <v>107.371054081051</v>
      </c>
      <c r="L228" s="83">
        <v>108.488859354166</v>
      </c>
      <c r="M228" s="83">
        <v>108.140934836366</v>
      </c>
      <c r="N228" s="83">
        <v>108.326866383148</v>
      </c>
      <c r="O228" s="83">
        <v>107.789390753712</v>
      </c>
      <c r="P228" s="83">
        <v>107.163669546758</v>
      </c>
      <c r="Q228" s="83">
        <v>105.999971930762</v>
      </c>
      <c r="R228" s="83">
        <v>104.589661889174</v>
      </c>
      <c r="S228" s="83">
        <v>104.765565184474</v>
      </c>
      <c r="T228" s="83">
        <v>103.071860888586</v>
      </c>
      <c r="U228" s="83">
        <v>104.200078804521</v>
      </c>
      <c r="V228" s="83">
        <v>101.80229431560301</v>
      </c>
      <c r="W228" s="83">
        <v>99.336265473282893</v>
      </c>
      <c r="X228" s="83">
        <v>97.260940395508399</v>
      </c>
      <c r="Y228" s="83">
        <v>90.753474807746301</v>
      </c>
      <c r="Z228" s="83">
        <v>92.0685699009464</v>
      </c>
      <c r="AA228" s="83">
        <v>94.809693529185097</v>
      </c>
      <c r="AB228" s="83">
        <v>96.791738248209498</v>
      </c>
      <c r="AC228" s="83">
        <v>101.302103747499</v>
      </c>
      <c r="AD228" s="83">
        <v>100.87475622902301</v>
      </c>
      <c r="AE228" s="83">
        <v>99.540847274017594</v>
      </c>
      <c r="AF228" s="83">
        <v>97.273583892254607</v>
      </c>
      <c r="AG228" s="83">
        <v>96.371308999517794</v>
      </c>
      <c r="AH228" s="83">
        <v>94.446358546609005</v>
      </c>
      <c r="AI228" s="83">
        <v>92.841691304216198</v>
      </c>
      <c r="AJ228" s="83">
        <v>91.799162542304003</v>
      </c>
      <c r="AK228" s="83">
        <v>86.760964518718694</v>
      </c>
      <c r="AL228" s="83">
        <v>88.647150821551193</v>
      </c>
      <c r="AM228" s="83">
        <v>91.842683365176995</v>
      </c>
      <c r="AN228" s="83">
        <v>95.060771210231295</v>
      </c>
      <c r="AO228" s="83">
        <v>97.128577686267207</v>
      </c>
      <c r="AP228" s="83">
        <v>100.384057345142</v>
      </c>
      <c r="AQ228" s="83">
        <v>103.00491250508399</v>
      </c>
      <c r="AR228" s="83">
        <v>104.608005730804</v>
      </c>
      <c r="AS228" s="83">
        <v>109.689197383928</v>
      </c>
      <c r="AT228" s="83">
        <v>110.247349512711</v>
      </c>
      <c r="AU228" s="83">
        <v>109.95644748255501</v>
      </c>
      <c r="AV228" s="83">
        <v>110.834669458938</v>
      </c>
      <c r="AW228" s="83">
        <v>114.670168583681</v>
      </c>
      <c r="AX228" s="83">
        <v>113.996349764093</v>
      </c>
      <c r="AY228" s="83">
        <v>112.443675414072</v>
      </c>
      <c r="AZ228" s="83">
        <v>110.080504091303</v>
      </c>
      <c r="BA228" s="83">
        <v>107.28790431723399</v>
      </c>
      <c r="BB228" s="83">
        <v>106.359576628141</v>
      </c>
      <c r="BC228" s="83">
        <v>105.576956430221</v>
      </c>
      <c r="BD228" s="83">
        <v>104.454602340691</v>
      </c>
      <c r="BE228" s="83">
        <v>102.446434653252</v>
      </c>
      <c r="BF228" s="83">
        <v>103.210644298199</v>
      </c>
      <c r="BG228" s="83">
        <v>104.010469636089</v>
      </c>
      <c r="BH228" s="83">
        <v>104.038537875958</v>
      </c>
      <c r="BI228" s="83">
        <v>104.029283497279</v>
      </c>
      <c r="BJ228" s="83">
        <v>104.029283497279</v>
      </c>
      <c r="BK228" s="83">
        <v>104.029283497279</v>
      </c>
      <c r="BL228" s="83">
        <v>104.029283497279</v>
      </c>
      <c r="BM228" s="83">
        <v>104.029283497279</v>
      </c>
      <c r="BN228" s="83">
        <v>104.029283497279</v>
      </c>
      <c r="BO228" s="83">
        <v>104.029283497279</v>
      </c>
      <c r="BP228" s="83">
        <v>104.029283497279</v>
      </c>
      <c r="BQ228" s="83">
        <v>104.029283497279</v>
      </c>
      <c r="BR228" s="83">
        <v>104.029283497279</v>
      </c>
      <c r="BS228" s="83">
        <v>104.029283497279</v>
      </c>
      <c r="BT228" s="83">
        <v>104.029283497279</v>
      </c>
    </row>
    <row r="229" spans="1:72" x14ac:dyDescent="0.65">
      <c r="A229" s="82" t="s">
        <v>60</v>
      </c>
      <c r="B229" s="81" t="str">
        <f t="shared" si="5"/>
        <v>IMF.RES.GAS:GAS_LIVE_2026_JAN_GAS1_VINTAGE</v>
      </c>
      <c r="C229" s="81" t="s">
        <v>815</v>
      </c>
      <c r="D229" s="82"/>
      <c r="E229" s="83">
        <v>93.134754404948396</v>
      </c>
      <c r="F229" s="83">
        <v>90.616810314378995</v>
      </c>
      <c r="G229" s="83">
        <v>88.066443465669806</v>
      </c>
      <c r="H229" s="83">
        <v>86.998172660300398</v>
      </c>
      <c r="I229" s="83">
        <v>85.064809114332107</v>
      </c>
      <c r="J229" s="83">
        <v>83.329418689778095</v>
      </c>
      <c r="K229" s="83">
        <v>82.922454213848894</v>
      </c>
      <c r="L229" s="83">
        <v>83.630341480584093</v>
      </c>
      <c r="M229" s="83">
        <v>84.353558862374001</v>
      </c>
      <c r="N229" s="83">
        <v>83.945548134761097</v>
      </c>
      <c r="O229" s="83">
        <v>83.307898476935605</v>
      </c>
      <c r="P229" s="83">
        <v>82.872091484160507</v>
      </c>
      <c r="Q229" s="83">
        <v>81.084815121097606</v>
      </c>
      <c r="R229" s="83">
        <v>80.442577142394001</v>
      </c>
      <c r="S229" s="83">
        <v>80.890126423636303</v>
      </c>
      <c r="T229" s="83">
        <v>80.865406046134893</v>
      </c>
      <c r="U229" s="83">
        <v>83.922860411614394</v>
      </c>
      <c r="V229" s="83">
        <v>84.169749574533796</v>
      </c>
      <c r="W229" s="83">
        <v>83.339133064182704</v>
      </c>
      <c r="X229" s="83">
        <v>81.744666007923101</v>
      </c>
      <c r="Y229" s="83">
        <v>81.433936378883502</v>
      </c>
      <c r="Z229" s="83">
        <v>79.950443059127906</v>
      </c>
      <c r="AA229" s="83">
        <v>79.504286622417496</v>
      </c>
      <c r="AB229" s="83">
        <v>78.377427782755703</v>
      </c>
      <c r="AC229" s="83">
        <v>75.737649575558294</v>
      </c>
      <c r="AD229" s="83">
        <v>75.461185442478893</v>
      </c>
      <c r="AE229" s="83">
        <v>75.640701469553903</v>
      </c>
      <c r="AF229" s="83">
        <v>75.2389073932504</v>
      </c>
      <c r="AG229" s="83">
        <v>78.064678793388097</v>
      </c>
      <c r="AH229" s="83">
        <v>75.607200870515996</v>
      </c>
      <c r="AI229" s="83">
        <v>72.547400157340206</v>
      </c>
      <c r="AJ229" s="83">
        <v>69.430371235078894</v>
      </c>
      <c r="AK229" s="83">
        <v>63.636940843485803</v>
      </c>
      <c r="AL229" s="83">
        <v>63.6399431744303</v>
      </c>
      <c r="AM229" s="83">
        <v>64.772431927892598</v>
      </c>
      <c r="AN229" s="83">
        <v>65.6185164416991</v>
      </c>
      <c r="AO229" s="83">
        <v>67.634191843840398</v>
      </c>
      <c r="AP229" s="83">
        <v>67.065179681688903</v>
      </c>
      <c r="AQ229" s="83">
        <v>65.6871093395375</v>
      </c>
      <c r="AR229" s="83">
        <v>63.9893993029212</v>
      </c>
      <c r="AS229" s="83">
        <v>61.631997564768596</v>
      </c>
      <c r="AT229" s="83">
        <v>61.051461340624499</v>
      </c>
      <c r="AU229" s="83">
        <v>60.8826869814094</v>
      </c>
      <c r="AV229" s="83">
        <v>61.627413904351798</v>
      </c>
      <c r="AW229" s="83">
        <v>62.173744988086497</v>
      </c>
      <c r="AX229" s="83">
        <v>62.460213029572103</v>
      </c>
      <c r="AY229" s="83">
        <v>62.322722017318398</v>
      </c>
      <c r="AZ229" s="83">
        <v>62.091340215463099</v>
      </c>
      <c r="BA229" s="83">
        <v>61.823688211611099</v>
      </c>
      <c r="BB229" s="83">
        <v>61.929454237271102</v>
      </c>
      <c r="BC229" s="83">
        <v>62.052744246443297</v>
      </c>
      <c r="BD229" s="83">
        <v>61.9214579319111</v>
      </c>
      <c r="BE229" s="83">
        <v>61.9987197603797</v>
      </c>
      <c r="BF229" s="83">
        <v>62.658565145053203</v>
      </c>
      <c r="BG229" s="83">
        <v>63.046835999764902</v>
      </c>
      <c r="BH229" s="83">
        <v>63.2311415981154</v>
      </c>
      <c r="BI229" s="83">
        <v>63.2601821147598</v>
      </c>
      <c r="BJ229" s="83">
        <v>63.2601821147598</v>
      </c>
      <c r="BK229" s="83">
        <v>63.2601821147598</v>
      </c>
      <c r="BL229" s="83">
        <v>63.2601821147598</v>
      </c>
      <c r="BM229" s="83">
        <v>63.2601821147598</v>
      </c>
      <c r="BN229" s="83">
        <v>63.2601821147598</v>
      </c>
      <c r="BO229" s="83">
        <v>63.2601821147598</v>
      </c>
      <c r="BP229" s="83">
        <v>63.260182114759701</v>
      </c>
      <c r="BQ229" s="83">
        <v>63.2601821147598</v>
      </c>
      <c r="BR229" s="83">
        <v>63.2601821147598</v>
      </c>
      <c r="BS229" s="83">
        <v>63.2601821147598</v>
      </c>
      <c r="BT229" s="83">
        <v>63.260182114759601</v>
      </c>
    </row>
    <row r="230" spans="1:72" x14ac:dyDescent="0.65">
      <c r="A230" s="82" t="s">
        <v>62</v>
      </c>
      <c r="B230" s="81" t="str">
        <f t="shared" si="5"/>
        <v>IMF.RES.GAS:GAS_LIVE_2026_JAN_GAS1_VINTAGE</v>
      </c>
      <c r="C230" s="81" t="s">
        <v>816</v>
      </c>
      <c r="D230" s="82"/>
      <c r="E230" s="83">
        <v>92.465574083341707</v>
      </c>
      <c r="F230" s="83">
        <v>90.980155438388095</v>
      </c>
      <c r="G230" s="83">
        <v>89.052344264032399</v>
      </c>
      <c r="H230" s="83">
        <v>90.316666937384696</v>
      </c>
      <c r="I230" s="83">
        <v>90.474665255887402</v>
      </c>
      <c r="J230" s="83">
        <v>90.952349111659103</v>
      </c>
      <c r="K230" s="83">
        <v>92.319791871060801</v>
      </c>
      <c r="L230" s="83">
        <v>93.809620206452706</v>
      </c>
      <c r="M230" s="83">
        <v>96.090630258429201</v>
      </c>
      <c r="N230" s="83">
        <v>95.402857808902297</v>
      </c>
      <c r="O230" s="83">
        <v>93.265900923138304</v>
      </c>
      <c r="P230" s="83">
        <v>90.873767239193995</v>
      </c>
      <c r="Q230" s="83">
        <v>85.323464157706994</v>
      </c>
      <c r="R230" s="83">
        <v>84.041318522090407</v>
      </c>
      <c r="S230" s="83">
        <v>84.782025888360295</v>
      </c>
      <c r="T230" s="83">
        <v>84.755327835363801</v>
      </c>
      <c r="U230" s="83">
        <v>85.607128271986298</v>
      </c>
      <c r="V230" s="83">
        <v>86.547041983879197</v>
      </c>
      <c r="W230" s="83">
        <v>86.872145603836799</v>
      </c>
      <c r="X230" s="83">
        <v>86.412733203800698</v>
      </c>
      <c r="Y230" s="83">
        <v>86.3376065286526</v>
      </c>
      <c r="Z230" s="83">
        <v>87.507984512777199</v>
      </c>
      <c r="AA230" s="83">
        <v>90.471343989778802</v>
      </c>
      <c r="AB230" s="83">
        <v>90.692805786454599</v>
      </c>
      <c r="AC230" s="83">
        <v>92.270905863385195</v>
      </c>
      <c r="AD230" s="83">
        <v>91.300409257536998</v>
      </c>
      <c r="AE230" s="83">
        <v>90.712991457796804</v>
      </c>
      <c r="AF230" s="83">
        <v>89.543298458705394</v>
      </c>
      <c r="AG230" s="83">
        <v>91.047717411732904</v>
      </c>
      <c r="AH230" s="83">
        <v>88.883751698593599</v>
      </c>
      <c r="AI230" s="83">
        <v>86.432759513197198</v>
      </c>
      <c r="AJ230" s="83">
        <v>83.634543733812905</v>
      </c>
      <c r="AK230" s="83">
        <v>80.103215570633793</v>
      </c>
      <c r="AL230" s="83">
        <v>79.455782223839705</v>
      </c>
      <c r="AM230" s="83">
        <v>81.024320097940304</v>
      </c>
      <c r="AN230" s="83">
        <v>81.250555923570204</v>
      </c>
      <c r="AO230" s="83">
        <v>80.493786992262599</v>
      </c>
      <c r="AP230" s="83">
        <v>80.120067742951804</v>
      </c>
      <c r="AQ230" s="83">
        <v>78.999275985459803</v>
      </c>
      <c r="AR230" s="83">
        <v>77.7700661509583</v>
      </c>
      <c r="AS230" s="83">
        <v>75.590249678405996</v>
      </c>
      <c r="AT230" s="83">
        <v>75.178079990553002</v>
      </c>
      <c r="AU230" s="83">
        <v>74.642984253527899</v>
      </c>
      <c r="AV230" s="83">
        <v>76.560647596040397</v>
      </c>
      <c r="AW230" s="83">
        <v>78.958462350663495</v>
      </c>
      <c r="AX230" s="83">
        <v>80.524343831078795</v>
      </c>
      <c r="AY230" s="83">
        <v>81.355132750610295</v>
      </c>
      <c r="AZ230" s="83">
        <v>81.457929132588006</v>
      </c>
      <c r="BA230" s="83">
        <v>84.107221385856903</v>
      </c>
      <c r="BB230" s="83">
        <v>83.256670497744196</v>
      </c>
      <c r="BC230" s="83">
        <v>82.310852017821205</v>
      </c>
      <c r="BD230" s="83">
        <v>80.076069053023403</v>
      </c>
      <c r="BE230" s="83">
        <v>77.140276412320901</v>
      </c>
      <c r="BF230" s="83">
        <v>79.261932454390006</v>
      </c>
      <c r="BG230" s="83">
        <v>80.942360914579396</v>
      </c>
      <c r="BH230" s="83">
        <v>81.694830323442602</v>
      </c>
      <c r="BI230" s="83">
        <v>81.770102824381098</v>
      </c>
      <c r="BJ230" s="83">
        <v>81.770102824381198</v>
      </c>
      <c r="BK230" s="83">
        <v>81.770102824381198</v>
      </c>
      <c r="BL230" s="83">
        <v>81.770102824381198</v>
      </c>
      <c r="BM230" s="83">
        <v>81.770102824381198</v>
      </c>
      <c r="BN230" s="83">
        <v>81.770102824380999</v>
      </c>
      <c r="BO230" s="83">
        <v>81.770102824381198</v>
      </c>
      <c r="BP230" s="83">
        <v>81.770102824381198</v>
      </c>
      <c r="BQ230" s="83">
        <v>81.770102824381297</v>
      </c>
      <c r="BR230" s="83">
        <v>81.770102824381297</v>
      </c>
      <c r="BS230" s="83">
        <v>81.770102824381297</v>
      </c>
      <c r="BT230" s="83">
        <v>81.770102824381397</v>
      </c>
    </row>
    <row r="231" spans="1:72" x14ac:dyDescent="0.65">
      <c r="A231" s="82" t="s">
        <v>63</v>
      </c>
      <c r="B231" s="81" t="str">
        <f t="shared" si="5"/>
        <v>IMF.RES.GAS:GAS_LIVE_2026_JAN_GAS1_VINTAGE</v>
      </c>
      <c r="C231" s="81" t="s">
        <v>817</v>
      </c>
      <c r="D231" s="82"/>
      <c r="E231" s="83">
        <v>96.911973237916897</v>
      </c>
      <c r="F231" s="83">
        <v>95.504936194133194</v>
      </c>
      <c r="G231" s="83">
        <v>94.077790987456893</v>
      </c>
      <c r="H231" s="83">
        <v>94.002477014621704</v>
      </c>
      <c r="I231" s="83">
        <v>93.083424242292395</v>
      </c>
      <c r="J231" s="83">
        <v>92.920380205166595</v>
      </c>
      <c r="K231" s="83">
        <v>93.055639126514706</v>
      </c>
      <c r="L231" s="83">
        <v>93.356269532713</v>
      </c>
      <c r="M231" s="83">
        <v>93.302224050611997</v>
      </c>
      <c r="N231" s="83">
        <v>93.208192180897598</v>
      </c>
      <c r="O231" s="83">
        <v>92.785714928999099</v>
      </c>
      <c r="P231" s="83">
        <v>92.341581780531897</v>
      </c>
      <c r="Q231" s="83">
        <v>90.923198390544798</v>
      </c>
      <c r="R231" s="83">
        <v>90.442468344018593</v>
      </c>
      <c r="S231" s="83">
        <v>90.751226135617799</v>
      </c>
      <c r="T231" s="83">
        <v>90.7455720881741</v>
      </c>
      <c r="U231" s="83">
        <v>90.633555708823806</v>
      </c>
      <c r="V231" s="83">
        <v>91.231407448793206</v>
      </c>
      <c r="W231" s="83">
        <v>92.066791164853399</v>
      </c>
      <c r="X231" s="83">
        <v>92.648794418481302</v>
      </c>
      <c r="Y231" s="83">
        <v>93.254194149251603</v>
      </c>
      <c r="Z231" s="83">
        <v>94.099879956951696</v>
      </c>
      <c r="AA231" s="83">
        <v>95.5713538076334</v>
      </c>
      <c r="AB231" s="83">
        <v>95.891276692320304</v>
      </c>
      <c r="AC231" s="83">
        <v>96.971884021373995</v>
      </c>
      <c r="AD231" s="83">
        <v>96.688982957014105</v>
      </c>
      <c r="AE231" s="83">
        <v>96.670958555047093</v>
      </c>
      <c r="AF231" s="83">
        <v>96.596261314484195</v>
      </c>
      <c r="AG231" s="83">
        <v>95.7445544226306</v>
      </c>
      <c r="AH231" s="83">
        <v>96.189862533067</v>
      </c>
      <c r="AI231" s="83">
        <v>96.913149513961798</v>
      </c>
      <c r="AJ231" s="83">
        <v>97.4657855211221</v>
      </c>
      <c r="AK231" s="83">
        <v>97.514594190809404</v>
      </c>
      <c r="AL231" s="83">
        <v>99.277572364547495</v>
      </c>
      <c r="AM231" s="83">
        <v>101.486985853639</v>
      </c>
      <c r="AN231" s="83">
        <v>102.905908575586</v>
      </c>
      <c r="AO231" s="83">
        <v>105.89824954754999</v>
      </c>
      <c r="AP231" s="83">
        <v>106.151591051827</v>
      </c>
      <c r="AQ231" s="83">
        <v>105.65322911988901</v>
      </c>
      <c r="AR231" s="83">
        <v>104.610054761722</v>
      </c>
      <c r="AS231" s="83">
        <v>105.201375856898</v>
      </c>
      <c r="AT231" s="83">
        <v>103.82874593928599</v>
      </c>
      <c r="AU231" s="83">
        <v>102.182481996086</v>
      </c>
      <c r="AV231" s="83">
        <v>101.52560765297299</v>
      </c>
      <c r="AW231" s="83">
        <v>100.89755927453</v>
      </c>
      <c r="AX231" s="83">
        <v>99.989285042516002</v>
      </c>
      <c r="AY231" s="83">
        <v>99.045660797805695</v>
      </c>
      <c r="AZ231" s="83">
        <v>98.255992258504307</v>
      </c>
      <c r="BA231" s="83">
        <v>96.633049889290007</v>
      </c>
      <c r="BB231" s="83">
        <v>96.420861204190004</v>
      </c>
      <c r="BC231" s="83">
        <v>96.325167321668303</v>
      </c>
      <c r="BD231" s="83">
        <v>95.881153780430694</v>
      </c>
      <c r="BE231" s="83">
        <v>95.557983178825694</v>
      </c>
      <c r="BF231" s="83">
        <v>96.244685153586602</v>
      </c>
      <c r="BG231" s="83">
        <v>96.697082495908703</v>
      </c>
      <c r="BH231" s="83">
        <v>96.799130218803896</v>
      </c>
      <c r="BI231" s="83">
        <v>96.8176071873513</v>
      </c>
      <c r="BJ231" s="83">
        <v>96.817607187351101</v>
      </c>
      <c r="BK231" s="83">
        <v>96.817607187351001</v>
      </c>
      <c r="BL231" s="83">
        <v>96.817607187351101</v>
      </c>
      <c r="BM231" s="83">
        <v>96.817607187351001</v>
      </c>
      <c r="BN231" s="83">
        <v>96.817607187350902</v>
      </c>
      <c r="BO231" s="83">
        <v>96.817607187350802</v>
      </c>
      <c r="BP231" s="83">
        <v>96.817607187351001</v>
      </c>
      <c r="BQ231" s="83">
        <v>96.817607187350802</v>
      </c>
      <c r="BR231" s="83">
        <v>96.817607187351001</v>
      </c>
      <c r="BS231" s="83">
        <v>96.817607187351101</v>
      </c>
      <c r="BT231" s="83">
        <v>96.817607187351001</v>
      </c>
    </row>
    <row r="232" spans="1:72" x14ac:dyDescent="0.65">
      <c r="A232" s="82" t="s">
        <v>64</v>
      </c>
      <c r="B232" s="81" t="str">
        <f t="shared" si="5"/>
        <v>IMF.RES.GAS:GAS_LIVE_2026_JAN_GAS1_VINTAGE</v>
      </c>
      <c r="C232" s="81" t="s">
        <v>818</v>
      </c>
      <c r="D232" s="82"/>
      <c r="E232" s="83">
        <v>95.211138174849296</v>
      </c>
      <c r="F232" s="83">
        <v>93.795945727371205</v>
      </c>
      <c r="G232" s="83">
        <v>92.003711831283098</v>
      </c>
      <c r="H232" s="83">
        <v>91.774546657384093</v>
      </c>
      <c r="I232" s="83">
        <v>91.302377471113999</v>
      </c>
      <c r="J232" s="83">
        <v>90.787571215250296</v>
      </c>
      <c r="K232" s="83">
        <v>90.554119873063698</v>
      </c>
      <c r="L232" s="83">
        <v>90.272090536603798</v>
      </c>
      <c r="M232" s="83">
        <v>90.383878481345207</v>
      </c>
      <c r="N232" s="83">
        <v>89.031852589838294</v>
      </c>
      <c r="O232" s="83">
        <v>87.2692559495311</v>
      </c>
      <c r="P232" s="83">
        <v>85.791179836577996</v>
      </c>
      <c r="Q232" s="83">
        <v>81.381844864460803</v>
      </c>
      <c r="R232" s="83">
        <v>81.0471884525398</v>
      </c>
      <c r="S232" s="83">
        <v>82.006834396728806</v>
      </c>
      <c r="T232" s="83">
        <v>82.442200320900696</v>
      </c>
      <c r="U232" s="83">
        <v>84.456244124945798</v>
      </c>
      <c r="V232" s="83">
        <v>84.286999025913104</v>
      </c>
      <c r="W232" s="83">
        <v>83.6880253174361</v>
      </c>
      <c r="X232" s="83">
        <v>82.927084897633407</v>
      </c>
      <c r="Y232" s="83">
        <v>80.977974420463497</v>
      </c>
      <c r="Z232" s="83">
        <v>81.7100357164542</v>
      </c>
      <c r="AA232" s="83">
        <v>83.534692141066301</v>
      </c>
      <c r="AB232" s="83">
        <v>84.256230330575207</v>
      </c>
      <c r="AC232" s="83">
        <v>86.271153953339606</v>
      </c>
      <c r="AD232" s="83">
        <v>85.513565831119706</v>
      </c>
      <c r="AE232" s="83">
        <v>84.833373644090699</v>
      </c>
      <c r="AF232" s="83">
        <v>84.422217675793704</v>
      </c>
      <c r="AG232" s="83">
        <v>80.7071448272319</v>
      </c>
      <c r="AH232" s="83">
        <v>82.865973360666104</v>
      </c>
      <c r="AI232" s="83">
        <v>85.624175578458406</v>
      </c>
      <c r="AJ232" s="83">
        <v>87.759478722488495</v>
      </c>
      <c r="AK232" s="83">
        <v>94.026231321506401</v>
      </c>
      <c r="AL232" s="83">
        <v>94.111018108667196</v>
      </c>
      <c r="AM232" s="83">
        <v>93.517736507046905</v>
      </c>
      <c r="AN232" s="83">
        <v>91.480943904242494</v>
      </c>
      <c r="AO232" s="83">
        <v>89.608513759273805</v>
      </c>
      <c r="AP232" s="83">
        <v>87.9347562199018</v>
      </c>
      <c r="AQ232" s="83">
        <v>86.587046062263099</v>
      </c>
      <c r="AR232" s="83">
        <v>85.548598759366996</v>
      </c>
      <c r="AS232" s="83">
        <v>83.150723267476195</v>
      </c>
      <c r="AT232" s="83">
        <v>82.840433749626499</v>
      </c>
      <c r="AU232" s="83">
        <v>82.396648274325599</v>
      </c>
      <c r="AV232" s="83">
        <v>83.047277306621694</v>
      </c>
      <c r="AW232" s="83">
        <v>83.816277911896194</v>
      </c>
      <c r="AX232" s="83">
        <v>84.088656671204802</v>
      </c>
      <c r="AY232" s="83">
        <v>84.113862933094197</v>
      </c>
      <c r="AZ232" s="83">
        <v>83.981554294909699</v>
      </c>
      <c r="BA232" s="83">
        <v>83.807015076025195</v>
      </c>
      <c r="BB232" s="83">
        <v>84.002997325515096</v>
      </c>
      <c r="BC232" s="83">
        <v>84.173700349006197</v>
      </c>
      <c r="BD232" s="83">
        <v>83.894762572209501</v>
      </c>
      <c r="BE232" s="83">
        <v>84.000406903879806</v>
      </c>
      <c r="BF232" s="83">
        <v>84.925760298419704</v>
      </c>
      <c r="BG232" s="83">
        <v>85.539899857855502</v>
      </c>
      <c r="BH232" s="83">
        <v>85.737152377395105</v>
      </c>
      <c r="BI232" s="83">
        <v>85.750461344408393</v>
      </c>
      <c r="BJ232" s="83">
        <v>85.750461344408507</v>
      </c>
      <c r="BK232" s="83">
        <v>85.750461344408606</v>
      </c>
      <c r="BL232" s="83">
        <v>85.750461344408393</v>
      </c>
      <c r="BM232" s="83">
        <v>85.750461344408706</v>
      </c>
      <c r="BN232" s="83">
        <v>85.750461344408507</v>
      </c>
      <c r="BO232" s="83">
        <v>85.750461344408293</v>
      </c>
      <c r="BP232" s="83">
        <v>85.750461344408393</v>
      </c>
      <c r="BQ232" s="83">
        <v>85.750461344408293</v>
      </c>
      <c r="BR232" s="83">
        <v>85.750461344408293</v>
      </c>
      <c r="BS232" s="83">
        <v>85.750461344408095</v>
      </c>
      <c r="BT232" s="83">
        <v>85.750461344408293</v>
      </c>
    </row>
    <row r="233" spans="1:72" x14ac:dyDescent="0.65">
      <c r="A233" s="82" t="s">
        <v>65</v>
      </c>
      <c r="B233" s="81" t="str">
        <f t="shared" si="5"/>
        <v>IMF.RES.GAS:GAS_LIVE_2026_JAN_GAS1_VINTAGE</v>
      </c>
      <c r="C233" s="81" t="s">
        <v>819</v>
      </c>
      <c r="D233" s="82"/>
      <c r="E233" s="83">
        <v>113.794695711735</v>
      </c>
      <c r="F233" s="83">
        <v>109.76968520917499</v>
      </c>
      <c r="G233" s="83">
        <v>112.671446056915</v>
      </c>
      <c r="H233" s="83">
        <v>111.156146055745</v>
      </c>
      <c r="I233" s="83">
        <v>111.65030921671701</v>
      </c>
      <c r="J233" s="83">
        <v>108.714312565575</v>
      </c>
      <c r="K233" s="83">
        <v>100.545400313733</v>
      </c>
      <c r="L233" s="83">
        <v>100.474533952556</v>
      </c>
      <c r="M233" s="83">
        <v>98.176739532232403</v>
      </c>
      <c r="N233" s="83">
        <v>101.277065097471</v>
      </c>
      <c r="O233" s="83">
        <v>101.800670789789</v>
      </c>
      <c r="P233" s="83">
        <v>98.325142005314405</v>
      </c>
      <c r="Q233" s="83">
        <v>94.427729020870601</v>
      </c>
      <c r="R233" s="83">
        <v>94.164134867956406</v>
      </c>
      <c r="S233" s="83">
        <v>89.123826723687699</v>
      </c>
      <c r="T233" s="83">
        <v>89.127480180478798</v>
      </c>
      <c r="U233" s="83">
        <v>88.990722957345298</v>
      </c>
      <c r="V233" s="83">
        <v>89.999560321736595</v>
      </c>
      <c r="W233" s="83">
        <v>91.495170022556593</v>
      </c>
      <c r="X233" s="83">
        <v>93.439273491977204</v>
      </c>
      <c r="Y233" s="83">
        <v>95.914885290693604</v>
      </c>
      <c r="Z233" s="83">
        <v>93.453886875949806</v>
      </c>
      <c r="AA233" s="83">
        <v>95.510692331657395</v>
      </c>
      <c r="AB233" s="83">
        <v>93.164105945006398</v>
      </c>
      <c r="AC233" s="83">
        <v>92.568307243738005</v>
      </c>
      <c r="AD233" s="83">
        <v>90.7132748225185</v>
      </c>
      <c r="AE233" s="83">
        <v>89.482937999480001</v>
      </c>
      <c r="AF233" s="83">
        <v>88.650318990440695</v>
      </c>
      <c r="AG233" s="83">
        <v>88.007882553491797</v>
      </c>
      <c r="AH233" s="83">
        <v>87.015130958803596</v>
      </c>
      <c r="AI233" s="83">
        <v>85.302224577372399</v>
      </c>
      <c r="AJ233" s="83">
        <v>84.654975188710395</v>
      </c>
      <c r="AK233" s="83">
        <v>81.216122615566903</v>
      </c>
      <c r="AL233" s="83">
        <v>81.5031234930659</v>
      </c>
      <c r="AM233" s="83">
        <v>86.189344748935596</v>
      </c>
      <c r="AN233" s="83">
        <v>86.691046184898696</v>
      </c>
      <c r="AO233" s="83">
        <v>91.549994580455902</v>
      </c>
      <c r="AP233" s="83">
        <v>91.673877821763796</v>
      </c>
      <c r="AQ233" s="83">
        <v>88.729946866015794</v>
      </c>
      <c r="AR233" s="83">
        <v>89.453592571927302</v>
      </c>
      <c r="AS233" s="83">
        <v>90.147082978632994</v>
      </c>
      <c r="AT233" s="83">
        <v>93.011373361691895</v>
      </c>
      <c r="AU233" s="83">
        <v>92.386892850441498</v>
      </c>
      <c r="AV233" s="83">
        <v>89.118122878724407</v>
      </c>
      <c r="AW233" s="83">
        <v>88.897942333819401</v>
      </c>
      <c r="AX233" s="83">
        <v>87.250426367847595</v>
      </c>
      <c r="AY233" s="83">
        <v>86.674679632544994</v>
      </c>
      <c r="AZ233" s="83">
        <v>87.436938097462104</v>
      </c>
      <c r="BA233" s="83">
        <v>88.460174343897293</v>
      </c>
      <c r="BB233" s="83">
        <v>90.4094869550959</v>
      </c>
      <c r="BC233" s="83">
        <v>90.676831321227397</v>
      </c>
      <c r="BD233" s="83">
        <v>90.241283804036001</v>
      </c>
      <c r="BE233" s="83">
        <v>88.4669755183387</v>
      </c>
      <c r="BF233" s="83">
        <v>86.379293287349697</v>
      </c>
      <c r="BG233" s="83">
        <v>87.388288846851594</v>
      </c>
      <c r="BH233" s="83">
        <v>88.5545106020964</v>
      </c>
      <c r="BI233" s="83">
        <v>88.686172244324496</v>
      </c>
      <c r="BJ233" s="83">
        <v>88.686172244324794</v>
      </c>
      <c r="BK233" s="83">
        <v>88.686172244324794</v>
      </c>
      <c r="BL233" s="83">
        <v>88.686172244324695</v>
      </c>
      <c r="BM233" s="83">
        <v>88.686172244324894</v>
      </c>
      <c r="BN233" s="83">
        <v>88.686172244324695</v>
      </c>
      <c r="BO233" s="83">
        <v>88.686172244324894</v>
      </c>
      <c r="BP233" s="83">
        <v>88.686172244324993</v>
      </c>
      <c r="BQ233" s="83">
        <v>88.686172244324894</v>
      </c>
      <c r="BR233" s="83">
        <v>88.686172244324595</v>
      </c>
      <c r="BS233" s="83">
        <v>88.686172244324595</v>
      </c>
      <c r="BT233" s="83">
        <v>88.686172244324595</v>
      </c>
    </row>
    <row r="234" spans="1:72" x14ac:dyDescent="0.65">
      <c r="A234" s="82" t="s">
        <v>66</v>
      </c>
      <c r="B234" s="81" t="str">
        <f t="shared" si="5"/>
        <v>IMF.RES.GAS:GAS_LIVE_2026_JAN_GAS1_VINTAGE</v>
      </c>
      <c r="C234" s="81" t="s">
        <v>820</v>
      </c>
      <c r="D234" s="82"/>
      <c r="E234" s="83">
        <v>106.68988873652199</v>
      </c>
      <c r="F234" s="83">
        <v>104.82604355031501</v>
      </c>
      <c r="G234" s="83">
        <v>106.466291371686</v>
      </c>
      <c r="H234" s="83">
        <v>107.284687548682</v>
      </c>
      <c r="I234" s="83">
        <v>109.214450426936</v>
      </c>
      <c r="J234" s="83">
        <v>110.29621328475299</v>
      </c>
      <c r="K234" s="83">
        <v>108.696552740307</v>
      </c>
      <c r="L234" s="83">
        <v>111.457892905165</v>
      </c>
      <c r="M234" s="83">
        <v>114.704686834187</v>
      </c>
      <c r="N234" s="83">
        <v>116.355837904254</v>
      </c>
      <c r="O234" s="83">
        <v>115.101820134378</v>
      </c>
      <c r="P234" s="83">
        <v>112.097737680487</v>
      </c>
      <c r="Q234" s="83">
        <v>113.187168096753</v>
      </c>
      <c r="R234" s="83">
        <v>111.34453626342</v>
      </c>
      <c r="S234" s="83">
        <v>101.394311392804</v>
      </c>
      <c r="T234" s="83">
        <v>105.20643236684499</v>
      </c>
      <c r="U234" s="83">
        <v>104.806075081421</v>
      </c>
      <c r="V234" s="83">
        <v>107.06904859513701</v>
      </c>
      <c r="W234" s="83">
        <v>112.32304238155299</v>
      </c>
      <c r="X234" s="83">
        <v>114.42070471663899</v>
      </c>
      <c r="Y234" s="83">
        <v>116.567816631431</v>
      </c>
      <c r="Z234" s="83">
        <v>113.859593553629</v>
      </c>
      <c r="AA234" s="83">
        <v>113.96024811830701</v>
      </c>
      <c r="AB234" s="83">
        <v>109.013508674417</v>
      </c>
      <c r="AC234" s="83">
        <v>111.35345565926301</v>
      </c>
      <c r="AD234" s="83">
        <v>109.47558093353</v>
      </c>
      <c r="AE234" s="83">
        <v>105.392031225083</v>
      </c>
      <c r="AF234" s="83">
        <v>106.409975247047</v>
      </c>
      <c r="AG234" s="83">
        <v>105.941320761117</v>
      </c>
      <c r="AH234" s="83">
        <v>104.250143790846</v>
      </c>
      <c r="AI234" s="83">
        <v>103.39309992930001</v>
      </c>
      <c r="AJ234" s="83">
        <v>103.25348660650999</v>
      </c>
      <c r="AK234" s="83">
        <v>103.887058875134</v>
      </c>
      <c r="AL234" s="83">
        <v>101.722785567363</v>
      </c>
      <c r="AM234" s="83">
        <v>104.324802240778</v>
      </c>
      <c r="AN234" s="83">
        <v>105.963644103489</v>
      </c>
      <c r="AO234" s="83">
        <v>109.72708563117099</v>
      </c>
      <c r="AP234" s="83">
        <v>109.011099831688</v>
      </c>
      <c r="AQ234" s="83">
        <v>108.534262422848</v>
      </c>
      <c r="AR234" s="83">
        <v>109.202213561546</v>
      </c>
      <c r="AS234" s="83">
        <v>106.655180591231</v>
      </c>
      <c r="AT234" s="83">
        <v>106.81734027131699</v>
      </c>
      <c r="AU234" s="83">
        <v>105.161800409042</v>
      </c>
      <c r="AV234" s="83">
        <v>104.305712691515</v>
      </c>
      <c r="AW234" s="83">
        <v>104.79096219518399</v>
      </c>
      <c r="AX234" s="83">
        <v>103.546446765846</v>
      </c>
      <c r="AY234" s="83">
        <v>102.56090521803699</v>
      </c>
      <c r="AZ234" s="83">
        <v>103.565853130281</v>
      </c>
      <c r="BA234" s="83">
        <v>105.149546605423</v>
      </c>
      <c r="BB234" s="83">
        <v>104.959523252493</v>
      </c>
      <c r="BC234" s="83">
        <v>103.83318566982101</v>
      </c>
      <c r="BD234" s="83">
        <v>102.43903648781099</v>
      </c>
      <c r="BE234" s="83">
        <v>99.435697919451201</v>
      </c>
      <c r="BF234" s="83">
        <v>99.318103024740097</v>
      </c>
      <c r="BG234" s="83">
        <v>98.226202662176405</v>
      </c>
      <c r="BH234" s="83">
        <v>95.746897243933006</v>
      </c>
      <c r="BI234" s="83">
        <v>95.468434011360699</v>
      </c>
      <c r="BJ234" s="83">
        <v>95.4684340113605</v>
      </c>
      <c r="BK234" s="83">
        <v>95.4684340113606</v>
      </c>
      <c r="BL234" s="83">
        <v>95.4684340113606</v>
      </c>
      <c r="BM234" s="83">
        <v>95.4684340113605</v>
      </c>
      <c r="BN234" s="83">
        <v>95.468434011360401</v>
      </c>
      <c r="BO234" s="83">
        <v>95.4684340113605</v>
      </c>
      <c r="BP234" s="83">
        <v>95.468434011360401</v>
      </c>
      <c r="BQ234" s="83">
        <v>95.4684340113605</v>
      </c>
      <c r="BR234" s="83">
        <v>95.468434011360699</v>
      </c>
      <c r="BS234" s="83">
        <v>95.4684340113605</v>
      </c>
      <c r="BT234" s="83">
        <v>95.468434011360699</v>
      </c>
    </row>
    <row r="235" spans="1:72" x14ac:dyDescent="0.65">
      <c r="B235" s="11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</row>
    <row r="236" spans="1:72" x14ac:dyDescent="0.65">
      <c r="A236" s="1" t="s">
        <v>72</v>
      </c>
      <c r="B236" s="11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</row>
    <row r="237" spans="1:72" x14ac:dyDescent="0.65">
      <c r="A237" s="82" t="s">
        <v>10</v>
      </c>
      <c r="B237" s="81" t="str">
        <f t="shared" si="5"/>
        <v>IMF.RES.GAS:GAS_LIVE_2026_JAN_GAS1_VINTAGE</v>
      </c>
      <c r="C237" s="81" t="s">
        <v>821</v>
      </c>
      <c r="D237" s="82"/>
      <c r="E237" s="83">
        <v>96.757685976762502</v>
      </c>
      <c r="F237" s="83">
        <v>98.123322594372695</v>
      </c>
      <c r="G237" s="83">
        <v>98.246587615492004</v>
      </c>
      <c r="H237" s="83">
        <v>96.813710507731798</v>
      </c>
      <c r="I237" s="83">
        <v>98.594320839299101</v>
      </c>
      <c r="J237" s="83">
        <v>100.704068558781</v>
      </c>
      <c r="K237" s="83">
        <v>100.57554733244901</v>
      </c>
      <c r="L237" s="83">
        <v>99.182666872932799</v>
      </c>
      <c r="M237" s="83">
        <v>100.462740290673</v>
      </c>
      <c r="N237" s="83">
        <v>99.496999367094404</v>
      </c>
      <c r="O237" s="83">
        <v>101.221110547598</v>
      </c>
      <c r="P237" s="83">
        <v>107.20265733842901</v>
      </c>
      <c r="Q237" s="83">
        <v>114.996976806408</v>
      </c>
      <c r="R237" s="83">
        <v>115.581865933572</v>
      </c>
      <c r="S237" s="83">
        <v>118.063377880481</v>
      </c>
      <c r="T237" s="83">
        <v>119.483597611858</v>
      </c>
      <c r="U237" s="83">
        <v>120.023635827249</v>
      </c>
      <c r="V237" s="83">
        <v>115.530734899308</v>
      </c>
      <c r="W237" s="83">
        <v>115.597627419632</v>
      </c>
      <c r="X237" s="83">
        <v>119.693068436598</v>
      </c>
      <c r="Y237" s="83">
        <v>120.570013741163</v>
      </c>
      <c r="Z237" s="83">
        <v>118.32866986819</v>
      </c>
      <c r="AA237" s="83">
        <v>113.406513418476</v>
      </c>
      <c r="AB237" s="83">
        <v>113.699909992161</v>
      </c>
      <c r="AC237" s="83">
        <v>110.055979457699</v>
      </c>
      <c r="AD237" s="83">
        <v>112.581646244326</v>
      </c>
      <c r="AE237" s="83">
        <v>115.265367214119</v>
      </c>
      <c r="AF237" s="83">
        <v>116.84187072029501</v>
      </c>
      <c r="AG237" s="83">
        <v>116.641708180401</v>
      </c>
      <c r="AH237" s="83">
        <v>117.768548271565</v>
      </c>
      <c r="AI237" s="83">
        <v>118.106876330365</v>
      </c>
      <c r="AJ237" s="83">
        <v>117.850992299155</v>
      </c>
      <c r="AK237" s="83">
        <v>118.663153340645</v>
      </c>
      <c r="AL237" s="83">
        <v>119.738720076796</v>
      </c>
      <c r="AM237" s="83">
        <v>114.734694324065</v>
      </c>
      <c r="AN237" s="83">
        <v>112.106487148301</v>
      </c>
      <c r="AO237" s="83">
        <v>110.59975463494</v>
      </c>
      <c r="AP237" s="83">
        <v>110.383441221933</v>
      </c>
      <c r="AQ237" s="83">
        <v>112.517953329227</v>
      </c>
      <c r="AR237" s="83">
        <v>114.591429298495</v>
      </c>
      <c r="AS237" s="83">
        <v>116.22963707635201</v>
      </c>
      <c r="AT237" s="83">
        <v>122.098281570035</v>
      </c>
      <c r="AU237" s="83">
        <v>128.012301917727</v>
      </c>
      <c r="AV237" s="83">
        <v>129.370103067191</v>
      </c>
      <c r="AW237" s="83">
        <v>124.074451502957</v>
      </c>
      <c r="AX237" s="83">
        <v>124.05940832727499</v>
      </c>
      <c r="AY237" s="83">
        <v>125.137439305192</v>
      </c>
      <c r="AZ237" s="83">
        <v>126.779994315202</v>
      </c>
      <c r="BA237" s="83">
        <v>125.746682095304</v>
      </c>
      <c r="BB237" s="83">
        <v>128.127480387307</v>
      </c>
      <c r="BC237" s="83">
        <v>125.609064920213</v>
      </c>
      <c r="BD237" s="83">
        <v>128.49776031083101</v>
      </c>
      <c r="BE237" s="83">
        <v>130.755460053463</v>
      </c>
      <c r="BF237" s="83">
        <v>123.55000026386</v>
      </c>
      <c r="BG237" s="83">
        <v>121.680150227941</v>
      </c>
      <c r="BH237" s="83">
        <v>123.737717630657</v>
      </c>
      <c r="BI237" s="83">
        <v>123.796141440211</v>
      </c>
      <c r="BJ237" s="83">
        <v>123.636157959242</v>
      </c>
      <c r="BK237" s="83">
        <v>123.518543419887</v>
      </c>
      <c r="BL237" s="83">
        <v>123.416232471751</v>
      </c>
      <c r="BM237" s="83">
        <v>123.332991139843</v>
      </c>
      <c r="BN237" s="83">
        <v>123.189658322311</v>
      </c>
      <c r="BO237" s="83">
        <v>123.026748434057</v>
      </c>
      <c r="BP237" s="83">
        <v>122.86158084979201</v>
      </c>
      <c r="BQ237" s="83">
        <v>122.656199266005</v>
      </c>
      <c r="BR237" s="83">
        <v>122.53280534446201</v>
      </c>
      <c r="BS237" s="83">
        <v>122.42749839683</v>
      </c>
      <c r="BT237" s="83">
        <v>122.326661935658</v>
      </c>
    </row>
    <row r="238" spans="1:72" x14ac:dyDescent="0.65">
      <c r="A238" s="82" t="s">
        <v>11</v>
      </c>
      <c r="B238" s="81" t="str">
        <f t="shared" si="5"/>
        <v>IMF.RES.GAS:GAS_LIVE_2026_JAN_GAS1_VINTAGE</v>
      </c>
      <c r="C238" s="81" t="s">
        <v>822</v>
      </c>
      <c r="D238" s="82"/>
      <c r="E238" s="83">
        <v>95.168931250250495</v>
      </c>
      <c r="F238" s="83">
        <v>93.843420967794799</v>
      </c>
      <c r="G238" s="83">
        <v>91.419508091237603</v>
      </c>
      <c r="H238" s="83">
        <v>94.000917988765707</v>
      </c>
      <c r="I238" s="83">
        <v>97.058373447721195</v>
      </c>
      <c r="J238" s="83">
        <v>97.556010281294306</v>
      </c>
      <c r="K238" s="83">
        <v>98.853970018569001</v>
      </c>
      <c r="L238" s="83">
        <v>100.28685394473</v>
      </c>
      <c r="M238" s="83">
        <v>101.214631296638</v>
      </c>
      <c r="N238" s="83">
        <v>100.46332391897801</v>
      </c>
      <c r="O238" s="83">
        <v>98.281054635080693</v>
      </c>
      <c r="P238" s="83">
        <v>96.309556365010707</v>
      </c>
      <c r="Q238" s="83">
        <v>89.8652596608366</v>
      </c>
      <c r="R238" s="83">
        <v>88.044192667432597</v>
      </c>
      <c r="S238" s="83">
        <v>89.675352809083407</v>
      </c>
      <c r="T238" s="83">
        <v>89.092364349076306</v>
      </c>
      <c r="U238" s="83">
        <v>90.438278185604005</v>
      </c>
      <c r="V238" s="83">
        <v>90.893724666468103</v>
      </c>
      <c r="W238" s="83">
        <v>90.588267256764894</v>
      </c>
      <c r="X238" s="83">
        <v>89.8358945749996</v>
      </c>
      <c r="Y238" s="83">
        <v>88.957268264888199</v>
      </c>
      <c r="Z238" s="83">
        <v>90.587561409004493</v>
      </c>
      <c r="AA238" s="83">
        <v>94.830658562257298</v>
      </c>
      <c r="AB238" s="83">
        <v>95.216342096901101</v>
      </c>
      <c r="AC238" s="83">
        <v>97.029689256876395</v>
      </c>
      <c r="AD238" s="83">
        <v>95.611142618882297</v>
      </c>
      <c r="AE238" s="83">
        <v>95.026590584289096</v>
      </c>
      <c r="AF238" s="83">
        <v>94.010992222386605</v>
      </c>
      <c r="AG238" s="83">
        <v>93.241738118150707</v>
      </c>
      <c r="AH238" s="83">
        <v>92.998593070341997</v>
      </c>
      <c r="AI238" s="83">
        <v>92.614581121409898</v>
      </c>
      <c r="AJ238" s="83">
        <v>91.612080953105703</v>
      </c>
      <c r="AK238" s="83">
        <v>91.500698991991797</v>
      </c>
      <c r="AL238" s="83">
        <v>92.224820756909295</v>
      </c>
      <c r="AM238" s="83">
        <v>95.229213576730103</v>
      </c>
      <c r="AN238" s="83">
        <v>95.617256428553105</v>
      </c>
      <c r="AO238" s="83">
        <v>95.380016349373605</v>
      </c>
      <c r="AP238" s="83">
        <v>95.347991566893697</v>
      </c>
      <c r="AQ238" s="83">
        <v>94.263905826914296</v>
      </c>
      <c r="AR238" s="83">
        <v>92.456570727875203</v>
      </c>
      <c r="AS238" s="83">
        <v>91.436608412256902</v>
      </c>
      <c r="AT238" s="83">
        <v>90.068432454217501</v>
      </c>
      <c r="AU238" s="83">
        <v>87.914923406826901</v>
      </c>
      <c r="AV238" s="83">
        <v>89.726420417264805</v>
      </c>
      <c r="AW238" s="83">
        <v>91.764035968050294</v>
      </c>
      <c r="AX238" s="83">
        <v>93.156476047489804</v>
      </c>
      <c r="AY238" s="83">
        <v>93.595104696333294</v>
      </c>
      <c r="AZ238" s="83">
        <v>93.305946086342999</v>
      </c>
      <c r="BA238" s="83">
        <v>93.513308188706404</v>
      </c>
      <c r="BB238" s="83">
        <v>94.029993800512401</v>
      </c>
      <c r="BC238" s="83">
        <v>94.416934469678694</v>
      </c>
      <c r="BD238" s="83">
        <v>92.8534662784663</v>
      </c>
      <c r="BE238" s="83">
        <v>92.542003824230903</v>
      </c>
      <c r="BF238" s="83">
        <v>95.851602417364106</v>
      </c>
      <c r="BG238" s="83">
        <v>97.857933806453303</v>
      </c>
      <c r="BH238" s="83">
        <v>98.156765724177006</v>
      </c>
      <c r="BI238" s="83">
        <v>98.135883070482905</v>
      </c>
      <c r="BJ238" s="83">
        <v>97.958220842497298</v>
      </c>
      <c r="BK238" s="83">
        <v>97.771447554422195</v>
      </c>
      <c r="BL238" s="83">
        <v>97.579695023155594</v>
      </c>
      <c r="BM238" s="83">
        <v>97.399640697515395</v>
      </c>
      <c r="BN238" s="83">
        <v>97.210016006953296</v>
      </c>
      <c r="BO238" s="83">
        <v>97.027070888225595</v>
      </c>
      <c r="BP238" s="83">
        <v>96.854402006270405</v>
      </c>
      <c r="BQ238" s="83">
        <v>96.633017171272101</v>
      </c>
      <c r="BR238" s="83">
        <v>96.490105477353893</v>
      </c>
      <c r="BS238" s="83">
        <v>96.357828467599504</v>
      </c>
      <c r="BT238" s="83">
        <v>96.229569041302597</v>
      </c>
    </row>
    <row r="239" spans="1:72" x14ac:dyDescent="0.65">
      <c r="A239" s="82" t="s">
        <v>129</v>
      </c>
      <c r="B239" s="81" t="str">
        <f t="shared" si="5"/>
        <v>IMF.RES.GAS:GAS_LIVE_2026_JAN_GAS1_VINTAGE</v>
      </c>
      <c r="C239" s="81" t="s">
        <v>823</v>
      </c>
      <c r="D239" s="82"/>
      <c r="E239" s="83">
        <v>97.444767238022493</v>
      </c>
      <c r="F239" s="83">
        <v>96.817839576457899</v>
      </c>
      <c r="G239" s="83">
        <v>95.598001991276305</v>
      </c>
      <c r="H239" s="83">
        <v>96.8816231733216</v>
      </c>
      <c r="I239" s="83">
        <v>98.4918067349723</v>
      </c>
      <c r="J239" s="83">
        <v>98.814305344386597</v>
      </c>
      <c r="K239" s="83">
        <v>99.446949696891807</v>
      </c>
      <c r="L239" s="83">
        <v>100.22873493551</v>
      </c>
      <c r="M239" s="83">
        <v>100.75554379632599</v>
      </c>
      <c r="N239" s="83">
        <v>100.401250323886</v>
      </c>
      <c r="O239" s="83">
        <v>99.364696252581197</v>
      </c>
      <c r="P239" s="83">
        <v>98.3783997106881</v>
      </c>
      <c r="Q239" s="83">
        <v>94.9565140617553</v>
      </c>
      <c r="R239" s="83">
        <v>93.967079388261794</v>
      </c>
      <c r="S239" s="83">
        <v>94.829963824330804</v>
      </c>
      <c r="T239" s="83">
        <v>94.540567375011705</v>
      </c>
      <c r="U239" s="83">
        <v>95.208188246853993</v>
      </c>
      <c r="V239" s="83">
        <v>95.395716274490496</v>
      </c>
      <c r="W239" s="83">
        <v>95.223600812792498</v>
      </c>
      <c r="X239" s="83">
        <v>94.904172485141004</v>
      </c>
      <c r="Y239" s="83">
        <v>94.480605239965996</v>
      </c>
      <c r="Z239" s="83">
        <v>95.244213200818905</v>
      </c>
      <c r="AA239" s="83">
        <v>97.334010083042799</v>
      </c>
      <c r="AB239" s="83">
        <v>97.538276643177895</v>
      </c>
      <c r="AC239" s="83">
        <v>98.338277039022998</v>
      </c>
      <c r="AD239" s="83">
        <v>97.709104763587206</v>
      </c>
      <c r="AE239" s="83">
        <v>97.424093043545398</v>
      </c>
      <c r="AF239" s="83">
        <v>96.937284516992506</v>
      </c>
      <c r="AG239" s="83">
        <v>96.527545410265802</v>
      </c>
      <c r="AH239" s="83">
        <v>96.423212749413807</v>
      </c>
      <c r="AI239" s="83">
        <v>96.203774394169002</v>
      </c>
      <c r="AJ239" s="83">
        <v>95.685226808844902</v>
      </c>
      <c r="AK239" s="83">
        <v>95.575703556367102</v>
      </c>
      <c r="AL239" s="83">
        <v>96.084006604216995</v>
      </c>
      <c r="AM239" s="83">
        <v>97.481559564936106</v>
      </c>
      <c r="AN239" s="83">
        <v>97.676866971653496</v>
      </c>
      <c r="AO239" s="83">
        <v>97.522996349955093</v>
      </c>
      <c r="AP239" s="83">
        <v>97.489671449575994</v>
      </c>
      <c r="AQ239" s="83">
        <v>96.934997526635897</v>
      </c>
      <c r="AR239" s="83">
        <v>96.040905405014399</v>
      </c>
      <c r="AS239" s="83">
        <v>95.4439766478488</v>
      </c>
      <c r="AT239" s="83">
        <v>94.836744338334199</v>
      </c>
      <c r="AU239" s="83">
        <v>93.724799388178596</v>
      </c>
      <c r="AV239" s="83">
        <v>94.633392694420806</v>
      </c>
      <c r="AW239" s="83">
        <v>95.498718506861294</v>
      </c>
      <c r="AX239" s="83">
        <v>96.126690426896403</v>
      </c>
      <c r="AY239" s="83">
        <v>96.406117691775293</v>
      </c>
      <c r="AZ239" s="83">
        <v>96.315329915899696</v>
      </c>
      <c r="BA239" s="83">
        <v>96.477695378681901</v>
      </c>
      <c r="BB239" s="83">
        <v>96.800294423130794</v>
      </c>
      <c r="BC239" s="83">
        <v>96.930215766800401</v>
      </c>
      <c r="BD239" s="83">
        <v>96.172994099990802</v>
      </c>
      <c r="BE239" s="83">
        <v>96.040600908325899</v>
      </c>
      <c r="BF239" s="83">
        <v>97.497357133356104</v>
      </c>
      <c r="BG239" s="83">
        <v>98.454730834707306</v>
      </c>
      <c r="BH239" s="83">
        <v>98.617642952311598</v>
      </c>
      <c r="BI239" s="83">
        <v>98.652787698793105</v>
      </c>
      <c r="BJ239" s="83">
        <v>98.727862539301896</v>
      </c>
      <c r="BK239" s="83">
        <v>98.804090906884298</v>
      </c>
      <c r="BL239" s="83">
        <v>98.877560481807194</v>
      </c>
      <c r="BM239" s="83">
        <v>98.970136769637804</v>
      </c>
      <c r="BN239" s="83">
        <v>99.027569920627997</v>
      </c>
      <c r="BO239" s="83">
        <v>99.077595151740795</v>
      </c>
      <c r="BP239" s="83">
        <v>99.123328851795307</v>
      </c>
      <c r="BQ239" s="83">
        <v>99.171557654586607</v>
      </c>
      <c r="BR239" s="83">
        <v>99.217494079655097</v>
      </c>
      <c r="BS239" s="83">
        <v>99.264194084152507</v>
      </c>
      <c r="BT239" s="83">
        <v>99.310321318076902</v>
      </c>
    </row>
    <row r="240" spans="1:72" x14ac:dyDescent="0.65">
      <c r="A240" s="82" t="s">
        <v>130</v>
      </c>
      <c r="B240" s="81" t="str">
        <f t="shared" si="5"/>
        <v>IMF.RES.GAS:GAS_LIVE_2026_JAN_GAS1_VINTAGE</v>
      </c>
      <c r="C240" s="81" t="s">
        <v>824</v>
      </c>
      <c r="D240" s="82"/>
      <c r="E240" s="83">
        <v>98.0970871091492</v>
      </c>
      <c r="F240" s="83">
        <v>97.564180765783604</v>
      </c>
      <c r="G240" s="83">
        <v>96.602549865078799</v>
      </c>
      <c r="H240" s="83">
        <v>97.656367296602895</v>
      </c>
      <c r="I240" s="83">
        <v>98.9510141446342</v>
      </c>
      <c r="J240" s="83">
        <v>99.162564375436403</v>
      </c>
      <c r="K240" s="83">
        <v>99.631110218737007</v>
      </c>
      <c r="L240" s="83">
        <v>100.156258102436</v>
      </c>
      <c r="M240" s="83">
        <v>100.508311120719</v>
      </c>
      <c r="N240" s="83">
        <v>100.228694870059</v>
      </c>
      <c r="O240" s="83">
        <v>99.393362738122605</v>
      </c>
      <c r="P240" s="83">
        <v>98.596796941085103</v>
      </c>
      <c r="Q240" s="83">
        <v>95.947137057384793</v>
      </c>
      <c r="R240" s="83">
        <v>95.197249447341406</v>
      </c>
      <c r="S240" s="83">
        <v>95.811287437689202</v>
      </c>
      <c r="T240" s="83">
        <v>95.580583558117894</v>
      </c>
      <c r="U240" s="83">
        <v>96.130319161053606</v>
      </c>
      <c r="V240" s="83">
        <v>96.324231380844097</v>
      </c>
      <c r="W240" s="83">
        <v>96.280413116993401</v>
      </c>
      <c r="X240" s="83">
        <v>96.063279402589998</v>
      </c>
      <c r="Y240" s="83">
        <v>95.742192558965897</v>
      </c>
      <c r="Z240" s="83">
        <v>96.354898489165606</v>
      </c>
      <c r="AA240" s="83">
        <v>98.070373000373394</v>
      </c>
      <c r="AB240" s="83">
        <v>98.213306157163302</v>
      </c>
      <c r="AC240" s="83">
        <v>98.865284749473702</v>
      </c>
      <c r="AD240" s="83">
        <v>98.323175710721003</v>
      </c>
      <c r="AE240" s="83">
        <v>98.102350840334296</v>
      </c>
      <c r="AF240" s="83">
        <v>97.698502678702994</v>
      </c>
      <c r="AG240" s="83">
        <v>97.350705416576602</v>
      </c>
      <c r="AH240" s="83">
        <v>97.252720873875404</v>
      </c>
      <c r="AI240" s="83">
        <v>97.104285816438903</v>
      </c>
      <c r="AJ240" s="83">
        <v>96.646874901973604</v>
      </c>
      <c r="AK240" s="83">
        <v>96.559106102328201</v>
      </c>
      <c r="AL240" s="83">
        <v>96.881822231459594</v>
      </c>
      <c r="AM240" s="83">
        <v>98.086091632291897</v>
      </c>
      <c r="AN240" s="83">
        <v>98.247902524718896</v>
      </c>
      <c r="AO240" s="83">
        <v>98.159887714580094</v>
      </c>
      <c r="AP240" s="83">
        <v>98.151782491999597</v>
      </c>
      <c r="AQ240" s="83">
        <v>97.698037152774305</v>
      </c>
      <c r="AR240" s="83">
        <v>97.010960103982598</v>
      </c>
      <c r="AS240" s="83">
        <v>96.5539312763119</v>
      </c>
      <c r="AT240" s="83">
        <v>96.047542441804396</v>
      </c>
      <c r="AU240" s="83">
        <v>95.157724163087494</v>
      </c>
      <c r="AV240" s="83">
        <v>95.854865290959097</v>
      </c>
      <c r="AW240" s="83">
        <v>96.581470590962397</v>
      </c>
      <c r="AX240" s="83">
        <v>97.033083652067802</v>
      </c>
      <c r="AY240" s="83">
        <v>97.208306715815198</v>
      </c>
      <c r="AZ240" s="83">
        <v>97.112133907003397</v>
      </c>
      <c r="BA240" s="83">
        <v>97.211294231694495</v>
      </c>
      <c r="BB240" s="83">
        <v>97.426201841411</v>
      </c>
      <c r="BC240" s="83">
        <v>97.503202734525004</v>
      </c>
      <c r="BD240" s="83">
        <v>96.879372226975505</v>
      </c>
      <c r="BE240" s="83">
        <v>96.781024273678199</v>
      </c>
      <c r="BF240" s="83">
        <v>98.015507964210201</v>
      </c>
      <c r="BG240" s="83">
        <v>98.813250790213104</v>
      </c>
      <c r="BH240" s="83">
        <v>98.913337450203301</v>
      </c>
      <c r="BI240" s="83">
        <v>98.517912437675307</v>
      </c>
      <c r="BJ240" s="83">
        <v>97.940766557946006</v>
      </c>
      <c r="BK240" s="83">
        <v>97.357066247436705</v>
      </c>
      <c r="BL240" s="83">
        <v>96.765326381971704</v>
      </c>
      <c r="BM240" s="83">
        <v>96.276251175351305</v>
      </c>
      <c r="BN240" s="83">
        <v>95.665382594005706</v>
      </c>
      <c r="BO240" s="83">
        <v>95.051980558927099</v>
      </c>
      <c r="BP240" s="83">
        <v>94.443204424826206</v>
      </c>
      <c r="BQ240" s="83">
        <v>93.857630691841706</v>
      </c>
      <c r="BR240" s="83">
        <v>93.2762698387223</v>
      </c>
      <c r="BS240" s="83">
        <v>92.708772589436705</v>
      </c>
      <c r="BT240" s="83">
        <v>92.1512209244096</v>
      </c>
    </row>
    <row r="241" spans="1:72" x14ac:dyDescent="0.65">
      <c r="A241" s="82" t="s">
        <v>131</v>
      </c>
      <c r="B241" s="81" t="str">
        <f t="shared" si="5"/>
        <v>IMF.RES.GAS:GAS_LIVE_2026_JAN_GAS1_VINTAGE</v>
      </c>
      <c r="C241" s="81" t="s">
        <v>825</v>
      </c>
      <c r="D241" s="82"/>
      <c r="E241" s="83">
        <v>97.969179402010099</v>
      </c>
      <c r="F241" s="83">
        <v>97.471712679054605</v>
      </c>
      <c r="G241" s="83">
        <v>96.549052696419807</v>
      </c>
      <c r="H241" s="83">
        <v>97.554915083849593</v>
      </c>
      <c r="I241" s="83">
        <v>98.804071212344994</v>
      </c>
      <c r="J241" s="83">
        <v>99.033227041149601</v>
      </c>
      <c r="K241" s="83">
        <v>99.533198557117103</v>
      </c>
      <c r="L241" s="83">
        <v>100.08129379743499</v>
      </c>
      <c r="M241" s="83">
        <v>100.468327373327</v>
      </c>
      <c r="N241" s="83">
        <v>100.172873054505</v>
      </c>
      <c r="O241" s="83">
        <v>99.314643287227995</v>
      </c>
      <c r="P241" s="83">
        <v>98.494214893520905</v>
      </c>
      <c r="Q241" s="83">
        <v>95.6870724480044</v>
      </c>
      <c r="R241" s="83">
        <v>94.907495670688604</v>
      </c>
      <c r="S241" s="83">
        <v>95.613518283097903</v>
      </c>
      <c r="T241" s="83">
        <v>95.372602544085595</v>
      </c>
      <c r="U241" s="83">
        <v>95.918760342736107</v>
      </c>
      <c r="V241" s="83">
        <v>96.100089005153905</v>
      </c>
      <c r="W241" s="83">
        <v>95.931719955590296</v>
      </c>
      <c r="X241" s="83">
        <v>95.632200118154898</v>
      </c>
      <c r="Y241" s="83">
        <v>95.288195507172205</v>
      </c>
      <c r="Z241" s="83">
        <v>95.952879931413705</v>
      </c>
      <c r="AA241" s="83">
        <v>97.719955335327498</v>
      </c>
      <c r="AB241" s="83">
        <v>97.895369496994405</v>
      </c>
      <c r="AC241" s="83">
        <v>98.600427359599493</v>
      </c>
      <c r="AD241" s="83">
        <v>98.041888857830799</v>
      </c>
      <c r="AE241" s="83">
        <v>97.765688582381799</v>
      </c>
      <c r="AF241" s="83">
        <v>97.347364404160103</v>
      </c>
      <c r="AG241" s="83">
        <v>97.020772252666902</v>
      </c>
      <c r="AH241" s="83">
        <v>96.920458094601699</v>
      </c>
      <c r="AI241" s="83">
        <v>96.711656398741198</v>
      </c>
      <c r="AJ241" s="83">
        <v>96.298803843439103</v>
      </c>
      <c r="AK241" s="83">
        <v>96.193079083787595</v>
      </c>
      <c r="AL241" s="83">
        <v>96.494941735312096</v>
      </c>
      <c r="AM241" s="83">
        <v>97.734155291064994</v>
      </c>
      <c r="AN241" s="83">
        <v>97.897398358449806</v>
      </c>
      <c r="AO241" s="83">
        <v>97.848206822597206</v>
      </c>
      <c r="AP241" s="83">
        <v>97.852190276740799</v>
      </c>
      <c r="AQ241" s="83">
        <v>97.389932499255494</v>
      </c>
      <c r="AR241" s="83">
        <v>96.663062472307502</v>
      </c>
      <c r="AS241" s="83">
        <v>96.189588677789203</v>
      </c>
      <c r="AT241" s="83">
        <v>95.610866190894598</v>
      </c>
      <c r="AU241" s="83">
        <v>94.638663371127095</v>
      </c>
      <c r="AV241" s="83">
        <v>95.372697107831002</v>
      </c>
      <c r="AW241" s="83">
        <v>96.126464393918695</v>
      </c>
      <c r="AX241" s="83">
        <v>96.615968548904206</v>
      </c>
      <c r="AY241" s="83">
        <v>96.792966656070604</v>
      </c>
      <c r="AZ241" s="83">
        <v>96.681693126584605</v>
      </c>
      <c r="BA241" s="83">
        <v>96.810640327202805</v>
      </c>
      <c r="BB241" s="83">
        <v>97.047261346911995</v>
      </c>
      <c r="BC241" s="83">
        <v>97.154343987353897</v>
      </c>
      <c r="BD241" s="83">
        <v>96.518867435850396</v>
      </c>
      <c r="BE241" s="83">
        <v>96.437508958803804</v>
      </c>
      <c r="BF241" s="83">
        <v>97.732225832073794</v>
      </c>
      <c r="BG241" s="83">
        <v>98.534792547911906</v>
      </c>
      <c r="BH241" s="83">
        <v>98.719888192955807</v>
      </c>
      <c r="BI241" s="83">
        <v>99.086070122348303</v>
      </c>
      <c r="BJ241" s="83">
        <v>99.374896666174195</v>
      </c>
      <c r="BK241" s="83">
        <v>99.635785251580799</v>
      </c>
      <c r="BL241" s="83">
        <v>99.884351470938796</v>
      </c>
      <c r="BM241" s="83">
        <v>100.122446373607</v>
      </c>
      <c r="BN241" s="83">
        <v>100.389482109338</v>
      </c>
      <c r="BO241" s="83">
        <v>100.669337531663</v>
      </c>
      <c r="BP241" s="83">
        <v>100.956043948241</v>
      </c>
      <c r="BQ241" s="83">
        <v>101.216375198821</v>
      </c>
      <c r="BR241" s="83">
        <v>101.500978499653</v>
      </c>
      <c r="BS241" s="83">
        <v>101.786150486309</v>
      </c>
      <c r="BT241" s="83">
        <v>102.077377727179</v>
      </c>
    </row>
    <row r="242" spans="1:72" x14ac:dyDescent="0.65">
      <c r="A242" s="82" t="s">
        <v>12</v>
      </c>
      <c r="B242" s="81" t="str">
        <f t="shared" si="5"/>
        <v>IMF.RES.GAS:GAS_LIVE_2026_JAN_GAS1_VINTAGE</v>
      </c>
      <c r="C242" s="81" t="s">
        <v>826</v>
      </c>
      <c r="D242" s="82"/>
      <c r="E242" s="83">
        <v>108.508751138291</v>
      </c>
      <c r="F242" s="83">
        <v>108.299510994632</v>
      </c>
      <c r="G242" s="83">
        <v>110.751394487125</v>
      </c>
      <c r="H242" s="83">
        <v>105.315598205717</v>
      </c>
      <c r="I242" s="83">
        <v>92.197869917700004</v>
      </c>
      <c r="J242" s="83">
        <v>87.281812721990804</v>
      </c>
      <c r="K242" s="83">
        <v>86.834634546365393</v>
      </c>
      <c r="L242" s="83">
        <v>84.224458546902696</v>
      </c>
      <c r="M242" s="83">
        <v>82.499172047406901</v>
      </c>
      <c r="N242" s="83">
        <v>82.279952090772397</v>
      </c>
      <c r="O242" s="83">
        <v>81.352608335833295</v>
      </c>
      <c r="P242" s="83">
        <v>76.745575275139402</v>
      </c>
      <c r="Q242" s="83">
        <v>76.680016519278396</v>
      </c>
      <c r="R242" s="83">
        <v>75.406111154317998</v>
      </c>
      <c r="S242" s="83">
        <v>76.092143187144401</v>
      </c>
      <c r="T242" s="83">
        <v>77.116108082526793</v>
      </c>
      <c r="U242" s="83">
        <v>81.811328192629503</v>
      </c>
      <c r="V242" s="83">
        <v>85.716053188993698</v>
      </c>
      <c r="W242" s="83">
        <v>90.428584602070003</v>
      </c>
      <c r="X242" s="83">
        <v>86.672878478371601</v>
      </c>
      <c r="Y242" s="83">
        <v>83.149990100924001</v>
      </c>
      <c r="Z242" s="83">
        <v>83.691126575967104</v>
      </c>
      <c r="AA242" s="83">
        <v>81.863908858517306</v>
      </c>
      <c r="AB242" s="83">
        <v>80.179266710171802</v>
      </c>
      <c r="AC242" s="83">
        <v>81.809433437691098</v>
      </c>
      <c r="AD242" s="83">
        <v>82.344650636052506</v>
      </c>
      <c r="AE242" s="83">
        <v>82.123786126529893</v>
      </c>
      <c r="AF242" s="83">
        <v>81.730779855419598</v>
      </c>
      <c r="AG242" s="83">
        <v>83.792378136986699</v>
      </c>
      <c r="AH242" s="83">
        <v>84.921793027152106</v>
      </c>
      <c r="AI242" s="83">
        <v>87.622925887068007</v>
      </c>
      <c r="AJ242" s="83">
        <v>86.057095839989799</v>
      </c>
      <c r="AK242" s="83">
        <v>86.270508497203195</v>
      </c>
      <c r="AL242" s="83">
        <v>87.785596068617195</v>
      </c>
      <c r="AM242" s="83">
        <v>86.459509027483307</v>
      </c>
      <c r="AN242" s="83">
        <v>86.1074362481355</v>
      </c>
      <c r="AO242" s="83">
        <v>84.211887259348202</v>
      </c>
      <c r="AP242" s="83">
        <v>81.336784690168599</v>
      </c>
      <c r="AQ242" s="83">
        <v>81.959890519809306</v>
      </c>
      <c r="AR242" s="83">
        <v>80.3791894371045</v>
      </c>
      <c r="AS242" s="83">
        <v>79.279772924617802</v>
      </c>
      <c r="AT242" s="83">
        <v>73.250999728158902</v>
      </c>
      <c r="AU242" s="83">
        <v>70.806561809045903</v>
      </c>
      <c r="AV242" s="83">
        <v>69.453424697447204</v>
      </c>
      <c r="AW242" s="83">
        <v>72.122645226874596</v>
      </c>
      <c r="AX242" s="83">
        <v>69.586461564966996</v>
      </c>
      <c r="AY242" s="83">
        <v>66.3119287518699</v>
      </c>
      <c r="AZ242" s="83">
        <v>65.089510972878401</v>
      </c>
      <c r="BA242" s="83">
        <v>64.509114318479106</v>
      </c>
      <c r="BB242" s="83">
        <v>62.234668502577499</v>
      </c>
      <c r="BC242" s="83">
        <v>64.4221089037041</v>
      </c>
      <c r="BD242" s="83">
        <v>63.979212771541597</v>
      </c>
      <c r="BE242" s="83">
        <v>64.717213179928507</v>
      </c>
      <c r="BF242" s="83">
        <v>65.649132607034403</v>
      </c>
      <c r="BG242" s="83">
        <v>63.4134318737783</v>
      </c>
      <c r="BH242" s="83">
        <v>61.841989855697697</v>
      </c>
      <c r="BI242" s="83">
        <v>61.924053183068601</v>
      </c>
      <c r="BJ242" s="83">
        <v>62.002508444343398</v>
      </c>
      <c r="BK242" s="83">
        <v>62.057635499591697</v>
      </c>
      <c r="BL242" s="83">
        <v>62.126612114557503</v>
      </c>
      <c r="BM242" s="83">
        <v>62.037798304284202</v>
      </c>
      <c r="BN242" s="83">
        <v>62.229196985116701</v>
      </c>
      <c r="BO242" s="83">
        <v>62.454400852817102</v>
      </c>
      <c r="BP242" s="83">
        <v>62.660312589765297</v>
      </c>
      <c r="BQ242" s="83">
        <v>63.122331564817998</v>
      </c>
      <c r="BR242" s="83">
        <v>63.145117789486797</v>
      </c>
      <c r="BS242" s="83">
        <v>63.0946105245132</v>
      </c>
      <c r="BT242" s="83">
        <v>63.025094031994101</v>
      </c>
    </row>
    <row r="243" spans="1:72" x14ac:dyDescent="0.65">
      <c r="A243" s="82" t="s">
        <v>13</v>
      </c>
      <c r="B243" s="81" t="str">
        <f t="shared" si="5"/>
        <v>IMF.RES.GAS:GAS_LIVE_2026_JAN_GAS1_VINTAGE</v>
      </c>
      <c r="C243" s="81" t="s">
        <v>827</v>
      </c>
      <c r="D243" s="82"/>
      <c r="E243" s="83">
        <v>100.66157880024799</v>
      </c>
      <c r="F243" s="83">
        <v>103.13207367258801</v>
      </c>
      <c r="G243" s="83">
        <v>104.365045129571</v>
      </c>
      <c r="H243" s="83">
        <v>102.18059396227299</v>
      </c>
      <c r="I243" s="83">
        <v>99.442181059349394</v>
      </c>
      <c r="J243" s="83">
        <v>99.819452728549393</v>
      </c>
      <c r="K243" s="83">
        <v>100.052116452638</v>
      </c>
      <c r="L243" s="83">
        <v>102.47201854847501</v>
      </c>
      <c r="M243" s="83">
        <v>104.197399703202</v>
      </c>
      <c r="N243" s="83">
        <v>106.174297056437</v>
      </c>
      <c r="O243" s="83">
        <v>107.534161230238</v>
      </c>
      <c r="P243" s="83">
        <v>108.224804136884</v>
      </c>
      <c r="Q243" s="83">
        <v>111.134008831374</v>
      </c>
      <c r="R243" s="83">
        <v>113.484998268982</v>
      </c>
      <c r="S243" s="83">
        <v>115.131091457683</v>
      </c>
      <c r="T243" s="83">
        <v>113.49560194785199</v>
      </c>
      <c r="U243" s="83">
        <v>107.00948796478001</v>
      </c>
      <c r="V243" s="83">
        <v>104.785604883723</v>
      </c>
      <c r="W243" s="83">
        <v>96.361545325440503</v>
      </c>
      <c r="X243" s="83">
        <v>93.770465721774997</v>
      </c>
      <c r="Y243" s="83">
        <v>94.198382481654093</v>
      </c>
      <c r="Z243" s="83">
        <v>95.117552316059601</v>
      </c>
      <c r="AA243" s="83">
        <v>92.995165194802297</v>
      </c>
      <c r="AB243" s="83">
        <v>94.242820636420703</v>
      </c>
      <c r="AC243" s="83">
        <v>95.594946862772701</v>
      </c>
      <c r="AD243" s="83">
        <v>95.790837851613006</v>
      </c>
      <c r="AE243" s="83">
        <v>93.570645198625897</v>
      </c>
      <c r="AF243" s="83">
        <v>93.651959623125606</v>
      </c>
      <c r="AG243" s="83">
        <v>95.015458083694995</v>
      </c>
      <c r="AH243" s="83">
        <v>94.587179019584298</v>
      </c>
      <c r="AI243" s="83">
        <v>91.303322067678096</v>
      </c>
      <c r="AJ243" s="83">
        <v>95.656945461361303</v>
      </c>
      <c r="AK243" s="83">
        <v>95.452878263449705</v>
      </c>
      <c r="AL243" s="83">
        <v>92.833080602037597</v>
      </c>
      <c r="AM243" s="83">
        <v>92.269826975135203</v>
      </c>
      <c r="AN243" s="83">
        <v>92.543554960827905</v>
      </c>
      <c r="AO243" s="83">
        <v>95.885583470613795</v>
      </c>
      <c r="AP243" s="83">
        <v>97.318519010556798</v>
      </c>
      <c r="AQ243" s="83">
        <v>97.572476758168506</v>
      </c>
      <c r="AR243" s="83">
        <v>97.516801470918296</v>
      </c>
      <c r="AS243" s="83">
        <v>98.454473034381905</v>
      </c>
      <c r="AT243" s="83">
        <v>96.198127319788995</v>
      </c>
      <c r="AU243" s="83">
        <v>94.123448220259505</v>
      </c>
      <c r="AV243" s="83">
        <v>93.409079657024606</v>
      </c>
      <c r="AW243" s="83">
        <v>92.970919637359103</v>
      </c>
      <c r="AX243" s="83">
        <v>95.113902112270296</v>
      </c>
      <c r="AY243" s="83">
        <v>96.636126657282105</v>
      </c>
      <c r="AZ243" s="83">
        <v>95.504245199830393</v>
      </c>
      <c r="BA243" s="83">
        <v>96.995344950765102</v>
      </c>
      <c r="BB243" s="83">
        <v>97.563740950077602</v>
      </c>
      <c r="BC243" s="83">
        <v>98.806814174281897</v>
      </c>
      <c r="BD243" s="83">
        <v>99.684478677586497</v>
      </c>
      <c r="BE243" s="83">
        <v>98.989747349727395</v>
      </c>
      <c r="BF243" s="83">
        <v>99.069907340227303</v>
      </c>
      <c r="BG243" s="83">
        <v>97.971029408316994</v>
      </c>
      <c r="BH243" s="83">
        <v>96.873199219726501</v>
      </c>
      <c r="BI243" s="83">
        <v>96.684725211158707</v>
      </c>
      <c r="BJ243" s="83">
        <v>97.048857311693595</v>
      </c>
      <c r="BK243" s="83">
        <v>97.421923079985504</v>
      </c>
      <c r="BL243" s="83">
        <v>97.794391197157097</v>
      </c>
      <c r="BM243" s="83">
        <v>98.188199635550902</v>
      </c>
      <c r="BN243" s="83">
        <v>98.533417623846105</v>
      </c>
      <c r="BO243" s="83">
        <v>98.8703876092803</v>
      </c>
      <c r="BP243" s="83">
        <v>99.211546858381993</v>
      </c>
      <c r="BQ243" s="83">
        <v>99.483591732465499</v>
      </c>
      <c r="BR243" s="83">
        <v>99.867119407043802</v>
      </c>
      <c r="BS243" s="83">
        <v>100.268991767084</v>
      </c>
      <c r="BT243" s="83">
        <v>100.677743462821</v>
      </c>
    </row>
    <row r="244" spans="1:72" x14ac:dyDescent="0.65">
      <c r="A244" s="82" t="s">
        <v>51</v>
      </c>
      <c r="B244" s="81" t="str">
        <f t="shared" si="5"/>
        <v>IMF.RES.GAS:GAS_LIVE_2026_JAN_GAS1_VINTAGE</v>
      </c>
      <c r="C244" s="81" t="s">
        <v>828</v>
      </c>
      <c r="D244" s="82"/>
      <c r="E244" s="83">
        <v>101.97981529465</v>
      </c>
      <c r="F244" s="83">
        <v>101.50454312572499</v>
      </c>
      <c r="G244" s="83">
        <v>103.237500708159</v>
      </c>
      <c r="H244" s="83">
        <v>103.09213830208</v>
      </c>
      <c r="I244" s="83">
        <v>101.721385551007</v>
      </c>
      <c r="J244" s="83">
        <v>100.865349244939</v>
      </c>
      <c r="K244" s="83">
        <v>99.253969483984804</v>
      </c>
      <c r="L244" s="83">
        <v>97.632871473263407</v>
      </c>
      <c r="M244" s="83">
        <v>92.932070873242296</v>
      </c>
      <c r="N244" s="83">
        <v>93.809065339159503</v>
      </c>
      <c r="O244" s="83">
        <v>94.471040777832599</v>
      </c>
      <c r="P244" s="83">
        <v>92.027781183455701</v>
      </c>
      <c r="Q244" s="83">
        <v>85.718707205165998</v>
      </c>
      <c r="R244" s="83">
        <v>86.745819020814494</v>
      </c>
      <c r="S244" s="83">
        <v>81.653102455601598</v>
      </c>
      <c r="T244" s="83">
        <v>80.313082812939598</v>
      </c>
      <c r="U244" s="83">
        <v>77.996987100929204</v>
      </c>
      <c r="V244" s="83">
        <v>82.486234954538105</v>
      </c>
      <c r="W244" s="83">
        <v>81.443208019113499</v>
      </c>
      <c r="X244" s="83">
        <v>80.478575413022696</v>
      </c>
      <c r="Y244" s="83">
        <v>81.408947475191894</v>
      </c>
      <c r="Z244" s="83">
        <v>79.497363952388795</v>
      </c>
      <c r="AA244" s="83">
        <v>84.516753668363094</v>
      </c>
      <c r="AB244" s="83">
        <v>83.2322944965684</v>
      </c>
      <c r="AC244" s="83">
        <v>82.802263173923805</v>
      </c>
      <c r="AD244" s="83">
        <v>81.607878821391097</v>
      </c>
      <c r="AE244" s="83">
        <v>81.182229445867605</v>
      </c>
      <c r="AF244" s="83">
        <v>80.684094230610796</v>
      </c>
      <c r="AG244" s="83">
        <v>80.084189357520899</v>
      </c>
      <c r="AH244" s="83">
        <v>79.816953525157601</v>
      </c>
      <c r="AI244" s="83">
        <v>80.996021336728802</v>
      </c>
      <c r="AJ244" s="83">
        <v>80.987049628485394</v>
      </c>
      <c r="AK244" s="83">
        <v>79.671110388742605</v>
      </c>
      <c r="AL244" s="83">
        <v>77.348113271977994</v>
      </c>
      <c r="AM244" s="83">
        <v>79.495145192074503</v>
      </c>
      <c r="AN244" s="83">
        <v>80.725741057001699</v>
      </c>
      <c r="AO244" s="83">
        <v>82.855545099859597</v>
      </c>
      <c r="AP244" s="83">
        <v>85.465431812266104</v>
      </c>
      <c r="AQ244" s="83">
        <v>83.679025950529393</v>
      </c>
      <c r="AR244" s="83">
        <v>84.384133517434094</v>
      </c>
      <c r="AS244" s="83">
        <v>84.219621807176097</v>
      </c>
      <c r="AT244" s="83">
        <v>84.967376056365396</v>
      </c>
      <c r="AU244" s="83">
        <v>84.153582389834696</v>
      </c>
      <c r="AV244" s="83">
        <v>80.936298738869198</v>
      </c>
      <c r="AW244" s="83">
        <v>80.245268215931802</v>
      </c>
      <c r="AX244" s="83">
        <v>80.726951175009205</v>
      </c>
      <c r="AY244" s="83">
        <v>81.0242586610741</v>
      </c>
      <c r="AZ244" s="83">
        <v>79.973882243441807</v>
      </c>
      <c r="BA244" s="83">
        <v>80.690897590719999</v>
      </c>
      <c r="BB244" s="83">
        <v>79.881517604639598</v>
      </c>
      <c r="BC244" s="83">
        <v>79.665108429281403</v>
      </c>
      <c r="BD244" s="83">
        <v>78.338226983789298</v>
      </c>
      <c r="BE244" s="83">
        <v>76.521541321206101</v>
      </c>
      <c r="BF244" s="83">
        <v>77.985657816067302</v>
      </c>
      <c r="BG244" s="83">
        <v>78.029846671966993</v>
      </c>
      <c r="BH244" s="83">
        <v>76.977658120675201</v>
      </c>
      <c r="BI244" s="83">
        <v>76.958274753985904</v>
      </c>
      <c r="BJ244" s="83">
        <v>77.076206757879206</v>
      </c>
      <c r="BK244" s="83">
        <v>77.189195211618994</v>
      </c>
      <c r="BL244" s="83">
        <v>77.298023360128894</v>
      </c>
      <c r="BM244" s="83">
        <v>77.416689285148095</v>
      </c>
      <c r="BN244" s="83">
        <v>77.519382907684204</v>
      </c>
      <c r="BO244" s="83">
        <v>77.621097213278702</v>
      </c>
      <c r="BP244" s="83">
        <v>77.723731469482999</v>
      </c>
      <c r="BQ244" s="83">
        <v>77.810980456758003</v>
      </c>
      <c r="BR244" s="83">
        <v>77.920667081714996</v>
      </c>
      <c r="BS244" s="83">
        <v>78.0331206914897</v>
      </c>
      <c r="BT244" s="83">
        <v>78.146287407025298</v>
      </c>
    </row>
    <row r="245" spans="1:72" x14ac:dyDescent="0.65">
      <c r="B245" s="11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</row>
    <row r="246" spans="1:72" x14ac:dyDescent="0.65">
      <c r="A246" s="82" t="s">
        <v>52</v>
      </c>
      <c r="B246" s="81" t="str">
        <f t="shared" si="5"/>
        <v>IMF.RES.GAS:GAS_LIVE_2026_JAN_GAS1_VINTAGE</v>
      </c>
      <c r="C246" s="81" t="s">
        <v>829</v>
      </c>
      <c r="D246" s="82"/>
      <c r="E246" s="83">
        <v>98.230857828408304</v>
      </c>
      <c r="F246" s="83">
        <v>97.867341891855403</v>
      </c>
      <c r="G246" s="83">
        <v>97.137039677305097</v>
      </c>
      <c r="H246" s="83">
        <v>97.921126501197307</v>
      </c>
      <c r="I246" s="83">
        <v>98.901811984894394</v>
      </c>
      <c r="J246" s="83">
        <v>99.084702041460304</v>
      </c>
      <c r="K246" s="83">
        <v>99.451875801955893</v>
      </c>
      <c r="L246" s="83">
        <v>99.950616355398296</v>
      </c>
      <c r="M246" s="83">
        <v>100.288908921322</v>
      </c>
      <c r="N246" s="83">
        <v>100.09215500011599</v>
      </c>
      <c r="O246" s="83">
        <v>99.491576395817404</v>
      </c>
      <c r="P246" s="83">
        <v>98.864767996099403</v>
      </c>
      <c r="Q246" s="83">
        <v>96.593450527696803</v>
      </c>
      <c r="R246" s="83">
        <v>95.940391204937498</v>
      </c>
      <c r="S246" s="83">
        <v>96.495773415823095</v>
      </c>
      <c r="T246" s="83">
        <v>96.331719607814705</v>
      </c>
      <c r="U246" s="83">
        <v>96.715946898122994</v>
      </c>
      <c r="V246" s="83">
        <v>96.827021572682199</v>
      </c>
      <c r="W246" s="83">
        <v>96.659807317385003</v>
      </c>
      <c r="X246" s="83">
        <v>96.413390796601902</v>
      </c>
      <c r="Y246" s="83">
        <v>96.129327626523306</v>
      </c>
      <c r="Z246" s="83">
        <v>96.616202472059101</v>
      </c>
      <c r="AA246" s="83">
        <v>97.9242372115135</v>
      </c>
      <c r="AB246" s="83">
        <v>98.0983360063329</v>
      </c>
      <c r="AC246" s="83">
        <v>98.603357128156603</v>
      </c>
      <c r="AD246" s="83">
        <v>98.2373521711298</v>
      </c>
      <c r="AE246" s="83">
        <v>97.985656160569604</v>
      </c>
      <c r="AF246" s="83">
        <v>97.678484630643794</v>
      </c>
      <c r="AG246" s="83">
        <v>97.432005479536897</v>
      </c>
      <c r="AH246" s="83">
        <v>97.352064441169105</v>
      </c>
      <c r="AI246" s="83">
        <v>97.131223515964294</v>
      </c>
      <c r="AJ246" s="83">
        <v>96.846724703295294</v>
      </c>
      <c r="AK246" s="83">
        <v>96.725377631305506</v>
      </c>
      <c r="AL246" s="83">
        <v>97.057662482364904</v>
      </c>
      <c r="AM246" s="83">
        <v>97.915958515534697</v>
      </c>
      <c r="AN246" s="83">
        <v>98.061861215083596</v>
      </c>
      <c r="AO246" s="83">
        <v>98.005744411534593</v>
      </c>
      <c r="AP246" s="83">
        <v>97.987689494575903</v>
      </c>
      <c r="AQ246" s="83">
        <v>97.610679096542995</v>
      </c>
      <c r="AR246" s="83">
        <v>97.016708793161001</v>
      </c>
      <c r="AS246" s="83">
        <v>96.587709054778799</v>
      </c>
      <c r="AT246" s="83">
        <v>96.122027433512102</v>
      </c>
      <c r="AU246" s="83">
        <v>95.285844369935305</v>
      </c>
      <c r="AV246" s="83">
        <v>95.8379170226589</v>
      </c>
      <c r="AW246" s="83">
        <v>96.358666591161906</v>
      </c>
      <c r="AX246" s="83">
        <v>96.685321753731003</v>
      </c>
      <c r="AY246" s="83">
        <v>96.842399968443303</v>
      </c>
      <c r="AZ246" s="83">
        <v>96.768669897924596</v>
      </c>
      <c r="BA246" s="83">
        <v>96.9053373095322</v>
      </c>
      <c r="BB246" s="83">
        <v>97.118843247441006</v>
      </c>
      <c r="BC246" s="83">
        <v>97.181843719959005</v>
      </c>
      <c r="BD246" s="83">
        <v>96.698545243379797</v>
      </c>
      <c r="BE246" s="83">
        <v>96.635039583204403</v>
      </c>
      <c r="BF246" s="83">
        <v>97.528337062862803</v>
      </c>
      <c r="BG246" s="83">
        <v>98.079061556547501</v>
      </c>
      <c r="BH246" s="83">
        <v>98.121803603147001</v>
      </c>
      <c r="BI246" s="83">
        <v>98.054380610391803</v>
      </c>
      <c r="BJ246" s="83">
        <v>97.965863699028901</v>
      </c>
      <c r="BK246" s="83">
        <v>97.868581975371995</v>
      </c>
      <c r="BL246" s="83">
        <v>97.761399574325594</v>
      </c>
      <c r="BM246" s="83">
        <v>97.702705564371001</v>
      </c>
      <c r="BN246" s="83">
        <v>97.573622213357694</v>
      </c>
      <c r="BO246" s="83">
        <v>97.439242164811503</v>
      </c>
      <c r="BP246" s="83">
        <v>97.306132435175698</v>
      </c>
      <c r="BQ246" s="83">
        <v>97.149711781952703</v>
      </c>
      <c r="BR246" s="83">
        <v>97.0366671633452</v>
      </c>
      <c r="BS246" s="83">
        <v>96.933504020884499</v>
      </c>
      <c r="BT246" s="83">
        <v>96.836230579067504</v>
      </c>
    </row>
    <row r="247" spans="1:72" x14ac:dyDescent="0.65">
      <c r="A247" s="82" t="s">
        <v>53</v>
      </c>
      <c r="B247" s="81" t="str">
        <f t="shared" si="5"/>
        <v>IMF.RES.GAS:GAS_LIVE_2026_JAN_GAS1_VINTAGE</v>
      </c>
      <c r="C247" s="81" t="s">
        <v>830</v>
      </c>
      <c r="D247" s="82"/>
      <c r="E247" s="83">
        <v>98.205981077947698</v>
      </c>
      <c r="F247" s="83">
        <v>97.643375138174903</v>
      </c>
      <c r="G247" s="83">
        <v>96.661401441937002</v>
      </c>
      <c r="H247" s="83">
        <v>97.750661796627</v>
      </c>
      <c r="I247" s="83">
        <v>99.011246039154599</v>
      </c>
      <c r="J247" s="83">
        <v>99.180550173427804</v>
      </c>
      <c r="K247" s="83">
        <v>99.696979369992604</v>
      </c>
      <c r="L247" s="83">
        <v>100.237099931347</v>
      </c>
      <c r="M247" s="83">
        <v>100.555121164859</v>
      </c>
      <c r="N247" s="83">
        <v>100.24139344776</v>
      </c>
      <c r="O247" s="83">
        <v>99.382661764870704</v>
      </c>
      <c r="P247" s="83">
        <v>98.631124903731106</v>
      </c>
      <c r="Q247" s="83">
        <v>96.000591861237496</v>
      </c>
      <c r="R247" s="83">
        <v>95.187452204816594</v>
      </c>
      <c r="S247" s="83">
        <v>95.785582693176707</v>
      </c>
      <c r="T247" s="83">
        <v>95.570349681307107</v>
      </c>
      <c r="U247" s="83">
        <v>96.248920885827502</v>
      </c>
      <c r="V247" s="83">
        <v>96.476694304506395</v>
      </c>
      <c r="W247" s="83">
        <v>96.611221041895902</v>
      </c>
      <c r="X247" s="83">
        <v>96.4347154850946</v>
      </c>
      <c r="Y247" s="83">
        <v>96.059771138916403</v>
      </c>
      <c r="Z247" s="83">
        <v>96.666288614481005</v>
      </c>
      <c r="AA247" s="83">
        <v>98.376994701988906</v>
      </c>
      <c r="AB247" s="83">
        <v>98.491478043073897</v>
      </c>
      <c r="AC247" s="83">
        <v>99.168695936713306</v>
      </c>
      <c r="AD247" s="83">
        <v>98.655638123788094</v>
      </c>
      <c r="AE247" s="83">
        <v>98.496865659575604</v>
      </c>
      <c r="AF247" s="83">
        <v>98.100872297336196</v>
      </c>
      <c r="AG247" s="83">
        <v>97.734338708200994</v>
      </c>
      <c r="AH247" s="83">
        <v>97.636724083407699</v>
      </c>
      <c r="AI247" s="83">
        <v>97.550329832416395</v>
      </c>
      <c r="AJ247" s="83">
        <v>97.016016229324606</v>
      </c>
      <c r="AK247" s="83">
        <v>96.970793009347005</v>
      </c>
      <c r="AL247" s="83">
        <v>97.333760691105397</v>
      </c>
      <c r="AM247" s="83">
        <v>98.517005635038601</v>
      </c>
      <c r="AN247" s="83">
        <v>98.670471092008</v>
      </c>
      <c r="AO247" s="83">
        <v>98.475859487321998</v>
      </c>
      <c r="AP247" s="83">
        <v>98.433040178970799</v>
      </c>
      <c r="AQ247" s="83">
        <v>97.976860046250394</v>
      </c>
      <c r="AR247" s="83">
        <v>97.267447722461</v>
      </c>
      <c r="AS247" s="83">
        <v>96.850441998433098</v>
      </c>
      <c r="AT247" s="83">
        <v>96.377434317312805</v>
      </c>
      <c r="AU247" s="83">
        <v>95.567063691414603</v>
      </c>
      <c r="AV247" s="83">
        <v>96.332690012681198</v>
      </c>
      <c r="AW247" s="83">
        <v>97.162724686846801</v>
      </c>
      <c r="AX247" s="83">
        <v>97.647399260556199</v>
      </c>
      <c r="AY247" s="83">
        <v>97.852961462867199</v>
      </c>
      <c r="AZ247" s="83">
        <v>97.754615466997095</v>
      </c>
      <c r="BA247" s="83">
        <v>97.800965961709394</v>
      </c>
      <c r="BB247" s="83">
        <v>97.987693411772895</v>
      </c>
      <c r="BC247" s="83">
        <v>98.088981702403103</v>
      </c>
      <c r="BD247" s="83">
        <v>97.446112475119804</v>
      </c>
      <c r="BE247" s="83">
        <v>97.288554020715395</v>
      </c>
      <c r="BF247" s="83">
        <v>98.587953076147997</v>
      </c>
      <c r="BG247" s="83">
        <v>99.387834419290897</v>
      </c>
      <c r="BH247" s="83">
        <v>99.452211756500205</v>
      </c>
      <c r="BI247" s="83">
        <v>99.119627628179998</v>
      </c>
      <c r="BJ247" s="83">
        <v>98.817435288016398</v>
      </c>
      <c r="BK247" s="83">
        <v>98.538126352942697</v>
      </c>
      <c r="BL247" s="83">
        <v>98.269489278630203</v>
      </c>
      <c r="BM247" s="83">
        <v>97.964789700252496</v>
      </c>
      <c r="BN247" s="83">
        <v>97.691048679438893</v>
      </c>
      <c r="BO247" s="83">
        <v>97.441117720929597</v>
      </c>
      <c r="BP247" s="83">
        <v>97.250643750891797</v>
      </c>
      <c r="BQ247" s="83">
        <v>96.719205798931597</v>
      </c>
      <c r="BR247" s="83">
        <v>96.733597306971603</v>
      </c>
      <c r="BS247" s="83">
        <v>96.809427375117195</v>
      </c>
      <c r="BT247" s="83">
        <v>96.8832485928002</v>
      </c>
    </row>
    <row r="248" spans="1:72" x14ac:dyDescent="0.65">
      <c r="A248" s="82" t="s">
        <v>54</v>
      </c>
      <c r="B248" s="81" t="str">
        <f t="shared" si="5"/>
        <v>IMF.RES.GAS:GAS_LIVE_2026_JAN_GAS1_VINTAGE</v>
      </c>
      <c r="C248" s="81" t="s">
        <v>831</v>
      </c>
      <c r="D248" s="82"/>
      <c r="E248" s="83">
        <v>97.672918401956593</v>
      </c>
      <c r="F248" s="83">
        <v>97.276550336978005</v>
      </c>
      <c r="G248" s="83">
        <v>95.534746029384195</v>
      </c>
      <c r="H248" s="83">
        <v>96.502979111361896</v>
      </c>
      <c r="I248" s="83">
        <v>97.538515030353295</v>
      </c>
      <c r="J248" s="83">
        <v>98.049734818766495</v>
      </c>
      <c r="K248" s="83">
        <v>98.677067527337897</v>
      </c>
      <c r="L248" s="83">
        <v>99.451872218605601</v>
      </c>
      <c r="M248" s="83">
        <v>100.20567066260401</v>
      </c>
      <c r="N248" s="83">
        <v>99.721628927206297</v>
      </c>
      <c r="O248" s="83">
        <v>99.255510560679397</v>
      </c>
      <c r="P248" s="83">
        <v>98.977781878180096</v>
      </c>
      <c r="Q248" s="83">
        <v>96.7351192129033</v>
      </c>
      <c r="R248" s="83">
        <v>95.7305334060013</v>
      </c>
      <c r="S248" s="83">
        <v>96.786486726556504</v>
      </c>
      <c r="T248" s="83">
        <v>96.527033910441205</v>
      </c>
      <c r="U248" s="83">
        <v>97.233092672389901</v>
      </c>
      <c r="V248" s="83">
        <v>97.510066750449795</v>
      </c>
      <c r="W248" s="83">
        <v>97.733581161253198</v>
      </c>
      <c r="X248" s="83">
        <v>97.716158634266193</v>
      </c>
      <c r="Y248" s="83">
        <v>97.1053281562167</v>
      </c>
      <c r="Z248" s="83">
        <v>98.044390572617999</v>
      </c>
      <c r="AA248" s="83">
        <v>99.370815279080801</v>
      </c>
      <c r="AB248" s="83">
        <v>99.729875627218902</v>
      </c>
      <c r="AC248" s="83">
        <v>100.419888134784</v>
      </c>
      <c r="AD248" s="83">
        <v>100.220081312449</v>
      </c>
      <c r="AE248" s="83">
        <v>100.05968766313499</v>
      </c>
      <c r="AF248" s="83">
        <v>99.5547205119246</v>
      </c>
      <c r="AG248" s="83">
        <v>99.388746240671296</v>
      </c>
      <c r="AH248" s="83">
        <v>99.470842871062402</v>
      </c>
      <c r="AI248" s="83">
        <v>99.538785314413303</v>
      </c>
      <c r="AJ248" s="83">
        <v>99.049133898666597</v>
      </c>
      <c r="AK248" s="83">
        <v>99.179096057954595</v>
      </c>
      <c r="AL248" s="83">
        <v>99.917221051264903</v>
      </c>
      <c r="AM248" s="83">
        <v>100.732390476578</v>
      </c>
      <c r="AN248" s="83">
        <v>100.81579145408701</v>
      </c>
      <c r="AO248" s="83">
        <v>100.437181514483</v>
      </c>
      <c r="AP248" s="83">
        <v>100.373735593053</v>
      </c>
      <c r="AQ248" s="83">
        <v>100.13006924152999</v>
      </c>
      <c r="AR248" s="83">
        <v>99.327089411539603</v>
      </c>
      <c r="AS248" s="83">
        <v>99.200955540971506</v>
      </c>
      <c r="AT248" s="83">
        <v>98.747045436943395</v>
      </c>
      <c r="AU248" s="83">
        <v>98.234325380922996</v>
      </c>
      <c r="AV248" s="83">
        <v>99.289563638502003</v>
      </c>
      <c r="AW248" s="83">
        <v>100.320292297647</v>
      </c>
      <c r="AX248" s="83">
        <v>101.152212279921</v>
      </c>
      <c r="AY248" s="83">
        <v>101.382293731536</v>
      </c>
      <c r="AZ248" s="83">
        <v>101.098796029317</v>
      </c>
      <c r="BA248" s="83">
        <v>100.998786783591</v>
      </c>
      <c r="BB248" s="83">
        <v>101.306037896641</v>
      </c>
      <c r="BC248" s="83">
        <v>101.446020787847</v>
      </c>
      <c r="BD248" s="83">
        <v>100.999443680501</v>
      </c>
      <c r="BE248" s="83">
        <v>100.620051082822</v>
      </c>
      <c r="BF248" s="83">
        <v>101.504660273103</v>
      </c>
      <c r="BG248" s="83">
        <v>102.395797019092</v>
      </c>
      <c r="BH248" s="83">
        <v>102.360231237777</v>
      </c>
      <c r="BI248" s="83">
        <v>102.57713364757799</v>
      </c>
      <c r="BJ248" s="83">
        <v>102.67971580724701</v>
      </c>
      <c r="BK248" s="83">
        <v>102.74991951905901</v>
      </c>
      <c r="BL248" s="83">
        <v>102.801017830731</v>
      </c>
      <c r="BM248" s="83">
        <v>102.887343796593</v>
      </c>
      <c r="BN248" s="83">
        <v>102.93664966441899</v>
      </c>
      <c r="BO248" s="83">
        <v>102.990368232645</v>
      </c>
      <c r="BP248" s="83">
        <v>103.046086172557</v>
      </c>
      <c r="BQ248" s="83">
        <v>103.096255706767</v>
      </c>
      <c r="BR248" s="83">
        <v>103.149569332618</v>
      </c>
      <c r="BS248" s="83">
        <v>103.20089719034399</v>
      </c>
      <c r="BT248" s="83">
        <v>103.250799004551</v>
      </c>
    </row>
    <row r="249" spans="1:72" x14ac:dyDescent="0.65">
      <c r="A249" s="82" t="s">
        <v>55</v>
      </c>
      <c r="B249" s="81" t="str">
        <f t="shared" si="5"/>
        <v>IMF.RES.GAS:GAS_LIVE_2026_JAN_GAS1_VINTAGE</v>
      </c>
      <c r="C249" s="81" t="s">
        <v>832</v>
      </c>
      <c r="D249" s="82"/>
      <c r="E249" s="83">
        <v>98.624708105675097</v>
      </c>
      <c r="F249" s="83">
        <v>98.175470025886895</v>
      </c>
      <c r="G249" s="83">
        <v>97.426645878829106</v>
      </c>
      <c r="H249" s="83">
        <v>98.236814933948295</v>
      </c>
      <c r="I249" s="83">
        <v>99.129261387198099</v>
      </c>
      <c r="J249" s="83">
        <v>99.248371549032299</v>
      </c>
      <c r="K249" s="83">
        <v>99.578669688256298</v>
      </c>
      <c r="L249" s="83">
        <v>100.026889856162</v>
      </c>
      <c r="M249" s="83">
        <v>100.25366196079101</v>
      </c>
      <c r="N249" s="83">
        <v>100.082951316558</v>
      </c>
      <c r="O249" s="83">
        <v>99.520379408563599</v>
      </c>
      <c r="P249" s="83">
        <v>98.979843664445696</v>
      </c>
      <c r="Q249" s="83">
        <v>97.0500748747411</v>
      </c>
      <c r="R249" s="83">
        <v>96.451574978021597</v>
      </c>
      <c r="S249" s="83">
        <v>96.866747852665597</v>
      </c>
      <c r="T249" s="83">
        <v>96.699646781217794</v>
      </c>
      <c r="U249" s="83">
        <v>97.147948630399199</v>
      </c>
      <c r="V249" s="83">
        <v>97.272808076673698</v>
      </c>
      <c r="W249" s="83">
        <v>97.320731730571794</v>
      </c>
      <c r="X249" s="83">
        <v>97.206671989345594</v>
      </c>
      <c r="Y249" s="83">
        <v>96.951386581312207</v>
      </c>
      <c r="Z249" s="83">
        <v>97.408927994565403</v>
      </c>
      <c r="AA249" s="83">
        <v>98.598819241710004</v>
      </c>
      <c r="AB249" s="83">
        <v>98.7223106110754</v>
      </c>
      <c r="AC249" s="83">
        <v>99.1906070948788</v>
      </c>
      <c r="AD249" s="83">
        <v>98.8479333169429</v>
      </c>
      <c r="AE249" s="83">
        <v>98.707541447896105</v>
      </c>
      <c r="AF249" s="83">
        <v>98.416705067196801</v>
      </c>
      <c r="AG249" s="83">
        <v>98.176479942665907</v>
      </c>
      <c r="AH249" s="83">
        <v>98.128200583756296</v>
      </c>
      <c r="AI249" s="83">
        <v>98.044108074894098</v>
      </c>
      <c r="AJ249" s="83">
        <v>97.708705728252895</v>
      </c>
      <c r="AK249" s="83">
        <v>97.658286415482905</v>
      </c>
      <c r="AL249" s="83">
        <v>97.976761666574802</v>
      </c>
      <c r="AM249" s="83">
        <v>98.778180779226702</v>
      </c>
      <c r="AN249" s="83">
        <v>98.889778188574198</v>
      </c>
      <c r="AO249" s="83">
        <v>98.768177813561294</v>
      </c>
      <c r="AP249" s="83">
        <v>98.733149864356704</v>
      </c>
      <c r="AQ249" s="83">
        <v>98.417445586071807</v>
      </c>
      <c r="AR249" s="83">
        <v>97.903896286656902</v>
      </c>
      <c r="AS249" s="83">
        <v>97.600206625294902</v>
      </c>
      <c r="AT249" s="83">
        <v>97.270561323821298</v>
      </c>
      <c r="AU249" s="83">
        <v>96.663320139685197</v>
      </c>
      <c r="AV249" s="83">
        <v>97.199783724800298</v>
      </c>
      <c r="AW249" s="83">
        <v>97.766929456921105</v>
      </c>
      <c r="AX249" s="83">
        <v>98.122483507324105</v>
      </c>
      <c r="AY249" s="83">
        <v>98.266504605061996</v>
      </c>
      <c r="AZ249" s="83">
        <v>98.200595047928303</v>
      </c>
      <c r="BA249" s="83">
        <v>98.249924671918706</v>
      </c>
      <c r="BB249" s="83">
        <v>98.437334145793002</v>
      </c>
      <c r="BC249" s="83">
        <v>98.496831260849106</v>
      </c>
      <c r="BD249" s="83">
        <v>98.057161214385303</v>
      </c>
      <c r="BE249" s="83">
        <v>97.938249607423103</v>
      </c>
      <c r="BF249" s="83">
        <v>98.7590599498904</v>
      </c>
      <c r="BG249" s="83">
        <v>99.351625333756203</v>
      </c>
      <c r="BH249" s="83">
        <v>99.442342819858197</v>
      </c>
      <c r="BI249" s="83">
        <v>99.499960409857394</v>
      </c>
      <c r="BJ249" s="83">
        <v>99.5429461273946</v>
      </c>
      <c r="BK249" s="83">
        <v>99.530930386019406</v>
      </c>
      <c r="BL249" s="83">
        <v>99.480744048156097</v>
      </c>
      <c r="BM249" s="83">
        <v>99.545621339927294</v>
      </c>
      <c r="BN249" s="83">
        <v>99.465302725512501</v>
      </c>
      <c r="BO249" s="83">
        <v>99.379737747137597</v>
      </c>
      <c r="BP249" s="83">
        <v>99.288937214865499</v>
      </c>
      <c r="BQ249" s="83">
        <v>99.223509627574302</v>
      </c>
      <c r="BR249" s="83">
        <v>99.122644496138406</v>
      </c>
      <c r="BS249" s="83">
        <v>99.018349745948399</v>
      </c>
      <c r="BT249" s="83">
        <v>98.912128262262101</v>
      </c>
    </row>
    <row r="250" spans="1:72" x14ac:dyDescent="0.65">
      <c r="A250" s="82" t="s">
        <v>56</v>
      </c>
      <c r="B250" s="81" t="str">
        <f t="shared" si="5"/>
        <v>IMF.RES.GAS:GAS_LIVE_2026_JAN_GAS1_VINTAGE</v>
      </c>
      <c r="C250" s="81" t="s">
        <v>833</v>
      </c>
      <c r="D250" s="82"/>
      <c r="E250" s="83">
        <v>98.081192208202395</v>
      </c>
      <c r="F250" s="83">
        <v>97.507315719989606</v>
      </c>
      <c r="G250" s="83">
        <v>96.461317956978803</v>
      </c>
      <c r="H250" s="83">
        <v>97.556253707728303</v>
      </c>
      <c r="I250" s="83">
        <v>98.865956253278696</v>
      </c>
      <c r="J250" s="83">
        <v>99.067341051325897</v>
      </c>
      <c r="K250" s="83">
        <v>99.567648602584299</v>
      </c>
      <c r="L250" s="83">
        <v>100.04341114883201</v>
      </c>
      <c r="M250" s="83">
        <v>100.35666262694799</v>
      </c>
      <c r="N250" s="83">
        <v>100.019392950642</v>
      </c>
      <c r="O250" s="83">
        <v>99.2031471576652</v>
      </c>
      <c r="P250" s="83">
        <v>98.518988187666196</v>
      </c>
      <c r="Q250" s="83">
        <v>96.040071609851296</v>
      </c>
      <c r="R250" s="83">
        <v>95.224437958775695</v>
      </c>
      <c r="S250" s="83">
        <v>95.873146588030906</v>
      </c>
      <c r="T250" s="83">
        <v>95.692659765315099</v>
      </c>
      <c r="U250" s="83">
        <v>96.458245632896904</v>
      </c>
      <c r="V250" s="83">
        <v>96.652168243509294</v>
      </c>
      <c r="W250" s="83">
        <v>96.822278140637493</v>
      </c>
      <c r="X250" s="83">
        <v>96.670562334425398</v>
      </c>
      <c r="Y250" s="83">
        <v>96.258196457518295</v>
      </c>
      <c r="Z250" s="83">
        <v>96.851439463766695</v>
      </c>
      <c r="AA250" s="83">
        <v>98.524882637799195</v>
      </c>
      <c r="AB250" s="83">
        <v>98.621716623248602</v>
      </c>
      <c r="AC250" s="83">
        <v>99.235013553570496</v>
      </c>
      <c r="AD250" s="83">
        <v>98.753488778858596</v>
      </c>
      <c r="AE250" s="83">
        <v>98.680050635742703</v>
      </c>
      <c r="AF250" s="83">
        <v>98.2970887510957</v>
      </c>
      <c r="AG250" s="83">
        <v>97.952980952231101</v>
      </c>
      <c r="AH250" s="83">
        <v>97.924308631558304</v>
      </c>
      <c r="AI250" s="83">
        <v>97.931010671318802</v>
      </c>
      <c r="AJ250" s="83">
        <v>97.352891855262797</v>
      </c>
      <c r="AK250" s="83">
        <v>97.348219431938006</v>
      </c>
      <c r="AL250" s="83">
        <v>97.814501047929895</v>
      </c>
      <c r="AM250" s="83">
        <v>98.891578961245699</v>
      </c>
      <c r="AN250" s="83">
        <v>98.965571104515007</v>
      </c>
      <c r="AO250" s="83">
        <v>98.676617441470299</v>
      </c>
      <c r="AP250" s="83">
        <v>98.586867623376506</v>
      </c>
      <c r="AQ250" s="83">
        <v>98.199429635255299</v>
      </c>
      <c r="AR250" s="83">
        <v>97.493187354184897</v>
      </c>
      <c r="AS250" s="83">
        <v>97.090309532000106</v>
      </c>
      <c r="AT250" s="83">
        <v>96.684763360384594</v>
      </c>
      <c r="AU250" s="83">
        <v>95.978561494747495</v>
      </c>
      <c r="AV250" s="83">
        <v>96.789232816609697</v>
      </c>
      <c r="AW250" s="83">
        <v>97.5714478047189</v>
      </c>
      <c r="AX250" s="83">
        <v>98.100496000453404</v>
      </c>
      <c r="AY250" s="83">
        <v>98.273749071370005</v>
      </c>
      <c r="AZ250" s="83">
        <v>98.202441930048295</v>
      </c>
      <c r="BA250" s="83">
        <v>98.217730873437404</v>
      </c>
      <c r="BB250" s="83">
        <v>98.4453118410174</v>
      </c>
      <c r="BC250" s="83">
        <v>98.553193145978597</v>
      </c>
      <c r="BD250" s="83">
        <v>97.947549934078097</v>
      </c>
      <c r="BE250" s="83">
        <v>97.848984513045906</v>
      </c>
      <c r="BF250" s="83">
        <v>99.031994192831803</v>
      </c>
      <c r="BG250" s="83">
        <v>99.804275309121095</v>
      </c>
      <c r="BH250" s="83">
        <v>100.00096361537101</v>
      </c>
      <c r="BI250" s="83">
        <v>100.30618604681599</v>
      </c>
      <c r="BJ250" s="83">
        <v>100.557587123861</v>
      </c>
      <c r="BK250" s="83">
        <v>100.77055670610601</v>
      </c>
      <c r="BL250" s="83">
        <v>100.960769874932</v>
      </c>
      <c r="BM250" s="83">
        <v>101.189208948077</v>
      </c>
      <c r="BN250" s="83">
        <v>101.37755791774499</v>
      </c>
      <c r="BO250" s="83">
        <v>101.57141475439801</v>
      </c>
      <c r="BP250" s="83">
        <v>101.767943577843</v>
      </c>
      <c r="BQ250" s="83">
        <v>101.953502435442</v>
      </c>
      <c r="BR250" s="83">
        <v>102.147647544873</v>
      </c>
      <c r="BS250" s="83">
        <v>102.339333776286</v>
      </c>
      <c r="BT250" s="83">
        <v>102.52891592306899</v>
      </c>
    </row>
    <row r="251" spans="1:72" x14ac:dyDescent="0.65">
      <c r="A251" s="82" t="s">
        <v>57</v>
      </c>
      <c r="B251" s="81" t="str">
        <f t="shared" si="5"/>
        <v>IMF.RES.GAS:GAS_LIVE_2026_JAN_GAS1_VINTAGE</v>
      </c>
      <c r="C251" s="81" t="s">
        <v>834</v>
      </c>
      <c r="D251" s="82"/>
      <c r="E251" s="83">
        <v>102.460561717993</v>
      </c>
      <c r="F251" s="83">
        <v>102.421088758517</v>
      </c>
      <c r="G251" s="83">
        <v>102.66992171494999</v>
      </c>
      <c r="H251" s="83">
        <v>104.52856132705701</v>
      </c>
      <c r="I251" s="83">
        <v>104.823623539057</v>
      </c>
      <c r="J251" s="83">
        <v>102.81301503773599</v>
      </c>
      <c r="K251" s="83">
        <v>99.346597727333304</v>
      </c>
      <c r="L251" s="83">
        <v>96.1960421959309</v>
      </c>
      <c r="M251" s="83">
        <v>95.305064608890106</v>
      </c>
      <c r="N251" s="83">
        <v>96.835679790546493</v>
      </c>
      <c r="O251" s="83">
        <v>95.265772406569099</v>
      </c>
      <c r="P251" s="83">
        <v>91.322821280566501</v>
      </c>
      <c r="Q251" s="83">
        <v>87.440063578285802</v>
      </c>
      <c r="R251" s="83">
        <v>88.385792927604598</v>
      </c>
      <c r="S251" s="83">
        <v>83.663859316218307</v>
      </c>
      <c r="T251" s="83">
        <v>81.491385810221999</v>
      </c>
      <c r="U251" s="83">
        <v>80.5340761899662</v>
      </c>
      <c r="V251" s="83">
        <v>82.284677122146306</v>
      </c>
      <c r="W251" s="83">
        <v>82.710691269162396</v>
      </c>
      <c r="X251" s="83">
        <v>85.194266194074402</v>
      </c>
      <c r="Y251" s="83">
        <v>85.057127676799595</v>
      </c>
      <c r="Z251" s="83">
        <v>82.252579378252605</v>
      </c>
      <c r="AA251" s="83">
        <v>83.837132139463606</v>
      </c>
      <c r="AB251" s="83">
        <v>81.847299995174495</v>
      </c>
      <c r="AC251" s="83">
        <v>82.371910084400199</v>
      </c>
      <c r="AD251" s="83">
        <v>82.948620619464705</v>
      </c>
      <c r="AE251" s="83">
        <v>82.759920715587199</v>
      </c>
      <c r="AF251" s="83">
        <v>81.894662433682996</v>
      </c>
      <c r="AG251" s="83">
        <v>80.778739990161398</v>
      </c>
      <c r="AH251" s="83">
        <v>81.208831789835003</v>
      </c>
      <c r="AI251" s="83">
        <v>80.148293794569199</v>
      </c>
      <c r="AJ251" s="83">
        <v>77.800595179000098</v>
      </c>
      <c r="AK251" s="83">
        <v>75.325913222011295</v>
      </c>
      <c r="AL251" s="83">
        <v>71.579637870709206</v>
      </c>
      <c r="AM251" s="83">
        <v>74.504350035201995</v>
      </c>
      <c r="AN251" s="83">
        <v>73.761791578617704</v>
      </c>
      <c r="AO251" s="83">
        <v>77.084953268439804</v>
      </c>
      <c r="AP251" s="83">
        <v>78.523240632462702</v>
      </c>
      <c r="AQ251" s="83">
        <v>76.482908473040695</v>
      </c>
      <c r="AR251" s="83">
        <v>78.634094020064296</v>
      </c>
      <c r="AS251" s="83">
        <v>79.012928413927199</v>
      </c>
      <c r="AT251" s="83">
        <v>77.972521879684095</v>
      </c>
      <c r="AU251" s="83">
        <v>77.289682337444603</v>
      </c>
      <c r="AV251" s="83">
        <v>75.703866207778105</v>
      </c>
      <c r="AW251" s="83">
        <v>72.355435911078303</v>
      </c>
      <c r="AX251" s="83">
        <v>68.849948039416304</v>
      </c>
      <c r="AY251" s="83">
        <v>70.746979061264796</v>
      </c>
      <c r="AZ251" s="83">
        <v>68.919182618449099</v>
      </c>
      <c r="BA251" s="83">
        <v>70.2968320826308</v>
      </c>
      <c r="BB251" s="83">
        <v>69.804968556419496</v>
      </c>
      <c r="BC251" s="83">
        <v>68.663498078357904</v>
      </c>
      <c r="BD251" s="83">
        <v>68.359679693132307</v>
      </c>
      <c r="BE251" s="83">
        <v>68.770210942143805</v>
      </c>
      <c r="BF251" s="83">
        <v>69.306655153122094</v>
      </c>
      <c r="BG251" s="83">
        <v>69.334921332542905</v>
      </c>
      <c r="BH251" s="83">
        <v>69.976708342298807</v>
      </c>
      <c r="BI251" s="83">
        <v>69.393242653785506</v>
      </c>
      <c r="BJ251" s="83">
        <v>69.266008726620399</v>
      </c>
      <c r="BK251" s="83">
        <v>69.215877669358207</v>
      </c>
      <c r="BL251" s="83">
        <v>69.204812452355995</v>
      </c>
      <c r="BM251" s="83">
        <v>69.146725304979498</v>
      </c>
      <c r="BN251" s="83">
        <v>69.111547375835201</v>
      </c>
      <c r="BO251" s="83">
        <v>69.054291806745994</v>
      </c>
      <c r="BP251" s="83">
        <v>68.987081527015107</v>
      </c>
      <c r="BQ251" s="83">
        <v>68.924047048470499</v>
      </c>
      <c r="BR251" s="83">
        <v>68.869825837298606</v>
      </c>
      <c r="BS251" s="83">
        <v>68.825316668083204</v>
      </c>
      <c r="BT251" s="83">
        <v>68.786662044389303</v>
      </c>
    </row>
    <row r="252" spans="1:72" x14ac:dyDescent="0.65">
      <c r="A252" s="82" t="s">
        <v>58</v>
      </c>
      <c r="B252" s="81" t="str">
        <f t="shared" si="5"/>
        <v>IMF.RES.GAS:GAS_LIVE_2026_JAN_GAS1_VINTAGE</v>
      </c>
      <c r="C252" s="81" t="s">
        <v>835</v>
      </c>
      <c r="D252" s="82"/>
      <c r="E252" s="83">
        <v>105.782266245427</v>
      </c>
      <c r="F252" s="83">
        <v>104.522861363291</v>
      </c>
      <c r="G252" s="83">
        <v>109.284310959401</v>
      </c>
      <c r="H252" s="83">
        <v>107.98343308896</v>
      </c>
      <c r="I252" s="83">
        <v>111.103938208058</v>
      </c>
      <c r="J252" s="83">
        <v>110.512077449991</v>
      </c>
      <c r="K252" s="83">
        <v>109.821564847511</v>
      </c>
      <c r="L252" s="83">
        <v>108.319816717918</v>
      </c>
      <c r="M252" s="83">
        <v>108.82712635417801</v>
      </c>
      <c r="N252" s="83">
        <v>106.063174351905</v>
      </c>
      <c r="O252" s="83">
        <v>103.519660200275</v>
      </c>
      <c r="P252" s="83">
        <v>102.26594627493699</v>
      </c>
      <c r="Q252" s="83">
        <v>98.870790098695096</v>
      </c>
      <c r="R252" s="83">
        <v>98.988960380229699</v>
      </c>
      <c r="S252" s="83">
        <v>98.577071184827702</v>
      </c>
      <c r="T252" s="83">
        <v>99.862728850612797</v>
      </c>
      <c r="U252" s="83">
        <v>100.26385079856701</v>
      </c>
      <c r="V252" s="83">
        <v>100.807790943847</v>
      </c>
      <c r="W252" s="83">
        <v>98.187240092285506</v>
      </c>
      <c r="X252" s="83">
        <v>95.335885317997395</v>
      </c>
      <c r="Y252" s="83">
        <v>97.580560099524604</v>
      </c>
      <c r="Z252" s="83">
        <v>96.493917222512806</v>
      </c>
      <c r="AA252" s="83">
        <v>99.275186167772404</v>
      </c>
      <c r="AB252" s="83">
        <v>97.049502316036197</v>
      </c>
      <c r="AC252" s="83">
        <v>95.9049659922172</v>
      </c>
      <c r="AD252" s="83">
        <v>92.023500221485804</v>
      </c>
      <c r="AE252" s="83">
        <v>91.244221514613699</v>
      </c>
      <c r="AF252" s="83">
        <v>91.747052953300098</v>
      </c>
      <c r="AG252" s="83">
        <v>90.599256215078199</v>
      </c>
      <c r="AH252" s="83">
        <v>88.857213121914299</v>
      </c>
      <c r="AI252" s="83">
        <v>88.418931101029003</v>
      </c>
      <c r="AJ252" s="83">
        <v>88.347572418589294</v>
      </c>
      <c r="AK252" s="83">
        <v>88.303473737045096</v>
      </c>
      <c r="AL252" s="83">
        <v>88.948314945924096</v>
      </c>
      <c r="AM252" s="83">
        <v>92.2582405115852</v>
      </c>
      <c r="AN252" s="83">
        <v>93.301642971465498</v>
      </c>
      <c r="AO252" s="83">
        <v>94.332194272608305</v>
      </c>
      <c r="AP252" s="83">
        <v>94.009704908239996</v>
      </c>
      <c r="AQ252" s="83">
        <v>93.284208267139405</v>
      </c>
      <c r="AR252" s="83">
        <v>93.218892270483593</v>
      </c>
      <c r="AS252" s="83">
        <v>89.650175935942897</v>
      </c>
      <c r="AT252" s="83">
        <v>89.328586319189796</v>
      </c>
      <c r="AU252" s="83">
        <v>87.483715778083393</v>
      </c>
      <c r="AV252" s="83">
        <v>85.637903788429995</v>
      </c>
      <c r="AW252" s="83">
        <v>84.385996305140296</v>
      </c>
      <c r="AX252" s="83">
        <v>83.133615841521603</v>
      </c>
      <c r="AY252" s="83">
        <v>81.042921305727802</v>
      </c>
      <c r="AZ252" s="83">
        <v>83.237979819294594</v>
      </c>
      <c r="BA252" s="83">
        <v>84.616784534466404</v>
      </c>
      <c r="BB252" s="83">
        <v>83.204077498603098</v>
      </c>
      <c r="BC252" s="83">
        <v>83.734344692251</v>
      </c>
      <c r="BD252" s="83">
        <v>82.932341551366093</v>
      </c>
      <c r="BE252" s="83">
        <v>84.852142847563002</v>
      </c>
      <c r="BF252" s="83">
        <v>88.005830045878696</v>
      </c>
      <c r="BG252" s="83">
        <v>87.374106246597904</v>
      </c>
      <c r="BH252" s="83">
        <v>88.674764783187499</v>
      </c>
      <c r="BI252" s="83">
        <v>88.756057758109407</v>
      </c>
      <c r="BJ252" s="83">
        <v>88.822257611105101</v>
      </c>
      <c r="BK252" s="83">
        <v>88.866751808002604</v>
      </c>
      <c r="BL252" s="83">
        <v>88.894433711679497</v>
      </c>
      <c r="BM252" s="83">
        <v>88.977800556736497</v>
      </c>
      <c r="BN252" s="83">
        <v>88.985561504490505</v>
      </c>
      <c r="BO252" s="83">
        <v>88.987940575842202</v>
      </c>
      <c r="BP252" s="83">
        <v>88.986807191256304</v>
      </c>
      <c r="BQ252" s="83">
        <v>88.992756844312794</v>
      </c>
      <c r="BR252" s="83">
        <v>88.989914567524096</v>
      </c>
      <c r="BS252" s="83">
        <v>88.986954449586506</v>
      </c>
      <c r="BT252" s="83">
        <v>88.983417100996405</v>
      </c>
    </row>
    <row r="253" spans="1:72" x14ac:dyDescent="0.65">
      <c r="A253" s="82" t="s">
        <v>14</v>
      </c>
      <c r="B253" s="81" t="str">
        <f t="shared" si="5"/>
        <v>IMF.RES.GAS:GAS_LIVE_2026_JAN_GAS1_VINTAGE</v>
      </c>
      <c r="C253" s="81" t="s">
        <v>836</v>
      </c>
      <c r="D253" s="82"/>
      <c r="E253" s="83">
        <v>112.496843465517</v>
      </c>
      <c r="F253" s="83">
        <v>112.479248648499</v>
      </c>
      <c r="G253" s="83">
        <v>111.02777091773299</v>
      </c>
      <c r="H253" s="83">
        <v>111.96607418961401</v>
      </c>
      <c r="I253" s="83">
        <v>111.714647020736</v>
      </c>
      <c r="J253" s="83">
        <v>111.74241238488599</v>
      </c>
      <c r="K253" s="83">
        <v>111.99463109323401</v>
      </c>
      <c r="L253" s="83">
        <v>113.239342853818</v>
      </c>
      <c r="M253" s="83">
        <v>114.37015435664701</v>
      </c>
      <c r="N253" s="83">
        <v>114.495854926378</v>
      </c>
      <c r="O253" s="83">
        <v>113.492488558438</v>
      </c>
      <c r="P253" s="83">
        <v>113.613120002572</v>
      </c>
      <c r="Q253" s="83">
        <v>124.056550646866</v>
      </c>
      <c r="R253" s="83">
        <v>127.053338489308</v>
      </c>
      <c r="S253" s="83">
        <v>123.93840991082899</v>
      </c>
      <c r="T253" s="83">
        <v>122.105174498701</v>
      </c>
      <c r="U253" s="83">
        <v>121.373833963989</v>
      </c>
      <c r="V253" s="83">
        <v>121.62291133561899</v>
      </c>
      <c r="W253" s="83">
        <v>121.934563966521</v>
      </c>
      <c r="X253" s="83">
        <v>122.47312222913099</v>
      </c>
      <c r="Y253" s="83">
        <v>123.239377226942</v>
      </c>
      <c r="Z253" s="83">
        <v>122.549971710881</v>
      </c>
      <c r="AA253" s="83">
        <v>119.94295714119001</v>
      </c>
      <c r="AB253" s="83">
        <v>116.765605473302</v>
      </c>
      <c r="AC253" s="83">
        <v>117.580684207299</v>
      </c>
      <c r="AD253" s="83">
        <v>115.781241181437</v>
      </c>
      <c r="AE253" s="83">
        <v>118.402697664474</v>
      </c>
      <c r="AF253" s="83">
        <v>118.63274480095301</v>
      </c>
      <c r="AG253" s="83">
        <v>118.55056138026301</v>
      </c>
      <c r="AH253" s="83">
        <v>118.981950485884</v>
      </c>
      <c r="AI253" s="83">
        <v>121.99418224851701</v>
      </c>
      <c r="AJ253" s="83">
        <v>121.423255117027</v>
      </c>
      <c r="AK253" s="83">
        <v>124.77758522505501</v>
      </c>
      <c r="AL253" s="83">
        <v>125.761510169958</v>
      </c>
      <c r="AM253" s="83">
        <v>126.10938998727001</v>
      </c>
      <c r="AN253" s="83">
        <v>126.09527395228601</v>
      </c>
      <c r="AO253" s="83">
        <v>124.770777806176</v>
      </c>
      <c r="AP253" s="83">
        <v>123.91136033739799</v>
      </c>
      <c r="AQ253" s="83">
        <v>124.99281692860301</v>
      </c>
      <c r="AR253" s="83">
        <v>127.217340425138</v>
      </c>
      <c r="AS253" s="83">
        <v>128.777266755151</v>
      </c>
      <c r="AT253" s="83">
        <v>128.94288046243199</v>
      </c>
      <c r="AU253" s="83">
        <v>134.63704890113999</v>
      </c>
      <c r="AV253" s="83">
        <v>134.339296413016</v>
      </c>
      <c r="AW253" s="83">
        <v>134.51608342161799</v>
      </c>
      <c r="AX253" s="83">
        <v>137.394917285443</v>
      </c>
      <c r="AY253" s="83">
        <v>140.30625632729999</v>
      </c>
      <c r="AZ253" s="83">
        <v>141.18359030771501</v>
      </c>
      <c r="BA253" s="83">
        <v>142.20723102279999</v>
      </c>
      <c r="BB253" s="83">
        <v>138.87676658772901</v>
      </c>
      <c r="BC253" s="83">
        <v>142.59807722948699</v>
      </c>
      <c r="BD253" s="83">
        <v>143.74743456493101</v>
      </c>
      <c r="BE253" s="83">
        <v>141.921812153313</v>
      </c>
      <c r="BF253" s="83">
        <v>145.887459103872</v>
      </c>
      <c r="BG253" s="83">
        <v>147.685735328882</v>
      </c>
      <c r="BH253" s="83">
        <v>149.09907149376301</v>
      </c>
      <c r="BI253" s="83">
        <v>149.54401117524199</v>
      </c>
      <c r="BJ253" s="83">
        <v>150.11935960524099</v>
      </c>
      <c r="BK253" s="83">
        <v>150.71663755845699</v>
      </c>
      <c r="BL253" s="83">
        <v>151.32519116638301</v>
      </c>
      <c r="BM253" s="83">
        <v>151.907199194519</v>
      </c>
      <c r="BN253" s="83">
        <v>152.50803690393599</v>
      </c>
      <c r="BO253" s="83">
        <v>153.10523517535501</v>
      </c>
      <c r="BP253" s="83">
        <v>153.70626523465799</v>
      </c>
      <c r="BQ253" s="83">
        <v>154.255380302823</v>
      </c>
      <c r="BR253" s="83">
        <v>154.884778246617</v>
      </c>
      <c r="BS253" s="83">
        <v>155.52643181368799</v>
      </c>
      <c r="BT253" s="83">
        <v>156.173092177531</v>
      </c>
    </row>
    <row r="254" spans="1:72" x14ac:dyDescent="0.65">
      <c r="A254" s="82" t="s">
        <v>59</v>
      </c>
      <c r="B254" s="81" t="str">
        <f t="shared" si="5"/>
        <v>IMF.RES.GAS:GAS_LIVE_2026_JAN_GAS1_VINTAGE</v>
      </c>
      <c r="C254" s="81" t="s">
        <v>837</v>
      </c>
      <c r="D254" s="82"/>
      <c r="E254" s="83">
        <v>97.316772109958293</v>
      </c>
      <c r="F254" s="83">
        <v>96.898086138813198</v>
      </c>
      <c r="G254" s="83">
        <v>95.329869999469395</v>
      </c>
      <c r="H254" s="83">
        <v>96.534133523127593</v>
      </c>
      <c r="I254" s="83">
        <v>97.611686621104695</v>
      </c>
      <c r="J254" s="83">
        <v>98.005080844985599</v>
      </c>
      <c r="K254" s="83">
        <v>98.718544841304293</v>
      </c>
      <c r="L254" s="83">
        <v>99.542495073856799</v>
      </c>
      <c r="M254" s="83">
        <v>99.975996609720497</v>
      </c>
      <c r="N254" s="83">
        <v>99.859249152976005</v>
      </c>
      <c r="O254" s="83">
        <v>99.233546551862901</v>
      </c>
      <c r="P254" s="83">
        <v>98.701401655239195</v>
      </c>
      <c r="Q254" s="83">
        <v>96.497284892849194</v>
      </c>
      <c r="R254" s="83">
        <v>95.688392149029397</v>
      </c>
      <c r="S254" s="83">
        <v>96.657681055727295</v>
      </c>
      <c r="T254" s="83">
        <v>96.321527111886695</v>
      </c>
      <c r="U254" s="83">
        <v>96.88905950681</v>
      </c>
      <c r="V254" s="83">
        <v>96.916417523134001</v>
      </c>
      <c r="W254" s="83">
        <v>96.957406446689802</v>
      </c>
      <c r="X254" s="83">
        <v>96.887371706461195</v>
      </c>
      <c r="Y254" s="83">
        <v>96.349797512655996</v>
      </c>
      <c r="Z254" s="83">
        <v>97.177796451085598</v>
      </c>
      <c r="AA254" s="83">
        <v>98.5348776138093</v>
      </c>
      <c r="AB254" s="83">
        <v>98.930790218320894</v>
      </c>
      <c r="AC254" s="83">
        <v>99.7136004193448</v>
      </c>
      <c r="AD254" s="83">
        <v>99.515810611028002</v>
      </c>
      <c r="AE254" s="83">
        <v>99.411434217408299</v>
      </c>
      <c r="AF254" s="83">
        <v>98.989956013131106</v>
      </c>
      <c r="AG254" s="83">
        <v>98.820182498758598</v>
      </c>
      <c r="AH254" s="83">
        <v>98.919418939643904</v>
      </c>
      <c r="AI254" s="83">
        <v>98.856094082041494</v>
      </c>
      <c r="AJ254" s="83">
        <v>98.518253063622197</v>
      </c>
      <c r="AK254" s="83">
        <v>98.584822478514596</v>
      </c>
      <c r="AL254" s="83">
        <v>98.981733087860405</v>
      </c>
      <c r="AM254" s="83">
        <v>99.724005665114603</v>
      </c>
      <c r="AN254" s="83">
        <v>99.767131049220694</v>
      </c>
      <c r="AO254" s="83">
        <v>99.447414187839101</v>
      </c>
      <c r="AP254" s="83">
        <v>99.417695491566107</v>
      </c>
      <c r="AQ254" s="83">
        <v>99.153961982218107</v>
      </c>
      <c r="AR254" s="83">
        <v>98.417660932658094</v>
      </c>
      <c r="AS254" s="83">
        <v>98.337503351230396</v>
      </c>
      <c r="AT254" s="83">
        <v>97.867692014366696</v>
      </c>
      <c r="AU254" s="83">
        <v>97.252594045835806</v>
      </c>
      <c r="AV254" s="83">
        <v>98.269799016428493</v>
      </c>
      <c r="AW254" s="83">
        <v>99.242543491566593</v>
      </c>
      <c r="AX254" s="83">
        <v>100.083715378816</v>
      </c>
      <c r="AY254" s="83">
        <v>100.49294272772001</v>
      </c>
      <c r="AZ254" s="83">
        <v>100.22581325378501</v>
      </c>
      <c r="BA254" s="83">
        <v>100.159967742649</v>
      </c>
      <c r="BB254" s="83">
        <v>100.552171943334</v>
      </c>
      <c r="BC254" s="83">
        <v>100.69136832671499</v>
      </c>
      <c r="BD254" s="83">
        <v>100.19502428147899</v>
      </c>
      <c r="BE254" s="83">
        <v>99.890469657511403</v>
      </c>
      <c r="BF254" s="83">
        <v>100.85476396433801</v>
      </c>
      <c r="BG254" s="83">
        <v>101.750493429687</v>
      </c>
      <c r="BH254" s="83">
        <v>101.810709041636</v>
      </c>
      <c r="BI254" s="83">
        <v>102.097181754175</v>
      </c>
      <c r="BJ254" s="83">
        <v>102.04010563983201</v>
      </c>
      <c r="BK254" s="83">
        <v>101.968591856244</v>
      </c>
      <c r="BL254" s="83">
        <v>101.898683035473</v>
      </c>
      <c r="BM254" s="83">
        <v>101.773825459036</v>
      </c>
      <c r="BN254" s="83">
        <v>101.748764183159</v>
      </c>
      <c r="BO254" s="83">
        <v>101.741457284163</v>
      </c>
      <c r="BP254" s="83">
        <v>101.737578543784</v>
      </c>
      <c r="BQ254" s="83">
        <v>101.772097613268</v>
      </c>
      <c r="BR254" s="83">
        <v>101.736104994888</v>
      </c>
      <c r="BS254" s="83">
        <v>101.67931449184999</v>
      </c>
      <c r="BT254" s="83">
        <v>101.60502840565501</v>
      </c>
    </row>
    <row r="255" spans="1:72" x14ac:dyDescent="0.65">
      <c r="A255" s="82" t="s">
        <v>60</v>
      </c>
      <c r="B255" s="81" t="str">
        <f t="shared" si="5"/>
        <v>IMF.RES.GAS:GAS_LIVE_2026_JAN_GAS1_VINTAGE</v>
      </c>
      <c r="C255" s="81" t="s">
        <v>838</v>
      </c>
      <c r="D255" s="82"/>
      <c r="E255" s="83">
        <v>98.846991470312702</v>
      </c>
      <c r="F255" s="83">
        <v>98.444924547248505</v>
      </c>
      <c r="G255" s="83">
        <v>97.736492517696604</v>
      </c>
      <c r="H255" s="83">
        <v>98.396151559185697</v>
      </c>
      <c r="I255" s="83">
        <v>99.210734211663095</v>
      </c>
      <c r="J255" s="83">
        <v>99.349827290927394</v>
      </c>
      <c r="K255" s="83">
        <v>99.636693115135799</v>
      </c>
      <c r="L255" s="83">
        <v>99.8874705637283</v>
      </c>
      <c r="M255" s="83">
        <v>100.08077797708999</v>
      </c>
      <c r="N255" s="83">
        <v>99.710119856484596</v>
      </c>
      <c r="O255" s="83">
        <v>99.093308706432595</v>
      </c>
      <c r="P255" s="83">
        <v>98.694123768660603</v>
      </c>
      <c r="Q255" s="83">
        <v>96.716877949600402</v>
      </c>
      <c r="R255" s="83">
        <v>96.037851065337307</v>
      </c>
      <c r="S255" s="83">
        <v>96.571491691456004</v>
      </c>
      <c r="T255" s="83">
        <v>96.441074126326001</v>
      </c>
      <c r="U255" s="83">
        <v>97.142922438264605</v>
      </c>
      <c r="V255" s="83">
        <v>97.207258493932599</v>
      </c>
      <c r="W255" s="83">
        <v>97.193769677034098</v>
      </c>
      <c r="X255" s="83">
        <v>97.055428144205806</v>
      </c>
      <c r="Y255" s="83">
        <v>96.706891156416404</v>
      </c>
      <c r="Z255" s="83">
        <v>97.049340130400694</v>
      </c>
      <c r="AA255" s="83">
        <v>98.393910523809296</v>
      </c>
      <c r="AB255" s="83">
        <v>98.415849676364502</v>
      </c>
      <c r="AC255" s="83">
        <v>98.793827950290606</v>
      </c>
      <c r="AD255" s="83">
        <v>98.405779451129902</v>
      </c>
      <c r="AE255" s="83">
        <v>98.427692205264506</v>
      </c>
      <c r="AF255" s="83">
        <v>98.234678170621706</v>
      </c>
      <c r="AG255" s="83">
        <v>97.967207997184801</v>
      </c>
      <c r="AH255" s="83">
        <v>98.039764565538405</v>
      </c>
      <c r="AI255" s="83">
        <v>98.067905212519506</v>
      </c>
      <c r="AJ255" s="83">
        <v>97.614423593193294</v>
      </c>
      <c r="AK255" s="83">
        <v>97.670208947761694</v>
      </c>
      <c r="AL255" s="83">
        <v>98.181496991570199</v>
      </c>
      <c r="AM255" s="83">
        <v>98.967339102190607</v>
      </c>
      <c r="AN255" s="83">
        <v>98.874612243196196</v>
      </c>
      <c r="AO255" s="83">
        <v>98.661629083847103</v>
      </c>
      <c r="AP255" s="83">
        <v>98.589132928928294</v>
      </c>
      <c r="AQ255" s="83">
        <v>98.353349979284204</v>
      </c>
      <c r="AR255" s="83">
        <v>97.885692598373097</v>
      </c>
      <c r="AS255" s="83">
        <v>97.587562632750107</v>
      </c>
      <c r="AT255" s="83">
        <v>97.278879318997994</v>
      </c>
      <c r="AU255" s="83">
        <v>96.8319695859185</v>
      </c>
      <c r="AV255" s="83">
        <v>97.494078856387603</v>
      </c>
      <c r="AW255" s="83">
        <v>97.9584944850439</v>
      </c>
      <c r="AX255" s="83">
        <v>98.366086149938496</v>
      </c>
      <c r="AY255" s="83">
        <v>98.396012465054596</v>
      </c>
      <c r="AZ255" s="83">
        <v>98.375183390861906</v>
      </c>
      <c r="BA255" s="83">
        <v>98.429041750452697</v>
      </c>
      <c r="BB255" s="83">
        <v>98.6442586577257</v>
      </c>
      <c r="BC255" s="83">
        <v>98.719174990502495</v>
      </c>
      <c r="BD255" s="83">
        <v>98.305549828150902</v>
      </c>
      <c r="BE255" s="83">
        <v>98.339854960827793</v>
      </c>
      <c r="BF255" s="83">
        <v>99.236111476270594</v>
      </c>
      <c r="BG255" s="83">
        <v>99.740975999150507</v>
      </c>
      <c r="BH255" s="83">
        <v>99.9269522724003</v>
      </c>
      <c r="BI255" s="83">
        <v>99.958166385686496</v>
      </c>
      <c r="BJ255" s="83">
        <v>99.767386013073704</v>
      </c>
      <c r="BK255" s="83">
        <v>99.544757951191997</v>
      </c>
      <c r="BL255" s="83">
        <v>99.322648393699197</v>
      </c>
      <c r="BM255" s="83">
        <v>99.001755449374897</v>
      </c>
      <c r="BN255" s="83">
        <v>98.865181008837496</v>
      </c>
      <c r="BO255" s="83">
        <v>98.769940461396104</v>
      </c>
      <c r="BP255" s="83">
        <v>98.696520711927704</v>
      </c>
      <c r="BQ255" s="83">
        <v>98.591809157971795</v>
      </c>
      <c r="BR255" s="83">
        <v>98.509784637242404</v>
      </c>
      <c r="BS255" s="83">
        <v>98.418191644327806</v>
      </c>
      <c r="BT255" s="83">
        <v>98.323033756461896</v>
      </c>
    </row>
    <row r="256" spans="1:72" x14ac:dyDescent="0.65">
      <c r="A256" s="82" t="s">
        <v>62</v>
      </c>
      <c r="B256" s="81" t="str">
        <f t="shared" si="5"/>
        <v>IMF.RES.GAS:GAS_LIVE_2026_JAN_GAS1_VINTAGE</v>
      </c>
      <c r="C256" s="81" t="s">
        <v>839</v>
      </c>
      <c r="D256" s="82"/>
      <c r="E256" s="83">
        <v>97.652785334899306</v>
      </c>
      <c r="F256" s="83">
        <v>96.6406053373492</v>
      </c>
      <c r="G256" s="83">
        <v>95.214009003018205</v>
      </c>
      <c r="H256" s="83">
        <v>97.035730301554594</v>
      </c>
      <c r="I256" s="83">
        <v>98.989205188427405</v>
      </c>
      <c r="J256" s="83">
        <v>99.060925917034893</v>
      </c>
      <c r="K256" s="83">
        <v>99.791578640044307</v>
      </c>
      <c r="L256" s="83">
        <v>100.679974991912</v>
      </c>
      <c r="M256" s="83">
        <v>101.066784464115</v>
      </c>
      <c r="N256" s="83">
        <v>100.65589002401801</v>
      </c>
      <c r="O256" s="83">
        <v>99.120112563781305</v>
      </c>
      <c r="P256" s="83">
        <v>97.383672687305605</v>
      </c>
      <c r="Q256" s="83">
        <v>92.750408591258903</v>
      </c>
      <c r="R256" s="83">
        <v>91.534814108677807</v>
      </c>
      <c r="S256" s="83">
        <v>92.189285420427794</v>
      </c>
      <c r="T256" s="83">
        <v>91.812623933232402</v>
      </c>
      <c r="U256" s="83">
        <v>92.777202292291705</v>
      </c>
      <c r="V256" s="83">
        <v>93.450544549004206</v>
      </c>
      <c r="W256" s="83">
        <v>93.537710830904601</v>
      </c>
      <c r="X256" s="83">
        <v>92.850982837248395</v>
      </c>
      <c r="Y256" s="83">
        <v>92.297231006371504</v>
      </c>
      <c r="Z256" s="83">
        <v>93.467612337051904</v>
      </c>
      <c r="AA256" s="83">
        <v>96.574393244820598</v>
      </c>
      <c r="AB256" s="83">
        <v>96.741228850437906</v>
      </c>
      <c r="AC256" s="83">
        <v>98.147475398857594</v>
      </c>
      <c r="AD256" s="83">
        <v>96.976591770850305</v>
      </c>
      <c r="AE256" s="83">
        <v>96.399230104002896</v>
      </c>
      <c r="AF256" s="83">
        <v>95.639854380735997</v>
      </c>
      <c r="AG256" s="83">
        <v>95.094735869504206</v>
      </c>
      <c r="AH256" s="83">
        <v>94.787345656330899</v>
      </c>
      <c r="AI256" s="83">
        <v>94.5427895011522</v>
      </c>
      <c r="AJ256" s="83">
        <v>93.801714074041101</v>
      </c>
      <c r="AK256" s="83">
        <v>93.639493324464098</v>
      </c>
      <c r="AL256" s="83">
        <v>94.013734550180402</v>
      </c>
      <c r="AM256" s="83">
        <v>96.435104775188094</v>
      </c>
      <c r="AN256" s="83">
        <v>96.954713362107398</v>
      </c>
      <c r="AO256" s="83">
        <v>96.915518715859406</v>
      </c>
      <c r="AP256" s="83">
        <v>96.872024391947605</v>
      </c>
      <c r="AQ256" s="83">
        <v>95.955330128859103</v>
      </c>
      <c r="AR256" s="83">
        <v>94.698744594768797</v>
      </c>
      <c r="AS256" s="83">
        <v>93.867818308804303</v>
      </c>
      <c r="AT256" s="83">
        <v>92.620702564704104</v>
      </c>
      <c r="AU256" s="83">
        <v>90.857052157568404</v>
      </c>
      <c r="AV256" s="83">
        <v>91.881744820955106</v>
      </c>
      <c r="AW256" s="83">
        <v>93.552540388680001</v>
      </c>
      <c r="AX256" s="83">
        <v>94.228666434585705</v>
      </c>
      <c r="AY256" s="83">
        <v>94.351504830749505</v>
      </c>
      <c r="AZ256" s="83">
        <v>94.123487223860394</v>
      </c>
      <c r="BA256" s="83">
        <v>94.301941167831401</v>
      </c>
      <c r="BB256" s="83">
        <v>94.384256878576295</v>
      </c>
      <c r="BC256" s="83">
        <v>94.7395927718824</v>
      </c>
      <c r="BD256" s="83">
        <v>93.526793206526804</v>
      </c>
      <c r="BE256" s="83">
        <v>93.203066736230795</v>
      </c>
      <c r="BF256" s="83">
        <v>95.836547217460605</v>
      </c>
      <c r="BG256" s="83">
        <v>97.288894979021293</v>
      </c>
      <c r="BH256" s="83">
        <v>97.312382867858801</v>
      </c>
      <c r="BI256" s="83">
        <v>96.766100800074796</v>
      </c>
      <c r="BJ256" s="83">
        <v>96.214388416447093</v>
      </c>
      <c r="BK256" s="83">
        <v>95.899372965971395</v>
      </c>
      <c r="BL256" s="83">
        <v>95.704561778980107</v>
      </c>
      <c r="BM256" s="83">
        <v>95.377574660510007</v>
      </c>
      <c r="BN256" s="83">
        <v>95.117719929468294</v>
      </c>
      <c r="BO256" s="83">
        <v>94.791541256197107</v>
      </c>
      <c r="BP256" s="83">
        <v>94.4298625843617</v>
      </c>
      <c r="BQ256" s="83">
        <v>94.135204866285093</v>
      </c>
      <c r="BR256" s="83">
        <v>93.785973474844894</v>
      </c>
      <c r="BS256" s="83">
        <v>93.463085063461605</v>
      </c>
      <c r="BT256" s="83">
        <v>93.169966933661001</v>
      </c>
    </row>
    <row r="257" spans="1:80" x14ac:dyDescent="0.65">
      <c r="A257" s="82" t="s">
        <v>63</v>
      </c>
      <c r="B257" s="81" t="str">
        <f t="shared" si="5"/>
        <v>IMF.RES.GAS:GAS_LIVE_2026_JAN_GAS1_VINTAGE</v>
      </c>
      <c r="C257" s="81" t="s">
        <v>840</v>
      </c>
      <c r="D257" s="82"/>
      <c r="E257" s="83">
        <v>99.002909060238196</v>
      </c>
      <c r="F257" s="83">
        <v>98.662825719762097</v>
      </c>
      <c r="G257" s="83">
        <v>98.100845683274201</v>
      </c>
      <c r="H257" s="83">
        <v>98.7319378898829</v>
      </c>
      <c r="I257" s="83">
        <v>99.501101060936804</v>
      </c>
      <c r="J257" s="83">
        <v>99.6028126071987</v>
      </c>
      <c r="K257" s="83">
        <v>99.835470494447804</v>
      </c>
      <c r="L257" s="83">
        <v>100.123354692002</v>
      </c>
      <c r="M257" s="83">
        <v>100.29875686757801</v>
      </c>
      <c r="N257" s="83">
        <v>100.12272384017901</v>
      </c>
      <c r="O257" s="83">
        <v>99.613501873512803</v>
      </c>
      <c r="P257" s="83">
        <v>99.100614401898696</v>
      </c>
      <c r="Q257" s="83">
        <v>97.465518091878394</v>
      </c>
      <c r="R257" s="83">
        <v>96.971741539891596</v>
      </c>
      <c r="S257" s="83">
        <v>97.2956485812133</v>
      </c>
      <c r="T257" s="83">
        <v>97.175664726361106</v>
      </c>
      <c r="U257" s="83">
        <v>97.658995965581497</v>
      </c>
      <c r="V257" s="83">
        <v>97.809412398562401</v>
      </c>
      <c r="W257" s="83">
        <v>98.031078912622206</v>
      </c>
      <c r="X257" s="83">
        <v>97.906920984879093</v>
      </c>
      <c r="Y257" s="83">
        <v>97.649789972873407</v>
      </c>
      <c r="Z257" s="83">
        <v>97.973460419733499</v>
      </c>
      <c r="AA257" s="83">
        <v>99.092947491954604</v>
      </c>
      <c r="AB257" s="83">
        <v>99.150509392526899</v>
      </c>
      <c r="AC257" s="83">
        <v>99.507886721433593</v>
      </c>
      <c r="AD257" s="83">
        <v>99.168756300887694</v>
      </c>
      <c r="AE257" s="83">
        <v>99.119804054416605</v>
      </c>
      <c r="AF257" s="83">
        <v>98.940519263843697</v>
      </c>
      <c r="AG257" s="83">
        <v>98.705534592474095</v>
      </c>
      <c r="AH257" s="83">
        <v>98.681255863793595</v>
      </c>
      <c r="AI257" s="83">
        <v>98.693369450805307</v>
      </c>
      <c r="AJ257" s="83">
        <v>98.275067617651501</v>
      </c>
      <c r="AK257" s="83">
        <v>98.253536106309795</v>
      </c>
      <c r="AL257" s="83">
        <v>98.640157940076094</v>
      </c>
      <c r="AM257" s="83">
        <v>99.397992748012797</v>
      </c>
      <c r="AN257" s="83">
        <v>99.486622496192695</v>
      </c>
      <c r="AO257" s="83">
        <v>99.2904087849424</v>
      </c>
      <c r="AP257" s="83">
        <v>99.174259352130207</v>
      </c>
      <c r="AQ257" s="83">
        <v>98.882183081669993</v>
      </c>
      <c r="AR257" s="83">
        <v>98.471580551274201</v>
      </c>
      <c r="AS257" s="83">
        <v>98.166021406280393</v>
      </c>
      <c r="AT257" s="83">
        <v>97.888759201380907</v>
      </c>
      <c r="AU257" s="83">
        <v>97.4271213461721</v>
      </c>
      <c r="AV257" s="83">
        <v>97.933716639874703</v>
      </c>
      <c r="AW257" s="83">
        <v>98.460256293574204</v>
      </c>
      <c r="AX257" s="83">
        <v>98.6372677674714</v>
      </c>
      <c r="AY257" s="83">
        <v>98.659240456613304</v>
      </c>
      <c r="AZ257" s="83">
        <v>98.661082399448205</v>
      </c>
      <c r="BA257" s="83">
        <v>98.668817121274202</v>
      </c>
      <c r="BB257" s="83">
        <v>98.784666699348705</v>
      </c>
      <c r="BC257" s="83">
        <v>98.8354392574619</v>
      </c>
      <c r="BD257" s="83">
        <v>98.4183545719862</v>
      </c>
      <c r="BE257" s="83">
        <v>98.362404611577404</v>
      </c>
      <c r="BF257" s="83">
        <v>99.090082930371196</v>
      </c>
      <c r="BG257" s="83">
        <v>99.593925622139096</v>
      </c>
      <c r="BH257" s="83">
        <v>99.736360395238705</v>
      </c>
      <c r="BI257" s="83">
        <v>99.850310123135003</v>
      </c>
      <c r="BJ257" s="83">
        <v>99.838923393672601</v>
      </c>
      <c r="BK257" s="83">
        <v>99.804993058332798</v>
      </c>
      <c r="BL257" s="83">
        <v>99.760949943058307</v>
      </c>
      <c r="BM257" s="83">
        <v>99.718124692363205</v>
      </c>
      <c r="BN257" s="83">
        <v>99.687407781942696</v>
      </c>
      <c r="BO257" s="83">
        <v>99.665941496353</v>
      </c>
      <c r="BP257" s="83">
        <v>99.649060551096298</v>
      </c>
      <c r="BQ257" s="83">
        <v>99.6260429467482</v>
      </c>
      <c r="BR257" s="83">
        <v>99.605691211419199</v>
      </c>
      <c r="BS257" s="83">
        <v>99.581524750381405</v>
      </c>
      <c r="BT257" s="83">
        <v>99.554081487725398</v>
      </c>
    </row>
    <row r="258" spans="1:80" x14ac:dyDescent="0.65">
      <c r="A258" s="82" t="s">
        <v>64</v>
      </c>
      <c r="B258" s="81" t="str">
        <f t="shared" si="5"/>
        <v>IMF.RES.GAS:GAS_LIVE_2026_JAN_GAS1_VINTAGE</v>
      </c>
      <c r="C258" s="81" t="s">
        <v>841</v>
      </c>
      <c r="D258" s="82"/>
      <c r="E258" s="83">
        <v>98.528604279500996</v>
      </c>
      <c r="F258" s="83">
        <v>98.109192197260896</v>
      </c>
      <c r="G258" s="83">
        <v>97.355441760620494</v>
      </c>
      <c r="H258" s="83">
        <v>98.2066548403252</v>
      </c>
      <c r="I258" s="83">
        <v>99.244105498336495</v>
      </c>
      <c r="J258" s="83">
        <v>99.432171384715204</v>
      </c>
      <c r="K258" s="83">
        <v>99.821620538126695</v>
      </c>
      <c r="L258" s="83">
        <v>100.214572024313</v>
      </c>
      <c r="M258" s="83">
        <v>100.485115240675</v>
      </c>
      <c r="N258" s="83">
        <v>100.222292548469</v>
      </c>
      <c r="O258" s="83">
        <v>99.554448242524003</v>
      </c>
      <c r="P258" s="83">
        <v>98.941581178211493</v>
      </c>
      <c r="Q258" s="83">
        <v>96.825284235411402</v>
      </c>
      <c r="R258" s="83">
        <v>96.202637618988206</v>
      </c>
      <c r="S258" s="83">
        <v>96.678764038327301</v>
      </c>
      <c r="T258" s="83">
        <v>96.514125974705905</v>
      </c>
      <c r="U258" s="83">
        <v>97.051615972757602</v>
      </c>
      <c r="V258" s="83">
        <v>97.215763782817703</v>
      </c>
      <c r="W258" s="83">
        <v>97.277309707432394</v>
      </c>
      <c r="X258" s="83">
        <v>97.133148790282505</v>
      </c>
      <c r="Y258" s="83">
        <v>96.861962816476904</v>
      </c>
      <c r="Z258" s="83">
        <v>97.344353663161996</v>
      </c>
      <c r="AA258" s="83">
        <v>98.711247893901202</v>
      </c>
      <c r="AB258" s="83">
        <v>98.806458601030201</v>
      </c>
      <c r="AC258" s="83">
        <v>99.304522899819105</v>
      </c>
      <c r="AD258" s="83">
        <v>98.884780655480895</v>
      </c>
      <c r="AE258" s="83">
        <v>98.753684759746207</v>
      </c>
      <c r="AF258" s="83">
        <v>98.440051678584993</v>
      </c>
      <c r="AG258" s="83">
        <v>98.153131269615898</v>
      </c>
      <c r="AH258" s="83">
        <v>98.095369945315795</v>
      </c>
      <c r="AI258" s="83">
        <v>98.030760610823506</v>
      </c>
      <c r="AJ258" s="83">
        <v>97.605590180855998</v>
      </c>
      <c r="AK258" s="83">
        <v>97.555163804021305</v>
      </c>
      <c r="AL258" s="83">
        <v>97.883725040069706</v>
      </c>
      <c r="AM258" s="83">
        <v>98.812427418485399</v>
      </c>
      <c r="AN258" s="83">
        <v>98.924355988437298</v>
      </c>
      <c r="AO258" s="83">
        <v>98.775202146829997</v>
      </c>
      <c r="AP258" s="83">
        <v>98.736324808790599</v>
      </c>
      <c r="AQ258" s="83">
        <v>98.392389047133804</v>
      </c>
      <c r="AR258" s="83">
        <v>97.850045913219105</v>
      </c>
      <c r="AS258" s="83">
        <v>97.472047323663006</v>
      </c>
      <c r="AT258" s="83">
        <v>97.101322273290805</v>
      </c>
      <c r="AU258" s="83">
        <v>96.448204401341101</v>
      </c>
      <c r="AV258" s="83">
        <v>97.045690357203895</v>
      </c>
      <c r="AW258" s="83">
        <v>97.615051410648206</v>
      </c>
      <c r="AX258" s="83">
        <v>97.961471619356502</v>
      </c>
      <c r="AY258" s="83">
        <v>98.0971142802712</v>
      </c>
      <c r="AZ258" s="83">
        <v>98.052280819586002</v>
      </c>
      <c r="BA258" s="83">
        <v>98.124416509553896</v>
      </c>
      <c r="BB258" s="83">
        <v>98.289883604734598</v>
      </c>
      <c r="BC258" s="83">
        <v>98.350686718283697</v>
      </c>
      <c r="BD258" s="83">
        <v>97.859670453719005</v>
      </c>
      <c r="BE258" s="83">
        <v>97.806094053960507</v>
      </c>
      <c r="BF258" s="83">
        <v>98.788463388942105</v>
      </c>
      <c r="BG258" s="83">
        <v>99.434907832013707</v>
      </c>
      <c r="BH258" s="83">
        <v>99.586542446803605</v>
      </c>
      <c r="BI258" s="83">
        <v>99.677886144715202</v>
      </c>
      <c r="BJ258" s="83">
        <v>99.4848819862504</v>
      </c>
      <c r="BK258" s="83">
        <v>99.250762468721504</v>
      </c>
      <c r="BL258" s="83">
        <v>99.014278150630105</v>
      </c>
      <c r="BM258" s="83">
        <v>98.673383406403701</v>
      </c>
      <c r="BN258" s="83">
        <v>98.533051018856696</v>
      </c>
      <c r="BO258" s="83">
        <v>98.438845093238896</v>
      </c>
      <c r="BP258" s="83">
        <v>98.367239311502701</v>
      </c>
      <c r="BQ258" s="83">
        <v>98.275033312169199</v>
      </c>
      <c r="BR258" s="83">
        <v>98.185720594743799</v>
      </c>
      <c r="BS258" s="83">
        <v>98.081208296213305</v>
      </c>
      <c r="BT258" s="83">
        <v>97.968591298799197</v>
      </c>
    </row>
    <row r="259" spans="1:80" x14ac:dyDescent="0.65">
      <c r="A259" s="82" t="s">
        <v>65</v>
      </c>
      <c r="B259" s="81" t="str">
        <f t="shared" si="5"/>
        <v>IMF.RES.GAS:GAS_LIVE_2026_JAN_GAS1_VINTAGE</v>
      </c>
      <c r="C259" s="81" t="s">
        <v>842</v>
      </c>
      <c r="D259" s="82"/>
      <c r="E259" s="83">
        <v>111.412676608548</v>
      </c>
      <c r="F259" s="83">
        <v>108.00255898020799</v>
      </c>
      <c r="G259" s="83">
        <v>111.204071987674</v>
      </c>
      <c r="H259" s="83">
        <v>109.841166756408</v>
      </c>
      <c r="I259" s="83">
        <v>111.307131691679</v>
      </c>
      <c r="J259" s="83">
        <v>108.13067521475</v>
      </c>
      <c r="K259" s="83">
        <v>99.690632316638897</v>
      </c>
      <c r="L259" s="83">
        <v>99.350333658747303</v>
      </c>
      <c r="M259" s="83">
        <v>96.267282157527703</v>
      </c>
      <c r="N259" s="83">
        <v>99.419112082097698</v>
      </c>
      <c r="O259" s="83">
        <v>100.19713788416399</v>
      </c>
      <c r="P259" s="83">
        <v>97.063933853323405</v>
      </c>
      <c r="Q259" s="83">
        <v>93.687534874914704</v>
      </c>
      <c r="R259" s="83">
        <v>93.496007640519096</v>
      </c>
      <c r="S259" s="83">
        <v>88.432658638667405</v>
      </c>
      <c r="T259" s="83">
        <v>88.269661790493998</v>
      </c>
      <c r="U259" s="83">
        <v>88.323402811789705</v>
      </c>
      <c r="V259" s="83">
        <v>89.026128007856499</v>
      </c>
      <c r="W259" s="83">
        <v>90.183347529457194</v>
      </c>
      <c r="X259" s="83">
        <v>91.806457927698702</v>
      </c>
      <c r="Y259" s="83">
        <v>93.574468828123798</v>
      </c>
      <c r="Z259" s="83">
        <v>91.094427932453399</v>
      </c>
      <c r="AA259" s="83">
        <v>93.109349674518995</v>
      </c>
      <c r="AB259" s="83">
        <v>90.867568743540403</v>
      </c>
      <c r="AC259" s="83">
        <v>90.249398635848195</v>
      </c>
      <c r="AD259" s="83">
        <v>88.436744407354297</v>
      </c>
      <c r="AE259" s="83">
        <v>87.234731798761203</v>
      </c>
      <c r="AF259" s="83">
        <v>86.476719030153504</v>
      </c>
      <c r="AG259" s="83">
        <v>85.510007712192404</v>
      </c>
      <c r="AH259" s="83">
        <v>84.864565652910798</v>
      </c>
      <c r="AI259" s="83">
        <v>83.541087042941797</v>
      </c>
      <c r="AJ259" s="83">
        <v>83.156333894981501</v>
      </c>
      <c r="AK259" s="83">
        <v>80.518624040509394</v>
      </c>
      <c r="AL259" s="83">
        <v>80.6454597223794</v>
      </c>
      <c r="AM259" s="83">
        <v>84.981556767544404</v>
      </c>
      <c r="AN259" s="83">
        <v>85.121724724914301</v>
      </c>
      <c r="AO259" s="83">
        <v>89.286138334551296</v>
      </c>
      <c r="AP259" s="83">
        <v>89.239869010612907</v>
      </c>
      <c r="AQ259" s="83">
        <v>86.3433154601517</v>
      </c>
      <c r="AR259" s="83">
        <v>87.106858847769402</v>
      </c>
      <c r="AS259" s="83">
        <v>87.611354435594095</v>
      </c>
      <c r="AT259" s="83">
        <v>90.522678744984901</v>
      </c>
      <c r="AU259" s="83">
        <v>89.998457529280103</v>
      </c>
      <c r="AV259" s="83">
        <v>86.794053976933796</v>
      </c>
      <c r="AW259" s="83">
        <v>87.158578728788896</v>
      </c>
      <c r="AX259" s="83">
        <v>85.194795197289594</v>
      </c>
      <c r="AY259" s="83">
        <v>84.170775840332695</v>
      </c>
      <c r="AZ259" s="83">
        <v>84.391053198840396</v>
      </c>
      <c r="BA259" s="83">
        <v>84.845963080979899</v>
      </c>
      <c r="BB259" s="83">
        <v>86.278240758058601</v>
      </c>
      <c r="BC259" s="83">
        <v>86.1829454465948</v>
      </c>
      <c r="BD259" s="83">
        <v>85.500380797062107</v>
      </c>
      <c r="BE259" s="83">
        <v>83.246985801296404</v>
      </c>
      <c r="BF259" s="83">
        <v>81.1614561368784</v>
      </c>
      <c r="BG259" s="83">
        <v>82.028298990914806</v>
      </c>
      <c r="BH259" s="83">
        <v>83.0557253335989</v>
      </c>
      <c r="BI259" s="83">
        <v>83.132668046766597</v>
      </c>
      <c r="BJ259" s="83">
        <v>83.025615181611698</v>
      </c>
      <c r="BK259" s="83">
        <v>82.897785194048694</v>
      </c>
      <c r="BL259" s="83">
        <v>82.763421331003201</v>
      </c>
      <c r="BM259" s="83">
        <v>82.612984094889995</v>
      </c>
      <c r="BN259" s="83">
        <v>82.503733923342907</v>
      </c>
      <c r="BO259" s="83">
        <v>82.410842994563893</v>
      </c>
      <c r="BP259" s="83">
        <v>82.330320726208996</v>
      </c>
      <c r="BQ259" s="83">
        <v>82.214406592704293</v>
      </c>
      <c r="BR259" s="83">
        <v>82.147535484963996</v>
      </c>
      <c r="BS259" s="83">
        <v>82.081048022683703</v>
      </c>
      <c r="BT259" s="83">
        <v>82.0102197296806</v>
      </c>
    </row>
    <row r="260" spans="1:80" x14ac:dyDescent="0.65">
      <c r="A260" s="82" t="s">
        <v>66</v>
      </c>
      <c r="B260" s="81" t="str">
        <f t="shared" si="5"/>
        <v>IMF.RES.GAS:GAS_LIVE_2026_JAN_GAS1_VINTAGE</v>
      </c>
      <c r="C260" s="81" t="s">
        <v>843</v>
      </c>
      <c r="D260" s="82"/>
      <c r="E260" s="83">
        <v>107.888926122185</v>
      </c>
      <c r="F260" s="83">
        <v>106.404973637775</v>
      </c>
      <c r="G260" s="83">
        <v>108.302022182611</v>
      </c>
      <c r="H260" s="83">
        <v>109.18591558228501</v>
      </c>
      <c r="I260" s="83">
        <v>111.874580750954</v>
      </c>
      <c r="J260" s="83">
        <v>112.678983117776</v>
      </c>
      <c r="K260" s="83">
        <v>110.703871131231</v>
      </c>
      <c r="L260" s="83">
        <v>113.275435002252</v>
      </c>
      <c r="M260" s="83">
        <v>115.424691899576</v>
      </c>
      <c r="N260" s="83">
        <v>117.456128511391</v>
      </c>
      <c r="O260" s="83">
        <v>116.738375092334</v>
      </c>
      <c r="P260" s="83">
        <v>114.186453414841</v>
      </c>
      <c r="Q260" s="83">
        <v>116.743448873758</v>
      </c>
      <c r="R260" s="83">
        <v>114.664113117234</v>
      </c>
      <c r="S260" s="83">
        <v>103.943963183139</v>
      </c>
      <c r="T260" s="83">
        <v>107.16338940004201</v>
      </c>
      <c r="U260" s="83">
        <v>106.492182826893</v>
      </c>
      <c r="V260" s="83">
        <v>108.036818051281</v>
      </c>
      <c r="W260" s="83">
        <v>112.630937640309</v>
      </c>
      <c r="X260" s="83">
        <v>114.131847737424</v>
      </c>
      <c r="Y260" s="83">
        <v>114.81149806485401</v>
      </c>
      <c r="Z260" s="83">
        <v>111.92784806506801</v>
      </c>
      <c r="AA260" s="83">
        <v>112.043292894556</v>
      </c>
      <c r="AB260" s="83">
        <v>107.445175164801</v>
      </c>
      <c r="AC260" s="83">
        <v>108.96905049709299</v>
      </c>
      <c r="AD260" s="83">
        <v>107.919138017802</v>
      </c>
      <c r="AE260" s="83">
        <v>104.727678658945</v>
      </c>
      <c r="AF260" s="83">
        <v>106.442728588821</v>
      </c>
      <c r="AG260" s="83">
        <v>108.043895452062</v>
      </c>
      <c r="AH260" s="83">
        <v>106.11881069754</v>
      </c>
      <c r="AI260" s="83">
        <v>104.68732984352501</v>
      </c>
      <c r="AJ260" s="83">
        <v>103.850932678896</v>
      </c>
      <c r="AK260" s="83">
        <v>103.419596325485</v>
      </c>
      <c r="AL260" s="83">
        <v>100.989049385562</v>
      </c>
      <c r="AM260" s="83">
        <v>103.570332954234</v>
      </c>
      <c r="AN260" s="83">
        <v>105.392927627319</v>
      </c>
      <c r="AO260" s="83">
        <v>108.68605360903901</v>
      </c>
      <c r="AP260" s="83">
        <v>108.367661949137</v>
      </c>
      <c r="AQ260" s="83">
        <v>108.28242530317701</v>
      </c>
      <c r="AR260" s="83">
        <v>109.276045843642</v>
      </c>
      <c r="AS260" s="83">
        <v>107.48554321434401</v>
      </c>
      <c r="AT260" s="83">
        <v>107.70939296764099</v>
      </c>
      <c r="AU260" s="83">
        <v>105.970459767203</v>
      </c>
      <c r="AV260" s="83">
        <v>104.93686299100401</v>
      </c>
      <c r="AW260" s="83">
        <v>105.550362848394</v>
      </c>
      <c r="AX260" s="83">
        <v>104.007417460665</v>
      </c>
      <c r="AY260" s="83">
        <v>102.743097948174</v>
      </c>
      <c r="AZ260" s="83">
        <v>103.54115428225199</v>
      </c>
      <c r="BA260" s="83">
        <v>104.43260623200899</v>
      </c>
      <c r="BB260" s="83">
        <v>104.33214642715301</v>
      </c>
      <c r="BC260" s="83">
        <v>103.394844182258</v>
      </c>
      <c r="BD260" s="83">
        <v>102.190690439413</v>
      </c>
      <c r="BE260" s="83">
        <v>99.649142304608702</v>
      </c>
      <c r="BF260" s="83">
        <v>99.4861347716718</v>
      </c>
      <c r="BG260" s="83">
        <v>98.236326145146293</v>
      </c>
      <c r="BH260" s="83">
        <v>95.543597049432094</v>
      </c>
      <c r="BI260" s="83">
        <v>95.162619254219805</v>
      </c>
      <c r="BJ260" s="83">
        <v>94.964165709611393</v>
      </c>
      <c r="BK260" s="83">
        <v>94.791343278979596</v>
      </c>
      <c r="BL260" s="83">
        <v>94.634567672383596</v>
      </c>
      <c r="BM260" s="83">
        <v>94.446742310391599</v>
      </c>
      <c r="BN260" s="83">
        <v>94.296268869826804</v>
      </c>
      <c r="BO260" s="83">
        <v>94.144978323817099</v>
      </c>
      <c r="BP260" s="83">
        <v>93.9945956716399</v>
      </c>
      <c r="BQ260" s="83">
        <v>93.838423835014595</v>
      </c>
      <c r="BR260" s="83">
        <v>93.6952828553963</v>
      </c>
      <c r="BS260" s="83">
        <v>93.557108043989004</v>
      </c>
      <c r="BT260" s="83">
        <v>93.423989529161204</v>
      </c>
    </row>
    <row r="261" spans="1:80" x14ac:dyDescent="0.65">
      <c r="B261" s="11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</row>
    <row r="262" spans="1:80" x14ac:dyDescent="0.65">
      <c r="A262" s="1" t="s">
        <v>45</v>
      </c>
      <c r="B262" s="11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</row>
    <row r="263" spans="1:80" x14ac:dyDescent="0.65">
      <c r="B263" s="11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</row>
    <row r="264" spans="1:80" x14ac:dyDescent="0.65">
      <c r="A264" s="1" t="s">
        <v>250</v>
      </c>
      <c r="B264" s="11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1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</row>
    <row r="265" spans="1:80" x14ac:dyDescent="0.65">
      <c r="A265" s="82" t="s">
        <v>10</v>
      </c>
      <c r="B265" s="81" t="str">
        <f t="shared" si="5"/>
        <v>IMF.RES.GAS:GAS_LIVE_2026_JAN_GAS1_VINTAGE</v>
      </c>
      <c r="C265" s="81" t="s">
        <v>844</v>
      </c>
      <c r="D265" s="82"/>
      <c r="E265" s="85">
        <v>6.6666666666666693E-2</v>
      </c>
      <c r="F265" s="85">
        <v>8.6666666666666697E-2</v>
      </c>
      <c r="G265" s="85">
        <v>0.103333333333333</v>
      </c>
      <c r="H265" s="85">
        <v>8.6666666666666697E-2</v>
      </c>
      <c r="I265" s="85">
        <v>8.6666666666666697E-2</v>
      </c>
      <c r="J265" s="85">
        <v>0.05</v>
      </c>
      <c r="K265" s="85">
        <v>3.3333333333333298E-2</v>
      </c>
      <c r="L265" s="85">
        <v>6.3333333333333297E-2</v>
      </c>
      <c r="M265" s="85">
        <v>4.6666666666666697E-2</v>
      </c>
      <c r="N265" s="85">
        <v>3.3333333333333298E-2</v>
      </c>
      <c r="O265" s="85">
        <v>2.66666666666667E-2</v>
      </c>
      <c r="P265" s="85">
        <v>2.33333333333333E-2</v>
      </c>
      <c r="Q265" s="83">
        <v>2.66666666666667E-2</v>
      </c>
      <c r="R265" s="83">
        <v>0.02</v>
      </c>
      <c r="S265" s="83">
        <v>0.04</v>
      </c>
      <c r="T265" s="83">
        <v>0.12666666666666701</v>
      </c>
      <c r="U265" s="83">
        <v>0.28999999999999998</v>
      </c>
      <c r="V265" s="83">
        <v>0.26</v>
      </c>
      <c r="W265" s="83">
        <v>0.29666666666666702</v>
      </c>
      <c r="X265" s="83">
        <v>0.43</v>
      </c>
      <c r="Y265" s="83">
        <v>0.6</v>
      </c>
      <c r="Z265" s="83">
        <v>0.90333333333333299</v>
      </c>
      <c r="AA265" s="83">
        <v>1.05666666666667</v>
      </c>
      <c r="AB265" s="83">
        <v>1.2266666666666699</v>
      </c>
      <c r="AC265" s="83">
        <v>1.5833333333333299</v>
      </c>
      <c r="AD265" s="83">
        <v>1.87666666666667</v>
      </c>
      <c r="AE265" s="83">
        <v>2.0766666666666702</v>
      </c>
      <c r="AF265" s="83">
        <v>2.35666666666667</v>
      </c>
      <c r="AG265" s="83">
        <v>2.4366666666666701</v>
      </c>
      <c r="AH265" s="83">
        <v>2.35</v>
      </c>
      <c r="AI265" s="83">
        <v>2.0233333333333299</v>
      </c>
      <c r="AJ265" s="83">
        <v>1.60666666666667</v>
      </c>
      <c r="AK265" s="83">
        <v>1.1299999999999999</v>
      </c>
      <c r="AL265" s="83">
        <v>0.14333333333333301</v>
      </c>
      <c r="AM265" s="83">
        <v>0.11333333333333299</v>
      </c>
      <c r="AN265" s="83">
        <v>9.3333333333333296E-2</v>
      </c>
      <c r="AO265" s="83">
        <v>0.05</v>
      </c>
      <c r="AP265" s="83">
        <v>2.66666666666667E-2</v>
      </c>
      <c r="AQ265" s="83">
        <v>4.6666666666666697E-2</v>
      </c>
      <c r="AR265" s="83">
        <v>5.3333333333333302E-2</v>
      </c>
      <c r="AS265" s="83">
        <v>0.30333333333333301</v>
      </c>
      <c r="AT265" s="83">
        <v>1.09666666666667</v>
      </c>
      <c r="AU265" s="83">
        <v>2.7466666666666701</v>
      </c>
      <c r="AV265" s="83">
        <v>4.18333333333333</v>
      </c>
      <c r="AW265" s="83">
        <v>4.78</v>
      </c>
      <c r="AX265" s="83">
        <v>5.2666666666666702</v>
      </c>
      <c r="AY265" s="83">
        <v>5.5366666666666697</v>
      </c>
      <c r="AZ265" s="83">
        <v>5.52</v>
      </c>
      <c r="BA265" s="83">
        <v>5.4533333333333296</v>
      </c>
      <c r="BB265" s="83">
        <v>5.47</v>
      </c>
      <c r="BC265" s="83">
        <v>5.2166666666666703</v>
      </c>
      <c r="BD265" s="83">
        <v>4.5766666666666698</v>
      </c>
      <c r="BE265" s="83">
        <v>4.3366666666666696</v>
      </c>
      <c r="BF265" s="83">
        <v>4.3666666666666698</v>
      </c>
      <c r="BG265" s="83">
        <v>4.26</v>
      </c>
      <c r="BH265" s="83">
        <v>3.7940999999999998</v>
      </c>
      <c r="BI265" s="83">
        <v>3.5440999999999998</v>
      </c>
      <c r="BJ265" s="83">
        <v>3.5024333333333302</v>
      </c>
      <c r="BK265" s="83">
        <v>3.2940999999999998</v>
      </c>
      <c r="BL265" s="83">
        <v>3.2940999999999998</v>
      </c>
      <c r="BM265" s="83">
        <v>3.2940999999999998</v>
      </c>
      <c r="BN265" s="83">
        <v>3.2940999999999998</v>
      </c>
      <c r="BO265" s="83">
        <v>3.1690999999999998</v>
      </c>
      <c r="BP265" s="83">
        <v>3.0440999999999998</v>
      </c>
      <c r="BQ265" s="83">
        <v>3.0440999999999998</v>
      </c>
      <c r="BR265" s="83">
        <v>3.0440999999999998</v>
      </c>
      <c r="BS265" s="83">
        <v>3.0440999999999998</v>
      </c>
      <c r="BT265" s="83">
        <v>3.0440999999999998</v>
      </c>
    </row>
    <row r="266" spans="1:80" x14ac:dyDescent="0.65">
      <c r="A266" s="82" t="s">
        <v>11</v>
      </c>
      <c r="B266" s="81" t="str">
        <f t="shared" si="5"/>
        <v>IMF.RES.GAS:GAS_LIVE_2026_JAN_GAS1_VINTAGE</v>
      </c>
      <c r="C266" s="81" t="s">
        <v>845</v>
      </c>
      <c r="D266" s="82"/>
      <c r="E266" s="83"/>
      <c r="F266" s="83"/>
      <c r="G266" s="83"/>
      <c r="H266" s="83"/>
      <c r="I266" s="83">
        <v>3.8292187499999998E-2</v>
      </c>
      <c r="J266" s="83">
        <v>2.5532307692307701E-2</v>
      </c>
      <c r="K266" s="83">
        <v>4.0687878787878801E-2</v>
      </c>
      <c r="L266" s="83">
        <v>6.9305084745762705E-2</v>
      </c>
      <c r="M266" s="83">
        <v>9.67453125E-2</v>
      </c>
      <c r="N266" s="83">
        <v>8.3838461538461501E-2</v>
      </c>
      <c r="O266" s="83">
        <v>-1.5806060606060601E-2</v>
      </c>
      <c r="P266" s="83">
        <v>-4.2534848484848502E-2</v>
      </c>
      <c r="Q266" s="83">
        <v>-0.16427</v>
      </c>
      <c r="R266" s="83">
        <v>-0.21822</v>
      </c>
      <c r="S266" s="83">
        <v>-0.2382</v>
      </c>
      <c r="T266" s="83">
        <v>-0.28774</v>
      </c>
      <c r="U266" s="83">
        <v>-0.47484307692307698</v>
      </c>
      <c r="V266" s="83">
        <v>-0.55059999999999998</v>
      </c>
      <c r="W266" s="83">
        <v>-0.70170757575757503</v>
      </c>
      <c r="X266" s="83">
        <v>-0.85607846153846101</v>
      </c>
      <c r="Y266" s="83">
        <v>-0.87179692307692302</v>
      </c>
      <c r="Z266" s="83">
        <v>-0.76135846153846198</v>
      </c>
      <c r="AA266" s="83">
        <v>-0.77306153846153802</v>
      </c>
      <c r="AB266" s="83">
        <v>-0.83701230769230806</v>
      </c>
      <c r="AC266" s="83">
        <v>-0.72846307692307699</v>
      </c>
      <c r="AD266" s="83">
        <v>-0.70827230769230798</v>
      </c>
      <c r="AE266" s="83">
        <v>-0.72409076923076898</v>
      </c>
      <c r="AF266" s="83">
        <v>-0.79467575757575803</v>
      </c>
      <c r="AG266" s="83">
        <v>-0.61965000000000003</v>
      </c>
      <c r="AH266" s="83">
        <v>-0.60911230769230795</v>
      </c>
      <c r="AI266" s="83">
        <v>-0.74295454545454598</v>
      </c>
      <c r="AJ266" s="83">
        <v>-0.68216818181818195</v>
      </c>
      <c r="AK266" s="83">
        <v>-0.67303230769230704</v>
      </c>
      <c r="AL266" s="83">
        <v>-0.59571384615384604</v>
      </c>
      <c r="AM266" s="83">
        <v>-0.67581818181818198</v>
      </c>
      <c r="AN266" s="83">
        <v>-0.73619999999999997</v>
      </c>
      <c r="AO266" s="83">
        <v>-0.64861250000000004</v>
      </c>
      <c r="AP266" s="83">
        <v>-0.65051846153846205</v>
      </c>
      <c r="AQ266" s="83">
        <v>-0.70654242424242397</v>
      </c>
      <c r="AR266" s="83">
        <v>-0.83950000000000002</v>
      </c>
      <c r="AS266" s="83">
        <v>-0.74510312499999998</v>
      </c>
      <c r="AT266" s="83">
        <v>-0.46406153846153803</v>
      </c>
      <c r="AU266" s="83">
        <v>0.30509999999999998</v>
      </c>
      <c r="AV266" s="83">
        <v>1.5343968750000001</v>
      </c>
      <c r="AW266" s="83">
        <v>2.6044955555555598</v>
      </c>
      <c r="AX266" s="83">
        <v>2.9837681318681302</v>
      </c>
      <c r="AY266" s="83">
        <v>3.3729010869565199</v>
      </c>
      <c r="AZ266" s="83">
        <v>3.61629130434783</v>
      </c>
      <c r="BA266" s="83">
        <v>3.7443516483516501</v>
      </c>
      <c r="BB266" s="83">
        <v>3.5807307692307702</v>
      </c>
      <c r="BC266" s="83">
        <v>3.1942619565217401</v>
      </c>
      <c r="BD266" s="83">
        <v>2.6660521739130401</v>
      </c>
      <c r="BE266" s="83">
        <v>2.3099544444444402</v>
      </c>
      <c r="BF266" s="83">
        <v>1.9482472527472501</v>
      </c>
      <c r="BG266" s="83">
        <v>1.86889565217392</v>
      </c>
      <c r="BH266" s="83">
        <v>1.8810300952381001</v>
      </c>
      <c r="BI266" s="83">
        <v>2.0330652676402701</v>
      </c>
      <c r="BJ266" s="83">
        <v>2.0330652676402701</v>
      </c>
      <c r="BK266" s="83">
        <v>2.0330652676402701</v>
      </c>
      <c r="BL266" s="83">
        <v>2.0330652676402701</v>
      </c>
      <c r="BM266" s="83">
        <v>2.0330652676402701</v>
      </c>
      <c r="BN266" s="83">
        <v>2.0330652676402701</v>
      </c>
      <c r="BO266" s="83">
        <v>2.0330652676402701</v>
      </c>
      <c r="BP266" s="83">
        <v>2.0330652676402701</v>
      </c>
      <c r="BQ266" s="83">
        <v>2.0330652676402701</v>
      </c>
      <c r="BR266" s="83">
        <v>2.0330652676402701</v>
      </c>
      <c r="BS266" s="83">
        <v>2.0330652676402701</v>
      </c>
      <c r="BT266" s="83">
        <v>2.0330652676402701</v>
      </c>
    </row>
    <row r="267" spans="1:80" x14ac:dyDescent="0.65">
      <c r="A267" s="82" t="s">
        <v>12</v>
      </c>
      <c r="B267" s="81" t="str">
        <f t="shared" si="5"/>
        <v>IMF.RES.GAS:GAS_LIVE_2026_JAN_GAS1_VINTAGE</v>
      </c>
      <c r="C267" s="81" t="s">
        <v>846</v>
      </c>
      <c r="D267" s="82"/>
      <c r="E267" s="83"/>
      <c r="F267" s="83"/>
      <c r="G267" s="83"/>
      <c r="H267" s="83"/>
      <c r="I267" s="83">
        <v>7.5117187500000099E-2</v>
      </c>
      <c r="J267" s="83">
        <v>7.9784615384615398E-2</v>
      </c>
      <c r="K267" s="83">
        <v>7.9886363636363603E-2</v>
      </c>
      <c r="L267" s="83">
        <v>5.4128787878787901E-2</v>
      </c>
      <c r="M267" s="83">
        <v>4.2382812499999999E-2</v>
      </c>
      <c r="N267" s="83">
        <v>4.1434426229508201E-2</v>
      </c>
      <c r="O267" s="83">
        <v>1.9538461538461501E-2</v>
      </c>
      <c r="P267" s="83">
        <v>-1.17916666666667E-2</v>
      </c>
      <c r="Q267" s="83">
        <v>-1.39375E-2</v>
      </c>
      <c r="R267" s="83">
        <v>-4.6153846153846202E-3</v>
      </c>
      <c r="S267" s="83">
        <v>-7.9824561403508808E-3</v>
      </c>
      <c r="T267" s="83">
        <v>-2.9666666666666699E-2</v>
      </c>
      <c r="U267" s="83">
        <v>-9.3738461538461507E-2</v>
      </c>
      <c r="V267" s="83">
        <v>-0.26836923076923103</v>
      </c>
      <c r="W267" s="83">
        <v>-0.28598484848484901</v>
      </c>
      <c r="X267" s="83">
        <v>-0.33966153846153802</v>
      </c>
      <c r="Y267" s="83">
        <v>-0.30958461538461601</v>
      </c>
      <c r="Z267" s="83">
        <v>-0.12540000000000001</v>
      </c>
      <c r="AA267" s="83">
        <v>-0.13443076923076899</v>
      </c>
      <c r="AB267" s="83">
        <v>-0.19454687500000001</v>
      </c>
      <c r="AC267" s="83">
        <v>-0.16595312500000001</v>
      </c>
      <c r="AD267" s="83">
        <v>-0.1444375</v>
      </c>
      <c r="AE267" s="83">
        <v>-0.14956923076923101</v>
      </c>
      <c r="AF267" s="83">
        <v>-0.26737878787878799</v>
      </c>
      <c r="AG267" s="83">
        <v>-0.19325000000000001</v>
      </c>
      <c r="AH267" s="83">
        <v>-0.159723076923077</v>
      </c>
      <c r="AI267" s="83">
        <v>-0.14262121212121201</v>
      </c>
      <c r="AJ267" s="83">
        <v>-0.21210606060606099</v>
      </c>
      <c r="AK267" s="83">
        <v>-0.185984615384615</v>
      </c>
      <c r="AL267" s="83">
        <v>-0.13487692307692301</v>
      </c>
      <c r="AM267" s="83">
        <v>-0.1045</v>
      </c>
      <c r="AN267" s="83">
        <v>-0.10245454545454501</v>
      </c>
      <c r="AO267" s="83">
        <v>-0.101109375</v>
      </c>
      <c r="AP267" s="83">
        <v>-0.10532307692307701</v>
      </c>
      <c r="AQ267" s="83">
        <v>-0.117666666666667</v>
      </c>
      <c r="AR267" s="83">
        <v>-0.12803030303030299</v>
      </c>
      <c r="AS267" s="83">
        <v>-9.4734375000000107E-2</v>
      </c>
      <c r="AT267" s="83">
        <v>-0.130907692307692</v>
      </c>
      <c r="AU267" s="83">
        <v>-0.14522727272727301</v>
      </c>
      <c r="AV267" s="83">
        <v>-0.17103076923076899</v>
      </c>
      <c r="AW267" s="83">
        <v>-0.190953846153846</v>
      </c>
      <c r="AX267" s="83">
        <v>-0.17872307692307701</v>
      </c>
      <c r="AY267" s="83">
        <v>-0.14953846153846201</v>
      </c>
      <c r="AZ267" s="83">
        <v>-0.21063076923076901</v>
      </c>
      <c r="BA267" s="83">
        <v>-0.12383076923076899</v>
      </c>
      <c r="BB267" s="83">
        <v>1.6738461538461501E-2</v>
      </c>
      <c r="BC267" s="83">
        <v>6.5803030303030294E-2</v>
      </c>
      <c r="BD267" s="83">
        <v>7.9863636363636401E-2</v>
      </c>
      <c r="BE267" s="83">
        <v>0.300328125</v>
      </c>
      <c r="BF267" s="83">
        <v>0.390507692307692</v>
      </c>
      <c r="BG267" s="83">
        <v>0.425651515151515</v>
      </c>
      <c r="BH267" s="83">
        <v>0.51541555555555496</v>
      </c>
      <c r="BI267" s="83">
        <v>0.61724945054945202</v>
      </c>
      <c r="BJ267" s="83">
        <v>0.71212826086956704</v>
      </c>
      <c r="BK267" s="83">
        <v>0.82951304347826205</v>
      </c>
      <c r="BL267" s="83">
        <v>0.94361043478260898</v>
      </c>
      <c r="BM267" s="83">
        <v>1.0577078260869599</v>
      </c>
      <c r="BN267" s="83">
        <v>1.17180521739131</v>
      </c>
      <c r="BO267" s="83">
        <v>1.28590260869565</v>
      </c>
      <c r="BP267" s="83">
        <v>1.4</v>
      </c>
      <c r="BQ267" s="83">
        <v>1.4</v>
      </c>
      <c r="BR267" s="83">
        <v>1.4</v>
      </c>
      <c r="BS267" s="83">
        <v>1.4</v>
      </c>
      <c r="BT267" s="83">
        <v>1.4</v>
      </c>
    </row>
    <row r="270" spans="1:80" x14ac:dyDescent="0.65">
      <c r="E270" s="18" t="s">
        <v>281</v>
      </c>
    </row>
    <row r="271" spans="1:80" x14ac:dyDescent="0.65">
      <c r="A271" s="24" t="s">
        <v>251</v>
      </c>
      <c r="E271" s="3" t="s">
        <v>857</v>
      </c>
      <c r="BI271" s="79" t="str">
        <f>+BI284</f>
        <v>no WEO projection: use WEO annual growth rates for fuel and food</v>
      </c>
    </row>
    <row r="272" spans="1:80" ht="13.5" x14ac:dyDescent="0.7">
      <c r="A272" s="25" t="s">
        <v>252</v>
      </c>
      <c r="B272" s="26" t="str">
        <f>'Complete DataSet A'!B304</f>
        <v>IMF WEO Vintage Jan 2026</v>
      </c>
      <c r="C272" s="26"/>
      <c r="E272" s="29" t="str">
        <f t="shared" ref="E272:BL272" si="6">+E4</f>
        <v>2012Q1</v>
      </c>
      <c r="F272" s="29" t="str">
        <f t="shared" si="6"/>
        <v>2012Q2</v>
      </c>
      <c r="G272" s="29" t="str">
        <f t="shared" si="6"/>
        <v>2012Q3</v>
      </c>
      <c r="H272" s="29" t="str">
        <f t="shared" si="6"/>
        <v>2012Q4</v>
      </c>
      <c r="I272" s="29" t="str">
        <f t="shared" si="6"/>
        <v>2013Q1</v>
      </c>
      <c r="J272" s="29" t="str">
        <f t="shared" si="6"/>
        <v>2013Q2</v>
      </c>
      <c r="K272" s="29" t="str">
        <f t="shared" si="6"/>
        <v>2013Q3</v>
      </c>
      <c r="L272" s="29" t="str">
        <f t="shared" si="6"/>
        <v>2013Q4</v>
      </c>
      <c r="M272" s="29" t="str">
        <f t="shared" si="6"/>
        <v>2014Q1</v>
      </c>
      <c r="N272" s="29" t="str">
        <f t="shared" si="6"/>
        <v>2014Q2</v>
      </c>
      <c r="O272" s="29" t="str">
        <f t="shared" si="6"/>
        <v>2014Q3</v>
      </c>
      <c r="P272" s="29" t="str">
        <f t="shared" si="6"/>
        <v>2014Q4</v>
      </c>
      <c r="Q272" s="29" t="str">
        <f t="shared" si="6"/>
        <v>2015Q1</v>
      </c>
      <c r="R272" s="29" t="str">
        <f t="shared" si="6"/>
        <v>2015Q2</v>
      </c>
      <c r="S272" s="29" t="str">
        <f t="shared" si="6"/>
        <v>2015Q3</v>
      </c>
      <c r="T272" s="29" t="str">
        <f t="shared" si="6"/>
        <v>2015Q4</v>
      </c>
      <c r="U272" s="29" t="str">
        <f t="shared" si="6"/>
        <v>2016Q1</v>
      </c>
      <c r="V272" s="29" t="str">
        <f t="shared" si="6"/>
        <v>2016Q2</v>
      </c>
      <c r="W272" s="29" t="str">
        <f t="shared" si="6"/>
        <v>2016Q3</v>
      </c>
      <c r="X272" s="29" t="str">
        <f t="shared" si="6"/>
        <v>2016Q4</v>
      </c>
      <c r="Y272" s="29" t="str">
        <f t="shared" si="6"/>
        <v>2017Q1</v>
      </c>
      <c r="Z272" s="29" t="str">
        <f t="shared" si="6"/>
        <v>2017Q2</v>
      </c>
      <c r="AA272" s="29" t="str">
        <f t="shared" si="6"/>
        <v>2017Q3</v>
      </c>
      <c r="AB272" s="29" t="str">
        <f t="shared" si="6"/>
        <v>2017Q4</v>
      </c>
      <c r="AC272" s="29" t="str">
        <f t="shared" si="6"/>
        <v>2018Q1</v>
      </c>
      <c r="AD272" s="29" t="str">
        <f t="shared" si="6"/>
        <v>2018Q2</v>
      </c>
      <c r="AE272" s="29" t="str">
        <f t="shared" si="6"/>
        <v>2018Q3</v>
      </c>
      <c r="AF272" s="29" t="str">
        <f t="shared" si="6"/>
        <v>2018Q4</v>
      </c>
      <c r="AG272" s="29" t="str">
        <f t="shared" si="6"/>
        <v>2019Q1</v>
      </c>
      <c r="AH272" s="29" t="str">
        <f t="shared" si="6"/>
        <v>2019Q2</v>
      </c>
      <c r="AI272" s="29" t="str">
        <f t="shared" si="6"/>
        <v>2019Q3</v>
      </c>
      <c r="AJ272" s="29" t="str">
        <f t="shared" si="6"/>
        <v>2019Q4</v>
      </c>
      <c r="AK272" s="29" t="str">
        <f t="shared" si="6"/>
        <v>2020Q1</v>
      </c>
      <c r="AL272" s="29" t="str">
        <f t="shared" si="6"/>
        <v>2020Q2</v>
      </c>
      <c r="AM272" s="29" t="str">
        <f t="shared" si="6"/>
        <v>2020Q3</v>
      </c>
      <c r="AN272" s="29" t="str">
        <f t="shared" si="6"/>
        <v>2020Q4</v>
      </c>
      <c r="AO272" s="29" t="str">
        <f t="shared" si="6"/>
        <v>2021Q1</v>
      </c>
      <c r="AP272" s="29" t="str">
        <f t="shared" si="6"/>
        <v>2021Q2</v>
      </c>
      <c r="AQ272" s="29" t="str">
        <f t="shared" si="6"/>
        <v>2021Q3</v>
      </c>
      <c r="AR272" s="29" t="str">
        <f t="shared" si="6"/>
        <v>2021Q4</v>
      </c>
      <c r="AS272" s="29" t="str">
        <f t="shared" si="6"/>
        <v>2022Q1</v>
      </c>
      <c r="AT272" s="29" t="str">
        <f t="shared" si="6"/>
        <v>2022Q2</v>
      </c>
      <c r="AU272" s="29" t="str">
        <f t="shared" si="6"/>
        <v>2022Q3</v>
      </c>
      <c r="AV272" s="29" t="str">
        <f t="shared" si="6"/>
        <v>2022Q4</v>
      </c>
      <c r="AW272" s="29" t="str">
        <f t="shared" si="6"/>
        <v>2023Q1</v>
      </c>
      <c r="AX272" s="29" t="str">
        <f t="shared" si="6"/>
        <v>2023Q2</v>
      </c>
      <c r="AY272" s="29" t="str">
        <f t="shared" si="6"/>
        <v>2023Q3</v>
      </c>
      <c r="AZ272" s="29" t="str">
        <f t="shared" si="6"/>
        <v>2023Q4</v>
      </c>
      <c r="BA272" s="29" t="str">
        <f t="shared" si="6"/>
        <v>2024Q1</v>
      </c>
      <c r="BB272" s="29" t="str">
        <f t="shared" si="6"/>
        <v>2024Q2</v>
      </c>
      <c r="BC272" s="29" t="str">
        <f t="shared" si="6"/>
        <v>2024Q3</v>
      </c>
      <c r="BD272" s="29" t="str">
        <f t="shared" si="6"/>
        <v>2024Q4</v>
      </c>
      <c r="BE272" s="29" t="str">
        <f t="shared" si="6"/>
        <v>2025Q1</v>
      </c>
      <c r="BF272" s="29" t="str">
        <f t="shared" si="6"/>
        <v>2025Q2</v>
      </c>
      <c r="BG272" s="29" t="str">
        <f t="shared" si="6"/>
        <v>2025Q3</v>
      </c>
      <c r="BH272" s="63" t="str">
        <f t="shared" si="6"/>
        <v>2025Q4</v>
      </c>
      <c r="BI272" s="42" t="str">
        <f t="shared" si="6"/>
        <v>2026Q1</v>
      </c>
      <c r="BJ272" s="42" t="str">
        <f t="shared" si="6"/>
        <v>2026Q2</v>
      </c>
      <c r="BK272" s="42" t="str">
        <f t="shared" si="6"/>
        <v>2026Q3</v>
      </c>
      <c r="BL272" s="42" t="str">
        <f t="shared" si="6"/>
        <v>2026Q4</v>
      </c>
      <c r="BM272" s="42" t="s">
        <v>380</v>
      </c>
      <c r="BN272" s="42" t="s">
        <v>381</v>
      </c>
      <c r="BO272" s="42" t="s">
        <v>382</v>
      </c>
      <c r="BP272" s="42" t="s">
        <v>383</v>
      </c>
      <c r="BQ272" s="42" t="s">
        <v>384</v>
      </c>
      <c r="BR272" s="42" t="s">
        <v>385</v>
      </c>
      <c r="BS272" s="42" t="s">
        <v>386</v>
      </c>
      <c r="BT272" s="42" t="s">
        <v>387</v>
      </c>
      <c r="BU272" s="43" t="s">
        <v>388</v>
      </c>
      <c r="BV272" s="42" t="s">
        <v>389</v>
      </c>
      <c r="BW272" s="42" t="s">
        <v>390</v>
      </c>
      <c r="BX272" s="71" t="s">
        <v>391</v>
      </c>
      <c r="BY272" s="42" t="s">
        <v>394</v>
      </c>
      <c r="BZ272" s="42" t="s">
        <v>395</v>
      </c>
      <c r="CA272" s="42" t="s">
        <v>396</v>
      </c>
      <c r="CB272" s="42" t="s">
        <v>397</v>
      </c>
    </row>
    <row r="273" spans="1:87" ht="13.5" x14ac:dyDescent="0.7">
      <c r="A273" s="27"/>
      <c r="B273" s="26"/>
      <c r="C273" s="121" t="s">
        <v>847</v>
      </c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95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44"/>
      <c r="BV273" s="45"/>
      <c r="BW273" s="45"/>
      <c r="BX273" s="72"/>
      <c r="BY273" s="45"/>
      <c r="BZ273" s="45"/>
      <c r="CA273" s="45"/>
      <c r="CB273" s="45"/>
    </row>
    <row r="274" spans="1:87" ht="13.5" x14ac:dyDescent="0.7">
      <c r="A274" s="25" t="s">
        <v>278</v>
      </c>
      <c r="B274" s="26"/>
      <c r="C274" s="119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64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46"/>
      <c r="BV274" s="47"/>
      <c r="BW274" s="47"/>
      <c r="BX274" s="73"/>
      <c r="BY274" s="47"/>
      <c r="BZ274" s="47"/>
      <c r="CA274" s="47"/>
      <c r="CB274" s="47"/>
    </row>
    <row r="275" spans="1:87" ht="13.5" x14ac:dyDescent="0.7">
      <c r="A275" s="27" t="s">
        <v>4</v>
      </c>
      <c r="B275" s="26"/>
      <c r="C275" s="119"/>
      <c r="E275" s="35">
        <v>4.1756370832479739E-3</v>
      </c>
      <c r="F275" s="31">
        <f t="shared" ref="F275:BI275" si="7">++(0.4*F8/E8+0.4*F9/E9+0.1*F14/E14+0.05*F15/E15+0.05*F16/E16)-1</f>
        <v>-4.0932461757148264E-4</v>
      </c>
      <c r="G275" s="31">
        <f t="shared" si="7"/>
        <v>1.6839375213861807E-4</v>
      </c>
      <c r="H275" s="31">
        <f t="shared" si="7"/>
        <v>-1.2286825053900996E-3</v>
      </c>
      <c r="I275" s="31">
        <f t="shared" si="7"/>
        <v>4.5939105273009595E-3</v>
      </c>
      <c r="J275" s="31">
        <f t="shared" si="7"/>
        <v>5.2117443410224507E-3</v>
      </c>
      <c r="K275" s="31">
        <f t="shared" si="7"/>
        <v>6.3449987259496243E-3</v>
      </c>
      <c r="L275" s="31">
        <f t="shared" si="7"/>
        <v>5.0996490036496755E-3</v>
      </c>
      <c r="M275" s="31">
        <f t="shared" si="7"/>
        <v>1.7573718078947032E-3</v>
      </c>
      <c r="N275" s="31">
        <f t="shared" si="7"/>
        <v>5.2586291603675672E-3</v>
      </c>
      <c r="O275" s="31">
        <f t="shared" si="7"/>
        <v>7.7422929120487538E-3</v>
      </c>
      <c r="P275" s="31">
        <f t="shared" si="7"/>
        <v>4.7295446376220962E-3</v>
      </c>
      <c r="Q275" s="31">
        <f t="shared" si="7"/>
        <v>7.9712642734541816E-3</v>
      </c>
      <c r="R275" s="31">
        <f t="shared" si="7"/>
        <v>4.4955625660714205E-3</v>
      </c>
      <c r="S275" s="31">
        <f t="shared" si="7"/>
        <v>3.7697120014374974E-3</v>
      </c>
      <c r="T275" s="31">
        <f t="shared" si="7"/>
        <v>2.9140147012198803E-3</v>
      </c>
      <c r="U275" s="31">
        <f t="shared" si="7"/>
        <v>5.4314678785900572E-3</v>
      </c>
      <c r="V275" s="31">
        <f t="shared" si="7"/>
        <v>1.9080670119024923E-3</v>
      </c>
      <c r="W275" s="31">
        <f t="shared" si="7"/>
        <v>5.7258474367485324E-3</v>
      </c>
      <c r="X275" s="31">
        <f t="shared" si="7"/>
        <v>5.9841448260409269E-3</v>
      </c>
      <c r="Y275" s="31">
        <f t="shared" si="7"/>
        <v>6.9955756857513762E-3</v>
      </c>
      <c r="Z275" s="31">
        <f t="shared" si="7"/>
        <v>6.1171018419023948E-3</v>
      </c>
      <c r="AA275" s="31">
        <f t="shared" si="7"/>
        <v>7.3348260987320391E-3</v>
      </c>
      <c r="AB275" s="31">
        <f t="shared" si="7"/>
        <v>8.4389968632314627E-3</v>
      </c>
      <c r="AC275" s="31">
        <f t="shared" si="7"/>
        <v>4.0838780498773097E-3</v>
      </c>
      <c r="AD275" s="31">
        <f t="shared" si="7"/>
        <v>5.0251721585614639E-3</v>
      </c>
      <c r="AE275" s="31">
        <f t="shared" si="7"/>
        <v>2.7685267571928573E-3</v>
      </c>
      <c r="AF275" s="31">
        <f t="shared" si="7"/>
        <v>2.658794675514331E-3</v>
      </c>
      <c r="AG275" s="31">
        <f t="shared" si="7"/>
        <v>6.0391879491941136E-3</v>
      </c>
      <c r="AH275" s="31">
        <f t="shared" si="7"/>
        <v>5.9377044630961606E-3</v>
      </c>
      <c r="AI275" s="31">
        <f t="shared" si="7"/>
        <v>6.2361879602443882E-3</v>
      </c>
      <c r="AJ275" s="31">
        <f t="shared" si="7"/>
        <v>-4.8895388941327944E-4</v>
      </c>
      <c r="AK275" s="31">
        <f t="shared" si="7"/>
        <v>-2.0269651954151424E-2</v>
      </c>
      <c r="AL275" s="31">
        <f t="shared" si="7"/>
        <v>-9.9033104019306539E-2</v>
      </c>
      <c r="AM275" s="31">
        <f t="shared" si="7"/>
        <v>9.5762635508716221E-2</v>
      </c>
      <c r="AN275" s="31">
        <f t="shared" si="7"/>
        <v>9.1341538286282553E-3</v>
      </c>
      <c r="AO275" s="31">
        <f t="shared" si="7"/>
        <v>9.3165614984211942E-3</v>
      </c>
      <c r="AP275" s="31">
        <f t="shared" si="7"/>
        <v>1.9663701568295E-2</v>
      </c>
      <c r="AQ275" s="31">
        <f t="shared" si="7"/>
        <v>1.1959011271940989E-2</v>
      </c>
      <c r="AR275" s="31">
        <f t="shared" si="7"/>
        <v>1.2764128990408796E-2</v>
      </c>
      <c r="AS275" s="31">
        <f t="shared" si="7"/>
        <v>2.1864030360674303E-3</v>
      </c>
      <c r="AT275" s="31">
        <f t="shared" si="7"/>
        <v>5.9086447160530131E-3</v>
      </c>
      <c r="AU275" s="31">
        <f t="shared" si="7"/>
        <v>4.7798579231685956E-3</v>
      </c>
      <c r="AV275" s="31">
        <f t="shared" si="7"/>
        <v>2.8892644875520013E-3</v>
      </c>
      <c r="AW275" s="31">
        <f t="shared" si="7"/>
        <v>4.4817674732029467E-3</v>
      </c>
      <c r="AX275" s="31">
        <f t="shared" si="7"/>
        <v>3.641244462200488E-3</v>
      </c>
      <c r="AY275" s="31">
        <f t="shared" si="7"/>
        <v>3.5393229396407655E-3</v>
      </c>
      <c r="AZ275" s="31">
        <f t="shared" si="7"/>
        <v>3.4449223134254137E-3</v>
      </c>
      <c r="BA275" s="31">
        <f t="shared" si="7"/>
        <v>2.4527487857879393E-3</v>
      </c>
      <c r="BB275" s="31">
        <f t="shared" si="7"/>
        <v>5.3699632214347925E-3</v>
      </c>
      <c r="BC275" s="31">
        <f t="shared" si="7"/>
        <v>5.7949281215237125E-3</v>
      </c>
      <c r="BD275" s="31">
        <f t="shared" si="7"/>
        <v>4.2499891607330476E-3</v>
      </c>
      <c r="BE275" s="31">
        <f t="shared" si="7"/>
        <v>2.2884729529455416E-3</v>
      </c>
      <c r="BF275" s="31">
        <f t="shared" si="7"/>
        <v>4.771829349404344E-3</v>
      </c>
      <c r="BG275" s="31">
        <f t="shared" si="7"/>
        <v>2.6541503663497501E-3</v>
      </c>
      <c r="BH275" s="65">
        <f t="shared" si="7"/>
        <v>1.8691539766899634E-3</v>
      </c>
      <c r="BI275" s="31">
        <f t="shared" si="7"/>
        <v>4.2379820548315017E-3</v>
      </c>
      <c r="BJ275" s="31">
        <f t="shared" ref="BJ275" si="8">++(0.4*BJ8/BI8+0.4*BJ9/BI9+0.1*BJ14/BI14+0.05*BJ15/BI15+0.05*BJ16/BI16)-1</f>
        <v>4.4866806780572421E-3</v>
      </c>
      <c r="BK275" s="31">
        <f t="shared" ref="BK275" si="9">++(0.4*BK8/BJ8+0.4*BK9/BJ9+0.1*BK14/BJ14+0.05*BK15/BJ15+0.05*BK16/BJ16)-1</f>
        <v>4.7187375152304423E-3</v>
      </c>
      <c r="BL275" s="31">
        <f t="shared" ref="BL275" si="10">++(0.4*BL8/BK8+0.4*BL9/BK9+0.1*BL14/BK14+0.05*BL15/BK15+0.05*BL16/BK16)-1</f>
        <v>4.1390328288490874E-3</v>
      </c>
      <c r="BM275" s="31">
        <f t="shared" ref="BM275" si="11">++(0.4*BM8/BL8+0.4*BM9/BL9+0.1*BM14/BL14+0.05*BM15/BL15+0.05*BM16/BL16)-1</f>
        <v>2.1567618956375156E-4</v>
      </c>
      <c r="BN275" s="31">
        <f t="shared" ref="BN275" si="12">++(0.4*BN8/BM8+0.4*BN9/BM9+0.1*BN14/BM14+0.05*BN15/BM15+0.05*BN16/BM16)-1</f>
        <v>4.2211855674469945E-3</v>
      </c>
      <c r="BO275" s="31">
        <f t="shared" ref="BO275" si="13">++(0.4*BO8/BN8+0.4*BO9/BN9+0.1*BO14/BN14+0.05*BO15/BN15+0.05*BO16/BN16)-1</f>
        <v>6.8040253692001063E-3</v>
      </c>
      <c r="BP275" s="31">
        <f t="shared" ref="BP275" si="14">++(0.4*BP8/BO8+0.4*BP9/BO9+0.1*BP14/BO14+0.05*BP15/BO15+0.05*BP16/BO16)-1</f>
        <v>6.4147374690712855E-3</v>
      </c>
      <c r="BQ275" s="31"/>
      <c r="BR275" s="31"/>
      <c r="BS275" s="31"/>
      <c r="BT275" s="65"/>
      <c r="BU275" s="48"/>
      <c r="BV275" s="49"/>
      <c r="BW275" s="49"/>
      <c r="BX275" s="74"/>
      <c r="BY275" s="49"/>
      <c r="BZ275" s="49"/>
      <c r="CA275" s="49"/>
      <c r="CB275" s="49"/>
    </row>
    <row r="276" spans="1:87" ht="13.5" x14ac:dyDescent="0.7">
      <c r="A276" s="27" t="s">
        <v>175</v>
      </c>
      <c r="B276" s="26"/>
      <c r="C276" s="120"/>
      <c r="E276" s="30"/>
      <c r="F276" s="30" t="s">
        <v>269</v>
      </c>
      <c r="G276" s="30" t="s">
        <v>269</v>
      </c>
      <c r="H276" s="30" t="s">
        <v>269</v>
      </c>
      <c r="I276" s="30" t="s">
        <v>269</v>
      </c>
      <c r="J276" s="30" t="s">
        <v>269</v>
      </c>
      <c r="K276" s="30" t="s">
        <v>269</v>
      </c>
      <c r="L276" s="30" t="s">
        <v>269</v>
      </c>
      <c r="M276" s="30" t="s">
        <v>269</v>
      </c>
      <c r="N276" s="30" t="s">
        <v>269</v>
      </c>
      <c r="O276" s="30" t="s">
        <v>269</v>
      </c>
      <c r="P276" s="30" t="s">
        <v>269</v>
      </c>
      <c r="Q276" s="30" t="s">
        <v>269</v>
      </c>
      <c r="R276" s="30" t="s">
        <v>269</v>
      </c>
      <c r="S276" s="30" t="s">
        <v>269</v>
      </c>
      <c r="T276" s="30" t="s">
        <v>269</v>
      </c>
      <c r="U276" s="30" t="s">
        <v>269</v>
      </c>
      <c r="V276" s="30" t="s">
        <v>269</v>
      </c>
      <c r="W276" s="30" t="s">
        <v>269</v>
      </c>
      <c r="X276" s="30" t="s">
        <v>269</v>
      </c>
      <c r="Y276" s="30" t="s">
        <v>269</v>
      </c>
      <c r="Z276" s="30" t="s">
        <v>269</v>
      </c>
      <c r="AA276" s="30" t="s">
        <v>269</v>
      </c>
      <c r="AB276" s="30" t="s">
        <v>269</v>
      </c>
      <c r="AC276" s="30" t="s">
        <v>269</v>
      </c>
      <c r="AD276" s="30" t="s">
        <v>269</v>
      </c>
      <c r="AE276" s="30" t="s">
        <v>269</v>
      </c>
      <c r="AF276" s="30" t="s">
        <v>269</v>
      </c>
      <c r="AG276" s="30" t="s">
        <v>269</v>
      </c>
      <c r="AH276" s="30" t="s">
        <v>269</v>
      </c>
      <c r="AI276" s="30" t="s">
        <v>269</v>
      </c>
      <c r="AJ276" s="30" t="s">
        <v>269</v>
      </c>
      <c r="AK276" s="30" t="s">
        <v>269</v>
      </c>
      <c r="AL276" s="30" t="s">
        <v>269</v>
      </c>
      <c r="AM276" s="30" t="s">
        <v>269</v>
      </c>
      <c r="AN276" s="30" t="s">
        <v>269</v>
      </c>
      <c r="AO276" s="30" t="s">
        <v>269</v>
      </c>
      <c r="AP276" s="30" t="s">
        <v>269</v>
      </c>
      <c r="AQ276" s="30" t="s">
        <v>269</v>
      </c>
      <c r="AR276" s="30" t="s">
        <v>269</v>
      </c>
      <c r="AS276" s="30" t="s">
        <v>269</v>
      </c>
      <c r="AT276" s="30" t="s">
        <v>269</v>
      </c>
      <c r="AU276" s="30" t="s">
        <v>269</v>
      </c>
      <c r="AV276" s="30" t="s">
        <v>269</v>
      </c>
      <c r="AW276" s="30" t="s">
        <v>269</v>
      </c>
      <c r="AX276" s="30" t="s">
        <v>269</v>
      </c>
      <c r="AY276" s="30" t="s">
        <v>269</v>
      </c>
      <c r="AZ276" s="30" t="s">
        <v>269</v>
      </c>
      <c r="BA276" s="30" t="s">
        <v>269</v>
      </c>
      <c r="BB276" s="30" t="s">
        <v>269</v>
      </c>
      <c r="BC276" s="30" t="s">
        <v>269</v>
      </c>
      <c r="BD276" s="30" t="s">
        <v>269</v>
      </c>
      <c r="BE276" s="30" t="s">
        <v>269</v>
      </c>
      <c r="BF276" s="30" t="s">
        <v>269</v>
      </c>
      <c r="BG276" s="30" t="s">
        <v>269</v>
      </c>
      <c r="BH276" s="64" t="s">
        <v>269</v>
      </c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0"/>
      <c r="BU276" s="46"/>
      <c r="BV276" s="47"/>
      <c r="BW276" s="47"/>
      <c r="BX276" s="73"/>
      <c r="BY276" s="47"/>
      <c r="BZ276" s="47"/>
      <c r="CA276" s="47"/>
      <c r="CB276" s="47"/>
    </row>
    <row r="277" spans="1:87" ht="13.5" x14ac:dyDescent="0.7">
      <c r="A277" s="25" t="s">
        <v>848</v>
      </c>
      <c r="B277" s="26"/>
      <c r="C277" s="118" t="s">
        <v>253</v>
      </c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64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0"/>
      <c r="BU277" s="46"/>
      <c r="BV277" s="47"/>
      <c r="BW277" s="47"/>
      <c r="BX277" s="73"/>
      <c r="BY277" s="47"/>
      <c r="BZ277" s="47"/>
      <c r="CA277" s="47"/>
      <c r="CB277" s="47"/>
    </row>
    <row r="278" spans="1:87" ht="13.5" x14ac:dyDescent="0.7">
      <c r="A278" s="27" t="s">
        <v>4</v>
      </c>
      <c r="B278" s="26"/>
      <c r="C278" s="119"/>
      <c r="E278" s="35">
        <v>3.8459577465732586E-3</v>
      </c>
      <c r="F278" s="31">
        <f t="shared" ref="F278:BI278" si="15">++(0.4*F20/E20+0.4*F21/E21+0.1*F25/E25+0.05*F26/E26+0.05*F27/E27)-1</f>
        <v>2.2603017896212219E-3</v>
      </c>
      <c r="G278" s="31">
        <f t="shared" si="15"/>
        <v>4.2344810272383349E-3</v>
      </c>
      <c r="H278" s="31">
        <f t="shared" si="15"/>
        <v>3.3591325068900169E-3</v>
      </c>
      <c r="I278" s="31">
        <f t="shared" si="15"/>
        <v>4.4462958578947998E-3</v>
      </c>
      <c r="J278" s="31">
        <f t="shared" si="15"/>
        <v>1.8711813462901628E-3</v>
      </c>
      <c r="K278" s="31">
        <f t="shared" si="15"/>
        <v>3.1885502408965927E-3</v>
      </c>
      <c r="L278" s="31">
        <f t="shared" si="15"/>
        <v>2.4936886697752847E-3</v>
      </c>
      <c r="M278" s="31">
        <f t="shared" si="15"/>
        <v>4.2261323452716937E-3</v>
      </c>
      <c r="N278" s="31">
        <f t="shared" si="15"/>
        <v>5.3151658029468862E-3</v>
      </c>
      <c r="O278" s="31">
        <f t="shared" si="15"/>
        <v>3.0559354853194609E-3</v>
      </c>
      <c r="P278" s="31">
        <f t="shared" si="15"/>
        <v>1.3492112036996851E-3</v>
      </c>
      <c r="Q278" s="31">
        <f t="shared" si="15"/>
        <v>2.2653890949204669E-3</v>
      </c>
      <c r="R278" s="31">
        <f t="shared" si="15"/>
        <v>4.5438754560043204E-3</v>
      </c>
      <c r="S278" s="31">
        <f t="shared" si="15"/>
        <v>3.0692139259547169E-3</v>
      </c>
      <c r="T278" s="31">
        <f t="shared" si="15"/>
        <v>5.7109155672452339E-4</v>
      </c>
      <c r="U278" s="31">
        <f t="shared" si="15"/>
        <v>1.1688577743877993E-3</v>
      </c>
      <c r="V278" s="31">
        <f t="shared" si="15"/>
        <v>3.6821743826125353E-3</v>
      </c>
      <c r="W278" s="31">
        <f t="shared" si="15"/>
        <v>2.6814089028710519E-3</v>
      </c>
      <c r="X278" s="31">
        <f t="shared" si="15"/>
        <v>3.1486000392000335E-3</v>
      </c>
      <c r="Y278" s="31">
        <f t="shared" si="15"/>
        <v>3.9872379213929943E-3</v>
      </c>
      <c r="Z278" s="31">
        <f t="shared" si="15"/>
        <v>2.8864219816095993E-3</v>
      </c>
      <c r="AA278" s="31">
        <f t="shared" si="15"/>
        <v>3.551833225381662E-3</v>
      </c>
      <c r="AB278" s="31">
        <f t="shared" si="15"/>
        <v>4.9621636874790376E-3</v>
      </c>
      <c r="AC278" s="31">
        <f t="shared" si="15"/>
        <v>4.6461788604721388E-3</v>
      </c>
      <c r="AD278" s="31">
        <f t="shared" si="15"/>
        <v>4.2667773363613826E-3</v>
      </c>
      <c r="AE278" s="31">
        <f t="shared" si="15"/>
        <v>4.0963605605410791E-3</v>
      </c>
      <c r="AF278" s="31">
        <f t="shared" si="15"/>
        <v>3.3590003390477907E-3</v>
      </c>
      <c r="AG278" s="31">
        <f t="shared" si="15"/>
        <v>3.8837356952901025E-3</v>
      </c>
      <c r="AH278" s="31">
        <f t="shared" si="15"/>
        <v>4.2759819015283362E-3</v>
      </c>
      <c r="AI278" s="31">
        <f t="shared" si="15"/>
        <v>3.5107352124545965E-3</v>
      </c>
      <c r="AJ278" s="31">
        <f t="shared" si="15"/>
        <v>5.2156372154537056E-3</v>
      </c>
      <c r="AK278" s="31">
        <f t="shared" si="15"/>
        <v>4.1851848318301688E-3</v>
      </c>
      <c r="AL278" s="31">
        <f t="shared" si="15"/>
        <v>6.6997331092217838E-3</v>
      </c>
      <c r="AM278" s="31">
        <f t="shared" si="15"/>
        <v>-1.4905425739446532E-3</v>
      </c>
      <c r="AN278" s="31">
        <f t="shared" si="15"/>
        <v>6.125678833044601E-3</v>
      </c>
      <c r="AO278" s="31">
        <f t="shared" si="15"/>
        <v>9.0012510746075858E-3</v>
      </c>
      <c r="AP278" s="31">
        <f t="shared" si="15"/>
        <v>8.0447226025561758E-3</v>
      </c>
      <c r="AQ278" s="31">
        <f t="shared" si="15"/>
        <v>1.1814113292677231E-2</v>
      </c>
      <c r="AR278" s="31">
        <f t="shared" si="15"/>
        <v>1.280706573124557E-2</v>
      </c>
      <c r="AS278" s="31">
        <f t="shared" si="15"/>
        <v>1.7013913005196279E-2</v>
      </c>
      <c r="AT278" s="31">
        <f t="shared" si="15"/>
        <v>1.6392859906164237E-2</v>
      </c>
      <c r="AU278" s="31">
        <f t="shared" si="15"/>
        <v>9.55126731506728E-3</v>
      </c>
      <c r="AV278" s="31">
        <f t="shared" si="15"/>
        <v>1.4383155649210888E-2</v>
      </c>
      <c r="AW278" s="31">
        <f t="shared" si="15"/>
        <v>1.3590729936877821E-2</v>
      </c>
      <c r="AX278" s="31">
        <f t="shared" si="15"/>
        <v>9.216293740202719E-3</v>
      </c>
      <c r="AY278" s="31">
        <f t="shared" si="15"/>
        <v>8.5425022357379365E-3</v>
      </c>
      <c r="AZ278" s="31">
        <f t="shared" si="15"/>
        <v>6.9128446658237586E-3</v>
      </c>
      <c r="BA278" s="31">
        <f t="shared" si="15"/>
        <v>6.4716166466771696E-3</v>
      </c>
      <c r="BB278" s="31">
        <f t="shared" si="15"/>
        <v>6.9315765572552923E-3</v>
      </c>
      <c r="BC278" s="31">
        <f t="shared" si="15"/>
        <v>5.4427106827552585E-3</v>
      </c>
      <c r="BD278" s="31">
        <f t="shared" si="15"/>
        <v>7.2467345866806809E-3</v>
      </c>
      <c r="BE278" s="31">
        <f t="shared" si="15"/>
        <v>6.7516949366546175E-3</v>
      </c>
      <c r="BF278" s="31">
        <f t="shared" si="15"/>
        <v>6.2624431145548165E-3</v>
      </c>
      <c r="BG278" s="31">
        <f t="shared" si="15"/>
        <v>2.2090475906546558E-3</v>
      </c>
      <c r="BH278" s="65">
        <f t="shared" si="15"/>
        <v>5.9763108356445382E-3</v>
      </c>
      <c r="BI278" s="31">
        <f t="shared" si="15"/>
        <v>5.7020434169534617E-3</v>
      </c>
      <c r="BJ278" s="31">
        <f t="shared" ref="BJ278" si="16">++(0.4*BJ20/BI20+0.4*BJ21/BI21+0.1*BJ25/BI25+0.05*BJ26/BI26+0.05*BJ27/BI27)-1</f>
        <v>5.6126465557162497E-3</v>
      </c>
      <c r="BK278" s="31">
        <f t="shared" ref="BK278" si="17">++(0.4*BK20/BJ20+0.4*BK21/BJ21+0.1*BK25/BJ25+0.05*BK26/BJ26+0.05*BK27/BJ27)-1</f>
        <v>2.5205145891666891E-3</v>
      </c>
      <c r="BL278" s="31">
        <f t="shared" ref="BL278" si="18">++(0.4*BL20/BK20+0.4*BL21/BK21+0.1*BL25/BK25+0.05*BL26/BK26+0.05*BL27/BK27)-1</f>
        <v>3.9075863520618981E-3</v>
      </c>
      <c r="BM278" s="31">
        <f t="shared" ref="BM278" si="19">++(0.4*BM20/BL20+0.4*BM21/BL21+0.1*BM25/BL25+0.05*BM26/BL26+0.05*BM27/BL27)-1</f>
        <v>8.1145991157278718E-3</v>
      </c>
      <c r="BN278" s="31">
        <f t="shared" ref="BN278" si="20">++(0.4*BN20/BM20+0.4*BN21/BM21+0.1*BN25/BM25+0.05*BN26/BM26+0.05*BN27/BM27)-1</f>
        <v>4.9721733428689241E-3</v>
      </c>
      <c r="BO278" s="31">
        <f t="shared" ref="BO278" si="21">++(0.4*BO20/BN20+0.4*BO21/BN21+0.1*BO25/BN25+0.05*BO26/BN26+0.05*BO27/BN27)-1</f>
        <v>2.836771104141933E-3</v>
      </c>
      <c r="BP278" s="31">
        <f t="shared" ref="BP278" si="22">++(0.4*BP20/BO20+0.4*BP21/BO21+0.1*BP25/BO25+0.05*BP26/BO26+0.05*BP27/BO27)-1</f>
        <v>1.8438260493887082E-3</v>
      </c>
      <c r="BQ278" s="31"/>
      <c r="BR278" s="31"/>
      <c r="BS278" s="31"/>
      <c r="BT278" s="31"/>
      <c r="BU278" s="48"/>
      <c r="BV278" s="49"/>
      <c r="BW278" s="49"/>
      <c r="BX278" s="74"/>
      <c r="BY278" s="49"/>
      <c r="BZ278" s="49"/>
      <c r="CA278" s="49"/>
      <c r="CB278" s="49"/>
    </row>
    <row r="279" spans="1:87" ht="13.5" x14ac:dyDescent="0.7">
      <c r="A279" s="25" t="s">
        <v>20</v>
      </c>
      <c r="B279" s="26"/>
      <c r="C279" s="12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64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46"/>
      <c r="BV279" s="47"/>
      <c r="BW279" s="47"/>
      <c r="BX279" s="73"/>
      <c r="BY279" s="47"/>
      <c r="BZ279" s="47"/>
      <c r="CA279" s="47"/>
      <c r="CB279" s="47"/>
    </row>
    <row r="280" spans="1:87" ht="13.5" x14ac:dyDescent="0.7">
      <c r="A280" s="27" t="s">
        <v>21</v>
      </c>
      <c r="B280" s="26"/>
      <c r="C280" s="27" t="s">
        <v>254</v>
      </c>
      <c r="E280" s="30" t="s">
        <v>269</v>
      </c>
      <c r="F280" s="30" t="s">
        <v>269</v>
      </c>
      <c r="G280" s="30" t="s">
        <v>269</v>
      </c>
      <c r="H280" s="30" t="s">
        <v>269</v>
      </c>
      <c r="I280" s="30" t="s">
        <v>269</v>
      </c>
      <c r="J280" s="30" t="s">
        <v>269</v>
      </c>
      <c r="K280" s="30" t="s">
        <v>269</v>
      </c>
      <c r="L280" s="30" t="s">
        <v>269</v>
      </c>
      <c r="M280" s="30" t="s">
        <v>269</v>
      </c>
      <c r="N280" s="30" t="s">
        <v>269</v>
      </c>
      <c r="O280" s="30" t="s">
        <v>269</v>
      </c>
      <c r="P280" s="30" t="s">
        <v>269</v>
      </c>
      <c r="Q280" s="30" t="s">
        <v>269</v>
      </c>
      <c r="R280" s="30" t="s">
        <v>269</v>
      </c>
      <c r="S280" s="30" t="s">
        <v>269</v>
      </c>
      <c r="T280" s="30" t="s">
        <v>269</v>
      </c>
      <c r="U280" s="30" t="s">
        <v>269</v>
      </c>
      <c r="V280" s="30" t="s">
        <v>269</v>
      </c>
      <c r="W280" s="30" t="s">
        <v>269</v>
      </c>
      <c r="X280" s="30" t="s">
        <v>269</v>
      </c>
      <c r="Y280" s="30" t="s">
        <v>269</v>
      </c>
      <c r="Z280" s="30" t="s">
        <v>269</v>
      </c>
      <c r="AA280" s="30" t="s">
        <v>269</v>
      </c>
      <c r="AB280" s="30" t="s">
        <v>269</v>
      </c>
      <c r="AC280" s="30" t="s">
        <v>269</v>
      </c>
      <c r="AD280" s="30" t="s">
        <v>269</v>
      </c>
      <c r="AE280" s="30" t="s">
        <v>269</v>
      </c>
      <c r="AF280" s="30" t="s">
        <v>269</v>
      </c>
      <c r="AG280" s="30" t="s">
        <v>269</v>
      </c>
      <c r="AH280" s="30" t="s">
        <v>269</v>
      </c>
      <c r="AI280" s="30" t="s">
        <v>269</v>
      </c>
      <c r="AJ280" s="30" t="s">
        <v>269</v>
      </c>
      <c r="AK280" s="30" t="s">
        <v>269</v>
      </c>
      <c r="AL280" s="30" t="s">
        <v>269</v>
      </c>
      <c r="AM280" s="30" t="s">
        <v>269</v>
      </c>
      <c r="AN280" s="30" t="s">
        <v>269</v>
      </c>
      <c r="AO280" s="30" t="s">
        <v>269</v>
      </c>
      <c r="AP280" s="30" t="s">
        <v>269</v>
      </c>
      <c r="AQ280" s="30" t="s">
        <v>269</v>
      </c>
      <c r="AR280" s="30" t="s">
        <v>269</v>
      </c>
      <c r="AS280" s="30" t="s">
        <v>269</v>
      </c>
      <c r="AT280" s="30" t="s">
        <v>269</v>
      </c>
      <c r="AU280" s="30" t="s">
        <v>269</v>
      </c>
      <c r="AV280" s="30" t="s">
        <v>269</v>
      </c>
      <c r="AW280" s="30" t="s">
        <v>269</v>
      </c>
      <c r="AX280" s="30" t="s">
        <v>269</v>
      </c>
      <c r="AY280" s="30" t="s">
        <v>269</v>
      </c>
      <c r="AZ280" s="30" t="s">
        <v>269</v>
      </c>
      <c r="BA280" s="30" t="s">
        <v>269</v>
      </c>
      <c r="BB280" s="30" t="s">
        <v>269</v>
      </c>
      <c r="BC280" s="30" t="s">
        <v>269</v>
      </c>
      <c r="BD280" s="30" t="s">
        <v>269</v>
      </c>
      <c r="BE280" s="30" t="s">
        <v>269</v>
      </c>
      <c r="BF280" s="30" t="s">
        <v>269</v>
      </c>
      <c r="BG280" s="30" t="s">
        <v>269</v>
      </c>
      <c r="BH280" s="64" t="s">
        <v>269</v>
      </c>
      <c r="BI280" s="30" t="s">
        <v>269</v>
      </c>
      <c r="BJ280" s="30" t="s">
        <v>269</v>
      </c>
      <c r="BK280" s="30" t="s">
        <v>269</v>
      </c>
      <c r="BL280" s="30" t="s">
        <v>269</v>
      </c>
      <c r="BM280" s="30" t="s">
        <v>269</v>
      </c>
      <c r="BN280" s="30" t="s">
        <v>269</v>
      </c>
      <c r="BO280" s="30" t="s">
        <v>269</v>
      </c>
      <c r="BP280" s="30" t="s">
        <v>269</v>
      </c>
      <c r="BQ280" s="30" t="s">
        <v>269</v>
      </c>
      <c r="BR280" s="30" t="s">
        <v>269</v>
      </c>
      <c r="BS280" s="30" t="s">
        <v>269</v>
      </c>
      <c r="BT280" s="30" t="s">
        <v>269</v>
      </c>
      <c r="BU280" s="46" t="s">
        <v>269</v>
      </c>
      <c r="BV280" s="47" t="s">
        <v>269</v>
      </c>
      <c r="BW280" s="47" t="s">
        <v>269</v>
      </c>
      <c r="BX280" s="73" t="s">
        <v>269</v>
      </c>
      <c r="BY280" s="47" t="s">
        <v>269</v>
      </c>
      <c r="BZ280" s="47" t="s">
        <v>269</v>
      </c>
      <c r="CA280" s="47" t="s">
        <v>269</v>
      </c>
      <c r="CB280" s="47" t="s">
        <v>269</v>
      </c>
    </row>
    <row r="281" spans="1:87" ht="13.5" x14ac:dyDescent="0.7">
      <c r="A281" s="25" t="s">
        <v>73</v>
      </c>
      <c r="B281" s="26"/>
      <c r="C281" s="27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64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46"/>
      <c r="BV281" s="47"/>
      <c r="BW281" s="47"/>
      <c r="BX281" s="73"/>
      <c r="BY281" s="47"/>
      <c r="BZ281" s="47"/>
      <c r="CA281" s="47"/>
      <c r="CB281" s="47"/>
    </row>
    <row r="282" spans="1:87" ht="13.5" x14ac:dyDescent="0.7">
      <c r="A282" s="27" t="s">
        <v>145</v>
      </c>
      <c r="B282" s="26"/>
      <c r="C282" s="27" t="s">
        <v>254</v>
      </c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64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66" t="s">
        <v>392</v>
      </c>
      <c r="BV282" s="67"/>
      <c r="BW282" s="47"/>
      <c r="BX282" s="73"/>
      <c r="BY282" s="67"/>
      <c r="BZ282" s="78"/>
      <c r="CA282" s="78" t="s">
        <v>399</v>
      </c>
      <c r="CB282" s="47"/>
    </row>
    <row r="283" spans="1:87" ht="13.5" x14ac:dyDescent="0.7">
      <c r="A283" s="27" t="s">
        <v>144</v>
      </c>
      <c r="B283" s="26"/>
      <c r="C283" s="27" t="s">
        <v>254</v>
      </c>
      <c r="E283" s="32">
        <f t="shared" ref="E283:BS283" si="23">+E30</f>
        <v>120.030207387944</v>
      </c>
      <c r="F283" s="32">
        <f t="shared" si="23"/>
        <v>120.45004158572</v>
      </c>
      <c r="G283" s="32">
        <f t="shared" si="23"/>
        <v>120.33303029853801</v>
      </c>
      <c r="H283" s="32">
        <f t="shared" si="23"/>
        <v>119.66853722434</v>
      </c>
      <c r="I283" s="32">
        <f t="shared" si="23"/>
        <v>118.064171733764</v>
      </c>
      <c r="J283" s="32">
        <f t="shared" si="23"/>
        <v>116.92464601894</v>
      </c>
      <c r="K283" s="32">
        <f t="shared" si="23"/>
        <v>116.013683951693</v>
      </c>
      <c r="L283" s="32">
        <f t="shared" si="23"/>
        <v>115.53901380996101</v>
      </c>
      <c r="M283" s="32">
        <f t="shared" si="23"/>
        <v>115.878671822537</v>
      </c>
      <c r="N283" s="32">
        <f t="shared" si="23"/>
        <v>116.079936985053</v>
      </c>
      <c r="O283" s="32">
        <f t="shared" si="23"/>
        <v>116.18506403956501</v>
      </c>
      <c r="P283" s="32">
        <f t="shared" si="23"/>
        <v>115.87507926889501</v>
      </c>
      <c r="Q283" s="32">
        <f t="shared" si="23"/>
        <v>114.923156961206</v>
      </c>
      <c r="R283" s="32">
        <f t="shared" si="23"/>
        <v>113.463940478585</v>
      </c>
      <c r="S283" s="32">
        <f t="shared" si="23"/>
        <v>111.669074412409</v>
      </c>
      <c r="T283" s="32">
        <f t="shared" si="23"/>
        <v>109.85676690020099</v>
      </c>
      <c r="U283" s="32">
        <f t="shared" si="23"/>
        <v>107.92729788564</v>
      </c>
      <c r="V283" s="32">
        <f t="shared" si="23"/>
        <v>106.85193147894699</v>
      </c>
      <c r="W283" s="32">
        <f t="shared" si="23"/>
        <v>106.269135367904</v>
      </c>
      <c r="X283" s="32">
        <f t="shared" si="23"/>
        <v>106.096425489092</v>
      </c>
      <c r="Y283" s="32">
        <f t="shared" si="23"/>
        <v>106.425126559405</v>
      </c>
      <c r="Z283" s="32">
        <f t="shared" si="23"/>
        <v>106.697212421288</v>
      </c>
      <c r="AA283" s="32">
        <f t="shared" si="23"/>
        <v>107.075377597258</v>
      </c>
      <c r="AB283" s="32">
        <f t="shared" si="23"/>
        <v>107.547242350734</v>
      </c>
      <c r="AC283" s="32">
        <f t="shared" si="23"/>
        <v>108.22603664799701</v>
      </c>
      <c r="AD283" s="32">
        <f t="shared" si="23"/>
        <v>108.854121265822</v>
      </c>
      <c r="AE283" s="32">
        <f t="shared" si="23"/>
        <v>109.462341044986</v>
      </c>
      <c r="AF283" s="32">
        <f t="shared" si="23"/>
        <v>109.920845014755</v>
      </c>
      <c r="AG283" s="32">
        <f t="shared" si="23"/>
        <v>110.266878353785</v>
      </c>
      <c r="AH283" s="32">
        <f t="shared" si="23"/>
        <v>110.034846464491</v>
      </c>
      <c r="AI283" s="32">
        <f t="shared" si="23"/>
        <v>109.385500720563</v>
      </c>
      <c r="AJ283" s="32">
        <f t="shared" si="23"/>
        <v>108.420530648</v>
      </c>
      <c r="AK283" s="32">
        <f t="shared" si="23"/>
        <v>106.651519497612</v>
      </c>
      <c r="AL283" s="32">
        <f t="shared" si="23"/>
        <v>105.847145224695</v>
      </c>
      <c r="AM283" s="32">
        <f t="shared" si="23"/>
        <v>105.658935617563</v>
      </c>
      <c r="AN283" s="32">
        <f t="shared" si="23"/>
        <v>106.40311840908799</v>
      </c>
      <c r="AO283" s="32">
        <f t="shared" si="23"/>
        <v>108.464214634656</v>
      </c>
      <c r="AP283" s="32">
        <f t="shared" si="23"/>
        <v>111.319991889158</v>
      </c>
      <c r="AQ283" s="32">
        <f t="shared" si="23"/>
        <v>114.85981537618299</v>
      </c>
      <c r="AR283" s="32">
        <f t="shared" si="23"/>
        <v>118.544605745826</v>
      </c>
      <c r="AS283" s="32">
        <f t="shared" si="23"/>
        <v>122.773992911178</v>
      </c>
      <c r="AT283" s="32">
        <f t="shared" si="23"/>
        <v>125.01389110309</v>
      </c>
      <c r="AU283" s="32">
        <f t="shared" si="23"/>
        <v>126.024407053909</v>
      </c>
      <c r="AV283" s="32">
        <f t="shared" si="23"/>
        <v>125.89356413409899</v>
      </c>
      <c r="AW283" s="32">
        <f t="shared" si="23"/>
        <v>123.96072350239299</v>
      </c>
      <c r="AX283" s="32">
        <f t="shared" si="23"/>
        <v>122.88815470260801</v>
      </c>
      <c r="AY283" s="32">
        <f t="shared" si="23"/>
        <v>122.140339523671</v>
      </c>
      <c r="AZ283" s="32">
        <f t="shared" si="23"/>
        <v>122.021443805693</v>
      </c>
      <c r="BA283" s="32">
        <f t="shared" si="23"/>
        <v>122.937904797654</v>
      </c>
      <c r="BB283" s="32">
        <f t="shared" si="23"/>
        <v>123.835252850751</v>
      </c>
      <c r="BC283" s="32">
        <f t="shared" si="23"/>
        <v>124.742182685283</v>
      </c>
      <c r="BD283" s="32">
        <f t="shared" si="23"/>
        <v>125.342573068973</v>
      </c>
      <c r="BE283" s="32">
        <f t="shared" si="23"/>
        <v>125.412065878153</v>
      </c>
      <c r="BF283" s="32">
        <f t="shared" si="23"/>
        <v>125.223557592997</v>
      </c>
      <c r="BG283" s="32">
        <f t="shared" si="23"/>
        <v>124.91078772281401</v>
      </c>
      <c r="BH283" s="56">
        <f t="shared" si="23"/>
        <v>124.71045454960699</v>
      </c>
      <c r="BI283" s="32">
        <f t="shared" si="23"/>
        <v>124.775944231278</v>
      </c>
      <c r="BJ283" s="32">
        <f t="shared" si="23"/>
        <v>125.01133573064099</v>
      </c>
      <c r="BK283" s="32">
        <f t="shared" si="23"/>
        <v>125.28655943255499</v>
      </c>
      <c r="BL283" s="32">
        <f t="shared" si="23"/>
        <v>125.425113144143</v>
      </c>
      <c r="BM283" s="32">
        <f t="shared" si="23"/>
        <v>125.255825824979</v>
      </c>
      <c r="BN283" s="32">
        <f t="shared" si="23"/>
        <v>124.998640781143</v>
      </c>
      <c r="BO283" s="32">
        <f t="shared" si="23"/>
        <v>124.732867005318</v>
      </c>
      <c r="BP283" s="32">
        <f t="shared" si="23"/>
        <v>124.640775538448</v>
      </c>
      <c r="BQ283" s="32">
        <f t="shared" si="23"/>
        <v>124.86864664892801</v>
      </c>
      <c r="BR283" s="32">
        <f t="shared" si="23"/>
        <v>125.294860624904</v>
      </c>
      <c r="BS283" s="32">
        <f t="shared" si="23"/>
        <v>125.82029697042999</v>
      </c>
      <c r="BT283" s="32">
        <f t="shared" ref="BT283" si="24">+BT30</f>
        <v>126.272977400009</v>
      </c>
      <c r="BU283" s="51">
        <f>BT283</f>
        <v>126.272977400009</v>
      </c>
      <c r="BV283" s="41">
        <f t="shared" ref="BV283:CB283" si="25">BU283</f>
        <v>126.272977400009</v>
      </c>
      <c r="BW283" s="41">
        <f t="shared" si="25"/>
        <v>126.272977400009</v>
      </c>
      <c r="BX283" s="75">
        <f t="shared" si="25"/>
        <v>126.272977400009</v>
      </c>
      <c r="BY283" s="41">
        <f t="shared" si="25"/>
        <v>126.272977400009</v>
      </c>
      <c r="BZ283" s="41">
        <f t="shared" si="25"/>
        <v>126.272977400009</v>
      </c>
      <c r="CA283" s="41">
        <f t="shared" si="25"/>
        <v>126.272977400009</v>
      </c>
      <c r="CB283" s="41">
        <f t="shared" si="25"/>
        <v>126.272977400009</v>
      </c>
      <c r="CD283" s="18" t="s">
        <v>856</v>
      </c>
    </row>
    <row r="284" spans="1:87" ht="13.5" x14ac:dyDescent="0.7">
      <c r="A284" s="25" t="s">
        <v>255</v>
      </c>
      <c r="B284" s="26"/>
      <c r="C284" s="27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56"/>
      <c r="BI284" s="68" t="s">
        <v>393</v>
      </c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51"/>
      <c r="BV284" s="41"/>
      <c r="BW284" s="41"/>
      <c r="BX284" s="75"/>
      <c r="BY284" s="41"/>
      <c r="BZ284" s="41"/>
      <c r="CA284" s="41"/>
      <c r="CB284" s="41"/>
      <c r="CD284" s="18">
        <v>2026</v>
      </c>
      <c r="CE284" s="18">
        <f>+CD284+1</f>
        <v>2027</v>
      </c>
      <c r="CF284" s="18">
        <f t="shared" ref="CF284:CH284" si="26">+CE284+1</f>
        <v>2028</v>
      </c>
      <c r="CG284" s="18">
        <f t="shared" si="26"/>
        <v>2029</v>
      </c>
      <c r="CH284" s="18">
        <f t="shared" si="26"/>
        <v>2030</v>
      </c>
      <c r="CI284" s="4"/>
    </row>
    <row r="285" spans="1:87" ht="13.5" x14ac:dyDescent="0.7">
      <c r="A285" s="27" t="s">
        <v>135</v>
      </c>
      <c r="B285" s="26"/>
      <c r="C285" s="28" t="s">
        <v>256</v>
      </c>
      <c r="E285" s="96">
        <f>+E34</f>
        <v>242.843895549823</v>
      </c>
      <c r="F285" s="96">
        <f t="shared" ref="F285:BK286" si="27">+F34</f>
        <v>225.08664024186999</v>
      </c>
      <c r="G285" s="96">
        <f t="shared" si="27"/>
        <v>223.08500355817799</v>
      </c>
      <c r="H285" s="96">
        <f t="shared" si="27"/>
        <v>221.468364219009</v>
      </c>
      <c r="I285" s="96">
        <f t="shared" si="27"/>
        <v>227.321005980883</v>
      </c>
      <c r="J285" s="96">
        <f t="shared" si="27"/>
        <v>218.757537921824</v>
      </c>
      <c r="K285" s="96">
        <f t="shared" si="27"/>
        <v>229.53352049281301</v>
      </c>
      <c r="L285" s="96">
        <f t="shared" si="27"/>
        <v>227.90750656528999</v>
      </c>
      <c r="M285" s="96">
        <f t="shared" si="27"/>
        <v>229.464508504387</v>
      </c>
      <c r="N285" s="96">
        <f t="shared" si="27"/>
        <v>230.69254444135601</v>
      </c>
      <c r="O285" s="96">
        <f t="shared" si="27"/>
        <v>216.907707721816</v>
      </c>
      <c r="P285" s="96">
        <f t="shared" si="27"/>
        <v>172.21802084692999</v>
      </c>
      <c r="Q285" s="96">
        <f t="shared" si="27"/>
        <v>127.99715127952101</v>
      </c>
      <c r="R285" s="96">
        <f t="shared" si="27"/>
        <v>134.056398572967</v>
      </c>
      <c r="S285" s="96">
        <f t="shared" si="27"/>
        <v>113.730486322402</v>
      </c>
      <c r="T285" s="96">
        <f t="shared" si="27"/>
        <v>100.14444865305801</v>
      </c>
      <c r="U285" s="96">
        <f t="shared" si="27"/>
        <v>81.029943301720095</v>
      </c>
      <c r="V285" s="96">
        <f t="shared" si="27"/>
        <v>100.240128807945</v>
      </c>
      <c r="W285" s="96">
        <f t="shared" si="27"/>
        <v>103.26084167509001</v>
      </c>
      <c r="X285" s="96">
        <f t="shared" si="27"/>
        <v>115.469086215243</v>
      </c>
      <c r="Y285" s="96">
        <f t="shared" si="27"/>
        <v>123.072285690635</v>
      </c>
      <c r="Z285" s="96">
        <f t="shared" si="27"/>
        <v>113.86478712349</v>
      </c>
      <c r="AA285" s="96">
        <f t="shared" si="27"/>
        <v>118.156222212028</v>
      </c>
      <c r="AB285" s="96">
        <f t="shared" si="27"/>
        <v>138.10949676474601</v>
      </c>
      <c r="AC285" s="96">
        <f t="shared" si="27"/>
        <v>149.10555280992</v>
      </c>
      <c r="AD285" s="96">
        <f t="shared" si="27"/>
        <v>159.27654338550499</v>
      </c>
      <c r="AE285" s="96">
        <f t="shared" si="27"/>
        <v>166.74900264397201</v>
      </c>
      <c r="AF285" s="96">
        <f t="shared" si="27"/>
        <v>151.007929842441</v>
      </c>
      <c r="AG285" s="96">
        <f t="shared" si="27"/>
        <v>135.05368074227499</v>
      </c>
      <c r="AH285" s="96">
        <f t="shared" si="27"/>
        <v>134.13926837934</v>
      </c>
      <c r="AI285" s="96">
        <f t="shared" si="27"/>
        <v>121.76935135957901</v>
      </c>
      <c r="AJ285" s="96">
        <f t="shared" si="27"/>
        <v>126.177616297472</v>
      </c>
      <c r="AK285" s="96">
        <f t="shared" si="27"/>
        <v>102.808533248456</v>
      </c>
      <c r="AL285" s="96">
        <f t="shared" si="27"/>
        <v>68.766525057512297</v>
      </c>
      <c r="AM285" s="96">
        <f t="shared" si="27"/>
        <v>90.313762799734803</v>
      </c>
      <c r="AN285" s="96">
        <f t="shared" si="27"/>
        <v>104.930749402806</v>
      </c>
      <c r="AO285" s="96">
        <f t="shared" si="27"/>
        <v>139.41590968961199</v>
      </c>
      <c r="AP285" s="96">
        <f t="shared" si="27"/>
        <v>156.21544317047099</v>
      </c>
      <c r="AQ285" s="96">
        <f t="shared" si="27"/>
        <v>192.67849832809901</v>
      </c>
      <c r="AR285" s="96">
        <f t="shared" si="27"/>
        <v>244.04503960763699</v>
      </c>
      <c r="AS285" s="96">
        <f t="shared" si="27"/>
        <v>277.73650009523101</v>
      </c>
      <c r="AT285" s="96">
        <f t="shared" si="27"/>
        <v>311.77721241872302</v>
      </c>
      <c r="AU285" s="96">
        <f t="shared" si="27"/>
        <v>350.12388884559499</v>
      </c>
      <c r="AV285" s="96">
        <f t="shared" si="27"/>
        <v>258.40673529227797</v>
      </c>
      <c r="AW285" s="96">
        <f t="shared" si="27"/>
        <v>203.67137773532301</v>
      </c>
      <c r="AX285" s="96">
        <f t="shared" si="27"/>
        <v>175.80578664329701</v>
      </c>
      <c r="AY285" s="96">
        <f t="shared" si="27"/>
        <v>189.25054852504601</v>
      </c>
      <c r="AZ285" s="96">
        <f t="shared" si="27"/>
        <v>189.292346786492</v>
      </c>
      <c r="BA285" s="96">
        <f t="shared" si="27"/>
        <v>175.570639324886</v>
      </c>
      <c r="BB285" s="96">
        <f t="shared" si="27"/>
        <v>185.81747981729501</v>
      </c>
      <c r="BC285" s="96">
        <f t="shared" si="27"/>
        <v>179.36104370931801</v>
      </c>
      <c r="BD285" s="96">
        <f t="shared" si="27"/>
        <v>177.26559918951901</v>
      </c>
      <c r="BE285" s="96">
        <f t="shared" si="27"/>
        <v>181.507218607856</v>
      </c>
      <c r="BF285" s="96">
        <f t="shared" si="27"/>
        <v>160.24526998156</v>
      </c>
      <c r="BG285" s="96">
        <f t="shared" si="27"/>
        <v>160.398381146547</v>
      </c>
      <c r="BH285" s="97">
        <f t="shared" si="27"/>
        <v>150.39756646820399</v>
      </c>
      <c r="BI285" s="96">
        <f t="shared" si="27"/>
        <v>157.76916463095699</v>
      </c>
      <c r="BJ285" s="96">
        <f t="shared" ref="BJ285:BQ286" si="28">+BJ34</f>
        <v>156.449361296799</v>
      </c>
      <c r="BK285" s="96">
        <f t="shared" si="28"/>
        <v>155.17384618082099</v>
      </c>
      <c r="BL285" s="96">
        <f t="shared" si="28"/>
        <v>155.09821031889001</v>
      </c>
      <c r="BM285" s="96">
        <f t="shared" si="28"/>
        <v>154.718087450599</v>
      </c>
      <c r="BN285" s="96">
        <f t="shared" si="28"/>
        <v>148.00997307859399</v>
      </c>
      <c r="BO285" s="96">
        <f t="shared" si="28"/>
        <v>148.62900532581901</v>
      </c>
      <c r="BP285" s="96">
        <f t="shared" si="28"/>
        <v>150.908311243388</v>
      </c>
      <c r="BQ285" s="96">
        <f>+BP285*(1+$CF285/4)</f>
        <v>150.4846382389153</v>
      </c>
      <c r="BR285" s="96">
        <f t="shared" ref="BR285:BT285" si="29">+BQ285*(1+$CF285/4)</f>
        <v>150.06215469056491</v>
      </c>
      <c r="BS285" s="96">
        <f t="shared" si="29"/>
        <v>149.64085725895518</v>
      </c>
      <c r="BT285" s="96">
        <f t="shared" si="29"/>
        <v>149.22074261407971</v>
      </c>
      <c r="BU285" s="52">
        <f>+BT285*(1+$CG285/4)</f>
        <v>149.3176290629774</v>
      </c>
      <c r="BV285" s="53">
        <f t="shared" ref="BV285:CB287" si="30">+BU285*(1+$CG285/4)</f>
        <v>149.41457841857166</v>
      </c>
      <c r="BW285" s="53">
        <f t="shared" si="30"/>
        <v>149.51159072170677</v>
      </c>
      <c r="BX285" s="76">
        <f t="shared" si="30"/>
        <v>149.60866601325344</v>
      </c>
      <c r="BY285" s="53">
        <f t="shared" si="30"/>
        <v>149.70580433410896</v>
      </c>
      <c r="BZ285" s="53">
        <f t="shared" si="30"/>
        <v>149.80300572519718</v>
      </c>
      <c r="CA285" s="53">
        <f t="shared" si="30"/>
        <v>149.9002702274685</v>
      </c>
      <c r="CB285" s="53">
        <f t="shared" si="30"/>
        <v>149.99759788189991</v>
      </c>
      <c r="CD285" s="69">
        <f>'Complete DataSet A'!AH317/'Complete DataSet A'!AG317-1</f>
        <v>-4.299735041878372E-2</v>
      </c>
      <c r="CE285" s="69">
        <f>'Complete DataSet A'!AI317/'Complete DataSet A'!AH317-1</f>
        <v>-3.5589336259765569E-2</v>
      </c>
      <c r="CF285" s="69">
        <f>'Complete DataSet A'!AJ317/'Complete DataSet A'!AI317-1</f>
        <v>-1.1229944884596943E-2</v>
      </c>
      <c r="CG285" s="69">
        <f>'Complete DataSet A'!AK317/'Complete DataSet A'!AJ317-1</f>
        <v>2.5971308599708198E-3</v>
      </c>
      <c r="CH285" s="69">
        <f>'Complete DataSet A'!AL317/'Complete DataSet A'!AK317-1</f>
        <v>8.0363261736213776E-3</v>
      </c>
      <c r="CI285" s="70" t="str">
        <f>+A285</f>
        <v>Fuel</v>
      </c>
    </row>
    <row r="286" spans="1:87" ht="13.5" x14ac:dyDescent="0.7">
      <c r="A286" s="27" t="s">
        <v>137</v>
      </c>
      <c r="B286" s="26"/>
      <c r="C286" s="27" t="s">
        <v>257</v>
      </c>
      <c r="E286" s="32">
        <f>+E35</f>
        <v>112.41666185666099</v>
      </c>
      <c r="F286" s="32">
        <f t="shared" si="27"/>
        <v>103.003144697492</v>
      </c>
      <c r="G286" s="32">
        <f t="shared" si="27"/>
        <v>102.990684453228</v>
      </c>
      <c r="H286" s="32">
        <f t="shared" si="27"/>
        <v>101.975976953803</v>
      </c>
      <c r="I286" s="32">
        <f t="shared" si="27"/>
        <v>105.205773406947</v>
      </c>
      <c r="J286" s="32">
        <f t="shared" si="27"/>
        <v>99.367261967501094</v>
      </c>
      <c r="K286" s="32">
        <f t="shared" si="27"/>
        <v>107.44796526339999</v>
      </c>
      <c r="L286" s="32">
        <f t="shared" si="27"/>
        <v>104.66626105778199</v>
      </c>
      <c r="M286" s="32">
        <f t="shared" si="27"/>
        <v>103.80442247527</v>
      </c>
      <c r="N286" s="32">
        <f t="shared" si="27"/>
        <v>106.44512025012</v>
      </c>
      <c r="O286" s="32">
        <f t="shared" si="27"/>
        <v>100.46670932931799</v>
      </c>
      <c r="P286" s="32">
        <f t="shared" si="27"/>
        <v>74.588258454106196</v>
      </c>
      <c r="Q286" s="32">
        <f t="shared" si="27"/>
        <v>51.848595959595897</v>
      </c>
      <c r="R286" s="32">
        <f t="shared" si="27"/>
        <v>60.516113516113499</v>
      </c>
      <c r="S286" s="32">
        <f t="shared" si="27"/>
        <v>49.019454378150002</v>
      </c>
      <c r="T286" s="32">
        <f t="shared" si="27"/>
        <v>42.263525524395</v>
      </c>
      <c r="U286" s="32">
        <f t="shared" si="27"/>
        <v>33.1382654704393</v>
      </c>
      <c r="V286" s="32">
        <f t="shared" si="27"/>
        <v>45.288667628667604</v>
      </c>
      <c r="W286" s="32">
        <f t="shared" si="27"/>
        <v>45.107305456218498</v>
      </c>
      <c r="X286" s="32">
        <f t="shared" si="27"/>
        <v>49.521190476190398</v>
      </c>
      <c r="Y286" s="32">
        <f t="shared" si="27"/>
        <v>53.191375933245503</v>
      </c>
      <c r="Z286" s="32">
        <f t="shared" si="27"/>
        <v>49.663256258234497</v>
      </c>
      <c r="AA286" s="32">
        <f t="shared" si="27"/>
        <v>50.343225212790401</v>
      </c>
      <c r="AB286" s="32">
        <f t="shared" si="27"/>
        <v>58.712722462722397</v>
      </c>
      <c r="AC286" s="32">
        <f t="shared" si="27"/>
        <v>64.743637900746606</v>
      </c>
      <c r="AD286" s="32">
        <f t="shared" si="27"/>
        <v>71.646128364389199</v>
      </c>
      <c r="AE286" s="32">
        <f t="shared" si="27"/>
        <v>73.302795564338993</v>
      </c>
      <c r="AF286" s="32">
        <f t="shared" si="27"/>
        <v>64.437560909300004</v>
      </c>
      <c r="AG286" s="32">
        <f t="shared" si="27"/>
        <v>60.702674028065303</v>
      </c>
      <c r="AH286" s="32">
        <f t="shared" si="27"/>
        <v>64.985770092226602</v>
      </c>
      <c r="AI286" s="32">
        <f t="shared" si="27"/>
        <v>59.739888951627997</v>
      </c>
      <c r="AJ286" s="32">
        <f t="shared" si="27"/>
        <v>60.301003199698798</v>
      </c>
      <c r="AK286" s="32">
        <f t="shared" si="27"/>
        <v>49.096131971892802</v>
      </c>
      <c r="AL286" s="32">
        <f t="shared" si="27"/>
        <v>31.451851851851799</v>
      </c>
      <c r="AM286" s="32">
        <f t="shared" si="27"/>
        <v>42.312498692933403</v>
      </c>
      <c r="AN286" s="32">
        <f t="shared" si="27"/>
        <v>44.201507622811903</v>
      </c>
      <c r="AO286" s="32">
        <f t="shared" si="27"/>
        <v>59.648475385323202</v>
      </c>
      <c r="AP286" s="32">
        <f t="shared" si="27"/>
        <v>67.3508898508898</v>
      </c>
      <c r="AQ286" s="32">
        <f t="shared" si="27"/>
        <v>71.7073737373737</v>
      </c>
      <c r="AR286" s="32">
        <f t="shared" si="27"/>
        <v>78.293173766652004</v>
      </c>
      <c r="AS286" s="32">
        <f t="shared" si="27"/>
        <v>95.353100989187894</v>
      </c>
      <c r="AT286" s="32">
        <f t="shared" si="27"/>
        <v>109.423566618566</v>
      </c>
      <c r="AU286" s="32">
        <f t="shared" si="27"/>
        <v>95.474347616956194</v>
      </c>
      <c r="AV286" s="32">
        <f t="shared" si="27"/>
        <v>85.197222222222194</v>
      </c>
      <c r="AW286" s="32">
        <f t="shared" si="27"/>
        <v>79.560981554677099</v>
      </c>
      <c r="AX286" s="32">
        <f t="shared" si="27"/>
        <v>76.476929292929199</v>
      </c>
      <c r="AY286" s="32">
        <f t="shared" si="27"/>
        <v>84.926466528640404</v>
      </c>
      <c r="AZ286" s="32">
        <f t="shared" si="27"/>
        <v>81.415252525252498</v>
      </c>
      <c r="BA286" s="32">
        <f t="shared" si="27"/>
        <v>80.851637911203099</v>
      </c>
      <c r="BB286" s="32">
        <f t="shared" si="27"/>
        <v>84.423472771190106</v>
      </c>
      <c r="BC286" s="32">
        <f t="shared" si="27"/>
        <v>78.249594913942701</v>
      </c>
      <c r="BD286" s="32">
        <f t="shared" si="27"/>
        <v>73.158494886755705</v>
      </c>
      <c r="BE286" s="32">
        <f t="shared" si="27"/>
        <v>74.517561076604494</v>
      </c>
      <c r="BF286" s="32">
        <f t="shared" si="27"/>
        <v>66.296647426647397</v>
      </c>
      <c r="BG286" s="32">
        <f t="shared" si="27"/>
        <v>67.998834724052102</v>
      </c>
      <c r="BH286" s="56">
        <f t="shared" si="27"/>
        <v>62.134092007026801</v>
      </c>
      <c r="BI286" s="32">
        <f t="shared" si="27"/>
        <v>65.467435673333298</v>
      </c>
      <c r="BJ286" s="32">
        <f t="shared" si="27"/>
        <v>65.632106333333297</v>
      </c>
      <c r="BK286" s="32">
        <f t="shared" si="27"/>
        <v>64.360508444444406</v>
      </c>
      <c r="BL286" s="32">
        <f t="shared" si="28"/>
        <v>63.513439222222203</v>
      </c>
      <c r="BM286" s="32">
        <f t="shared" si="28"/>
        <v>63.001375000000003</v>
      </c>
      <c r="BN286" s="32">
        <f t="shared" si="28"/>
        <v>62.8572677777777</v>
      </c>
      <c r="BO286" s="32">
        <f t="shared" si="28"/>
        <v>62.866186444444402</v>
      </c>
      <c r="BP286" s="32">
        <f t="shared" si="28"/>
        <v>62.984757000000002</v>
      </c>
      <c r="BQ286" s="32">
        <f t="shared" ref="BQ286:BT287" si="31">+BP286*(1+$CF286/4)</f>
        <v>63.113045791396473</v>
      </c>
      <c r="BR286" s="32">
        <f t="shared" si="31"/>
        <v>63.241595884332902</v>
      </c>
      <c r="BS286" s="32">
        <f t="shared" si="31"/>
        <v>63.370407811034234</v>
      </c>
      <c r="BT286" s="32">
        <f t="shared" si="31"/>
        <v>63.499482104809459</v>
      </c>
      <c r="BU286" s="32">
        <f t="shared" ref="BU286:BU287" si="32">+BT286*(1+$CG286/4)</f>
        <v>63.747166491345105</v>
      </c>
      <c r="BV286" s="32">
        <f t="shared" si="30"/>
        <v>63.995816988993788</v>
      </c>
      <c r="BW286" s="32">
        <f t="shared" si="30"/>
        <v>64.245437366142752</v>
      </c>
      <c r="BX286" s="56">
        <f t="shared" si="30"/>
        <v>64.496031405878114</v>
      </c>
      <c r="BY286" s="32">
        <f t="shared" si="30"/>
        <v>64.747602906042189</v>
      </c>
      <c r="BZ286" s="32">
        <f t="shared" si="30"/>
        <v>65.000155679291055</v>
      </c>
      <c r="CA286" s="32">
        <f t="shared" si="30"/>
        <v>65.253693553152345</v>
      </c>
      <c r="CB286" s="32">
        <f t="shared" si="30"/>
        <v>65.508220370083237</v>
      </c>
      <c r="CD286" s="69">
        <f>'Complete DataSet A'!AH318/'Complete DataSet A'!AG318-1</f>
        <v>-4.4191814579039979E-2</v>
      </c>
      <c r="CE286" s="69">
        <f>'Complete DataSet A'!AI318/'Complete DataSet A'!AH318-1</f>
        <v>-2.8048830250053003E-2</v>
      </c>
      <c r="CF286" s="69">
        <f>'Complete DataSet A'!AJ318/'Complete DataSet A'!AI318-1</f>
        <v>8.1472913452040885E-3</v>
      </c>
      <c r="CG286" s="69">
        <f>'Complete DataSet A'!AK318/'Complete DataSet A'!AJ318-1</f>
        <v>1.5602293330633676E-2</v>
      </c>
      <c r="CH286" s="69">
        <f>'Complete DataSet A'!AL318/'Complete DataSet A'!AK318-1</f>
        <v>1.1711425055274116E-2</v>
      </c>
      <c r="CI286" s="4" t="str">
        <f t="shared" ref="CI286:CI287" si="33">+A286</f>
        <v xml:space="preserve">   Petroleum spot price (APSP; US$)</v>
      </c>
    </row>
    <row r="287" spans="1:87" ht="13.5" x14ac:dyDescent="0.7">
      <c r="A287" s="27" t="s">
        <v>140</v>
      </c>
      <c r="B287" s="26"/>
      <c r="C287" s="28" t="s">
        <v>256</v>
      </c>
      <c r="E287" s="96">
        <f>+E40</f>
        <v>119.151550710325</v>
      </c>
      <c r="F287" s="96">
        <f t="shared" ref="F287:BP287" si="34">+F40</f>
        <v>117.459889235277</v>
      </c>
      <c r="G287" s="96">
        <f t="shared" si="34"/>
        <v>123.57621998352499</v>
      </c>
      <c r="H287" s="96">
        <f t="shared" si="34"/>
        <v>120.89542401369501</v>
      </c>
      <c r="I287" s="96">
        <f t="shared" si="34"/>
        <v>121.69744436821</v>
      </c>
      <c r="J287" s="96">
        <f t="shared" si="34"/>
        <v>125.062702079536</v>
      </c>
      <c r="K287" s="96">
        <f t="shared" si="34"/>
        <v>119.119316725435</v>
      </c>
      <c r="L287" s="96">
        <f t="shared" si="34"/>
        <v>115.979515047365</v>
      </c>
      <c r="M287" s="96">
        <f t="shared" si="34"/>
        <v>122.28920432723</v>
      </c>
      <c r="N287" s="96">
        <f t="shared" si="34"/>
        <v>126.184761186551</v>
      </c>
      <c r="O287" s="96">
        <f t="shared" si="34"/>
        <v>115.400103887082</v>
      </c>
      <c r="P287" s="96">
        <f t="shared" si="34"/>
        <v>110.557759746532</v>
      </c>
      <c r="Q287" s="96">
        <f t="shared" si="34"/>
        <v>101.795663535228</v>
      </c>
      <c r="R287" s="96">
        <f t="shared" si="34"/>
        <v>100.601121057836</v>
      </c>
      <c r="S287" s="96">
        <f t="shared" si="34"/>
        <v>97.833033052715905</v>
      </c>
      <c r="T287" s="96">
        <f t="shared" si="34"/>
        <v>93.9721539140901</v>
      </c>
      <c r="U287" s="96">
        <f t="shared" si="34"/>
        <v>94.271838532230305</v>
      </c>
      <c r="V287" s="96">
        <f t="shared" si="34"/>
        <v>101.70830169870101</v>
      </c>
      <c r="W287" s="96">
        <f t="shared" si="34"/>
        <v>102.563132346039</v>
      </c>
      <c r="X287" s="96">
        <f t="shared" si="34"/>
        <v>101.45672742302899</v>
      </c>
      <c r="Y287" s="96">
        <f t="shared" si="34"/>
        <v>105.641112082113</v>
      </c>
      <c r="Z287" s="96">
        <f t="shared" si="34"/>
        <v>104.137546575524</v>
      </c>
      <c r="AA287" s="96">
        <f t="shared" si="34"/>
        <v>103.226240190767</v>
      </c>
      <c r="AB287" s="96">
        <f t="shared" si="34"/>
        <v>102.05009160353001</v>
      </c>
      <c r="AC287" s="96">
        <f t="shared" si="34"/>
        <v>106.163615742876</v>
      </c>
      <c r="AD287" s="96">
        <f t="shared" si="34"/>
        <v>106.40358337518801</v>
      </c>
      <c r="AE287" s="96">
        <f t="shared" si="34"/>
        <v>99.097787853622606</v>
      </c>
      <c r="AF287" s="96">
        <f t="shared" si="34"/>
        <v>98.327503925840603</v>
      </c>
      <c r="AG287" s="96">
        <f t="shared" si="34"/>
        <v>99.124545279270905</v>
      </c>
      <c r="AH287" s="96">
        <f t="shared" si="34"/>
        <v>99.944002140690401</v>
      </c>
      <c r="AI287" s="96">
        <f t="shared" si="34"/>
        <v>98.188327501000202</v>
      </c>
      <c r="AJ287" s="96">
        <f t="shared" si="34"/>
        <v>100.20969880976099</v>
      </c>
      <c r="AK287" s="96">
        <f t="shared" si="34"/>
        <v>101.275335679017</v>
      </c>
      <c r="AL287" s="96">
        <f t="shared" si="34"/>
        <v>96.413058561458996</v>
      </c>
      <c r="AM287" s="96">
        <f t="shared" si="34"/>
        <v>98.723000339574895</v>
      </c>
      <c r="AN287" s="96">
        <f t="shared" si="34"/>
        <v>107.929748164622</v>
      </c>
      <c r="AO287" s="96">
        <f t="shared" si="34"/>
        <v>119.73264721564099</v>
      </c>
      <c r="AP287" s="96">
        <f t="shared" si="34"/>
        <v>131.76672395669999</v>
      </c>
      <c r="AQ287" s="96">
        <f t="shared" si="34"/>
        <v>129.80133303535399</v>
      </c>
      <c r="AR287" s="96">
        <f t="shared" si="34"/>
        <v>132.158009812638</v>
      </c>
      <c r="AS287" s="96">
        <f t="shared" si="34"/>
        <v>150.49857059155099</v>
      </c>
      <c r="AT287" s="96">
        <f t="shared" si="34"/>
        <v>161.492207751601</v>
      </c>
      <c r="AU287" s="96">
        <f t="shared" si="34"/>
        <v>140.030820676839</v>
      </c>
      <c r="AV287" s="96">
        <f t="shared" si="34"/>
        <v>137.58854973079201</v>
      </c>
      <c r="AW287" s="96">
        <f t="shared" si="34"/>
        <v>142.40391183100499</v>
      </c>
      <c r="AX287" s="96">
        <f t="shared" si="34"/>
        <v>140.273528420036</v>
      </c>
      <c r="AY287" s="96">
        <f t="shared" si="34"/>
        <v>133.02025995426499</v>
      </c>
      <c r="AZ287" s="96">
        <f t="shared" si="34"/>
        <v>134.01358432051401</v>
      </c>
      <c r="BA287" s="96">
        <f t="shared" si="34"/>
        <v>135.213067979474</v>
      </c>
      <c r="BB287" s="96">
        <f t="shared" si="34"/>
        <v>135.31332726787201</v>
      </c>
      <c r="BC287" s="96">
        <f t="shared" si="34"/>
        <v>129.241687299901</v>
      </c>
      <c r="BD287" s="96">
        <f t="shared" si="34"/>
        <v>132.78054779983501</v>
      </c>
      <c r="BE287" s="96">
        <f t="shared" si="34"/>
        <v>132.15976550393901</v>
      </c>
      <c r="BF287" s="96">
        <f t="shared" si="34"/>
        <v>126.75013636186</v>
      </c>
      <c r="BG287" s="96">
        <f t="shared" si="34"/>
        <v>125.505232333946</v>
      </c>
      <c r="BH287" s="97">
        <f t="shared" si="34"/>
        <v>123.844390708443</v>
      </c>
      <c r="BI287" s="96">
        <f t="shared" si="34"/>
        <v>126.980480668038</v>
      </c>
      <c r="BJ287" s="96">
        <f t="shared" si="34"/>
        <v>133.92533302935601</v>
      </c>
      <c r="BK287" s="96">
        <f t="shared" si="34"/>
        <v>131.37672026219801</v>
      </c>
      <c r="BL287" s="96">
        <f t="shared" si="34"/>
        <v>129.67508999018099</v>
      </c>
      <c r="BM287" s="96">
        <f t="shared" si="34"/>
        <v>132.63836355339799</v>
      </c>
      <c r="BN287" s="96">
        <f t="shared" si="34"/>
        <v>133.60240974655099</v>
      </c>
      <c r="BO287" s="96">
        <f t="shared" si="34"/>
        <v>130.75409223377801</v>
      </c>
      <c r="BP287" s="96">
        <f t="shared" si="34"/>
        <v>130.00337999427799</v>
      </c>
      <c r="BQ287" s="96">
        <f t="shared" si="31"/>
        <v>130.06082540118254</v>
      </c>
      <c r="BR287" s="96">
        <f t="shared" si="31"/>
        <v>130.11829619184846</v>
      </c>
      <c r="BS287" s="96">
        <f t="shared" si="31"/>
        <v>130.17579237749223</v>
      </c>
      <c r="BT287" s="96">
        <f t="shared" si="31"/>
        <v>130.23331396933528</v>
      </c>
      <c r="BU287" s="52">
        <f t="shared" si="32"/>
        <v>130.05528408027862</v>
      </c>
      <c r="BV287" s="53">
        <f t="shared" si="30"/>
        <v>129.87749755937742</v>
      </c>
      <c r="BW287" s="53">
        <f t="shared" si="30"/>
        <v>129.69995407394561</v>
      </c>
      <c r="BX287" s="76">
        <f t="shared" si="30"/>
        <v>129.52265329175194</v>
      </c>
      <c r="BY287" s="53">
        <f t="shared" si="30"/>
        <v>129.34559488101931</v>
      </c>
      <c r="BZ287" s="53">
        <f t="shared" si="30"/>
        <v>129.16877851042418</v>
      </c>
      <c r="CA287" s="53">
        <f t="shared" si="30"/>
        <v>128.99220384909592</v>
      </c>
      <c r="CB287" s="53">
        <f t="shared" si="30"/>
        <v>128.81587056661618</v>
      </c>
      <c r="CD287" s="69">
        <f>'Complete DataSet A'!AH319/'Complete DataSet A'!AG319-1</f>
        <v>2.6950993282533142E-2</v>
      </c>
      <c r="CE287" s="69">
        <f>'Complete DataSet A'!AI319/'Complete DataSet A'!AH319-1</f>
        <v>9.7406700106772437E-3</v>
      </c>
      <c r="CF287" s="69">
        <f>'Complete DataSet A'!AJ319/'Complete DataSet A'!AI319-1</f>
        <v>1.7675050266263703E-3</v>
      </c>
      <c r="CG287" s="69">
        <f>'Complete DataSet A'!AK319/'Complete DataSet A'!AJ319-1</f>
        <v>-5.4680291434057171E-3</v>
      </c>
      <c r="CH287" s="69">
        <f>'Complete DataSet A'!AL319/'Complete DataSet A'!AK319-1</f>
        <v>-3.9400084057056306E-3</v>
      </c>
      <c r="CI287" s="70" t="str">
        <f t="shared" si="33"/>
        <v xml:space="preserve">   Food</v>
      </c>
    </row>
    <row r="288" spans="1:87" ht="13.5" x14ac:dyDescent="0.7">
      <c r="A288" s="27" t="s">
        <v>142</v>
      </c>
      <c r="B288" s="26"/>
      <c r="C288" s="28" t="s">
        <v>256</v>
      </c>
      <c r="E288" s="96">
        <f>+E42</f>
        <v>136.696382126305</v>
      </c>
      <c r="F288" s="96">
        <f t="shared" ref="F288:BQ289" si="35">+F42</f>
        <v>131.49743037114999</v>
      </c>
      <c r="G288" s="96">
        <f t="shared" si="35"/>
        <v>122.011240402041</v>
      </c>
      <c r="H288" s="96">
        <f t="shared" si="35"/>
        <v>123.36946189547299</v>
      </c>
      <c r="I288" s="96">
        <f t="shared" si="35"/>
        <v>125.23645775067899</v>
      </c>
      <c r="J288" s="96">
        <f t="shared" si="35"/>
        <v>124.954018717678</v>
      </c>
      <c r="K288" s="96">
        <f t="shared" si="35"/>
        <v>119.522310153516</v>
      </c>
      <c r="L288" s="96">
        <f t="shared" si="35"/>
        <v>119.293149341722</v>
      </c>
      <c r="M288" s="96">
        <f t="shared" si="35"/>
        <v>119.291244297289</v>
      </c>
      <c r="N288" s="96">
        <f t="shared" si="35"/>
        <v>117.42837312118699</v>
      </c>
      <c r="O288" s="96">
        <f t="shared" si="35"/>
        <v>109.78593165557101</v>
      </c>
      <c r="P288" s="96">
        <f t="shared" si="35"/>
        <v>105.10042015265</v>
      </c>
      <c r="Q288" s="96">
        <f t="shared" si="35"/>
        <v>104.094744493747</v>
      </c>
      <c r="R288" s="96">
        <f t="shared" si="35"/>
        <v>104.666543083069</v>
      </c>
      <c r="S288" s="96">
        <f t="shared" si="35"/>
        <v>97.545961233562807</v>
      </c>
      <c r="T288" s="96">
        <f t="shared" si="35"/>
        <v>94.406890517510902</v>
      </c>
      <c r="U288" s="96">
        <f t="shared" si="35"/>
        <v>94.569023303350804</v>
      </c>
      <c r="V288" s="96">
        <f t="shared" si="35"/>
        <v>100.580522892178</v>
      </c>
      <c r="W288" s="96">
        <f t="shared" si="35"/>
        <v>101.847906978979</v>
      </c>
      <c r="X288" s="96">
        <f t="shared" si="35"/>
        <v>103.002546825491</v>
      </c>
      <c r="Y288" s="96">
        <f t="shared" si="35"/>
        <v>109.684141605514</v>
      </c>
      <c r="Z288" s="96">
        <f t="shared" si="35"/>
        <v>106.639678526626</v>
      </c>
      <c r="AA288" s="96">
        <f t="shared" si="35"/>
        <v>103.00231902985399</v>
      </c>
      <c r="AB288" s="96">
        <f t="shared" si="35"/>
        <v>102.208013546205</v>
      </c>
      <c r="AC288" s="96">
        <f t="shared" si="35"/>
        <v>110.315569564969</v>
      </c>
      <c r="AD288" s="96">
        <f t="shared" si="35"/>
        <v>110.188796157271</v>
      </c>
      <c r="AE288" s="96">
        <f t="shared" si="35"/>
        <v>106.631990865451</v>
      </c>
      <c r="AF288" s="96">
        <f t="shared" si="35"/>
        <v>102.826486981538</v>
      </c>
      <c r="AG288" s="96">
        <f t="shared" si="35"/>
        <v>104.520903169294</v>
      </c>
      <c r="AH288" s="96">
        <f t="shared" si="35"/>
        <v>105.26022255402</v>
      </c>
      <c r="AI288" s="96">
        <f t="shared" si="35"/>
        <v>98.754405496420702</v>
      </c>
      <c r="AJ288" s="96">
        <f t="shared" si="35"/>
        <v>98.111809165460897</v>
      </c>
      <c r="AK288" s="96">
        <f t="shared" si="35"/>
        <v>98.870199063315596</v>
      </c>
      <c r="AL288" s="96">
        <f t="shared" si="35"/>
        <v>91.973478077030094</v>
      </c>
      <c r="AM288" s="96">
        <f t="shared" si="35"/>
        <v>95.308470519232401</v>
      </c>
      <c r="AN288" s="96">
        <f t="shared" si="35"/>
        <v>106.61854405430201</v>
      </c>
      <c r="AO288" s="96">
        <f t="shared" si="35"/>
        <v>112.06541680617001</v>
      </c>
      <c r="AP288" s="96">
        <f t="shared" si="35"/>
        <v>116.91769192589</v>
      </c>
      <c r="AQ288" s="96">
        <f t="shared" si="35"/>
        <v>110.336348908939</v>
      </c>
      <c r="AR288" s="96">
        <f t="shared" si="35"/>
        <v>114.20581187027101</v>
      </c>
      <c r="AS288" s="96">
        <f t="shared" si="35"/>
        <v>125.33964269250799</v>
      </c>
      <c r="AT288" s="96">
        <f t="shared" si="35"/>
        <v>132.83885090676301</v>
      </c>
      <c r="AU288" s="96">
        <f t="shared" si="35"/>
        <v>115.97340382717699</v>
      </c>
      <c r="AV288" s="96">
        <f t="shared" si="35"/>
        <v>105.41970777407801</v>
      </c>
      <c r="AW288" s="96">
        <f t="shared" si="35"/>
        <v>102.611150253982</v>
      </c>
      <c r="AX288" s="96">
        <f t="shared" si="35"/>
        <v>100.773471897218</v>
      </c>
      <c r="AY288" s="96">
        <f t="shared" si="35"/>
        <v>101.207460720548</v>
      </c>
      <c r="AZ288" s="96">
        <f t="shared" si="35"/>
        <v>100.353581864417</v>
      </c>
      <c r="BA288" s="96">
        <f t="shared" si="35"/>
        <v>108.130336037803</v>
      </c>
      <c r="BB288" s="96">
        <f t="shared" si="35"/>
        <v>104.92739848786501</v>
      </c>
      <c r="BC288" s="96">
        <f t="shared" si="35"/>
        <v>104.64532739933701</v>
      </c>
      <c r="BD288" s="96">
        <f t="shared" si="35"/>
        <v>104.73032604743101</v>
      </c>
      <c r="BE288" s="96">
        <f t="shared" si="35"/>
        <v>104.709654357199</v>
      </c>
      <c r="BF288" s="96">
        <f t="shared" si="35"/>
        <v>104.770997408765</v>
      </c>
      <c r="BG288" s="96">
        <f t="shared" si="35"/>
        <v>104.278781101775</v>
      </c>
      <c r="BH288" s="97">
        <f t="shared" si="35"/>
        <v>100.442419969691</v>
      </c>
      <c r="BI288" s="96">
        <f t="shared" ref="BI288:BP288" si="36">+BI42</f>
        <v>97.123861409399694</v>
      </c>
      <c r="BJ288" s="96">
        <f t="shared" si="36"/>
        <v>98.854746158705893</v>
      </c>
      <c r="BK288" s="96">
        <f t="shared" si="36"/>
        <v>99.721909985348205</v>
      </c>
      <c r="BL288" s="96">
        <f t="shared" si="36"/>
        <v>100.589861154769</v>
      </c>
      <c r="BM288" s="96">
        <f t="shared" si="36"/>
        <v>101.27507469138899</v>
      </c>
      <c r="BN288" s="96">
        <f t="shared" si="36"/>
        <v>101.459701833658</v>
      </c>
      <c r="BO288" s="96">
        <f t="shared" si="36"/>
        <v>101.566439399161</v>
      </c>
      <c r="BP288" s="96">
        <f t="shared" si="36"/>
        <v>101.202954715834</v>
      </c>
      <c r="BQ288" s="96">
        <f t="shared" si="35"/>
        <v>0</v>
      </c>
      <c r="BR288" s="96">
        <f t="shared" ref="BR288:CB289" si="37">+BR42</f>
        <v>0</v>
      </c>
      <c r="BS288" s="96">
        <f t="shared" si="37"/>
        <v>0</v>
      </c>
      <c r="BT288" s="96">
        <f t="shared" si="37"/>
        <v>0</v>
      </c>
      <c r="BU288" s="52">
        <f t="shared" si="37"/>
        <v>0</v>
      </c>
      <c r="BV288" s="53">
        <f t="shared" si="37"/>
        <v>0</v>
      </c>
      <c r="BW288" s="53">
        <f t="shared" si="37"/>
        <v>0</v>
      </c>
      <c r="BX288" s="76">
        <f t="shared" si="37"/>
        <v>0</v>
      </c>
      <c r="BY288" s="53">
        <f t="shared" si="37"/>
        <v>0</v>
      </c>
      <c r="BZ288" s="53">
        <f t="shared" si="37"/>
        <v>0</v>
      </c>
      <c r="CA288" s="53">
        <f t="shared" si="37"/>
        <v>0</v>
      </c>
      <c r="CB288" s="53">
        <f t="shared" si="37"/>
        <v>0</v>
      </c>
    </row>
    <row r="289" spans="1:85" ht="13.5" x14ac:dyDescent="0.7">
      <c r="A289" s="27" t="s">
        <v>143</v>
      </c>
      <c r="B289" s="26"/>
      <c r="C289" s="28" t="s">
        <v>256</v>
      </c>
      <c r="E289" s="96">
        <f>+E43</f>
        <v>160.21553195102101</v>
      </c>
      <c r="F289" s="96">
        <f t="shared" si="35"/>
        <v>149.12727935628899</v>
      </c>
      <c r="G289" s="96">
        <f t="shared" si="35"/>
        <v>143.56007168915301</v>
      </c>
      <c r="H289" s="96">
        <f t="shared" si="35"/>
        <v>147.309754635627</v>
      </c>
      <c r="I289" s="96">
        <f t="shared" si="35"/>
        <v>148.65161504948301</v>
      </c>
      <c r="J289" s="96">
        <f t="shared" si="35"/>
        <v>134.94336623497799</v>
      </c>
      <c r="K289" s="96">
        <f t="shared" si="35"/>
        <v>131.09004376171899</v>
      </c>
      <c r="L289" s="96">
        <f t="shared" si="35"/>
        <v>132.01450781328401</v>
      </c>
      <c r="M289" s="96">
        <f t="shared" si="35"/>
        <v>131.97589662585401</v>
      </c>
      <c r="N289" s="96">
        <f t="shared" si="35"/>
        <v>138.970129743168</v>
      </c>
      <c r="O289" s="96">
        <f t="shared" si="35"/>
        <v>143.61827055485401</v>
      </c>
      <c r="P289" s="96">
        <f t="shared" si="35"/>
        <v>132.23173350846301</v>
      </c>
      <c r="Q289" s="96">
        <f t="shared" si="35"/>
        <v>116.43545578022599</v>
      </c>
      <c r="R289" s="96">
        <f t="shared" si="35"/>
        <v>113.351430968904</v>
      </c>
      <c r="S289" s="96">
        <f t="shared" si="35"/>
        <v>101.19706716184599</v>
      </c>
      <c r="T289" s="96">
        <f t="shared" si="35"/>
        <v>91.434035229744694</v>
      </c>
      <c r="U289" s="96">
        <f t="shared" si="35"/>
        <v>90.500301970199402</v>
      </c>
      <c r="V289" s="96">
        <f t="shared" si="35"/>
        <v>96.636711520545404</v>
      </c>
      <c r="W289" s="96">
        <f t="shared" si="35"/>
        <v>100.89638593509</v>
      </c>
      <c r="X289" s="96">
        <f t="shared" si="35"/>
        <v>111.966600574164</v>
      </c>
      <c r="Y289" s="96">
        <f t="shared" si="35"/>
        <v>125.76864477216699</v>
      </c>
      <c r="Z289" s="96">
        <f t="shared" si="35"/>
        <v>112.805883048769</v>
      </c>
      <c r="AA289" s="96">
        <f t="shared" si="35"/>
        <v>123.43509285454699</v>
      </c>
      <c r="AB289" s="96">
        <f t="shared" si="35"/>
        <v>126.74514466337</v>
      </c>
      <c r="AC289" s="96">
        <f t="shared" si="35"/>
        <v>135.56567123324999</v>
      </c>
      <c r="AD289" s="96">
        <f t="shared" si="35"/>
        <v>134.51856268775299</v>
      </c>
      <c r="AE289" s="96">
        <f t="shared" si="35"/>
        <v>125.51079880402899</v>
      </c>
      <c r="AF289" s="96">
        <f t="shared" si="35"/>
        <v>125.554259015737</v>
      </c>
      <c r="AG289" s="96">
        <f t="shared" si="35"/>
        <v>131.94420575435001</v>
      </c>
      <c r="AH289" s="96">
        <f t="shared" si="35"/>
        <v>140.08870212055501</v>
      </c>
      <c r="AI289" s="96">
        <f t="shared" si="35"/>
        <v>138.606575401258</v>
      </c>
      <c r="AJ289" s="96">
        <f t="shared" si="35"/>
        <v>130.64183762292001</v>
      </c>
      <c r="AK289" s="96">
        <f t="shared" si="35"/>
        <v>126.764676032964</v>
      </c>
      <c r="AL289" s="96">
        <f t="shared" si="35"/>
        <v>123.182146279547</v>
      </c>
      <c r="AM289" s="96">
        <f t="shared" si="35"/>
        <v>147.01823824176901</v>
      </c>
      <c r="AN289" s="96">
        <f t="shared" si="35"/>
        <v>163.07507277840301</v>
      </c>
      <c r="AO289" s="96">
        <f t="shared" si="35"/>
        <v>193.60173569841399</v>
      </c>
      <c r="AP289" s="96">
        <f t="shared" si="35"/>
        <v>224.860677022961</v>
      </c>
      <c r="AQ289" s="96">
        <f t="shared" si="35"/>
        <v>214.14888192772199</v>
      </c>
      <c r="AR289" s="96">
        <f t="shared" si="35"/>
        <v>189.03886555230201</v>
      </c>
      <c r="AS289" s="96">
        <f t="shared" si="35"/>
        <v>219.655490298236</v>
      </c>
      <c r="AT289" s="96">
        <f t="shared" si="35"/>
        <v>213.261418766068</v>
      </c>
      <c r="AU289" s="96">
        <f t="shared" si="35"/>
        <v>171.022762368553</v>
      </c>
      <c r="AV289" s="96">
        <f t="shared" si="35"/>
        <v>171.64084338089299</v>
      </c>
      <c r="AW289" s="96">
        <f t="shared" si="35"/>
        <v>203.83514554282999</v>
      </c>
      <c r="AX289" s="96">
        <f t="shared" si="35"/>
        <v>184.230228455819</v>
      </c>
      <c r="AY289" s="96">
        <f t="shared" si="35"/>
        <v>179.609582617591</v>
      </c>
      <c r="AZ289" s="96">
        <f t="shared" si="35"/>
        <v>186.51531753741</v>
      </c>
      <c r="BA289" s="96">
        <f t="shared" si="35"/>
        <v>184.56476162432301</v>
      </c>
      <c r="BB289" s="96">
        <f t="shared" si="35"/>
        <v>192.18493326746301</v>
      </c>
      <c r="BC289" s="96">
        <f t="shared" si="35"/>
        <v>179.174484212745</v>
      </c>
      <c r="BD289" s="96">
        <f t="shared" si="35"/>
        <v>183.87374062308601</v>
      </c>
      <c r="BE289" s="96">
        <f t="shared" si="35"/>
        <v>184.931369304263</v>
      </c>
      <c r="BF289" s="96">
        <f t="shared" si="35"/>
        <v>178.55896798378001</v>
      </c>
      <c r="BG289" s="96">
        <f t="shared" si="35"/>
        <v>187.19073726263599</v>
      </c>
      <c r="BH289" s="97">
        <f t="shared" si="35"/>
        <v>204.62070388202099</v>
      </c>
      <c r="BI289" s="96">
        <f t="shared" ref="BI289:BQ289" si="38">+BI43</f>
        <v>218.615726703245</v>
      </c>
      <c r="BJ289" s="96">
        <f t="shared" si="38"/>
        <v>217.0214033359</v>
      </c>
      <c r="BK289" s="96">
        <f t="shared" si="38"/>
        <v>217.287448317996</v>
      </c>
      <c r="BL289" s="96">
        <f t="shared" si="38"/>
        <v>217.04997583300599</v>
      </c>
      <c r="BM289" s="96">
        <f t="shared" si="38"/>
        <v>216.72057682806201</v>
      </c>
      <c r="BN289" s="96">
        <f t="shared" si="38"/>
        <v>216.78930995176299</v>
      </c>
      <c r="BO289" s="96">
        <f t="shared" si="38"/>
        <v>216.63311190979601</v>
      </c>
      <c r="BP289" s="96">
        <f t="shared" si="38"/>
        <v>216.32412017125401</v>
      </c>
      <c r="BQ289" s="96">
        <f t="shared" si="38"/>
        <v>0</v>
      </c>
      <c r="BR289" s="96">
        <f t="shared" si="37"/>
        <v>0</v>
      </c>
      <c r="BS289" s="96">
        <f t="shared" si="37"/>
        <v>0</v>
      </c>
      <c r="BT289" s="96">
        <f t="shared" si="37"/>
        <v>0</v>
      </c>
      <c r="BU289" s="52">
        <f t="shared" si="37"/>
        <v>0</v>
      </c>
      <c r="BV289" s="53">
        <f t="shared" si="37"/>
        <v>0</v>
      </c>
      <c r="BW289" s="53">
        <f t="shared" si="37"/>
        <v>0</v>
      </c>
      <c r="BX289" s="76">
        <f t="shared" si="37"/>
        <v>0</v>
      </c>
      <c r="BY289" s="53">
        <f t="shared" si="37"/>
        <v>0</v>
      </c>
      <c r="BZ289" s="53">
        <f t="shared" si="37"/>
        <v>0</v>
      </c>
      <c r="CA289" s="53">
        <f t="shared" si="37"/>
        <v>0</v>
      </c>
      <c r="CB289" s="53">
        <f t="shared" si="37"/>
        <v>0</v>
      </c>
      <c r="CD289" s="5"/>
    </row>
    <row r="290" spans="1:85" ht="13.5" x14ac:dyDescent="0.7">
      <c r="A290" s="27" t="s">
        <v>270</v>
      </c>
      <c r="B290" s="26"/>
      <c r="C290" s="27" t="s">
        <v>258</v>
      </c>
      <c r="E290" s="32">
        <f>+E80</f>
        <v>220.87344877344799</v>
      </c>
      <c r="F290" s="32">
        <f t="shared" ref="F290:BQ290" si="39">+F80</f>
        <v>181.500006901311</v>
      </c>
      <c r="G290" s="32">
        <f t="shared" si="39"/>
        <v>181.41575230566499</v>
      </c>
      <c r="H290" s="32">
        <f t="shared" si="39"/>
        <v>161.97712466277599</v>
      </c>
      <c r="I290" s="32">
        <f t="shared" si="39"/>
        <v>152.10149551414699</v>
      </c>
      <c r="J290" s="32">
        <f t="shared" si="39"/>
        <v>145.077468379446</v>
      </c>
      <c r="K290" s="32">
        <f t="shared" si="39"/>
        <v>135.274303594955</v>
      </c>
      <c r="L290" s="32">
        <f t="shared" si="39"/>
        <v>125.484081811907</v>
      </c>
      <c r="M290" s="32">
        <f t="shared" si="39"/>
        <v>173.41614251207699</v>
      </c>
      <c r="N290" s="32">
        <f t="shared" si="39"/>
        <v>211.86259018759</v>
      </c>
      <c r="O290" s="32">
        <f t="shared" si="39"/>
        <v>206.795606374302</v>
      </c>
      <c r="P290" s="32">
        <f t="shared" si="39"/>
        <v>209.34924637681101</v>
      </c>
      <c r="Q290" s="32">
        <f t="shared" si="39"/>
        <v>176.41692424242399</v>
      </c>
      <c r="R290" s="32">
        <f t="shared" si="39"/>
        <v>160.74519480519399</v>
      </c>
      <c r="S290" s="32">
        <f t="shared" si="39"/>
        <v>152.50555775142701</v>
      </c>
      <c r="T290" s="32">
        <f t="shared" si="39"/>
        <v>149.947066629023</v>
      </c>
      <c r="U290" s="32">
        <f t="shared" si="39"/>
        <v>150.254403036577</v>
      </c>
      <c r="V290" s="32">
        <f t="shared" si="39"/>
        <v>158.28814574314501</v>
      </c>
      <c r="W290" s="32">
        <f t="shared" si="39"/>
        <v>171.86685613903001</v>
      </c>
      <c r="X290" s="32">
        <f t="shared" si="39"/>
        <v>174.95053391053301</v>
      </c>
      <c r="Y290" s="32">
        <f t="shared" si="39"/>
        <v>165.038054018445</v>
      </c>
      <c r="Z290" s="32">
        <f t="shared" si="39"/>
        <v>149.59890909090899</v>
      </c>
      <c r="AA290" s="32">
        <f t="shared" si="39"/>
        <v>148.74690821255999</v>
      </c>
      <c r="AB290" s="32">
        <f t="shared" si="39"/>
        <v>139.63994227994201</v>
      </c>
      <c r="AC290" s="32">
        <f t="shared" si="39"/>
        <v>136.69955928853699</v>
      </c>
      <c r="AD290" s="32">
        <f t="shared" si="39"/>
        <v>134.660966183574</v>
      </c>
      <c r="AE290" s="32">
        <f t="shared" si="39"/>
        <v>125.66316864295101</v>
      </c>
      <c r="AF290" s="32">
        <f t="shared" si="39"/>
        <v>133.836012610577</v>
      </c>
      <c r="AG290" s="32">
        <f t="shared" si="39"/>
        <v>126.899987577639</v>
      </c>
      <c r="AH290" s="32">
        <f t="shared" si="39"/>
        <v>123.754361660079</v>
      </c>
      <c r="AI290" s="32">
        <f t="shared" si="39"/>
        <v>130.214755317146</v>
      </c>
      <c r="AJ290" s="32">
        <f t="shared" si="39"/>
        <v>141.35394127611499</v>
      </c>
      <c r="AK290" s="32">
        <f t="shared" si="39"/>
        <v>142.25476482213401</v>
      </c>
      <c r="AL290" s="32">
        <f t="shared" si="39"/>
        <v>148.68888167388101</v>
      </c>
      <c r="AM290" s="32">
        <f t="shared" si="39"/>
        <v>158.80561453039701</v>
      </c>
      <c r="AN290" s="32">
        <f t="shared" si="39"/>
        <v>153.578539117887</v>
      </c>
      <c r="AO290" s="32">
        <f t="shared" si="39"/>
        <v>164.76646445824699</v>
      </c>
      <c r="AP290" s="32">
        <f t="shared" si="39"/>
        <v>182.392012987013</v>
      </c>
      <c r="AQ290" s="32">
        <f t="shared" si="39"/>
        <v>215.49075757575699</v>
      </c>
      <c r="AR290" s="32">
        <f t="shared" si="39"/>
        <v>256.12688186209903</v>
      </c>
      <c r="AS290" s="32">
        <f t="shared" si="39"/>
        <v>269.96946894409899</v>
      </c>
      <c r="AT290" s="32">
        <f t="shared" si="39"/>
        <v>266.53693362193297</v>
      </c>
      <c r="AU290" s="32">
        <f t="shared" si="39"/>
        <v>263.96080588493601</v>
      </c>
      <c r="AV290" s="32">
        <f t="shared" si="39"/>
        <v>221.396399711399</v>
      </c>
      <c r="AW290" s="32">
        <f t="shared" si="39"/>
        <v>219.64330434782599</v>
      </c>
      <c r="AX290" s="32">
        <f t="shared" si="39"/>
        <v>219.15393478260799</v>
      </c>
      <c r="AY290" s="32">
        <f t="shared" si="39"/>
        <v>187.81009661835699</v>
      </c>
      <c r="AZ290" s="32">
        <f t="shared" si="39"/>
        <v>197.231673881673</v>
      </c>
      <c r="BA290" s="32">
        <f t="shared" si="39"/>
        <v>207.19193236714901</v>
      </c>
      <c r="BB290" s="32">
        <f t="shared" si="39"/>
        <v>240.20465744400499</v>
      </c>
      <c r="BC290" s="32">
        <f t="shared" si="39"/>
        <v>265.76563303845899</v>
      </c>
      <c r="BD290" s="32">
        <f t="shared" si="39"/>
        <v>308.61629493694699</v>
      </c>
      <c r="BE290" s="32">
        <f t="shared" si="39"/>
        <v>389.22015148378199</v>
      </c>
      <c r="BF290" s="32">
        <f t="shared" si="39"/>
        <v>384.55458152958101</v>
      </c>
      <c r="BG290" s="32">
        <f t="shared" si="39"/>
        <v>360.65424336532999</v>
      </c>
      <c r="BH290" s="56">
        <f t="shared" si="39"/>
        <v>397.96296047430798</v>
      </c>
      <c r="BI290" s="32">
        <f t="shared" ref="BI290:BP290" si="40">+BI80</f>
        <v>313.47820027669201</v>
      </c>
      <c r="BJ290" s="32">
        <f t="shared" si="40"/>
        <v>303.4357579</v>
      </c>
      <c r="BK290" s="32">
        <f t="shared" si="40"/>
        <v>295.70914755000001</v>
      </c>
      <c r="BL290" s="32">
        <f t="shared" si="40"/>
        <v>288.3918941</v>
      </c>
      <c r="BM290" s="32">
        <f t="shared" si="40"/>
        <v>285.11703929999999</v>
      </c>
      <c r="BN290" s="32">
        <f t="shared" si="40"/>
        <v>282.45621990000001</v>
      </c>
      <c r="BO290" s="32">
        <f t="shared" si="40"/>
        <v>277.77420100000001</v>
      </c>
      <c r="BP290" s="32">
        <f t="shared" si="40"/>
        <v>272.0176204</v>
      </c>
      <c r="BQ290" s="32">
        <f t="shared" si="39"/>
        <v>0</v>
      </c>
      <c r="BR290" s="32">
        <f t="shared" ref="BR290:CB290" si="41">+BR80</f>
        <v>0</v>
      </c>
      <c r="BS290" s="32">
        <f t="shared" si="41"/>
        <v>0</v>
      </c>
      <c r="BT290" s="32">
        <f t="shared" si="41"/>
        <v>0</v>
      </c>
      <c r="BU290" s="51">
        <f t="shared" si="41"/>
        <v>0</v>
      </c>
      <c r="BV290" s="41">
        <f t="shared" si="41"/>
        <v>0</v>
      </c>
      <c r="BW290" s="41">
        <f t="shared" si="41"/>
        <v>0</v>
      </c>
      <c r="BX290" s="75">
        <f t="shared" si="41"/>
        <v>0</v>
      </c>
      <c r="BY290" s="41">
        <f t="shared" si="41"/>
        <v>0</v>
      </c>
      <c r="BZ290" s="41">
        <f t="shared" si="41"/>
        <v>0</v>
      </c>
      <c r="CA290" s="41">
        <f t="shared" si="41"/>
        <v>0</v>
      </c>
      <c r="CB290" s="41">
        <f t="shared" si="41"/>
        <v>0</v>
      </c>
    </row>
    <row r="291" spans="1:85" ht="13.5" x14ac:dyDescent="0.7">
      <c r="A291" s="27" t="s">
        <v>35</v>
      </c>
      <c r="B291" s="26"/>
      <c r="C291" s="27" t="s">
        <v>259</v>
      </c>
      <c r="E291" s="32">
        <f>+E83</f>
        <v>339.75757575757598</v>
      </c>
      <c r="F291" s="32">
        <f t="shared" ref="F291:BQ291" si="42">+F83</f>
        <v>341</v>
      </c>
      <c r="G291" s="32">
        <f t="shared" si="42"/>
        <v>352.332342036765</v>
      </c>
      <c r="H291" s="32">
        <f t="shared" si="42"/>
        <v>362.570580174832</v>
      </c>
      <c r="I291" s="32">
        <f t="shared" si="42"/>
        <v>319.05469281494101</v>
      </c>
      <c r="J291" s="32">
        <f t="shared" si="42"/>
        <v>264.23267826940003</v>
      </c>
      <c r="K291" s="32">
        <f t="shared" si="42"/>
        <v>244.89697631095399</v>
      </c>
      <c r="L291" s="32">
        <f t="shared" si="42"/>
        <v>234.22068183821401</v>
      </c>
      <c r="M291" s="32">
        <f t="shared" si="42"/>
        <v>247.90083424291899</v>
      </c>
      <c r="N291" s="32">
        <f t="shared" si="42"/>
        <v>222.20800000151499</v>
      </c>
      <c r="O291" s="32">
        <f t="shared" si="42"/>
        <v>233.708593520161</v>
      </c>
      <c r="P291" s="32">
        <f t="shared" si="42"/>
        <v>247.61278454637599</v>
      </c>
      <c r="Q291" s="32">
        <f t="shared" si="42"/>
        <v>291.176800012424</v>
      </c>
      <c r="R291" s="32">
        <f t="shared" si="42"/>
        <v>320.14175661002798</v>
      </c>
      <c r="S291" s="32">
        <f t="shared" si="42"/>
        <v>387.193237631633</v>
      </c>
      <c r="T291" s="32">
        <f t="shared" si="42"/>
        <v>363.03491695349402</v>
      </c>
      <c r="U291" s="32">
        <f t="shared" si="42"/>
        <v>290.26497354223602</v>
      </c>
      <c r="V291" s="32">
        <f t="shared" si="42"/>
        <v>251.38539682135601</v>
      </c>
      <c r="W291" s="32">
        <f t="shared" si="42"/>
        <v>284.671110183785</v>
      </c>
      <c r="X291" s="32">
        <f t="shared" si="42"/>
        <v>323.39659258932102</v>
      </c>
      <c r="Y291" s="32">
        <f t="shared" si="42"/>
        <v>369.23743575238399</v>
      </c>
      <c r="Z291" s="32">
        <f t="shared" si="42"/>
        <v>371.59876715745003</v>
      </c>
      <c r="AA291" s="32">
        <f t="shared" si="42"/>
        <v>365.19617392104902</v>
      </c>
      <c r="AB291" s="32">
        <f t="shared" si="42"/>
        <v>342.77346673318903</v>
      </c>
      <c r="AC291" s="32">
        <f t="shared" si="42"/>
        <v>334.74191447070501</v>
      </c>
      <c r="AD291" s="32">
        <f t="shared" si="42"/>
        <v>297.516964625051</v>
      </c>
      <c r="AE291" s="32">
        <f t="shared" si="42"/>
        <v>282.05219833589501</v>
      </c>
      <c r="AF291" s="32">
        <f t="shared" si="42"/>
        <v>278.729506382605</v>
      </c>
      <c r="AG291" s="32">
        <f t="shared" si="42"/>
        <v>272.99500361116202</v>
      </c>
      <c r="AH291" s="32">
        <f t="shared" si="42"/>
        <v>262.04412912643602</v>
      </c>
      <c r="AI291" s="32">
        <f t="shared" si="42"/>
        <v>258.744421895627</v>
      </c>
      <c r="AJ291" s="32">
        <f t="shared" si="42"/>
        <v>279.32178180542002</v>
      </c>
      <c r="AK291" s="32">
        <f t="shared" si="42"/>
        <v>269.30200106051302</v>
      </c>
      <c r="AL291" s="32">
        <f t="shared" si="42"/>
        <v>244.44821903593001</v>
      </c>
      <c r="AM291" s="32">
        <f t="shared" si="42"/>
        <v>249.52035886474599</v>
      </c>
      <c r="AN291" s="32">
        <f t="shared" si="42"/>
        <v>252.46189448921501</v>
      </c>
      <c r="AO291" s="32">
        <f t="shared" si="42"/>
        <v>256.75032712195298</v>
      </c>
      <c r="AP291" s="32">
        <f t="shared" si="42"/>
        <v>237.31596227193299</v>
      </c>
      <c r="AQ291" s="32">
        <f t="shared" si="42"/>
        <v>258.67005201818102</v>
      </c>
      <c r="AR291" s="32">
        <f t="shared" si="42"/>
        <v>316.07731638905801</v>
      </c>
      <c r="AS291" s="32">
        <f t="shared" si="42"/>
        <v>302.96194161921602</v>
      </c>
      <c r="AT291" s="32">
        <f t="shared" si="42"/>
        <v>266.46615631399698</v>
      </c>
      <c r="AU291" s="32">
        <f t="shared" si="42"/>
        <v>265.15767470201001</v>
      </c>
      <c r="AV291" s="32">
        <f t="shared" si="42"/>
        <v>277.205908837518</v>
      </c>
      <c r="AW291" s="32">
        <f t="shared" si="42"/>
        <v>269.39594688299002</v>
      </c>
      <c r="AX291" s="32">
        <f t="shared" si="42"/>
        <v>263.34444286940698</v>
      </c>
      <c r="AY291" s="32">
        <f t="shared" si="42"/>
        <v>302.48441563326401</v>
      </c>
      <c r="AZ291" s="32">
        <f t="shared" si="42"/>
        <v>325.637885280158</v>
      </c>
      <c r="BA291" s="32">
        <f t="shared" si="42"/>
        <v>340.33414381559697</v>
      </c>
      <c r="BB291" s="32">
        <f t="shared" si="42"/>
        <v>308.76333731831301</v>
      </c>
      <c r="BC291" s="32">
        <f t="shared" si="42"/>
        <v>323.61325458852798</v>
      </c>
      <c r="BD291" s="32">
        <f t="shared" si="42"/>
        <v>339.381695501499</v>
      </c>
      <c r="BE291" s="32">
        <f t="shared" si="42"/>
        <v>332.10264599707301</v>
      </c>
      <c r="BF291" s="32">
        <f t="shared" si="42"/>
        <v>313.59473284155803</v>
      </c>
      <c r="BG291" s="32">
        <f t="shared" si="42"/>
        <v>309.70066326660702</v>
      </c>
      <c r="BH291" s="56">
        <f t="shared" si="42"/>
        <v>311.662109543913</v>
      </c>
      <c r="BI291" s="32">
        <f t="shared" ref="BI291:BP291" si="43">+BI83</f>
        <v>309.80010986328102</v>
      </c>
      <c r="BJ291" s="32">
        <f t="shared" si="43"/>
        <v>309.80010986328102</v>
      </c>
      <c r="BK291" s="32">
        <f t="shared" si="43"/>
        <v>309.80010986328102</v>
      </c>
      <c r="BL291" s="32">
        <f t="shared" si="43"/>
        <v>309.80010986328102</v>
      </c>
      <c r="BM291" s="32">
        <f t="shared" si="43"/>
        <v>309.80010986328102</v>
      </c>
      <c r="BN291" s="32">
        <f t="shared" si="43"/>
        <v>309.80010986328102</v>
      </c>
      <c r="BO291" s="32">
        <f t="shared" si="43"/>
        <v>309.80010986328102</v>
      </c>
      <c r="BP291" s="32">
        <f t="shared" si="43"/>
        <v>309.80010986328102</v>
      </c>
      <c r="BQ291" s="32">
        <f t="shared" si="42"/>
        <v>0</v>
      </c>
      <c r="BR291" s="32">
        <f t="shared" ref="BR291:CB291" si="44">+BR83</f>
        <v>0</v>
      </c>
      <c r="BS291" s="32">
        <f t="shared" si="44"/>
        <v>0</v>
      </c>
      <c r="BT291" s="32">
        <f t="shared" si="44"/>
        <v>0</v>
      </c>
      <c r="BU291" s="51">
        <f t="shared" si="44"/>
        <v>0</v>
      </c>
      <c r="BV291" s="41">
        <f t="shared" si="44"/>
        <v>0</v>
      </c>
      <c r="BW291" s="41">
        <f t="shared" si="44"/>
        <v>0</v>
      </c>
      <c r="BX291" s="75">
        <f t="shared" si="44"/>
        <v>0</v>
      </c>
      <c r="BY291" s="41">
        <f t="shared" si="44"/>
        <v>0</v>
      </c>
      <c r="BZ291" s="41">
        <f t="shared" si="44"/>
        <v>0</v>
      </c>
      <c r="CA291" s="41">
        <f t="shared" si="44"/>
        <v>0</v>
      </c>
      <c r="CB291" s="41">
        <f t="shared" si="44"/>
        <v>0</v>
      </c>
    </row>
    <row r="292" spans="1:85" ht="13.5" x14ac:dyDescent="0.7">
      <c r="A292" s="27" t="s">
        <v>29</v>
      </c>
      <c r="B292" s="26"/>
      <c r="C292" s="27" t="s">
        <v>260</v>
      </c>
      <c r="E292" s="32">
        <f>+E66</f>
        <v>73.412675302720004</v>
      </c>
      <c r="F292" s="32">
        <f t="shared" ref="F292:BQ292" si="45">+F66</f>
        <v>82.086142383844006</v>
      </c>
      <c r="G292" s="32">
        <f t="shared" si="45"/>
        <v>84.618181090154806</v>
      </c>
      <c r="H292" s="32">
        <f t="shared" si="45"/>
        <v>86.442121402219698</v>
      </c>
      <c r="I292" s="32">
        <f t="shared" si="45"/>
        <v>91.811544321576605</v>
      </c>
      <c r="J292" s="32">
        <f t="shared" si="45"/>
        <v>99.110717531837196</v>
      </c>
      <c r="K292" s="32">
        <f t="shared" si="45"/>
        <v>97.273733000967695</v>
      </c>
      <c r="L292" s="32">
        <f t="shared" si="45"/>
        <v>97.162473738098996</v>
      </c>
      <c r="M292" s="32">
        <f t="shared" si="45"/>
        <v>103.944163780886</v>
      </c>
      <c r="N292" s="32">
        <f t="shared" si="45"/>
        <v>107.349323801298</v>
      </c>
      <c r="O292" s="32">
        <f t="shared" si="45"/>
        <v>105.66363384570199</v>
      </c>
      <c r="P292" s="32">
        <f t="shared" si="45"/>
        <v>109.31953384971</v>
      </c>
      <c r="Q292" s="32">
        <f t="shared" si="45"/>
        <v>99.431324689545406</v>
      </c>
      <c r="R292" s="32">
        <f t="shared" si="45"/>
        <v>100.464345262763</v>
      </c>
      <c r="S292" s="32">
        <f t="shared" si="45"/>
        <v>79.590019112911705</v>
      </c>
      <c r="T292" s="32">
        <f t="shared" si="45"/>
        <v>72.061104427915794</v>
      </c>
      <c r="U292" s="32">
        <f t="shared" si="45"/>
        <v>72.735828203560999</v>
      </c>
      <c r="V292" s="32">
        <f t="shared" si="45"/>
        <v>72.9495279590043</v>
      </c>
      <c r="W292" s="32">
        <f t="shared" si="45"/>
        <v>73.360676043106494</v>
      </c>
      <c r="X292" s="32">
        <f t="shared" si="45"/>
        <v>74.063134502705594</v>
      </c>
      <c r="Y292" s="32">
        <f t="shared" si="45"/>
        <v>75.7857431989124</v>
      </c>
      <c r="Z292" s="32">
        <f t="shared" si="45"/>
        <v>74.420500389051398</v>
      </c>
      <c r="AA292" s="32">
        <f t="shared" si="45"/>
        <v>65.634699211193904</v>
      </c>
      <c r="AB292" s="32">
        <f t="shared" si="45"/>
        <v>60.974688983694001</v>
      </c>
      <c r="AC292" s="32">
        <f t="shared" si="45"/>
        <v>66.396122249133697</v>
      </c>
      <c r="AD292" s="32">
        <f t="shared" si="45"/>
        <v>62.481866126818502</v>
      </c>
      <c r="AE292" s="32">
        <f t="shared" si="45"/>
        <v>57.649529752968299</v>
      </c>
      <c r="AF292" s="32">
        <f t="shared" si="45"/>
        <v>53.274603136425696</v>
      </c>
      <c r="AG292" s="32">
        <f t="shared" si="45"/>
        <v>47.432608836702499</v>
      </c>
      <c r="AH292" s="32">
        <f t="shared" si="45"/>
        <v>42.707846226689</v>
      </c>
      <c r="AI292" s="32">
        <f t="shared" si="45"/>
        <v>34.4158769173834</v>
      </c>
      <c r="AJ292" s="32">
        <f t="shared" si="45"/>
        <v>38.671752484656203</v>
      </c>
      <c r="AK292" s="32">
        <f t="shared" si="45"/>
        <v>39.226486741932803</v>
      </c>
      <c r="AL292" s="32">
        <f t="shared" si="45"/>
        <v>35.412096528232297</v>
      </c>
      <c r="AM292" s="32">
        <f t="shared" si="45"/>
        <v>29.525372750127001</v>
      </c>
      <c r="AN292" s="32">
        <f t="shared" si="45"/>
        <v>30.104897477355198</v>
      </c>
      <c r="AO292" s="32">
        <f t="shared" si="45"/>
        <v>37.904705644179401</v>
      </c>
      <c r="AP292" s="32">
        <f t="shared" si="45"/>
        <v>40.446767276709899</v>
      </c>
      <c r="AQ292" s="32">
        <f t="shared" si="45"/>
        <v>54.127626920151499</v>
      </c>
      <c r="AR292" s="32">
        <f t="shared" si="45"/>
        <v>57.196067886320002</v>
      </c>
      <c r="AS292" s="32">
        <f t="shared" si="45"/>
        <v>58.054542559143499</v>
      </c>
      <c r="AT292" s="32">
        <f t="shared" si="45"/>
        <v>57.7024350482179</v>
      </c>
      <c r="AU292" s="32">
        <f t="shared" si="45"/>
        <v>56.917119280000001</v>
      </c>
      <c r="AV292" s="32">
        <f t="shared" si="45"/>
        <v>57.551790306666597</v>
      </c>
      <c r="AW292" s="32">
        <f t="shared" si="45"/>
        <v>58.580295546666598</v>
      </c>
      <c r="AX292" s="32">
        <f t="shared" si="45"/>
        <v>59.757258559999997</v>
      </c>
      <c r="AY292" s="32">
        <f t="shared" si="45"/>
        <v>58.468579669999997</v>
      </c>
      <c r="AZ292" s="32">
        <f t="shared" si="45"/>
        <v>57.729758750000002</v>
      </c>
      <c r="BA292" s="32">
        <f t="shared" si="45"/>
        <v>58.410880913333301</v>
      </c>
      <c r="BB292" s="32">
        <f t="shared" si="45"/>
        <v>58.518442880000002</v>
      </c>
      <c r="BC292" s="32">
        <f t="shared" si="45"/>
        <v>59.416851360000003</v>
      </c>
      <c r="BD292" s="32">
        <f t="shared" si="45"/>
        <v>58.264569979999997</v>
      </c>
      <c r="BE292" s="32">
        <f t="shared" si="45"/>
        <v>58.403840153333299</v>
      </c>
      <c r="BF292" s="32">
        <f t="shared" si="45"/>
        <v>59.1151506</v>
      </c>
      <c r="BG292" s="32">
        <f t="shared" si="45"/>
        <v>59.1296810766666</v>
      </c>
      <c r="BH292" s="56">
        <f t="shared" si="45"/>
        <v>54.411421081217398</v>
      </c>
      <c r="BI292" s="32">
        <f t="shared" ref="BI292:BP292" si="46">+BI66</f>
        <v>57.423233032226499</v>
      </c>
      <c r="BJ292" s="32">
        <f t="shared" si="46"/>
        <v>57.423233032226499</v>
      </c>
      <c r="BK292" s="32">
        <f t="shared" si="46"/>
        <v>57.423233032226499</v>
      </c>
      <c r="BL292" s="32">
        <f t="shared" si="46"/>
        <v>57.423233032226499</v>
      </c>
      <c r="BM292" s="32">
        <f t="shared" si="46"/>
        <v>57.423233032226499</v>
      </c>
      <c r="BN292" s="32">
        <f t="shared" si="46"/>
        <v>57.423233032226499</v>
      </c>
      <c r="BO292" s="32">
        <f t="shared" si="46"/>
        <v>57.423233032226499</v>
      </c>
      <c r="BP292" s="32">
        <f t="shared" si="46"/>
        <v>57.423233032226499</v>
      </c>
      <c r="BQ292" s="32">
        <f t="shared" si="45"/>
        <v>0</v>
      </c>
      <c r="BR292" s="32">
        <f t="shared" ref="BR292:CB292" si="47">+BR66</f>
        <v>0</v>
      </c>
      <c r="BS292" s="32">
        <f t="shared" si="47"/>
        <v>0</v>
      </c>
      <c r="BT292" s="32">
        <f t="shared" si="47"/>
        <v>0</v>
      </c>
      <c r="BU292" s="51">
        <f t="shared" si="47"/>
        <v>0</v>
      </c>
      <c r="BV292" s="41">
        <f t="shared" si="47"/>
        <v>0</v>
      </c>
      <c r="BW292" s="41">
        <f t="shared" si="47"/>
        <v>0</v>
      </c>
      <c r="BX292" s="75">
        <f t="shared" si="47"/>
        <v>0</v>
      </c>
      <c r="BY292" s="41">
        <f t="shared" si="47"/>
        <v>0</v>
      </c>
      <c r="BZ292" s="41">
        <f t="shared" si="47"/>
        <v>0</v>
      </c>
      <c r="CA292" s="41">
        <f t="shared" si="47"/>
        <v>0</v>
      </c>
      <c r="CB292" s="41">
        <f t="shared" si="47"/>
        <v>0</v>
      </c>
    </row>
    <row r="293" spans="1:85" ht="13.5" x14ac:dyDescent="0.7">
      <c r="A293" s="27" t="s">
        <v>77</v>
      </c>
      <c r="B293" s="26"/>
      <c r="C293" s="27" t="s">
        <v>261</v>
      </c>
      <c r="E293" s="98">
        <f>+E137</f>
        <v>1690.8369408369399</v>
      </c>
      <c r="F293" s="98">
        <f t="shared" ref="F293:BQ293" si="48">+F137</f>
        <v>1610.7559011164201</v>
      </c>
      <c r="G293" s="98">
        <f t="shared" si="48"/>
        <v>1654.7977272727201</v>
      </c>
      <c r="H293" s="98">
        <f t="shared" si="48"/>
        <v>1718.8922149887601</v>
      </c>
      <c r="I293" s="98">
        <f t="shared" si="48"/>
        <v>1630.46818181818</v>
      </c>
      <c r="J293" s="98">
        <f t="shared" si="48"/>
        <v>1413.6486111111101</v>
      </c>
      <c r="K293" s="98">
        <f t="shared" si="48"/>
        <v>1327.53892339544</v>
      </c>
      <c r="L293" s="98">
        <f t="shared" si="48"/>
        <v>1272.46966298596</v>
      </c>
      <c r="M293" s="98">
        <f t="shared" si="48"/>
        <v>1293.9512626262599</v>
      </c>
      <c r="N293" s="98">
        <f t="shared" si="48"/>
        <v>1288.5400793650699</v>
      </c>
      <c r="O293" s="98">
        <f t="shared" si="48"/>
        <v>1281.9243577075099</v>
      </c>
      <c r="P293" s="98">
        <f t="shared" si="48"/>
        <v>1200.3595347063299</v>
      </c>
      <c r="Q293" s="98">
        <f t="shared" si="48"/>
        <v>1219.22076118326</v>
      </c>
      <c r="R293" s="98">
        <f t="shared" si="48"/>
        <v>1192.82239234449</v>
      </c>
      <c r="S293" s="98">
        <f t="shared" si="48"/>
        <v>1124.0145915678499</v>
      </c>
      <c r="T293" s="98">
        <f t="shared" si="48"/>
        <v>1104.4001556922599</v>
      </c>
      <c r="U293" s="98">
        <f t="shared" si="48"/>
        <v>1181.2083333333301</v>
      </c>
      <c r="V293" s="98">
        <f t="shared" si="48"/>
        <v>1259.35465007215</v>
      </c>
      <c r="W293" s="98">
        <f t="shared" si="48"/>
        <v>1334.8147907647899</v>
      </c>
      <c r="X293" s="98">
        <f t="shared" si="48"/>
        <v>1217.9837902837901</v>
      </c>
      <c r="Y293" s="98">
        <f t="shared" si="48"/>
        <v>1219.35588164251</v>
      </c>
      <c r="Z293" s="98">
        <f t="shared" si="48"/>
        <v>1256.96311928811</v>
      </c>
      <c r="AA293" s="98">
        <f t="shared" si="48"/>
        <v>1277.83863636363</v>
      </c>
      <c r="AB293" s="98">
        <f t="shared" si="48"/>
        <v>1274.35120320855</v>
      </c>
      <c r="AC293" s="98">
        <f t="shared" si="48"/>
        <v>1329.2826839826801</v>
      </c>
      <c r="AD293" s="98">
        <f t="shared" si="48"/>
        <v>1306.4442857142801</v>
      </c>
      <c r="AE293" s="98">
        <f t="shared" si="48"/>
        <v>1212.74765151515</v>
      </c>
      <c r="AF293" s="98">
        <f t="shared" si="48"/>
        <v>1228.08748740603</v>
      </c>
      <c r="AG293" s="98">
        <f t="shared" si="48"/>
        <v>1304.2360245310199</v>
      </c>
      <c r="AH293" s="98">
        <f t="shared" si="48"/>
        <v>1309.8117063492</v>
      </c>
      <c r="AI293" s="98">
        <f t="shared" si="48"/>
        <v>1474.3633885438201</v>
      </c>
      <c r="AJ293" s="98">
        <f t="shared" si="48"/>
        <v>1480.2870370370299</v>
      </c>
      <c r="AK293" s="98">
        <f t="shared" si="48"/>
        <v>1583.23416666666</v>
      </c>
      <c r="AL293" s="98">
        <f t="shared" si="48"/>
        <v>1710.5099202551801</v>
      </c>
      <c r="AM293" s="98">
        <f t="shared" si="48"/>
        <v>1911.18587740761</v>
      </c>
      <c r="AN293" s="98">
        <f t="shared" si="48"/>
        <v>1873.2410401002501</v>
      </c>
      <c r="AO293" s="98">
        <f t="shared" si="48"/>
        <v>1797.79608695652</v>
      </c>
      <c r="AP293" s="98">
        <f t="shared" si="48"/>
        <v>1817.2678030303</v>
      </c>
      <c r="AQ293" s="98">
        <f t="shared" si="48"/>
        <v>1789.4381673881601</v>
      </c>
      <c r="AR293" s="98">
        <f t="shared" si="48"/>
        <v>1794.5804947976001</v>
      </c>
      <c r="AS293" s="98">
        <f t="shared" si="48"/>
        <v>1873.62942028985</v>
      </c>
      <c r="AT293" s="98">
        <f t="shared" si="48"/>
        <v>1873.5990909090899</v>
      </c>
      <c r="AU293" s="98">
        <f t="shared" si="48"/>
        <v>1728.24042223477</v>
      </c>
      <c r="AV293" s="98">
        <f t="shared" si="48"/>
        <v>1730.6444949494901</v>
      </c>
      <c r="AW293" s="98">
        <f t="shared" si="48"/>
        <v>1887.70560210803</v>
      </c>
      <c r="AX293" s="98">
        <f t="shared" si="48"/>
        <v>1978.0746976284499</v>
      </c>
      <c r="AY293" s="98">
        <f t="shared" si="48"/>
        <v>1928.3356452726</v>
      </c>
      <c r="AZ293" s="98">
        <f t="shared" si="48"/>
        <v>1978.1555194805101</v>
      </c>
      <c r="BA293" s="98">
        <f t="shared" si="48"/>
        <v>2073.5994893029601</v>
      </c>
      <c r="BB293" s="98">
        <f t="shared" si="48"/>
        <v>2337.4698254281898</v>
      </c>
      <c r="BC293" s="98">
        <f t="shared" si="48"/>
        <v>2477.1132859652398</v>
      </c>
      <c r="BD293" s="98">
        <f t="shared" si="48"/>
        <v>2660.6445580023801</v>
      </c>
      <c r="BE293" s="98">
        <f t="shared" si="48"/>
        <v>2862.70119392684</v>
      </c>
      <c r="BF293" s="98">
        <f t="shared" si="48"/>
        <v>3287.29331168831</v>
      </c>
      <c r="BG293" s="98">
        <f t="shared" si="48"/>
        <v>3458.4763190915301</v>
      </c>
      <c r="BH293" s="99">
        <f t="shared" si="48"/>
        <v>4151.4459591567802</v>
      </c>
      <c r="BI293" s="98">
        <f t="shared" ref="BI293:BP293" si="49">+BI137</f>
        <v>4846.86865234375</v>
      </c>
      <c r="BJ293" s="98">
        <f t="shared" si="49"/>
        <v>4907.3</v>
      </c>
      <c r="BK293" s="98">
        <f t="shared" si="49"/>
        <v>4959.7333333333299</v>
      </c>
      <c r="BL293" s="98">
        <f t="shared" si="49"/>
        <v>5006.6666666666597</v>
      </c>
      <c r="BM293" s="98">
        <f t="shared" si="49"/>
        <v>5053.1666666666597</v>
      </c>
      <c r="BN293" s="98">
        <f t="shared" si="49"/>
        <v>5097.0666666666602</v>
      </c>
      <c r="BO293" s="98">
        <f t="shared" si="49"/>
        <v>5140.2666666666601</v>
      </c>
      <c r="BP293" s="98">
        <f t="shared" si="49"/>
        <v>5175</v>
      </c>
      <c r="BQ293" s="98">
        <f t="shared" si="48"/>
        <v>0</v>
      </c>
      <c r="BR293" s="98">
        <f t="shared" ref="BR293:CB293" si="50">+BR137</f>
        <v>0</v>
      </c>
      <c r="BS293" s="98">
        <f t="shared" si="50"/>
        <v>0</v>
      </c>
      <c r="BT293" s="98">
        <f t="shared" si="50"/>
        <v>0</v>
      </c>
      <c r="BU293" s="54">
        <f t="shared" si="50"/>
        <v>0</v>
      </c>
      <c r="BV293" s="55">
        <f t="shared" si="50"/>
        <v>0</v>
      </c>
      <c r="BW293" s="55">
        <f t="shared" si="50"/>
        <v>0</v>
      </c>
      <c r="BX293" s="77">
        <f t="shared" si="50"/>
        <v>0</v>
      </c>
      <c r="BY293" s="55">
        <f t="shared" si="50"/>
        <v>0</v>
      </c>
      <c r="BZ293" s="55">
        <f t="shared" si="50"/>
        <v>0</v>
      </c>
      <c r="CA293" s="55">
        <f t="shared" si="50"/>
        <v>0</v>
      </c>
      <c r="CB293" s="55">
        <f t="shared" si="50"/>
        <v>0</v>
      </c>
    </row>
    <row r="294" spans="1:85" ht="13.5" x14ac:dyDescent="0.7">
      <c r="A294" s="27" t="s">
        <v>36</v>
      </c>
      <c r="B294" s="26"/>
      <c r="C294" s="27" t="s">
        <v>262</v>
      </c>
      <c r="E294" s="98">
        <f>+E133</f>
        <v>22942.147907647901</v>
      </c>
      <c r="F294" s="98">
        <f t="shared" ref="F294:BQ294" si="51">+F133</f>
        <v>20555.087320574101</v>
      </c>
      <c r="G294" s="98">
        <f t="shared" si="51"/>
        <v>19330.970075757501</v>
      </c>
      <c r="H294" s="98">
        <f t="shared" si="51"/>
        <v>21609.219523611398</v>
      </c>
      <c r="I294" s="98">
        <f t="shared" si="51"/>
        <v>24037.545075757502</v>
      </c>
      <c r="J294" s="98">
        <f t="shared" si="51"/>
        <v>20879.553968253898</v>
      </c>
      <c r="K294" s="98">
        <f t="shared" si="51"/>
        <v>21312.370600414</v>
      </c>
      <c r="L294" s="98">
        <f t="shared" si="51"/>
        <v>22896.8643029675</v>
      </c>
      <c r="M294" s="98">
        <f t="shared" si="51"/>
        <v>22636.282720057701</v>
      </c>
      <c r="N294" s="98">
        <f t="shared" si="51"/>
        <v>23146.15</v>
      </c>
      <c r="O294" s="98">
        <f t="shared" si="51"/>
        <v>21915.1945322793</v>
      </c>
      <c r="P294" s="98">
        <f t="shared" si="51"/>
        <v>19897.8674430641</v>
      </c>
      <c r="Q294" s="98">
        <f t="shared" si="51"/>
        <v>18369.9802128427</v>
      </c>
      <c r="R294" s="98">
        <f t="shared" si="51"/>
        <v>15589.803429027101</v>
      </c>
      <c r="S294" s="98">
        <f t="shared" si="51"/>
        <v>15229.5495059288</v>
      </c>
      <c r="T294" s="98">
        <f t="shared" si="51"/>
        <v>15077.1966089466</v>
      </c>
      <c r="U294" s="98">
        <f t="shared" si="51"/>
        <v>15438.6043650793</v>
      </c>
      <c r="V294" s="98">
        <f t="shared" si="51"/>
        <v>16902.119155844099</v>
      </c>
      <c r="W294" s="98">
        <f t="shared" si="51"/>
        <v>18584.257215007201</v>
      </c>
      <c r="X294" s="98">
        <f t="shared" si="51"/>
        <v>20810.067604617601</v>
      </c>
      <c r="Y294" s="98">
        <f t="shared" si="51"/>
        <v>20004.485455486501</v>
      </c>
      <c r="Z294" s="98">
        <f t="shared" si="51"/>
        <v>19923.164562289501</v>
      </c>
      <c r="AA294" s="98">
        <f t="shared" si="51"/>
        <v>20513.698412698399</v>
      </c>
      <c r="AB294" s="98">
        <f t="shared" si="51"/>
        <v>19803.327352471999</v>
      </c>
      <c r="AC294" s="98">
        <f t="shared" si="51"/>
        <v>21186.799855699799</v>
      </c>
      <c r="AD294" s="98">
        <f t="shared" si="51"/>
        <v>20936.819047618999</v>
      </c>
      <c r="AE294" s="98">
        <f t="shared" si="51"/>
        <v>19308.564393939301</v>
      </c>
      <c r="AF294" s="98">
        <f t="shared" si="51"/>
        <v>19148.640281533801</v>
      </c>
      <c r="AG294" s="98">
        <f t="shared" si="51"/>
        <v>21038.368253968201</v>
      </c>
      <c r="AH294" s="98">
        <f t="shared" si="51"/>
        <v>19773.801587301499</v>
      </c>
      <c r="AI294" s="98">
        <f t="shared" si="51"/>
        <v>17139.151656314702</v>
      </c>
      <c r="AJ294" s="98">
        <f t="shared" si="51"/>
        <v>16693.305831607999</v>
      </c>
      <c r="AK294" s="98">
        <f t="shared" si="51"/>
        <v>16266.796969696899</v>
      </c>
      <c r="AL294" s="98">
        <f t="shared" si="51"/>
        <v>15730.853110047799</v>
      </c>
      <c r="AM294" s="98">
        <f t="shared" si="51"/>
        <v>17693.846621808101</v>
      </c>
      <c r="AN294" s="98">
        <f t="shared" si="51"/>
        <v>18810.3411471861</v>
      </c>
      <c r="AO294" s="98">
        <f t="shared" si="51"/>
        <v>25098.995833333302</v>
      </c>
      <c r="AP294" s="98">
        <f t="shared" si="51"/>
        <v>31038.290151515099</v>
      </c>
      <c r="AQ294" s="98">
        <f t="shared" si="51"/>
        <v>34643.8281818182</v>
      </c>
      <c r="AR294" s="98">
        <f t="shared" si="51"/>
        <v>38768.042229437197</v>
      </c>
      <c r="AS294" s="98">
        <f t="shared" si="51"/>
        <v>43241.574065217399</v>
      </c>
      <c r="AT294" s="98">
        <f t="shared" si="51"/>
        <v>36968.251031745996</v>
      </c>
      <c r="AU294" s="98">
        <f t="shared" si="51"/>
        <v>23726.653632285499</v>
      </c>
      <c r="AV294" s="98">
        <f t="shared" si="51"/>
        <v>21596.667972582902</v>
      </c>
      <c r="AW294" s="98">
        <f t="shared" si="51"/>
        <v>26287.489916996001</v>
      </c>
      <c r="AX294" s="98">
        <f t="shared" si="51"/>
        <v>26151.589947298999</v>
      </c>
      <c r="AY294" s="98">
        <f t="shared" si="51"/>
        <v>26785.821476880599</v>
      </c>
      <c r="AZ294" s="98">
        <f t="shared" si="51"/>
        <v>24424.082128427101</v>
      </c>
      <c r="BA294" s="98">
        <f t="shared" si="51"/>
        <v>26233.045341614899</v>
      </c>
      <c r="BB294" s="98">
        <f t="shared" si="51"/>
        <v>32168.776810276599</v>
      </c>
      <c r="BC294" s="98">
        <f t="shared" si="51"/>
        <v>31656.1986131501</v>
      </c>
      <c r="BD294" s="98">
        <f t="shared" si="51"/>
        <v>30179.3162761151</v>
      </c>
      <c r="BE294" s="98">
        <f t="shared" si="51"/>
        <v>31852.2144906832</v>
      </c>
      <c r="BF294" s="98">
        <f t="shared" si="51"/>
        <v>32263.970295815299</v>
      </c>
      <c r="BG294" s="98">
        <f t="shared" si="51"/>
        <v>33991.093293493897</v>
      </c>
      <c r="BH294" s="99">
        <f t="shared" si="51"/>
        <v>38126.018602766802</v>
      </c>
      <c r="BI294" s="98">
        <f t="shared" ref="BI294:BP294" si="52">+BI133</f>
        <v>47357.59375</v>
      </c>
      <c r="BJ294" s="98">
        <f t="shared" si="52"/>
        <v>46489.666666666599</v>
      </c>
      <c r="BK294" s="98">
        <f t="shared" si="52"/>
        <v>46586.333333333299</v>
      </c>
      <c r="BL294" s="98">
        <f t="shared" si="52"/>
        <v>46639</v>
      </c>
      <c r="BM294" s="98">
        <f t="shared" si="52"/>
        <v>46585</v>
      </c>
      <c r="BN294" s="98">
        <f t="shared" si="52"/>
        <v>46516</v>
      </c>
      <c r="BO294" s="98">
        <f t="shared" si="52"/>
        <v>46516</v>
      </c>
      <c r="BP294" s="98">
        <f t="shared" si="52"/>
        <v>46516</v>
      </c>
      <c r="BQ294" s="98">
        <f t="shared" si="51"/>
        <v>0</v>
      </c>
      <c r="BR294" s="98">
        <f t="shared" ref="BR294:CB294" si="53">+BR133</f>
        <v>0</v>
      </c>
      <c r="BS294" s="98">
        <f t="shared" si="53"/>
        <v>0</v>
      </c>
      <c r="BT294" s="98">
        <f t="shared" si="53"/>
        <v>0</v>
      </c>
      <c r="BU294" s="54">
        <f t="shared" si="53"/>
        <v>0</v>
      </c>
      <c r="BV294" s="55">
        <f t="shared" si="53"/>
        <v>0</v>
      </c>
      <c r="BW294" s="55">
        <f t="shared" si="53"/>
        <v>0</v>
      </c>
      <c r="BX294" s="77">
        <f t="shared" si="53"/>
        <v>0</v>
      </c>
      <c r="BY294" s="55">
        <f t="shared" si="53"/>
        <v>0</v>
      </c>
      <c r="BZ294" s="55">
        <f t="shared" si="53"/>
        <v>0</v>
      </c>
      <c r="CA294" s="55">
        <f t="shared" si="53"/>
        <v>0</v>
      </c>
      <c r="CB294" s="55">
        <f t="shared" si="53"/>
        <v>0</v>
      </c>
    </row>
    <row r="295" spans="1:85" ht="13.5" x14ac:dyDescent="0.7">
      <c r="A295" s="27"/>
      <c r="B295" s="26"/>
      <c r="C295" s="27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56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51"/>
      <c r="BV295" s="41"/>
      <c r="BW295" s="41"/>
      <c r="BX295" s="75"/>
      <c r="BY295" s="41"/>
      <c r="BZ295" s="41"/>
      <c r="CA295" s="41"/>
      <c r="CB295" s="41"/>
    </row>
    <row r="296" spans="1:85" ht="13.5" x14ac:dyDescent="0.7">
      <c r="A296" s="25" t="s">
        <v>39</v>
      </c>
      <c r="B296" s="26"/>
      <c r="C296" s="27" t="s">
        <v>263</v>
      </c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56"/>
      <c r="BI296" s="100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51"/>
      <c r="BV296" s="41"/>
      <c r="BW296" s="41"/>
      <c r="BX296" s="75"/>
      <c r="BY296" s="41"/>
      <c r="BZ296" s="41"/>
      <c r="CA296" s="41"/>
      <c r="CB296" s="41"/>
    </row>
    <row r="297" spans="1:85" ht="13.5" x14ac:dyDescent="0.7">
      <c r="A297" s="27" t="s">
        <v>11</v>
      </c>
      <c r="B297" s="26"/>
      <c r="C297" s="27" t="s">
        <v>264</v>
      </c>
      <c r="E297" s="32">
        <f>+E145</f>
        <v>1.31099862933333</v>
      </c>
      <c r="F297" s="32">
        <f t="shared" ref="F297:BQ297" si="54">+F145</f>
        <v>1.2825643879999999</v>
      </c>
      <c r="G297" s="32">
        <f t="shared" si="54"/>
        <v>1.251470369</v>
      </c>
      <c r="H297" s="32">
        <f t="shared" si="54"/>
        <v>1.29737565333333</v>
      </c>
      <c r="I297" s="32">
        <f t="shared" si="54"/>
        <v>1.3203565150000001</v>
      </c>
      <c r="J297" s="32">
        <f t="shared" si="54"/>
        <v>1.3065598483333301</v>
      </c>
      <c r="K297" s="32">
        <f t="shared" si="54"/>
        <v>1.3245845063333299</v>
      </c>
      <c r="L297" s="32">
        <f t="shared" si="54"/>
        <v>1.3610487093333301</v>
      </c>
      <c r="M297" s="32">
        <f t="shared" si="54"/>
        <v>1.3697083693333301</v>
      </c>
      <c r="N297" s="32">
        <f t="shared" si="54"/>
        <v>1.3712341269999999</v>
      </c>
      <c r="O297" s="32">
        <f t="shared" si="54"/>
        <v>1.3252210929999999</v>
      </c>
      <c r="P297" s="32">
        <f t="shared" si="54"/>
        <v>1.2492090819999999</v>
      </c>
      <c r="Q297" s="32">
        <f t="shared" si="54"/>
        <v>1.126955505</v>
      </c>
      <c r="R297" s="32">
        <f t="shared" si="54"/>
        <v>1.104735909</v>
      </c>
      <c r="S297" s="32">
        <f t="shared" si="54"/>
        <v>1.11186706833333</v>
      </c>
      <c r="T297" s="32">
        <f t="shared" si="54"/>
        <v>1.0949424243333299</v>
      </c>
      <c r="U297" s="32">
        <f t="shared" si="54"/>
        <v>1.1017423016666601</v>
      </c>
      <c r="V297" s="32">
        <f t="shared" si="54"/>
        <v>1.12930634933333</v>
      </c>
      <c r="W297" s="32">
        <f t="shared" si="54"/>
        <v>1.1164117950000001</v>
      </c>
      <c r="X297" s="32">
        <f t="shared" si="54"/>
        <v>1.078930231</v>
      </c>
      <c r="Y297" s="32">
        <f t="shared" si="54"/>
        <v>1.0647251579999999</v>
      </c>
      <c r="Z297" s="32">
        <f t="shared" si="54"/>
        <v>1.1003207073333301</v>
      </c>
      <c r="AA297" s="32">
        <f t="shared" si="54"/>
        <v>1.1744151140000001</v>
      </c>
      <c r="AB297" s="32">
        <f t="shared" si="54"/>
        <v>1.177669139</v>
      </c>
      <c r="AC297" s="32">
        <f t="shared" si="54"/>
        <v>1.2294496826666601</v>
      </c>
      <c r="AD297" s="32">
        <f t="shared" si="54"/>
        <v>1.1922270993333299</v>
      </c>
      <c r="AE297" s="32">
        <f t="shared" si="54"/>
        <v>1.163112793</v>
      </c>
      <c r="AF297" s="32">
        <f t="shared" si="54"/>
        <v>1.1411705883333301</v>
      </c>
      <c r="AG297" s="32">
        <f t="shared" si="54"/>
        <v>1.13566784266666</v>
      </c>
      <c r="AH297" s="32">
        <f t="shared" si="54"/>
        <v>1.123874697</v>
      </c>
      <c r="AI297" s="32">
        <f t="shared" si="54"/>
        <v>1.11161744433333</v>
      </c>
      <c r="AJ297" s="32">
        <f t="shared" si="54"/>
        <v>1.1072322533333301</v>
      </c>
      <c r="AK297" s="32">
        <f t="shared" si="54"/>
        <v>1.1022924243333301</v>
      </c>
      <c r="AL297" s="32">
        <f t="shared" si="54"/>
        <v>1.1006113636666599</v>
      </c>
      <c r="AM297" s="32">
        <f t="shared" si="54"/>
        <v>1.1694631876666599</v>
      </c>
      <c r="AN297" s="32">
        <f t="shared" si="54"/>
        <v>1.1927604616666601</v>
      </c>
      <c r="AO297" s="32">
        <f t="shared" si="54"/>
        <v>1.20559456533333</v>
      </c>
      <c r="AP297" s="32">
        <f t="shared" si="54"/>
        <v>1.2057365223333301</v>
      </c>
      <c r="AQ297" s="32">
        <f t="shared" si="54"/>
        <v>1.1787984846666599</v>
      </c>
      <c r="AR297" s="32">
        <f t="shared" si="54"/>
        <v>1.1439768083333299</v>
      </c>
      <c r="AS297" s="32">
        <f t="shared" si="54"/>
        <v>1.12251109033333</v>
      </c>
      <c r="AT297" s="32">
        <f t="shared" si="54"/>
        <v>1.06543516733333</v>
      </c>
      <c r="AU297" s="32">
        <f t="shared" si="54"/>
        <v>1.00703707556666</v>
      </c>
      <c r="AV297" s="32">
        <f t="shared" si="54"/>
        <v>1.0205249639</v>
      </c>
      <c r="AW297" s="32">
        <f t="shared" si="54"/>
        <v>1.0729975363333299</v>
      </c>
      <c r="AX297" s="32">
        <f t="shared" si="54"/>
        <v>1.0891695286666601</v>
      </c>
      <c r="AY297" s="32">
        <f t="shared" si="54"/>
        <v>1.0883607316666599</v>
      </c>
      <c r="AZ297" s="32">
        <f t="shared" si="54"/>
        <v>1.07579417833333</v>
      </c>
      <c r="BA297" s="32">
        <f t="shared" si="54"/>
        <v>1.0857350216666599</v>
      </c>
      <c r="BB297" s="32">
        <f t="shared" si="54"/>
        <v>1.0766329723333301</v>
      </c>
      <c r="BC297" s="32">
        <f t="shared" si="54"/>
        <v>1.0987422926666599</v>
      </c>
      <c r="BD297" s="32">
        <f t="shared" si="54"/>
        <v>1.0671080230000001</v>
      </c>
      <c r="BE297" s="32">
        <f t="shared" si="54"/>
        <v>1.05243455966666</v>
      </c>
      <c r="BF297" s="32">
        <f t="shared" si="54"/>
        <v>1.13360627</v>
      </c>
      <c r="BG297" s="32">
        <f t="shared" si="54"/>
        <v>1.1680176046666599</v>
      </c>
      <c r="BH297" s="56">
        <f t="shared" si="54"/>
        <v>1.1593843123435801</v>
      </c>
      <c r="BI297" s="32">
        <f t="shared" ref="BI297:BP297" si="55">+BI145</f>
        <v>1.1587430402980099</v>
      </c>
      <c r="BJ297" s="32">
        <f t="shared" si="55"/>
        <v>1.15844397575386</v>
      </c>
      <c r="BK297" s="32">
        <f t="shared" si="55"/>
        <v>1.15772099163408</v>
      </c>
      <c r="BL297" s="32">
        <f t="shared" si="55"/>
        <v>1.15680801618038</v>
      </c>
      <c r="BM297" s="32">
        <f t="shared" si="55"/>
        <v>1.1559632961597299</v>
      </c>
      <c r="BN297" s="32">
        <f t="shared" si="55"/>
        <v>1.15530413974099</v>
      </c>
      <c r="BO297" s="32">
        <f t="shared" si="55"/>
        <v>1.1548449011869799</v>
      </c>
      <c r="BP297" s="32">
        <f t="shared" si="55"/>
        <v>1.15452432066974</v>
      </c>
      <c r="BQ297" s="32">
        <f t="shared" ref="BQ297:BT297" si="56">+BQ145</f>
        <v>1.1538078276616099</v>
      </c>
      <c r="BR297" s="32">
        <f t="shared" si="56"/>
        <v>1.15359589919767</v>
      </c>
      <c r="BS297" s="32">
        <f t="shared" si="56"/>
        <v>1.1534002139529</v>
      </c>
      <c r="BT297" s="32">
        <f t="shared" si="56"/>
        <v>1.1532180996849899</v>
      </c>
      <c r="BU297" s="32">
        <f>BT297</f>
        <v>1.1532180996849899</v>
      </c>
      <c r="BV297" s="41">
        <f t="shared" ref="BV297:CB298" si="57">BU297</f>
        <v>1.1532180996849899</v>
      </c>
      <c r="BW297" s="41">
        <f t="shared" si="57"/>
        <v>1.1532180996849899</v>
      </c>
      <c r="BX297" s="75">
        <f t="shared" si="57"/>
        <v>1.1532180996849899</v>
      </c>
      <c r="BY297" s="41">
        <f t="shared" si="57"/>
        <v>1.1532180996849899</v>
      </c>
      <c r="BZ297" s="41">
        <f t="shared" si="57"/>
        <v>1.1532180996849899</v>
      </c>
      <c r="CA297" s="41">
        <f t="shared" si="57"/>
        <v>1.1532180996849899</v>
      </c>
      <c r="CB297" s="41">
        <f t="shared" si="57"/>
        <v>1.1532180996849899</v>
      </c>
    </row>
    <row r="298" spans="1:85" ht="13.5" x14ac:dyDescent="0.7">
      <c r="A298" s="27" t="s">
        <v>40</v>
      </c>
      <c r="B298" s="26"/>
      <c r="C298" s="27" t="s">
        <v>265</v>
      </c>
      <c r="E298" s="32">
        <f>+E208</f>
        <v>0.64853150912094903</v>
      </c>
      <c r="F298" s="32">
        <f t="shared" ref="F298:BQ298" si="58">+F208</f>
        <v>0.65372044040781296</v>
      </c>
      <c r="G298" s="32">
        <f t="shared" si="58"/>
        <v>0.65837411079741004</v>
      </c>
      <c r="H298" s="32">
        <f t="shared" si="58"/>
        <v>0.65096486832020795</v>
      </c>
      <c r="I298" s="32">
        <f t="shared" si="58"/>
        <v>0.65714034197925097</v>
      </c>
      <c r="J298" s="32">
        <f t="shared" si="58"/>
        <v>0.66406269751095903</v>
      </c>
      <c r="K298" s="32">
        <f t="shared" si="58"/>
        <v>0.659986337352646</v>
      </c>
      <c r="L298" s="32">
        <f t="shared" si="58"/>
        <v>0.65107555007538598</v>
      </c>
      <c r="M298" s="32">
        <f t="shared" si="58"/>
        <v>0.64897101890377995</v>
      </c>
      <c r="N298" s="32">
        <f t="shared" si="58"/>
        <v>0.647033396521833</v>
      </c>
      <c r="O298" s="32">
        <f t="shared" si="58"/>
        <v>0.65702333365000098</v>
      </c>
      <c r="P298" s="32">
        <f t="shared" si="58"/>
        <v>0.68030313720399005</v>
      </c>
      <c r="Q298" s="32">
        <f t="shared" si="58"/>
        <v>0.71130147218670203</v>
      </c>
      <c r="R298" s="32">
        <f t="shared" si="58"/>
        <v>0.71549036244030495</v>
      </c>
      <c r="S298" s="32">
        <f t="shared" si="58"/>
        <v>0.71350255575193899</v>
      </c>
      <c r="T298" s="32">
        <f t="shared" si="58"/>
        <v>0.71876154421272598</v>
      </c>
      <c r="U298" s="32">
        <f t="shared" si="58"/>
        <v>0.71943216328409698</v>
      </c>
      <c r="V298" s="32">
        <f t="shared" si="58"/>
        <v>0.70959877397587501</v>
      </c>
      <c r="W298" s="32">
        <f t="shared" si="58"/>
        <v>0.71625382263969395</v>
      </c>
      <c r="X298" s="32">
        <f t="shared" si="58"/>
        <v>0.73272919959539995</v>
      </c>
      <c r="Y298" s="32">
        <f t="shared" si="58"/>
        <v>0.73862511349152704</v>
      </c>
      <c r="Z298" s="32">
        <f t="shared" si="58"/>
        <v>0.72830389461654099</v>
      </c>
      <c r="AA298" s="32">
        <f t="shared" si="58"/>
        <v>0.70975967293034803</v>
      </c>
      <c r="AB298" s="32">
        <f t="shared" si="58"/>
        <v>0.70870029044424798</v>
      </c>
      <c r="AC298" s="32">
        <f t="shared" si="58"/>
        <v>0.69085953113619103</v>
      </c>
      <c r="AD298" s="32">
        <f t="shared" si="58"/>
        <v>0.69958535139313005</v>
      </c>
      <c r="AE298" s="32">
        <f t="shared" si="58"/>
        <v>0.71415746192558605</v>
      </c>
      <c r="AF298" s="32">
        <f t="shared" si="58"/>
        <v>0.72104643044509098</v>
      </c>
      <c r="AG298" s="32">
        <f t="shared" si="58"/>
        <v>0.71815010253739697</v>
      </c>
      <c r="AH298" s="32">
        <f t="shared" si="58"/>
        <v>0.72213047707214295</v>
      </c>
      <c r="AI298" s="32">
        <f t="shared" si="58"/>
        <v>0.72773490797550799</v>
      </c>
      <c r="AJ298" s="32">
        <f t="shared" si="58"/>
        <v>0.72709676265548495</v>
      </c>
      <c r="AK298" s="32">
        <f t="shared" si="58"/>
        <v>0.72798471721845004</v>
      </c>
      <c r="AL298" s="32">
        <f t="shared" si="58"/>
        <v>0.73050118224893001</v>
      </c>
      <c r="AM298" s="32">
        <f t="shared" si="58"/>
        <v>0.71159403516432396</v>
      </c>
      <c r="AN298" s="32">
        <f t="shared" si="58"/>
        <v>0.70209848823732701</v>
      </c>
      <c r="AO298" s="32">
        <f t="shared" si="58"/>
        <v>0.69605202116604503</v>
      </c>
      <c r="AP298" s="32">
        <f t="shared" si="58"/>
        <v>0.69693099321001095</v>
      </c>
      <c r="AQ298" s="32">
        <f t="shared" si="58"/>
        <v>0.70329270033968605</v>
      </c>
      <c r="AR298" s="32">
        <f t="shared" si="58"/>
        <v>0.71184159124838198</v>
      </c>
      <c r="AS298" s="32">
        <f t="shared" si="58"/>
        <v>0.71719596112832296</v>
      </c>
      <c r="AT298" s="32">
        <f t="shared" si="58"/>
        <v>0.74176627439120302</v>
      </c>
      <c r="AU298" s="32">
        <f t="shared" si="58"/>
        <v>0.76501122207702799</v>
      </c>
      <c r="AV298" s="32">
        <f t="shared" si="58"/>
        <v>0.76739441218264004</v>
      </c>
      <c r="AW298" s="32">
        <f t="shared" si="58"/>
        <v>0.74641461470853199</v>
      </c>
      <c r="AX298" s="32">
        <f t="shared" si="58"/>
        <v>0.74556565399068098</v>
      </c>
      <c r="AY298" s="32">
        <f t="shared" si="58"/>
        <v>0.75061065317791398</v>
      </c>
      <c r="AZ298" s="32">
        <f t="shared" si="58"/>
        <v>0.75594167181118399</v>
      </c>
      <c r="BA298" s="32">
        <f t="shared" si="58"/>
        <v>0.75204816026683396</v>
      </c>
      <c r="BB298" s="32">
        <f t="shared" si="58"/>
        <v>0.75731737735120097</v>
      </c>
      <c r="BC298" s="32">
        <f t="shared" si="58"/>
        <v>0.74744597666276602</v>
      </c>
      <c r="BD298" s="32">
        <f t="shared" si="58"/>
        <v>0.75634872846627199</v>
      </c>
      <c r="BE298" s="32">
        <f t="shared" si="58"/>
        <v>0.76189657675343503</v>
      </c>
      <c r="BF298" s="32">
        <f t="shared" si="58"/>
        <v>0.73787580336163805</v>
      </c>
      <c r="BG298" s="32">
        <f t="shared" si="58"/>
        <v>0.73067361297028299</v>
      </c>
      <c r="BH298" s="56">
        <f t="shared" si="58"/>
        <v>0.73382184581617904</v>
      </c>
      <c r="BI298" s="32">
        <f t="shared" ref="BI298:BP298" si="59">+BI208</f>
        <v>0.72865001411925001</v>
      </c>
      <c r="BJ298" s="32">
        <f t="shared" si="59"/>
        <v>0.72753012143123197</v>
      </c>
      <c r="BK298" s="32">
        <f t="shared" si="59"/>
        <v>0.72705702648669202</v>
      </c>
      <c r="BL298" s="32">
        <f t="shared" si="59"/>
        <v>0.72671720702528897</v>
      </c>
      <c r="BM298" s="32">
        <f t="shared" si="59"/>
        <v>0.72637158785700795</v>
      </c>
      <c r="BN298" s="32">
        <f t="shared" si="59"/>
        <v>0.72605047070794304</v>
      </c>
      <c r="BO298" s="32">
        <f t="shared" si="59"/>
        <v>0.725703733496461</v>
      </c>
      <c r="BP298" s="32">
        <f t="shared" si="59"/>
        <v>0.72536100411302395</v>
      </c>
      <c r="BQ298" s="32">
        <f t="shared" ref="BQ298:BU298" si="60">+BQ208</f>
        <v>0.72501867891598204</v>
      </c>
      <c r="BR298" s="32">
        <f t="shared" si="60"/>
        <v>0.72477550303191796</v>
      </c>
      <c r="BS298" s="32">
        <f t="shared" si="60"/>
        <v>0.724579215232248</v>
      </c>
      <c r="BT298" s="32">
        <f t="shared" si="60"/>
        <v>0.72439769463256498</v>
      </c>
      <c r="BU298" s="32">
        <f>BT298</f>
        <v>0.72439769463256498</v>
      </c>
      <c r="BV298" s="41">
        <f t="shared" si="57"/>
        <v>0.72439769463256498</v>
      </c>
      <c r="BW298" s="41">
        <f t="shared" si="57"/>
        <v>0.72439769463256498</v>
      </c>
      <c r="BX298" s="75">
        <f t="shared" si="57"/>
        <v>0.72439769463256498</v>
      </c>
      <c r="BY298" s="41">
        <f t="shared" si="57"/>
        <v>0.72439769463256498</v>
      </c>
      <c r="BZ298" s="41">
        <f t="shared" si="57"/>
        <v>0.72439769463256498</v>
      </c>
      <c r="CA298" s="41">
        <f t="shared" si="57"/>
        <v>0.72439769463256498</v>
      </c>
      <c r="CB298" s="41">
        <f t="shared" si="57"/>
        <v>0.72439769463256498</v>
      </c>
    </row>
    <row r="299" spans="1:85" ht="13.5" x14ac:dyDescent="0.7">
      <c r="A299" s="25" t="s">
        <v>274</v>
      </c>
      <c r="B299" s="26"/>
      <c r="C299" s="27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56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51"/>
      <c r="BV299" s="41"/>
      <c r="BW299" s="41"/>
      <c r="BX299" s="75"/>
      <c r="BY299" s="41"/>
      <c r="BZ299" s="41"/>
      <c r="CA299" s="41"/>
      <c r="CB299" s="41"/>
      <c r="CD299" s="23" t="s">
        <v>400</v>
      </c>
    </row>
    <row r="300" spans="1:85" ht="13.5" x14ac:dyDescent="0.7">
      <c r="A300" s="27" t="s">
        <v>271</v>
      </c>
      <c r="B300" s="26"/>
      <c r="C300" s="27" t="s">
        <v>266</v>
      </c>
      <c r="E300" s="101">
        <v>0.76519999999999999</v>
      </c>
      <c r="F300" s="101">
        <v>0.73360000000000003</v>
      </c>
      <c r="G300" s="101">
        <v>0.70656666666666701</v>
      </c>
      <c r="H300" s="101">
        <v>0.54176666666666695</v>
      </c>
      <c r="I300" s="102">
        <f>+I265</f>
        <v>8.6666666666666697E-2</v>
      </c>
      <c r="J300" s="102">
        <f t="shared" ref="J300:BT302" si="61">+J265</f>
        <v>0.05</v>
      </c>
      <c r="K300" s="102">
        <f t="shared" si="61"/>
        <v>3.3333333333333298E-2</v>
      </c>
      <c r="L300" s="102">
        <f t="shared" si="61"/>
        <v>6.3333333333333297E-2</v>
      </c>
      <c r="M300" s="102">
        <f t="shared" si="61"/>
        <v>4.6666666666666697E-2</v>
      </c>
      <c r="N300" s="102">
        <f t="shared" si="61"/>
        <v>3.3333333333333298E-2</v>
      </c>
      <c r="O300" s="102">
        <f t="shared" si="61"/>
        <v>2.66666666666667E-2</v>
      </c>
      <c r="P300" s="102">
        <f t="shared" si="61"/>
        <v>2.33333333333333E-2</v>
      </c>
      <c r="Q300" s="102">
        <f t="shared" si="61"/>
        <v>2.66666666666667E-2</v>
      </c>
      <c r="R300" s="102">
        <f t="shared" si="61"/>
        <v>0.02</v>
      </c>
      <c r="S300" s="102">
        <f t="shared" si="61"/>
        <v>0.04</v>
      </c>
      <c r="T300" s="102">
        <f t="shared" si="61"/>
        <v>0.12666666666666701</v>
      </c>
      <c r="U300" s="102">
        <f t="shared" si="61"/>
        <v>0.28999999999999998</v>
      </c>
      <c r="V300" s="102">
        <f t="shared" si="61"/>
        <v>0.26</v>
      </c>
      <c r="W300" s="102">
        <f t="shared" si="61"/>
        <v>0.29666666666666702</v>
      </c>
      <c r="X300" s="102">
        <f t="shared" si="61"/>
        <v>0.43</v>
      </c>
      <c r="Y300" s="102">
        <f t="shared" si="61"/>
        <v>0.6</v>
      </c>
      <c r="Z300" s="102">
        <f t="shared" si="61"/>
        <v>0.90333333333333299</v>
      </c>
      <c r="AA300" s="102">
        <f t="shared" si="61"/>
        <v>1.05666666666667</v>
      </c>
      <c r="AB300" s="102">
        <f t="shared" si="61"/>
        <v>1.2266666666666699</v>
      </c>
      <c r="AC300" s="102">
        <f t="shared" si="61"/>
        <v>1.5833333333333299</v>
      </c>
      <c r="AD300" s="102">
        <f t="shared" si="61"/>
        <v>1.87666666666667</v>
      </c>
      <c r="AE300" s="102">
        <f t="shared" si="61"/>
        <v>2.0766666666666702</v>
      </c>
      <c r="AF300" s="102">
        <f t="shared" si="61"/>
        <v>2.35666666666667</v>
      </c>
      <c r="AG300" s="102">
        <f t="shared" si="61"/>
        <v>2.4366666666666701</v>
      </c>
      <c r="AH300" s="102">
        <f t="shared" si="61"/>
        <v>2.35</v>
      </c>
      <c r="AI300" s="102">
        <f t="shared" si="61"/>
        <v>2.0233333333333299</v>
      </c>
      <c r="AJ300" s="102">
        <f t="shared" si="61"/>
        <v>1.60666666666667</v>
      </c>
      <c r="AK300" s="102">
        <f t="shared" si="61"/>
        <v>1.1299999999999999</v>
      </c>
      <c r="AL300" s="102">
        <f t="shared" si="61"/>
        <v>0.14333333333333301</v>
      </c>
      <c r="AM300" s="102">
        <f t="shared" si="61"/>
        <v>0.11333333333333299</v>
      </c>
      <c r="AN300" s="102">
        <f t="shared" si="61"/>
        <v>9.3333333333333296E-2</v>
      </c>
      <c r="AO300" s="102">
        <f t="shared" si="61"/>
        <v>0.05</v>
      </c>
      <c r="AP300" s="102">
        <f t="shared" si="61"/>
        <v>2.66666666666667E-2</v>
      </c>
      <c r="AQ300" s="102">
        <f t="shared" si="61"/>
        <v>4.6666666666666697E-2</v>
      </c>
      <c r="AR300" s="102">
        <f t="shared" si="61"/>
        <v>5.3333333333333302E-2</v>
      </c>
      <c r="AS300" s="102">
        <f t="shared" si="61"/>
        <v>0.30333333333333301</v>
      </c>
      <c r="AT300" s="102">
        <f t="shared" si="61"/>
        <v>1.09666666666667</v>
      </c>
      <c r="AU300" s="102">
        <f t="shared" si="61"/>
        <v>2.7466666666666701</v>
      </c>
      <c r="AV300" s="102">
        <f t="shared" si="61"/>
        <v>4.18333333333333</v>
      </c>
      <c r="AW300" s="102">
        <f t="shared" si="61"/>
        <v>4.78</v>
      </c>
      <c r="AX300" s="102">
        <f t="shared" si="61"/>
        <v>5.2666666666666702</v>
      </c>
      <c r="AY300" s="102">
        <f t="shared" si="61"/>
        <v>5.5366666666666697</v>
      </c>
      <c r="AZ300" s="102">
        <f t="shared" si="61"/>
        <v>5.52</v>
      </c>
      <c r="BA300" s="102">
        <f t="shared" si="61"/>
        <v>5.4533333333333296</v>
      </c>
      <c r="BB300" s="102">
        <f t="shared" si="61"/>
        <v>5.47</v>
      </c>
      <c r="BC300" s="102">
        <f t="shared" si="61"/>
        <v>5.2166666666666703</v>
      </c>
      <c r="BD300" s="102">
        <f t="shared" si="61"/>
        <v>4.5766666666666698</v>
      </c>
      <c r="BE300" s="102">
        <f t="shared" si="61"/>
        <v>4.3366666666666696</v>
      </c>
      <c r="BF300" s="102">
        <f t="shared" si="61"/>
        <v>4.3666666666666698</v>
      </c>
      <c r="BG300" s="102">
        <f t="shared" si="61"/>
        <v>4.26</v>
      </c>
      <c r="BH300" s="103">
        <f t="shared" si="61"/>
        <v>3.7940999999999998</v>
      </c>
      <c r="BI300" s="102">
        <f t="shared" ref="BI300:BQ300" si="62">+BI265</f>
        <v>3.5440999999999998</v>
      </c>
      <c r="BJ300" s="102">
        <f t="shared" si="62"/>
        <v>3.5024333333333302</v>
      </c>
      <c r="BK300" s="102">
        <f t="shared" si="62"/>
        <v>3.2940999999999998</v>
      </c>
      <c r="BL300" s="102">
        <f t="shared" si="62"/>
        <v>3.2940999999999998</v>
      </c>
      <c r="BM300" s="102">
        <f t="shared" si="62"/>
        <v>3.2940999999999998</v>
      </c>
      <c r="BN300" s="102">
        <f t="shared" si="62"/>
        <v>3.2940999999999998</v>
      </c>
      <c r="BO300" s="102">
        <f t="shared" si="62"/>
        <v>3.1690999999999998</v>
      </c>
      <c r="BP300" s="102">
        <f t="shared" si="62"/>
        <v>3.0440999999999998</v>
      </c>
      <c r="BQ300" s="102">
        <f t="shared" ref="BQ300:BT300" si="63">+BQ265</f>
        <v>3.0440999999999998</v>
      </c>
      <c r="BR300" s="102">
        <f t="shared" si="63"/>
        <v>3.0440999999999998</v>
      </c>
      <c r="BS300" s="102">
        <f t="shared" si="63"/>
        <v>3.0440999999999998</v>
      </c>
      <c r="BT300" s="103">
        <f t="shared" si="63"/>
        <v>3.0440999999999998</v>
      </c>
      <c r="BU300" s="57">
        <f>+$CG300</f>
        <v>2.8461833333333302</v>
      </c>
      <c r="BV300" s="58">
        <f t="shared" ref="BV300:BX302" si="64">+$CG300</f>
        <v>2.8461833333333302</v>
      </c>
      <c r="BW300" s="58">
        <f t="shared" si="64"/>
        <v>2.8461833333333302</v>
      </c>
      <c r="BX300" s="58">
        <f>+$CG300</f>
        <v>2.8461833333333302</v>
      </c>
      <c r="BY300" s="58">
        <f t="shared" ref="BY300:CB302" si="65">BX300</f>
        <v>2.8461833333333302</v>
      </c>
      <c r="BZ300" s="58">
        <f t="shared" si="65"/>
        <v>2.8461833333333302</v>
      </c>
      <c r="CA300" s="58">
        <f t="shared" si="65"/>
        <v>2.8461833333333302</v>
      </c>
      <c r="CB300" s="58">
        <f t="shared" si="65"/>
        <v>2.8461833333333302</v>
      </c>
      <c r="CD300" s="22">
        <f>+'Complete DataSet A'!AH332</f>
        <v>3.4086833333333302</v>
      </c>
      <c r="CE300" s="22">
        <f>+'Complete DataSet A'!AI332</f>
        <v>3.2003499999999998</v>
      </c>
      <c r="CF300" s="22">
        <f>+'Complete DataSet A'!AJ332</f>
        <v>3.0440999999999998</v>
      </c>
      <c r="CG300" s="22">
        <f>+'Complete DataSet A'!AK332</f>
        <v>2.8461833333333302</v>
      </c>
    </row>
    <row r="301" spans="1:85" ht="13.5" x14ac:dyDescent="0.7">
      <c r="A301" s="27" t="s">
        <v>272</v>
      </c>
      <c r="B301" s="26"/>
      <c r="C301" s="27" t="s">
        <v>266</v>
      </c>
      <c r="E301" s="101">
        <v>1.0429333333333333</v>
      </c>
      <c r="F301" s="101">
        <v>0.69603333333333328</v>
      </c>
      <c r="G301" s="101">
        <v>0.35856666666666664</v>
      </c>
      <c r="H301" s="101">
        <v>0.19510000000000002</v>
      </c>
      <c r="I301" s="102">
        <f t="shared" ref="I301:X302" si="66">+I266</f>
        <v>3.8292187499999998E-2</v>
      </c>
      <c r="J301" s="102">
        <f t="shared" si="66"/>
        <v>2.5532307692307701E-2</v>
      </c>
      <c r="K301" s="102">
        <f t="shared" si="66"/>
        <v>4.0687878787878801E-2</v>
      </c>
      <c r="L301" s="102">
        <f t="shared" si="66"/>
        <v>6.9305084745762705E-2</v>
      </c>
      <c r="M301" s="102">
        <f t="shared" si="66"/>
        <v>9.67453125E-2</v>
      </c>
      <c r="N301" s="102">
        <f t="shared" si="66"/>
        <v>8.3838461538461501E-2</v>
      </c>
      <c r="O301" s="102">
        <f t="shared" si="66"/>
        <v>-1.5806060606060601E-2</v>
      </c>
      <c r="P301" s="102">
        <f t="shared" si="66"/>
        <v>-4.2534848484848502E-2</v>
      </c>
      <c r="Q301" s="102">
        <f t="shared" si="66"/>
        <v>-0.16427</v>
      </c>
      <c r="R301" s="102">
        <f t="shared" si="66"/>
        <v>-0.21822</v>
      </c>
      <c r="S301" s="102">
        <f t="shared" si="66"/>
        <v>-0.2382</v>
      </c>
      <c r="T301" s="102">
        <f t="shared" si="66"/>
        <v>-0.28774</v>
      </c>
      <c r="U301" s="102">
        <f t="shared" si="66"/>
        <v>-0.47484307692307698</v>
      </c>
      <c r="V301" s="102">
        <f t="shared" si="66"/>
        <v>-0.55059999999999998</v>
      </c>
      <c r="W301" s="102">
        <f t="shared" si="66"/>
        <v>-0.70170757575757503</v>
      </c>
      <c r="X301" s="102">
        <f t="shared" si="66"/>
        <v>-0.85607846153846101</v>
      </c>
      <c r="Y301" s="102">
        <f t="shared" si="61"/>
        <v>-0.87179692307692302</v>
      </c>
      <c r="Z301" s="102">
        <f t="shared" si="61"/>
        <v>-0.76135846153846198</v>
      </c>
      <c r="AA301" s="102">
        <f t="shared" si="61"/>
        <v>-0.77306153846153802</v>
      </c>
      <c r="AB301" s="102">
        <f t="shared" si="61"/>
        <v>-0.83701230769230806</v>
      </c>
      <c r="AC301" s="102">
        <f t="shared" si="61"/>
        <v>-0.72846307692307699</v>
      </c>
      <c r="AD301" s="102">
        <f t="shared" si="61"/>
        <v>-0.70827230769230798</v>
      </c>
      <c r="AE301" s="102">
        <f t="shared" si="61"/>
        <v>-0.72409076923076898</v>
      </c>
      <c r="AF301" s="102">
        <f t="shared" si="61"/>
        <v>-0.79467575757575803</v>
      </c>
      <c r="AG301" s="102">
        <f t="shared" si="61"/>
        <v>-0.61965000000000003</v>
      </c>
      <c r="AH301" s="102">
        <f t="shared" si="61"/>
        <v>-0.60911230769230795</v>
      </c>
      <c r="AI301" s="102">
        <f t="shared" si="61"/>
        <v>-0.74295454545454598</v>
      </c>
      <c r="AJ301" s="102">
        <f t="shared" si="61"/>
        <v>-0.68216818181818195</v>
      </c>
      <c r="AK301" s="102">
        <f t="shared" si="61"/>
        <v>-0.67303230769230704</v>
      </c>
      <c r="AL301" s="102">
        <f t="shared" si="61"/>
        <v>-0.59571384615384604</v>
      </c>
      <c r="AM301" s="102">
        <f t="shared" si="61"/>
        <v>-0.67581818181818198</v>
      </c>
      <c r="AN301" s="102">
        <f t="shared" si="61"/>
        <v>-0.73619999999999997</v>
      </c>
      <c r="AO301" s="102">
        <f t="shared" si="61"/>
        <v>-0.64861250000000004</v>
      </c>
      <c r="AP301" s="102">
        <f t="shared" si="61"/>
        <v>-0.65051846153846205</v>
      </c>
      <c r="AQ301" s="102">
        <f t="shared" si="61"/>
        <v>-0.70654242424242397</v>
      </c>
      <c r="AR301" s="102">
        <f t="shared" si="61"/>
        <v>-0.83950000000000002</v>
      </c>
      <c r="AS301" s="102">
        <f t="shared" si="61"/>
        <v>-0.74510312499999998</v>
      </c>
      <c r="AT301" s="102">
        <f t="shared" si="61"/>
        <v>-0.46406153846153803</v>
      </c>
      <c r="AU301" s="102">
        <f t="shared" si="61"/>
        <v>0.30509999999999998</v>
      </c>
      <c r="AV301" s="102">
        <f t="shared" si="61"/>
        <v>1.5343968750000001</v>
      </c>
      <c r="AW301" s="102">
        <f t="shared" si="61"/>
        <v>2.6044955555555598</v>
      </c>
      <c r="AX301" s="102">
        <f t="shared" si="61"/>
        <v>2.9837681318681302</v>
      </c>
      <c r="AY301" s="102">
        <f t="shared" si="61"/>
        <v>3.3729010869565199</v>
      </c>
      <c r="AZ301" s="102">
        <f t="shared" si="61"/>
        <v>3.61629130434783</v>
      </c>
      <c r="BA301" s="102">
        <f t="shared" si="61"/>
        <v>3.7443516483516501</v>
      </c>
      <c r="BB301" s="102">
        <f t="shared" si="61"/>
        <v>3.5807307692307702</v>
      </c>
      <c r="BC301" s="102">
        <f t="shared" si="61"/>
        <v>3.1942619565217401</v>
      </c>
      <c r="BD301" s="102">
        <f t="shared" si="61"/>
        <v>2.6660521739130401</v>
      </c>
      <c r="BE301" s="102">
        <f t="shared" si="61"/>
        <v>2.3099544444444402</v>
      </c>
      <c r="BF301" s="102">
        <f t="shared" si="61"/>
        <v>1.9482472527472501</v>
      </c>
      <c r="BG301" s="102">
        <f t="shared" si="61"/>
        <v>1.86889565217392</v>
      </c>
      <c r="BH301" s="103">
        <f t="shared" si="61"/>
        <v>1.8810300952381001</v>
      </c>
      <c r="BI301" s="102">
        <f t="shared" ref="BI301:BP301" si="67">+BI266</f>
        <v>2.0330652676402701</v>
      </c>
      <c r="BJ301" s="102">
        <f t="shared" si="67"/>
        <v>2.0330652676402701</v>
      </c>
      <c r="BK301" s="102">
        <f t="shared" si="67"/>
        <v>2.0330652676402701</v>
      </c>
      <c r="BL301" s="102">
        <f t="shared" si="67"/>
        <v>2.0330652676402701</v>
      </c>
      <c r="BM301" s="102">
        <f t="shared" si="67"/>
        <v>2.0330652676402701</v>
      </c>
      <c r="BN301" s="102">
        <f t="shared" si="67"/>
        <v>2.0330652676402701</v>
      </c>
      <c r="BO301" s="102">
        <f t="shared" si="67"/>
        <v>2.0330652676402701</v>
      </c>
      <c r="BP301" s="102">
        <f t="shared" si="67"/>
        <v>2.0330652676402701</v>
      </c>
      <c r="BQ301" s="102">
        <f t="shared" ref="BQ301:BT301" si="68">+BQ266</f>
        <v>2.0330652676402701</v>
      </c>
      <c r="BR301" s="102">
        <f t="shared" si="68"/>
        <v>2.0330652676402701</v>
      </c>
      <c r="BS301" s="102">
        <f t="shared" si="68"/>
        <v>2.0330652676402701</v>
      </c>
      <c r="BT301" s="103">
        <f t="shared" si="68"/>
        <v>2.0330652676402701</v>
      </c>
      <c r="BU301" s="57">
        <f t="shared" ref="BU301:BU302" si="69">+$CG301</f>
        <v>2.0330652676402701</v>
      </c>
      <c r="BV301" s="58">
        <f t="shared" si="64"/>
        <v>2.0330652676402701</v>
      </c>
      <c r="BW301" s="58">
        <f t="shared" si="64"/>
        <v>2.0330652676402701</v>
      </c>
      <c r="BX301" s="58">
        <f t="shared" si="64"/>
        <v>2.0330652676402701</v>
      </c>
      <c r="BY301" s="58">
        <f t="shared" si="65"/>
        <v>2.0330652676402701</v>
      </c>
      <c r="BZ301" s="58">
        <f t="shared" si="65"/>
        <v>2.0330652676402701</v>
      </c>
      <c r="CA301" s="58">
        <f t="shared" si="65"/>
        <v>2.0330652676402701</v>
      </c>
      <c r="CB301" s="58">
        <f t="shared" si="65"/>
        <v>2.0330652676402701</v>
      </c>
      <c r="CD301" s="22">
        <f>+'Complete DataSet A'!AH333</f>
        <v>2.0330652676402701</v>
      </c>
      <c r="CE301" s="22">
        <f>+'Complete DataSet A'!AI333</f>
        <v>2.0330652676402701</v>
      </c>
      <c r="CF301" s="22">
        <f>+'Complete DataSet A'!AJ333</f>
        <v>2.0330652676402701</v>
      </c>
      <c r="CG301" s="22">
        <f>+'Complete DataSet A'!AK333</f>
        <v>2.0330652676402701</v>
      </c>
    </row>
    <row r="302" spans="1:85" ht="13.5" x14ac:dyDescent="0.7">
      <c r="A302" s="27" t="s">
        <v>273</v>
      </c>
      <c r="B302" s="34" t="s">
        <v>267</v>
      </c>
      <c r="C302" s="27" t="s">
        <v>266</v>
      </c>
      <c r="E302" s="33"/>
      <c r="F302" s="33"/>
      <c r="G302" s="33"/>
      <c r="H302" s="33"/>
      <c r="I302" s="102">
        <f t="shared" si="66"/>
        <v>7.5117187500000099E-2</v>
      </c>
      <c r="J302" s="102">
        <f t="shared" si="61"/>
        <v>7.9784615384615398E-2</v>
      </c>
      <c r="K302" s="102">
        <f t="shared" si="61"/>
        <v>7.9886363636363603E-2</v>
      </c>
      <c r="L302" s="102">
        <f t="shared" si="61"/>
        <v>5.4128787878787901E-2</v>
      </c>
      <c r="M302" s="102">
        <f t="shared" si="61"/>
        <v>4.2382812499999999E-2</v>
      </c>
      <c r="N302" s="102">
        <f t="shared" si="61"/>
        <v>4.1434426229508201E-2</v>
      </c>
      <c r="O302" s="102">
        <f t="shared" si="61"/>
        <v>1.9538461538461501E-2</v>
      </c>
      <c r="P302" s="102">
        <f t="shared" si="61"/>
        <v>-1.17916666666667E-2</v>
      </c>
      <c r="Q302" s="102">
        <f t="shared" si="61"/>
        <v>-1.39375E-2</v>
      </c>
      <c r="R302" s="102">
        <f t="shared" si="61"/>
        <v>-4.6153846153846202E-3</v>
      </c>
      <c r="S302" s="102">
        <f t="shared" si="61"/>
        <v>-7.9824561403508808E-3</v>
      </c>
      <c r="T302" s="102">
        <f t="shared" si="61"/>
        <v>-2.9666666666666699E-2</v>
      </c>
      <c r="U302" s="102">
        <f t="shared" si="61"/>
        <v>-9.3738461538461507E-2</v>
      </c>
      <c r="V302" s="102">
        <f t="shared" si="61"/>
        <v>-0.26836923076923103</v>
      </c>
      <c r="W302" s="102">
        <f t="shared" si="61"/>
        <v>-0.28598484848484901</v>
      </c>
      <c r="X302" s="102">
        <f t="shared" si="61"/>
        <v>-0.33966153846153802</v>
      </c>
      <c r="Y302" s="102">
        <f t="shared" si="61"/>
        <v>-0.30958461538461601</v>
      </c>
      <c r="Z302" s="102">
        <f t="shared" si="61"/>
        <v>-0.12540000000000001</v>
      </c>
      <c r="AA302" s="102">
        <f t="shared" si="61"/>
        <v>-0.13443076923076899</v>
      </c>
      <c r="AB302" s="102">
        <f t="shared" si="61"/>
        <v>-0.19454687500000001</v>
      </c>
      <c r="AC302" s="102">
        <f t="shared" si="61"/>
        <v>-0.16595312500000001</v>
      </c>
      <c r="AD302" s="102">
        <f t="shared" si="61"/>
        <v>-0.1444375</v>
      </c>
      <c r="AE302" s="102">
        <f t="shared" si="61"/>
        <v>-0.14956923076923101</v>
      </c>
      <c r="AF302" s="102">
        <f t="shared" si="61"/>
        <v>-0.26737878787878799</v>
      </c>
      <c r="AG302" s="102">
        <f t="shared" si="61"/>
        <v>-0.19325000000000001</v>
      </c>
      <c r="AH302" s="102">
        <f t="shared" si="61"/>
        <v>-0.159723076923077</v>
      </c>
      <c r="AI302" s="102">
        <f t="shared" si="61"/>
        <v>-0.14262121212121201</v>
      </c>
      <c r="AJ302" s="102">
        <f t="shared" si="61"/>
        <v>-0.21210606060606099</v>
      </c>
      <c r="AK302" s="102">
        <f t="shared" si="61"/>
        <v>-0.185984615384615</v>
      </c>
      <c r="AL302" s="102">
        <f t="shared" si="61"/>
        <v>-0.13487692307692301</v>
      </c>
      <c r="AM302" s="102">
        <f t="shared" si="61"/>
        <v>-0.1045</v>
      </c>
      <c r="AN302" s="102">
        <f t="shared" si="61"/>
        <v>-0.10245454545454501</v>
      </c>
      <c r="AO302" s="102">
        <f t="shared" si="61"/>
        <v>-0.101109375</v>
      </c>
      <c r="AP302" s="102">
        <f t="shared" si="61"/>
        <v>-0.10532307692307701</v>
      </c>
      <c r="AQ302" s="102">
        <f t="shared" si="61"/>
        <v>-0.117666666666667</v>
      </c>
      <c r="AR302" s="102">
        <f t="shared" si="61"/>
        <v>-0.12803030303030299</v>
      </c>
      <c r="AS302" s="102">
        <f t="shared" si="61"/>
        <v>-9.4734375000000107E-2</v>
      </c>
      <c r="AT302" s="102">
        <f t="shared" si="61"/>
        <v>-0.130907692307692</v>
      </c>
      <c r="AU302" s="102">
        <f t="shared" si="61"/>
        <v>-0.14522727272727301</v>
      </c>
      <c r="AV302" s="102">
        <f t="shared" si="61"/>
        <v>-0.17103076923076899</v>
      </c>
      <c r="AW302" s="102">
        <f t="shared" si="61"/>
        <v>-0.190953846153846</v>
      </c>
      <c r="AX302" s="102">
        <f t="shared" si="61"/>
        <v>-0.17872307692307701</v>
      </c>
      <c r="AY302" s="102">
        <f t="shared" si="61"/>
        <v>-0.14953846153846201</v>
      </c>
      <c r="AZ302" s="102">
        <f t="shared" si="61"/>
        <v>-0.21063076923076901</v>
      </c>
      <c r="BA302" s="102">
        <f t="shared" si="61"/>
        <v>-0.12383076923076899</v>
      </c>
      <c r="BB302" s="102">
        <f t="shared" si="61"/>
        <v>1.6738461538461501E-2</v>
      </c>
      <c r="BC302" s="102">
        <f t="shared" si="61"/>
        <v>6.5803030303030294E-2</v>
      </c>
      <c r="BD302" s="102">
        <f t="shared" si="61"/>
        <v>7.9863636363636401E-2</v>
      </c>
      <c r="BE302" s="102">
        <f t="shared" si="61"/>
        <v>0.300328125</v>
      </c>
      <c r="BF302" s="102">
        <f t="shared" si="61"/>
        <v>0.390507692307692</v>
      </c>
      <c r="BG302" s="102">
        <f t="shared" si="61"/>
        <v>0.425651515151515</v>
      </c>
      <c r="BH302" s="103">
        <f t="shared" si="61"/>
        <v>0.51541555555555496</v>
      </c>
      <c r="BI302" s="102">
        <f t="shared" ref="BI302:BP302" si="70">+BI267</f>
        <v>0.61724945054945202</v>
      </c>
      <c r="BJ302" s="102">
        <f t="shared" si="70"/>
        <v>0.71212826086956704</v>
      </c>
      <c r="BK302" s="102">
        <f t="shared" si="70"/>
        <v>0.82951304347826205</v>
      </c>
      <c r="BL302" s="102">
        <f t="shared" si="70"/>
        <v>0.94361043478260898</v>
      </c>
      <c r="BM302" s="102">
        <f t="shared" si="70"/>
        <v>1.0577078260869599</v>
      </c>
      <c r="BN302" s="102">
        <f t="shared" si="70"/>
        <v>1.17180521739131</v>
      </c>
      <c r="BO302" s="102">
        <f t="shared" si="70"/>
        <v>1.28590260869565</v>
      </c>
      <c r="BP302" s="102">
        <f t="shared" si="70"/>
        <v>1.4</v>
      </c>
      <c r="BQ302" s="102">
        <f t="shared" ref="BQ302:BT302" si="71">+BQ267</f>
        <v>1.4</v>
      </c>
      <c r="BR302" s="102">
        <f t="shared" si="71"/>
        <v>1.4</v>
      </c>
      <c r="BS302" s="102">
        <f t="shared" si="71"/>
        <v>1.4</v>
      </c>
      <c r="BT302" s="103">
        <f t="shared" si="71"/>
        <v>1.4</v>
      </c>
      <c r="BU302" s="57">
        <f t="shared" si="69"/>
        <v>1.4</v>
      </c>
      <c r="BV302" s="58">
        <f t="shared" si="64"/>
        <v>1.4</v>
      </c>
      <c r="BW302" s="58">
        <f t="shared" si="64"/>
        <v>1.4</v>
      </c>
      <c r="BX302" s="58">
        <f t="shared" si="64"/>
        <v>1.4</v>
      </c>
      <c r="BY302" s="58">
        <f t="shared" si="65"/>
        <v>1.4</v>
      </c>
      <c r="BZ302" s="58">
        <f t="shared" si="65"/>
        <v>1.4</v>
      </c>
      <c r="CA302" s="58">
        <f t="shared" si="65"/>
        <v>1.4</v>
      </c>
      <c r="CB302" s="58">
        <f t="shared" si="65"/>
        <v>1.4</v>
      </c>
      <c r="CD302" s="22">
        <f>+'Complete DataSet A'!AH334</f>
        <v>0.77562529741997199</v>
      </c>
      <c r="CE302" s="22">
        <f>+'Complete DataSet A'!AI334</f>
        <v>1.2288539130434799</v>
      </c>
      <c r="CF302" s="22">
        <f>+'Complete DataSet A'!AJ334</f>
        <v>1.4</v>
      </c>
      <c r="CG302" s="22">
        <f>+'Complete DataSet A'!AK334</f>
        <v>1.4</v>
      </c>
    </row>
    <row r="303" spans="1:85" x14ac:dyDescent="0.65">
      <c r="A303" s="24" t="s">
        <v>268</v>
      </c>
    </row>
    <row r="307" spans="1:80" ht="13.5" x14ac:dyDescent="0.7">
      <c r="A307" s="25" t="s">
        <v>252</v>
      </c>
      <c r="B307" s="26" t="s">
        <v>398</v>
      </c>
      <c r="C307" s="26"/>
      <c r="E307" s="29" t="s">
        <v>318</v>
      </c>
      <c r="F307" s="29" t="s">
        <v>319</v>
      </c>
      <c r="G307" s="29" t="s">
        <v>320</v>
      </c>
      <c r="H307" s="29" t="s">
        <v>321</v>
      </c>
      <c r="I307" s="29" t="s">
        <v>322</v>
      </c>
      <c r="J307" s="29" t="s">
        <v>323</v>
      </c>
      <c r="K307" s="29" t="s">
        <v>324</v>
      </c>
      <c r="L307" s="29" t="s">
        <v>325</v>
      </c>
      <c r="M307" s="29" t="s">
        <v>326</v>
      </c>
      <c r="N307" s="29" t="s">
        <v>327</v>
      </c>
      <c r="O307" s="29" t="s">
        <v>328</v>
      </c>
      <c r="P307" s="29" t="s">
        <v>329</v>
      </c>
      <c r="Q307" s="29" t="s">
        <v>330</v>
      </c>
      <c r="R307" s="29" t="s">
        <v>331</v>
      </c>
      <c r="S307" s="29" t="s">
        <v>332</v>
      </c>
      <c r="T307" s="29" t="s">
        <v>333</v>
      </c>
      <c r="U307" s="29" t="s">
        <v>334</v>
      </c>
      <c r="V307" s="29" t="s">
        <v>335</v>
      </c>
      <c r="W307" s="29" t="s">
        <v>336</v>
      </c>
      <c r="X307" s="29" t="s">
        <v>337</v>
      </c>
      <c r="Y307" s="29" t="s">
        <v>338</v>
      </c>
      <c r="Z307" s="29" t="s">
        <v>339</v>
      </c>
      <c r="AA307" s="29" t="s">
        <v>340</v>
      </c>
      <c r="AB307" s="29" t="s">
        <v>341</v>
      </c>
      <c r="AC307" s="29" t="s">
        <v>342</v>
      </c>
      <c r="AD307" s="29" t="s">
        <v>343</v>
      </c>
      <c r="AE307" s="29" t="s">
        <v>344</v>
      </c>
      <c r="AF307" s="29" t="s">
        <v>345</v>
      </c>
      <c r="AG307" s="29" t="s">
        <v>346</v>
      </c>
      <c r="AH307" s="29" t="s">
        <v>347</v>
      </c>
      <c r="AI307" s="29" t="s">
        <v>348</v>
      </c>
      <c r="AJ307" s="29" t="s">
        <v>349</v>
      </c>
      <c r="AK307" s="29" t="s">
        <v>350</v>
      </c>
      <c r="AL307" s="29" t="s">
        <v>351</v>
      </c>
      <c r="AM307" s="29" t="s">
        <v>352</v>
      </c>
      <c r="AN307" s="29" t="s">
        <v>353</v>
      </c>
      <c r="AO307" s="29" t="s">
        <v>354</v>
      </c>
      <c r="AP307" s="29" t="s">
        <v>355</v>
      </c>
      <c r="AQ307" s="29" t="s">
        <v>356</v>
      </c>
      <c r="AR307" s="29" t="s">
        <v>357</v>
      </c>
      <c r="AS307" s="29" t="s">
        <v>358</v>
      </c>
      <c r="AT307" s="29" t="s">
        <v>359</v>
      </c>
      <c r="AU307" s="29" t="s">
        <v>360</v>
      </c>
      <c r="AV307" s="29" t="s">
        <v>361</v>
      </c>
      <c r="AW307" s="29" t="s">
        <v>362</v>
      </c>
      <c r="AX307" s="29" t="s">
        <v>363</v>
      </c>
      <c r="AY307" s="29" t="s">
        <v>364</v>
      </c>
      <c r="AZ307" s="29" t="s">
        <v>365</v>
      </c>
      <c r="BA307" s="29" t="s">
        <v>366</v>
      </c>
      <c r="BB307" s="29" t="s">
        <v>367</v>
      </c>
      <c r="BC307" s="29" t="s">
        <v>368</v>
      </c>
      <c r="BD307" s="29" t="s">
        <v>369</v>
      </c>
      <c r="BE307" s="29" t="s">
        <v>370</v>
      </c>
      <c r="BF307" s="29" t="s">
        <v>371</v>
      </c>
      <c r="BG307" s="29" t="s">
        <v>372</v>
      </c>
      <c r="BH307" s="29" t="s">
        <v>373</v>
      </c>
      <c r="BI307" s="43" t="s">
        <v>374</v>
      </c>
      <c r="BJ307" s="42" t="s">
        <v>375</v>
      </c>
      <c r="BK307" s="42" t="s">
        <v>376</v>
      </c>
      <c r="BL307" s="42" t="s">
        <v>377</v>
      </c>
      <c r="BM307" s="42" t="s">
        <v>380</v>
      </c>
      <c r="BN307" s="42" t="s">
        <v>381</v>
      </c>
      <c r="BO307" s="42" t="s">
        <v>382</v>
      </c>
      <c r="BP307" s="42" t="s">
        <v>383</v>
      </c>
      <c r="BQ307" s="42" t="s">
        <v>384</v>
      </c>
      <c r="BR307" s="42" t="s">
        <v>385</v>
      </c>
      <c r="BS307" s="42" t="s">
        <v>386</v>
      </c>
      <c r="BT307" s="42" t="s">
        <v>387</v>
      </c>
      <c r="BU307" s="43" t="s">
        <v>388</v>
      </c>
      <c r="BV307" s="42" t="s">
        <v>389</v>
      </c>
      <c r="BW307" s="42" t="s">
        <v>390</v>
      </c>
      <c r="BX307" s="42" t="s">
        <v>391</v>
      </c>
      <c r="BY307" s="42" t="s">
        <v>394</v>
      </c>
      <c r="BZ307" s="42" t="s">
        <v>395</v>
      </c>
      <c r="CA307" s="42" t="s">
        <v>396</v>
      </c>
      <c r="CB307" s="42" t="s">
        <v>397</v>
      </c>
    </row>
    <row r="308" spans="1:80" ht="13.5" x14ac:dyDescent="0.7">
      <c r="A308" s="27"/>
      <c r="B308" s="26"/>
      <c r="C308" s="121" t="s">
        <v>847</v>
      </c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104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44"/>
      <c r="BV308" s="45"/>
      <c r="BW308" s="45"/>
      <c r="BX308" s="45"/>
      <c r="BY308" s="45"/>
      <c r="BZ308" s="45"/>
      <c r="CA308" s="45"/>
      <c r="CB308" s="45"/>
    </row>
    <row r="309" spans="1:80" ht="13.5" x14ac:dyDescent="0.7">
      <c r="A309" s="25" t="s">
        <v>278</v>
      </c>
      <c r="B309" s="26"/>
      <c r="C309" s="119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59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46"/>
      <c r="BV309" s="47"/>
      <c r="BW309" s="47"/>
      <c r="BX309" s="47"/>
      <c r="BY309" s="47"/>
      <c r="BZ309" s="47"/>
      <c r="CA309" s="47"/>
      <c r="CB309" s="47"/>
    </row>
    <row r="310" spans="1:80" ht="13.5" x14ac:dyDescent="0.7">
      <c r="A310" s="27" t="s">
        <v>4</v>
      </c>
      <c r="B310" s="26"/>
      <c r="C310" s="119"/>
      <c r="E310" s="35">
        <v>4.1756370832479739E-3</v>
      </c>
      <c r="F310" s="31">
        <v>7.8958666627881868E-5</v>
      </c>
      <c r="G310" s="31">
        <v>6.0945209735230321E-4</v>
      </c>
      <c r="H310" s="31">
        <v>-1.4049456125092563E-3</v>
      </c>
      <c r="I310" s="31">
        <v>4.0400829770375069E-3</v>
      </c>
      <c r="J310" s="31">
        <v>4.2479659538772196E-3</v>
      </c>
      <c r="K310" s="31">
        <v>6.1259591499291943E-3</v>
      </c>
      <c r="L310" s="31">
        <v>4.7578824356466765E-3</v>
      </c>
      <c r="M310" s="31">
        <v>1.5669796916821799E-3</v>
      </c>
      <c r="N310" s="31">
        <v>5.0543349055431896E-3</v>
      </c>
      <c r="O310" s="31">
        <v>7.4413166666138508E-3</v>
      </c>
      <c r="P310" s="31">
        <v>4.3596883714940304E-3</v>
      </c>
      <c r="Q310" s="31">
        <v>7.2987049065573739E-3</v>
      </c>
      <c r="R310" s="31">
        <v>4.5791835394874969E-3</v>
      </c>
      <c r="S310" s="31">
        <v>3.2965757004430607E-3</v>
      </c>
      <c r="T310" s="31">
        <v>2.6821551532036914E-3</v>
      </c>
      <c r="U310" s="31">
        <v>5.8902523784951644E-3</v>
      </c>
      <c r="V310" s="31">
        <v>2.0151506034595812E-3</v>
      </c>
      <c r="W310" s="31">
        <v>5.2175342397500213E-3</v>
      </c>
      <c r="X310" s="31">
        <v>5.8367317158012355E-3</v>
      </c>
      <c r="Y310" s="31">
        <v>6.2399978908489473E-3</v>
      </c>
      <c r="Z310" s="31">
        <v>6.3603666564937544E-3</v>
      </c>
      <c r="AA310" s="31">
        <v>7.6164274217742634E-3</v>
      </c>
      <c r="AB310" s="31">
        <v>7.8874554830263843E-3</v>
      </c>
      <c r="AC310" s="31">
        <v>3.3755527774452787E-3</v>
      </c>
      <c r="AD310" s="31">
        <v>6.0120668239991293E-3</v>
      </c>
      <c r="AE310" s="31">
        <v>2.8975413832919017E-3</v>
      </c>
      <c r="AF310" s="31">
        <v>3.5964551134277656E-3</v>
      </c>
      <c r="AG310" s="31">
        <v>5.2448228484303083E-3</v>
      </c>
      <c r="AH310" s="31">
        <v>4.9766602008158856E-3</v>
      </c>
      <c r="AI310" s="31">
        <v>4.8819104908570665E-3</v>
      </c>
      <c r="AJ310" s="31">
        <v>-7.3595683862404115E-4</v>
      </c>
      <c r="AK310" s="31">
        <v>-2.0108332292580688E-2</v>
      </c>
      <c r="AL310" s="31">
        <v>-0.10314090827193734</v>
      </c>
      <c r="AM310" s="31">
        <v>9.8199735450092973E-2</v>
      </c>
      <c r="AN310" s="31">
        <v>7.1073910805563578E-3</v>
      </c>
      <c r="AO310" s="31">
        <v>6.962311384070663E-3</v>
      </c>
      <c r="AP310" s="31">
        <v>1.8352697214172986E-2</v>
      </c>
      <c r="AQ310" s="31">
        <v>1.2355527696980451E-2</v>
      </c>
      <c r="AR310" s="31">
        <v>1.1592522516658654E-2</v>
      </c>
      <c r="AS310" s="31">
        <v>9.7222127539620118E-4</v>
      </c>
      <c r="AT310" s="31">
        <v>4.4263648813382961E-3</v>
      </c>
      <c r="AU310" s="31">
        <v>4.4484149088344083E-3</v>
      </c>
      <c r="AV310" s="31">
        <v>2.4230253519703648E-3</v>
      </c>
      <c r="AW310" s="31">
        <v>3.4446763000857139E-3</v>
      </c>
      <c r="AX310" s="31">
        <v>3.8159965523592021E-3</v>
      </c>
      <c r="AY310" s="31">
        <v>3.0136368341138198E-3</v>
      </c>
      <c r="AZ310" s="31">
        <v>3.1672527895814095E-3</v>
      </c>
      <c r="BA310" s="31">
        <v>3.0269385475638622E-3</v>
      </c>
      <c r="BB310" s="31">
        <v>3.1045618394374142E-3</v>
      </c>
      <c r="BC310" s="31">
        <v>3.4194294916043422E-3</v>
      </c>
      <c r="BD310" s="31">
        <v>3.9781225653525709E-3</v>
      </c>
      <c r="BE310" s="31"/>
      <c r="BF310" s="31"/>
      <c r="BG310" s="31"/>
      <c r="BH310" s="31"/>
      <c r="BI310" s="60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48"/>
      <c r="BV310" s="49"/>
      <c r="BW310" s="49"/>
      <c r="BX310" s="49"/>
      <c r="BY310" s="49"/>
      <c r="BZ310" s="49"/>
      <c r="CA310" s="49"/>
      <c r="CB310" s="49"/>
    </row>
    <row r="311" spans="1:80" ht="13.5" x14ac:dyDescent="0.7">
      <c r="A311" s="27" t="s">
        <v>175</v>
      </c>
      <c r="B311" s="26"/>
      <c r="C311" s="120"/>
      <c r="E311" s="30"/>
      <c r="F311" s="30" t="s">
        <v>269</v>
      </c>
      <c r="G311" s="30" t="s">
        <v>269</v>
      </c>
      <c r="H311" s="30" t="s">
        <v>269</v>
      </c>
      <c r="I311" s="30" t="s">
        <v>269</v>
      </c>
      <c r="J311" s="30" t="s">
        <v>269</v>
      </c>
      <c r="K311" s="30" t="s">
        <v>269</v>
      </c>
      <c r="L311" s="30" t="s">
        <v>269</v>
      </c>
      <c r="M311" s="30" t="s">
        <v>269</v>
      </c>
      <c r="N311" s="30" t="s">
        <v>269</v>
      </c>
      <c r="O311" s="30" t="s">
        <v>269</v>
      </c>
      <c r="P311" s="30" t="s">
        <v>269</v>
      </c>
      <c r="Q311" s="30" t="s">
        <v>269</v>
      </c>
      <c r="R311" s="30" t="s">
        <v>269</v>
      </c>
      <c r="S311" s="30" t="s">
        <v>269</v>
      </c>
      <c r="T311" s="30" t="s">
        <v>269</v>
      </c>
      <c r="U311" s="30" t="s">
        <v>269</v>
      </c>
      <c r="V311" s="30" t="s">
        <v>269</v>
      </c>
      <c r="W311" s="30" t="s">
        <v>269</v>
      </c>
      <c r="X311" s="30" t="s">
        <v>269</v>
      </c>
      <c r="Y311" s="30" t="s">
        <v>269</v>
      </c>
      <c r="Z311" s="30" t="s">
        <v>269</v>
      </c>
      <c r="AA311" s="30" t="s">
        <v>269</v>
      </c>
      <c r="AB311" s="30" t="s">
        <v>269</v>
      </c>
      <c r="AC311" s="30" t="s">
        <v>269</v>
      </c>
      <c r="AD311" s="30" t="s">
        <v>269</v>
      </c>
      <c r="AE311" s="30" t="s">
        <v>269</v>
      </c>
      <c r="AF311" s="30" t="s">
        <v>269</v>
      </c>
      <c r="AG311" s="30" t="s">
        <v>269</v>
      </c>
      <c r="AH311" s="30" t="s">
        <v>269</v>
      </c>
      <c r="AI311" s="30" t="s">
        <v>269</v>
      </c>
      <c r="AJ311" s="30" t="s">
        <v>269</v>
      </c>
      <c r="AK311" s="30" t="s">
        <v>269</v>
      </c>
      <c r="AL311" s="30" t="s">
        <v>269</v>
      </c>
      <c r="AM311" s="30" t="s">
        <v>269</v>
      </c>
      <c r="AN311" s="30" t="s">
        <v>269</v>
      </c>
      <c r="AO311" s="30" t="s">
        <v>269</v>
      </c>
      <c r="AP311" s="30" t="s">
        <v>269</v>
      </c>
      <c r="AQ311" s="30" t="s">
        <v>269</v>
      </c>
      <c r="AR311" s="30" t="s">
        <v>269</v>
      </c>
      <c r="AS311" s="30" t="s">
        <v>269</v>
      </c>
      <c r="AT311" s="30" t="s">
        <v>269</v>
      </c>
      <c r="AU311" s="30" t="s">
        <v>269</v>
      </c>
      <c r="AV311" s="30" t="s">
        <v>269</v>
      </c>
      <c r="AW311" s="30" t="s">
        <v>269</v>
      </c>
      <c r="AX311" s="30" t="s">
        <v>269</v>
      </c>
      <c r="AY311" s="30" t="s">
        <v>269</v>
      </c>
      <c r="AZ311" s="30" t="s">
        <v>269</v>
      </c>
      <c r="BA311" s="30" t="s">
        <v>269</v>
      </c>
      <c r="BB311" s="30" t="s">
        <v>269</v>
      </c>
      <c r="BC311" s="30" t="s">
        <v>269</v>
      </c>
      <c r="BD311" s="30" t="s">
        <v>269</v>
      </c>
      <c r="BE311" s="30"/>
      <c r="BF311" s="30"/>
      <c r="BG311" s="30"/>
      <c r="BH311" s="30"/>
      <c r="BI311" s="59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46"/>
      <c r="BV311" s="47"/>
      <c r="BW311" s="47"/>
      <c r="BX311" s="47"/>
      <c r="BY311" s="47"/>
      <c r="BZ311" s="47"/>
      <c r="CA311" s="47"/>
      <c r="CB311" s="47"/>
    </row>
    <row r="312" spans="1:80" ht="13.5" x14ac:dyDescent="0.7">
      <c r="A312" s="25" t="s">
        <v>848</v>
      </c>
      <c r="B312" s="26"/>
      <c r="C312" s="118" t="s">
        <v>253</v>
      </c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59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46"/>
      <c r="BV312" s="47"/>
      <c r="BW312" s="47"/>
      <c r="BX312" s="47"/>
      <c r="BY312" s="47"/>
      <c r="BZ312" s="47"/>
      <c r="CA312" s="47"/>
      <c r="CB312" s="47"/>
    </row>
    <row r="313" spans="1:80" ht="13.5" x14ac:dyDescent="0.7">
      <c r="A313" s="27" t="s">
        <v>4</v>
      </c>
      <c r="B313" s="26"/>
      <c r="C313" s="119"/>
      <c r="E313" s="35">
        <v>3.8459577465732586E-3</v>
      </c>
      <c r="F313" s="31">
        <v>2.2961010148825345E-3</v>
      </c>
      <c r="G313" s="31">
        <v>3.7308349138962527E-3</v>
      </c>
      <c r="H313" s="31">
        <v>3.6095966095996967E-3</v>
      </c>
      <c r="I313" s="31">
        <v>4.202719782464559E-3</v>
      </c>
      <c r="J313" s="31">
        <v>2.5059071534960786E-3</v>
      </c>
      <c r="K313" s="31">
        <v>3.109711179094754E-3</v>
      </c>
      <c r="L313" s="31">
        <v>2.627562727067323E-3</v>
      </c>
      <c r="M313" s="31">
        <v>4.8189975522081596E-3</v>
      </c>
      <c r="N313" s="31">
        <v>4.752923330757719E-3</v>
      </c>
      <c r="O313" s="31">
        <v>3.045267123287676E-3</v>
      </c>
      <c r="P313" s="31">
        <v>1.7356162058985714E-3</v>
      </c>
      <c r="Q313" s="31">
        <v>2.8451682345815854E-3</v>
      </c>
      <c r="R313" s="31">
        <v>3.9633290180323133E-3</v>
      </c>
      <c r="S313" s="31">
        <v>3.2914940238075729E-3</v>
      </c>
      <c r="T313" s="31">
        <v>6.8748296830301037E-4</v>
      </c>
      <c r="U313" s="31">
        <v>1.2378688820069428E-3</v>
      </c>
      <c r="V313" s="31">
        <v>3.7797415274438695E-3</v>
      </c>
      <c r="W313" s="31">
        <v>2.5780268079100832E-3</v>
      </c>
      <c r="X313" s="31">
        <v>3.3764064050056941E-3</v>
      </c>
      <c r="Y313" s="31">
        <v>3.7514160615206293E-3</v>
      </c>
      <c r="Z313" s="31">
        <v>3.3888215560782253E-3</v>
      </c>
      <c r="AA313" s="31">
        <v>3.399512862047871E-3</v>
      </c>
      <c r="AB313" s="31">
        <v>5.2965914393439117E-3</v>
      </c>
      <c r="AC313" s="31">
        <v>4.5563390136520443E-3</v>
      </c>
      <c r="AD313" s="31">
        <v>5.2623772002831082E-3</v>
      </c>
      <c r="AE313" s="31">
        <v>3.0841955476572647E-3</v>
      </c>
      <c r="AF313" s="31">
        <v>3.1084099617546546E-3</v>
      </c>
      <c r="AG313" s="31">
        <v>4.7197349152741097E-3</v>
      </c>
      <c r="AH313" s="31">
        <v>4.5960451956665871E-3</v>
      </c>
      <c r="AI313" s="31">
        <v>3.4550037779916831E-3</v>
      </c>
      <c r="AJ313" s="31">
        <v>5.4661360068306575E-3</v>
      </c>
      <c r="AK313" s="31">
        <v>3.9952879522788809E-3</v>
      </c>
      <c r="AL313" s="31">
        <v>7.4906093835547249E-3</v>
      </c>
      <c r="AM313" s="31">
        <v>-2.497504490752922E-3</v>
      </c>
      <c r="AN313" s="31">
        <v>6.0849141762078229E-3</v>
      </c>
      <c r="AO313" s="31">
        <v>1.0182219890645161E-2</v>
      </c>
      <c r="AP313" s="31">
        <v>7.89851838180744E-3</v>
      </c>
      <c r="AQ313" s="31">
        <v>1.0771084132332298E-2</v>
      </c>
      <c r="AR313" s="31">
        <v>1.143123066505658E-2</v>
      </c>
      <c r="AS313" s="31">
        <v>1.6714808922542623E-2</v>
      </c>
      <c r="AT313" s="31">
        <v>1.6216786042257514E-2</v>
      </c>
      <c r="AU313" s="31">
        <v>7.8441395856605478E-3</v>
      </c>
      <c r="AV313" s="31">
        <v>1.3524932009186585E-2</v>
      </c>
      <c r="AW313" s="31">
        <v>1.3358005803099537E-2</v>
      </c>
      <c r="AX313" s="31">
        <v>9.8002600610742618E-3</v>
      </c>
      <c r="AY313" s="31">
        <v>3.4271871979811852E-3</v>
      </c>
      <c r="AZ313" s="31">
        <v>5.8726921106722063E-3</v>
      </c>
      <c r="BA313" s="31">
        <v>1.2147514244388979E-2</v>
      </c>
      <c r="BB313" s="31">
        <v>6.7774586463775766E-3</v>
      </c>
      <c r="BC313" s="31">
        <v>5.2944353282498025E-3</v>
      </c>
      <c r="BD313" s="31">
        <v>4.1898132642597119E-3</v>
      </c>
      <c r="BE313" s="31"/>
      <c r="BF313" s="31"/>
      <c r="BG313" s="31"/>
      <c r="BH313" s="31"/>
      <c r="BI313" s="60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48"/>
      <c r="BV313" s="49"/>
      <c r="BW313" s="49"/>
      <c r="BX313" s="49"/>
      <c r="BY313" s="49"/>
      <c r="BZ313" s="49"/>
      <c r="CA313" s="49"/>
      <c r="CB313" s="49"/>
    </row>
    <row r="314" spans="1:80" ht="13.5" x14ac:dyDescent="0.7">
      <c r="A314" s="25" t="s">
        <v>20</v>
      </c>
      <c r="B314" s="26"/>
      <c r="C314" s="12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59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46"/>
      <c r="BV314" s="47"/>
      <c r="BW314" s="47"/>
      <c r="BX314" s="47"/>
      <c r="BY314" s="47"/>
      <c r="BZ314" s="47"/>
      <c r="CA314" s="47"/>
      <c r="CB314" s="47"/>
    </row>
    <row r="315" spans="1:80" ht="13.5" x14ac:dyDescent="0.7">
      <c r="A315" s="27" t="s">
        <v>21</v>
      </c>
      <c r="B315" s="26"/>
      <c r="C315" s="27" t="s">
        <v>254</v>
      </c>
      <c r="E315" s="30" t="s">
        <v>269</v>
      </c>
      <c r="F315" s="30" t="s">
        <v>269</v>
      </c>
      <c r="G315" s="30" t="s">
        <v>269</v>
      </c>
      <c r="H315" s="30" t="s">
        <v>269</v>
      </c>
      <c r="I315" s="30" t="s">
        <v>269</v>
      </c>
      <c r="J315" s="30" t="s">
        <v>269</v>
      </c>
      <c r="K315" s="30" t="s">
        <v>269</v>
      </c>
      <c r="L315" s="30" t="s">
        <v>269</v>
      </c>
      <c r="M315" s="30" t="s">
        <v>269</v>
      </c>
      <c r="N315" s="30" t="s">
        <v>269</v>
      </c>
      <c r="O315" s="30" t="s">
        <v>269</v>
      </c>
      <c r="P315" s="30" t="s">
        <v>269</v>
      </c>
      <c r="Q315" s="30" t="s">
        <v>269</v>
      </c>
      <c r="R315" s="30" t="s">
        <v>269</v>
      </c>
      <c r="S315" s="30" t="s">
        <v>269</v>
      </c>
      <c r="T315" s="30" t="s">
        <v>269</v>
      </c>
      <c r="U315" s="30" t="s">
        <v>269</v>
      </c>
      <c r="V315" s="30" t="s">
        <v>269</v>
      </c>
      <c r="W315" s="30" t="s">
        <v>269</v>
      </c>
      <c r="X315" s="30" t="s">
        <v>269</v>
      </c>
      <c r="Y315" s="30" t="s">
        <v>269</v>
      </c>
      <c r="Z315" s="30" t="s">
        <v>269</v>
      </c>
      <c r="AA315" s="30" t="s">
        <v>269</v>
      </c>
      <c r="AB315" s="30" t="s">
        <v>269</v>
      </c>
      <c r="AC315" s="30" t="s">
        <v>269</v>
      </c>
      <c r="AD315" s="30" t="s">
        <v>269</v>
      </c>
      <c r="AE315" s="30" t="s">
        <v>269</v>
      </c>
      <c r="AF315" s="30" t="s">
        <v>269</v>
      </c>
      <c r="AG315" s="30" t="s">
        <v>269</v>
      </c>
      <c r="AH315" s="30" t="s">
        <v>269</v>
      </c>
      <c r="AI315" s="30" t="s">
        <v>269</v>
      </c>
      <c r="AJ315" s="30" t="s">
        <v>269</v>
      </c>
      <c r="AK315" s="30" t="s">
        <v>269</v>
      </c>
      <c r="AL315" s="30" t="s">
        <v>269</v>
      </c>
      <c r="AM315" s="30" t="s">
        <v>269</v>
      </c>
      <c r="AN315" s="30" t="s">
        <v>269</v>
      </c>
      <c r="AO315" s="30" t="s">
        <v>269</v>
      </c>
      <c r="AP315" s="30" t="s">
        <v>269</v>
      </c>
      <c r="AQ315" s="30" t="s">
        <v>269</v>
      </c>
      <c r="AR315" s="30" t="s">
        <v>269</v>
      </c>
      <c r="AS315" s="30" t="s">
        <v>269</v>
      </c>
      <c r="AT315" s="30" t="s">
        <v>269</v>
      </c>
      <c r="AU315" s="30" t="s">
        <v>269</v>
      </c>
      <c r="AV315" s="30" t="s">
        <v>269</v>
      </c>
      <c r="AW315" s="30" t="s">
        <v>269</v>
      </c>
      <c r="AX315" s="30" t="s">
        <v>269</v>
      </c>
      <c r="AY315" s="30" t="s">
        <v>269</v>
      </c>
      <c r="AZ315" s="30" t="s">
        <v>269</v>
      </c>
      <c r="BA315" s="30" t="s">
        <v>269</v>
      </c>
      <c r="BB315" s="30" t="s">
        <v>269</v>
      </c>
      <c r="BC315" s="30" t="s">
        <v>269</v>
      </c>
      <c r="BD315" s="30" t="s">
        <v>269</v>
      </c>
      <c r="BE315" s="30" t="s">
        <v>269</v>
      </c>
      <c r="BF315" s="30" t="s">
        <v>269</v>
      </c>
      <c r="BG315" s="30" t="s">
        <v>269</v>
      </c>
      <c r="BH315" s="30" t="s">
        <v>269</v>
      </c>
      <c r="BI315" s="59" t="s">
        <v>269</v>
      </c>
      <c r="BJ315" s="30" t="s">
        <v>269</v>
      </c>
      <c r="BK315" s="30" t="s">
        <v>269</v>
      </c>
      <c r="BL315" s="30" t="s">
        <v>269</v>
      </c>
      <c r="BM315" s="30" t="s">
        <v>269</v>
      </c>
      <c r="BN315" s="30" t="s">
        <v>269</v>
      </c>
      <c r="BO315" s="30" t="s">
        <v>269</v>
      </c>
      <c r="BP315" s="30" t="s">
        <v>269</v>
      </c>
      <c r="BQ315" s="30" t="s">
        <v>269</v>
      </c>
      <c r="BR315" s="30" t="s">
        <v>269</v>
      </c>
      <c r="BS315" s="30" t="s">
        <v>269</v>
      </c>
      <c r="BT315" s="30" t="s">
        <v>269</v>
      </c>
      <c r="BU315" s="46" t="s">
        <v>269</v>
      </c>
      <c r="BV315" s="47" t="s">
        <v>269</v>
      </c>
      <c r="BW315" s="47" t="s">
        <v>269</v>
      </c>
      <c r="BX315" s="47" t="s">
        <v>269</v>
      </c>
      <c r="BY315" s="47" t="s">
        <v>269</v>
      </c>
      <c r="BZ315" s="47" t="s">
        <v>269</v>
      </c>
      <c r="CA315" s="47" t="s">
        <v>269</v>
      </c>
      <c r="CB315" s="47" t="s">
        <v>269</v>
      </c>
    </row>
    <row r="316" spans="1:80" ht="13.5" x14ac:dyDescent="0.7">
      <c r="A316" s="25" t="s">
        <v>73</v>
      </c>
      <c r="B316" s="26"/>
      <c r="C316" s="27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59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46"/>
      <c r="BV316" s="47"/>
      <c r="BW316" s="47"/>
      <c r="BX316" s="47"/>
      <c r="BY316" s="47"/>
      <c r="BZ316" s="47"/>
      <c r="CA316" s="47"/>
      <c r="CB316" s="47"/>
    </row>
    <row r="317" spans="1:80" ht="13.5" x14ac:dyDescent="0.7">
      <c r="A317" s="27" t="s">
        <v>145</v>
      </c>
      <c r="B317" s="26"/>
      <c r="C317" s="27" t="s">
        <v>254</v>
      </c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59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50" t="s">
        <v>392</v>
      </c>
      <c r="BV317" s="47"/>
      <c r="BW317" s="47"/>
      <c r="BX317" s="47"/>
      <c r="BY317" s="47"/>
      <c r="BZ317" s="47"/>
      <c r="CA317" s="47"/>
      <c r="CB317" s="47"/>
    </row>
    <row r="318" spans="1:80" ht="13.5" x14ac:dyDescent="0.7">
      <c r="A318" s="27" t="s">
        <v>144</v>
      </c>
      <c r="B318" s="26"/>
      <c r="C318" s="27" t="s">
        <v>254</v>
      </c>
      <c r="E318" s="32">
        <v>119.87456011749389</v>
      </c>
      <c r="F318" s="32">
        <v>120.3091137903041</v>
      </c>
      <c r="G318" s="32">
        <v>120.19994411351516</v>
      </c>
      <c r="H318" s="32">
        <v>119.53507103844213</v>
      </c>
      <c r="I318" s="32">
        <v>117.91463481999034</v>
      </c>
      <c r="J318" s="32">
        <v>116.76416965100216</v>
      </c>
      <c r="K318" s="32">
        <v>115.84484437659971</v>
      </c>
      <c r="L318" s="32">
        <v>115.37135342146141</v>
      </c>
      <c r="M318" s="32">
        <v>115.72673315023238</v>
      </c>
      <c r="N318" s="32">
        <v>115.96046962829453</v>
      </c>
      <c r="O318" s="32">
        <v>116.10970955776797</v>
      </c>
      <c r="P318" s="32">
        <v>115.84552476030086</v>
      </c>
      <c r="Q318" s="32">
        <v>114.94776281760601</v>
      </c>
      <c r="R318" s="32">
        <v>113.50297136358228</v>
      </c>
      <c r="S318" s="32">
        <v>111.69757357194746</v>
      </c>
      <c r="T318" s="32">
        <v>109.8532647750956</v>
      </c>
      <c r="U318" s="32">
        <v>107.85816524086916</v>
      </c>
      <c r="V318" s="32">
        <v>106.73899619468156</v>
      </c>
      <c r="W318" s="32">
        <v>106.12174547506264</v>
      </c>
      <c r="X318" s="32">
        <v>105.92755204222586</v>
      </c>
      <c r="Y318" s="32">
        <v>106.25386812383279</v>
      </c>
      <c r="Z318" s="32">
        <v>106.51944931810817</v>
      </c>
      <c r="AA318" s="32">
        <v>106.88989597675042</v>
      </c>
      <c r="AB318" s="32">
        <v>107.3509795594312</v>
      </c>
      <c r="AC318" s="32">
        <v>108.00816374439275</v>
      </c>
      <c r="AD318" s="32">
        <v>108.63257092626776</v>
      </c>
      <c r="AE318" s="32">
        <v>109.25078983998127</v>
      </c>
      <c r="AF318" s="32">
        <v>109.73571658720037</v>
      </c>
      <c r="AG318" s="32">
        <v>110.14141218242787</v>
      </c>
      <c r="AH318" s="32">
        <v>109.95093368030847</v>
      </c>
      <c r="AI318" s="32">
        <v>109.3319001579636</v>
      </c>
      <c r="AJ318" s="32">
        <v>108.37341807063066</v>
      </c>
      <c r="AK318" s="32">
        <v>106.57473606604162</v>
      </c>
      <c r="AL318" s="32">
        <v>105.71824727075871</v>
      </c>
      <c r="AM318" s="32">
        <v>105.46110935522402</v>
      </c>
      <c r="AN318" s="32">
        <v>106.13620853259707</v>
      </c>
      <c r="AO318" s="32">
        <v>108.13313021314016</v>
      </c>
      <c r="AP318" s="32">
        <v>110.95830460189779</v>
      </c>
      <c r="AQ318" s="32">
        <v>114.48492464591908</v>
      </c>
      <c r="AR318" s="32">
        <v>118.1548880826534</v>
      </c>
      <c r="AS318" s="32">
        <v>122.37959215842025</v>
      </c>
      <c r="AT318" s="32">
        <v>124.52429697542698</v>
      </c>
      <c r="AU318" s="32">
        <v>125.37933361852338</v>
      </c>
      <c r="AV318" s="32">
        <v>125.04879866366578</v>
      </c>
      <c r="AW318" s="32">
        <v>122.7984071016902</v>
      </c>
      <c r="AX318" s="32">
        <v>121.57790477152926</v>
      </c>
      <c r="AY318" s="32">
        <v>120.79343225970662</v>
      </c>
      <c r="AZ318" s="32">
        <v>120.78589858939428</v>
      </c>
      <c r="BA318" s="32">
        <v>122.02375903761204</v>
      </c>
      <c r="BB318" s="32">
        <v>123.30419891539913</v>
      </c>
      <c r="BC318" s="32">
        <v>124.66004830490893</v>
      </c>
      <c r="BD318" s="32">
        <v>125.71837763694076</v>
      </c>
      <c r="BE318" s="32">
        <v>126.2387504199402</v>
      </c>
      <c r="BF318" s="32">
        <v>126.44214116963379</v>
      </c>
      <c r="BG318" s="32">
        <v>126.50557276964351</v>
      </c>
      <c r="BH318" s="32">
        <v>126.70061534119958</v>
      </c>
      <c r="BI318" s="61">
        <v>127.19839044630648</v>
      </c>
      <c r="BJ318" s="32">
        <v>127.93051326964726</v>
      </c>
      <c r="BK318" s="32">
        <v>128.73751088266695</v>
      </c>
      <c r="BL318" s="32">
        <v>129.40949309452458</v>
      </c>
      <c r="BM318" s="32">
        <v>129.77354687147482</v>
      </c>
      <c r="BN318" s="32">
        <v>129.98008723697419</v>
      </c>
      <c r="BO318" s="32">
        <v>130.14399246879572</v>
      </c>
      <c r="BP318" s="32">
        <v>130.46141697512124</v>
      </c>
      <c r="BQ318" s="32">
        <v>131.16460996969832</v>
      </c>
      <c r="BR318" s="32">
        <v>131.92473640482697</v>
      </c>
      <c r="BS318" s="32">
        <v>132.66088003260077</v>
      </c>
      <c r="BT318" s="32">
        <v>133.11547332440685</v>
      </c>
      <c r="BU318" s="51">
        <v>133.11547332440685</v>
      </c>
      <c r="BV318" s="41">
        <v>133.11547332440685</v>
      </c>
      <c r="BW318" s="41">
        <v>133.11547332440685</v>
      </c>
      <c r="BX318" s="41">
        <v>133.11547332440685</v>
      </c>
      <c r="BY318" s="41"/>
      <c r="BZ318" s="41"/>
      <c r="CA318" s="41"/>
      <c r="CB318" s="41"/>
    </row>
    <row r="319" spans="1:80" ht="13.5" x14ac:dyDescent="0.7">
      <c r="A319" s="25" t="s">
        <v>255</v>
      </c>
      <c r="B319" s="26"/>
      <c r="C319" s="27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62" t="s">
        <v>393</v>
      </c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51"/>
      <c r="BV319" s="41"/>
      <c r="BW319" s="41"/>
      <c r="BX319" s="41"/>
      <c r="BY319" s="41"/>
      <c r="BZ319" s="41"/>
      <c r="CA319" s="41"/>
      <c r="CB319" s="41"/>
    </row>
    <row r="320" spans="1:80" ht="13.5" x14ac:dyDescent="0.7">
      <c r="A320" s="27" t="s">
        <v>135</v>
      </c>
      <c r="B320" s="26"/>
      <c r="C320" s="28" t="s">
        <v>256</v>
      </c>
      <c r="E320" s="96">
        <v>242.84389551081918</v>
      </c>
      <c r="F320" s="96">
        <v>225.08664014169577</v>
      </c>
      <c r="G320" s="96">
        <v>223.08500343474205</v>
      </c>
      <c r="H320" s="96">
        <v>221.46836409070531</v>
      </c>
      <c r="I320" s="96">
        <v>227.32100584717784</v>
      </c>
      <c r="J320" s="96">
        <v>218.75753779023327</v>
      </c>
      <c r="K320" s="96">
        <v>229.53352036498981</v>
      </c>
      <c r="L320" s="96">
        <v>227.90750647751884</v>
      </c>
      <c r="M320" s="96">
        <v>229.46450841188687</v>
      </c>
      <c r="N320" s="96">
        <v>230.69254430390936</v>
      </c>
      <c r="O320" s="96">
        <v>216.9077076024586</v>
      </c>
      <c r="P320" s="96">
        <v>172.21802072310106</v>
      </c>
      <c r="Q320" s="96">
        <v>127.99715118674594</v>
      </c>
      <c r="R320" s="96">
        <v>134.05639849281673</v>
      </c>
      <c r="S320" s="96">
        <v>113.73048625309336</v>
      </c>
      <c r="T320" s="96">
        <v>100.14444860252927</v>
      </c>
      <c r="U320" s="96">
        <v>81.029943283529448</v>
      </c>
      <c r="V320" s="96">
        <v>100.24012879561627</v>
      </c>
      <c r="W320" s="96">
        <v>103.26084166987964</v>
      </c>
      <c r="X320" s="96">
        <v>115.46908625097463</v>
      </c>
      <c r="Y320" s="96">
        <v>123.07228571868593</v>
      </c>
      <c r="Z320" s="96">
        <v>113.86478715131692</v>
      </c>
      <c r="AA320" s="96">
        <v>118.15622227551046</v>
      </c>
      <c r="AB320" s="96">
        <v>138.10949682778084</v>
      </c>
      <c r="AC320" s="96">
        <v>149.10555283789907</v>
      </c>
      <c r="AD320" s="96">
        <v>159.27654342168353</v>
      </c>
      <c r="AE320" s="96">
        <v>166.74900269211909</v>
      </c>
      <c r="AF320" s="96">
        <v>151.00792985390066</v>
      </c>
      <c r="AG320" s="96">
        <v>135.05368076473584</v>
      </c>
      <c r="AH320" s="96">
        <v>134.13926837979565</v>
      </c>
      <c r="AI320" s="96">
        <v>121.76935134864431</v>
      </c>
      <c r="AJ320" s="96">
        <v>126.17761629218926</v>
      </c>
      <c r="AK320" s="96">
        <v>102.80853327220278</v>
      </c>
      <c r="AL320" s="96">
        <v>68.766525110104411</v>
      </c>
      <c r="AM320" s="96">
        <v>90.31376282136047</v>
      </c>
      <c r="AN320" s="96">
        <v>104.93074940794305</v>
      </c>
      <c r="AO320" s="96">
        <v>139.41590972487134</v>
      </c>
      <c r="AP320" s="96">
        <v>156.21544319997861</v>
      </c>
      <c r="AQ320" s="96">
        <v>192.67849835075745</v>
      </c>
      <c r="AR320" s="96">
        <v>244.04503945504811</v>
      </c>
      <c r="AS320" s="96">
        <v>277.73650007159216</v>
      </c>
      <c r="AT320" s="96">
        <v>311.77721250898162</v>
      </c>
      <c r="AU320" s="96">
        <v>350.12388863386781</v>
      </c>
      <c r="AV320" s="96">
        <v>258.40673530702196</v>
      </c>
      <c r="AW320" s="96">
        <v>203.67137780661093</v>
      </c>
      <c r="AX320" s="96">
        <v>175.80578666718597</v>
      </c>
      <c r="AY320" s="96">
        <v>189.25054850813902</v>
      </c>
      <c r="AZ320" s="96">
        <v>189.29234673813929</v>
      </c>
      <c r="BA320" s="96">
        <v>173.18654047732517</v>
      </c>
      <c r="BB320" s="96">
        <v>172.26184573735122</v>
      </c>
      <c r="BC320" s="96">
        <v>172.42117794279207</v>
      </c>
      <c r="BD320" s="96">
        <v>175.04849925547373</v>
      </c>
      <c r="BE320" s="96">
        <v>176.08020958478741</v>
      </c>
      <c r="BF320" s="96">
        <v>169.93016805710238</v>
      </c>
      <c r="BG320" s="96">
        <v>169.09305152680125</v>
      </c>
      <c r="BH320" s="96">
        <v>170.43860760752281</v>
      </c>
      <c r="BI320" s="105">
        <v>168.8118085186089</v>
      </c>
      <c r="BJ320" s="96">
        <v>167.20053686982629</v>
      </c>
      <c r="BK320" s="96">
        <v>165.60464445516808</v>
      </c>
      <c r="BL320" s="96">
        <v>164.02398448322117</v>
      </c>
      <c r="BM320" s="96">
        <v>162.89625148973974</v>
      </c>
      <c r="BN320" s="96">
        <v>161.77627212880537</v>
      </c>
      <c r="BO320" s="96">
        <v>160.66399309097511</v>
      </c>
      <c r="BP320" s="96">
        <v>159.55936143333057</v>
      </c>
      <c r="BQ320" s="96">
        <v>158.92085250101485</v>
      </c>
      <c r="BR320" s="96">
        <v>158.28489869083666</v>
      </c>
      <c r="BS320" s="96">
        <v>157.65148977795994</v>
      </c>
      <c r="BT320" s="96">
        <v>157.02061557846542</v>
      </c>
      <c r="BU320" s="52">
        <v>156.8031054925917</v>
      </c>
      <c r="BV320" s="53">
        <v>156.58589670879402</v>
      </c>
      <c r="BW320" s="53">
        <v>156.36898880969892</v>
      </c>
      <c r="BX320" s="53">
        <v>156.15238137851105</v>
      </c>
      <c r="BY320" s="53"/>
      <c r="BZ320" s="53"/>
      <c r="CA320" s="53"/>
      <c r="CB320" s="53"/>
    </row>
    <row r="321" spans="1:80" ht="13.5" x14ac:dyDescent="0.7">
      <c r="A321" s="27" t="s">
        <v>137</v>
      </c>
      <c r="B321" s="26"/>
      <c r="C321" s="27" t="s">
        <v>257</v>
      </c>
      <c r="E321" s="32">
        <v>112.41666185666186</v>
      </c>
      <c r="F321" s="32">
        <v>103.00314469749253</v>
      </c>
      <c r="G321" s="32">
        <v>102.99068445322793</v>
      </c>
      <c r="H321" s="32">
        <v>101.97597695380303</v>
      </c>
      <c r="I321" s="32">
        <v>105.20577340694733</v>
      </c>
      <c r="J321" s="32">
        <v>99.367261967501122</v>
      </c>
      <c r="K321" s="32">
        <v>107.44796526340004</v>
      </c>
      <c r="L321" s="32">
        <v>104.66626105778279</v>
      </c>
      <c r="M321" s="32">
        <v>103.80442247527031</v>
      </c>
      <c r="N321" s="32">
        <v>106.44512025012024</v>
      </c>
      <c r="O321" s="32">
        <v>100.46670932931802</v>
      </c>
      <c r="P321" s="32">
        <v>74.588258454106267</v>
      </c>
      <c r="Q321" s="32">
        <v>51.848595959595968</v>
      </c>
      <c r="R321" s="32">
        <v>60.516113516113514</v>
      </c>
      <c r="S321" s="32">
        <v>49.019454378150023</v>
      </c>
      <c r="T321" s="32">
        <v>42.263525524395085</v>
      </c>
      <c r="U321" s="32">
        <v>33.138265470439386</v>
      </c>
      <c r="V321" s="32">
        <v>45.288667628667632</v>
      </c>
      <c r="W321" s="32">
        <v>45.107305456218505</v>
      </c>
      <c r="X321" s="32">
        <v>49.521190476190469</v>
      </c>
      <c r="Y321" s="32">
        <v>53.191375933245496</v>
      </c>
      <c r="Z321" s="32">
        <v>49.663256258234519</v>
      </c>
      <c r="AA321" s="32">
        <v>50.343225212790422</v>
      </c>
      <c r="AB321" s="32">
        <v>58.712722462722461</v>
      </c>
      <c r="AC321" s="32">
        <v>64.743637900746592</v>
      </c>
      <c r="AD321" s="32">
        <v>71.646128364389227</v>
      </c>
      <c r="AE321" s="32">
        <v>73.302795564339036</v>
      </c>
      <c r="AF321" s="32">
        <v>64.437560909300032</v>
      </c>
      <c r="AG321" s="32">
        <v>60.702674028065324</v>
      </c>
      <c r="AH321" s="32">
        <v>64.985770092226616</v>
      </c>
      <c r="AI321" s="32">
        <v>59.739888951628075</v>
      </c>
      <c r="AJ321" s="32">
        <v>60.301003199698862</v>
      </c>
      <c r="AK321" s="32">
        <v>49.096131971892845</v>
      </c>
      <c r="AL321" s="32">
        <v>31.451851851851853</v>
      </c>
      <c r="AM321" s="32">
        <v>42.312498692933481</v>
      </c>
      <c r="AN321" s="32">
        <v>44.201507622811981</v>
      </c>
      <c r="AO321" s="32">
        <v>59.648475385323216</v>
      </c>
      <c r="AP321" s="32">
        <v>67.350889850889857</v>
      </c>
      <c r="AQ321" s="32">
        <v>71.707373737373743</v>
      </c>
      <c r="AR321" s="32">
        <v>78.293173766652032</v>
      </c>
      <c r="AS321" s="32">
        <v>95.353100989187951</v>
      </c>
      <c r="AT321" s="32">
        <v>109.42356661856661</v>
      </c>
      <c r="AU321" s="32">
        <v>95.474347616956308</v>
      </c>
      <c r="AV321" s="32">
        <v>85.197222222222209</v>
      </c>
      <c r="AW321" s="32">
        <v>79.560981554677213</v>
      </c>
      <c r="AX321" s="32">
        <v>76.476929292929285</v>
      </c>
      <c r="AY321" s="32">
        <v>84.926466528640432</v>
      </c>
      <c r="AZ321" s="32">
        <v>81.415252525252541</v>
      </c>
      <c r="BA321" s="32">
        <v>78.430000000000007</v>
      </c>
      <c r="BB321" s="32">
        <v>78.530319333333338</v>
      </c>
      <c r="BC321" s="32">
        <v>77.540720110999999</v>
      </c>
      <c r="BD321" s="32">
        <v>76.313059333333342</v>
      </c>
      <c r="BE321" s="32">
        <v>75.143309333666664</v>
      </c>
      <c r="BF321" s="32">
        <v>74.182131555333328</v>
      </c>
      <c r="BG321" s="32">
        <v>73.289109777666667</v>
      </c>
      <c r="BH321" s="32">
        <v>72.523894999999996</v>
      </c>
      <c r="BI321" s="61">
        <v>71.807101696830813</v>
      </c>
      <c r="BJ321" s="32">
        <v>71.097392853748445</v>
      </c>
      <c r="BK321" s="32">
        <v>70.394698451160778</v>
      </c>
      <c r="BL321" s="32">
        <v>69.698949161517604</v>
      </c>
      <c r="BM321" s="32">
        <v>69.233759053707303</v>
      </c>
      <c r="BN321" s="32">
        <v>68.771673753630949</v>
      </c>
      <c r="BO321" s="32">
        <v>68.312672538941044</v>
      </c>
      <c r="BP321" s="32">
        <v>67.856734825596789</v>
      </c>
      <c r="BQ321" s="32">
        <v>67.593479899244201</v>
      </c>
      <c r="BR321" s="32">
        <v>67.331246288703909</v>
      </c>
      <c r="BS321" s="32">
        <v>67.070030031710147</v>
      </c>
      <c r="BT321" s="32">
        <v>66.809827181368988</v>
      </c>
      <c r="BU321" s="32">
        <v>66.685090225363979</v>
      </c>
      <c r="BV321" s="32">
        <v>66.560586158873136</v>
      </c>
      <c r="BW321" s="32">
        <v>66.436314547081238</v>
      </c>
      <c r="BX321" s="32">
        <v>66.312274955984904</v>
      </c>
      <c r="BY321" s="41"/>
      <c r="BZ321" s="41"/>
      <c r="CA321" s="41"/>
      <c r="CB321" s="41"/>
    </row>
    <row r="322" spans="1:80" ht="13.5" x14ac:dyDescent="0.7">
      <c r="A322" s="27" t="s">
        <v>140</v>
      </c>
      <c r="B322" s="26"/>
      <c r="C322" s="28" t="s">
        <v>256</v>
      </c>
      <c r="E322" s="96">
        <v>120.51241957129527</v>
      </c>
      <c r="F322" s="96">
        <v>118.4869964672004</v>
      </c>
      <c r="G322" s="96">
        <v>123.59173989506819</v>
      </c>
      <c r="H322" s="96">
        <v>120.90166887463441</v>
      </c>
      <c r="I322" s="96">
        <v>121.67708520775115</v>
      </c>
      <c r="J322" s="96">
        <v>125.08612856548946</v>
      </c>
      <c r="K322" s="96">
        <v>119.16672873455134</v>
      </c>
      <c r="L322" s="96">
        <v>116.02610115958352</v>
      </c>
      <c r="M322" s="96">
        <v>122.30409468735449</v>
      </c>
      <c r="N322" s="96">
        <v>126.17678453163863</v>
      </c>
      <c r="O322" s="96">
        <v>115.33911674231943</v>
      </c>
      <c r="P322" s="96">
        <v>110.55558155025714</v>
      </c>
      <c r="Q322" s="96">
        <v>101.67391435487582</v>
      </c>
      <c r="R322" s="96">
        <v>100.65058213489148</v>
      </c>
      <c r="S322" s="96">
        <v>97.84409772789742</v>
      </c>
      <c r="T322" s="96">
        <v>93.98297190354991</v>
      </c>
      <c r="U322" s="96">
        <v>94.343764540202983</v>
      </c>
      <c r="V322" s="96">
        <v>101.69621711702099</v>
      </c>
      <c r="W322" s="96">
        <v>102.57136867341008</v>
      </c>
      <c r="X322" s="96">
        <v>101.38864966936598</v>
      </c>
      <c r="Y322" s="96">
        <v>105.66491780230403</v>
      </c>
      <c r="Z322" s="96">
        <v>104.18019263568927</v>
      </c>
      <c r="AA322" s="96">
        <v>103.26469350516949</v>
      </c>
      <c r="AB322" s="96">
        <v>102.07482731066466</v>
      </c>
      <c r="AC322" s="96">
        <v>106.20547173500381</v>
      </c>
      <c r="AD322" s="96">
        <v>106.38717471672406</v>
      </c>
      <c r="AE322" s="96">
        <v>99.106055385458362</v>
      </c>
      <c r="AF322" s="96">
        <v>98.322176292885729</v>
      </c>
      <c r="AG322" s="96">
        <v>99.100618809295042</v>
      </c>
      <c r="AH322" s="96">
        <v>99.958777255170261</v>
      </c>
      <c r="AI322" s="96">
        <v>98.195153827483963</v>
      </c>
      <c r="AJ322" s="96">
        <v>100.22630907721391</v>
      </c>
      <c r="AK322" s="96">
        <v>101.23800705475234</v>
      </c>
      <c r="AL322" s="96">
        <v>96.418667769612412</v>
      </c>
      <c r="AM322" s="96">
        <v>98.746200223798681</v>
      </c>
      <c r="AN322" s="96">
        <v>107.97942446299398</v>
      </c>
      <c r="AO322" s="96">
        <v>119.71828527898147</v>
      </c>
      <c r="AP322" s="96">
        <v>131.78406774737002</v>
      </c>
      <c r="AQ322" s="96">
        <v>129.77540733547363</v>
      </c>
      <c r="AR322" s="96">
        <v>132.13914420143828</v>
      </c>
      <c r="AS322" s="96">
        <v>150.50624193759623</v>
      </c>
      <c r="AT322" s="96">
        <v>161.46253563727802</v>
      </c>
      <c r="AU322" s="96">
        <v>139.97822938236195</v>
      </c>
      <c r="AV322" s="96">
        <v>137.66218781047291</v>
      </c>
      <c r="AW322" s="96">
        <v>142.40306983786593</v>
      </c>
      <c r="AX322" s="96">
        <v>140.2909246354109</v>
      </c>
      <c r="AY322" s="96">
        <v>132.94524918798444</v>
      </c>
      <c r="AZ322" s="96">
        <v>133.60990913855866</v>
      </c>
      <c r="BA322" s="96">
        <v>134.37774669630957</v>
      </c>
      <c r="BB322" s="96">
        <v>137.28792606551818</v>
      </c>
      <c r="BC322" s="96">
        <v>133.89842673989139</v>
      </c>
      <c r="BD322" s="96">
        <v>132.82994293047383</v>
      </c>
      <c r="BE322" s="96">
        <v>133.44372280382171</v>
      </c>
      <c r="BF322" s="96">
        <v>133.99645355623034</v>
      </c>
      <c r="BG322" s="96">
        <v>133.61480679182162</v>
      </c>
      <c r="BH322" s="96">
        <v>133.40662949369369</v>
      </c>
      <c r="BI322" s="105">
        <v>133.22920996658118</v>
      </c>
      <c r="BJ322" s="96">
        <v>133.05202639242484</v>
      </c>
      <c r="BK322" s="96">
        <v>132.87507845742721</v>
      </c>
      <c r="BL322" s="96">
        <v>132.69836584820814</v>
      </c>
      <c r="BM322" s="96">
        <v>132.69836584820814</v>
      </c>
      <c r="BN322" s="96">
        <v>132.69836584820814</v>
      </c>
      <c r="BO322" s="96">
        <v>132.69836584820814</v>
      </c>
      <c r="BP322" s="96">
        <v>132.69836584820814</v>
      </c>
      <c r="BQ322" s="96">
        <v>132.69836584820814</v>
      </c>
      <c r="BR322" s="96">
        <v>132.69836584820814</v>
      </c>
      <c r="BS322" s="96">
        <v>132.69836584820814</v>
      </c>
      <c r="BT322" s="96">
        <v>132.69836584820814</v>
      </c>
      <c r="BU322" s="52">
        <v>132.69836584820814</v>
      </c>
      <c r="BV322" s="53">
        <v>132.69836584820814</v>
      </c>
      <c r="BW322" s="53">
        <v>132.69836584820814</v>
      </c>
      <c r="BX322" s="53">
        <v>132.69836584820814</v>
      </c>
      <c r="BY322" s="53"/>
      <c r="BZ322" s="53"/>
      <c r="CA322" s="53"/>
      <c r="CB322" s="53"/>
    </row>
    <row r="323" spans="1:80" ht="13.5" x14ac:dyDescent="0.7">
      <c r="A323" s="27" t="s">
        <v>142</v>
      </c>
      <c r="B323" s="26"/>
      <c r="C323" s="28" t="s">
        <v>256</v>
      </c>
      <c r="E323" s="96">
        <v>135.32928186844231</v>
      </c>
      <c r="F323" s="96">
        <v>130.75330552563136</v>
      </c>
      <c r="G323" s="96">
        <v>122.01124018401595</v>
      </c>
      <c r="H323" s="96">
        <v>123.36946180606814</v>
      </c>
      <c r="I323" s="96">
        <v>125.23645739118929</v>
      </c>
      <c r="J323" s="96">
        <v>124.9540185447233</v>
      </c>
      <c r="K323" s="96">
        <v>119.52230994490385</v>
      </c>
      <c r="L323" s="96">
        <v>119.29314908853458</v>
      </c>
      <c r="M323" s="96">
        <v>119.29124423196818</v>
      </c>
      <c r="N323" s="96">
        <v>117.42837325400423</v>
      </c>
      <c r="O323" s="96">
        <v>109.7859320488372</v>
      </c>
      <c r="P323" s="96">
        <v>105.10042085371441</v>
      </c>
      <c r="Q323" s="96">
        <v>104.09474519312346</v>
      </c>
      <c r="R323" s="96">
        <v>104.66654333901784</v>
      </c>
      <c r="S323" s="96">
        <v>97.545961628682392</v>
      </c>
      <c r="T323" s="96">
        <v>94.406891112161659</v>
      </c>
      <c r="U323" s="96">
        <v>94.569023632889142</v>
      </c>
      <c r="V323" s="96">
        <v>100.58052306372252</v>
      </c>
      <c r="W323" s="96">
        <v>101.8479068008355</v>
      </c>
      <c r="X323" s="96">
        <v>103.00254650255287</v>
      </c>
      <c r="Y323" s="96">
        <v>109.68414084919419</v>
      </c>
      <c r="Z323" s="96">
        <v>106.6396778541141</v>
      </c>
      <c r="AA323" s="96">
        <v>103.00231846648637</v>
      </c>
      <c r="AB323" s="96">
        <v>102.20801315576885</v>
      </c>
      <c r="AC323" s="96">
        <v>110.31556908803474</v>
      </c>
      <c r="AD323" s="96">
        <v>110.18879542267477</v>
      </c>
      <c r="AE323" s="96">
        <v>106.6319899701128</v>
      </c>
      <c r="AF323" s="96">
        <v>102.82648629553239</v>
      </c>
      <c r="AG323" s="96">
        <v>104.5209024263749</v>
      </c>
      <c r="AH323" s="96">
        <v>105.26022196368773</v>
      </c>
      <c r="AI323" s="96">
        <v>98.754405259487513</v>
      </c>
      <c r="AJ323" s="96">
        <v>98.111809100380356</v>
      </c>
      <c r="AK323" s="96">
        <v>98.870199122222871</v>
      </c>
      <c r="AL323" s="96">
        <v>91.973478576120854</v>
      </c>
      <c r="AM323" s="96">
        <v>95.308471162430081</v>
      </c>
      <c r="AN323" s="96">
        <v>106.61854443990758</v>
      </c>
      <c r="AO323" s="96">
        <v>112.0654169629796</v>
      </c>
      <c r="AP323" s="96">
        <v>116.91769221792606</v>
      </c>
      <c r="AQ323" s="96">
        <v>110.33634905238547</v>
      </c>
      <c r="AR323" s="96">
        <v>114.20581175168449</v>
      </c>
      <c r="AS323" s="96">
        <v>125.33964256590536</v>
      </c>
      <c r="AT323" s="96">
        <v>132.83885064733863</v>
      </c>
      <c r="AU323" s="96">
        <v>115.97340386120736</v>
      </c>
      <c r="AV323" s="96">
        <v>105.4197080119787</v>
      </c>
      <c r="AW323" s="96">
        <v>102.61115026744426</v>
      </c>
      <c r="AX323" s="96">
        <v>100.77347220991419</v>
      </c>
      <c r="AY323" s="96">
        <v>101.20746127545125</v>
      </c>
      <c r="AZ323" s="96">
        <v>101.06454873490675</v>
      </c>
      <c r="BA323" s="96">
        <v>105.98284122351944</v>
      </c>
      <c r="BB323" s="96">
        <v>107.02275846033533</v>
      </c>
      <c r="BC323" s="96">
        <v>107.46609194622381</v>
      </c>
      <c r="BD323" s="96">
        <v>105.96037140981494</v>
      </c>
      <c r="BE323" s="96">
        <v>105.90249146397007</v>
      </c>
      <c r="BF323" s="96">
        <v>105.86095400390447</v>
      </c>
      <c r="BG323" s="96">
        <v>105.80557072381706</v>
      </c>
      <c r="BH323" s="96">
        <v>105.15897092943932</v>
      </c>
      <c r="BI323" s="105">
        <v>0</v>
      </c>
      <c r="BJ323" s="96">
        <v>0</v>
      </c>
      <c r="BK323" s="96">
        <v>0</v>
      </c>
      <c r="BL323" s="96">
        <v>0</v>
      </c>
      <c r="BM323" s="96">
        <v>0</v>
      </c>
      <c r="BN323" s="96">
        <v>0</v>
      </c>
      <c r="BO323" s="96">
        <v>0</v>
      </c>
      <c r="BP323" s="96">
        <v>0</v>
      </c>
      <c r="BQ323" s="96">
        <v>0</v>
      </c>
      <c r="BR323" s="96">
        <v>0</v>
      </c>
      <c r="BS323" s="96">
        <v>0</v>
      </c>
      <c r="BT323" s="96">
        <v>0</v>
      </c>
      <c r="BU323" s="52">
        <v>0</v>
      </c>
      <c r="BV323" s="53">
        <v>0</v>
      </c>
      <c r="BW323" s="53">
        <v>0</v>
      </c>
      <c r="BX323" s="53">
        <v>0</v>
      </c>
      <c r="BY323" s="53"/>
      <c r="BZ323" s="53"/>
      <c r="CA323" s="53"/>
      <c r="CB323" s="53"/>
    </row>
    <row r="324" spans="1:80" ht="13.5" x14ac:dyDescent="0.7">
      <c r="A324" s="27" t="s">
        <v>143</v>
      </c>
      <c r="B324" s="26"/>
      <c r="C324" s="28" t="s">
        <v>256</v>
      </c>
      <c r="E324" s="96">
        <v>186.06337472593748</v>
      </c>
      <c r="F324" s="96">
        <v>177.43568885476176</v>
      </c>
      <c r="G324" s="96">
        <v>159.1644800872912</v>
      </c>
      <c r="H324" s="96">
        <v>165.72666488684743</v>
      </c>
      <c r="I324" s="96">
        <v>180.59289760070644</v>
      </c>
      <c r="J324" s="96">
        <v>159.4049120287128</v>
      </c>
      <c r="K324" s="96">
        <v>160.04660345541319</v>
      </c>
      <c r="L324" s="96">
        <v>161.63332714483218</v>
      </c>
      <c r="M324" s="96">
        <v>154.19160501396087</v>
      </c>
      <c r="N324" s="96">
        <v>149.0443804784494</v>
      </c>
      <c r="O324" s="96">
        <v>146.64050040286313</v>
      </c>
      <c r="P324" s="96">
        <v>131.2153185460426</v>
      </c>
      <c r="Q324" s="96">
        <v>116.43545576561343</v>
      </c>
      <c r="R324" s="96">
        <v>113.35143090807786</v>
      </c>
      <c r="S324" s="96">
        <v>101.1970671281714</v>
      </c>
      <c r="T324" s="96">
        <v>91.434035198970108</v>
      </c>
      <c r="U324" s="96">
        <v>90.500301952100486</v>
      </c>
      <c r="V324" s="96">
        <v>96.636711512486258</v>
      </c>
      <c r="W324" s="96">
        <v>100.89638594927538</v>
      </c>
      <c r="X324" s="96">
        <v>111.96660058613791</v>
      </c>
      <c r="Y324" s="96">
        <v>125.76864479857564</v>
      </c>
      <c r="Z324" s="96">
        <v>112.80588320996088</v>
      </c>
      <c r="AA324" s="96">
        <v>123.43509296843024</v>
      </c>
      <c r="AB324" s="96">
        <v>126.7451447696847</v>
      </c>
      <c r="AC324" s="96">
        <v>135.56567144107422</v>
      </c>
      <c r="AD324" s="96">
        <v>134.51856303575076</v>
      </c>
      <c r="AE324" s="96">
        <v>125.51079906772553</v>
      </c>
      <c r="AF324" s="96">
        <v>125.55425917784093</v>
      </c>
      <c r="AG324" s="96">
        <v>131.94420576562649</v>
      </c>
      <c r="AH324" s="96">
        <v>140.08870209991002</v>
      </c>
      <c r="AI324" s="96">
        <v>138.60657543501335</v>
      </c>
      <c r="AJ324" s="96">
        <v>130.64183765428581</v>
      </c>
      <c r="AK324" s="96">
        <v>126.76467605569071</v>
      </c>
      <c r="AL324" s="96">
        <v>123.18214624601258</v>
      </c>
      <c r="AM324" s="96">
        <v>147.0182381154641</v>
      </c>
      <c r="AN324" s="96">
        <v>163.07507261615783</v>
      </c>
      <c r="AO324" s="96">
        <v>193.60173557548569</v>
      </c>
      <c r="AP324" s="96">
        <v>224.8606768710049</v>
      </c>
      <c r="AQ324" s="96">
        <v>214.14888200780288</v>
      </c>
      <c r="AR324" s="96">
        <v>189.0388657191838</v>
      </c>
      <c r="AS324" s="96">
        <v>219.65549054780857</v>
      </c>
      <c r="AT324" s="96">
        <v>213.26141896539306</v>
      </c>
      <c r="AU324" s="96">
        <v>171.02276243511437</v>
      </c>
      <c r="AV324" s="96">
        <v>171.6408434727613</v>
      </c>
      <c r="AW324" s="96">
        <v>203.83514572986869</v>
      </c>
      <c r="AX324" s="96">
        <v>184.23022857643141</v>
      </c>
      <c r="AY324" s="96">
        <v>179.60958266545961</v>
      </c>
      <c r="AZ324" s="96">
        <v>186.5153175342563</v>
      </c>
      <c r="BA324" s="96">
        <v>193.85371393283214</v>
      </c>
      <c r="BB324" s="96">
        <v>193.07661917239514</v>
      </c>
      <c r="BC324" s="96">
        <v>191.64417540961853</v>
      </c>
      <c r="BD324" s="96">
        <v>190.02682809741196</v>
      </c>
      <c r="BE324" s="96">
        <v>189.93204958172271</v>
      </c>
      <c r="BF324" s="96">
        <v>187.83991543659351</v>
      </c>
      <c r="BG324" s="96">
        <v>186.15358544989357</v>
      </c>
      <c r="BH324" s="96">
        <v>184.80317168597588</v>
      </c>
      <c r="BI324" s="105">
        <v>0</v>
      </c>
      <c r="BJ324" s="96">
        <v>0</v>
      </c>
      <c r="BK324" s="96">
        <v>0</v>
      </c>
      <c r="BL324" s="96">
        <v>0</v>
      </c>
      <c r="BM324" s="96">
        <v>0</v>
      </c>
      <c r="BN324" s="96">
        <v>0</v>
      </c>
      <c r="BO324" s="96">
        <v>0</v>
      </c>
      <c r="BP324" s="96">
        <v>0</v>
      </c>
      <c r="BQ324" s="96">
        <v>0</v>
      </c>
      <c r="BR324" s="96">
        <v>0</v>
      </c>
      <c r="BS324" s="96">
        <v>0</v>
      </c>
      <c r="BT324" s="96">
        <v>0</v>
      </c>
      <c r="BU324" s="52">
        <v>0</v>
      </c>
      <c r="BV324" s="53">
        <v>0</v>
      </c>
      <c r="BW324" s="53">
        <v>0</v>
      </c>
      <c r="BX324" s="53">
        <v>0</v>
      </c>
      <c r="BY324" s="53"/>
      <c r="BZ324" s="53"/>
      <c r="CA324" s="53"/>
      <c r="CB324" s="53"/>
    </row>
    <row r="325" spans="1:80" ht="13.5" x14ac:dyDescent="0.7">
      <c r="A325" s="27" t="s">
        <v>270</v>
      </c>
      <c r="B325" s="26"/>
      <c r="C325" s="27" t="s">
        <v>258</v>
      </c>
      <c r="E325" s="32">
        <v>220.87344877344879</v>
      </c>
      <c r="F325" s="32">
        <v>181.5000069013112</v>
      </c>
      <c r="G325" s="32">
        <v>181.41575230566536</v>
      </c>
      <c r="H325" s="32">
        <v>161.97712466277684</v>
      </c>
      <c r="I325" s="32">
        <v>152.1014955141477</v>
      </c>
      <c r="J325" s="32">
        <v>145.07746837944663</v>
      </c>
      <c r="K325" s="32">
        <v>135.27430359495577</v>
      </c>
      <c r="L325" s="32">
        <v>125.4840818119079</v>
      </c>
      <c r="M325" s="32">
        <v>173.4161425120773</v>
      </c>
      <c r="N325" s="32">
        <v>211.8625901875902</v>
      </c>
      <c r="O325" s="32">
        <v>206.79560637430203</v>
      </c>
      <c r="P325" s="32">
        <v>209.34924637681161</v>
      </c>
      <c r="Q325" s="32">
        <v>176.41692424242424</v>
      </c>
      <c r="R325" s="32">
        <v>160.74519480519481</v>
      </c>
      <c r="S325" s="32">
        <v>152.50555775142732</v>
      </c>
      <c r="T325" s="32">
        <v>149.94706662902317</v>
      </c>
      <c r="U325" s="32">
        <v>150.25440303657697</v>
      </c>
      <c r="V325" s="32">
        <v>158.28814574314572</v>
      </c>
      <c r="W325" s="32">
        <v>171.86685613903003</v>
      </c>
      <c r="X325" s="32">
        <v>174.95053391053389</v>
      </c>
      <c r="Y325" s="32">
        <v>165.03805401844534</v>
      </c>
      <c r="Z325" s="32">
        <v>149.59890909090913</v>
      </c>
      <c r="AA325" s="32">
        <v>148.74690821256038</v>
      </c>
      <c r="AB325" s="32">
        <v>139.63994227994229</v>
      </c>
      <c r="AC325" s="32">
        <v>136.69955928853756</v>
      </c>
      <c r="AD325" s="32">
        <v>134.66096618357486</v>
      </c>
      <c r="AE325" s="32">
        <v>125.66316864295123</v>
      </c>
      <c r="AF325" s="32">
        <v>133.83601261057782</v>
      </c>
      <c r="AG325" s="32">
        <v>126.89998757763975</v>
      </c>
      <c r="AH325" s="32">
        <v>123.75436166007906</v>
      </c>
      <c r="AI325" s="32">
        <v>130.21475531714663</v>
      </c>
      <c r="AJ325" s="32">
        <v>141.35394127611517</v>
      </c>
      <c r="AK325" s="32">
        <v>142.25476482213438</v>
      </c>
      <c r="AL325" s="32">
        <v>148.6888816738817</v>
      </c>
      <c r="AM325" s="32">
        <v>158.80561453039712</v>
      </c>
      <c r="AN325" s="32">
        <v>153.57853911788698</v>
      </c>
      <c r="AO325" s="32">
        <v>164.76646445824707</v>
      </c>
      <c r="AP325" s="32">
        <v>182.39201298701298</v>
      </c>
      <c r="AQ325" s="32">
        <v>215.49075757575756</v>
      </c>
      <c r="AR325" s="32">
        <v>256.12688186209925</v>
      </c>
      <c r="AS325" s="32">
        <v>269.96946894409939</v>
      </c>
      <c r="AT325" s="32">
        <v>266.53693362193366</v>
      </c>
      <c r="AU325" s="32">
        <v>263.96080588493641</v>
      </c>
      <c r="AV325" s="32">
        <v>221.39639971139968</v>
      </c>
      <c r="AW325" s="32">
        <v>219.64330434782607</v>
      </c>
      <c r="AX325" s="32">
        <v>219.15393478260873</v>
      </c>
      <c r="AY325" s="32">
        <v>187.81009661835751</v>
      </c>
      <c r="AZ325" s="32">
        <v>197.23167388167391</v>
      </c>
      <c r="BA325" s="32">
        <v>203.7700773</v>
      </c>
      <c r="BB325" s="32">
        <v>201.40204924</v>
      </c>
      <c r="BC325" s="32">
        <v>200.49754902000001</v>
      </c>
      <c r="BD325" s="32">
        <v>201.40204924</v>
      </c>
      <c r="BE325" s="32">
        <v>202.66286772999999</v>
      </c>
      <c r="BF325" s="32">
        <v>203.21104968</v>
      </c>
      <c r="BG325" s="32">
        <v>203.78664073499999</v>
      </c>
      <c r="BH325" s="32">
        <v>204.30741359000001</v>
      </c>
      <c r="BI325" s="61">
        <v>0</v>
      </c>
      <c r="BJ325" s="32">
        <v>0</v>
      </c>
      <c r="BK325" s="32">
        <v>0</v>
      </c>
      <c r="BL325" s="32">
        <v>0</v>
      </c>
      <c r="BM325" s="32">
        <v>0</v>
      </c>
      <c r="BN325" s="32">
        <v>0</v>
      </c>
      <c r="BO325" s="32">
        <v>0</v>
      </c>
      <c r="BP325" s="32">
        <v>0</v>
      </c>
      <c r="BQ325" s="32">
        <v>0</v>
      </c>
      <c r="BR325" s="32">
        <v>0</v>
      </c>
      <c r="BS325" s="32">
        <v>0</v>
      </c>
      <c r="BT325" s="32">
        <v>0</v>
      </c>
      <c r="BU325" s="51">
        <v>0</v>
      </c>
      <c r="BV325" s="41">
        <v>0</v>
      </c>
      <c r="BW325" s="41">
        <v>0</v>
      </c>
      <c r="BX325" s="41">
        <v>0</v>
      </c>
      <c r="BY325" s="41"/>
      <c r="BZ325" s="41"/>
      <c r="CA325" s="41"/>
      <c r="CB325" s="41"/>
    </row>
    <row r="326" spans="1:80" ht="13.5" x14ac:dyDescent="0.7">
      <c r="A326" s="27" t="s">
        <v>35</v>
      </c>
      <c r="B326" s="26"/>
      <c r="C326" s="27" t="s">
        <v>259</v>
      </c>
      <c r="E326" s="32">
        <v>339.75757575757575</v>
      </c>
      <c r="F326" s="32">
        <v>341</v>
      </c>
      <c r="G326" s="32">
        <v>352.33234202898558</v>
      </c>
      <c r="H326" s="32">
        <v>362.57058017023229</v>
      </c>
      <c r="I326" s="32">
        <v>319.05469279963205</v>
      </c>
      <c r="J326" s="32">
        <v>264.23267826086965</v>
      </c>
      <c r="K326" s="32">
        <v>244.8969763054981</v>
      </c>
      <c r="L326" s="32">
        <v>234.22068184955131</v>
      </c>
      <c r="M326" s="32">
        <v>247.90083423050393</v>
      </c>
      <c r="N326" s="32">
        <v>222.208</v>
      </c>
      <c r="O326" s="32">
        <v>233.70859351276746</v>
      </c>
      <c r="P326" s="32">
        <v>247.61278454106278</v>
      </c>
      <c r="Q326" s="32">
        <v>291.17680000000018</v>
      </c>
      <c r="R326" s="32">
        <v>320.14175661375657</v>
      </c>
      <c r="S326" s="32">
        <v>387.19323763515075</v>
      </c>
      <c r="T326" s="32">
        <v>363.03491695422139</v>
      </c>
      <c r="U326" s="32">
        <v>290.26497354497349</v>
      </c>
      <c r="V326" s="32">
        <v>251.38539682539681</v>
      </c>
      <c r="W326" s="32">
        <v>284.67111019093642</v>
      </c>
      <c r="X326" s="32">
        <v>323.39659259259287</v>
      </c>
      <c r="Y326" s="32">
        <v>369.23743574879262</v>
      </c>
      <c r="Z326" s="32">
        <v>371.59876714975871</v>
      </c>
      <c r="AA326" s="32">
        <v>365.19617391304359</v>
      </c>
      <c r="AB326" s="32">
        <v>342.77346673429537</v>
      </c>
      <c r="AC326" s="32">
        <v>334.74191446511094</v>
      </c>
      <c r="AD326" s="32">
        <v>297.51696462654894</v>
      </c>
      <c r="AE326" s="32">
        <v>282.05219832491497</v>
      </c>
      <c r="AF326" s="32">
        <v>278.72950637931103</v>
      </c>
      <c r="AG326" s="32">
        <v>272.99500360109306</v>
      </c>
      <c r="AH326" s="32">
        <v>262.04412912443951</v>
      </c>
      <c r="AI326" s="32">
        <v>258.74442189594453</v>
      </c>
      <c r="AJ326" s="32">
        <v>279.32178179992439</v>
      </c>
      <c r="AK326" s="32">
        <v>269.30200105545464</v>
      </c>
      <c r="AL326" s="32">
        <v>244.44821905312401</v>
      </c>
      <c r="AM326" s="32">
        <v>249.52035886818507</v>
      </c>
      <c r="AN326" s="32">
        <v>252.46189448772103</v>
      </c>
      <c r="AO326" s="32">
        <v>256.75032710710951</v>
      </c>
      <c r="AP326" s="32">
        <v>237.31596226964089</v>
      </c>
      <c r="AQ326" s="32">
        <v>258.67005201882586</v>
      </c>
      <c r="AR326" s="32">
        <v>316.07731639682828</v>
      </c>
      <c r="AS326" s="32">
        <v>302.96194161904396</v>
      </c>
      <c r="AT326" s="32">
        <v>266.46615630811829</v>
      </c>
      <c r="AU326" s="32">
        <v>265.15767470429273</v>
      </c>
      <c r="AV326" s="32">
        <v>277.20590883533669</v>
      </c>
      <c r="AW326" s="32">
        <v>269.39594691135989</v>
      </c>
      <c r="AX326" s="32">
        <v>263.34444288878603</v>
      </c>
      <c r="AY326" s="32">
        <v>302.48441563570083</v>
      </c>
      <c r="AZ326" s="32">
        <v>325.63788527548735</v>
      </c>
      <c r="BA326" s="32">
        <v>317.22849359999998</v>
      </c>
      <c r="BB326" s="32">
        <v>317.22849359999998</v>
      </c>
      <c r="BC326" s="32">
        <v>317.22849359999998</v>
      </c>
      <c r="BD326" s="32">
        <v>317.22849359999998</v>
      </c>
      <c r="BE326" s="32">
        <v>317.22849359999998</v>
      </c>
      <c r="BF326" s="32">
        <v>317.22849359999998</v>
      </c>
      <c r="BG326" s="32">
        <v>317.22849359999998</v>
      </c>
      <c r="BH326" s="32">
        <v>317.22849359999998</v>
      </c>
      <c r="BI326" s="61">
        <v>0</v>
      </c>
      <c r="BJ326" s="32">
        <v>0</v>
      </c>
      <c r="BK326" s="32">
        <v>0</v>
      </c>
      <c r="BL326" s="32">
        <v>0</v>
      </c>
      <c r="BM326" s="32">
        <v>0</v>
      </c>
      <c r="BN326" s="32">
        <v>0</v>
      </c>
      <c r="BO326" s="32">
        <v>0</v>
      </c>
      <c r="BP326" s="32">
        <v>0</v>
      </c>
      <c r="BQ326" s="32">
        <v>0</v>
      </c>
      <c r="BR326" s="32">
        <v>0</v>
      </c>
      <c r="BS326" s="32">
        <v>0</v>
      </c>
      <c r="BT326" s="32">
        <v>0</v>
      </c>
      <c r="BU326" s="51">
        <v>0</v>
      </c>
      <c r="BV326" s="41">
        <v>0</v>
      </c>
      <c r="BW326" s="41">
        <v>0</v>
      </c>
      <c r="BX326" s="41">
        <v>0</v>
      </c>
      <c r="BY326" s="41"/>
      <c r="BZ326" s="41"/>
      <c r="CA326" s="41"/>
      <c r="CB326" s="41"/>
    </row>
    <row r="327" spans="1:80" ht="13.5" x14ac:dyDescent="0.7">
      <c r="A327" s="27" t="s">
        <v>29</v>
      </c>
      <c r="B327" s="26"/>
      <c r="C327" s="27" t="s">
        <v>260</v>
      </c>
      <c r="E327" s="32">
        <v>73.412675303266397</v>
      </c>
      <c r="F327" s="32">
        <v>82.086142383974931</v>
      </c>
      <c r="G327" s="32">
        <v>84.618181089531205</v>
      </c>
      <c r="H327" s="32">
        <v>86.44212140219004</v>
      </c>
      <c r="I327" s="32">
        <v>91.81154432175579</v>
      </c>
      <c r="J327" s="32">
        <v>99.110717525892866</v>
      </c>
      <c r="K327" s="32" t="s">
        <v>849</v>
      </c>
      <c r="L327" s="32">
        <v>97.162473742649468</v>
      </c>
      <c r="M327" s="32">
        <v>103.94416378003991</v>
      </c>
      <c r="N327" s="32">
        <v>107.34932380717224</v>
      </c>
      <c r="O327" s="32">
        <v>105.66363383904944</v>
      </c>
      <c r="P327" s="32">
        <v>109.31953385278059</v>
      </c>
      <c r="Q327" s="32">
        <v>99.431324694686467</v>
      </c>
      <c r="R327" s="32">
        <v>100.4643452579643</v>
      </c>
      <c r="S327" s="32">
        <v>79.590019112752003</v>
      </c>
      <c r="T327" s="32">
        <v>72.061104428236732</v>
      </c>
      <c r="U327" s="32">
        <v>72.735828203537409</v>
      </c>
      <c r="V327" s="32">
        <v>72.949527958466717</v>
      </c>
      <c r="W327" s="32">
        <v>73.360676042491676</v>
      </c>
      <c r="X327" s="32">
        <v>74.063134502345918</v>
      </c>
      <c r="Y327" s="32">
        <v>75.785743198600485</v>
      </c>
      <c r="Z327" s="32">
        <v>74.420500388733231</v>
      </c>
      <c r="AA327" s="32">
        <v>65.634699211116953</v>
      </c>
      <c r="AB327" s="32">
        <v>60.974688983573913</v>
      </c>
      <c r="AC327" s="32">
        <v>66.396122249498077</v>
      </c>
      <c r="AD327" s="32">
        <v>62.481866127224656</v>
      </c>
      <c r="AE327" s="32">
        <v>57.649529752600195</v>
      </c>
      <c r="AF327" s="32">
        <v>53.274603136396671</v>
      </c>
      <c r="AG327" s="32">
        <v>47.432608836652207</v>
      </c>
      <c r="AH327" s="32">
        <v>42.707846226803291</v>
      </c>
      <c r="AI327" s="32">
        <v>34.41587691799689</v>
      </c>
      <c r="AJ327" s="32">
        <v>38.671752485398166</v>
      </c>
      <c r="AK327" s="32">
        <v>39.226486742424157</v>
      </c>
      <c r="AL327" s="32">
        <v>35.412096527925591</v>
      </c>
      <c r="AM327" s="32">
        <v>29.525372750524156</v>
      </c>
      <c r="AN327" s="32">
        <v>30.104897477083597</v>
      </c>
      <c r="AO327" s="32">
        <v>37.904705644301806</v>
      </c>
      <c r="AP327" s="32">
        <v>40.446767277351782</v>
      </c>
      <c r="AQ327" s="32">
        <v>54.127626920563948</v>
      </c>
      <c r="AR327" s="32">
        <v>57.196067885840989</v>
      </c>
      <c r="AS327" s="32">
        <v>58.054542558941939</v>
      </c>
      <c r="AT327" s="32">
        <v>57.702435048778796</v>
      </c>
      <c r="AU327" s="32">
        <v>56.917119277980369</v>
      </c>
      <c r="AV327" s="32">
        <v>57.551790307894343</v>
      </c>
      <c r="AW327" s="32">
        <v>58.580295547403573</v>
      </c>
      <c r="AX327" s="32">
        <v>59.757258559920558</v>
      </c>
      <c r="AY327" s="32">
        <v>58.468579672407053</v>
      </c>
      <c r="AZ327" s="32">
        <v>57.729758752312335</v>
      </c>
      <c r="BA327" s="32">
        <v>58.538501830000001</v>
      </c>
      <c r="BB327" s="32">
        <v>58.538501830000001</v>
      </c>
      <c r="BC327" s="32">
        <v>58.538501830000001</v>
      </c>
      <c r="BD327" s="32">
        <v>58.538501830000001</v>
      </c>
      <c r="BE327" s="32">
        <v>58.538501830000001</v>
      </c>
      <c r="BF327" s="32">
        <v>58.538501830000001</v>
      </c>
      <c r="BG327" s="32">
        <v>58.538501830000001</v>
      </c>
      <c r="BH327" s="32">
        <v>58.538501830000001</v>
      </c>
      <c r="BI327" s="61">
        <v>0</v>
      </c>
      <c r="BJ327" s="32">
        <v>0</v>
      </c>
      <c r="BK327" s="32">
        <v>0</v>
      </c>
      <c r="BL327" s="32">
        <v>0</v>
      </c>
      <c r="BM327" s="32">
        <v>0</v>
      </c>
      <c r="BN327" s="32">
        <v>0</v>
      </c>
      <c r="BO327" s="32">
        <v>0</v>
      </c>
      <c r="BP327" s="32">
        <v>0</v>
      </c>
      <c r="BQ327" s="32">
        <v>0</v>
      </c>
      <c r="BR327" s="32">
        <v>0</v>
      </c>
      <c r="BS327" s="32">
        <v>0</v>
      </c>
      <c r="BT327" s="32">
        <v>0</v>
      </c>
      <c r="BU327" s="51">
        <v>0</v>
      </c>
      <c r="BV327" s="41">
        <v>0</v>
      </c>
      <c r="BW327" s="41">
        <v>0</v>
      </c>
      <c r="BX327" s="41">
        <v>0</v>
      </c>
      <c r="BY327" s="41"/>
      <c r="BZ327" s="41"/>
      <c r="CA327" s="41"/>
      <c r="CB327" s="41"/>
    </row>
    <row r="328" spans="1:80" ht="13.5" x14ac:dyDescent="0.7">
      <c r="A328" s="27" t="s">
        <v>77</v>
      </c>
      <c r="B328" s="26"/>
      <c r="C328" s="27" t="s">
        <v>261</v>
      </c>
      <c r="E328" s="98">
        <v>1690.8369408369408</v>
      </c>
      <c r="F328" s="98">
        <v>1610.7559011164274</v>
      </c>
      <c r="G328" s="98">
        <v>1654.7977272727273</v>
      </c>
      <c r="H328" s="98">
        <v>1718.8922149887621</v>
      </c>
      <c r="I328" s="98">
        <v>1630.4681818181818</v>
      </c>
      <c r="J328" s="98">
        <v>1413.648611111111</v>
      </c>
      <c r="K328" s="98">
        <v>1327.5389233954454</v>
      </c>
      <c r="L328" s="98">
        <v>1272.4696629859675</v>
      </c>
      <c r="M328" s="98">
        <v>1293.9512626262624</v>
      </c>
      <c r="N328" s="98">
        <v>1288.5400793650795</v>
      </c>
      <c r="O328" s="98">
        <v>1281.9243577075097</v>
      </c>
      <c r="P328" s="98">
        <v>1200.359534706331</v>
      </c>
      <c r="Q328" s="98">
        <v>1219.2207611832612</v>
      </c>
      <c r="R328" s="98">
        <v>1192.8223923444975</v>
      </c>
      <c r="S328" s="98">
        <v>1124.0145915678524</v>
      </c>
      <c r="T328" s="98">
        <v>1104.400155692261</v>
      </c>
      <c r="U328" s="98">
        <v>1181.2083333333333</v>
      </c>
      <c r="V328" s="98">
        <v>1259.3546500721498</v>
      </c>
      <c r="W328" s="98">
        <v>1334.8147907647908</v>
      </c>
      <c r="X328" s="98">
        <v>1217.9837902837903</v>
      </c>
      <c r="Y328" s="98">
        <v>1219.3558816425118</v>
      </c>
      <c r="Z328" s="98">
        <v>1256.9631192881191</v>
      </c>
      <c r="AA328" s="98">
        <v>1277.8386363636362</v>
      </c>
      <c r="AB328" s="98">
        <v>1274.3512032085564</v>
      </c>
      <c r="AC328" s="98">
        <v>1329.2826839826839</v>
      </c>
      <c r="AD328" s="98">
        <v>1306.4442857142858</v>
      </c>
      <c r="AE328" s="98">
        <v>1212.7476515151516</v>
      </c>
      <c r="AF328" s="98">
        <v>1228.0874874060296</v>
      </c>
      <c r="AG328" s="98">
        <v>1304.2360245310244</v>
      </c>
      <c r="AH328" s="98">
        <v>1309.8117063492064</v>
      </c>
      <c r="AI328" s="98">
        <v>1474.3633885438232</v>
      </c>
      <c r="AJ328" s="98">
        <v>1480.2870370370372</v>
      </c>
      <c r="AK328" s="98">
        <v>1583.2341666666669</v>
      </c>
      <c r="AL328" s="98">
        <v>1710.5099202551835</v>
      </c>
      <c r="AM328" s="98">
        <v>1911.1858774076163</v>
      </c>
      <c r="AN328" s="98">
        <v>1873.2410401002508</v>
      </c>
      <c r="AO328" s="98">
        <v>1797.796086956522</v>
      </c>
      <c r="AP328" s="98">
        <v>1817.2678030303032</v>
      </c>
      <c r="AQ328" s="98">
        <v>1789.4381673881678</v>
      </c>
      <c r="AR328" s="98">
        <v>1794.5804947976003</v>
      </c>
      <c r="AS328" s="98">
        <v>1873.6294202898553</v>
      </c>
      <c r="AT328" s="98">
        <v>1873.5990909090906</v>
      </c>
      <c r="AU328" s="98">
        <v>1728.2404222347698</v>
      </c>
      <c r="AV328" s="98">
        <v>1730.6444949494951</v>
      </c>
      <c r="AW328" s="98">
        <v>1887.7056021080368</v>
      </c>
      <c r="AX328" s="98">
        <v>1978.0746976284584</v>
      </c>
      <c r="AY328" s="98">
        <v>1928.3356452726014</v>
      </c>
      <c r="AZ328" s="98">
        <v>1978.1555194805196</v>
      </c>
      <c r="BA328" s="98">
        <v>2026.863333</v>
      </c>
      <c r="BB328" s="98">
        <v>2046.5500000000002</v>
      </c>
      <c r="BC328" s="98">
        <v>2073.4</v>
      </c>
      <c r="BD328" s="98">
        <v>2097.3500000000004</v>
      </c>
      <c r="BE328" s="98">
        <v>2120.3000000000002</v>
      </c>
      <c r="BF328" s="98">
        <v>2140.5500000000002</v>
      </c>
      <c r="BG328" s="98">
        <v>2160.8000000000002</v>
      </c>
      <c r="BH328" s="98">
        <v>2180.6</v>
      </c>
      <c r="BI328" s="106">
        <v>0</v>
      </c>
      <c r="BJ328" s="98">
        <v>0</v>
      </c>
      <c r="BK328" s="98">
        <v>0</v>
      </c>
      <c r="BL328" s="98">
        <v>0</v>
      </c>
      <c r="BM328" s="98">
        <v>0</v>
      </c>
      <c r="BN328" s="98">
        <v>0</v>
      </c>
      <c r="BO328" s="98">
        <v>0</v>
      </c>
      <c r="BP328" s="98">
        <v>0</v>
      </c>
      <c r="BQ328" s="98">
        <v>0</v>
      </c>
      <c r="BR328" s="98">
        <v>0</v>
      </c>
      <c r="BS328" s="98">
        <v>0</v>
      </c>
      <c r="BT328" s="98">
        <v>0</v>
      </c>
      <c r="BU328" s="54">
        <v>0</v>
      </c>
      <c r="BV328" s="55">
        <v>0</v>
      </c>
      <c r="BW328" s="55">
        <v>0</v>
      </c>
      <c r="BX328" s="55">
        <v>0</v>
      </c>
      <c r="BY328" s="55"/>
      <c r="BZ328" s="55"/>
      <c r="CA328" s="55"/>
      <c r="CB328" s="55"/>
    </row>
    <row r="329" spans="1:80" ht="13.5" x14ac:dyDescent="0.7">
      <c r="A329" s="27" t="s">
        <v>36</v>
      </c>
      <c r="B329" s="26"/>
      <c r="C329" s="27" t="s">
        <v>262</v>
      </c>
      <c r="E329" s="98">
        <v>22942.147907647912</v>
      </c>
      <c r="F329" s="98">
        <v>20555.087320574163</v>
      </c>
      <c r="G329" s="98">
        <v>19330.970075757577</v>
      </c>
      <c r="H329" s="98">
        <v>21609.219523611402</v>
      </c>
      <c r="I329" s="98">
        <v>24037.545075757575</v>
      </c>
      <c r="J329" s="98">
        <v>20879.553968253971</v>
      </c>
      <c r="K329" s="98">
        <v>21312.370600414077</v>
      </c>
      <c r="L329" s="98">
        <v>22896.864302967562</v>
      </c>
      <c r="M329" s="98">
        <v>22636.282720057719</v>
      </c>
      <c r="N329" s="98">
        <v>23146.149999999998</v>
      </c>
      <c r="O329" s="98">
        <v>21915.194532279314</v>
      </c>
      <c r="P329" s="98">
        <v>19897.867443064184</v>
      </c>
      <c r="Q329" s="98">
        <v>18369.980212842711</v>
      </c>
      <c r="R329" s="98">
        <v>15589.803429027115</v>
      </c>
      <c r="S329" s="98">
        <v>15229.549505928853</v>
      </c>
      <c r="T329" s="98">
        <v>15077.19660894661</v>
      </c>
      <c r="U329" s="98">
        <v>15438.604365079365</v>
      </c>
      <c r="V329" s="98">
        <v>16902.119155844153</v>
      </c>
      <c r="W329" s="98">
        <v>18584.257215007216</v>
      </c>
      <c r="X329" s="98">
        <v>20810.067604617605</v>
      </c>
      <c r="Y329" s="98">
        <v>20004.485455486541</v>
      </c>
      <c r="Z329" s="98">
        <v>19923.164562289563</v>
      </c>
      <c r="AA329" s="98">
        <v>20513.698412698413</v>
      </c>
      <c r="AB329" s="98">
        <v>19803.327352472086</v>
      </c>
      <c r="AC329" s="98">
        <v>21186.799855699854</v>
      </c>
      <c r="AD329" s="98">
        <v>20936.819047619047</v>
      </c>
      <c r="AE329" s="98">
        <v>19308.564393939396</v>
      </c>
      <c r="AF329" s="98">
        <v>19148.640281533873</v>
      </c>
      <c r="AG329" s="98">
        <v>21038.368253968252</v>
      </c>
      <c r="AH329" s="98">
        <v>19773.801587301587</v>
      </c>
      <c r="AI329" s="98">
        <v>17139.151656314698</v>
      </c>
      <c r="AJ329" s="98">
        <v>16693.30583160801</v>
      </c>
      <c r="AK329" s="98">
        <v>16266.796969696969</v>
      </c>
      <c r="AL329" s="98">
        <v>15730.853110047845</v>
      </c>
      <c r="AM329" s="98">
        <v>17693.846621808145</v>
      </c>
      <c r="AN329" s="98">
        <v>18810.341147186147</v>
      </c>
      <c r="AO329" s="98">
        <v>25098.995833333334</v>
      </c>
      <c r="AP329" s="98">
        <v>31038.29015151515</v>
      </c>
      <c r="AQ329" s="98">
        <v>34643.828181818186</v>
      </c>
      <c r="AR329" s="98">
        <v>38768.042229437233</v>
      </c>
      <c r="AS329" s="98">
        <v>43241.574065217392</v>
      </c>
      <c r="AT329" s="98">
        <v>36968.251031746033</v>
      </c>
      <c r="AU329" s="98">
        <v>23726.653632285586</v>
      </c>
      <c r="AV329" s="98">
        <v>21596.667972582971</v>
      </c>
      <c r="AW329" s="98">
        <v>26287.489916996052</v>
      </c>
      <c r="AX329" s="98">
        <v>26151.589947299075</v>
      </c>
      <c r="AY329" s="98">
        <v>26785.821476880606</v>
      </c>
      <c r="AZ329" s="98">
        <v>24424.082128427126</v>
      </c>
      <c r="BA329" s="98">
        <v>26045.240170000001</v>
      </c>
      <c r="BB329" s="98">
        <v>26665.333333333332</v>
      </c>
      <c r="BC329" s="98">
        <v>26652.333333333332</v>
      </c>
      <c r="BD329" s="98">
        <v>26598</v>
      </c>
      <c r="BE329" s="98">
        <v>26523</v>
      </c>
      <c r="BF329" s="98">
        <v>26473</v>
      </c>
      <c r="BG329" s="98">
        <v>26473</v>
      </c>
      <c r="BH329" s="98">
        <v>26473</v>
      </c>
      <c r="BI329" s="106">
        <v>0</v>
      </c>
      <c r="BJ329" s="98">
        <v>0</v>
      </c>
      <c r="BK329" s="98">
        <v>0</v>
      </c>
      <c r="BL329" s="98">
        <v>0</v>
      </c>
      <c r="BM329" s="98">
        <v>0</v>
      </c>
      <c r="BN329" s="98">
        <v>0</v>
      </c>
      <c r="BO329" s="98">
        <v>0</v>
      </c>
      <c r="BP329" s="98">
        <v>0</v>
      </c>
      <c r="BQ329" s="98">
        <v>0</v>
      </c>
      <c r="BR329" s="98">
        <v>0</v>
      </c>
      <c r="BS329" s="98">
        <v>0</v>
      </c>
      <c r="BT329" s="98">
        <v>0</v>
      </c>
      <c r="BU329" s="54">
        <v>0</v>
      </c>
      <c r="BV329" s="55">
        <v>0</v>
      </c>
      <c r="BW329" s="55">
        <v>0</v>
      </c>
      <c r="BX329" s="55">
        <v>0</v>
      </c>
      <c r="BY329" s="55"/>
      <c r="BZ329" s="55"/>
      <c r="CA329" s="55"/>
      <c r="CB329" s="55"/>
    </row>
    <row r="330" spans="1:80" ht="13.5" x14ac:dyDescent="0.7">
      <c r="A330" s="27"/>
      <c r="B330" s="26"/>
      <c r="C330" s="27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61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51"/>
      <c r="BV330" s="41"/>
      <c r="BW330" s="41"/>
      <c r="BX330" s="41"/>
      <c r="BY330" s="41"/>
      <c r="BZ330" s="41"/>
      <c r="CA330" s="41"/>
      <c r="CB330" s="41"/>
    </row>
    <row r="331" spans="1:80" ht="13.5" x14ac:dyDescent="0.7">
      <c r="A331" s="25" t="s">
        <v>39</v>
      </c>
      <c r="B331" s="26"/>
      <c r="C331" s="27" t="s">
        <v>263</v>
      </c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107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51"/>
      <c r="BV331" s="41"/>
      <c r="BW331" s="41"/>
      <c r="BX331" s="41"/>
      <c r="BY331" s="41"/>
      <c r="BZ331" s="41"/>
      <c r="CA331" s="41"/>
      <c r="CB331" s="41"/>
    </row>
    <row r="332" spans="1:80" ht="13.5" x14ac:dyDescent="0.7">
      <c r="A332" s="27" t="s">
        <v>11</v>
      </c>
      <c r="B332" s="26"/>
      <c r="C332" s="27" t="s">
        <v>264</v>
      </c>
      <c r="E332" s="32">
        <v>1.3109986291486333</v>
      </c>
      <c r="F332" s="32">
        <v>1.2825643882433333</v>
      </c>
      <c r="G332" s="32">
        <v>1.2514703689064666</v>
      </c>
      <c r="H332" s="32">
        <v>1.2973756535607666</v>
      </c>
      <c r="I332" s="32">
        <v>1.3203565151515</v>
      </c>
      <c r="J332" s="32">
        <v>1.3065598484848333</v>
      </c>
      <c r="K332" s="32">
        <v>1.3245845065562667</v>
      </c>
      <c r="L332" s="32">
        <v>1.3610487094548001</v>
      </c>
      <c r="M332" s="32">
        <v>1.3697083694083669</v>
      </c>
      <c r="N332" s="32">
        <v>1.3712341269841335</v>
      </c>
      <c r="O332" s="32">
        <v>1.3252210929167334</v>
      </c>
      <c r="P332" s="32">
        <v>1.2492090821256001</v>
      </c>
      <c r="Q332" s="32">
        <v>1.1269555050504998</v>
      </c>
      <c r="R332" s="32">
        <v>1.1047359090908999</v>
      </c>
      <c r="S332" s="32">
        <v>1.1118670681975333</v>
      </c>
      <c r="T332" s="32">
        <v>1.0949424242424335</v>
      </c>
      <c r="U332" s="32">
        <v>1.1017423015873</v>
      </c>
      <c r="V332" s="32">
        <v>1.1293063492063335</v>
      </c>
      <c r="W332" s="32">
        <v>1.1164117949683332</v>
      </c>
      <c r="X332" s="32">
        <v>1.0789302308802666</v>
      </c>
      <c r="Y332" s="32">
        <v>1.0647251581027666</v>
      </c>
      <c r="Z332" s="32">
        <v>1.1003207070707333</v>
      </c>
      <c r="AA332" s="32">
        <v>1.1744151138716334</v>
      </c>
      <c r="AB332" s="32">
        <v>1.1776691387560001</v>
      </c>
      <c r="AC332" s="32">
        <v>1.2294496825396666</v>
      </c>
      <c r="AD332" s="32">
        <v>1.1922270995671</v>
      </c>
      <c r="AE332" s="32">
        <v>1.1631127931488667</v>
      </c>
      <c r="AF332" s="32">
        <v>1.1411705880313667</v>
      </c>
      <c r="AG332" s="32">
        <v>1.1356678427128333</v>
      </c>
      <c r="AH332" s="32">
        <v>1.1238746969697</v>
      </c>
      <c r="AI332" s="32">
        <v>1.1116174446326668</v>
      </c>
      <c r="AJ332" s="32">
        <v>1.1072322532780998</v>
      </c>
      <c r="AK332" s="32">
        <v>1.1022924242424332</v>
      </c>
      <c r="AL332" s="32">
        <v>1.1006113636363668</v>
      </c>
      <c r="AM332" s="32">
        <v>1.1694631877784001</v>
      </c>
      <c r="AN332" s="32">
        <v>1.1927604617604668</v>
      </c>
      <c r="AO332" s="32">
        <v>1.2055945652173998</v>
      </c>
      <c r="AP332" s="32">
        <v>1.2057365223665333</v>
      </c>
      <c r="AQ332" s="32">
        <v>1.1787984848484667</v>
      </c>
      <c r="AR332" s="32">
        <v>1.1439768084572333</v>
      </c>
      <c r="AS332" s="32">
        <v>1.1225110904071667</v>
      </c>
      <c r="AT332" s="32">
        <v>1.0654351674641001</v>
      </c>
      <c r="AU332" s="32">
        <v>1.0070370757262335</v>
      </c>
      <c r="AV332" s="32">
        <v>1.020524963925</v>
      </c>
      <c r="AW332" s="32">
        <v>1.0729975362319</v>
      </c>
      <c r="AX332" s="32">
        <v>1.0891695286195333</v>
      </c>
      <c r="AY332" s="32">
        <v>1.0975473543995971</v>
      </c>
      <c r="AZ332" s="32">
        <v>1.0935691803330962</v>
      </c>
      <c r="BA332" s="32">
        <v>1.0926275870333968</v>
      </c>
      <c r="BB332" s="32">
        <v>1.0933655407791905</v>
      </c>
      <c r="BC332" s="32">
        <v>1.09427256554671</v>
      </c>
      <c r="BD332" s="32">
        <v>1.0952645028474988</v>
      </c>
      <c r="BE332" s="32">
        <v>1.0963281500529973</v>
      </c>
      <c r="BF332" s="32">
        <v>1.0972366531060416</v>
      </c>
      <c r="BG332" s="32">
        <v>1.097944162495146</v>
      </c>
      <c r="BH332" s="32">
        <v>1.0983276749451918</v>
      </c>
      <c r="BI332" s="32">
        <v>1.1006265609063488</v>
      </c>
      <c r="BJ332" s="32">
        <v>1.1000397617107451</v>
      </c>
      <c r="BK332" s="32">
        <v>1.0990454279610367</v>
      </c>
      <c r="BL332" s="32">
        <v>1.097794473204301</v>
      </c>
      <c r="BM332" s="32">
        <v>1.097132930452636</v>
      </c>
      <c r="BN332" s="32">
        <v>1.0957930119301682</v>
      </c>
      <c r="BO332" s="32">
        <v>1.094563257826181</v>
      </c>
      <c r="BP332" s="32">
        <v>1.0935167064781017</v>
      </c>
      <c r="BQ332" s="32">
        <v>1.0925151049820174</v>
      </c>
      <c r="BR332" s="32">
        <v>1.0914465142479026</v>
      </c>
      <c r="BS332" s="32">
        <v>1.0903903342058545</v>
      </c>
      <c r="BT332" s="56">
        <v>1.0893463567907611</v>
      </c>
      <c r="BU332" s="32">
        <v>0</v>
      </c>
      <c r="BV332" s="41">
        <v>0</v>
      </c>
      <c r="BW332" s="41">
        <v>0</v>
      </c>
      <c r="BX332" s="41">
        <v>0</v>
      </c>
      <c r="BY332" s="41"/>
      <c r="BZ332" s="41"/>
      <c r="CA332" s="41"/>
      <c r="CB332" s="41"/>
    </row>
    <row r="333" spans="1:80" ht="13.5" x14ac:dyDescent="0.7">
      <c r="A333" s="27" t="s">
        <v>40</v>
      </c>
      <c r="B333" s="26"/>
      <c r="C333" s="27" t="s">
        <v>265</v>
      </c>
      <c r="E333" s="32">
        <v>0.64853150912094903</v>
      </c>
      <c r="F333" s="32">
        <v>0.65372044040781374</v>
      </c>
      <c r="G333" s="32">
        <v>0.65837411079741059</v>
      </c>
      <c r="H333" s="32">
        <v>0.6509648683202095</v>
      </c>
      <c r="I333" s="32">
        <v>0.65714034197925153</v>
      </c>
      <c r="J333" s="32">
        <v>0.66406269751095925</v>
      </c>
      <c r="K333" s="32">
        <v>0.65998633735264667</v>
      </c>
      <c r="L333" s="32">
        <v>0.65107555007538631</v>
      </c>
      <c r="M333" s="32">
        <v>0.64897101890378062</v>
      </c>
      <c r="N333" s="32">
        <v>0.64703339652183312</v>
      </c>
      <c r="O333" s="32">
        <v>0.65702333365000143</v>
      </c>
      <c r="P333" s="32">
        <v>0.68030313720398983</v>
      </c>
      <c r="Q333" s="32">
        <v>0.71130147218670248</v>
      </c>
      <c r="R333" s="32">
        <v>0.71549036244030528</v>
      </c>
      <c r="S333" s="32">
        <v>0.71350255575194133</v>
      </c>
      <c r="T333" s="32">
        <v>0.7187615442127262</v>
      </c>
      <c r="U333" s="32">
        <v>0.71943216328409709</v>
      </c>
      <c r="V333" s="32">
        <v>0.70959877397587523</v>
      </c>
      <c r="W333" s="32">
        <v>0.71625382263969473</v>
      </c>
      <c r="X333" s="32">
        <v>0.73272919959539884</v>
      </c>
      <c r="Y333" s="32">
        <v>0.73862511349152726</v>
      </c>
      <c r="Z333" s="32">
        <v>0.72830389461654155</v>
      </c>
      <c r="AA333" s="32">
        <v>0.70975967293034792</v>
      </c>
      <c r="AB333" s="32">
        <v>0.70870029044424843</v>
      </c>
      <c r="AC333" s="32">
        <v>0.69085953113619103</v>
      </c>
      <c r="AD333" s="32">
        <v>0.69958535139313049</v>
      </c>
      <c r="AE333" s="32">
        <v>0.71415746192558593</v>
      </c>
      <c r="AF333" s="32">
        <v>0.72104643044508998</v>
      </c>
      <c r="AG333" s="32">
        <v>0.71815010253739742</v>
      </c>
      <c r="AH333" s="32">
        <v>0.72213047707214317</v>
      </c>
      <c r="AI333" s="32">
        <v>0.72773490797550766</v>
      </c>
      <c r="AJ333" s="32">
        <v>0.72709676265548495</v>
      </c>
      <c r="AK333" s="32">
        <v>0.72798471721845015</v>
      </c>
      <c r="AL333" s="32">
        <v>0.73050118224893079</v>
      </c>
      <c r="AM333" s="32">
        <v>0.71159403516432451</v>
      </c>
      <c r="AN333" s="32">
        <v>0.70209848823732746</v>
      </c>
      <c r="AO333" s="32">
        <v>0.69605202116604514</v>
      </c>
      <c r="AP333" s="32">
        <v>0.69693099321001084</v>
      </c>
      <c r="AQ333" s="32">
        <v>0.70329270033968683</v>
      </c>
      <c r="AR333" s="32">
        <v>0.71184159124838231</v>
      </c>
      <c r="AS333" s="32">
        <v>0.7171959611283234</v>
      </c>
      <c r="AT333" s="32">
        <v>0.74176627439120324</v>
      </c>
      <c r="AU333" s="32">
        <v>0.76501122207702821</v>
      </c>
      <c r="AV333" s="32">
        <v>0.76739441218264093</v>
      </c>
      <c r="AW333" s="32">
        <v>0.74641461470853387</v>
      </c>
      <c r="AX333" s="32">
        <v>0.74556565399068109</v>
      </c>
      <c r="AY333" s="32">
        <v>0.75061065317791453</v>
      </c>
      <c r="AZ333" s="32">
        <v>0.7559416718111841</v>
      </c>
      <c r="BA333" s="32">
        <v>0.7485141237268943</v>
      </c>
      <c r="BB333" s="32">
        <v>0.74816924126519135</v>
      </c>
      <c r="BC333" s="32">
        <v>0.74768411709328075</v>
      </c>
      <c r="BD333" s="32">
        <v>0.74707730403844808</v>
      </c>
      <c r="BE333" s="32">
        <v>0.74619951755576486</v>
      </c>
      <c r="BF333" s="32">
        <v>0.74552218954021432</v>
      </c>
      <c r="BG333" s="32">
        <v>0.74491299545871292</v>
      </c>
      <c r="BH333" s="32">
        <v>0.74442519228824799</v>
      </c>
      <c r="BI333" s="32">
        <v>0.74393711977647159</v>
      </c>
      <c r="BJ333" s="32">
        <v>0.74370229001758503</v>
      </c>
      <c r="BK333" s="32">
        <v>0.74350244298453705</v>
      </c>
      <c r="BL333" s="32">
        <v>0.7432478097123022</v>
      </c>
      <c r="BM333" s="32">
        <v>0.74313883983389228</v>
      </c>
      <c r="BN333" s="32">
        <v>0.74262174580096696</v>
      </c>
      <c r="BO333" s="32">
        <v>0.74204397044358605</v>
      </c>
      <c r="BP333" s="32">
        <v>0.74151316881481166</v>
      </c>
      <c r="BQ333" s="32">
        <v>0.74052563061211629</v>
      </c>
      <c r="BR333" s="32">
        <v>0.74034461712264787</v>
      </c>
      <c r="BS333" s="32">
        <v>0.74038639244695936</v>
      </c>
      <c r="BT333" s="56">
        <v>0.74064741552008961</v>
      </c>
      <c r="BU333" s="32">
        <v>0.74097044023712477</v>
      </c>
      <c r="BV333" s="41">
        <v>0.74097044023712477</v>
      </c>
      <c r="BW333" s="41">
        <v>0.74097044023712477</v>
      </c>
      <c r="BX333" s="41">
        <v>0.74097044023712477</v>
      </c>
      <c r="BY333" s="41"/>
      <c r="BZ333" s="41"/>
      <c r="CA333" s="41"/>
      <c r="CB333" s="41"/>
    </row>
    <row r="334" spans="1:80" ht="13.5" x14ac:dyDescent="0.7">
      <c r="A334" s="25" t="s">
        <v>274</v>
      </c>
      <c r="B334" s="26"/>
      <c r="C334" s="27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51"/>
      <c r="BV334" s="41"/>
      <c r="BW334" s="41"/>
      <c r="BX334" s="41"/>
      <c r="BY334" s="41"/>
      <c r="BZ334" s="41"/>
      <c r="CA334" s="41"/>
      <c r="CB334" s="41"/>
    </row>
    <row r="335" spans="1:80" ht="13.5" x14ac:dyDescent="0.7">
      <c r="A335" s="27" t="s">
        <v>271</v>
      </c>
      <c r="B335" s="26"/>
      <c r="C335" s="27" t="s">
        <v>266</v>
      </c>
      <c r="E335" s="101">
        <v>0.76519999999999999</v>
      </c>
      <c r="F335" s="101">
        <v>0.73360000000000003</v>
      </c>
      <c r="G335" s="101">
        <v>0.70656666666666701</v>
      </c>
      <c r="H335" s="101">
        <v>0.54176666666666695</v>
      </c>
      <c r="I335" s="102">
        <v>8.6666666666666697E-2</v>
      </c>
      <c r="J335" s="102">
        <v>0.05</v>
      </c>
      <c r="K335" s="102">
        <v>3.3333333333333298E-2</v>
      </c>
      <c r="L335" s="102">
        <v>6.3333333333333297E-2</v>
      </c>
      <c r="M335" s="102">
        <v>4.6666666666666697E-2</v>
      </c>
      <c r="N335" s="102">
        <v>3.3333333333333298E-2</v>
      </c>
      <c r="O335" s="102">
        <v>2.66666666666667E-2</v>
      </c>
      <c r="P335" s="102">
        <v>2.33333333333333E-2</v>
      </c>
      <c r="Q335" s="102">
        <v>2.66666666666667E-2</v>
      </c>
      <c r="R335" s="102">
        <v>0.02</v>
      </c>
      <c r="S335" s="102">
        <v>0.04</v>
      </c>
      <c r="T335" s="102">
        <v>0.12666666666666701</v>
      </c>
      <c r="U335" s="102">
        <v>0.28999999999999998</v>
      </c>
      <c r="V335" s="102">
        <v>0.26</v>
      </c>
      <c r="W335" s="102">
        <v>0.29666666666666702</v>
      </c>
      <c r="X335" s="102">
        <v>0.43</v>
      </c>
      <c r="Y335" s="102">
        <v>0.6</v>
      </c>
      <c r="Z335" s="102">
        <v>0.90333333333333299</v>
      </c>
      <c r="AA335" s="102">
        <v>1.05666666666667</v>
      </c>
      <c r="AB335" s="102">
        <v>1.2266666666666699</v>
      </c>
      <c r="AC335" s="102">
        <v>1.5833333333333299</v>
      </c>
      <c r="AD335" s="102">
        <v>1.87666666666667</v>
      </c>
      <c r="AE335" s="102">
        <v>2.0766666666666702</v>
      </c>
      <c r="AF335" s="102">
        <v>2.35666666666667</v>
      </c>
      <c r="AG335" s="102">
        <v>2.4366666666666701</v>
      </c>
      <c r="AH335" s="102">
        <v>2.35</v>
      </c>
      <c r="AI335" s="102">
        <v>2.0233333333333299</v>
      </c>
      <c r="AJ335" s="102">
        <v>1.60666666666667</v>
      </c>
      <c r="AK335" s="102">
        <v>1.1299999999999999</v>
      </c>
      <c r="AL335" s="102">
        <v>0.14333333333333301</v>
      </c>
      <c r="AM335" s="102">
        <v>0.11333333333333299</v>
      </c>
      <c r="AN335" s="102">
        <v>9.3333333333333296E-2</v>
      </c>
      <c r="AO335" s="102">
        <v>0.05</v>
      </c>
      <c r="AP335" s="102">
        <v>2.66666666666667E-2</v>
      </c>
      <c r="AQ335" s="102">
        <v>4.6666666666666697E-2</v>
      </c>
      <c r="AR335" s="102">
        <v>5.3333333333333302E-2</v>
      </c>
      <c r="AS335" s="102">
        <v>0.30333333333333301</v>
      </c>
      <c r="AT335" s="102">
        <v>1.09666666666667</v>
      </c>
      <c r="AU335" s="102">
        <v>2.7466666666666701</v>
      </c>
      <c r="AV335" s="102">
        <v>4.18333333333333</v>
      </c>
      <c r="AW335" s="102">
        <v>4.78</v>
      </c>
      <c r="AX335" s="102">
        <v>5.2666666666666702</v>
      </c>
      <c r="AY335" s="102">
        <v>5.6035666666666701</v>
      </c>
      <c r="AZ335" s="102">
        <v>5.5250000000000004</v>
      </c>
      <c r="BA335" s="102">
        <v>5.5250000000000004</v>
      </c>
      <c r="BB335" s="102">
        <v>5.5250000000000004</v>
      </c>
      <c r="BC335" s="102">
        <v>5.4833333333333298</v>
      </c>
      <c r="BD335" s="102">
        <v>5.1083333333333298</v>
      </c>
      <c r="BE335" s="102">
        <v>4.5250000000000004</v>
      </c>
      <c r="BF335" s="102">
        <v>4.2333333333333298</v>
      </c>
      <c r="BG335" s="102">
        <v>3.9833333333333298</v>
      </c>
      <c r="BH335" s="102">
        <v>3.65</v>
      </c>
      <c r="BI335" s="102">
        <v>3.2749999999999999</v>
      </c>
      <c r="BJ335" s="102">
        <v>3.0249999999999999</v>
      </c>
      <c r="BK335" s="102">
        <v>3.0249999999999999</v>
      </c>
      <c r="BL335" s="102">
        <v>2.81666666666667</v>
      </c>
      <c r="BM335" s="102">
        <v>2.7749999999999999</v>
      </c>
      <c r="BN335" s="102">
        <v>2.7749999999999999</v>
      </c>
      <c r="BO335" s="102">
        <v>2.7749999999999999</v>
      </c>
      <c r="BP335" s="102">
        <v>2.7749999999999999</v>
      </c>
      <c r="BQ335" s="102">
        <v>2.7749999999999999</v>
      </c>
      <c r="BR335" s="102">
        <v>2.7749999999999999</v>
      </c>
      <c r="BS335" s="102">
        <v>2.7749999999999999</v>
      </c>
      <c r="BT335" s="102">
        <v>2.7749999999999999</v>
      </c>
      <c r="BU335" s="57">
        <v>2.7749999999999999</v>
      </c>
      <c r="BV335" s="58">
        <v>2.7749999999999999</v>
      </c>
      <c r="BW335" s="58">
        <v>2.7749999999999999</v>
      </c>
      <c r="BX335" s="58">
        <v>2.7749999999999999</v>
      </c>
      <c r="BY335" s="58"/>
      <c r="BZ335" s="58"/>
      <c r="CA335" s="58"/>
      <c r="CB335" s="58"/>
    </row>
    <row r="336" spans="1:80" ht="13.5" x14ac:dyDescent="0.7">
      <c r="A336" s="27" t="s">
        <v>272</v>
      </c>
      <c r="B336" s="26"/>
      <c r="C336" s="27" t="s">
        <v>266</v>
      </c>
      <c r="E336" s="101">
        <v>1.0429333333333333</v>
      </c>
      <c r="F336" s="101">
        <v>0.69603333333333328</v>
      </c>
      <c r="G336" s="101">
        <v>0.35856666666666664</v>
      </c>
      <c r="H336" s="101">
        <v>0.19510000000000002</v>
      </c>
      <c r="I336" s="102">
        <v>3.8292187499999998E-2</v>
      </c>
      <c r="J336" s="102">
        <v>2.5532307692307701E-2</v>
      </c>
      <c r="K336" s="102">
        <v>4.0687878787878801E-2</v>
      </c>
      <c r="L336" s="102">
        <v>6.9305084745762705E-2</v>
      </c>
      <c r="M336" s="102">
        <v>9.6745312499999972E-2</v>
      </c>
      <c r="N336" s="102">
        <v>8.3838461538461542E-2</v>
      </c>
      <c r="O336" s="102">
        <v>-1.5806060606060608E-2</v>
      </c>
      <c r="P336" s="102">
        <v>-4.2534848484848474E-2</v>
      </c>
      <c r="Q336" s="102">
        <v>-0.16427</v>
      </c>
      <c r="R336" s="102">
        <v>-0.21822</v>
      </c>
      <c r="S336" s="102">
        <v>-0.2382</v>
      </c>
      <c r="T336" s="102">
        <v>-0.28774</v>
      </c>
      <c r="U336" s="102">
        <v>-0.47484307692307687</v>
      </c>
      <c r="V336" s="102">
        <v>-0.55059999999999998</v>
      </c>
      <c r="W336" s="102">
        <v>-0.70170757575757547</v>
      </c>
      <c r="X336" s="102">
        <v>-0.85607846153846145</v>
      </c>
      <c r="Y336" s="102">
        <v>-0.87179692307692347</v>
      </c>
      <c r="Z336" s="102">
        <v>-0.76135846153846165</v>
      </c>
      <c r="AA336" s="102">
        <v>-0.77306153846153824</v>
      </c>
      <c r="AB336" s="102">
        <v>-0.8370123076923075</v>
      </c>
      <c r="AC336" s="102">
        <v>-0.72846307692307688</v>
      </c>
      <c r="AD336" s="102">
        <v>-0.70827230769230753</v>
      </c>
      <c r="AE336" s="102">
        <v>-0.7240907692307692</v>
      </c>
      <c r="AF336" s="102">
        <v>-0.79467575757575759</v>
      </c>
      <c r="AG336" s="102">
        <v>-0.61965000000000003</v>
      </c>
      <c r="AH336" s="102">
        <v>-0.60911230769230773</v>
      </c>
      <c r="AI336" s="102">
        <v>-0.74295454545454565</v>
      </c>
      <c r="AJ336" s="102">
        <v>-0.68216818181818195</v>
      </c>
      <c r="AK336" s="102">
        <v>-0.67303230769230737</v>
      </c>
      <c r="AL336" s="102">
        <v>-0.59571384615384615</v>
      </c>
      <c r="AM336" s="102">
        <v>-0.67581818181818165</v>
      </c>
      <c r="AN336" s="102">
        <v>-0.73619999999999985</v>
      </c>
      <c r="AO336" s="102">
        <v>-0.64861250000000004</v>
      </c>
      <c r="AP336" s="102">
        <v>-0.65051846153846182</v>
      </c>
      <c r="AQ336" s="102">
        <v>-0.70654242424242431</v>
      </c>
      <c r="AR336" s="102">
        <v>-0.83950000000000002</v>
      </c>
      <c r="AS336" s="102">
        <v>-0.74510312499999976</v>
      </c>
      <c r="AT336" s="102">
        <v>-0.46406153846153836</v>
      </c>
      <c r="AU336" s="102">
        <v>0.30510000000000004</v>
      </c>
      <c r="AV336" s="102">
        <v>1.5343968750000005</v>
      </c>
      <c r="AW336" s="102">
        <v>2.6080815384615397</v>
      </c>
      <c r="AX336" s="102">
        <v>3.001312903225807</v>
      </c>
      <c r="AY336" s="102">
        <v>3.2638780138600128</v>
      </c>
      <c r="AZ336" s="102">
        <v>3.1321411980726146</v>
      </c>
      <c r="BA336" s="102">
        <v>3.16405022174516</v>
      </c>
      <c r="BB336" s="102">
        <v>3.3032247044750069</v>
      </c>
      <c r="BC336" s="102">
        <v>3.1558445435036711</v>
      </c>
      <c r="BD336" s="102">
        <v>3.0713643080714177</v>
      </c>
      <c r="BE336" s="102">
        <v>2.9675721905662646</v>
      </c>
      <c r="BF336" s="102">
        <v>2.6566155693650186</v>
      </c>
      <c r="BG336" s="102">
        <v>2.572223016416451</v>
      </c>
      <c r="BH336" s="102">
        <v>2.3656441774356245</v>
      </c>
      <c r="BI336" s="102">
        <v>2.2501224019452666</v>
      </c>
      <c r="BJ336" s="102">
        <v>2.2201862379883108</v>
      </c>
      <c r="BK336" s="102">
        <v>2.2650352314847195</v>
      </c>
      <c r="BL336" s="102">
        <v>2.2940885206314205</v>
      </c>
      <c r="BM336" s="102">
        <v>2.2884701798823164</v>
      </c>
      <c r="BN336" s="102">
        <v>2.2820551264847837</v>
      </c>
      <c r="BO336" s="102">
        <v>2.2571557045663524</v>
      </c>
      <c r="BP336" s="102">
        <v>2.2262090776206671</v>
      </c>
      <c r="BQ336" s="102">
        <v>2.2029360779669744</v>
      </c>
      <c r="BR336" s="102">
        <v>2.1873751403590322</v>
      </c>
      <c r="BS336" s="102">
        <v>2.1782757002149737</v>
      </c>
      <c r="BT336" s="102">
        <v>2.1673642397331698</v>
      </c>
      <c r="BU336" s="57">
        <v>2.1673642397331698</v>
      </c>
      <c r="BV336" s="58">
        <v>2.1673642397331698</v>
      </c>
      <c r="BW336" s="58">
        <v>2.1673642397331698</v>
      </c>
      <c r="BX336" s="58">
        <v>2.1673642397331698</v>
      </c>
      <c r="BY336" s="58"/>
      <c r="BZ336" s="58"/>
      <c r="CA336" s="58"/>
      <c r="CB336" s="58"/>
    </row>
    <row r="337" spans="1:80" ht="13.5" x14ac:dyDescent="0.7">
      <c r="A337" s="27" t="s">
        <v>273</v>
      </c>
      <c r="B337" s="34" t="s">
        <v>267</v>
      </c>
      <c r="C337" s="27" t="s">
        <v>266</v>
      </c>
      <c r="E337" s="33"/>
      <c r="F337" s="33"/>
      <c r="G337" s="33"/>
      <c r="H337" s="33"/>
      <c r="I337" s="102">
        <v>7.5117187500000099E-2</v>
      </c>
      <c r="J337" s="102">
        <v>7.9784615384615426E-2</v>
      </c>
      <c r="K337" s="102">
        <v>7.9886363636363589E-2</v>
      </c>
      <c r="L337" s="102">
        <v>5.4128787878787853E-2</v>
      </c>
      <c r="M337" s="102">
        <v>4.2382812500000006E-2</v>
      </c>
      <c r="N337" s="102">
        <v>4.1434426229508201E-2</v>
      </c>
      <c r="O337" s="102">
        <v>1.9538461538461543E-2</v>
      </c>
      <c r="P337" s="102">
        <v>-1.1791666666666674E-2</v>
      </c>
      <c r="Q337" s="102">
        <v>-1.3937499999999992E-2</v>
      </c>
      <c r="R337" s="102">
        <v>-4.6153846153846158E-3</v>
      </c>
      <c r="S337" s="102">
        <v>-7.9824561403508808E-3</v>
      </c>
      <c r="T337" s="102">
        <v>-2.9666666666666664E-2</v>
      </c>
      <c r="U337" s="102">
        <v>-9.3738461538461534E-2</v>
      </c>
      <c r="V337" s="102">
        <v>-0.26836923076923075</v>
      </c>
      <c r="W337" s="102">
        <v>-0.28598484848484862</v>
      </c>
      <c r="X337" s="102">
        <v>-0.3396615384615384</v>
      </c>
      <c r="Y337" s="102">
        <v>-0.30958461538461551</v>
      </c>
      <c r="Z337" s="102">
        <v>-0.12539999999999996</v>
      </c>
      <c r="AA337" s="102">
        <v>-0.13443076923076927</v>
      </c>
      <c r="AB337" s="102">
        <v>-0.19454687500000004</v>
      </c>
      <c r="AC337" s="102">
        <v>-0.16595312500000003</v>
      </c>
      <c r="AD337" s="102">
        <v>-0.14443749999999997</v>
      </c>
      <c r="AE337" s="102">
        <v>-0.14956923076923082</v>
      </c>
      <c r="AF337" s="102">
        <v>-0.26737878787878788</v>
      </c>
      <c r="AG337" s="102">
        <v>-0.19324999999999995</v>
      </c>
      <c r="AH337" s="102">
        <v>-0.15972307692307688</v>
      </c>
      <c r="AI337" s="102">
        <v>-0.14262121212121209</v>
      </c>
      <c r="AJ337" s="102">
        <v>-0.21210606060606069</v>
      </c>
      <c r="AK337" s="102">
        <v>-0.18598461538461536</v>
      </c>
      <c r="AL337" s="102">
        <v>-0.13487692307692303</v>
      </c>
      <c r="AM337" s="102">
        <v>-0.10450000000000001</v>
      </c>
      <c r="AN337" s="102">
        <v>-0.1024545454545454</v>
      </c>
      <c r="AO337" s="102">
        <v>-0.10110937500000004</v>
      </c>
      <c r="AP337" s="102">
        <v>-0.10532307692307691</v>
      </c>
      <c r="AQ337" s="102">
        <v>-0.11766666666666666</v>
      </c>
      <c r="AR337" s="102">
        <v>-0.12803030303030305</v>
      </c>
      <c r="AS337" s="102">
        <v>-9.4734375000000051E-2</v>
      </c>
      <c r="AT337" s="102">
        <v>-0.13090769230769228</v>
      </c>
      <c r="AU337" s="102">
        <v>-0.1452272727272727</v>
      </c>
      <c r="AV337" s="102">
        <v>-0.17103076923076918</v>
      </c>
      <c r="AW337" s="102">
        <v>-0.19095384615384606</v>
      </c>
      <c r="AX337" s="102">
        <v>-0.1787230769230769</v>
      </c>
      <c r="AY337" s="102">
        <v>-0.12</v>
      </c>
      <c r="AZ337" s="102">
        <v>-0.11449999999999994</v>
      </c>
      <c r="BA337" s="102">
        <v>-0.12850000000000006</v>
      </c>
      <c r="BB337" s="102">
        <v>-9.6999999999999975E-2</v>
      </c>
      <c r="BC337" s="102">
        <v>-7.0526315789473548E-2</v>
      </c>
      <c r="BD337" s="102">
        <v>-2.5263157894736765E-2</v>
      </c>
      <c r="BE337" s="102">
        <v>-8.0000000000000071E-3</v>
      </c>
      <c r="BF337" s="102">
        <v>6.0833333333333295E-2</v>
      </c>
      <c r="BG337" s="102">
        <v>0.13818181818181829</v>
      </c>
      <c r="BH337" s="102">
        <v>0.16909090909090918</v>
      </c>
      <c r="BI337" s="102">
        <v>0.16909090909090918</v>
      </c>
      <c r="BJ337" s="102">
        <v>0.16909090909090918</v>
      </c>
      <c r="BK337" s="102">
        <v>0.16909090909090918</v>
      </c>
      <c r="BL337" s="102">
        <v>0.16909090909090918</v>
      </c>
      <c r="BM337" s="102">
        <v>0.16909090909090918</v>
      </c>
      <c r="BN337" s="102">
        <v>0.16909090909090918</v>
      </c>
      <c r="BO337" s="102">
        <v>0.16909090909090918</v>
      </c>
      <c r="BP337" s="102">
        <v>0.16909090909090918</v>
      </c>
      <c r="BQ337" s="102">
        <v>0.16909090909090918</v>
      </c>
      <c r="BR337" s="102">
        <v>0.16909090909090918</v>
      </c>
      <c r="BS337" s="102">
        <v>0.16909090909090918</v>
      </c>
      <c r="BT337" s="102">
        <v>0.16909090909090918</v>
      </c>
      <c r="BU337" s="57">
        <v>0.16909090909090918</v>
      </c>
      <c r="BV337" s="58">
        <v>0.16909090909090918</v>
      </c>
      <c r="BW337" s="58">
        <v>0.16909090909090918</v>
      </c>
      <c r="BX337" s="58">
        <v>0.16909090909090918</v>
      </c>
      <c r="BY337" s="58"/>
      <c r="BZ337" s="58"/>
      <c r="CA337" s="58"/>
      <c r="CB337" s="58"/>
    </row>
    <row r="341" spans="1:80" ht="13.5" x14ac:dyDescent="0.7">
      <c r="A341" s="25" t="s">
        <v>252</v>
      </c>
      <c r="B341" s="26" t="s">
        <v>275</v>
      </c>
      <c r="C341" s="26"/>
      <c r="E341" s="29" t="s">
        <v>318</v>
      </c>
      <c r="F341" s="29" t="s">
        <v>319</v>
      </c>
      <c r="G341" s="29" t="s">
        <v>320</v>
      </c>
      <c r="H341" s="29" t="s">
        <v>321</v>
      </c>
      <c r="I341" s="29" t="s">
        <v>322</v>
      </c>
      <c r="J341" s="29" t="s">
        <v>323</v>
      </c>
      <c r="K341" s="29" t="s">
        <v>324</v>
      </c>
      <c r="L341" s="29" t="s">
        <v>325</v>
      </c>
      <c r="M341" s="29" t="s">
        <v>326</v>
      </c>
      <c r="N341" s="29" t="s">
        <v>327</v>
      </c>
      <c r="O341" s="29" t="s">
        <v>328</v>
      </c>
      <c r="P341" s="29" t="s">
        <v>329</v>
      </c>
      <c r="Q341" s="29" t="s">
        <v>330</v>
      </c>
      <c r="R341" s="29" t="s">
        <v>331</v>
      </c>
      <c r="S341" s="29" t="s">
        <v>332</v>
      </c>
      <c r="T341" s="29" t="s">
        <v>333</v>
      </c>
      <c r="U341" s="29" t="s">
        <v>334</v>
      </c>
      <c r="V341" s="29" t="s">
        <v>335</v>
      </c>
      <c r="W341" s="29" t="s">
        <v>336</v>
      </c>
      <c r="X341" s="29" t="s">
        <v>337</v>
      </c>
      <c r="Y341" s="29" t="s">
        <v>338</v>
      </c>
      <c r="Z341" s="29" t="s">
        <v>339</v>
      </c>
      <c r="AA341" s="29" t="s">
        <v>340</v>
      </c>
      <c r="AB341" s="29" t="s">
        <v>341</v>
      </c>
      <c r="AC341" s="29" t="s">
        <v>342</v>
      </c>
      <c r="AD341" s="29" t="s">
        <v>343</v>
      </c>
      <c r="AE341" s="29" t="s">
        <v>344</v>
      </c>
      <c r="AF341" s="29" t="s">
        <v>345</v>
      </c>
      <c r="AG341" s="29" t="s">
        <v>346</v>
      </c>
      <c r="AH341" s="29" t="s">
        <v>347</v>
      </c>
      <c r="AI341" s="29" t="s">
        <v>348</v>
      </c>
      <c r="AJ341" s="29" t="s">
        <v>349</v>
      </c>
      <c r="AK341" s="29" t="s">
        <v>350</v>
      </c>
      <c r="AL341" s="29" t="s">
        <v>351</v>
      </c>
      <c r="AM341" s="29" t="s">
        <v>352</v>
      </c>
      <c r="AN341" s="29" t="s">
        <v>353</v>
      </c>
      <c r="AO341" s="29" t="s">
        <v>354</v>
      </c>
      <c r="AP341" s="29" t="s">
        <v>355</v>
      </c>
      <c r="AQ341" s="29" t="s">
        <v>356</v>
      </c>
      <c r="AR341" s="29" t="s">
        <v>357</v>
      </c>
      <c r="AS341" s="29" t="s">
        <v>358</v>
      </c>
      <c r="AT341" s="29" t="s">
        <v>359</v>
      </c>
      <c r="AU341" s="29" t="s">
        <v>360</v>
      </c>
      <c r="AV341" s="29" t="s">
        <v>361</v>
      </c>
      <c r="AW341" s="29" t="s">
        <v>362</v>
      </c>
      <c r="AX341" s="29" t="s">
        <v>363</v>
      </c>
      <c r="AY341" s="29" t="s">
        <v>364</v>
      </c>
      <c r="AZ341" s="29" t="s">
        <v>365</v>
      </c>
      <c r="BA341" s="29" t="s">
        <v>366</v>
      </c>
      <c r="BB341" s="29" t="s">
        <v>367</v>
      </c>
      <c r="BC341" s="29" t="s">
        <v>368</v>
      </c>
      <c r="BD341" s="29" t="s">
        <v>369</v>
      </c>
      <c r="BE341" s="29" t="s">
        <v>370</v>
      </c>
      <c r="BF341" s="29" t="s">
        <v>371</v>
      </c>
      <c r="BG341" s="29" t="s">
        <v>372</v>
      </c>
      <c r="BH341" s="29" t="s">
        <v>373</v>
      </c>
      <c r="BI341" s="29" t="s">
        <v>374</v>
      </c>
      <c r="BJ341" s="29" t="s">
        <v>375</v>
      </c>
      <c r="BK341" s="29" t="s">
        <v>376</v>
      </c>
      <c r="BL341" s="29" t="s">
        <v>377</v>
      </c>
    </row>
    <row r="342" spans="1:80" ht="13.5" x14ac:dyDescent="0.7">
      <c r="A342" s="27"/>
      <c r="B342" s="26"/>
      <c r="C342" s="121" t="s">
        <v>847</v>
      </c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</row>
    <row r="343" spans="1:80" ht="13.5" x14ac:dyDescent="0.7">
      <c r="A343" s="25" t="s">
        <v>278</v>
      </c>
      <c r="B343" s="26"/>
      <c r="C343" s="119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</row>
    <row r="344" spans="1:80" ht="13.5" x14ac:dyDescent="0.7">
      <c r="A344" s="27" t="s">
        <v>4</v>
      </c>
      <c r="B344" s="26"/>
      <c r="C344" s="119"/>
      <c r="E344" s="35">
        <v>4.1756370832479739E-3</v>
      </c>
      <c r="F344" s="31">
        <v>-2.72134014053238E-5</v>
      </c>
      <c r="G344" s="31">
        <v>6.4185070998501459E-4</v>
      </c>
      <c r="H344" s="31">
        <v>-1.3831265066630571E-3</v>
      </c>
      <c r="I344" s="31">
        <v>4.1098294426709092E-3</v>
      </c>
      <c r="J344" s="31">
        <v>4.1338621874031922E-3</v>
      </c>
      <c r="K344" s="31">
        <v>6.1409523901059249E-3</v>
      </c>
      <c r="L344" s="31">
        <v>4.6828874629016859E-3</v>
      </c>
      <c r="M344" s="31">
        <v>1.6017889554571507E-3</v>
      </c>
      <c r="N344" s="31">
        <v>5.0389757369848631E-3</v>
      </c>
      <c r="O344" s="31">
        <v>7.5514366558393498E-3</v>
      </c>
      <c r="P344" s="31">
        <v>4.353622446472194E-3</v>
      </c>
      <c r="Q344" s="31">
        <v>7.2784961672980319E-3</v>
      </c>
      <c r="R344" s="31">
        <v>4.5077403378694925E-3</v>
      </c>
      <c r="S344" s="31">
        <v>3.4715111727763315E-3</v>
      </c>
      <c r="T344" s="31">
        <v>2.6473414591003941E-3</v>
      </c>
      <c r="U344" s="31">
        <v>5.8058777602567613E-3</v>
      </c>
      <c r="V344" s="31">
        <v>2.0483752407056688E-3</v>
      </c>
      <c r="W344" s="31">
        <v>5.2663040828615504E-3</v>
      </c>
      <c r="X344" s="31">
        <v>5.784416301944928E-3</v>
      </c>
      <c r="Y344" s="31">
        <v>6.1794920769824291E-3</v>
      </c>
      <c r="Z344" s="31">
        <v>6.2623810396515989E-3</v>
      </c>
      <c r="AA344" s="31">
        <v>7.7747870953328579E-3</v>
      </c>
      <c r="AB344" s="31">
        <v>7.9263526681587759E-3</v>
      </c>
      <c r="AC344" s="31">
        <v>3.379061995824495E-3</v>
      </c>
      <c r="AD344" s="31">
        <v>5.8513556131176703E-3</v>
      </c>
      <c r="AE344" s="31">
        <v>3.088856573373322E-3</v>
      </c>
      <c r="AF344" s="31">
        <v>3.4634811742588756E-3</v>
      </c>
      <c r="AG344" s="31">
        <v>5.2803761620092704E-3</v>
      </c>
      <c r="AH344" s="31">
        <v>4.7657760616723888E-3</v>
      </c>
      <c r="AI344" s="31">
        <v>5.167921115150742E-3</v>
      </c>
      <c r="AJ344" s="31">
        <v>-7.3411021572855617E-4</v>
      </c>
      <c r="AK344" s="31">
        <v>-2.0056514437660211E-2</v>
      </c>
      <c r="AL344" s="31">
        <v>-0.10378610622660334</v>
      </c>
      <c r="AM344" s="31">
        <v>9.9216254861047126E-2</v>
      </c>
      <c r="AN344" s="31">
        <v>6.4640224161747195E-3</v>
      </c>
      <c r="AO344" s="31">
        <v>6.1441195454126074E-3</v>
      </c>
      <c r="AP344" s="31">
        <v>1.796500663518863E-2</v>
      </c>
      <c r="AQ344" s="31">
        <v>1.2988034365210677E-2</v>
      </c>
      <c r="AR344" s="31">
        <v>1.1707188026664817E-2</v>
      </c>
      <c r="AS344" s="31">
        <v>9.58922060808165E-4</v>
      </c>
      <c r="AT344" s="31">
        <v>4.5593177285876418E-3</v>
      </c>
      <c r="AU344" s="31">
        <v>4.6219465036918539E-3</v>
      </c>
      <c r="AV344" s="31">
        <v>2.7090733959236335E-3</v>
      </c>
      <c r="AW344" s="31">
        <v>2.8307246127698971E-3</v>
      </c>
      <c r="AX344" s="31">
        <v>2.031453273364292E-3</v>
      </c>
      <c r="AY344" s="31">
        <v>1.9507953646547005E-3</v>
      </c>
      <c r="AZ344" s="31">
        <v>2.0047612890627953E-3</v>
      </c>
      <c r="BA344" s="31">
        <v>2.7958659930369389E-3</v>
      </c>
      <c r="BB344" s="31">
        <v>3.7837975158467874E-3</v>
      </c>
      <c r="BC344" s="31">
        <v>4.314063292665038E-3</v>
      </c>
      <c r="BD344" s="31">
        <v>4.4691251303279333E-3</v>
      </c>
      <c r="BE344" s="31"/>
      <c r="BF344" s="31"/>
      <c r="BG344" s="31"/>
      <c r="BH344" s="31"/>
      <c r="BI344" s="31"/>
      <c r="BJ344" s="31"/>
      <c r="BK344" s="31"/>
      <c r="BL344" s="31"/>
    </row>
    <row r="345" spans="1:80" ht="13.5" x14ac:dyDescent="0.7">
      <c r="A345" s="27" t="s">
        <v>175</v>
      </c>
      <c r="B345" s="26"/>
      <c r="C345" s="120"/>
      <c r="E345" s="30"/>
      <c r="F345" s="30" t="s">
        <v>269</v>
      </c>
      <c r="G345" s="30" t="s">
        <v>269</v>
      </c>
      <c r="H345" s="30" t="s">
        <v>269</v>
      </c>
      <c r="I345" s="30" t="s">
        <v>269</v>
      </c>
      <c r="J345" s="30" t="s">
        <v>269</v>
      </c>
      <c r="K345" s="30" t="s">
        <v>269</v>
      </c>
      <c r="L345" s="30" t="s">
        <v>269</v>
      </c>
      <c r="M345" s="30" t="s">
        <v>269</v>
      </c>
      <c r="N345" s="30" t="s">
        <v>269</v>
      </c>
      <c r="O345" s="30" t="s">
        <v>269</v>
      </c>
      <c r="P345" s="30" t="s">
        <v>269</v>
      </c>
      <c r="Q345" s="30" t="s">
        <v>269</v>
      </c>
      <c r="R345" s="30" t="s">
        <v>269</v>
      </c>
      <c r="S345" s="30" t="s">
        <v>269</v>
      </c>
      <c r="T345" s="30" t="s">
        <v>269</v>
      </c>
      <c r="U345" s="30" t="s">
        <v>269</v>
      </c>
      <c r="V345" s="30" t="s">
        <v>269</v>
      </c>
      <c r="W345" s="30" t="s">
        <v>269</v>
      </c>
      <c r="X345" s="30" t="s">
        <v>269</v>
      </c>
      <c r="Y345" s="30" t="s">
        <v>269</v>
      </c>
      <c r="Z345" s="30" t="s">
        <v>269</v>
      </c>
      <c r="AA345" s="30" t="s">
        <v>269</v>
      </c>
      <c r="AB345" s="30" t="s">
        <v>269</v>
      </c>
      <c r="AC345" s="30" t="s">
        <v>269</v>
      </c>
      <c r="AD345" s="30" t="s">
        <v>269</v>
      </c>
      <c r="AE345" s="30" t="s">
        <v>269</v>
      </c>
      <c r="AF345" s="30" t="s">
        <v>269</v>
      </c>
      <c r="AG345" s="30" t="s">
        <v>269</v>
      </c>
      <c r="AH345" s="30" t="s">
        <v>269</v>
      </c>
      <c r="AI345" s="30" t="s">
        <v>269</v>
      </c>
      <c r="AJ345" s="30" t="s">
        <v>269</v>
      </c>
      <c r="AK345" s="30" t="s">
        <v>269</v>
      </c>
      <c r="AL345" s="30" t="s">
        <v>269</v>
      </c>
      <c r="AM345" s="30" t="s">
        <v>269</v>
      </c>
      <c r="AN345" s="30" t="s">
        <v>269</v>
      </c>
      <c r="AO345" s="30" t="s">
        <v>269</v>
      </c>
      <c r="AP345" s="30" t="s">
        <v>269</v>
      </c>
      <c r="AQ345" s="30" t="s">
        <v>269</v>
      </c>
      <c r="AR345" s="30" t="s">
        <v>269</v>
      </c>
      <c r="AS345" s="30" t="s">
        <v>269</v>
      </c>
      <c r="AT345" s="30" t="s">
        <v>269</v>
      </c>
      <c r="AU345" s="30" t="s">
        <v>269</v>
      </c>
      <c r="AV345" s="30" t="s">
        <v>269</v>
      </c>
      <c r="AW345" s="30" t="s">
        <v>269</v>
      </c>
      <c r="AX345" s="30" t="s">
        <v>269</v>
      </c>
      <c r="AY345" s="30" t="s">
        <v>269</v>
      </c>
      <c r="AZ345" s="30" t="s">
        <v>269</v>
      </c>
      <c r="BA345" s="30" t="s">
        <v>269</v>
      </c>
      <c r="BB345" s="30" t="s">
        <v>269</v>
      </c>
      <c r="BC345" s="30" t="s">
        <v>269</v>
      </c>
      <c r="BD345" s="30" t="s">
        <v>269</v>
      </c>
      <c r="BE345" s="30"/>
      <c r="BF345" s="30"/>
      <c r="BG345" s="30"/>
      <c r="BH345" s="30"/>
      <c r="BI345" s="30"/>
      <c r="BJ345" s="30"/>
      <c r="BK345" s="30"/>
      <c r="BL345" s="30"/>
    </row>
    <row r="346" spans="1:80" ht="13.5" x14ac:dyDescent="0.7">
      <c r="A346" s="25" t="s">
        <v>848</v>
      </c>
      <c r="B346" s="26"/>
      <c r="C346" s="118" t="s">
        <v>253</v>
      </c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</row>
    <row r="347" spans="1:80" ht="13.5" x14ac:dyDescent="0.7">
      <c r="A347" s="27" t="s">
        <v>4</v>
      </c>
      <c r="B347" s="26"/>
      <c r="C347" s="119"/>
      <c r="E347" s="35">
        <v>3.8459577465732586E-3</v>
      </c>
      <c r="F347" s="31">
        <v>2.1519895279811241E-3</v>
      </c>
      <c r="G347" s="31">
        <v>3.7825117598662139E-3</v>
      </c>
      <c r="H347" s="31">
        <v>3.7590109088174728E-3</v>
      </c>
      <c r="I347" s="31">
        <v>4.0727424311834959E-3</v>
      </c>
      <c r="J347" s="31">
        <v>2.4326151672138252E-3</v>
      </c>
      <c r="K347" s="31">
        <v>3.2447864343265742E-3</v>
      </c>
      <c r="L347" s="31">
        <v>2.6532978486206726E-3</v>
      </c>
      <c r="M347" s="31">
        <v>4.717255052773428E-3</v>
      </c>
      <c r="N347" s="31">
        <v>4.7530062682252794E-3</v>
      </c>
      <c r="O347" s="31">
        <v>3.0810803318348512E-3</v>
      </c>
      <c r="P347" s="31">
        <v>1.7477644710730544E-3</v>
      </c>
      <c r="Q347" s="31">
        <v>2.6901338093638927E-3</v>
      </c>
      <c r="R347" s="31">
        <v>4.0973130396384505E-3</v>
      </c>
      <c r="S347" s="31">
        <v>3.3852442504536118E-3</v>
      </c>
      <c r="T347" s="31">
        <v>6.5134804329236573E-4</v>
      </c>
      <c r="U347" s="31">
        <v>1.1561613903638968E-3</v>
      </c>
      <c r="V347" s="31">
        <v>3.8696060663201415E-3</v>
      </c>
      <c r="W347" s="31">
        <v>2.5806788356190768E-3</v>
      </c>
      <c r="X347" s="31">
        <v>3.2808373454955575E-3</v>
      </c>
      <c r="Y347" s="31">
        <v>3.7262544980105616E-3</v>
      </c>
      <c r="Z347" s="31">
        <v>3.4476907994527295E-3</v>
      </c>
      <c r="AA347" s="31">
        <v>3.3783681705592539E-3</v>
      </c>
      <c r="AB347" s="31">
        <v>5.3856368387299458E-3</v>
      </c>
      <c r="AC347" s="31">
        <v>4.4136671444605646E-3</v>
      </c>
      <c r="AD347" s="31">
        <v>5.1885656196650753E-3</v>
      </c>
      <c r="AE347" s="31">
        <v>3.2972767421843852E-3</v>
      </c>
      <c r="AF347" s="31">
        <v>3.1808272401827598E-3</v>
      </c>
      <c r="AG347" s="31">
        <v>4.5570871100095722E-3</v>
      </c>
      <c r="AH347" s="31">
        <v>4.692719955792235E-3</v>
      </c>
      <c r="AI347" s="31">
        <v>3.5267309899125188E-3</v>
      </c>
      <c r="AJ347" s="31">
        <v>5.1898022946321731E-3</v>
      </c>
      <c r="AK347" s="31">
        <v>3.9529865798295649E-3</v>
      </c>
      <c r="AL347" s="31">
        <v>7.4300097468387172E-3</v>
      </c>
      <c r="AM347" s="31">
        <v>-2.4304422402893211E-3</v>
      </c>
      <c r="AN347" s="31">
        <v>6.281209507294605E-3</v>
      </c>
      <c r="AO347" s="31">
        <v>9.5796712649545146E-3</v>
      </c>
      <c r="AP347" s="31">
        <v>7.9885285768803715E-3</v>
      </c>
      <c r="AQ347" s="31">
        <v>1.1157805133847232E-2</v>
      </c>
      <c r="AR347" s="31">
        <v>1.1670035500535914E-2</v>
      </c>
      <c r="AS347" s="31">
        <v>1.6377854124117075E-2</v>
      </c>
      <c r="AT347" s="31">
        <v>1.565195221007909E-2</v>
      </c>
      <c r="AU347" s="31">
        <v>8.4235913858681233E-3</v>
      </c>
      <c r="AV347" s="31">
        <v>1.4048766782513322E-2</v>
      </c>
      <c r="AW347" s="31">
        <v>1.027856608115929E-2</v>
      </c>
      <c r="AX347" s="31">
        <v>7.8504168917090666E-3</v>
      </c>
      <c r="AY347" s="31">
        <v>8.3226481976146349E-3</v>
      </c>
      <c r="AZ347" s="31">
        <v>8.6158672315799212E-3</v>
      </c>
      <c r="BA347" s="31">
        <v>6.0545485857552706E-3</v>
      </c>
      <c r="BB347" s="31">
        <v>4.3322232371607594E-3</v>
      </c>
      <c r="BC347" s="31">
        <v>5.5748593882296582E-3</v>
      </c>
      <c r="BD347" s="31">
        <v>4.6265371342737449E-3</v>
      </c>
      <c r="BE347" s="31"/>
      <c r="BF347" s="31"/>
      <c r="BG347" s="31"/>
      <c r="BH347" s="31"/>
      <c r="BI347" s="31"/>
      <c r="BJ347" s="31"/>
      <c r="BK347" s="31"/>
      <c r="BL347" s="31"/>
    </row>
    <row r="348" spans="1:80" ht="13.5" x14ac:dyDescent="0.7">
      <c r="A348" s="25" t="s">
        <v>20</v>
      </c>
      <c r="B348" s="26"/>
      <c r="C348" s="12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</row>
    <row r="349" spans="1:80" ht="13.5" x14ac:dyDescent="0.7">
      <c r="A349" s="27" t="s">
        <v>21</v>
      </c>
      <c r="B349" s="26"/>
      <c r="C349" s="27" t="s">
        <v>254</v>
      </c>
      <c r="E349" s="30" t="s">
        <v>269</v>
      </c>
      <c r="F349" s="30" t="s">
        <v>269</v>
      </c>
      <c r="G349" s="30" t="s">
        <v>269</v>
      </c>
      <c r="H349" s="30" t="s">
        <v>269</v>
      </c>
      <c r="I349" s="30" t="s">
        <v>269</v>
      </c>
      <c r="J349" s="30" t="s">
        <v>269</v>
      </c>
      <c r="K349" s="30" t="s">
        <v>269</v>
      </c>
      <c r="L349" s="30" t="s">
        <v>269</v>
      </c>
      <c r="M349" s="30" t="s">
        <v>269</v>
      </c>
      <c r="N349" s="30" t="s">
        <v>269</v>
      </c>
      <c r="O349" s="30" t="s">
        <v>269</v>
      </c>
      <c r="P349" s="30" t="s">
        <v>269</v>
      </c>
      <c r="Q349" s="30" t="s">
        <v>269</v>
      </c>
      <c r="R349" s="30" t="s">
        <v>269</v>
      </c>
      <c r="S349" s="30" t="s">
        <v>269</v>
      </c>
      <c r="T349" s="30" t="s">
        <v>269</v>
      </c>
      <c r="U349" s="30" t="s">
        <v>269</v>
      </c>
      <c r="V349" s="30" t="s">
        <v>269</v>
      </c>
      <c r="W349" s="30" t="s">
        <v>269</v>
      </c>
      <c r="X349" s="30" t="s">
        <v>269</v>
      </c>
      <c r="Y349" s="30" t="s">
        <v>269</v>
      </c>
      <c r="Z349" s="30" t="s">
        <v>269</v>
      </c>
      <c r="AA349" s="30" t="s">
        <v>269</v>
      </c>
      <c r="AB349" s="30" t="s">
        <v>269</v>
      </c>
      <c r="AC349" s="30" t="s">
        <v>269</v>
      </c>
      <c r="AD349" s="30" t="s">
        <v>269</v>
      </c>
      <c r="AE349" s="30" t="s">
        <v>269</v>
      </c>
      <c r="AF349" s="30" t="s">
        <v>269</v>
      </c>
      <c r="AG349" s="30" t="s">
        <v>269</v>
      </c>
      <c r="AH349" s="30" t="s">
        <v>269</v>
      </c>
      <c r="AI349" s="30" t="s">
        <v>269</v>
      </c>
      <c r="AJ349" s="30" t="s">
        <v>269</v>
      </c>
      <c r="AK349" s="30" t="s">
        <v>269</v>
      </c>
      <c r="AL349" s="30" t="s">
        <v>269</v>
      </c>
      <c r="AM349" s="30" t="s">
        <v>269</v>
      </c>
      <c r="AN349" s="30" t="s">
        <v>269</v>
      </c>
      <c r="AO349" s="30" t="s">
        <v>269</v>
      </c>
      <c r="AP349" s="30" t="s">
        <v>269</v>
      </c>
      <c r="AQ349" s="30" t="s">
        <v>269</v>
      </c>
      <c r="AR349" s="30" t="s">
        <v>269</v>
      </c>
      <c r="AS349" s="30" t="s">
        <v>269</v>
      </c>
      <c r="AT349" s="30" t="s">
        <v>269</v>
      </c>
      <c r="AU349" s="30" t="s">
        <v>269</v>
      </c>
      <c r="AV349" s="30" t="s">
        <v>269</v>
      </c>
      <c r="AW349" s="30" t="s">
        <v>269</v>
      </c>
      <c r="AX349" s="30" t="s">
        <v>269</v>
      </c>
      <c r="AY349" s="30" t="s">
        <v>269</v>
      </c>
      <c r="AZ349" s="30" t="s">
        <v>269</v>
      </c>
      <c r="BA349" s="30" t="s">
        <v>269</v>
      </c>
      <c r="BB349" s="30" t="s">
        <v>269</v>
      </c>
      <c r="BC349" s="30" t="s">
        <v>269</v>
      </c>
      <c r="BD349" s="30" t="s">
        <v>269</v>
      </c>
      <c r="BE349" s="30" t="s">
        <v>269</v>
      </c>
      <c r="BF349" s="30" t="s">
        <v>269</v>
      </c>
      <c r="BG349" s="30" t="s">
        <v>269</v>
      </c>
      <c r="BH349" s="30" t="s">
        <v>269</v>
      </c>
      <c r="BI349" s="30" t="s">
        <v>269</v>
      </c>
      <c r="BJ349" s="30" t="s">
        <v>269</v>
      </c>
      <c r="BK349" s="30" t="s">
        <v>269</v>
      </c>
      <c r="BL349" s="30" t="s">
        <v>269</v>
      </c>
    </row>
    <row r="350" spans="1:80" ht="13.5" x14ac:dyDescent="0.7">
      <c r="A350" s="25" t="s">
        <v>73</v>
      </c>
      <c r="B350" s="26"/>
      <c r="C350" s="27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</row>
    <row r="351" spans="1:80" ht="13.5" x14ac:dyDescent="0.7">
      <c r="A351" s="27" t="s">
        <v>145</v>
      </c>
      <c r="B351" s="26"/>
      <c r="C351" s="27" t="s">
        <v>254</v>
      </c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</row>
    <row r="352" spans="1:80" ht="13.5" x14ac:dyDescent="0.7">
      <c r="A352" s="27" t="s">
        <v>144</v>
      </c>
      <c r="B352" s="26"/>
      <c r="C352" s="27" t="s">
        <v>254</v>
      </c>
      <c r="E352" s="32">
        <v>119.91222352929518</v>
      </c>
      <c r="F352" s="32">
        <v>120.36131889629617</v>
      </c>
      <c r="G352" s="32">
        <v>120.27162289623689</v>
      </c>
      <c r="H352" s="32">
        <v>119.61959552599221</v>
      </c>
      <c r="I352" s="32">
        <v>117.99623366285057</v>
      </c>
      <c r="J352" s="32">
        <v>116.82744294388641</v>
      </c>
      <c r="K352" s="32">
        <v>115.88284957119252</v>
      </c>
      <c r="L352" s="32">
        <v>115.39075537945436</v>
      </c>
      <c r="M352" s="32">
        <v>115.74511783928445</v>
      </c>
      <c r="N352" s="32">
        <v>115.99536376608243</v>
      </c>
      <c r="O352" s="32">
        <v>116.16852260437661</v>
      </c>
      <c r="P352" s="32">
        <v>115.9190851057045</v>
      </c>
      <c r="Q352" s="32">
        <v>115.01428963202493</v>
      </c>
      <c r="R352" s="32">
        <v>113.53759730861685</v>
      </c>
      <c r="S352" s="32">
        <v>111.68831620166772</v>
      </c>
      <c r="T352" s="32">
        <v>109.80849129789446</v>
      </c>
      <c r="U352" s="32">
        <v>107.79897230695738</v>
      </c>
      <c r="V352" s="32">
        <v>106.69995893438814</v>
      </c>
      <c r="W352" s="32">
        <v>106.1199958443048</v>
      </c>
      <c r="X352" s="32">
        <v>105.95674308460224</v>
      </c>
      <c r="Y352" s="32">
        <v>106.29346675556739</v>
      </c>
      <c r="Z352" s="32">
        <v>106.52894027853978</v>
      </c>
      <c r="AA352" s="32">
        <v>106.8499997258138</v>
      </c>
      <c r="AB352" s="32">
        <v>107.27028838434332</v>
      </c>
      <c r="AC352" s="32">
        <v>107.9133236921119</v>
      </c>
      <c r="AD352" s="32">
        <v>108.57364647992398</v>
      </c>
      <c r="AE352" s="32">
        <v>109.25227014169114</v>
      </c>
      <c r="AF352" s="32">
        <v>109.78628295051332</v>
      </c>
      <c r="AG352" s="32">
        <v>110.20598154810962</v>
      </c>
      <c r="AH352" s="32">
        <v>109.96167775016684</v>
      </c>
      <c r="AI352" s="32">
        <v>109.25454111456762</v>
      </c>
      <c r="AJ352" s="32">
        <v>108.22329203268218</v>
      </c>
      <c r="AK352" s="32">
        <v>106.39465830164683</v>
      </c>
      <c r="AL352" s="32">
        <v>105.6209812541763</v>
      </c>
      <c r="AM352" s="32">
        <v>105.50888365513303</v>
      </c>
      <c r="AN352" s="32">
        <v>106.32042558468525</v>
      </c>
      <c r="AO352" s="32">
        <v>108.4226142342348</v>
      </c>
      <c r="AP352" s="32">
        <v>111.14991978841786</v>
      </c>
      <c r="AQ352" s="32">
        <v>114.45910748033913</v>
      </c>
      <c r="AR352" s="32">
        <v>117.89810383858739</v>
      </c>
      <c r="AS352" s="32">
        <v>121.75670332996839</v>
      </c>
      <c r="AT352" s="32">
        <v>124.12423972307086</v>
      </c>
      <c r="AU352" s="32">
        <v>125.59519824487646</v>
      </c>
      <c r="AV352" s="32">
        <v>126.24497211489485</v>
      </c>
      <c r="AW352" s="32">
        <v>125.61363974725691</v>
      </c>
      <c r="AX352" s="32">
        <v>125.59036180350773</v>
      </c>
      <c r="AY352" s="32">
        <v>125.78637490989742</v>
      </c>
      <c r="AZ352" s="32">
        <v>126.40446298459982</v>
      </c>
      <c r="BA352" s="32">
        <v>127.73858964489169</v>
      </c>
      <c r="BB352" s="32">
        <v>128.99523883474242</v>
      </c>
      <c r="BC352" s="32">
        <v>130.21023160934419</v>
      </c>
      <c r="BD352" s="32">
        <v>131.16300569116487</v>
      </c>
      <c r="BE352" s="32">
        <v>131.67729165694149</v>
      </c>
      <c r="BF352" s="32">
        <v>132.01325294811778</v>
      </c>
      <c r="BG352" s="32">
        <v>132.25221844930081</v>
      </c>
      <c r="BH352" s="32">
        <v>132.57100945341617</v>
      </c>
      <c r="BI352" s="32">
        <v>133.07960570376972</v>
      </c>
      <c r="BJ352" s="32">
        <v>133.70869629821962</v>
      </c>
      <c r="BK352" s="32">
        <v>134.36175519630333</v>
      </c>
      <c r="BL352" s="32">
        <v>134.91789803359072</v>
      </c>
    </row>
    <row r="353" spans="1:64" ht="13.5" x14ac:dyDescent="0.7">
      <c r="A353" s="25" t="s">
        <v>255</v>
      </c>
      <c r="B353" s="26"/>
      <c r="C353" s="27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</row>
    <row r="354" spans="1:64" ht="13.5" x14ac:dyDescent="0.7">
      <c r="A354" s="27" t="s">
        <v>135</v>
      </c>
      <c r="B354" s="26"/>
      <c r="C354" s="28" t="s">
        <v>256</v>
      </c>
      <c r="E354" s="96">
        <v>242.84389551081918</v>
      </c>
      <c r="F354" s="96">
        <v>225.08664014169577</v>
      </c>
      <c r="G354" s="96">
        <v>223.08500343474205</v>
      </c>
      <c r="H354" s="96">
        <v>221.46836409070531</v>
      </c>
      <c r="I354" s="96">
        <v>227.32100584717784</v>
      </c>
      <c r="J354" s="96">
        <v>218.75753779023327</v>
      </c>
      <c r="K354" s="96">
        <v>229.53352036498981</v>
      </c>
      <c r="L354" s="96">
        <v>227.90750647751884</v>
      </c>
      <c r="M354" s="96">
        <v>229.46450841188687</v>
      </c>
      <c r="N354" s="96">
        <v>230.69254430390936</v>
      </c>
      <c r="O354" s="96">
        <v>216.9077076024586</v>
      </c>
      <c r="P354" s="96">
        <v>172.21802072310106</v>
      </c>
      <c r="Q354" s="96">
        <v>127.99715118674594</v>
      </c>
      <c r="R354" s="96">
        <v>134.05639849281673</v>
      </c>
      <c r="S354" s="96">
        <v>113.73048625309336</v>
      </c>
      <c r="T354" s="96">
        <v>100.14444860252927</v>
      </c>
      <c r="U354" s="96">
        <v>81.029943283529448</v>
      </c>
      <c r="V354" s="96">
        <v>100.24012879561627</v>
      </c>
      <c r="W354" s="96">
        <v>103.26084166987964</v>
      </c>
      <c r="X354" s="96">
        <v>115.46908625097463</v>
      </c>
      <c r="Y354" s="96">
        <v>123.07228571868593</v>
      </c>
      <c r="Z354" s="96">
        <v>113.86478715131692</v>
      </c>
      <c r="AA354" s="96">
        <v>118.15622227551046</v>
      </c>
      <c r="AB354" s="96">
        <v>138.10949682778084</v>
      </c>
      <c r="AC354" s="96">
        <v>149.10555283789907</v>
      </c>
      <c r="AD354" s="96">
        <v>159.27654342168353</v>
      </c>
      <c r="AE354" s="96">
        <v>166.74900269211909</v>
      </c>
      <c r="AF354" s="96">
        <v>151.00792985390066</v>
      </c>
      <c r="AG354" s="96">
        <v>135.05368076473584</v>
      </c>
      <c r="AH354" s="96">
        <v>134.13926837979565</v>
      </c>
      <c r="AI354" s="96">
        <v>121.76935134864431</v>
      </c>
      <c r="AJ354" s="96">
        <v>126.17761629218926</v>
      </c>
      <c r="AK354" s="96">
        <v>102.80853327220278</v>
      </c>
      <c r="AL354" s="96">
        <v>68.766525110104411</v>
      </c>
      <c r="AM354" s="96">
        <v>90.31376282136047</v>
      </c>
      <c r="AN354" s="96">
        <v>104.93074940794305</v>
      </c>
      <c r="AO354" s="96">
        <v>139.41590972487134</v>
      </c>
      <c r="AP354" s="96">
        <v>156.21544319997861</v>
      </c>
      <c r="AQ354" s="96">
        <v>192.67849835075745</v>
      </c>
      <c r="AR354" s="96">
        <v>244.04503945504811</v>
      </c>
      <c r="AS354" s="96">
        <v>277.73650007159216</v>
      </c>
      <c r="AT354" s="96">
        <v>311.77721250898162</v>
      </c>
      <c r="AU354" s="96">
        <v>350.12388863386781</v>
      </c>
      <c r="AV354" s="96">
        <v>258.40673530702196</v>
      </c>
      <c r="AW354" s="96">
        <v>202.28786940477249</v>
      </c>
      <c r="AX354" s="96">
        <v>177.26008807748468</v>
      </c>
      <c r="AY354" s="96">
        <v>179.06401789351267</v>
      </c>
      <c r="AZ354" s="96">
        <v>183.66300695456297</v>
      </c>
      <c r="BA354" s="96">
        <v>184.79244750186794</v>
      </c>
      <c r="BB354" s="96">
        <v>177.54443882843756</v>
      </c>
      <c r="BC354" s="96">
        <v>177.21899067771599</v>
      </c>
      <c r="BD354" s="96">
        <v>179.24115650841046</v>
      </c>
      <c r="BE354" s="96">
        <v>0</v>
      </c>
      <c r="BF354" s="96">
        <v>0</v>
      </c>
      <c r="BG354" s="96">
        <v>0</v>
      </c>
      <c r="BH354" s="96">
        <v>0</v>
      </c>
      <c r="BI354" s="96">
        <v>0</v>
      </c>
      <c r="BJ354" s="96">
        <v>0</v>
      </c>
      <c r="BK354" s="96">
        <v>0</v>
      </c>
      <c r="BL354" s="96">
        <v>0</v>
      </c>
    </row>
    <row r="355" spans="1:64" ht="13.5" x14ac:dyDescent="0.7">
      <c r="A355" s="27" t="s">
        <v>137</v>
      </c>
      <c r="B355" s="26"/>
      <c r="C355" s="27" t="s">
        <v>257</v>
      </c>
      <c r="E355" s="32">
        <v>112.41666185666186</v>
      </c>
      <c r="F355" s="32">
        <v>103.00314469749253</v>
      </c>
      <c r="G355" s="32">
        <v>102.99068445322793</v>
      </c>
      <c r="H355" s="32">
        <v>101.97597695380303</v>
      </c>
      <c r="I355" s="32">
        <v>105.20577340694733</v>
      </c>
      <c r="J355" s="32">
        <v>99.367261967501122</v>
      </c>
      <c r="K355" s="32">
        <v>107.44796526340004</v>
      </c>
      <c r="L355" s="32">
        <v>104.66626105778279</v>
      </c>
      <c r="M355" s="32">
        <v>103.80442247527031</v>
      </c>
      <c r="N355" s="32">
        <v>106.44512025012024</v>
      </c>
      <c r="O355" s="32">
        <v>100.46670932931802</v>
      </c>
      <c r="P355" s="32">
        <v>74.588258454106267</v>
      </c>
      <c r="Q355" s="32">
        <v>51.848595959595968</v>
      </c>
      <c r="R355" s="32">
        <v>60.516113516113514</v>
      </c>
      <c r="S355" s="32">
        <v>49.019454378150023</v>
      </c>
      <c r="T355" s="32">
        <v>42.263525524395085</v>
      </c>
      <c r="U355" s="32">
        <v>33.138265470439386</v>
      </c>
      <c r="V355" s="32">
        <v>45.288667628667632</v>
      </c>
      <c r="W355" s="32">
        <v>45.107305456218505</v>
      </c>
      <c r="X355" s="32">
        <v>49.521190476190469</v>
      </c>
      <c r="Y355" s="32">
        <v>53.191375933245496</v>
      </c>
      <c r="Z355" s="32">
        <v>49.663256258234519</v>
      </c>
      <c r="AA355" s="32">
        <v>50.343225212790422</v>
      </c>
      <c r="AB355" s="32">
        <v>58.712722462722461</v>
      </c>
      <c r="AC355" s="32">
        <v>64.743637900746592</v>
      </c>
      <c r="AD355" s="32">
        <v>71.646128364389227</v>
      </c>
      <c r="AE355" s="32">
        <v>73.302795564339036</v>
      </c>
      <c r="AF355" s="32">
        <v>64.437560909300032</v>
      </c>
      <c r="AG355" s="32">
        <v>60.702674028065324</v>
      </c>
      <c r="AH355" s="32">
        <v>64.985770092226616</v>
      </c>
      <c r="AI355" s="32">
        <v>59.739888951628075</v>
      </c>
      <c r="AJ355" s="32">
        <v>60.301003199698862</v>
      </c>
      <c r="AK355" s="32">
        <v>49.096131971892845</v>
      </c>
      <c r="AL355" s="32">
        <v>31.451851851851853</v>
      </c>
      <c r="AM355" s="32">
        <v>42.312498692933481</v>
      </c>
      <c r="AN355" s="32">
        <v>44.201507622811981</v>
      </c>
      <c r="AO355" s="32">
        <v>59.648475385323216</v>
      </c>
      <c r="AP355" s="32">
        <v>67.350889850889857</v>
      </c>
      <c r="AQ355" s="32">
        <v>71.707373737373743</v>
      </c>
      <c r="AR355" s="32">
        <v>78.293173766652032</v>
      </c>
      <c r="AS355" s="32">
        <v>95.353100989187951</v>
      </c>
      <c r="AT355" s="32">
        <v>109.42356661856661</v>
      </c>
      <c r="AU355" s="32">
        <v>95.474347616956308</v>
      </c>
      <c r="AV355" s="32">
        <v>85.197222222222209</v>
      </c>
      <c r="AW355" s="32">
        <v>78.928421169999993</v>
      </c>
      <c r="AX355" s="32">
        <v>71.79878977766667</v>
      </c>
      <c r="AY355" s="32">
        <v>71.304694111333347</v>
      </c>
      <c r="AZ355" s="32">
        <v>70.486951777666661</v>
      </c>
      <c r="BA355" s="32">
        <v>69.738506666666666</v>
      </c>
      <c r="BB355" s="32">
        <v>69.144704777999991</v>
      </c>
      <c r="BC355" s="32">
        <v>68.602961666666673</v>
      </c>
      <c r="BD355" s="32">
        <v>68.11509555566667</v>
      </c>
      <c r="BE355" s="32">
        <v>0</v>
      </c>
      <c r="BF355" s="32">
        <v>0</v>
      </c>
      <c r="BG355" s="32">
        <v>0</v>
      </c>
      <c r="BH355" s="32">
        <v>0</v>
      </c>
      <c r="BI355" s="32">
        <v>0</v>
      </c>
      <c r="BJ355" s="32">
        <v>0</v>
      </c>
      <c r="BK355" s="32">
        <v>0</v>
      </c>
      <c r="BL355" s="32">
        <v>0</v>
      </c>
    </row>
    <row r="356" spans="1:64" ht="13.5" x14ac:dyDescent="0.7">
      <c r="A356" s="27" t="s">
        <v>140</v>
      </c>
      <c r="B356" s="26"/>
      <c r="C356" s="28" t="s">
        <v>256</v>
      </c>
      <c r="E356" s="96">
        <v>120.51241957129527</v>
      </c>
      <c r="F356" s="96">
        <v>118.4869964672004</v>
      </c>
      <c r="G356" s="96">
        <v>123.59173989506819</v>
      </c>
      <c r="H356" s="96">
        <v>120.90166887463441</v>
      </c>
      <c r="I356" s="96">
        <v>121.67708520775115</v>
      </c>
      <c r="J356" s="96">
        <v>125.08612856548946</v>
      </c>
      <c r="K356" s="96">
        <v>119.16672873455134</v>
      </c>
      <c r="L356" s="96">
        <v>116.02610115958352</v>
      </c>
      <c r="M356" s="96">
        <v>122.30409468735449</v>
      </c>
      <c r="N356" s="96">
        <v>126.17678453163863</v>
      </c>
      <c r="O356" s="96">
        <v>115.33911674231943</v>
      </c>
      <c r="P356" s="96">
        <v>110.55558155025714</v>
      </c>
      <c r="Q356" s="96">
        <v>101.67391435487582</v>
      </c>
      <c r="R356" s="96">
        <v>100.65058213489148</v>
      </c>
      <c r="S356" s="96">
        <v>97.84409772789742</v>
      </c>
      <c r="T356" s="96">
        <v>93.98297190354991</v>
      </c>
      <c r="U356" s="96">
        <v>94.343764540202983</v>
      </c>
      <c r="V356" s="96">
        <v>101.69621711702099</v>
      </c>
      <c r="W356" s="96">
        <v>102.57136867341008</v>
      </c>
      <c r="X356" s="96">
        <v>101.38864966936598</v>
      </c>
      <c r="Y356" s="96">
        <v>105.66491780230403</v>
      </c>
      <c r="Z356" s="96">
        <v>104.18019263568927</v>
      </c>
      <c r="AA356" s="96">
        <v>103.26469350516949</v>
      </c>
      <c r="AB356" s="96">
        <v>102.07482731066466</v>
      </c>
      <c r="AC356" s="96">
        <v>106.20547173500381</v>
      </c>
      <c r="AD356" s="96">
        <v>106.38717471672406</v>
      </c>
      <c r="AE356" s="96">
        <v>99.106055385458362</v>
      </c>
      <c r="AF356" s="96">
        <v>98.322176292885729</v>
      </c>
      <c r="AG356" s="96">
        <v>99.100618809295042</v>
      </c>
      <c r="AH356" s="96">
        <v>99.958777255170261</v>
      </c>
      <c r="AI356" s="96">
        <v>98.195153827483963</v>
      </c>
      <c r="AJ356" s="96">
        <v>100.22630907721391</v>
      </c>
      <c r="AK356" s="96">
        <v>101.23800705475234</v>
      </c>
      <c r="AL356" s="96">
        <v>96.418667769612412</v>
      </c>
      <c r="AM356" s="96">
        <v>98.75361685039455</v>
      </c>
      <c r="AN356" s="96">
        <v>107.75171562003165</v>
      </c>
      <c r="AO356" s="96">
        <v>119.35447482233076</v>
      </c>
      <c r="AP356" s="96">
        <v>130.84595372815252</v>
      </c>
      <c r="AQ356" s="96">
        <v>129.15136972773527</v>
      </c>
      <c r="AR356" s="96">
        <v>130.37441801660452</v>
      </c>
      <c r="AS356" s="96">
        <v>148.21870172401776</v>
      </c>
      <c r="AT356" s="96">
        <v>157.86857663307293</v>
      </c>
      <c r="AU356" s="96">
        <v>138.19466160642446</v>
      </c>
      <c r="AV356" s="96">
        <v>137.16454759068799</v>
      </c>
      <c r="AW356" s="96">
        <v>139.94520121293718</v>
      </c>
      <c r="AX356" s="96">
        <v>139.45780085877524</v>
      </c>
      <c r="AY356" s="96">
        <v>135.85201193758127</v>
      </c>
      <c r="AZ356" s="96">
        <v>133.76843642103495</v>
      </c>
      <c r="BA356" s="96">
        <v>134.41241068859227</v>
      </c>
      <c r="BB356" s="96">
        <v>135.18798976530698</v>
      </c>
      <c r="BC356" s="96">
        <v>132.22032451131375</v>
      </c>
      <c r="BD356" s="96">
        <v>131.63485208836786</v>
      </c>
      <c r="BE356" s="96">
        <v>0</v>
      </c>
      <c r="BF356" s="96">
        <v>0</v>
      </c>
      <c r="BG356" s="96">
        <v>0</v>
      </c>
      <c r="BH356" s="96">
        <v>0</v>
      </c>
      <c r="BI356" s="96">
        <v>0</v>
      </c>
      <c r="BJ356" s="96">
        <v>0</v>
      </c>
      <c r="BK356" s="96">
        <v>0</v>
      </c>
      <c r="BL356" s="96">
        <v>0</v>
      </c>
    </row>
    <row r="357" spans="1:64" ht="13.5" x14ac:dyDescent="0.7">
      <c r="A357" s="27" t="s">
        <v>142</v>
      </c>
      <c r="B357" s="26"/>
      <c r="C357" s="28" t="s">
        <v>256</v>
      </c>
      <c r="E357" s="96">
        <v>135.32928186844231</v>
      </c>
      <c r="F357" s="96">
        <v>130.75330552563136</v>
      </c>
      <c r="G357" s="96">
        <v>122.01124018401595</v>
      </c>
      <c r="H357" s="96">
        <v>123.36946180606814</v>
      </c>
      <c r="I357" s="96">
        <v>125.23645739118929</v>
      </c>
      <c r="J357" s="96">
        <v>124.9540185447233</v>
      </c>
      <c r="K357" s="96">
        <v>119.52230994490385</v>
      </c>
      <c r="L357" s="96">
        <v>119.29314908853458</v>
      </c>
      <c r="M357" s="96">
        <v>119.29124423196818</v>
      </c>
      <c r="N357" s="96">
        <v>117.42837325400423</v>
      </c>
      <c r="O357" s="96">
        <v>109.7859320488372</v>
      </c>
      <c r="P357" s="96">
        <v>105.10042085371441</v>
      </c>
      <c r="Q357" s="96">
        <v>104.09474519312346</v>
      </c>
      <c r="R357" s="96">
        <v>104.66654333901784</v>
      </c>
      <c r="S357" s="96">
        <v>97.545961628682392</v>
      </c>
      <c r="T357" s="96">
        <v>94.406891112161659</v>
      </c>
      <c r="U357" s="96">
        <v>94.569023632889142</v>
      </c>
      <c r="V357" s="96">
        <v>100.58052306372252</v>
      </c>
      <c r="W357" s="96">
        <v>101.8479068008355</v>
      </c>
      <c r="X357" s="96">
        <v>103.00254650255287</v>
      </c>
      <c r="Y357" s="96">
        <v>109.68414084919419</v>
      </c>
      <c r="Z357" s="96">
        <v>106.6396778541141</v>
      </c>
      <c r="AA357" s="96">
        <v>103.00231846648637</v>
      </c>
      <c r="AB357" s="96">
        <v>102.20801315576885</v>
      </c>
      <c r="AC357" s="96">
        <v>110.31556908803474</v>
      </c>
      <c r="AD357" s="96">
        <v>110.18879542267477</v>
      </c>
      <c r="AE357" s="96">
        <v>106.6319899701128</v>
      </c>
      <c r="AF357" s="96">
        <v>102.82648629553239</v>
      </c>
      <c r="AG357" s="96">
        <v>104.5209024263749</v>
      </c>
      <c r="AH357" s="96">
        <v>105.26022196368773</v>
      </c>
      <c r="AI357" s="96">
        <v>98.754405259487513</v>
      </c>
      <c r="AJ357" s="96">
        <v>98.111809100380356</v>
      </c>
      <c r="AK357" s="96">
        <v>98.870199122222871</v>
      </c>
      <c r="AL357" s="96">
        <v>91.973478576120854</v>
      </c>
      <c r="AM357" s="96">
        <v>95.308471162430081</v>
      </c>
      <c r="AN357" s="96">
        <v>106.61854443990758</v>
      </c>
      <c r="AO357" s="96">
        <v>112.0654169629796</v>
      </c>
      <c r="AP357" s="96">
        <v>116.91769221792606</v>
      </c>
      <c r="AQ357" s="96">
        <v>110.33634905238547</v>
      </c>
      <c r="AR357" s="96">
        <v>114.20581175168449</v>
      </c>
      <c r="AS357" s="96">
        <v>125.33964256590536</v>
      </c>
      <c r="AT357" s="96">
        <v>132.83885064733863</v>
      </c>
      <c r="AU357" s="96">
        <v>115.97340386120736</v>
      </c>
      <c r="AV357" s="96">
        <v>105.4197080119787</v>
      </c>
      <c r="AW357" s="96">
        <v>106.75535519939599</v>
      </c>
      <c r="AX357" s="96">
        <v>105.33913527775648</v>
      </c>
      <c r="AY357" s="96">
        <v>105.7235393058904</v>
      </c>
      <c r="AZ357" s="96">
        <v>106.13856727804361</v>
      </c>
      <c r="BA357" s="96">
        <v>106.0026763532078</v>
      </c>
      <c r="BB357" s="96">
        <v>105.92647373954334</v>
      </c>
      <c r="BC357" s="96">
        <v>105.8209624280683</v>
      </c>
      <c r="BD357" s="96">
        <v>105.26263173849897</v>
      </c>
      <c r="BE357" s="96">
        <v>0</v>
      </c>
      <c r="BF357" s="96">
        <v>0</v>
      </c>
      <c r="BG357" s="96">
        <v>0</v>
      </c>
      <c r="BH357" s="96">
        <v>0</v>
      </c>
      <c r="BI357" s="96">
        <v>0</v>
      </c>
      <c r="BJ357" s="96">
        <v>0</v>
      </c>
      <c r="BK357" s="96">
        <v>0</v>
      </c>
      <c r="BL357" s="96">
        <v>0</v>
      </c>
    </row>
    <row r="358" spans="1:64" ht="13.5" x14ac:dyDescent="0.7">
      <c r="A358" s="27" t="s">
        <v>143</v>
      </c>
      <c r="B358" s="26"/>
      <c r="C358" s="28" t="s">
        <v>256</v>
      </c>
      <c r="E358" s="96">
        <v>186.06337472593748</v>
      </c>
      <c r="F358" s="96">
        <v>177.43568885476176</v>
      </c>
      <c r="G358" s="96">
        <v>159.1644800872912</v>
      </c>
      <c r="H358" s="96">
        <v>165.72666488684743</v>
      </c>
      <c r="I358" s="96">
        <v>180.59289760070644</v>
      </c>
      <c r="J358" s="96">
        <v>159.4049120287128</v>
      </c>
      <c r="K358" s="96">
        <v>160.04660345541319</v>
      </c>
      <c r="L358" s="96">
        <v>161.63332714483218</v>
      </c>
      <c r="M358" s="96">
        <v>154.19160501396087</v>
      </c>
      <c r="N358" s="96">
        <v>149.0443804784494</v>
      </c>
      <c r="O358" s="96">
        <v>146.64050040286313</v>
      </c>
      <c r="P358" s="96">
        <v>131.2153185460426</v>
      </c>
      <c r="Q358" s="96">
        <v>116.43545576561343</v>
      </c>
      <c r="R358" s="96">
        <v>113.35143090807786</v>
      </c>
      <c r="S358" s="96">
        <v>101.1970671281714</v>
      </c>
      <c r="T358" s="96">
        <v>91.434035198970108</v>
      </c>
      <c r="U358" s="96">
        <v>90.500301952100486</v>
      </c>
      <c r="V358" s="96">
        <v>96.636711512486258</v>
      </c>
      <c r="W358" s="96">
        <v>100.89638594927538</v>
      </c>
      <c r="X358" s="96">
        <v>111.96660058613791</v>
      </c>
      <c r="Y358" s="96">
        <v>125.76864479857564</v>
      </c>
      <c r="Z358" s="96">
        <v>112.80588320996088</v>
      </c>
      <c r="AA358" s="96">
        <v>123.43509296843024</v>
      </c>
      <c r="AB358" s="96">
        <v>126.7451447696847</v>
      </c>
      <c r="AC358" s="96">
        <v>135.56567144107422</v>
      </c>
      <c r="AD358" s="96">
        <v>134.51856303575076</v>
      </c>
      <c r="AE358" s="96">
        <v>125.51079906772553</v>
      </c>
      <c r="AF358" s="96">
        <v>125.55425917784093</v>
      </c>
      <c r="AG358" s="96">
        <v>131.94420576562649</v>
      </c>
      <c r="AH358" s="96">
        <v>140.08870209991002</v>
      </c>
      <c r="AI358" s="96">
        <v>138.60657543501335</v>
      </c>
      <c r="AJ358" s="96">
        <v>130.64183765428581</v>
      </c>
      <c r="AK358" s="96">
        <v>126.76467605569071</v>
      </c>
      <c r="AL358" s="96">
        <v>123.18214624601258</v>
      </c>
      <c r="AM358" s="96">
        <v>147.0182381154641</v>
      </c>
      <c r="AN358" s="96">
        <v>163.07507261615783</v>
      </c>
      <c r="AO358" s="96">
        <v>193.60173557548569</v>
      </c>
      <c r="AP358" s="96">
        <v>224.8606768710049</v>
      </c>
      <c r="AQ358" s="96">
        <v>214.14888200780288</v>
      </c>
      <c r="AR358" s="96">
        <v>189.0388657191838</v>
      </c>
      <c r="AS358" s="96">
        <v>219.65549054780857</v>
      </c>
      <c r="AT358" s="96">
        <v>213.26141896539306</v>
      </c>
      <c r="AU358" s="96">
        <v>171.02276243511437</v>
      </c>
      <c r="AV358" s="96">
        <v>171.6408434727613</v>
      </c>
      <c r="AW358" s="96">
        <v>205.8813469196277</v>
      </c>
      <c r="AX358" s="96">
        <v>200.08187843801446</v>
      </c>
      <c r="AY358" s="96">
        <v>199.00849431976533</v>
      </c>
      <c r="AZ358" s="96">
        <v>197.83595939340003</v>
      </c>
      <c r="BA358" s="96">
        <v>196.78253079488735</v>
      </c>
      <c r="BB358" s="96">
        <v>195.83634840993975</v>
      </c>
      <c r="BC358" s="96">
        <v>194.97176838195321</v>
      </c>
      <c r="BD358" s="96">
        <v>194.13557751841614</v>
      </c>
      <c r="BE358" s="96">
        <v>0</v>
      </c>
      <c r="BF358" s="96">
        <v>0</v>
      </c>
      <c r="BG358" s="96">
        <v>0</v>
      </c>
      <c r="BH358" s="96">
        <v>0</v>
      </c>
      <c r="BI358" s="96">
        <v>0</v>
      </c>
      <c r="BJ358" s="96">
        <v>0</v>
      </c>
      <c r="BK358" s="96">
        <v>0</v>
      </c>
      <c r="BL358" s="96">
        <v>0</v>
      </c>
    </row>
    <row r="359" spans="1:64" ht="13.5" x14ac:dyDescent="0.7">
      <c r="A359" s="27" t="s">
        <v>270</v>
      </c>
      <c r="B359" s="26"/>
      <c r="C359" s="27" t="s">
        <v>258</v>
      </c>
      <c r="E359" s="32">
        <v>220.87344877344879</v>
      </c>
      <c r="F359" s="32">
        <v>181.5000069013112</v>
      </c>
      <c r="G359" s="32">
        <v>181.41575230566536</v>
      </c>
      <c r="H359" s="32">
        <v>161.97712466277684</v>
      </c>
      <c r="I359" s="32">
        <v>152.1014955141477</v>
      </c>
      <c r="J359" s="32">
        <v>145.07746837944663</v>
      </c>
      <c r="K359" s="32">
        <v>135.27430359495577</v>
      </c>
      <c r="L359" s="32">
        <v>125.4840818119079</v>
      </c>
      <c r="M359" s="32">
        <v>173.4161425120773</v>
      </c>
      <c r="N359" s="32">
        <v>211.8625901875902</v>
      </c>
      <c r="O359" s="32">
        <v>206.79560637430203</v>
      </c>
      <c r="P359" s="32">
        <v>209.34924637681161</v>
      </c>
      <c r="Q359" s="32">
        <v>176.41692424242424</v>
      </c>
      <c r="R359" s="32">
        <v>160.74519480519481</v>
      </c>
      <c r="S359" s="32">
        <v>152.50555775142732</v>
      </c>
      <c r="T359" s="32">
        <v>149.94706662902317</v>
      </c>
      <c r="U359" s="32">
        <v>150.25440303657697</v>
      </c>
      <c r="V359" s="32">
        <v>158.28814574314572</v>
      </c>
      <c r="W359" s="32">
        <v>171.86685613903003</v>
      </c>
      <c r="X359" s="32">
        <v>174.95053391053389</v>
      </c>
      <c r="Y359" s="32">
        <v>165.03805401844534</v>
      </c>
      <c r="Z359" s="32">
        <v>149.59890909090913</v>
      </c>
      <c r="AA359" s="32">
        <v>148.74690821256038</v>
      </c>
      <c r="AB359" s="32">
        <v>139.63994227994229</v>
      </c>
      <c r="AC359" s="32">
        <v>136.69955928853756</v>
      </c>
      <c r="AD359" s="32">
        <v>134.66096618357486</v>
      </c>
      <c r="AE359" s="32">
        <v>125.66316864295123</v>
      </c>
      <c r="AF359" s="32">
        <v>133.83601261057782</v>
      </c>
      <c r="AG359" s="32">
        <v>126.89998757763975</v>
      </c>
      <c r="AH359" s="32">
        <v>123.75436166007906</v>
      </c>
      <c r="AI359" s="32">
        <v>130.21475531714663</v>
      </c>
      <c r="AJ359" s="32">
        <v>141.35394127611517</v>
      </c>
      <c r="AK359" s="32">
        <v>142.25476482213438</v>
      </c>
      <c r="AL359" s="32">
        <v>148.6888816738817</v>
      </c>
      <c r="AM359" s="32">
        <v>158.80561453039712</v>
      </c>
      <c r="AN359" s="32">
        <v>153.57853911788698</v>
      </c>
      <c r="AO359" s="32">
        <v>164.76646445824707</v>
      </c>
      <c r="AP359" s="32">
        <v>182.39201298701298</v>
      </c>
      <c r="AQ359" s="32">
        <v>215.49075757575756</v>
      </c>
      <c r="AR359" s="32">
        <v>256.12688186209925</v>
      </c>
      <c r="AS359" s="32">
        <v>269.96946894409939</v>
      </c>
      <c r="AT359" s="32">
        <v>266.53693362193366</v>
      </c>
      <c r="AU359" s="32">
        <v>263.96080588493641</v>
      </c>
      <c r="AV359" s="32">
        <v>221.39639971139968</v>
      </c>
      <c r="AW359" s="32">
        <v>220.6351884</v>
      </c>
      <c r="AX359" s="32">
        <v>218.02722027999999</v>
      </c>
      <c r="AY359" s="32">
        <v>215.55805584000001</v>
      </c>
      <c r="AZ359" s="32">
        <v>212.22468384000001</v>
      </c>
      <c r="BA359" s="32">
        <v>211.79258007000001</v>
      </c>
      <c r="BB359" s="32">
        <v>212.34814206999999</v>
      </c>
      <c r="BC359" s="32">
        <v>213.30494328999998</v>
      </c>
      <c r="BD359" s="32">
        <v>213.70618250999999</v>
      </c>
      <c r="BE359" s="32">
        <v>0</v>
      </c>
      <c r="BF359" s="32">
        <v>0</v>
      </c>
      <c r="BG359" s="32">
        <v>0</v>
      </c>
      <c r="BH359" s="32">
        <v>0</v>
      </c>
      <c r="BI359" s="32">
        <v>0</v>
      </c>
      <c r="BJ359" s="32">
        <v>0</v>
      </c>
      <c r="BK359" s="32">
        <v>0</v>
      </c>
      <c r="BL359" s="32">
        <v>0</v>
      </c>
    </row>
    <row r="360" spans="1:64" ht="13.5" x14ac:dyDescent="0.7">
      <c r="A360" s="27" t="s">
        <v>35</v>
      </c>
      <c r="B360" s="26"/>
      <c r="C360" s="27" t="s">
        <v>259</v>
      </c>
      <c r="E360" s="32">
        <v>339.75757575757575</v>
      </c>
      <c r="F360" s="32">
        <v>341</v>
      </c>
      <c r="G360" s="32">
        <v>352.33234202898558</v>
      </c>
      <c r="H360" s="32">
        <v>362.57058017023229</v>
      </c>
      <c r="I360" s="32">
        <v>319.05469279963205</v>
      </c>
      <c r="J360" s="32">
        <v>264.23267826086965</v>
      </c>
      <c r="K360" s="32">
        <v>244.8969763054981</v>
      </c>
      <c r="L360" s="32">
        <v>234.22068184955131</v>
      </c>
      <c r="M360" s="32">
        <v>247.90083423050393</v>
      </c>
      <c r="N360" s="32">
        <v>222.208</v>
      </c>
      <c r="O360" s="32">
        <v>233.70859351276746</v>
      </c>
      <c r="P360" s="32">
        <v>247.61278454106278</v>
      </c>
      <c r="Q360" s="32">
        <v>291.17680000000018</v>
      </c>
      <c r="R360" s="32">
        <v>320.14175661375657</v>
      </c>
      <c r="S360" s="32">
        <v>387.19323763515075</v>
      </c>
      <c r="T360" s="32">
        <v>363.03491695422139</v>
      </c>
      <c r="U360" s="32">
        <v>290.26497354497349</v>
      </c>
      <c r="V360" s="32">
        <v>251.38539682539681</v>
      </c>
      <c r="W360" s="32">
        <v>284.67111019093642</v>
      </c>
      <c r="X360" s="32">
        <v>323.39659259259287</v>
      </c>
      <c r="Y360" s="32">
        <v>369.23743574879262</v>
      </c>
      <c r="Z360" s="32">
        <v>371.59876714975871</v>
      </c>
      <c r="AA360" s="32">
        <v>365.19617391304359</v>
      </c>
      <c r="AB360" s="32">
        <v>342.77346673429537</v>
      </c>
      <c r="AC360" s="32">
        <v>334.74191446511094</v>
      </c>
      <c r="AD360" s="32">
        <v>297.51696462654894</v>
      </c>
      <c r="AE360" s="32">
        <v>282.05219832491497</v>
      </c>
      <c r="AF360" s="32">
        <v>278.72950637931103</v>
      </c>
      <c r="AG360" s="32">
        <v>272.99500360109306</v>
      </c>
      <c r="AH360" s="32">
        <v>262.04412912443951</v>
      </c>
      <c r="AI360" s="32">
        <v>258.74442189594453</v>
      </c>
      <c r="AJ360" s="32">
        <v>279.32178179992439</v>
      </c>
      <c r="AK360" s="32">
        <v>269.30200105545464</v>
      </c>
      <c r="AL360" s="32">
        <v>244.44821905312401</v>
      </c>
      <c r="AM360" s="32">
        <v>249.52035886818507</v>
      </c>
      <c r="AN360" s="32">
        <v>252.46189448772103</v>
      </c>
      <c r="AO360" s="32">
        <v>256.75032710710951</v>
      </c>
      <c r="AP360" s="32">
        <v>237.31596226964089</v>
      </c>
      <c r="AQ360" s="32">
        <v>258.67005201882586</v>
      </c>
      <c r="AR360" s="32">
        <v>316.07731639682828</v>
      </c>
      <c r="AS360" s="32">
        <v>302.96194161904396</v>
      </c>
      <c r="AT360" s="32">
        <v>266.46615630811829</v>
      </c>
      <c r="AU360" s="32">
        <v>265.15767470429273</v>
      </c>
      <c r="AV360" s="32">
        <v>277.20590883533669</v>
      </c>
      <c r="AW360" s="32">
        <v>264.61867719999998</v>
      </c>
      <c r="AX360" s="32">
        <v>264.61867719999998</v>
      </c>
      <c r="AY360" s="32">
        <v>264.61867719999998</v>
      </c>
      <c r="AZ360" s="32">
        <v>264.61867719999998</v>
      </c>
      <c r="BA360" s="32">
        <v>264.61867719999998</v>
      </c>
      <c r="BB360" s="32">
        <v>264.61867719999998</v>
      </c>
      <c r="BC360" s="32">
        <v>264.61867719999998</v>
      </c>
      <c r="BD360" s="32">
        <v>264.61867719999998</v>
      </c>
      <c r="BE360" s="32">
        <v>0</v>
      </c>
      <c r="BF360" s="32">
        <v>0</v>
      </c>
      <c r="BG360" s="32">
        <v>0</v>
      </c>
      <c r="BH360" s="32">
        <v>0</v>
      </c>
      <c r="BI360" s="32">
        <v>0</v>
      </c>
      <c r="BJ360" s="32">
        <v>0</v>
      </c>
      <c r="BK360" s="32">
        <v>0</v>
      </c>
      <c r="BL360" s="32">
        <v>0</v>
      </c>
    </row>
    <row r="361" spans="1:64" ht="13.5" x14ac:dyDescent="0.7">
      <c r="A361" s="27" t="s">
        <v>29</v>
      </c>
      <c r="B361" s="26"/>
      <c r="C361" s="27" t="s">
        <v>260</v>
      </c>
      <c r="E361" s="32">
        <v>73.412675303266397</v>
      </c>
      <c r="F361" s="32">
        <v>82.086142383974931</v>
      </c>
      <c r="G361" s="32">
        <v>84.618181089531205</v>
      </c>
      <c r="H361" s="32">
        <v>86.44212140219004</v>
      </c>
      <c r="I361" s="32">
        <v>91.81154432175579</v>
      </c>
      <c r="J361" s="32">
        <v>99.110717525892866</v>
      </c>
      <c r="K361" s="32">
        <v>97.273733000414154</v>
      </c>
      <c r="L361" s="32">
        <v>97.162473742649468</v>
      </c>
      <c r="M361" s="32">
        <v>103.94416378003991</v>
      </c>
      <c r="N361" s="32">
        <v>107.34932380717224</v>
      </c>
      <c r="O361" s="32">
        <v>105.66363383904944</v>
      </c>
      <c r="P361" s="32">
        <v>109.31953385278059</v>
      </c>
      <c r="Q361" s="32">
        <v>99.431324694686467</v>
      </c>
      <c r="R361" s="32">
        <v>100.4643452579643</v>
      </c>
      <c r="S361" s="32">
        <v>79.590019112752003</v>
      </c>
      <c r="T361" s="32">
        <v>72.061104428236732</v>
      </c>
      <c r="U361" s="32">
        <v>72.735828203537409</v>
      </c>
      <c r="V361" s="32">
        <v>72.949527958466717</v>
      </c>
      <c r="W361" s="32">
        <v>73.360676042491676</v>
      </c>
      <c r="X361" s="32">
        <v>74.063134502345918</v>
      </c>
      <c r="Y361" s="32">
        <v>75.785743198600485</v>
      </c>
      <c r="Z361" s="32">
        <v>74.420500388733231</v>
      </c>
      <c r="AA361" s="32">
        <v>65.634699211116953</v>
      </c>
      <c r="AB361" s="32">
        <v>60.974688983573913</v>
      </c>
      <c r="AC361" s="32">
        <v>66.396122249498077</v>
      </c>
      <c r="AD361" s="32">
        <v>62.481866127224656</v>
      </c>
      <c r="AE361" s="32">
        <v>57.649529752600195</v>
      </c>
      <c r="AF361" s="32">
        <v>53.274603136396671</v>
      </c>
      <c r="AG361" s="32">
        <v>47.432608836652207</v>
      </c>
      <c r="AH361" s="32">
        <v>42.707846226803291</v>
      </c>
      <c r="AI361" s="32">
        <v>34.41587691799689</v>
      </c>
      <c r="AJ361" s="32">
        <v>38.671752485398166</v>
      </c>
      <c r="AK361" s="32">
        <v>39.226486742424157</v>
      </c>
      <c r="AL361" s="32">
        <v>35.412096527925591</v>
      </c>
      <c r="AM361" s="32">
        <v>29.525372750524156</v>
      </c>
      <c r="AN361" s="32">
        <v>30.104897477083597</v>
      </c>
      <c r="AO361" s="32">
        <v>37.904705644301806</v>
      </c>
      <c r="AP361" s="32">
        <v>40.446767277351782</v>
      </c>
      <c r="AQ361" s="32">
        <v>54.127626920563948</v>
      </c>
      <c r="AR361" s="32">
        <v>57.196067885840989</v>
      </c>
      <c r="AS361" s="32">
        <v>58.054542558941939</v>
      </c>
      <c r="AT361" s="32">
        <v>57.702435048778796</v>
      </c>
      <c r="AU361" s="32">
        <v>56.917119277980369</v>
      </c>
      <c r="AV361" s="32">
        <v>57.551790307894343</v>
      </c>
      <c r="AW361" s="32">
        <v>58.040423279999999</v>
      </c>
      <c r="AX361" s="32">
        <v>58.040423279999999</v>
      </c>
      <c r="AY361" s="32">
        <v>58.040423279999999</v>
      </c>
      <c r="AZ361" s="32">
        <v>58.040423279999999</v>
      </c>
      <c r="BA361" s="32">
        <v>58.040423279999999</v>
      </c>
      <c r="BB361" s="32">
        <v>58.040423279999999</v>
      </c>
      <c r="BC361" s="32">
        <v>58.040423279999999</v>
      </c>
      <c r="BD361" s="32">
        <v>58.040423279999999</v>
      </c>
      <c r="BE361" s="32">
        <v>0</v>
      </c>
      <c r="BF361" s="32">
        <v>0</v>
      </c>
      <c r="BG361" s="32">
        <v>0</v>
      </c>
      <c r="BH361" s="32">
        <v>0</v>
      </c>
      <c r="BI361" s="32">
        <v>0</v>
      </c>
      <c r="BJ361" s="32">
        <v>0</v>
      </c>
      <c r="BK361" s="32">
        <v>0</v>
      </c>
      <c r="BL361" s="32">
        <v>0</v>
      </c>
    </row>
    <row r="362" spans="1:64" ht="13.5" x14ac:dyDescent="0.7">
      <c r="A362" s="27" t="s">
        <v>77</v>
      </c>
      <c r="B362" s="26"/>
      <c r="C362" s="27" t="s">
        <v>261</v>
      </c>
      <c r="E362" s="98">
        <v>1690.8369408369408</v>
      </c>
      <c r="F362" s="98">
        <v>1610.7559011164274</v>
      </c>
      <c r="G362" s="98">
        <v>1654.7977272727273</v>
      </c>
      <c r="H362" s="98">
        <v>1718.8922149887621</v>
      </c>
      <c r="I362" s="98">
        <v>1630.4681818181818</v>
      </c>
      <c r="J362" s="98">
        <v>1413.648611111111</v>
      </c>
      <c r="K362" s="98">
        <v>1327.5389233954454</v>
      </c>
      <c r="L362" s="98">
        <v>1272.4696629859675</v>
      </c>
      <c r="M362" s="98">
        <v>1293.9512626262624</v>
      </c>
      <c r="N362" s="98">
        <v>1288.5400793650795</v>
      </c>
      <c r="O362" s="98">
        <v>1281.9243577075097</v>
      </c>
      <c r="P362" s="98">
        <v>1200.359534706331</v>
      </c>
      <c r="Q362" s="98">
        <v>1219.2207611832612</v>
      </c>
      <c r="R362" s="98">
        <v>1192.8223923444975</v>
      </c>
      <c r="S362" s="98">
        <v>1124.0145915678524</v>
      </c>
      <c r="T362" s="98">
        <v>1104.400155692261</v>
      </c>
      <c r="U362" s="98">
        <v>1181.2083333333333</v>
      </c>
      <c r="V362" s="98">
        <v>1259.3546500721498</v>
      </c>
      <c r="W362" s="98">
        <v>1334.8147907647908</v>
      </c>
      <c r="X362" s="98">
        <v>1217.9837902837903</v>
      </c>
      <c r="Y362" s="98">
        <v>1219.3558816425118</v>
      </c>
      <c r="Z362" s="98">
        <v>1256.9631192881191</v>
      </c>
      <c r="AA362" s="98">
        <v>1277.8386363636362</v>
      </c>
      <c r="AB362" s="98">
        <v>1274.3512032085564</v>
      </c>
      <c r="AC362" s="98">
        <v>1329.2826839826839</v>
      </c>
      <c r="AD362" s="98">
        <v>1306.4442857142858</v>
      </c>
      <c r="AE362" s="98">
        <v>1212.7476515151516</v>
      </c>
      <c r="AF362" s="98">
        <v>1228.0874874060296</v>
      </c>
      <c r="AG362" s="98">
        <v>1304.2360245310244</v>
      </c>
      <c r="AH362" s="98">
        <v>1309.8117063492064</v>
      </c>
      <c r="AI362" s="98">
        <v>1474.3633885438232</v>
      </c>
      <c r="AJ362" s="98">
        <v>1480.2870370370372</v>
      </c>
      <c r="AK362" s="98">
        <v>1583.2341666666669</v>
      </c>
      <c r="AL362" s="98">
        <v>1710.5099202551835</v>
      </c>
      <c r="AM362" s="98">
        <v>1911.1858774076163</v>
      </c>
      <c r="AN362" s="98">
        <v>1873.2410401002508</v>
      </c>
      <c r="AO362" s="98">
        <v>1797.796086956522</v>
      </c>
      <c r="AP362" s="98">
        <v>1817.2678030303032</v>
      </c>
      <c r="AQ362" s="98">
        <v>1789.4381673881678</v>
      </c>
      <c r="AR362" s="98">
        <v>1794.5804947976003</v>
      </c>
      <c r="AS362" s="98">
        <v>1873.6294202898553</v>
      </c>
      <c r="AT362" s="98">
        <v>1873.5990909090906</v>
      </c>
      <c r="AU362" s="98">
        <v>1728.2404222347698</v>
      </c>
      <c r="AV362" s="98">
        <v>1730.6444949494951</v>
      </c>
      <c r="AW362" s="98">
        <v>1886.7447890000001</v>
      </c>
      <c r="AX362" s="98">
        <v>1981.6666666666667</v>
      </c>
      <c r="AY362" s="98">
        <v>2007.1</v>
      </c>
      <c r="AZ362" s="98">
        <v>2030.9499999999998</v>
      </c>
      <c r="BA362" s="98">
        <v>2052.5</v>
      </c>
      <c r="BB362" s="98">
        <v>2070.0500000000002</v>
      </c>
      <c r="BC362" s="98">
        <v>2090</v>
      </c>
      <c r="BD362" s="98">
        <v>2109.5</v>
      </c>
      <c r="BE362" s="98">
        <v>0</v>
      </c>
      <c r="BF362" s="98">
        <v>0</v>
      </c>
      <c r="BG362" s="98">
        <v>0</v>
      </c>
      <c r="BH362" s="98">
        <v>0</v>
      </c>
      <c r="BI362" s="98">
        <v>0</v>
      </c>
      <c r="BJ362" s="98">
        <v>0</v>
      </c>
      <c r="BK362" s="98">
        <v>0</v>
      </c>
      <c r="BL362" s="98">
        <v>0</v>
      </c>
    </row>
    <row r="363" spans="1:64" ht="13.5" x14ac:dyDescent="0.7">
      <c r="A363" s="27" t="s">
        <v>36</v>
      </c>
      <c r="B363" s="26"/>
      <c r="C363" s="27" t="s">
        <v>262</v>
      </c>
      <c r="E363" s="98">
        <v>22942.147907647912</v>
      </c>
      <c r="F363" s="98">
        <v>20555.087320574163</v>
      </c>
      <c r="G363" s="98">
        <v>19330.970075757577</v>
      </c>
      <c r="H363" s="98">
        <v>21609.219523611402</v>
      </c>
      <c r="I363" s="98">
        <v>24037.545075757575</v>
      </c>
      <c r="J363" s="98">
        <v>20879.553968253971</v>
      </c>
      <c r="K363" s="98">
        <v>21312.370600414077</v>
      </c>
      <c r="L363" s="98">
        <v>22896.864302967562</v>
      </c>
      <c r="M363" s="98">
        <v>22636.282720057719</v>
      </c>
      <c r="N363" s="98">
        <v>23146.149999999998</v>
      </c>
      <c r="O363" s="98">
        <v>21915.194532279314</v>
      </c>
      <c r="P363" s="98">
        <v>19897.867443064184</v>
      </c>
      <c r="Q363" s="98">
        <v>18369.980212842711</v>
      </c>
      <c r="R363" s="98">
        <v>15589.803429027115</v>
      </c>
      <c r="S363" s="98">
        <v>15229.549505928853</v>
      </c>
      <c r="T363" s="98">
        <v>15077.19660894661</v>
      </c>
      <c r="U363" s="98">
        <v>15438.604365079365</v>
      </c>
      <c r="V363" s="98">
        <v>16902.119155844153</v>
      </c>
      <c r="W363" s="98">
        <v>18584.257215007216</v>
      </c>
      <c r="X363" s="98">
        <v>20810.067604617605</v>
      </c>
      <c r="Y363" s="98">
        <v>20004.485455486541</v>
      </c>
      <c r="Z363" s="98">
        <v>19923.164562289563</v>
      </c>
      <c r="AA363" s="98">
        <v>20513.698412698413</v>
      </c>
      <c r="AB363" s="98">
        <v>19803.327352472086</v>
      </c>
      <c r="AC363" s="98">
        <v>21186.799855699854</v>
      </c>
      <c r="AD363" s="98">
        <v>20936.819047619047</v>
      </c>
      <c r="AE363" s="98">
        <v>19308.564393939396</v>
      </c>
      <c r="AF363" s="98">
        <v>19148.640281533873</v>
      </c>
      <c r="AG363" s="98">
        <v>21038.368253968252</v>
      </c>
      <c r="AH363" s="98">
        <v>19773.801587301587</v>
      </c>
      <c r="AI363" s="98">
        <v>17139.151656314698</v>
      </c>
      <c r="AJ363" s="98">
        <v>16693.30583160801</v>
      </c>
      <c r="AK363" s="98">
        <v>16266.796969696969</v>
      </c>
      <c r="AL363" s="98">
        <v>15730.853110047845</v>
      </c>
      <c r="AM363" s="98">
        <v>17693.846621808145</v>
      </c>
      <c r="AN363" s="98">
        <v>18810.341147186147</v>
      </c>
      <c r="AO363" s="98">
        <v>25098.995833333334</v>
      </c>
      <c r="AP363" s="98">
        <v>31038.29015151515</v>
      </c>
      <c r="AQ363" s="98">
        <v>34643.828181818186</v>
      </c>
      <c r="AR363" s="98">
        <v>38768.042229437233</v>
      </c>
      <c r="AS363" s="98">
        <v>43241.574065217392</v>
      </c>
      <c r="AT363" s="98">
        <v>36968.251031746033</v>
      </c>
      <c r="AU363" s="98">
        <v>23726.653632285586</v>
      </c>
      <c r="AV363" s="98">
        <v>21596.667972582971</v>
      </c>
      <c r="AW363" s="98">
        <v>25946.348320000001</v>
      </c>
      <c r="AX363" s="98">
        <v>22489.666666666668</v>
      </c>
      <c r="AY363" s="98">
        <v>22518.333333333332</v>
      </c>
      <c r="AZ363" s="98">
        <v>22502.583333333332</v>
      </c>
      <c r="BA363" s="98">
        <v>22459.75</v>
      </c>
      <c r="BB363" s="98">
        <v>22402.416666666668</v>
      </c>
      <c r="BC363" s="98">
        <v>22402.416666666668</v>
      </c>
      <c r="BD363" s="98">
        <v>22402.416666666668</v>
      </c>
      <c r="BE363" s="98">
        <v>0</v>
      </c>
      <c r="BF363" s="98">
        <v>0</v>
      </c>
      <c r="BG363" s="98">
        <v>0</v>
      </c>
      <c r="BH363" s="98">
        <v>0</v>
      </c>
      <c r="BI363" s="98">
        <v>0</v>
      </c>
      <c r="BJ363" s="98">
        <v>0</v>
      </c>
      <c r="BK363" s="98">
        <v>0</v>
      </c>
      <c r="BL363" s="98">
        <v>0</v>
      </c>
    </row>
    <row r="364" spans="1:64" ht="13.5" x14ac:dyDescent="0.7">
      <c r="A364" s="27"/>
      <c r="B364" s="26"/>
      <c r="C364" s="27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</row>
    <row r="365" spans="1:64" ht="13.5" x14ac:dyDescent="0.7">
      <c r="A365" s="25" t="s">
        <v>39</v>
      </c>
      <c r="B365" s="26"/>
      <c r="C365" s="27" t="s">
        <v>263</v>
      </c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</row>
    <row r="366" spans="1:64" ht="13.5" x14ac:dyDescent="0.7">
      <c r="A366" s="27" t="s">
        <v>11</v>
      </c>
      <c r="B366" s="26"/>
      <c r="C366" s="27" t="s">
        <v>264</v>
      </c>
      <c r="E366" s="32">
        <v>1.3109986291486333</v>
      </c>
      <c r="F366" s="32">
        <v>1.2825643882433333</v>
      </c>
      <c r="G366" s="32">
        <v>1.2514703689064666</v>
      </c>
      <c r="H366" s="32">
        <v>1.2973756535607666</v>
      </c>
      <c r="I366" s="32">
        <v>1.3203565151515</v>
      </c>
      <c r="J366" s="32">
        <v>1.3065598484848333</v>
      </c>
      <c r="K366" s="32">
        <v>1.3245845065562667</v>
      </c>
      <c r="L366" s="32">
        <v>1.3610487094548001</v>
      </c>
      <c r="M366" s="32">
        <v>1.3697083694083669</v>
      </c>
      <c r="N366" s="32">
        <v>1.3712341269841335</v>
      </c>
      <c r="O366" s="32">
        <v>1.3252210929167334</v>
      </c>
      <c r="P366" s="32">
        <v>1.2492090821256001</v>
      </c>
      <c r="Q366" s="32">
        <v>1.1269555050504998</v>
      </c>
      <c r="R366" s="32">
        <v>1.1047359090908999</v>
      </c>
      <c r="S366" s="32">
        <v>1.1118670681975333</v>
      </c>
      <c r="T366" s="32">
        <v>1.0949424242424335</v>
      </c>
      <c r="U366" s="32">
        <v>1.1017423015873</v>
      </c>
      <c r="V366" s="32">
        <v>1.1293063492063335</v>
      </c>
      <c r="W366" s="32">
        <v>1.1164117949683332</v>
      </c>
      <c r="X366" s="32">
        <v>1.0789302308802666</v>
      </c>
      <c r="Y366" s="32">
        <v>1.0647251581027666</v>
      </c>
      <c r="Z366" s="32">
        <v>1.1003207070707333</v>
      </c>
      <c r="AA366" s="32">
        <v>1.1744151138716334</v>
      </c>
      <c r="AB366" s="32">
        <v>1.1776691387560001</v>
      </c>
      <c r="AC366" s="32">
        <v>1.2294496825396666</v>
      </c>
      <c r="AD366" s="32">
        <v>1.1922270995671</v>
      </c>
      <c r="AE366" s="32">
        <v>1.1631127931488667</v>
      </c>
      <c r="AF366" s="32">
        <v>1.1411705880313667</v>
      </c>
      <c r="AG366" s="32">
        <v>1.1356678427128333</v>
      </c>
      <c r="AH366" s="32">
        <v>1.1238746969697</v>
      </c>
      <c r="AI366" s="32">
        <v>1.1116174446326668</v>
      </c>
      <c r="AJ366" s="32">
        <v>1.1072322532780998</v>
      </c>
      <c r="AK366" s="32">
        <v>1.1022924242424332</v>
      </c>
      <c r="AL366" s="32">
        <v>1.1006113636363668</v>
      </c>
      <c r="AM366" s="32">
        <v>1.1694631877784001</v>
      </c>
      <c r="AN366" s="32">
        <v>1.1927604617604668</v>
      </c>
      <c r="AO366" s="32">
        <v>1.2055945652173998</v>
      </c>
      <c r="AP366" s="32">
        <v>1.2057365223665333</v>
      </c>
      <c r="AQ366" s="32">
        <v>1.1787984848484667</v>
      </c>
      <c r="AR366" s="32">
        <v>1.1439768084572333</v>
      </c>
      <c r="AS366" s="32">
        <v>1.1225110904071667</v>
      </c>
      <c r="AT366" s="32">
        <v>1.0654351674641001</v>
      </c>
      <c r="AU366" s="32">
        <v>1.0070370757262335</v>
      </c>
      <c r="AV366" s="32">
        <v>1.020524963925</v>
      </c>
      <c r="AW366" s="32">
        <v>1.0697701042666974</v>
      </c>
      <c r="AX366" s="32">
        <v>1.0625193630762035</v>
      </c>
      <c r="AY366" s="32">
        <v>1.0606965879804429</v>
      </c>
      <c r="AZ366" s="32">
        <v>1.0583516850830665</v>
      </c>
      <c r="BA366" s="32">
        <v>1.0560750733150122</v>
      </c>
      <c r="BB366" s="32">
        <v>1.0546037002971425</v>
      </c>
      <c r="BC366" s="32">
        <v>1.0536967292163144</v>
      </c>
      <c r="BD366" s="32">
        <v>1.0530707341363466</v>
      </c>
      <c r="BE366" s="32">
        <v>1.0522176276100099</v>
      </c>
      <c r="BF366" s="32">
        <v>1.0513890731001601</v>
      </c>
      <c r="BG366" s="32">
        <v>1.0503723690086717</v>
      </c>
      <c r="BH366" s="32">
        <v>1.0492430870979195</v>
      </c>
      <c r="BI366" s="32">
        <v>1.0485874038165324</v>
      </c>
      <c r="BJ366" s="32">
        <v>1.047420517826523</v>
      </c>
      <c r="BK366" s="32">
        <v>1.0461784860725969</v>
      </c>
      <c r="BL366" s="32">
        <v>1.0447528225989018</v>
      </c>
    </row>
    <row r="367" spans="1:64" ht="13.5" x14ac:dyDescent="0.7">
      <c r="A367" s="27" t="s">
        <v>40</v>
      </c>
      <c r="B367" s="26"/>
      <c r="C367" s="27" t="s">
        <v>265</v>
      </c>
      <c r="E367" s="32">
        <v>0.64853163840474104</v>
      </c>
      <c r="F367" s="32">
        <v>0.6537204214614093</v>
      </c>
      <c r="G367" s="32">
        <v>0.65837407910053214</v>
      </c>
      <c r="H367" s="32">
        <v>0.65096491509012222</v>
      </c>
      <c r="I367" s="32">
        <v>0.6571402890837571</v>
      </c>
      <c r="J367" s="32">
        <v>0.66409612846670585</v>
      </c>
      <c r="K367" s="32">
        <v>0.66005364900384966</v>
      </c>
      <c r="L367" s="32">
        <v>0.65106717195099939</v>
      </c>
      <c r="M367" s="32">
        <v>0.64897113912319637</v>
      </c>
      <c r="N367" s="32">
        <v>0.64753009599700928</v>
      </c>
      <c r="O367" s="32">
        <v>0.65702336978362197</v>
      </c>
      <c r="P367" s="32">
        <v>0.68030314378008461</v>
      </c>
      <c r="Q367" s="32">
        <v>0.71130143925290679</v>
      </c>
      <c r="R367" s="32">
        <v>0.71549029829055477</v>
      </c>
      <c r="S367" s="32">
        <v>0.71350234705073934</v>
      </c>
      <c r="T367" s="32">
        <v>0.71876172087263868</v>
      </c>
      <c r="U367" s="32">
        <v>0.71943221969862003</v>
      </c>
      <c r="V367" s="32">
        <v>0.70959874465150641</v>
      </c>
      <c r="W367" s="32">
        <v>0.71625403520339415</v>
      </c>
      <c r="X367" s="32">
        <v>0.73272923952396063</v>
      </c>
      <c r="Y367" s="32">
        <v>0.73862516661180388</v>
      </c>
      <c r="Z367" s="32">
        <v>0.7283038741895379</v>
      </c>
      <c r="AA367" s="32">
        <v>0.70974679792053552</v>
      </c>
      <c r="AB367" s="32">
        <v>0.70872139571135884</v>
      </c>
      <c r="AC367" s="32">
        <v>0.69082433693247314</v>
      </c>
      <c r="AD367" s="32">
        <v>0.69960035625428307</v>
      </c>
      <c r="AE367" s="32">
        <v>0.71406342084983754</v>
      </c>
      <c r="AF367" s="32">
        <v>0.72114072578659216</v>
      </c>
      <c r="AG367" s="32">
        <v>0.71784406018227109</v>
      </c>
      <c r="AH367" s="32">
        <v>0.72169498134791643</v>
      </c>
      <c r="AI367" s="32">
        <v>0.72711463906925067</v>
      </c>
      <c r="AJ367" s="32">
        <v>0.72669708136418032</v>
      </c>
      <c r="AK367" s="32">
        <v>0.72737942669998656</v>
      </c>
      <c r="AL367" s="32">
        <v>0.72995692624668118</v>
      </c>
      <c r="AM367" s="32">
        <v>0.71153794076403498</v>
      </c>
      <c r="AN367" s="32">
        <v>0.70158605222897419</v>
      </c>
      <c r="AO367" s="32">
        <v>0.69591797691029134</v>
      </c>
      <c r="AP367" s="32">
        <v>0.69685115878022985</v>
      </c>
      <c r="AQ367" s="32">
        <v>0.70307883973331753</v>
      </c>
      <c r="AR367" s="32">
        <v>0.71162835947291381</v>
      </c>
      <c r="AS367" s="32">
        <v>0.71675858181387542</v>
      </c>
      <c r="AT367" s="32">
        <v>0.74188618234296033</v>
      </c>
      <c r="AU367" s="32">
        <v>0.76496566481102002</v>
      </c>
      <c r="AV367" s="32">
        <v>0.7672162923201814</v>
      </c>
      <c r="AW367" s="32">
        <v>0.74756100853927643</v>
      </c>
      <c r="AX367" s="32">
        <v>0.75094695616151619</v>
      </c>
      <c r="AY367" s="32">
        <v>0.75051378417293002</v>
      </c>
      <c r="AZ367" s="32">
        <v>0.75026120597620771</v>
      </c>
      <c r="BA367" s="32">
        <v>0.75075856975426924</v>
      </c>
      <c r="BB367" s="32">
        <v>0.75056493103769506</v>
      </c>
      <c r="BC367" s="32">
        <v>0.7501915436672556</v>
      </c>
      <c r="BD367" s="32">
        <v>0.74955547045286108</v>
      </c>
      <c r="BE367" s="32">
        <v>0.74875253636707095</v>
      </c>
      <c r="BF367" s="32">
        <v>0.74772339257215548</v>
      </c>
      <c r="BG367" s="32">
        <v>0.74669527105801448</v>
      </c>
      <c r="BH367" s="32">
        <v>0.74580506391503076</v>
      </c>
      <c r="BI367" s="32">
        <v>0.74486001505855581</v>
      </c>
      <c r="BJ367" s="32">
        <v>0.74436794869267253</v>
      </c>
      <c r="BK367" s="32">
        <v>0.74395014006914373</v>
      </c>
      <c r="BL367" s="32">
        <v>0.74346962488984569</v>
      </c>
    </row>
    <row r="368" spans="1:64" ht="13.5" x14ac:dyDescent="0.7">
      <c r="A368" s="25" t="s">
        <v>274</v>
      </c>
      <c r="B368" s="26"/>
      <c r="C368" s="27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</row>
    <row r="369" spans="1:64" ht="13.5" x14ac:dyDescent="0.7">
      <c r="A369" s="27" t="s">
        <v>271</v>
      </c>
      <c r="B369" s="26"/>
      <c r="C369" s="27" t="s">
        <v>266</v>
      </c>
      <c r="E369" s="101">
        <v>0.76519999999999999</v>
      </c>
      <c r="F369" s="101">
        <v>0.73360000000000003</v>
      </c>
      <c r="G369" s="101">
        <v>0.70656666666666701</v>
      </c>
      <c r="H369" s="101">
        <v>0.54176666666666695</v>
      </c>
      <c r="I369" s="102">
        <v>8.6666666666666697E-2</v>
      </c>
      <c r="J369" s="102">
        <v>0.05</v>
      </c>
      <c r="K369" s="102">
        <v>3.3333333333333298E-2</v>
      </c>
      <c r="L369" s="102">
        <v>6.3333333333333297E-2</v>
      </c>
      <c r="M369" s="102">
        <v>4.6666666666666697E-2</v>
      </c>
      <c r="N369" s="102">
        <v>3.3333333333333298E-2</v>
      </c>
      <c r="O369" s="102">
        <v>2.66666666666667E-2</v>
      </c>
      <c r="P369" s="102">
        <v>2.33333333333333E-2</v>
      </c>
      <c r="Q369" s="102">
        <v>2.66666666666667E-2</v>
      </c>
      <c r="R369" s="102">
        <v>0.02</v>
      </c>
      <c r="S369" s="102">
        <v>0.04</v>
      </c>
      <c r="T369" s="102">
        <v>0.12666666666666701</v>
      </c>
      <c r="U369" s="102">
        <v>0.28999999999999998</v>
      </c>
      <c r="V369" s="102">
        <v>0.26</v>
      </c>
      <c r="W369" s="102">
        <v>0.29666666666666702</v>
      </c>
      <c r="X369" s="102">
        <v>0.43</v>
      </c>
      <c r="Y369" s="102">
        <v>0.6</v>
      </c>
      <c r="Z369" s="102">
        <v>0.90333333333333299</v>
      </c>
      <c r="AA369" s="102">
        <v>1.05666666666667</v>
      </c>
      <c r="AB369" s="102">
        <v>1.2266666666666699</v>
      </c>
      <c r="AC369" s="102">
        <v>1.5833333333333299</v>
      </c>
      <c r="AD369" s="102">
        <v>1.87666666666667</v>
      </c>
      <c r="AE369" s="102">
        <v>2.0766666666666702</v>
      </c>
      <c r="AF369" s="102">
        <v>2.35666666666667</v>
      </c>
      <c r="AG369" s="102">
        <v>2.4366666666666701</v>
      </c>
      <c r="AH369" s="102">
        <v>2.35</v>
      </c>
      <c r="AI369" s="102">
        <v>2.0233333333333299</v>
      </c>
      <c r="AJ369" s="102">
        <v>1.60666666666667</v>
      </c>
      <c r="AK369" s="102">
        <v>1.1299999999999999</v>
      </c>
      <c r="AL369" s="102">
        <v>0.14333333333333301</v>
      </c>
      <c r="AM369" s="102">
        <v>0.11333333333333299</v>
      </c>
      <c r="AN369" s="102">
        <v>9.3333333333333296E-2</v>
      </c>
      <c r="AO369" s="102">
        <v>0.05</v>
      </c>
      <c r="AP369" s="102">
        <v>2.66666666666667E-2</v>
      </c>
      <c r="AQ369" s="102">
        <v>4.6666666666666697E-2</v>
      </c>
      <c r="AR369" s="102">
        <v>5.3333333333333302E-2</v>
      </c>
      <c r="AS369" s="102">
        <v>0.30333333333333301</v>
      </c>
      <c r="AT369" s="102">
        <v>1.09666666666667</v>
      </c>
      <c r="AU369" s="102">
        <v>2.7466666666666701</v>
      </c>
      <c r="AV369" s="102">
        <v>4.18333333333333</v>
      </c>
      <c r="AW369" s="102">
        <v>4.875</v>
      </c>
      <c r="AX369" s="102">
        <v>5.2</v>
      </c>
      <c r="AY369" s="102">
        <v>5.2249999999999996</v>
      </c>
      <c r="AZ369" s="102">
        <v>5.125</v>
      </c>
      <c r="BA369" s="102">
        <v>5.0416666666666696</v>
      </c>
      <c r="BB369" s="102">
        <v>4.5</v>
      </c>
      <c r="BC369" s="102">
        <v>4.1666666666666696</v>
      </c>
      <c r="BD369" s="102">
        <v>4.125</v>
      </c>
      <c r="BE369" s="102">
        <v>3.875</v>
      </c>
      <c r="BF369" s="102">
        <v>3.5833333333333299</v>
      </c>
      <c r="BG369" s="102">
        <v>3.3333333333333299</v>
      </c>
      <c r="BH369" s="102">
        <v>3.125</v>
      </c>
      <c r="BI369" s="102">
        <v>2.875</v>
      </c>
      <c r="BJ369" s="102">
        <v>2.5833333333333299</v>
      </c>
      <c r="BK369" s="102">
        <v>2.375</v>
      </c>
      <c r="BL369" s="102">
        <v>2.375</v>
      </c>
    </row>
    <row r="370" spans="1:64" ht="13.5" x14ac:dyDescent="0.7">
      <c r="A370" s="27" t="s">
        <v>272</v>
      </c>
      <c r="B370" s="26"/>
      <c r="C370" s="27" t="s">
        <v>266</v>
      </c>
      <c r="E370" s="101">
        <v>1.0429333333333333</v>
      </c>
      <c r="F370" s="101">
        <v>0.69603333333333328</v>
      </c>
      <c r="G370" s="101">
        <v>0.35856666666666664</v>
      </c>
      <c r="H370" s="101">
        <v>0.19510000000000002</v>
      </c>
      <c r="I370" s="102">
        <v>3.8292187499999998E-2</v>
      </c>
      <c r="J370" s="102">
        <v>2.5532307692307701E-2</v>
      </c>
      <c r="K370" s="102">
        <v>4.0687878787878801E-2</v>
      </c>
      <c r="L370" s="102">
        <v>6.9305084745762705E-2</v>
      </c>
      <c r="M370" s="102">
        <v>9.6745312499999972E-2</v>
      </c>
      <c r="N370" s="102">
        <v>8.3838461538461542E-2</v>
      </c>
      <c r="O370" s="102">
        <v>-1.5806060606060608E-2</v>
      </c>
      <c r="P370" s="102">
        <v>-4.2534848484848474E-2</v>
      </c>
      <c r="Q370" s="102">
        <v>-0.16427</v>
      </c>
      <c r="R370" s="102">
        <v>-0.21822</v>
      </c>
      <c r="S370" s="102">
        <v>-0.2382</v>
      </c>
      <c r="T370" s="102">
        <v>-0.28774</v>
      </c>
      <c r="U370" s="102">
        <v>-0.47484307692307687</v>
      </c>
      <c r="V370" s="102">
        <v>-0.55059999999999998</v>
      </c>
      <c r="W370" s="102">
        <v>-0.70170757575757547</v>
      </c>
      <c r="X370" s="102">
        <v>-0.85607846153846145</v>
      </c>
      <c r="Y370" s="102">
        <v>-0.87179692307692347</v>
      </c>
      <c r="Z370" s="102">
        <v>-0.76135846153846165</v>
      </c>
      <c r="AA370" s="102">
        <v>-0.77306153846153824</v>
      </c>
      <c r="AB370" s="102">
        <v>-0.8370123076923075</v>
      </c>
      <c r="AC370" s="102">
        <v>-0.72846307692307688</v>
      </c>
      <c r="AD370" s="102">
        <v>-0.70827230769230753</v>
      </c>
      <c r="AE370" s="102">
        <v>-0.7240907692307692</v>
      </c>
      <c r="AF370" s="102">
        <v>-0.79467575757575759</v>
      </c>
      <c r="AG370" s="102">
        <v>-0.61965000000000003</v>
      </c>
      <c r="AH370" s="102">
        <v>-0.60911230769230773</v>
      </c>
      <c r="AI370" s="102">
        <v>-0.74295454545454565</v>
      </c>
      <c r="AJ370" s="102">
        <v>-0.68216818181818195</v>
      </c>
      <c r="AK370" s="102">
        <v>-0.67303230769230737</v>
      </c>
      <c r="AL370" s="102">
        <v>-0.59571384615384615</v>
      </c>
      <c r="AM370" s="102">
        <v>-0.67581818181818165</v>
      </c>
      <c r="AN370" s="102">
        <v>-0.73619999999999985</v>
      </c>
      <c r="AO370" s="102">
        <v>-0.64861250000000004</v>
      </c>
      <c r="AP370" s="102">
        <v>-0.65051846153846182</v>
      </c>
      <c r="AQ370" s="102">
        <v>-0.70654242424242431</v>
      </c>
      <c r="AR370" s="102">
        <v>-0.83950000000000002</v>
      </c>
      <c r="AS370" s="102">
        <v>-0.74510312499999976</v>
      </c>
      <c r="AT370" s="102">
        <v>-0.46406153846153836</v>
      </c>
      <c r="AU370" s="102">
        <v>0.30510000000000004</v>
      </c>
      <c r="AV370" s="102">
        <v>1.5343968750000005</v>
      </c>
      <c r="AW370" s="102">
        <v>2.5731208793398817</v>
      </c>
      <c r="AX370" s="102">
        <v>2.8100811868879791</v>
      </c>
      <c r="AY370" s="102">
        <v>2.8746780328067407</v>
      </c>
      <c r="AZ370" s="102">
        <v>2.9679216353670994</v>
      </c>
      <c r="BA370" s="102">
        <v>3.1064261771886073</v>
      </c>
      <c r="BB370" s="102">
        <v>3.1103518494208489</v>
      </c>
      <c r="BC370" s="102">
        <v>2.9909570605397473</v>
      </c>
      <c r="BD370" s="102">
        <v>2.8661407807174877</v>
      </c>
      <c r="BE370" s="102">
        <v>2.7568859704799036</v>
      </c>
      <c r="BF370" s="102">
        <v>2.5541244268477152</v>
      </c>
      <c r="BG370" s="102">
        <v>2.3000959083325445</v>
      </c>
      <c r="BH370" s="102">
        <v>2.1329171225457682</v>
      </c>
      <c r="BI370" s="102">
        <v>2.1218135004590399</v>
      </c>
      <c r="BJ370" s="102">
        <v>2.0696414258763052</v>
      </c>
      <c r="BK370" s="102">
        <v>2.0220710784979485</v>
      </c>
      <c r="BL370" s="102">
        <v>1.9800724171822024</v>
      </c>
    </row>
    <row r="371" spans="1:64" ht="13.5" x14ac:dyDescent="0.7">
      <c r="A371" s="27" t="s">
        <v>273</v>
      </c>
      <c r="B371" s="34" t="s">
        <v>267</v>
      </c>
      <c r="C371" s="27" t="s">
        <v>266</v>
      </c>
      <c r="E371" s="33"/>
      <c r="F371" s="33"/>
      <c r="G371" s="33"/>
      <c r="H371" s="33"/>
      <c r="I371" s="102">
        <v>7.5117187500000099E-2</v>
      </c>
      <c r="J371" s="102">
        <v>7.9784615384615426E-2</v>
      </c>
      <c r="K371" s="102">
        <v>7.9886363636363589E-2</v>
      </c>
      <c r="L371" s="102">
        <v>5.4128787878787853E-2</v>
      </c>
      <c r="M371" s="102">
        <v>4.2382812500000006E-2</v>
      </c>
      <c r="N371" s="102">
        <v>4.1434426229508201E-2</v>
      </c>
      <c r="O371" s="102">
        <v>1.9538461538461543E-2</v>
      </c>
      <c r="P371" s="102">
        <v>-1.1791666666666674E-2</v>
      </c>
      <c r="Q371" s="102">
        <v>-1.3937499999999992E-2</v>
      </c>
      <c r="R371" s="102">
        <v>-4.6153846153846158E-3</v>
      </c>
      <c r="S371" s="102">
        <v>-7.9824561403508808E-3</v>
      </c>
      <c r="T371" s="102">
        <v>-2.9666666666666664E-2</v>
      </c>
      <c r="U371" s="102">
        <v>-9.3738461538461534E-2</v>
      </c>
      <c r="V371" s="102">
        <v>-0.26836923076923075</v>
      </c>
      <c r="W371" s="102">
        <v>-0.28598484848484862</v>
      </c>
      <c r="X371" s="102">
        <v>-0.3396615384615384</v>
      </c>
      <c r="Y371" s="102">
        <v>-0.30958461538461551</v>
      </c>
      <c r="Z371" s="102">
        <v>-0.12539999999999996</v>
      </c>
      <c r="AA371" s="102">
        <v>-0.13443076923076927</v>
      </c>
      <c r="AB371" s="102">
        <v>-0.19454687500000004</v>
      </c>
      <c r="AC371" s="102">
        <v>-0.16595312500000003</v>
      </c>
      <c r="AD371" s="102">
        <v>-0.14443749999999997</v>
      </c>
      <c r="AE371" s="102">
        <v>-0.14956923076923082</v>
      </c>
      <c r="AF371" s="102">
        <v>-0.26737878787878788</v>
      </c>
      <c r="AG371" s="102">
        <v>-0.19324999999999995</v>
      </c>
      <c r="AH371" s="102">
        <v>-0.15972307692307688</v>
      </c>
      <c r="AI371" s="102">
        <v>-0.14262121212121209</v>
      </c>
      <c r="AJ371" s="102">
        <v>-0.21210606060606069</v>
      </c>
      <c r="AK371" s="102">
        <v>-0.18598461538461536</v>
      </c>
      <c r="AL371" s="102">
        <v>-0.13487692307692303</v>
      </c>
      <c r="AM371" s="102">
        <v>-0.10450000000000001</v>
      </c>
      <c r="AN371" s="102">
        <v>-0.1024545454545454</v>
      </c>
      <c r="AO371" s="102">
        <v>-0.10110937500000004</v>
      </c>
      <c r="AP371" s="102">
        <v>-0.10532307692307691</v>
      </c>
      <c r="AQ371" s="102">
        <v>-0.11766666666666666</v>
      </c>
      <c r="AR371" s="102">
        <v>-0.12803030303030305</v>
      </c>
      <c r="AS371" s="102">
        <v>-9.4734375000000051E-2</v>
      </c>
      <c r="AT371" s="102">
        <v>-0.13090769230769228</v>
      </c>
      <c r="AU371" s="102">
        <v>-0.1452272727272727</v>
      </c>
      <c r="AV371" s="102">
        <v>-0.17103076923076918</v>
      </c>
      <c r="AW371" s="102">
        <v>-0.16000000000000003</v>
      </c>
      <c r="AX371" s="102">
        <v>-3.0000000000000027E-2</v>
      </c>
      <c r="AY371" s="102">
        <v>-1.0000000000000009E-2</v>
      </c>
      <c r="AZ371" s="102">
        <v>-4.0000000000000036E-2</v>
      </c>
      <c r="BA371" s="102">
        <v>-4.0000000000000036E-2</v>
      </c>
      <c r="BB371" s="102">
        <v>-4.0000000000000036E-2</v>
      </c>
      <c r="BC371" s="102">
        <v>-5.0000000000000044E-2</v>
      </c>
      <c r="BD371" s="102">
        <v>-3.0000000000000027E-2</v>
      </c>
      <c r="BE371" s="102">
        <v>4.9999999999999933E-2</v>
      </c>
      <c r="BF371" s="102">
        <v>6.0000000000000053E-2</v>
      </c>
      <c r="BG371" s="102">
        <v>6.0000000000000053E-2</v>
      </c>
      <c r="BH371" s="102">
        <v>6.0000000000000053E-2</v>
      </c>
      <c r="BI371" s="102">
        <v>6.0000000000000053E-2</v>
      </c>
      <c r="BJ371" s="102">
        <v>6.0000000000000053E-2</v>
      </c>
      <c r="BK371" s="102">
        <v>6.0000000000000053E-2</v>
      </c>
      <c r="BL371" s="102">
        <v>6.0000000000000053E-2</v>
      </c>
    </row>
  </sheetData>
  <mergeCells count="6">
    <mergeCell ref="C346:C348"/>
    <mergeCell ref="C273:C276"/>
    <mergeCell ref="C277:C279"/>
    <mergeCell ref="C308:C311"/>
    <mergeCell ref="C312:C314"/>
    <mergeCell ref="C342:C345"/>
  </mergeCells>
  <pageMargins left="0.25" right="0" top="0.25" bottom="0.25" header="0.5" footer="0.5"/>
  <pageSetup scale="45" orientation="landscape" horizontalDpi="4294967293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36BC-0AB1-4E07-8FFC-95DBC6871F0C}">
  <sheetPr codeName="Sheet4"/>
  <dimension ref="A1"/>
  <sheetViews>
    <sheetView topLeftCell="A7" workbookViewId="0"/>
  </sheetViews>
  <sheetFormatPr defaultRowHeight="13.25" x14ac:dyDescent="0.6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3661ED7F3B2499BE365CA2F4AFAE1" ma:contentTypeVersion="11" ma:contentTypeDescription="Create a new document." ma:contentTypeScope="" ma:versionID="fcceb926fbac305285a7423b16d60ea2">
  <xsd:schema xmlns:xsd="http://www.w3.org/2001/XMLSchema" xmlns:xs="http://www.w3.org/2001/XMLSchema" xmlns:p="http://schemas.microsoft.com/office/2006/metadata/properties" xmlns:ns2="969d2115-0228-4f81-81ab-4fc476c31cb7" xmlns:ns3="2f043b80-2ba0-4a41-8fb3-e995e5e0ec5e" targetNamespace="http://schemas.microsoft.com/office/2006/metadata/properties" ma:root="true" ma:fieldsID="623bb294bac6eed014b2d9e3508b1f65" ns2:_="" ns3:_="">
    <xsd:import namespace="969d2115-0228-4f81-81ab-4fc476c31cb7"/>
    <xsd:import namespace="2f043b80-2ba0-4a41-8fb3-e995e5e0e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d2115-0228-4f81-81ab-4fc476c31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43b80-2ba0-4a41-8fb3-e995e5e0e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d652a58-8deb-4e8b-84c1-04ca660ebc93}" ma:internalName="TaxCatchAll" ma:showField="CatchAllData" ma:web="2f043b80-2ba0-4a41-8fb3-e995e5e0ec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043b80-2ba0-4a41-8fb3-e995e5e0ec5e" xsi:nil="true"/>
    <lcf76f155ced4ddcb4097134ff3c332f xmlns="969d2115-0228-4f81-81ab-4fc476c31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20F46D-D67F-4024-BAFC-44597AD791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1CB950-DE23-4EE7-A4E4-A279B4563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9d2115-0228-4f81-81ab-4fc476c31cb7"/>
    <ds:schemaRef ds:uri="2f043b80-2ba0-4a41-8fb3-e995e5e0e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9E6CC9-F97E-4668-852E-67DF937B23D7}">
  <ds:schemaRefs>
    <ds:schemaRef ds:uri="http://schemas.microsoft.com/office/2006/metadata/properties"/>
    <ds:schemaRef ds:uri="http://schemas.microsoft.com/office/infopath/2007/PartnerControls"/>
    <ds:schemaRef ds:uri="2f043b80-2ba0-4a41-8fb3-e995e5e0ec5e"/>
    <ds:schemaRef ds:uri="969d2115-0228-4f81-81ab-4fc476c31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ControlSheet</vt:lpstr>
      <vt:lpstr>Complete DataSet A</vt:lpstr>
      <vt:lpstr>Complete DataSet Q</vt:lpstr>
      <vt:lpstr>Sheet1</vt:lpstr>
      <vt:lpstr>'Complete DataSet A'!DATES_A</vt:lpstr>
      <vt:lpstr>'Complete DataSet Q'!DATES_Q</vt:lpstr>
      <vt:lpstr>'Complete DataSet A'!NAMES_A</vt:lpstr>
      <vt:lpstr>'Complete DataSet Q'!NAMES_Q</vt:lpstr>
      <vt:lpstr>'Complete DataSet Q'!Print_Area</vt:lpstr>
      <vt:lpstr>'Complete DataSet A'!WEO_ALL</vt:lpstr>
      <vt:lpstr>'Complete DataSet Q'!WEOGAS_Rwametric_Qdata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Li</dc:creator>
  <cp:lastModifiedBy>Evariste MANIRUMVA</cp:lastModifiedBy>
  <cp:lastPrinted>2023-10-08T10:30:11Z</cp:lastPrinted>
  <dcterms:created xsi:type="dcterms:W3CDTF">1999-01-15T22:10:24Z</dcterms:created>
  <dcterms:modified xsi:type="dcterms:W3CDTF">2026-02-19T19:16:47Z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2023-09-05T21:30:00Z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f8d8afd6-ba7d-44ff-a4f2-ef7c1ebf56ce</vt:lpwstr>
  </property>
  <property fmtid="{D5CDD505-2E9C-101B-9397-08002B2CF9AE}" pid="9" name="MSIP_Label_0c07ed86-5dc5-4593-ad03-a8684b843815_ContentBits">
    <vt:lpwstr>0</vt:lpwstr>
  </property>
  <property fmtid="{D5CDD505-2E9C-101B-9397-08002B2CF9AE}" pid="10" name="ContentTypeId">
    <vt:lpwstr>0x010100DA33661ED7F3B2499BE365CA2F4AFAE1</vt:lpwstr>
  </property>
</Properties>
</file>