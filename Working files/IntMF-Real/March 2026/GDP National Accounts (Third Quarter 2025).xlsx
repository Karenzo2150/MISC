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MINECOFIN\Macro\IntMF&amp;IMF-Mission\Preparations\March 2026\"/>
    </mc:Choice>
  </mc:AlternateContent>
  <xr:revisionPtr revIDLastSave="0" documentId="13_ncr:1_{E847AF5A-D273-4659-8576-83970AE259B2}" xr6:coauthVersionLast="47" xr6:coauthVersionMax="47" xr10:uidLastSave="{00000000-0000-0000-0000-000000000000}"/>
  <bookViews>
    <workbookView xWindow="-90" yWindow="-90" windowWidth="19380" windowHeight="11460" firstSheet="3" activeTab="4" xr2:uid="{957D5249-014C-4EB6-B5B6-32CF6F51AD40}"/>
  </bookViews>
  <sheets>
    <sheet name="Table A Q" sheetId="17" r:id="rId1"/>
    <sheet name="QGDP_CP" sheetId="11" r:id="rId2"/>
    <sheet name="QGDP_SH" sheetId="13" r:id="rId3"/>
    <sheet name="QGDP_KP" sheetId="12" r:id="rId4"/>
    <sheet name="QGDP_Gr" sheetId="14" r:id="rId5"/>
    <sheet name="QGDP_Cont" sheetId="15" r:id="rId6"/>
    <sheet name="QGDP_DF" sheetId="16" r:id="rId7"/>
    <sheet name="T3 GDP XQ" sheetId="18" r:id="rId8"/>
    <sheet name="T3A GDP XQ" sheetId="19" r:id="rId9"/>
    <sheet name="USE" sheetId="20" r:id="rId10"/>
    <sheet name="SUP" sheetId="21" r:id="rId11"/>
    <sheet name="DF_Sup" sheetId="22" r:id="rId12"/>
  </sheets>
  <definedNames>
    <definedName name="_xlnm._FilterDatabase" localSheetId="5" hidden="1">QGDP_Cont!$A$8:$CB$44</definedName>
    <definedName name="_xlnm._FilterDatabase" localSheetId="3" hidden="1">QGDP_KP!$A$9:$CE$44</definedName>
    <definedName name="_xlnm.Print_Area" localSheetId="5">QGDP_Cont!$B$1:$CE$49</definedName>
    <definedName name="_xlnm.Print_Area" localSheetId="1">QGDP_CP!$B$1:$CE$49</definedName>
    <definedName name="_xlnm.Print_Area" localSheetId="6">QGDP_DF!$A$1:$CE$49</definedName>
    <definedName name="_xlnm.Print_Area" localSheetId="4">QGDP_Gr!$B$1:$CE$49</definedName>
    <definedName name="_xlnm.Print_Area" localSheetId="3">QGDP_KP!$B$1:$CE$49</definedName>
    <definedName name="_xlnm.Print_Area" localSheetId="2">QGDP_SH!$B$1:$CE$49</definedName>
    <definedName name="_xlnm.Print_Area" localSheetId="7">'T3 GDP XQ'!$B$2:$CD$63</definedName>
    <definedName name="_xlnm.Print_Area" localSheetId="8">'T3A GDP XQ'!$B$3:$CD$46</definedName>
    <definedName name="_xlnm.Print_Titles" localSheetId="5">QGDP_Cont!$5:$6</definedName>
    <definedName name="_xlnm.Print_Titles" localSheetId="1">QGDP_CP!$5:$6</definedName>
    <definedName name="_xlnm.Print_Titles" localSheetId="6">QGDP_DF!$5:$6</definedName>
    <definedName name="_xlnm.Print_Titles" localSheetId="4">QGDP_Gr!$5:$6</definedName>
    <definedName name="_xlnm.Print_Titles" localSheetId="3">QGDP_KP!$5:$6</definedName>
    <definedName name="_xlnm.Print_Titles" localSheetId="2">QGDP_SH!$5:$6</definedName>
    <definedName name="Products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M46" i="17" l="1"/>
  <c r="BN46" i="17"/>
  <c r="BO46" i="17"/>
  <c r="BP46" i="17"/>
  <c r="BQ46" i="17"/>
  <c r="BR46" i="17"/>
  <c r="BS46" i="17"/>
  <c r="BT46" i="17"/>
  <c r="BU46" i="17"/>
  <c r="BV46" i="17"/>
  <c r="BW46" i="17"/>
  <c r="BX46" i="17"/>
  <c r="BY46" i="17"/>
  <c r="BZ46" i="17"/>
  <c r="CA46" i="17"/>
  <c r="CB46" i="17"/>
  <c r="CC46" i="17"/>
  <c r="CD46" i="17"/>
  <c r="BL46" i="17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B91" i="21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B68" i="20"/>
  <c r="C68" i="20"/>
  <c r="D68" i="20"/>
  <c r="E68" i="20"/>
  <c r="F68" i="20"/>
  <c r="G68" i="20"/>
  <c r="H68" i="20"/>
  <c r="I68" i="20"/>
  <c r="J68" i="20"/>
  <c r="K68" i="20"/>
  <c r="L68" i="20"/>
  <c r="M68" i="20"/>
  <c r="N68" i="20"/>
  <c r="O68" i="20"/>
  <c r="P68" i="20"/>
  <c r="Q68" i="20"/>
  <c r="R68" i="20"/>
  <c r="S68" i="20"/>
  <c r="T68" i="20"/>
  <c r="U68" i="20"/>
  <c r="B69" i="20"/>
  <c r="C69" i="20"/>
  <c r="D69" i="20"/>
  <c r="E69" i="20"/>
  <c r="F69" i="20"/>
  <c r="G69" i="20"/>
  <c r="H69" i="20"/>
  <c r="I69" i="20"/>
  <c r="J69" i="20"/>
  <c r="K69" i="20"/>
  <c r="L69" i="20"/>
  <c r="M69" i="20"/>
  <c r="N69" i="20"/>
  <c r="O69" i="20"/>
  <c r="P69" i="20"/>
  <c r="Q69" i="20"/>
  <c r="R69" i="20"/>
  <c r="S69" i="20"/>
  <c r="T69" i="20"/>
  <c r="U69" i="20"/>
  <c r="B71" i="20"/>
  <c r="C71" i="20"/>
  <c r="D71" i="20"/>
  <c r="E71" i="20"/>
  <c r="F71" i="20"/>
  <c r="G71" i="20"/>
  <c r="H71" i="20"/>
  <c r="I71" i="20"/>
  <c r="J71" i="20"/>
  <c r="K71" i="20"/>
  <c r="L71" i="20"/>
  <c r="M71" i="20"/>
  <c r="N71" i="20"/>
  <c r="O71" i="20"/>
  <c r="P71" i="20"/>
  <c r="Q71" i="20"/>
  <c r="R71" i="20"/>
  <c r="S71" i="20"/>
  <c r="T71" i="20"/>
  <c r="U71" i="20"/>
  <c r="B72" i="20"/>
  <c r="C72" i="20"/>
  <c r="D72" i="20"/>
  <c r="E72" i="20"/>
  <c r="F72" i="20"/>
  <c r="G72" i="20"/>
  <c r="H72" i="20"/>
  <c r="I72" i="20"/>
  <c r="J72" i="20"/>
  <c r="K72" i="20"/>
  <c r="L72" i="20"/>
  <c r="M72" i="20"/>
  <c r="N72" i="20"/>
  <c r="O72" i="20"/>
  <c r="P72" i="20"/>
  <c r="Q72" i="20"/>
  <c r="R72" i="20"/>
  <c r="S72" i="20"/>
  <c r="T72" i="20"/>
  <c r="U72" i="20"/>
  <c r="B73" i="20"/>
  <c r="C73" i="20"/>
  <c r="D73" i="20"/>
  <c r="E73" i="20"/>
  <c r="F73" i="20"/>
  <c r="G73" i="20"/>
  <c r="H73" i="20"/>
  <c r="I73" i="20"/>
  <c r="J73" i="20"/>
  <c r="K73" i="20"/>
  <c r="L73" i="20"/>
  <c r="M73" i="20"/>
  <c r="N73" i="20"/>
  <c r="O73" i="20"/>
  <c r="P73" i="20"/>
  <c r="Q73" i="20"/>
  <c r="R73" i="20"/>
  <c r="S73" i="20"/>
  <c r="T73" i="20"/>
  <c r="U73" i="20"/>
  <c r="B74" i="20"/>
  <c r="C74" i="20"/>
  <c r="D74" i="20"/>
  <c r="E74" i="20"/>
  <c r="F74" i="20"/>
  <c r="G74" i="20"/>
  <c r="H74" i="20"/>
  <c r="I74" i="20"/>
  <c r="J74" i="20"/>
  <c r="K74" i="20"/>
  <c r="L74" i="20"/>
  <c r="M74" i="20"/>
  <c r="N74" i="20"/>
  <c r="O74" i="20"/>
  <c r="P74" i="20"/>
  <c r="Q74" i="20"/>
  <c r="R74" i="20"/>
  <c r="S74" i="20"/>
  <c r="T74" i="20"/>
  <c r="U74" i="20"/>
  <c r="B75" i="20"/>
  <c r="C75" i="20"/>
  <c r="D75" i="20"/>
  <c r="E75" i="20"/>
  <c r="F75" i="20"/>
  <c r="G75" i="20"/>
  <c r="H75" i="20"/>
  <c r="I75" i="20"/>
  <c r="J75" i="20"/>
  <c r="K75" i="20"/>
  <c r="L75" i="20"/>
  <c r="M75" i="20"/>
  <c r="N75" i="20"/>
  <c r="O75" i="20"/>
  <c r="P75" i="20"/>
  <c r="Q75" i="20"/>
  <c r="R75" i="20"/>
  <c r="S75" i="20"/>
  <c r="T75" i="20"/>
  <c r="U75" i="20"/>
  <c r="B76" i="20"/>
  <c r="C76" i="20"/>
  <c r="D76" i="20"/>
  <c r="E76" i="20"/>
  <c r="F76" i="20"/>
  <c r="G76" i="20"/>
  <c r="H76" i="20"/>
  <c r="I76" i="20"/>
  <c r="J76" i="20"/>
  <c r="K76" i="20"/>
  <c r="L76" i="20"/>
  <c r="M76" i="20"/>
  <c r="N76" i="20"/>
  <c r="O76" i="20"/>
  <c r="P76" i="20"/>
  <c r="Q76" i="20"/>
  <c r="R76" i="20"/>
  <c r="S76" i="20"/>
  <c r="T76" i="20"/>
  <c r="U76" i="20"/>
  <c r="B77" i="20"/>
  <c r="C77" i="20"/>
  <c r="D77" i="20"/>
  <c r="E77" i="20"/>
  <c r="F77" i="20"/>
  <c r="G77" i="20"/>
  <c r="H77" i="20"/>
  <c r="I77" i="20"/>
  <c r="J77" i="20"/>
  <c r="K77" i="20"/>
  <c r="L77" i="20"/>
  <c r="M77" i="20"/>
  <c r="N77" i="20"/>
  <c r="O77" i="20"/>
  <c r="P77" i="20"/>
  <c r="Q77" i="20"/>
  <c r="R77" i="20"/>
  <c r="S77" i="20"/>
  <c r="T77" i="20"/>
  <c r="U77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B61" i="20"/>
  <c r="B43" i="20"/>
  <c r="C43" i="20"/>
  <c r="D43" i="20"/>
  <c r="E43" i="20"/>
  <c r="F43" i="20"/>
  <c r="G43" i="20"/>
  <c r="H43" i="20"/>
  <c r="I43" i="20"/>
  <c r="J43" i="20"/>
  <c r="K43" i="20"/>
  <c r="L43" i="20"/>
  <c r="M43" i="20"/>
  <c r="N43" i="20"/>
  <c r="O43" i="20"/>
  <c r="P43" i="20"/>
  <c r="Q43" i="20"/>
  <c r="R43" i="20"/>
  <c r="S43" i="20"/>
  <c r="T43" i="20"/>
  <c r="B44" i="20"/>
  <c r="C44" i="20"/>
  <c r="D44" i="20"/>
  <c r="E44" i="20"/>
  <c r="F44" i="20"/>
  <c r="G44" i="20"/>
  <c r="H44" i="20"/>
  <c r="I44" i="20"/>
  <c r="J44" i="20"/>
  <c r="K44" i="20"/>
  <c r="L44" i="20"/>
  <c r="M44" i="20"/>
  <c r="N44" i="20"/>
  <c r="O44" i="20"/>
  <c r="P44" i="20"/>
  <c r="Q44" i="20"/>
  <c r="R44" i="20"/>
  <c r="S44" i="20"/>
  <c r="T44" i="20"/>
  <c r="B45" i="20"/>
  <c r="C45" i="20"/>
  <c r="D45" i="20"/>
  <c r="E45" i="20"/>
  <c r="F45" i="20"/>
  <c r="G45" i="20"/>
  <c r="H45" i="20"/>
  <c r="I45" i="20"/>
  <c r="J45" i="20"/>
  <c r="K45" i="20"/>
  <c r="L45" i="20"/>
  <c r="M45" i="20"/>
  <c r="N45" i="20"/>
  <c r="O45" i="20"/>
  <c r="P45" i="20"/>
  <c r="Q45" i="20"/>
  <c r="R45" i="20"/>
  <c r="S45" i="20"/>
  <c r="T45" i="20"/>
  <c r="B47" i="20"/>
  <c r="C47" i="20"/>
  <c r="D47" i="20"/>
  <c r="E47" i="20"/>
  <c r="F47" i="20"/>
  <c r="G47" i="20"/>
  <c r="H47" i="20"/>
  <c r="I47" i="20"/>
  <c r="J47" i="20"/>
  <c r="K47" i="20"/>
  <c r="L47" i="20"/>
  <c r="M47" i="20"/>
  <c r="N47" i="20"/>
  <c r="O47" i="20"/>
  <c r="P47" i="20"/>
  <c r="Q47" i="20"/>
  <c r="R47" i="20"/>
  <c r="S47" i="20"/>
  <c r="T47" i="20"/>
  <c r="B48" i="20"/>
  <c r="C48" i="20"/>
  <c r="D48" i="20"/>
  <c r="E48" i="20"/>
  <c r="F48" i="20"/>
  <c r="G48" i="20"/>
  <c r="H48" i="20"/>
  <c r="I48" i="20"/>
  <c r="J48" i="20"/>
  <c r="K48" i="20"/>
  <c r="L48" i="20"/>
  <c r="M48" i="20"/>
  <c r="N48" i="20"/>
  <c r="O48" i="20"/>
  <c r="P48" i="20"/>
  <c r="Q48" i="20"/>
  <c r="R48" i="20"/>
  <c r="S48" i="20"/>
  <c r="T48" i="20"/>
  <c r="B49" i="20"/>
  <c r="C49" i="20"/>
  <c r="D49" i="20"/>
  <c r="E49" i="20"/>
  <c r="F49" i="20"/>
  <c r="G49" i="20"/>
  <c r="H49" i="20"/>
  <c r="I49" i="20"/>
  <c r="J49" i="20"/>
  <c r="K49" i="20"/>
  <c r="L49" i="20"/>
  <c r="M49" i="20"/>
  <c r="N49" i="20"/>
  <c r="O49" i="20"/>
  <c r="P49" i="20"/>
  <c r="Q49" i="20"/>
  <c r="R49" i="20"/>
  <c r="S49" i="20"/>
  <c r="T49" i="20"/>
  <c r="B51" i="20"/>
  <c r="C51" i="20"/>
  <c r="D51" i="20"/>
  <c r="E51" i="20"/>
  <c r="F51" i="20"/>
  <c r="G51" i="20"/>
  <c r="H51" i="20"/>
  <c r="I51" i="20"/>
  <c r="J51" i="20"/>
  <c r="K51" i="20"/>
  <c r="L51" i="20"/>
  <c r="M51" i="20"/>
  <c r="N51" i="20"/>
  <c r="O51" i="20"/>
  <c r="P51" i="20"/>
  <c r="Q51" i="20"/>
  <c r="R51" i="20"/>
  <c r="S51" i="20"/>
  <c r="T51" i="20"/>
  <c r="B52" i="20"/>
  <c r="C52" i="20"/>
  <c r="D52" i="20"/>
  <c r="E52" i="20"/>
  <c r="F52" i="20"/>
  <c r="G52" i="20"/>
  <c r="H52" i="20"/>
  <c r="I52" i="20"/>
  <c r="J52" i="20"/>
  <c r="K52" i="20"/>
  <c r="L52" i="20"/>
  <c r="M52" i="20"/>
  <c r="N52" i="20"/>
  <c r="O52" i="20"/>
  <c r="P52" i="20"/>
  <c r="Q52" i="20"/>
  <c r="R52" i="20"/>
  <c r="S52" i="20"/>
  <c r="T52" i="20"/>
  <c r="B53" i="20"/>
  <c r="C53" i="20"/>
  <c r="D53" i="20"/>
  <c r="E53" i="20"/>
  <c r="F53" i="20"/>
  <c r="G53" i="20"/>
  <c r="H53" i="20"/>
  <c r="I53" i="20"/>
  <c r="J53" i="20"/>
  <c r="K53" i="20"/>
  <c r="L53" i="20"/>
  <c r="M53" i="20"/>
  <c r="N53" i="20"/>
  <c r="O53" i="20"/>
  <c r="P53" i="20"/>
  <c r="Q53" i="20"/>
  <c r="R53" i="20"/>
  <c r="S53" i="20"/>
  <c r="T53" i="20"/>
  <c r="B54" i="20"/>
  <c r="C54" i="20"/>
  <c r="D54" i="20"/>
  <c r="E54" i="20"/>
  <c r="F54" i="20"/>
  <c r="G54" i="20"/>
  <c r="H54" i="20"/>
  <c r="I54" i="20"/>
  <c r="J54" i="20"/>
  <c r="K54" i="20"/>
  <c r="L54" i="20"/>
  <c r="M54" i="20"/>
  <c r="N54" i="20"/>
  <c r="O54" i="20"/>
  <c r="P54" i="20"/>
  <c r="Q54" i="20"/>
  <c r="R54" i="20"/>
  <c r="S54" i="20"/>
  <c r="T54" i="20"/>
  <c r="B55" i="20"/>
  <c r="C55" i="20"/>
  <c r="D55" i="20"/>
  <c r="E55" i="20"/>
  <c r="F55" i="20"/>
  <c r="G55" i="20"/>
  <c r="H55" i="20"/>
  <c r="I55" i="20"/>
  <c r="J55" i="20"/>
  <c r="K55" i="20"/>
  <c r="L55" i="20"/>
  <c r="M55" i="20"/>
  <c r="N55" i="20"/>
  <c r="O55" i="20"/>
  <c r="P55" i="20"/>
  <c r="Q55" i="20"/>
  <c r="R55" i="20"/>
  <c r="S55" i="20"/>
  <c r="T55" i="20"/>
  <c r="B56" i="20"/>
  <c r="C56" i="20"/>
  <c r="D56" i="20"/>
  <c r="E56" i="20"/>
  <c r="F56" i="20"/>
  <c r="G56" i="20"/>
  <c r="H56" i="20"/>
  <c r="I56" i="20"/>
  <c r="J56" i="20"/>
  <c r="K56" i="20"/>
  <c r="L56" i="20"/>
  <c r="M56" i="20"/>
  <c r="N56" i="20"/>
  <c r="O56" i="20"/>
  <c r="P56" i="20"/>
  <c r="Q56" i="20"/>
  <c r="R56" i="20"/>
  <c r="S56" i="20"/>
  <c r="T56" i="20"/>
  <c r="B57" i="20"/>
  <c r="C57" i="20"/>
  <c r="D57" i="20"/>
  <c r="E57" i="20"/>
  <c r="F57" i="20"/>
  <c r="G57" i="20"/>
  <c r="H57" i="20"/>
  <c r="I57" i="20"/>
  <c r="J57" i="20"/>
  <c r="K57" i="20"/>
  <c r="L57" i="20"/>
  <c r="M57" i="20"/>
  <c r="N57" i="20"/>
  <c r="O57" i="20"/>
  <c r="P57" i="20"/>
  <c r="Q57" i="20"/>
  <c r="R57" i="20"/>
  <c r="S57" i="20"/>
  <c r="T57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U57" i="20"/>
  <c r="U56" i="20"/>
  <c r="U55" i="20"/>
  <c r="U54" i="20"/>
  <c r="U53" i="20"/>
  <c r="U52" i="20"/>
  <c r="U51" i="20"/>
  <c r="U49" i="20"/>
  <c r="U48" i="20"/>
  <c r="U47" i="20"/>
  <c r="U45" i="20"/>
  <c r="U44" i="20"/>
  <c r="U43" i="20"/>
  <c r="U41" i="20"/>
  <c r="B22" i="20"/>
  <c r="CF27" i="11"/>
  <c r="CF28" i="11"/>
  <c r="U38" i="20" l="1"/>
  <c r="T38" i="20"/>
  <c r="S38" i="20"/>
  <c r="R38" i="20"/>
  <c r="Q38" i="20"/>
  <c r="P38" i="20"/>
  <c r="O38" i="20"/>
  <c r="N38" i="20"/>
  <c r="M38" i="20"/>
  <c r="U37" i="20"/>
  <c r="T37" i="20"/>
  <c r="S37" i="20"/>
  <c r="R37" i="20"/>
  <c r="Q37" i="20"/>
  <c r="P37" i="20"/>
  <c r="O37" i="20"/>
  <c r="N37" i="20"/>
  <c r="M37" i="20"/>
  <c r="U36" i="20"/>
  <c r="T36" i="20"/>
  <c r="S36" i="20"/>
  <c r="R36" i="20"/>
  <c r="Q36" i="20"/>
  <c r="P36" i="20"/>
  <c r="O36" i="20"/>
  <c r="N36" i="20"/>
  <c r="M36" i="20"/>
  <c r="U35" i="20"/>
  <c r="T35" i="20"/>
  <c r="S35" i="20"/>
  <c r="R35" i="20"/>
  <c r="Q35" i="20"/>
  <c r="P35" i="20"/>
  <c r="O35" i="20"/>
  <c r="N35" i="20"/>
  <c r="M35" i="20"/>
  <c r="U34" i="20"/>
  <c r="T34" i="20"/>
  <c r="S34" i="20"/>
  <c r="R34" i="20"/>
  <c r="Q34" i="20"/>
  <c r="P34" i="20"/>
  <c r="O34" i="20"/>
  <c r="N34" i="20"/>
  <c r="M34" i="20"/>
  <c r="U33" i="20"/>
  <c r="T33" i="20"/>
  <c r="S33" i="20"/>
  <c r="R33" i="20"/>
  <c r="Q33" i="20"/>
  <c r="P33" i="20"/>
  <c r="O33" i="20"/>
  <c r="N33" i="20"/>
  <c r="M33" i="20"/>
  <c r="U32" i="20"/>
  <c r="T32" i="20"/>
  <c r="S32" i="20"/>
  <c r="R32" i="20"/>
  <c r="Q32" i="20"/>
  <c r="P32" i="20"/>
  <c r="O32" i="20"/>
  <c r="N32" i="20"/>
  <c r="M32" i="20"/>
  <c r="U30" i="20"/>
  <c r="T30" i="20"/>
  <c r="S30" i="20"/>
  <c r="R30" i="20"/>
  <c r="Q30" i="20"/>
  <c r="P30" i="20"/>
  <c r="O30" i="20"/>
  <c r="N30" i="20"/>
  <c r="M30" i="20"/>
  <c r="U29" i="20"/>
  <c r="T29" i="20"/>
  <c r="S29" i="20"/>
  <c r="R29" i="20"/>
  <c r="Q29" i="20"/>
  <c r="P29" i="20"/>
  <c r="O29" i="20"/>
  <c r="N29" i="20"/>
  <c r="M29" i="20"/>
  <c r="U28" i="20"/>
  <c r="T28" i="20"/>
  <c r="S28" i="20"/>
  <c r="R28" i="20"/>
  <c r="Q28" i="20"/>
  <c r="P28" i="20"/>
  <c r="O28" i="20"/>
  <c r="N28" i="20"/>
  <c r="M28" i="20"/>
  <c r="U26" i="20"/>
  <c r="T26" i="20"/>
  <c r="S26" i="20"/>
  <c r="R26" i="20"/>
  <c r="Q26" i="20"/>
  <c r="P26" i="20"/>
  <c r="O26" i="20"/>
  <c r="N26" i="20"/>
  <c r="M26" i="20"/>
  <c r="U25" i="20"/>
  <c r="T25" i="20"/>
  <c r="S25" i="20"/>
  <c r="R25" i="20"/>
  <c r="Q25" i="20"/>
  <c r="P25" i="20"/>
  <c r="O25" i="20"/>
  <c r="N25" i="20"/>
  <c r="M25" i="20"/>
  <c r="U24" i="20"/>
  <c r="T24" i="20"/>
  <c r="S24" i="20"/>
  <c r="R24" i="20"/>
  <c r="Q24" i="20"/>
  <c r="P24" i="20"/>
  <c r="O24" i="20"/>
  <c r="N24" i="20"/>
  <c r="M24" i="20"/>
  <c r="U22" i="20"/>
  <c r="T22" i="20"/>
  <c r="S22" i="20"/>
  <c r="R22" i="20"/>
  <c r="Q22" i="20"/>
  <c r="P22" i="20"/>
  <c r="O22" i="20"/>
  <c r="N22" i="20"/>
  <c r="M22" i="20"/>
  <c r="M5" i="20"/>
  <c r="N5" i="20"/>
  <c r="O5" i="20"/>
  <c r="P5" i="20"/>
  <c r="Q5" i="20"/>
  <c r="R5" i="20"/>
  <c r="S5" i="20"/>
  <c r="T5" i="20"/>
  <c r="U5" i="20"/>
  <c r="M6" i="20"/>
  <c r="N6" i="20"/>
  <c r="O6" i="20"/>
  <c r="P6" i="20"/>
  <c r="Q6" i="20"/>
  <c r="R6" i="20"/>
  <c r="S6" i="20"/>
  <c r="T6" i="20"/>
  <c r="U6" i="20"/>
  <c r="M7" i="20"/>
  <c r="N7" i="20"/>
  <c r="O7" i="20"/>
  <c r="P7" i="20"/>
  <c r="Q7" i="20"/>
  <c r="R7" i="20"/>
  <c r="S7" i="20"/>
  <c r="T7" i="20"/>
  <c r="U7" i="20"/>
  <c r="M9" i="20"/>
  <c r="N9" i="20"/>
  <c r="O9" i="20"/>
  <c r="P9" i="20"/>
  <c r="Q9" i="20"/>
  <c r="R9" i="20"/>
  <c r="S9" i="20"/>
  <c r="T9" i="20"/>
  <c r="U9" i="20"/>
  <c r="M10" i="20"/>
  <c r="N10" i="20"/>
  <c r="O10" i="20"/>
  <c r="P10" i="20"/>
  <c r="Q10" i="20"/>
  <c r="R10" i="20"/>
  <c r="S10" i="20"/>
  <c r="T10" i="20"/>
  <c r="U10" i="20"/>
  <c r="M11" i="20"/>
  <c r="N11" i="20"/>
  <c r="O11" i="20"/>
  <c r="P11" i="20"/>
  <c r="Q11" i="20"/>
  <c r="R11" i="20"/>
  <c r="S11" i="20"/>
  <c r="T11" i="20"/>
  <c r="U11" i="20"/>
  <c r="M13" i="20"/>
  <c r="N13" i="20"/>
  <c r="O13" i="20"/>
  <c r="P13" i="20"/>
  <c r="Q13" i="20"/>
  <c r="R13" i="20"/>
  <c r="S13" i="20"/>
  <c r="T13" i="20"/>
  <c r="U13" i="20"/>
  <c r="M14" i="20"/>
  <c r="N14" i="20"/>
  <c r="O14" i="20"/>
  <c r="P14" i="20"/>
  <c r="Q14" i="20"/>
  <c r="R14" i="20"/>
  <c r="S14" i="20"/>
  <c r="T14" i="20"/>
  <c r="U14" i="20"/>
  <c r="M15" i="20"/>
  <c r="N15" i="20"/>
  <c r="O15" i="20"/>
  <c r="P15" i="20"/>
  <c r="Q15" i="20"/>
  <c r="R15" i="20"/>
  <c r="S15" i="20"/>
  <c r="T15" i="20"/>
  <c r="U15" i="20"/>
  <c r="M16" i="20"/>
  <c r="N16" i="20"/>
  <c r="O16" i="20"/>
  <c r="P16" i="20"/>
  <c r="Q16" i="20"/>
  <c r="R16" i="20"/>
  <c r="S16" i="20"/>
  <c r="T16" i="20"/>
  <c r="U16" i="20"/>
  <c r="M17" i="20"/>
  <c r="N17" i="20"/>
  <c r="O17" i="20"/>
  <c r="P17" i="20"/>
  <c r="Q17" i="20"/>
  <c r="R17" i="20"/>
  <c r="S17" i="20"/>
  <c r="T17" i="20"/>
  <c r="U17" i="20"/>
  <c r="M18" i="20"/>
  <c r="N18" i="20"/>
  <c r="O18" i="20"/>
  <c r="P18" i="20"/>
  <c r="Q18" i="20"/>
  <c r="R18" i="20"/>
  <c r="S18" i="20"/>
  <c r="T18" i="20"/>
  <c r="U18" i="20"/>
  <c r="M19" i="20"/>
  <c r="N19" i="20"/>
  <c r="O19" i="20"/>
  <c r="P19" i="20"/>
  <c r="Q19" i="20"/>
  <c r="R19" i="20"/>
  <c r="S19" i="20"/>
  <c r="T19" i="20"/>
  <c r="U19" i="20"/>
  <c r="U3" i="20"/>
  <c r="T3" i="20"/>
  <c r="S3" i="20"/>
  <c r="R3" i="20"/>
  <c r="Q3" i="20"/>
  <c r="P3" i="20"/>
  <c r="O3" i="20"/>
  <c r="N3" i="20"/>
  <c r="M3" i="20"/>
  <c r="L38" i="20"/>
  <c r="K38" i="20"/>
  <c r="J38" i="20"/>
  <c r="I38" i="20"/>
  <c r="H38" i="20"/>
  <c r="G38" i="20"/>
  <c r="F38" i="20"/>
  <c r="E38" i="20"/>
  <c r="D38" i="20"/>
  <c r="C38" i="20"/>
  <c r="B38" i="20"/>
  <c r="L37" i="20"/>
  <c r="K37" i="20"/>
  <c r="J37" i="20"/>
  <c r="I37" i="20"/>
  <c r="H37" i="20"/>
  <c r="G37" i="20"/>
  <c r="F37" i="20"/>
  <c r="E37" i="20"/>
  <c r="D37" i="20"/>
  <c r="C37" i="20"/>
  <c r="B37" i="20"/>
  <c r="L36" i="20"/>
  <c r="K36" i="20"/>
  <c r="J36" i="20"/>
  <c r="I36" i="20"/>
  <c r="H36" i="20"/>
  <c r="G36" i="20"/>
  <c r="F36" i="20"/>
  <c r="E36" i="20"/>
  <c r="D36" i="20"/>
  <c r="C36" i="20"/>
  <c r="B36" i="20"/>
  <c r="L35" i="20"/>
  <c r="K35" i="20"/>
  <c r="J35" i="20"/>
  <c r="I35" i="20"/>
  <c r="H35" i="20"/>
  <c r="G35" i="20"/>
  <c r="F35" i="20"/>
  <c r="E35" i="20"/>
  <c r="D35" i="20"/>
  <c r="C35" i="20"/>
  <c r="B35" i="20"/>
  <c r="L34" i="20"/>
  <c r="K34" i="20"/>
  <c r="J34" i="20"/>
  <c r="I34" i="20"/>
  <c r="H34" i="20"/>
  <c r="G34" i="20"/>
  <c r="F34" i="20"/>
  <c r="E34" i="20"/>
  <c r="D34" i="20"/>
  <c r="C34" i="20"/>
  <c r="B34" i="20"/>
  <c r="L33" i="20"/>
  <c r="K33" i="20"/>
  <c r="J33" i="20"/>
  <c r="I33" i="20"/>
  <c r="H33" i="20"/>
  <c r="G33" i="20"/>
  <c r="F33" i="20"/>
  <c r="E33" i="20"/>
  <c r="D33" i="20"/>
  <c r="C33" i="20"/>
  <c r="B33" i="20"/>
  <c r="L32" i="20"/>
  <c r="K32" i="20"/>
  <c r="J32" i="20"/>
  <c r="I32" i="20"/>
  <c r="H32" i="20"/>
  <c r="G32" i="20"/>
  <c r="F32" i="20"/>
  <c r="E32" i="20"/>
  <c r="D32" i="20"/>
  <c r="C32" i="20"/>
  <c r="B32" i="20"/>
  <c r="L30" i="20"/>
  <c r="K30" i="20"/>
  <c r="J30" i="20"/>
  <c r="I30" i="20"/>
  <c r="H30" i="20"/>
  <c r="G30" i="20"/>
  <c r="F30" i="20"/>
  <c r="E30" i="20"/>
  <c r="D30" i="20"/>
  <c r="C30" i="20"/>
  <c r="B30" i="20"/>
  <c r="L29" i="20"/>
  <c r="K29" i="20"/>
  <c r="J29" i="20"/>
  <c r="I29" i="20"/>
  <c r="H29" i="20"/>
  <c r="G29" i="20"/>
  <c r="F29" i="20"/>
  <c r="E29" i="20"/>
  <c r="D29" i="20"/>
  <c r="C29" i="20"/>
  <c r="B29" i="20"/>
  <c r="L28" i="20"/>
  <c r="K28" i="20"/>
  <c r="J28" i="20"/>
  <c r="I28" i="20"/>
  <c r="H28" i="20"/>
  <c r="G28" i="20"/>
  <c r="F28" i="20"/>
  <c r="E28" i="20"/>
  <c r="D28" i="20"/>
  <c r="C28" i="20"/>
  <c r="B28" i="20"/>
  <c r="L26" i="20"/>
  <c r="K26" i="20"/>
  <c r="J26" i="20"/>
  <c r="I26" i="20"/>
  <c r="H26" i="20"/>
  <c r="G26" i="20"/>
  <c r="F26" i="20"/>
  <c r="E26" i="20"/>
  <c r="D26" i="20"/>
  <c r="C26" i="20"/>
  <c r="B26" i="20"/>
  <c r="L25" i="20"/>
  <c r="K25" i="20"/>
  <c r="J25" i="20"/>
  <c r="I25" i="20"/>
  <c r="H25" i="20"/>
  <c r="G25" i="20"/>
  <c r="F25" i="20"/>
  <c r="E25" i="20"/>
  <c r="D25" i="20"/>
  <c r="C25" i="20"/>
  <c r="B25" i="20"/>
  <c r="L24" i="20"/>
  <c r="K24" i="20"/>
  <c r="J24" i="20"/>
  <c r="I24" i="20"/>
  <c r="H24" i="20"/>
  <c r="G24" i="20"/>
  <c r="F24" i="20"/>
  <c r="E24" i="20"/>
  <c r="D24" i="20"/>
  <c r="C24" i="20"/>
  <c r="B24" i="20"/>
  <c r="L22" i="20"/>
  <c r="K22" i="20"/>
  <c r="J22" i="20"/>
  <c r="I22" i="20"/>
  <c r="H22" i="20"/>
  <c r="G22" i="20"/>
  <c r="F22" i="20"/>
  <c r="E22" i="20"/>
  <c r="D22" i="20"/>
  <c r="C22" i="20"/>
  <c r="B5" i="20" l="1"/>
  <c r="C5" i="20"/>
  <c r="D5" i="20"/>
  <c r="E5" i="20"/>
  <c r="F5" i="20"/>
  <c r="G5" i="20"/>
  <c r="H5" i="20"/>
  <c r="I5" i="20"/>
  <c r="J5" i="20"/>
  <c r="K5" i="20"/>
  <c r="L5" i="20"/>
  <c r="B6" i="20"/>
  <c r="C6" i="20"/>
  <c r="D6" i="20"/>
  <c r="E6" i="20"/>
  <c r="F6" i="20"/>
  <c r="G6" i="20"/>
  <c r="H6" i="20"/>
  <c r="I6" i="20"/>
  <c r="J6" i="20"/>
  <c r="K6" i="20"/>
  <c r="L6" i="20"/>
  <c r="B7" i="20"/>
  <c r="C7" i="20"/>
  <c r="D7" i="20"/>
  <c r="E7" i="20"/>
  <c r="F7" i="20"/>
  <c r="G7" i="20"/>
  <c r="H7" i="20"/>
  <c r="I7" i="20"/>
  <c r="J7" i="20"/>
  <c r="K7" i="20"/>
  <c r="L7" i="20"/>
  <c r="B9" i="20"/>
  <c r="C9" i="20"/>
  <c r="D9" i="20"/>
  <c r="E9" i="20"/>
  <c r="F9" i="20"/>
  <c r="G9" i="20"/>
  <c r="H9" i="20"/>
  <c r="I9" i="20"/>
  <c r="J9" i="20"/>
  <c r="K9" i="20"/>
  <c r="L9" i="20"/>
  <c r="B10" i="20"/>
  <c r="C10" i="20"/>
  <c r="D10" i="20"/>
  <c r="E10" i="20"/>
  <c r="F10" i="20"/>
  <c r="G10" i="20"/>
  <c r="H10" i="20"/>
  <c r="I10" i="20"/>
  <c r="J10" i="20"/>
  <c r="K10" i="20"/>
  <c r="L10" i="20"/>
  <c r="B11" i="20"/>
  <c r="C11" i="20"/>
  <c r="D11" i="20"/>
  <c r="E11" i="20"/>
  <c r="F11" i="20"/>
  <c r="G11" i="20"/>
  <c r="H11" i="20"/>
  <c r="I11" i="20"/>
  <c r="J11" i="20"/>
  <c r="K11" i="20"/>
  <c r="L11" i="20"/>
  <c r="B13" i="20"/>
  <c r="C13" i="20"/>
  <c r="D13" i="20"/>
  <c r="E13" i="20"/>
  <c r="F13" i="20"/>
  <c r="G13" i="20"/>
  <c r="H13" i="20"/>
  <c r="I13" i="20"/>
  <c r="J13" i="20"/>
  <c r="K13" i="20"/>
  <c r="L13" i="20"/>
  <c r="B14" i="20"/>
  <c r="C14" i="20"/>
  <c r="D14" i="20"/>
  <c r="E14" i="20"/>
  <c r="F14" i="20"/>
  <c r="G14" i="20"/>
  <c r="H14" i="20"/>
  <c r="I14" i="20"/>
  <c r="J14" i="20"/>
  <c r="K14" i="20"/>
  <c r="L14" i="20"/>
  <c r="B15" i="20"/>
  <c r="C15" i="20"/>
  <c r="D15" i="20"/>
  <c r="E15" i="20"/>
  <c r="F15" i="20"/>
  <c r="G15" i="20"/>
  <c r="H15" i="20"/>
  <c r="I15" i="20"/>
  <c r="J15" i="20"/>
  <c r="K15" i="20"/>
  <c r="L15" i="20"/>
  <c r="B16" i="20"/>
  <c r="C16" i="20"/>
  <c r="D16" i="20"/>
  <c r="E16" i="20"/>
  <c r="F16" i="20"/>
  <c r="G16" i="20"/>
  <c r="H16" i="20"/>
  <c r="I16" i="20"/>
  <c r="J16" i="20"/>
  <c r="K16" i="20"/>
  <c r="L16" i="20"/>
  <c r="B17" i="20"/>
  <c r="C17" i="20"/>
  <c r="D17" i="20"/>
  <c r="E17" i="20"/>
  <c r="F17" i="20"/>
  <c r="G17" i="20"/>
  <c r="H17" i="20"/>
  <c r="I17" i="20"/>
  <c r="J17" i="20"/>
  <c r="K17" i="20"/>
  <c r="L17" i="20"/>
  <c r="B18" i="20"/>
  <c r="C18" i="20"/>
  <c r="D18" i="20"/>
  <c r="E18" i="20"/>
  <c r="F18" i="20"/>
  <c r="G18" i="20"/>
  <c r="H18" i="20"/>
  <c r="I18" i="20"/>
  <c r="J18" i="20"/>
  <c r="K18" i="20"/>
  <c r="L18" i="20"/>
  <c r="B19" i="20"/>
  <c r="C19" i="20"/>
  <c r="D19" i="20"/>
  <c r="E19" i="20"/>
  <c r="F19" i="20"/>
  <c r="G19" i="20"/>
  <c r="H19" i="20"/>
  <c r="I19" i="20"/>
  <c r="J19" i="20"/>
  <c r="K19" i="20"/>
  <c r="L19" i="20"/>
  <c r="L3" i="20"/>
  <c r="K3" i="20"/>
  <c r="I3" i="20"/>
  <c r="J3" i="20"/>
  <c r="H3" i="20"/>
  <c r="G3" i="20"/>
  <c r="F3" i="20"/>
  <c r="E3" i="20"/>
  <c r="D3" i="20"/>
  <c r="C3" i="20"/>
  <c r="B3" i="20"/>
  <c r="C2" i="20"/>
  <c r="D2" i="20"/>
  <c r="E2" i="20"/>
  <c r="F2" i="20"/>
  <c r="G2" i="20"/>
  <c r="H2" i="20"/>
  <c r="I2" i="20"/>
  <c r="J2" i="20"/>
  <c r="K2" i="20"/>
  <c r="L2" i="20"/>
  <c r="B2" i="20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B6" i="21"/>
  <c r="C6" i="21"/>
  <c r="D6" i="21"/>
  <c r="E6" i="21"/>
  <c r="F6" i="21"/>
  <c r="G6" i="21"/>
  <c r="H6" i="21"/>
  <c r="I6" i="21"/>
  <c r="J6" i="21"/>
  <c r="K6" i="21"/>
  <c r="L6" i="21"/>
  <c r="B7" i="21"/>
  <c r="C7" i="21"/>
  <c r="D7" i="21"/>
  <c r="E7" i="21"/>
  <c r="F7" i="21"/>
  <c r="G7" i="21"/>
  <c r="H7" i="21"/>
  <c r="I7" i="21"/>
  <c r="J7" i="21"/>
  <c r="K7" i="21"/>
  <c r="L7" i="21"/>
  <c r="B8" i="21"/>
  <c r="C8" i="21"/>
  <c r="D8" i="21"/>
  <c r="E8" i="21"/>
  <c r="F8" i="21"/>
  <c r="G8" i="21"/>
  <c r="H8" i="21"/>
  <c r="I8" i="21"/>
  <c r="J8" i="21"/>
  <c r="K8" i="21"/>
  <c r="L8" i="21"/>
  <c r="B9" i="21"/>
  <c r="C9" i="21"/>
  <c r="D9" i="21"/>
  <c r="E9" i="21"/>
  <c r="F9" i="21"/>
  <c r="G9" i="21"/>
  <c r="H9" i="21"/>
  <c r="I9" i="21"/>
  <c r="J9" i="21"/>
  <c r="K9" i="21"/>
  <c r="L9" i="21"/>
  <c r="B10" i="21"/>
  <c r="C10" i="21"/>
  <c r="D10" i="21"/>
  <c r="E10" i="21"/>
  <c r="F10" i="21"/>
  <c r="G10" i="21"/>
  <c r="H10" i="21"/>
  <c r="I10" i="21"/>
  <c r="J10" i="21"/>
  <c r="K10" i="21"/>
  <c r="L10" i="21"/>
  <c r="B11" i="21"/>
  <c r="C11" i="21"/>
  <c r="D11" i="21"/>
  <c r="E11" i="21"/>
  <c r="F11" i="21"/>
  <c r="G11" i="21"/>
  <c r="H11" i="21"/>
  <c r="I11" i="21"/>
  <c r="J11" i="21"/>
  <c r="K11" i="21"/>
  <c r="L11" i="21"/>
  <c r="B12" i="21"/>
  <c r="C12" i="21"/>
  <c r="D12" i="21"/>
  <c r="E12" i="21"/>
  <c r="F12" i="21"/>
  <c r="G12" i="21"/>
  <c r="H12" i="21"/>
  <c r="I12" i="21"/>
  <c r="J12" i="21"/>
  <c r="K12" i="21"/>
  <c r="L12" i="21"/>
  <c r="B13" i="21"/>
  <c r="C13" i="21"/>
  <c r="D13" i="21"/>
  <c r="E13" i="21"/>
  <c r="F13" i="21"/>
  <c r="G13" i="21"/>
  <c r="H13" i="21"/>
  <c r="I13" i="21"/>
  <c r="J13" i="21"/>
  <c r="K13" i="21"/>
  <c r="L13" i="21"/>
  <c r="B14" i="21"/>
  <c r="C14" i="21"/>
  <c r="D14" i="21"/>
  <c r="E14" i="21"/>
  <c r="F14" i="21"/>
  <c r="G14" i="21"/>
  <c r="H14" i="21"/>
  <c r="I14" i="21"/>
  <c r="J14" i="21"/>
  <c r="K14" i="21"/>
  <c r="L14" i="21"/>
  <c r="B15" i="21"/>
  <c r="C15" i="21"/>
  <c r="D15" i="21"/>
  <c r="E15" i="21"/>
  <c r="F15" i="21"/>
  <c r="G15" i="21"/>
  <c r="H15" i="21"/>
  <c r="I15" i="21"/>
  <c r="J15" i="21"/>
  <c r="K15" i="21"/>
  <c r="L15" i="21"/>
  <c r="B16" i="21"/>
  <c r="C16" i="21"/>
  <c r="D16" i="21"/>
  <c r="E16" i="21"/>
  <c r="F16" i="21"/>
  <c r="G16" i="21"/>
  <c r="H16" i="21"/>
  <c r="I16" i="21"/>
  <c r="J16" i="21"/>
  <c r="K16" i="21"/>
  <c r="L16" i="21"/>
  <c r="B17" i="21"/>
  <c r="C17" i="21"/>
  <c r="D17" i="21"/>
  <c r="E17" i="21"/>
  <c r="F17" i="21"/>
  <c r="G17" i="21"/>
  <c r="H17" i="21"/>
  <c r="I17" i="21"/>
  <c r="J17" i="21"/>
  <c r="K17" i="21"/>
  <c r="L17" i="21"/>
  <c r="B18" i="21"/>
  <c r="C18" i="21"/>
  <c r="D18" i="21"/>
  <c r="E18" i="21"/>
  <c r="F18" i="21"/>
  <c r="G18" i="21"/>
  <c r="H18" i="21"/>
  <c r="I18" i="21"/>
  <c r="J18" i="21"/>
  <c r="K18" i="21"/>
  <c r="L18" i="21"/>
  <c r="B19" i="21"/>
  <c r="C19" i="21"/>
  <c r="D19" i="21"/>
  <c r="E19" i="21"/>
  <c r="F19" i="21"/>
  <c r="G19" i="21"/>
  <c r="H19" i="21"/>
  <c r="I19" i="21"/>
  <c r="J19" i="21"/>
  <c r="K19" i="21"/>
  <c r="L19" i="21"/>
  <c r="B20" i="21"/>
  <c r="C20" i="21"/>
  <c r="D20" i="21"/>
  <c r="E20" i="21"/>
  <c r="F20" i="21"/>
  <c r="G20" i="21"/>
  <c r="H20" i="21"/>
  <c r="I20" i="21"/>
  <c r="J20" i="21"/>
  <c r="K20" i="21"/>
  <c r="L20" i="21"/>
  <c r="B21" i="21"/>
  <c r="C21" i="21"/>
  <c r="D21" i="21"/>
  <c r="E21" i="21"/>
  <c r="F21" i="21"/>
  <c r="G21" i="21"/>
  <c r="H21" i="21"/>
  <c r="I21" i="21"/>
  <c r="J21" i="21"/>
  <c r="K21" i="21"/>
  <c r="L21" i="21"/>
  <c r="B22" i="21"/>
  <c r="C22" i="21"/>
  <c r="D22" i="21"/>
  <c r="E22" i="21"/>
  <c r="F22" i="21"/>
  <c r="G22" i="21"/>
  <c r="H22" i="21"/>
  <c r="I22" i="21"/>
  <c r="J22" i="21"/>
  <c r="K22" i="21"/>
  <c r="L22" i="21"/>
  <c r="B23" i="21"/>
  <c r="C23" i="21"/>
  <c r="D23" i="21"/>
  <c r="E23" i="21"/>
  <c r="F23" i="21"/>
  <c r="G23" i="21"/>
  <c r="H23" i="21"/>
  <c r="I23" i="21"/>
  <c r="J23" i="21"/>
  <c r="K23" i="21"/>
  <c r="L23" i="21"/>
  <c r="B24" i="21"/>
  <c r="C24" i="21"/>
  <c r="D24" i="21"/>
  <c r="E24" i="21"/>
  <c r="F24" i="21"/>
  <c r="G24" i="21"/>
  <c r="H24" i="21"/>
  <c r="I24" i="21"/>
  <c r="J24" i="21"/>
  <c r="K24" i="21"/>
  <c r="L24" i="21"/>
  <c r="B25" i="21"/>
  <c r="C25" i="21"/>
  <c r="D25" i="21"/>
  <c r="E25" i="21"/>
  <c r="F25" i="21"/>
  <c r="G25" i="21"/>
  <c r="H25" i="21"/>
  <c r="I25" i="21"/>
  <c r="J25" i="21"/>
  <c r="K25" i="21"/>
  <c r="L25" i="21"/>
  <c r="B26" i="21"/>
  <c r="C26" i="21"/>
  <c r="D26" i="21"/>
  <c r="E26" i="21"/>
  <c r="F26" i="21"/>
  <c r="G26" i="21"/>
  <c r="H26" i="21"/>
  <c r="I26" i="21"/>
  <c r="J26" i="21"/>
  <c r="K26" i="21"/>
  <c r="L26" i="21"/>
  <c r="B27" i="21"/>
  <c r="C27" i="21"/>
  <c r="D27" i="21"/>
  <c r="E27" i="21"/>
  <c r="F27" i="21"/>
  <c r="G27" i="21"/>
  <c r="H27" i="21"/>
  <c r="I27" i="21"/>
  <c r="J27" i="21"/>
  <c r="K27" i="21"/>
  <c r="L27" i="21"/>
  <c r="B28" i="21"/>
  <c r="C28" i="21"/>
  <c r="D28" i="21"/>
  <c r="E28" i="21"/>
  <c r="F28" i="21"/>
  <c r="G28" i="21"/>
  <c r="H28" i="21"/>
  <c r="I28" i="21"/>
  <c r="J28" i="21"/>
  <c r="K28" i="21"/>
  <c r="L28" i="21"/>
  <c r="B29" i="21"/>
  <c r="C29" i="21"/>
  <c r="D29" i="21"/>
  <c r="E29" i="21"/>
  <c r="F29" i="21"/>
  <c r="G29" i="21"/>
  <c r="H29" i="21"/>
  <c r="I29" i="21"/>
  <c r="J29" i="21"/>
  <c r="K29" i="21"/>
  <c r="L29" i="21"/>
  <c r="B30" i="21"/>
  <c r="C30" i="21"/>
  <c r="D30" i="21"/>
  <c r="E30" i="21"/>
  <c r="F30" i="21"/>
  <c r="G30" i="21"/>
  <c r="H30" i="21"/>
  <c r="I30" i="21"/>
  <c r="J30" i="21"/>
  <c r="K30" i="21"/>
  <c r="L30" i="21"/>
  <c r="B31" i="21"/>
  <c r="C31" i="21"/>
  <c r="D31" i="21"/>
  <c r="E31" i="21"/>
  <c r="F31" i="21"/>
  <c r="G31" i="21"/>
  <c r="H31" i="21"/>
  <c r="I31" i="21"/>
  <c r="J31" i="21"/>
  <c r="K31" i="21"/>
  <c r="L31" i="21"/>
  <c r="B32" i="21"/>
  <c r="C32" i="21"/>
  <c r="D32" i="21"/>
  <c r="E32" i="21"/>
  <c r="F32" i="21"/>
  <c r="G32" i="21"/>
  <c r="H32" i="21"/>
  <c r="I32" i="21"/>
  <c r="J32" i="21"/>
  <c r="K32" i="21"/>
  <c r="L32" i="21"/>
  <c r="B33" i="21"/>
  <c r="C33" i="21"/>
  <c r="D33" i="21"/>
  <c r="E33" i="21"/>
  <c r="F33" i="21"/>
  <c r="G33" i="21"/>
  <c r="H33" i="21"/>
  <c r="I33" i="21"/>
  <c r="J33" i="21"/>
  <c r="K33" i="21"/>
  <c r="L33" i="21"/>
  <c r="B34" i="21"/>
  <c r="C34" i="21"/>
  <c r="D34" i="21"/>
  <c r="E34" i="21"/>
  <c r="F34" i="21"/>
  <c r="G34" i="21"/>
  <c r="H34" i="21"/>
  <c r="I34" i="21"/>
  <c r="J34" i="21"/>
  <c r="K34" i="21"/>
  <c r="L34" i="21"/>
  <c r="B35" i="21"/>
  <c r="C35" i="21"/>
  <c r="D35" i="21"/>
  <c r="E35" i="21"/>
  <c r="F35" i="21"/>
  <c r="G35" i="21"/>
  <c r="H35" i="21"/>
  <c r="I35" i="21"/>
  <c r="J35" i="21"/>
  <c r="K35" i="21"/>
  <c r="L35" i="21"/>
  <c r="B36" i="21"/>
  <c r="C36" i="21"/>
  <c r="D36" i="21"/>
  <c r="E36" i="21"/>
  <c r="F36" i="21"/>
  <c r="G36" i="21"/>
  <c r="H36" i="21"/>
  <c r="I36" i="21"/>
  <c r="J36" i="21"/>
  <c r="K36" i="21"/>
  <c r="L36" i="21"/>
  <c r="B37" i="21"/>
  <c r="C37" i="21"/>
  <c r="D37" i="21"/>
  <c r="E37" i="21"/>
  <c r="F37" i="21"/>
  <c r="G37" i="21"/>
  <c r="H37" i="21"/>
  <c r="I37" i="21"/>
  <c r="J37" i="21"/>
  <c r="K37" i="21"/>
  <c r="L37" i="21"/>
  <c r="B38" i="21"/>
  <c r="C38" i="21"/>
  <c r="D38" i="21"/>
  <c r="E38" i="21"/>
  <c r="F38" i="21"/>
  <c r="G38" i="21"/>
  <c r="H38" i="21"/>
  <c r="I38" i="21"/>
  <c r="J38" i="21"/>
  <c r="K38" i="21"/>
  <c r="L38" i="21"/>
  <c r="B39" i="21"/>
  <c r="C39" i="21"/>
  <c r="D39" i="21"/>
  <c r="E39" i="21"/>
  <c r="F39" i="21"/>
  <c r="G39" i="21"/>
  <c r="H39" i="21"/>
  <c r="I39" i="21"/>
  <c r="J39" i="21"/>
  <c r="K39" i="21"/>
  <c r="L39" i="21"/>
  <c r="B40" i="21"/>
  <c r="C40" i="21"/>
  <c r="D40" i="21"/>
  <c r="E40" i="21"/>
  <c r="F40" i="21"/>
  <c r="G40" i="21"/>
  <c r="H40" i="21"/>
  <c r="I40" i="21"/>
  <c r="J40" i="21"/>
  <c r="K40" i="21"/>
  <c r="L40" i="21"/>
  <c r="B41" i="21"/>
  <c r="C41" i="21"/>
  <c r="D41" i="21"/>
  <c r="E41" i="21"/>
  <c r="F41" i="21"/>
  <c r="G41" i="21"/>
  <c r="H41" i="21"/>
  <c r="I41" i="21"/>
  <c r="J41" i="21"/>
  <c r="K41" i="21"/>
  <c r="L41" i="21"/>
  <c r="B43" i="21"/>
  <c r="C43" i="21"/>
  <c r="D43" i="21"/>
  <c r="E43" i="21"/>
  <c r="F43" i="21"/>
  <c r="G43" i="21"/>
  <c r="H43" i="21"/>
  <c r="I43" i="21"/>
  <c r="J43" i="21"/>
  <c r="K43" i="21"/>
  <c r="L43" i="21"/>
  <c r="L4" i="21"/>
  <c r="K4" i="21"/>
  <c r="J4" i="21"/>
  <c r="H4" i="21"/>
  <c r="G4" i="21"/>
  <c r="F4" i="21"/>
  <c r="E4" i="21"/>
  <c r="D4" i="21"/>
  <c r="C4" i="21"/>
  <c r="B4" i="21"/>
  <c r="I4" i="21" l="1"/>
  <c r="U43" i="21"/>
  <c r="T43" i="21"/>
  <c r="S43" i="21"/>
  <c r="R43" i="21"/>
  <c r="Q43" i="21"/>
  <c r="P43" i="21"/>
  <c r="O43" i="21"/>
  <c r="N43" i="21"/>
  <c r="M43" i="21"/>
  <c r="U41" i="21"/>
  <c r="T41" i="21"/>
  <c r="S41" i="21"/>
  <c r="R41" i="21"/>
  <c r="Q41" i="21"/>
  <c r="P41" i="21"/>
  <c r="O41" i="21"/>
  <c r="N41" i="21"/>
  <c r="M41" i="21"/>
  <c r="U40" i="21"/>
  <c r="T40" i="21"/>
  <c r="S40" i="21"/>
  <c r="R40" i="21"/>
  <c r="Q40" i="21"/>
  <c r="P40" i="21"/>
  <c r="O40" i="21"/>
  <c r="N40" i="21"/>
  <c r="M40" i="21"/>
  <c r="U39" i="21"/>
  <c r="T39" i="21"/>
  <c r="S39" i="21"/>
  <c r="R39" i="21"/>
  <c r="Q39" i="21"/>
  <c r="P39" i="21"/>
  <c r="O39" i="21"/>
  <c r="N39" i="21"/>
  <c r="M39" i="21"/>
  <c r="U38" i="21"/>
  <c r="T38" i="21"/>
  <c r="S38" i="21"/>
  <c r="R38" i="21"/>
  <c r="Q38" i="21"/>
  <c r="P38" i="21"/>
  <c r="O38" i="21"/>
  <c r="N38" i="21"/>
  <c r="M38" i="21"/>
  <c r="U37" i="21"/>
  <c r="T37" i="21"/>
  <c r="S37" i="21"/>
  <c r="R37" i="21"/>
  <c r="Q37" i="21"/>
  <c r="P37" i="21"/>
  <c r="O37" i="21"/>
  <c r="N37" i="21"/>
  <c r="M37" i="21"/>
  <c r="U36" i="21"/>
  <c r="T36" i="21"/>
  <c r="S36" i="21"/>
  <c r="R36" i="21"/>
  <c r="Q36" i="21"/>
  <c r="P36" i="21"/>
  <c r="O36" i="21"/>
  <c r="N36" i="21"/>
  <c r="M36" i="21"/>
  <c r="U35" i="21"/>
  <c r="T35" i="21"/>
  <c r="S35" i="21"/>
  <c r="R35" i="21"/>
  <c r="Q35" i="21"/>
  <c r="P35" i="21"/>
  <c r="O35" i="21"/>
  <c r="N35" i="21"/>
  <c r="M35" i="21"/>
  <c r="U34" i="21"/>
  <c r="T34" i="21"/>
  <c r="S34" i="21"/>
  <c r="R34" i="21"/>
  <c r="Q34" i="21"/>
  <c r="P34" i="21"/>
  <c r="O34" i="21"/>
  <c r="N34" i="21"/>
  <c r="M34" i="21"/>
  <c r="U33" i="21"/>
  <c r="T33" i="21"/>
  <c r="S33" i="21"/>
  <c r="R33" i="21"/>
  <c r="Q33" i="21"/>
  <c r="P33" i="21"/>
  <c r="O33" i="21"/>
  <c r="N33" i="21"/>
  <c r="M33" i="21"/>
  <c r="U32" i="21"/>
  <c r="T32" i="21"/>
  <c r="S32" i="21"/>
  <c r="R32" i="21"/>
  <c r="Q32" i="21"/>
  <c r="P32" i="21"/>
  <c r="O32" i="21"/>
  <c r="N32" i="21"/>
  <c r="M32" i="21"/>
  <c r="U31" i="21"/>
  <c r="T31" i="21"/>
  <c r="S31" i="21"/>
  <c r="R31" i="21"/>
  <c r="Q31" i="21"/>
  <c r="P31" i="21"/>
  <c r="O31" i="21"/>
  <c r="N31" i="21"/>
  <c r="M31" i="21"/>
  <c r="U30" i="21"/>
  <c r="T30" i="21"/>
  <c r="S30" i="21"/>
  <c r="R30" i="21"/>
  <c r="Q30" i="21"/>
  <c r="P30" i="21"/>
  <c r="O30" i="21"/>
  <c r="N30" i="21"/>
  <c r="M30" i="21"/>
  <c r="U29" i="21"/>
  <c r="T29" i="21"/>
  <c r="S29" i="21"/>
  <c r="R29" i="21"/>
  <c r="Q29" i="21"/>
  <c r="P29" i="21"/>
  <c r="O29" i="21"/>
  <c r="N29" i="21"/>
  <c r="M29" i="21"/>
  <c r="U28" i="21"/>
  <c r="T28" i="21"/>
  <c r="S28" i="21"/>
  <c r="R28" i="21"/>
  <c r="Q28" i="21"/>
  <c r="P28" i="21"/>
  <c r="O28" i="21"/>
  <c r="N28" i="21"/>
  <c r="M28" i="21"/>
  <c r="U27" i="21"/>
  <c r="T27" i="21"/>
  <c r="S27" i="21"/>
  <c r="R27" i="21"/>
  <c r="Q27" i="21"/>
  <c r="P27" i="21"/>
  <c r="O27" i="21"/>
  <c r="N27" i="21"/>
  <c r="M27" i="21"/>
  <c r="U26" i="21"/>
  <c r="T26" i="21"/>
  <c r="S26" i="21"/>
  <c r="R26" i="21"/>
  <c r="Q26" i="21"/>
  <c r="P26" i="21"/>
  <c r="O26" i="21"/>
  <c r="N26" i="21"/>
  <c r="M26" i="21"/>
  <c r="U25" i="21"/>
  <c r="T25" i="21"/>
  <c r="S25" i="21"/>
  <c r="R25" i="21"/>
  <c r="Q25" i="21"/>
  <c r="P25" i="21"/>
  <c r="O25" i="21"/>
  <c r="N25" i="21"/>
  <c r="M25" i="21"/>
  <c r="U24" i="21"/>
  <c r="T24" i="21"/>
  <c r="S24" i="21"/>
  <c r="R24" i="21"/>
  <c r="Q24" i="21"/>
  <c r="P24" i="21"/>
  <c r="O24" i="21"/>
  <c r="N24" i="21"/>
  <c r="M24" i="21"/>
  <c r="U23" i="21"/>
  <c r="T23" i="21"/>
  <c r="S23" i="21"/>
  <c r="R23" i="21"/>
  <c r="Q23" i="21"/>
  <c r="P23" i="21"/>
  <c r="O23" i="21"/>
  <c r="N23" i="21"/>
  <c r="M23" i="21"/>
  <c r="U22" i="21"/>
  <c r="T22" i="21"/>
  <c r="S22" i="21"/>
  <c r="R22" i="21"/>
  <c r="Q22" i="21"/>
  <c r="P22" i="21"/>
  <c r="O22" i="21"/>
  <c r="N22" i="21"/>
  <c r="M22" i="21"/>
  <c r="U21" i="21"/>
  <c r="T21" i="21"/>
  <c r="S21" i="21"/>
  <c r="R21" i="21"/>
  <c r="Q21" i="21"/>
  <c r="P21" i="21"/>
  <c r="O21" i="21"/>
  <c r="N21" i="21"/>
  <c r="M21" i="21"/>
  <c r="U20" i="21"/>
  <c r="T20" i="21"/>
  <c r="S20" i="21"/>
  <c r="R20" i="21"/>
  <c r="Q20" i="21"/>
  <c r="P20" i="21"/>
  <c r="O20" i="21"/>
  <c r="N20" i="21"/>
  <c r="M20" i="21"/>
  <c r="U19" i="21"/>
  <c r="T19" i="21"/>
  <c r="S19" i="21"/>
  <c r="R19" i="21"/>
  <c r="Q19" i="21"/>
  <c r="P19" i="21"/>
  <c r="O19" i="21"/>
  <c r="N19" i="21"/>
  <c r="M19" i="21"/>
  <c r="U18" i="21"/>
  <c r="T18" i="21"/>
  <c r="S18" i="21"/>
  <c r="R18" i="21"/>
  <c r="Q18" i="21"/>
  <c r="P18" i="21"/>
  <c r="O18" i="21"/>
  <c r="N18" i="21"/>
  <c r="M18" i="21"/>
  <c r="U17" i="21"/>
  <c r="T17" i="21"/>
  <c r="S17" i="21"/>
  <c r="R17" i="21"/>
  <c r="Q17" i="21"/>
  <c r="P17" i="21"/>
  <c r="O17" i="21"/>
  <c r="N17" i="21"/>
  <c r="M17" i="21"/>
  <c r="U16" i="21"/>
  <c r="T16" i="21"/>
  <c r="S16" i="21"/>
  <c r="R16" i="21"/>
  <c r="Q16" i="21"/>
  <c r="P16" i="21"/>
  <c r="O16" i="21"/>
  <c r="N16" i="21"/>
  <c r="M16" i="21"/>
  <c r="U15" i="21"/>
  <c r="T15" i="21"/>
  <c r="S15" i="21"/>
  <c r="R15" i="21"/>
  <c r="Q15" i="21"/>
  <c r="P15" i="21"/>
  <c r="O15" i="21"/>
  <c r="N15" i="21"/>
  <c r="M15" i="21"/>
  <c r="U14" i="21"/>
  <c r="T14" i="21"/>
  <c r="S14" i="21"/>
  <c r="R14" i="21"/>
  <c r="Q14" i="21"/>
  <c r="P14" i="21"/>
  <c r="O14" i="21"/>
  <c r="N14" i="21"/>
  <c r="M14" i="21"/>
  <c r="U13" i="21"/>
  <c r="T13" i="21"/>
  <c r="S13" i="21"/>
  <c r="R13" i="21"/>
  <c r="Q13" i="21"/>
  <c r="P13" i="21"/>
  <c r="O13" i="21"/>
  <c r="N13" i="21"/>
  <c r="M13" i="21"/>
  <c r="U12" i="21"/>
  <c r="T12" i="21"/>
  <c r="S12" i="21"/>
  <c r="R12" i="21"/>
  <c r="Q12" i="21"/>
  <c r="P12" i="21"/>
  <c r="O12" i="21"/>
  <c r="N12" i="21"/>
  <c r="M12" i="21"/>
  <c r="U11" i="21"/>
  <c r="T11" i="21"/>
  <c r="S11" i="21"/>
  <c r="R11" i="21"/>
  <c r="Q11" i="21"/>
  <c r="P11" i="21"/>
  <c r="O11" i="21"/>
  <c r="N11" i="21"/>
  <c r="M11" i="21"/>
  <c r="U10" i="21"/>
  <c r="T10" i="21"/>
  <c r="S10" i="21"/>
  <c r="R10" i="21"/>
  <c r="Q10" i="21"/>
  <c r="P10" i="21"/>
  <c r="O10" i="21"/>
  <c r="N10" i="21"/>
  <c r="M10" i="21"/>
  <c r="U9" i="21"/>
  <c r="T9" i="21"/>
  <c r="S9" i="21"/>
  <c r="R9" i="21"/>
  <c r="Q9" i="21"/>
  <c r="P9" i="21"/>
  <c r="O9" i="21"/>
  <c r="N9" i="21"/>
  <c r="M9" i="21"/>
  <c r="U8" i="21"/>
  <c r="T8" i="21"/>
  <c r="S8" i="21"/>
  <c r="R8" i="21"/>
  <c r="Q8" i="21"/>
  <c r="P8" i="21"/>
  <c r="O8" i="21"/>
  <c r="N8" i="21"/>
  <c r="M8" i="21"/>
  <c r="U7" i="21"/>
  <c r="T7" i="21"/>
  <c r="S7" i="21"/>
  <c r="R7" i="21"/>
  <c r="Q7" i="21"/>
  <c r="P7" i="21"/>
  <c r="O7" i="21"/>
  <c r="N7" i="21"/>
  <c r="M7" i="21"/>
  <c r="U6" i="21"/>
  <c r="T6" i="21"/>
  <c r="S6" i="21"/>
  <c r="R6" i="21"/>
  <c r="Q6" i="21"/>
  <c r="P6" i="21"/>
  <c r="O6" i="21"/>
  <c r="N6" i="21"/>
  <c r="M6" i="21"/>
  <c r="U4" i="21"/>
  <c r="T4" i="21"/>
  <c r="S4" i="21"/>
  <c r="R4" i="21"/>
  <c r="Q4" i="21"/>
  <c r="P4" i="21"/>
  <c r="O4" i="21"/>
  <c r="N4" i="21"/>
  <c r="M4" i="21"/>
  <c r="CG28" i="19" l="1"/>
  <c r="CH28" i="19"/>
  <c r="CG30" i="19"/>
  <c r="CH30" i="19"/>
  <c r="CG31" i="19"/>
  <c r="CH31" i="19"/>
  <c r="CG32" i="19"/>
  <c r="CH32" i="19"/>
  <c r="CG34" i="19"/>
  <c r="CH34" i="19"/>
  <c r="CG35" i="19"/>
  <c r="CH35" i="19"/>
  <c r="CG36" i="19"/>
  <c r="CH36" i="19"/>
  <c r="CG38" i="19"/>
  <c r="CH38" i="19"/>
  <c r="CG39" i="19"/>
  <c r="CH39" i="19"/>
  <c r="CG40" i="19"/>
  <c r="CH40" i="19"/>
  <c r="CG41" i="19"/>
  <c r="CH41" i="19"/>
  <c r="CG42" i="19"/>
  <c r="CH42" i="19"/>
  <c r="CG43" i="19"/>
  <c r="CH43" i="19"/>
  <c r="CG44" i="19"/>
  <c r="CH44" i="19"/>
  <c r="CF30" i="19"/>
  <c r="CF31" i="19"/>
  <c r="CF32" i="19"/>
  <c r="CF34" i="19"/>
  <c r="CF35" i="19"/>
  <c r="CF36" i="19"/>
  <c r="CF38" i="19"/>
  <c r="CF39" i="19"/>
  <c r="CF40" i="19"/>
  <c r="CF41" i="19"/>
  <c r="CF42" i="19"/>
  <c r="CF43" i="19"/>
  <c r="CF44" i="19"/>
  <c r="CF28" i="19"/>
  <c r="CE9" i="18" l="1"/>
  <c r="CE10" i="18"/>
  <c r="CE11" i="18"/>
  <c r="CE13" i="18"/>
  <c r="CE14" i="18"/>
  <c r="CE15" i="18"/>
  <c r="CE17" i="18"/>
  <c r="CE18" i="18"/>
  <c r="CE19" i="18"/>
  <c r="CE20" i="18"/>
  <c r="CE21" i="18"/>
  <c r="CE22" i="18"/>
  <c r="CE23" i="18"/>
  <c r="CE7" i="18"/>
  <c r="B49" i="11"/>
  <c r="B48" i="16"/>
  <c r="D5" i="16"/>
  <c r="B4" i="16"/>
  <c r="B48" i="15"/>
  <c r="B48" i="14"/>
  <c r="B3" i="14"/>
  <c r="B48" i="13"/>
  <c r="D5" i="13"/>
  <c r="B48" i="12"/>
  <c r="B3" i="12"/>
  <c r="D5" i="11"/>
  <c r="B49" i="16" l="1"/>
  <c r="B49" i="12"/>
  <c r="B49" i="15"/>
  <c r="B49" i="14"/>
  <c r="B49" i="13"/>
</calcChain>
</file>

<file path=xl/sharedStrings.xml><?xml version="1.0" encoding="utf-8"?>
<sst xmlns="http://schemas.openxmlformats.org/spreadsheetml/2006/main" count="1927" uniqueCount="313">
  <si>
    <t>Table A</t>
  </si>
  <si>
    <t>Macro-economic aggregates</t>
  </si>
  <si>
    <t>Gross Domestic Product (Frw billions)</t>
  </si>
  <si>
    <t>GDP at current prices</t>
  </si>
  <si>
    <t>Growth rate</t>
  </si>
  <si>
    <t>GDP at constant 2024 prices</t>
  </si>
  <si>
    <t xml:space="preserve">Implicit GDP deflator </t>
  </si>
  <si>
    <t>GDP per head (in '000 Frw)</t>
  </si>
  <si>
    <t>GDP per head (in current US dollars)</t>
  </si>
  <si>
    <t>Proportions of GDP</t>
  </si>
  <si>
    <t>Total final consumption expenditure</t>
  </si>
  <si>
    <t xml:space="preserve">    Government</t>
  </si>
  <si>
    <t xml:space="preserve">    Private</t>
  </si>
  <si>
    <t>Gross capital formation</t>
  </si>
  <si>
    <t>Resource balance</t>
  </si>
  <si>
    <t>Value added by</t>
  </si>
  <si>
    <t xml:space="preserve">   Agriculture</t>
  </si>
  <si>
    <t xml:space="preserve">   Industry</t>
  </si>
  <si>
    <t xml:space="preserve">   Services</t>
  </si>
  <si>
    <t xml:space="preserve">   Adjustments</t>
  </si>
  <si>
    <t>National income and expenditure (Frw billions)</t>
  </si>
  <si>
    <t>Gross Domestic Product at current prices</t>
  </si>
  <si>
    <t>Factor income from abroad, net</t>
  </si>
  <si>
    <t>Gross National Income</t>
  </si>
  <si>
    <t>Current transfers, net</t>
  </si>
  <si>
    <t>Gross National Disposible Income</t>
  </si>
  <si>
    <t>Less Final consumption expenditure</t>
  </si>
  <si>
    <t>Gross National Saving</t>
  </si>
  <si>
    <t>Less Gross capital formation</t>
  </si>
  <si>
    <t>Net lending to the rest of the world</t>
  </si>
  <si>
    <t>Memorandum items</t>
  </si>
  <si>
    <t>Total population (millions)</t>
  </si>
  <si>
    <t>Exchange rate: Frw per US dollar</t>
  </si>
  <si>
    <r>
      <rPr>
        <b/>
        <i/>
        <sz val="9"/>
        <rFont val="Cambria"/>
        <family val="1"/>
        <scheme val="major"/>
      </rPr>
      <t>Source:</t>
    </r>
    <r>
      <rPr>
        <i/>
        <sz val="9"/>
        <rFont val="Cambria"/>
        <family val="1"/>
        <scheme val="major"/>
      </rPr>
      <t xml:space="preserve"> National Institute of Statistics of Rwanda</t>
    </r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</si>
  <si>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</si>
  <si>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</si>
  <si>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</si>
  <si>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</si>
  <si>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</si>
  <si>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</si>
  <si>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</si>
  <si>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</si>
  <si>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</si>
  <si>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</si>
  <si>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</si>
  <si>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</si>
  <si>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</si>
  <si>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</si>
  <si>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</si>
  <si>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</si>
  <si>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</si>
  <si>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</si>
  <si>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</si>
  <si>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</si>
  <si>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</si>
  <si>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</si>
  <si>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</si>
  <si>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</si>
  <si>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</si>
  <si>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</si>
  <si>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</si>
  <si>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</si>
  <si>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</si>
  <si>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</si>
  <si>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</si>
  <si>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</si>
  <si>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</si>
  <si>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</si>
  <si>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</si>
  <si>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</si>
  <si>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</si>
  <si>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</si>
  <si>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</si>
  <si>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</si>
  <si>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</si>
  <si>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</si>
  <si>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</si>
  <si>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</si>
  <si>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</si>
  <si>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</si>
  <si>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</si>
  <si>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</si>
  <si>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</si>
  <si>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</si>
  <si>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</si>
  <si>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</si>
  <si>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</si>
  <si>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</si>
  <si>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</si>
  <si>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</si>
  <si>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</si>
  <si>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</si>
  <si>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</si>
  <si>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</si>
  <si>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</si>
  <si>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</si>
  <si>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</si>
  <si>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</si>
  <si>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</si>
  <si>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</si>
  <si>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</si>
  <si>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</si>
  <si>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</si>
  <si>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</si>
  <si>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</si>
  <si>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</si>
  <si>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</si>
  <si>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</si>
  <si>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</si>
  <si>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</si>
  <si>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</si>
  <si>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</si>
  <si>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</si>
  <si>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Table 4</t>
  </si>
  <si>
    <t>Expenditure on GDP</t>
  </si>
  <si>
    <t xml:space="preserve">  ( in billion Frw)      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</si>
  <si>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</si>
  <si>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</si>
  <si>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</si>
  <si>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</si>
  <si>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</si>
  <si>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</si>
  <si>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</si>
  <si>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</si>
  <si>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</si>
  <si>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</si>
  <si>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</si>
  <si>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</si>
  <si>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</si>
  <si>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</si>
  <si>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</si>
  <si>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</si>
  <si>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</si>
  <si>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</si>
  <si>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</si>
  <si>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</si>
  <si>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</si>
  <si>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</si>
  <si>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</si>
  <si>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</si>
  <si>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</si>
  <si>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</si>
  <si>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</si>
  <si>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</si>
  <si>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</si>
  <si>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</si>
  <si>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</si>
  <si>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</si>
  <si>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 xml:space="preserve">     In current prices       </t>
  </si>
  <si>
    <t>Gross Domestic Product</t>
  </si>
  <si>
    <t xml:space="preserve">    Households and NGOs</t>
  </si>
  <si>
    <t xml:space="preserve">       Construction</t>
  </si>
  <si>
    <t xml:space="preserve">       Other</t>
  </si>
  <si>
    <t xml:space="preserve">    Exports of goods &amp; services</t>
  </si>
  <si>
    <t xml:space="preserve">        Goods (fob)</t>
  </si>
  <si>
    <t xml:space="preserve">         Services</t>
  </si>
  <si>
    <t xml:space="preserve">    Imports of goods &amp; services</t>
  </si>
  <si>
    <t xml:space="preserve">     In constant prices    </t>
  </si>
  <si>
    <r>
      <rPr>
        <b/>
        <i/>
        <sz val="9"/>
        <rFont val="Cambria"/>
        <family val="1"/>
      </rPr>
      <t>Source:</t>
    </r>
    <r>
      <rPr>
        <i/>
        <sz val="9"/>
        <rFont val="Cambria"/>
        <family val="1"/>
      </rPr>
      <t xml:space="preserve"> National Institute of Statistics of Rwanda</t>
    </r>
  </si>
  <si>
    <t>Deflators</t>
  </si>
  <si>
    <t>Table 4a</t>
  </si>
  <si>
    <t xml:space="preserve">Percentage of GDP, in current prices       </t>
  </si>
  <si>
    <t xml:space="preserve">Growth rates, in constant prices    </t>
  </si>
  <si>
    <t/>
  </si>
  <si>
    <t>Table 1</t>
  </si>
  <si>
    <t>Gross Domestic Product by Kind of Activity</t>
  </si>
  <si>
    <t>at current prices</t>
  </si>
  <si>
    <t>(in billion Rwf)</t>
  </si>
  <si>
    <t>Base year</t>
  </si>
  <si>
    <t>Activity description</t>
  </si>
  <si>
    <t>ISIC4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</si>
  <si>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</si>
  <si>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</si>
  <si>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</si>
  <si>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</si>
  <si>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</si>
  <si>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</si>
  <si>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</si>
  <si>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</si>
  <si>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</si>
  <si>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</si>
  <si>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</si>
  <si>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</si>
  <si>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</si>
  <si>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</si>
  <si>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</si>
  <si>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</si>
  <si>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</si>
  <si>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</si>
  <si>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</si>
  <si>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</si>
  <si>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</si>
  <si>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</si>
  <si>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</si>
  <si>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</si>
  <si>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</si>
  <si>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</si>
  <si>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</si>
  <si>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</si>
  <si>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</si>
  <si>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</si>
  <si>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</si>
  <si>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</si>
  <si>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</si>
  <si>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</si>
  <si>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</si>
  <si>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</si>
  <si>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</si>
  <si>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</si>
  <si>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</si>
  <si>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</si>
  <si>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</si>
  <si>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</si>
  <si>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</si>
  <si>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</si>
  <si>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</si>
  <si>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</si>
  <si>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</si>
  <si>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SUT</t>
  </si>
  <si>
    <t>GROSS DOMESTIC PRODUCT (GDP)</t>
  </si>
  <si>
    <t>KP</t>
  </si>
  <si>
    <t>Check KP=CP</t>
  </si>
  <si>
    <t>AGRICULTURE, FORESTRY &amp; FISHING</t>
  </si>
  <si>
    <t>A</t>
  </si>
  <si>
    <t>Food crops</t>
  </si>
  <si>
    <t>AA</t>
  </si>
  <si>
    <t>Export crops</t>
  </si>
  <si>
    <t>AB</t>
  </si>
  <si>
    <t>Livestock &amp; livestock products</t>
  </si>
  <si>
    <t>AC</t>
  </si>
  <si>
    <t>Forestry</t>
  </si>
  <si>
    <t>AD</t>
  </si>
  <si>
    <t>Fishing</t>
  </si>
  <si>
    <t>AE</t>
  </si>
  <si>
    <t>INDUSTRY</t>
  </si>
  <si>
    <t>B-F</t>
  </si>
  <si>
    <t>Mining &amp; quarrying</t>
  </si>
  <si>
    <t>B</t>
  </si>
  <si>
    <t>TOTAL MANUFACTURING</t>
  </si>
  <si>
    <t>C</t>
  </si>
  <si>
    <t>Of which: Food</t>
  </si>
  <si>
    <t>CA</t>
  </si>
  <si>
    <t xml:space="preserve">              Beverages &amp; tobacco</t>
  </si>
  <si>
    <t>CB</t>
  </si>
  <si>
    <t xml:space="preserve">             Textiles, clothing &amp; leather goods</t>
  </si>
  <si>
    <t>CC</t>
  </si>
  <si>
    <t xml:space="preserve">             Wood &amp; paper; printing</t>
  </si>
  <si>
    <t>CD</t>
  </si>
  <si>
    <t xml:space="preserve">             Chemicals, rubber &amp; plastic products</t>
  </si>
  <si>
    <t>CE</t>
  </si>
  <si>
    <t xml:space="preserve">             Non-metallic mineral products</t>
  </si>
  <si>
    <t>CF</t>
  </si>
  <si>
    <t xml:space="preserve">             Metal products, machinery &amp; equipment</t>
  </si>
  <si>
    <t>CG</t>
  </si>
  <si>
    <t xml:space="preserve">             Furniture &amp; other manufacturing </t>
  </si>
  <si>
    <t>CH</t>
  </si>
  <si>
    <t>Electricity</t>
  </si>
  <si>
    <t>D</t>
  </si>
  <si>
    <t>Water &amp; waste management</t>
  </si>
  <si>
    <t>E</t>
  </si>
  <si>
    <t>Construction</t>
  </si>
  <si>
    <t>F</t>
  </si>
  <si>
    <t>SERVICES</t>
  </si>
  <si>
    <t>G-T</t>
  </si>
  <si>
    <t>TRADE &amp;TRANSPORT</t>
  </si>
  <si>
    <t>G-H</t>
  </si>
  <si>
    <t>Maintenance &amp; repair of motor vehicles</t>
  </si>
  <si>
    <t>GA</t>
  </si>
  <si>
    <t>Wholesale &amp; retail trade</t>
  </si>
  <si>
    <t>GB</t>
  </si>
  <si>
    <t>Transport</t>
  </si>
  <si>
    <t>HA</t>
  </si>
  <si>
    <t>OTHER SERVICES</t>
  </si>
  <si>
    <t>I-T</t>
  </si>
  <si>
    <t>Hotels &amp; restaurants</t>
  </si>
  <si>
    <t>I</t>
  </si>
  <si>
    <t>Information &amp; communication</t>
  </si>
  <si>
    <t>J</t>
  </si>
  <si>
    <t>Financial services</t>
  </si>
  <si>
    <t>K</t>
  </si>
  <si>
    <t>Real estate activities</t>
  </si>
  <si>
    <t>L</t>
  </si>
  <si>
    <t>Professional, scientific &amp; technical activities</t>
  </si>
  <si>
    <t>M</t>
  </si>
  <si>
    <t>Administrative &amp; support service activities</t>
  </si>
  <si>
    <t>N</t>
  </si>
  <si>
    <t>Public administration &amp; defense; compulsory social security</t>
  </si>
  <si>
    <t>O</t>
  </si>
  <si>
    <t>Education</t>
  </si>
  <si>
    <t>P</t>
  </si>
  <si>
    <t>Human health &amp; social work activities</t>
  </si>
  <si>
    <t>Q</t>
  </si>
  <si>
    <t>Cultural, domestic &amp; other services</t>
  </si>
  <si>
    <t>R-T</t>
  </si>
  <si>
    <t>Taxes less subsidies on products</t>
  </si>
  <si>
    <t>Table 2</t>
  </si>
  <si>
    <t>(in billion Frw)</t>
  </si>
  <si>
    <t>Table 1A</t>
  </si>
  <si>
    <t>Shares at current prices</t>
  </si>
  <si>
    <t>(Percentages)</t>
  </si>
  <si>
    <t>Table 2A</t>
  </si>
  <si>
    <t>(Percentage change from the previous year)</t>
  </si>
  <si>
    <t>Table 2B</t>
  </si>
  <si>
    <t>Contribution to the growth rates</t>
  </si>
  <si>
    <t>(Percentage point)</t>
  </si>
  <si>
    <t>Table 3</t>
  </si>
  <si>
    <t>Contributions</t>
  </si>
  <si>
    <t>Constant prices</t>
  </si>
  <si>
    <t xml:space="preserve">     In Constant Prices       </t>
  </si>
  <si>
    <t>GDP-Deflator</t>
  </si>
  <si>
    <t>GDP-KP</t>
  </si>
  <si>
    <t>GDP-CP</t>
  </si>
  <si>
    <t>Shares to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</si>
</sst>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\ _F_-;\-* #,##0\ _F_-;_-* &quot;-&quot;??\ _F_-;_-@_-"/>
    <numFmt numFmtId="165" formatCode="#,##0;[Red]#,##0"/>
    <numFmt numFmtId="166" formatCode="0.0%"/>
    <numFmt numFmtId="167" formatCode="#,##0.0_ ;[Red]\-#,##0.0\ "/>
    <numFmt numFmtId="168" formatCode="#,##0_ ;[Red]\-#,##0\ "/>
    <numFmt numFmtId="169" formatCode="#,##0.0;[Red]#,##0.0"/>
    <numFmt numFmtId="170" formatCode="[$-409]mmmm\ d\,\ yyyy;@"/>
    <numFmt numFmtId="171" formatCode="#,##0.0"/>
    <numFmt numFmtId="172" formatCode="_-* #,##0.000\ _F_-;\-* #,##0.000\ _F_-;_-* &quot;-&quot;??\ _F_-;_-@_-"/>
    <numFmt numFmtId="173" formatCode="_-* #,##0.00\ _€_-;\-* #,##0.00\ _€_-;_-* &quot;-&quot;??\ _€_-;_-@_-"/>
  </numFmts>
  <fonts count="3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mbria"/>
      <family val="1"/>
      <scheme val="major"/>
    </font>
    <font>
      <sz val="12"/>
      <name val="Cambria"/>
      <family val="1"/>
      <scheme val="major"/>
    </font>
    <font>
      <b/>
      <sz val="10"/>
      <name val="Cambria"/>
      <family val="1"/>
      <scheme val="major"/>
    </font>
    <font>
      <b/>
      <sz val="14"/>
      <name val="Cambria"/>
      <family val="1"/>
      <scheme val="major"/>
    </font>
    <font>
      <sz val="8"/>
      <name val="Cambria"/>
      <family val="1"/>
      <scheme val="major"/>
    </font>
    <font>
      <sz val="10"/>
      <name val="Cambria"/>
      <family val="1"/>
      <scheme val="major"/>
    </font>
    <font>
      <i/>
      <sz val="10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9"/>
      <name val="Cambria"/>
      <family val="1"/>
      <scheme val="major"/>
    </font>
    <font>
      <b/>
      <i/>
      <sz val="9"/>
      <name val="Cambria"/>
      <family val="1"/>
      <scheme val="major"/>
    </font>
    <font>
      <sz val="10"/>
      <name val="Cambria"/>
      <family val="1"/>
    </font>
    <font>
      <b/>
      <sz val="12"/>
      <name val="Cambria"/>
      <family val="1"/>
    </font>
    <font>
      <b/>
      <sz val="14"/>
      <name val="Cambria"/>
      <family val="1"/>
    </font>
    <font>
      <sz val="11"/>
      <color theme="1"/>
      <name val="Cambria"/>
      <family val="1"/>
    </font>
    <font>
      <b/>
      <sz val="10"/>
      <name val="Cambria"/>
      <family val="1"/>
    </font>
    <font>
      <sz val="8"/>
      <name val="Cambria"/>
      <family val="1"/>
    </font>
    <font>
      <sz val="10"/>
      <color indexed="8"/>
      <name val="Cambria"/>
      <family val="1"/>
    </font>
    <font>
      <i/>
      <sz val="9"/>
      <name val="Cambria"/>
      <family val="1"/>
    </font>
    <font>
      <b/>
      <i/>
      <sz val="9"/>
      <name val="Cambria"/>
      <family val="1"/>
    </font>
    <font>
      <sz val="12"/>
      <name val="Cambria"/>
      <family val="1"/>
    </font>
    <font>
      <sz val="11"/>
      <name val="Cambria"/>
      <family val="1"/>
      <scheme val="major"/>
    </font>
    <font>
      <b/>
      <i/>
      <sz val="11"/>
      <name val="Cambria"/>
      <family val="1"/>
      <scheme val="major"/>
    </font>
    <font>
      <b/>
      <sz val="12"/>
      <name val="Cambria"/>
      <family val="1"/>
      <scheme val="major"/>
    </font>
    <font>
      <sz val="14"/>
      <name val="Cambria"/>
      <family val="1"/>
      <scheme val="major"/>
    </font>
    <font>
      <b/>
      <sz val="16"/>
      <name val="Cambria"/>
      <family val="1"/>
      <scheme val="major"/>
    </font>
    <font>
      <i/>
      <sz val="9.5"/>
      <name val="Cambria"/>
      <family val="1"/>
      <scheme val="major"/>
    </font>
    <font>
      <i/>
      <sz val="9"/>
      <color theme="1"/>
      <name val="Cambria"/>
      <family val="1"/>
      <scheme val="major"/>
    </font>
    <font>
      <sz val="9"/>
      <color rgb="FFFF0000"/>
      <name val="Cambria"/>
      <family val="1"/>
      <scheme val="major"/>
    </font>
    <font>
      <i/>
      <sz val="9.5"/>
      <color theme="1"/>
      <name val="Cambria"/>
      <family val="1"/>
      <scheme val="major"/>
    </font>
    <font>
      <i/>
      <sz val="14"/>
      <name val="Cambria"/>
      <family val="1"/>
      <scheme val="major"/>
    </font>
    <font>
      <i/>
      <sz val="11"/>
      <color theme="1"/>
      <name val="Cambria"/>
      <family val="1"/>
      <scheme val="major"/>
    </font>
    <font>
      <sz val="9"/>
      <name val="Cambria"/>
      <family val="1"/>
      <scheme val="major"/>
    </font>
    <font>
      <sz val="9"/>
      <color theme="1"/>
      <name val="Cambria"/>
      <family val="1"/>
      <scheme val="maj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1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6" fillId="0" borderId="0"/>
  </cellStyleXfs>
  <cellXfs count="199">
    <xf numFmtId="0" fontId="0" fillId="0" borderId="0" xfId="0"/>
    <xf numFmtId="164" fontId="3" fillId="0" borderId="0" xfId="2" applyNumberFormat="1" applyFont="1" applyAlignment="1">
      <alignment horizontal="left"/>
    </xf>
    <xf numFmtId="165" fontId="5" fillId="0" borderId="0" xfId="2" applyNumberFormat="1" applyFont="1" applyFill="1"/>
    <xf numFmtId="164" fontId="6" fillId="0" borderId="0" xfId="2" applyNumberFormat="1" applyFont="1" applyAlignment="1">
      <alignment horizontal="left"/>
    </xf>
    <xf numFmtId="164" fontId="7" fillId="0" borderId="1" xfId="2" applyNumberFormat="1" applyFont="1" applyBorder="1"/>
    <xf numFmtId="1" fontId="5" fillId="0" borderId="1" xfId="2" quotePrefix="1" applyNumberFormat="1" applyFont="1" applyBorder="1" applyAlignment="1">
      <alignment horizontal="center"/>
    </xf>
    <xf numFmtId="164" fontId="7" fillId="0" borderId="0" xfId="2" applyNumberFormat="1" applyFont="1" applyBorder="1"/>
    <xf numFmtId="1" fontId="7" fillId="0" borderId="0" xfId="2" quotePrefix="1" applyNumberFormat="1" applyFont="1" applyBorder="1" applyAlignment="1">
      <alignment horizontal="center"/>
    </xf>
    <xf numFmtId="164" fontId="5" fillId="2" borderId="0" xfId="2" applyNumberFormat="1" applyFont="1" applyFill="1"/>
    <xf numFmtId="1" fontId="8" fillId="2" borderId="0" xfId="2" quotePrefix="1" applyNumberFormat="1" applyFont="1" applyFill="1" applyBorder="1" applyAlignment="1">
      <alignment horizontal="center"/>
    </xf>
    <xf numFmtId="164" fontId="5" fillId="0" borderId="0" xfId="2" applyNumberFormat="1" applyFont="1" applyFill="1"/>
    <xf numFmtId="164" fontId="9" fillId="0" borderId="0" xfId="2" applyNumberFormat="1" applyFont="1" applyFill="1"/>
    <xf numFmtId="166" fontId="9" fillId="0" borderId="0" xfId="1" applyNumberFormat="1" applyFont="1" applyFill="1"/>
    <xf numFmtId="164" fontId="8" fillId="0" borderId="0" xfId="2" applyNumberFormat="1" applyFont="1" applyFill="1"/>
    <xf numFmtId="167" fontId="8" fillId="0" borderId="0" xfId="2" applyNumberFormat="1" applyFont="1" applyFill="1"/>
    <xf numFmtId="9" fontId="8" fillId="0" borderId="0" xfId="1" applyFont="1" applyFill="1"/>
    <xf numFmtId="168" fontId="5" fillId="0" borderId="0" xfId="2" applyNumberFormat="1" applyFont="1" applyFill="1"/>
    <xf numFmtId="9" fontId="9" fillId="0" borderId="0" xfId="1" applyFont="1" applyFill="1"/>
    <xf numFmtId="169" fontId="8" fillId="0" borderId="0" xfId="2" applyNumberFormat="1" applyFont="1" applyFill="1"/>
    <xf numFmtId="165" fontId="8" fillId="0" borderId="0" xfId="2" applyNumberFormat="1" applyFont="1" applyFill="1"/>
    <xf numFmtId="168" fontId="11" fillId="0" borderId="0" xfId="3" applyNumberFormat="1" applyFont="1"/>
    <xf numFmtId="164" fontId="7" fillId="0" borderId="0" xfId="2" applyNumberFormat="1" applyFont="1"/>
    <xf numFmtId="170" fontId="11" fillId="0" borderId="0" xfId="3" applyNumberFormat="1" applyFont="1" applyAlignment="1">
      <alignment horizontal="left"/>
    </xf>
    <xf numFmtId="171" fontId="14" fillId="0" borderId="0" xfId="2" applyNumberFormat="1" applyFont="1" applyAlignment="1"/>
    <xf numFmtId="3" fontId="13" fillId="0" borderId="0" xfId="3" applyNumberFormat="1" applyFont="1"/>
    <xf numFmtId="171" fontId="15" fillId="0" borderId="0" xfId="2" applyNumberFormat="1" applyFont="1" applyAlignment="1"/>
    <xf numFmtId="0" fontId="17" fillId="0" borderId="1" xfId="2" applyNumberFormat="1" applyFont="1" applyBorder="1" applyAlignment="1">
      <alignment horizontal="center"/>
    </xf>
    <xf numFmtId="9" fontId="13" fillId="0" borderId="0" xfId="1" applyFont="1"/>
    <xf numFmtId="171" fontId="17" fillId="3" borderId="0" xfId="2" applyNumberFormat="1" applyFont="1" applyFill="1"/>
    <xf numFmtId="3" fontId="17" fillId="3" borderId="0" xfId="2" applyNumberFormat="1" applyFont="1" applyFill="1"/>
    <xf numFmtId="168" fontId="15" fillId="0" borderId="0" xfId="3" applyNumberFormat="1" applyFont="1"/>
    <xf numFmtId="3" fontId="15" fillId="0" borderId="0" xfId="3" applyNumberFormat="1" applyFont="1"/>
    <xf numFmtId="171" fontId="13" fillId="0" borderId="0" xfId="2" applyNumberFormat="1" applyFont="1" applyBorder="1"/>
    <xf numFmtId="3" fontId="19" fillId="0" borderId="0" xfId="2" applyNumberFormat="1" applyFont="1"/>
    <xf numFmtId="171" fontId="13" fillId="0" borderId="0" xfId="2" quotePrefix="1" applyNumberFormat="1" applyFont="1" applyBorder="1" applyAlignment="1">
      <alignment horizontal="left"/>
    </xf>
    <xf numFmtId="9" fontId="13" fillId="0" borderId="0" xfId="1" applyFont="1" applyFill="1"/>
    <xf numFmtId="171" fontId="17" fillId="0" borderId="0" xfId="2" applyNumberFormat="1" applyFont="1" applyFill="1"/>
    <xf numFmtId="3" fontId="17" fillId="0" borderId="0" xfId="2" applyNumberFormat="1" applyFont="1" applyFill="1"/>
    <xf numFmtId="171" fontId="13" fillId="0" borderId="2" xfId="2" quotePrefix="1" applyNumberFormat="1" applyFont="1" applyBorder="1" applyAlignment="1">
      <alignment horizontal="left"/>
    </xf>
    <xf numFmtId="3" fontId="19" fillId="0" borderId="2" xfId="2" applyNumberFormat="1" applyFont="1" applyBorder="1"/>
    <xf numFmtId="166" fontId="13" fillId="0" borderId="0" xfId="1" applyNumberFormat="1" applyFont="1"/>
    <xf numFmtId="168" fontId="20" fillId="0" borderId="0" xfId="3" applyNumberFormat="1" applyFont="1"/>
    <xf numFmtId="164" fontId="18" fillId="0" borderId="0" xfId="2" applyNumberFormat="1" applyFont="1"/>
    <xf numFmtId="170" fontId="20" fillId="0" borderId="0" xfId="3" applyNumberFormat="1" applyFont="1" applyAlignment="1">
      <alignment horizontal="left"/>
    </xf>
    <xf numFmtId="172" fontId="18" fillId="0" borderId="0" xfId="2" applyNumberFormat="1" applyFont="1"/>
    <xf numFmtId="166" fontId="17" fillId="3" borderId="0" xfId="1" applyNumberFormat="1" applyFont="1" applyFill="1"/>
    <xf numFmtId="9" fontId="17" fillId="3" borderId="0" xfId="1" applyFont="1" applyFill="1"/>
    <xf numFmtId="9" fontId="19" fillId="0" borderId="0" xfId="1" applyFont="1"/>
    <xf numFmtId="9" fontId="17" fillId="0" borderId="0" xfId="1" applyFont="1" applyFill="1"/>
    <xf numFmtId="9" fontId="19" fillId="0" borderId="2" xfId="1" applyFont="1" applyBorder="1"/>
    <xf numFmtId="0" fontId="14" fillId="0" borderId="0" xfId="2" applyNumberFormat="1" applyFont="1" applyAlignment="1">
      <alignment horizontal="left"/>
    </xf>
    <xf numFmtId="0" fontId="22" fillId="0" borderId="0" xfId="2" applyNumberFormat="1" applyFont="1" applyAlignment="1">
      <alignment horizontal="centerContinuous"/>
    </xf>
    <xf numFmtId="0" fontId="15" fillId="0" borderId="0" xfId="2" applyNumberFormat="1" applyFont="1" applyAlignment="1">
      <alignment horizontal="left"/>
    </xf>
    <xf numFmtId="0" fontId="13" fillId="0" borderId="1" xfId="2" applyNumberFormat="1" applyFont="1" applyBorder="1"/>
    <xf numFmtId="0" fontId="13" fillId="0" borderId="1" xfId="2" quotePrefix="1" applyNumberFormat="1" applyFont="1" applyBorder="1" applyAlignment="1">
      <alignment horizontal="center"/>
    </xf>
    <xf numFmtId="164" fontId="18" fillId="0" borderId="0" xfId="2" applyNumberFormat="1" applyFont="1" applyAlignment="1">
      <alignment horizontal="centerContinuous"/>
    </xf>
    <xf numFmtId="0" fontId="17" fillId="3" borderId="0" xfId="2" applyNumberFormat="1" applyFont="1" applyFill="1"/>
    <xf numFmtId="0" fontId="13" fillId="0" borderId="0" xfId="2" applyNumberFormat="1" applyFont="1" applyBorder="1"/>
    <xf numFmtId="0" fontId="17" fillId="0" borderId="0" xfId="2" applyNumberFormat="1" applyFont="1" applyFill="1"/>
    <xf numFmtId="0" fontId="13" fillId="0" borderId="2" xfId="2" applyNumberFormat="1" applyFont="1" applyBorder="1"/>
    <xf numFmtId="9" fontId="19" fillId="0" borderId="0" xfId="1" applyFont="1" applyBorder="1"/>
    <xf numFmtId="166" fontId="15" fillId="0" borderId="0" xfId="1" applyNumberFormat="1" applyFont="1" applyBorder="1" applyAlignment="1"/>
    <xf numFmtId="0" fontId="14" fillId="0" borderId="1" xfId="2" applyNumberFormat="1" applyFont="1" applyBorder="1" applyAlignment="1">
      <alignment horizontal="left"/>
    </xf>
    <xf numFmtId="168" fontId="9" fillId="0" borderId="0" xfId="3" applyNumberFormat="1" applyFont="1"/>
    <xf numFmtId="168" fontId="6" fillId="0" borderId="0" xfId="3" applyNumberFormat="1" applyFont="1"/>
    <xf numFmtId="168" fontId="3" fillId="0" borderId="0" xfId="3" applyNumberFormat="1" applyFont="1"/>
    <xf numFmtId="168" fontId="8" fillId="0" borderId="0" xfId="3" applyNumberFormat="1" applyFont="1" applyAlignment="1">
      <alignment horizontal="center"/>
    </xf>
    <xf numFmtId="168" fontId="8" fillId="0" borderId="0" xfId="3" applyNumberFormat="1" applyFont="1"/>
    <xf numFmtId="168" fontId="26" fillId="0" borderId="0" xfId="3" applyNumberFormat="1" applyFont="1"/>
    <xf numFmtId="168" fontId="6" fillId="0" borderId="0" xfId="3" applyNumberFormat="1" applyFont="1" applyAlignment="1">
      <alignment vertical="center"/>
    </xf>
    <xf numFmtId="168" fontId="6" fillId="0" borderId="0" xfId="3" applyNumberFormat="1" applyFont="1" applyAlignment="1">
      <alignment horizontal="center" vertical="center"/>
    </xf>
    <xf numFmtId="168" fontId="26" fillId="0" borderId="0" xfId="3" applyNumberFormat="1" applyFont="1" applyAlignment="1">
      <alignment vertical="center"/>
    </xf>
    <xf numFmtId="168" fontId="6" fillId="0" borderId="0" xfId="3" applyNumberFormat="1" applyFont="1" applyAlignment="1">
      <alignment horizontal="center"/>
    </xf>
    <xf numFmtId="168" fontId="24" fillId="0" borderId="0" xfId="3" applyNumberFormat="1" applyFont="1"/>
    <xf numFmtId="0" fontId="5" fillId="0" borderId="1" xfId="4" applyNumberFormat="1" applyFont="1" applyBorder="1" applyAlignment="1">
      <alignment horizontal="center" vertical="center" wrapText="1"/>
    </xf>
    <xf numFmtId="49" fontId="27" fillId="0" borderId="1" xfId="4" applyNumberFormat="1" applyFont="1" applyBorder="1" applyAlignment="1">
      <alignment horizontal="center" vertical="center" wrapText="1"/>
    </xf>
    <xf numFmtId="49" fontId="3" fillId="0" borderId="1" xfId="4" applyNumberFormat="1" applyFont="1" applyBorder="1" applyAlignment="1">
      <alignment horizontal="center" vertical="center" wrapText="1"/>
    </xf>
    <xf numFmtId="168" fontId="8" fillId="0" borderId="0" xfId="3" applyNumberFormat="1" applyFont="1" applyAlignment="1">
      <alignment vertical="center" wrapText="1"/>
    </xf>
    <xf numFmtId="0" fontId="1" fillId="0" borderId="0" xfId="5"/>
    <xf numFmtId="168" fontId="3" fillId="0" borderId="0" xfId="3" applyNumberFormat="1" applyFont="1" applyAlignment="1">
      <alignment vertical="center" wrapText="1"/>
    </xf>
    <xf numFmtId="168" fontId="3" fillId="0" borderId="0" xfId="3" applyNumberFormat="1" applyFont="1" applyAlignment="1">
      <alignment horizontal="center" vertical="center" wrapText="1"/>
    </xf>
    <xf numFmtId="168" fontId="5" fillId="2" borderId="0" xfId="3" applyNumberFormat="1" applyFont="1" applyFill="1"/>
    <xf numFmtId="168" fontId="5" fillId="2" borderId="0" xfId="3" applyNumberFormat="1" applyFont="1" applyFill="1" applyAlignment="1">
      <alignment horizontal="center"/>
    </xf>
    <xf numFmtId="3" fontId="5" fillId="2" borderId="0" xfId="6" applyNumberFormat="1" applyFont="1" applyFill="1" applyBorder="1" applyAlignment="1"/>
    <xf numFmtId="3" fontId="23" fillId="0" borderId="0" xfId="5" applyNumberFormat="1" applyFont="1"/>
    <xf numFmtId="0" fontId="23" fillId="0" borderId="0" xfId="5" applyFont="1"/>
    <xf numFmtId="3" fontId="3" fillId="0" borderId="0" xfId="3" applyNumberFormat="1" applyFont="1" applyAlignment="1">
      <alignment horizontal="center" vertical="center" wrapText="1"/>
    </xf>
    <xf numFmtId="3" fontId="8" fillId="0" borderId="0" xfId="3" applyNumberFormat="1" applyFont="1"/>
    <xf numFmtId="168" fontId="5" fillId="0" borderId="0" xfId="3" applyNumberFormat="1" applyFont="1"/>
    <xf numFmtId="168" fontId="5" fillId="0" borderId="0" xfId="3" applyNumberFormat="1" applyFont="1" applyAlignment="1">
      <alignment horizontal="center"/>
    </xf>
    <xf numFmtId="3" fontId="5" fillId="0" borderId="0" xfId="6" applyNumberFormat="1" applyFont="1" applyFill="1" applyBorder="1" applyAlignment="1"/>
    <xf numFmtId="168" fontId="28" fillId="0" borderId="0" xfId="3" applyNumberFormat="1" applyFont="1"/>
    <xf numFmtId="168" fontId="28" fillId="0" borderId="0" xfId="3" applyNumberFormat="1" applyFont="1" applyAlignment="1">
      <alignment horizontal="left" indent="2"/>
    </xf>
    <xf numFmtId="168" fontId="28" fillId="0" borderId="0" xfId="3" applyNumberFormat="1" applyFont="1" applyAlignment="1">
      <alignment horizontal="center"/>
    </xf>
    <xf numFmtId="0" fontId="28" fillId="0" borderId="0" xfId="5" applyFont="1"/>
    <xf numFmtId="3" fontId="6" fillId="0" borderId="0" xfId="3" applyNumberFormat="1" applyFont="1"/>
    <xf numFmtId="0" fontId="10" fillId="0" borderId="2" xfId="5" applyFont="1" applyBorder="1"/>
    <xf numFmtId="0" fontId="10" fillId="0" borderId="2" xfId="5" applyFont="1" applyBorder="1" applyAlignment="1">
      <alignment horizontal="center"/>
    </xf>
    <xf numFmtId="168" fontId="12" fillId="0" borderId="0" xfId="3" applyNumberFormat="1" applyFont="1"/>
    <xf numFmtId="0" fontId="29" fillId="0" borderId="0" xfId="5" applyFont="1" applyAlignment="1">
      <alignment horizontal="center"/>
    </xf>
    <xf numFmtId="0" fontId="29" fillId="0" borderId="0" xfId="5" applyFont="1"/>
    <xf numFmtId="0" fontId="11" fillId="0" borderId="0" xfId="5" applyFont="1"/>
    <xf numFmtId="0" fontId="10" fillId="0" borderId="0" xfId="5" applyFont="1"/>
    <xf numFmtId="0" fontId="10" fillId="0" borderId="0" xfId="5" applyFont="1" applyAlignment="1">
      <alignment horizontal="center"/>
    </xf>
    <xf numFmtId="0" fontId="10" fillId="0" borderId="0" xfId="5" applyFont="1" applyAlignment="1">
      <alignment horizontal="right"/>
    </xf>
    <xf numFmtId="168" fontId="10" fillId="0" borderId="0" xfId="5" applyNumberFormat="1" applyFont="1" applyAlignment="1">
      <alignment horizontal="center"/>
    </xf>
    <xf numFmtId="166" fontId="8" fillId="0" borderId="0" xfId="6" applyNumberFormat="1" applyFont="1"/>
    <xf numFmtId="0" fontId="25" fillId="0" borderId="0" xfId="7" applyFont="1"/>
    <xf numFmtId="168" fontId="30" fillId="0" borderId="0" xfId="3" applyNumberFormat="1" applyFont="1"/>
    <xf numFmtId="166" fontId="5" fillId="0" borderId="0" xfId="6" applyNumberFormat="1" applyFont="1" applyAlignment="1">
      <alignment horizontal="center"/>
    </xf>
    <xf numFmtId="49" fontId="5" fillId="0" borderId="1" xfId="4" applyNumberFormat="1" applyFont="1" applyBorder="1" applyAlignment="1">
      <alignment horizontal="center" vertical="center" wrapText="1"/>
    </xf>
    <xf numFmtId="166" fontId="8" fillId="0" borderId="0" xfId="6" applyNumberFormat="1" applyFont="1" applyBorder="1" applyAlignment="1"/>
    <xf numFmtId="166" fontId="5" fillId="0" borderId="0" xfId="6" applyNumberFormat="1" applyFont="1" applyFill="1" applyAlignment="1">
      <alignment horizontal="center"/>
    </xf>
    <xf numFmtId="3" fontId="28" fillId="0" borderId="0" xfId="6" applyNumberFormat="1" applyFont="1" applyFill="1" applyBorder="1" applyAlignment="1"/>
    <xf numFmtId="0" fontId="31" fillId="0" borderId="0" xfId="5" applyFont="1"/>
    <xf numFmtId="3" fontId="29" fillId="0" borderId="0" xfId="5" applyNumberFormat="1" applyFont="1"/>
    <xf numFmtId="1" fontId="8" fillId="0" borderId="0" xfId="3" applyNumberFormat="1" applyFont="1"/>
    <xf numFmtId="9" fontId="5" fillId="2" borderId="0" xfId="6" applyFont="1" applyFill="1" applyBorder="1" applyAlignment="1"/>
    <xf numFmtId="9" fontId="10" fillId="0" borderId="0" xfId="5" applyNumberFormat="1" applyFont="1"/>
    <xf numFmtId="9" fontId="8" fillId="0" borderId="0" xfId="6" applyFont="1" applyFill="1" applyBorder="1" applyAlignment="1"/>
    <xf numFmtId="9" fontId="5" fillId="0" borderId="0" xfId="6" applyFont="1" applyFill="1" applyBorder="1" applyAlignment="1"/>
    <xf numFmtId="168" fontId="32" fillId="0" borderId="0" xfId="3" applyNumberFormat="1" applyFont="1"/>
    <xf numFmtId="9" fontId="9" fillId="0" borderId="0" xfId="6" applyFont="1" applyFill="1" applyBorder="1" applyAlignment="1"/>
    <xf numFmtId="0" fontId="33" fillId="0" borderId="0" xfId="5" applyFont="1"/>
    <xf numFmtId="168" fontId="34" fillId="0" borderId="0" xfId="3" applyNumberFormat="1" applyFont="1"/>
    <xf numFmtId="168" fontId="34" fillId="0" borderId="0" xfId="3" applyNumberFormat="1" applyFont="1" applyAlignment="1">
      <alignment vertical="center"/>
    </xf>
    <xf numFmtId="167" fontId="34" fillId="0" borderId="0" xfId="3" applyNumberFormat="1" applyFont="1" applyAlignment="1">
      <alignment vertical="center"/>
    </xf>
    <xf numFmtId="167" fontId="26" fillId="0" borderId="0" xfId="3" applyNumberFormat="1" applyFont="1" applyAlignment="1">
      <alignment vertical="center"/>
    </xf>
    <xf numFmtId="168" fontId="34" fillId="0" borderId="0" xfId="3" applyNumberFormat="1" applyFont="1" applyAlignment="1">
      <alignment vertical="center" wrapText="1"/>
    </xf>
    <xf numFmtId="166" fontId="5" fillId="2" borderId="0" xfId="6" applyNumberFormat="1" applyFont="1" applyFill="1" applyBorder="1" applyAlignment="1"/>
    <xf numFmtId="0" fontId="35" fillId="0" borderId="0" xfId="5" applyFont="1"/>
    <xf numFmtId="9" fontId="6" fillId="0" borderId="0" xfId="6" applyFont="1" applyBorder="1" applyAlignment="1"/>
    <xf numFmtId="9" fontId="35" fillId="0" borderId="0" xfId="6" applyFont="1" applyFill="1"/>
    <xf numFmtId="9" fontId="10" fillId="0" borderId="0" xfId="6" applyFont="1" applyFill="1"/>
    <xf numFmtId="166" fontId="35" fillId="0" borderId="0" xfId="8" applyNumberFormat="1" applyFont="1" applyFill="1"/>
    <xf numFmtId="43" fontId="35" fillId="0" borderId="0" xfId="9" applyFont="1" applyFill="1"/>
    <xf numFmtId="171" fontId="5" fillId="2" borderId="0" xfId="9" applyNumberFormat="1" applyFont="1" applyFill="1" applyBorder="1" applyAlignment="1"/>
    <xf numFmtId="171" fontId="3" fillId="0" borderId="0" xfId="3" applyNumberFormat="1" applyFont="1" applyAlignment="1">
      <alignment horizontal="center" vertical="center" wrapText="1"/>
    </xf>
    <xf numFmtId="171" fontId="8" fillId="0" borderId="0" xfId="9" applyNumberFormat="1" applyFont="1" applyFill="1" applyBorder="1" applyAlignment="1"/>
    <xf numFmtId="171" fontId="5" fillId="0" borderId="0" xfId="9" applyNumberFormat="1" applyFont="1" applyFill="1" applyBorder="1" applyAlignment="1"/>
    <xf numFmtId="171" fontId="6" fillId="0" borderId="0" xfId="3" applyNumberFormat="1" applyFont="1"/>
    <xf numFmtId="9" fontId="3" fillId="0" borderId="0" xfId="6" applyFont="1" applyAlignment="1">
      <alignment horizontal="center" vertical="center" wrapText="1"/>
    </xf>
    <xf numFmtId="9" fontId="26" fillId="0" borderId="0" xfId="6" applyFont="1"/>
    <xf numFmtId="3" fontId="8" fillId="0" borderId="0" xfId="6" applyNumberFormat="1" applyFont="1" applyFill="1" applyBorder="1" applyAlignment="1"/>
    <xf numFmtId="168" fontId="9" fillId="0" borderId="0" xfId="3" applyNumberFormat="1" applyFont="1" applyAlignment="1">
      <alignment horizontal="center"/>
    </xf>
    <xf numFmtId="3" fontId="9" fillId="0" borderId="0" xfId="6" applyNumberFormat="1" applyFont="1" applyFill="1" applyBorder="1" applyAlignment="1"/>
    <xf numFmtId="0" fontId="4" fillId="0" borderId="0" xfId="10" applyFont="1"/>
    <xf numFmtId="0" fontId="36" fillId="0" borderId="0" xfId="10"/>
    <xf numFmtId="165" fontId="4" fillId="0" borderId="0" xfId="10" applyNumberFormat="1" applyFont="1"/>
    <xf numFmtId="0" fontId="8" fillId="0" borderId="0" xfId="10" applyFont="1"/>
    <xf numFmtId="0" fontId="10" fillId="0" borderId="2" xfId="10" applyFont="1" applyBorder="1"/>
    <xf numFmtId="0" fontId="7" fillId="0" borderId="0" xfId="10" applyFont="1"/>
    <xf numFmtId="0" fontId="13" fillId="0" borderId="0" xfId="10" applyFont="1"/>
    <xf numFmtId="171" fontId="16" fillId="0" borderId="0" xfId="10" applyNumberFormat="1" applyFont="1"/>
    <xf numFmtId="171" fontId="17" fillId="0" borderId="0" xfId="10" applyNumberFormat="1" applyFont="1"/>
    <xf numFmtId="3" fontId="13" fillId="0" borderId="0" xfId="10" applyNumberFormat="1" applyFont="1"/>
    <xf numFmtId="49" fontId="17" fillId="0" borderId="0" xfId="10" applyNumberFormat="1" applyFont="1"/>
    <xf numFmtId="0" fontId="17" fillId="0" borderId="1" xfId="10" applyFont="1" applyBorder="1" applyAlignment="1">
      <alignment horizontal="center"/>
    </xf>
    <xf numFmtId="171" fontId="14" fillId="0" borderId="0" xfId="10" applyNumberFormat="1" applyFont="1"/>
    <xf numFmtId="3" fontId="18" fillId="0" borderId="0" xfId="10" applyNumberFormat="1" applyFont="1"/>
    <xf numFmtId="0" fontId="16" fillId="0" borderId="0" xfId="10" applyFont="1"/>
    <xf numFmtId="1" fontId="13" fillId="0" borderId="0" xfId="10" applyNumberFormat="1" applyFont="1"/>
    <xf numFmtId="0" fontId="17" fillId="0" borderId="0" xfId="10" applyFont="1"/>
    <xf numFmtId="1" fontId="16" fillId="0" borderId="0" xfId="10" applyNumberFormat="1" applyFont="1"/>
    <xf numFmtId="0" fontId="18" fillId="0" borderId="0" xfId="10" applyFont="1"/>
    <xf numFmtId="0" fontId="18" fillId="0" borderId="0" xfId="10" applyFont="1" applyAlignment="1">
      <alignment horizontal="center"/>
    </xf>
    <xf numFmtId="0" fontId="14" fillId="0" borderId="0" xfId="10" applyFont="1" applyAlignment="1">
      <alignment horizontal="left"/>
    </xf>
    <xf numFmtId="9" fontId="18" fillId="0" borderId="0" xfId="1" applyFont="1"/>
    <xf numFmtId="0" fontId="17" fillId="0" borderId="1" xfId="10" applyFont="1" applyBorder="1" applyAlignment="1">
      <alignment horizontal="left"/>
    </xf>
    <xf numFmtId="0" fontId="14" fillId="0" borderId="1" xfId="2" applyNumberFormat="1" applyFont="1" applyBorder="1"/>
    <xf numFmtId="3" fontId="0" fillId="0" borderId="0" xfId="0" applyNumberFormat="1"/>
    <xf numFmtId="0" fontId="17" fillId="0" borderId="4" xfId="10" applyFont="1" applyBorder="1" applyAlignment="1">
      <alignment horizontal="center"/>
    </xf>
    <xf numFmtId="0" fontId="0" fillId="0" borderId="3" xfId="0" applyBorder="1"/>
    <xf numFmtId="0" fontId="17" fillId="3" borderId="3" xfId="2" applyNumberFormat="1" applyFont="1" applyFill="1" applyBorder="1"/>
    <xf numFmtId="168" fontId="15" fillId="0" borderId="3" xfId="3" applyNumberFormat="1" applyFont="1" applyBorder="1"/>
    <xf numFmtId="0" fontId="13" fillId="0" borderId="3" xfId="2" applyNumberFormat="1" applyFont="1" applyBorder="1"/>
    <xf numFmtId="0" fontId="17" fillId="0" borderId="3" xfId="2" applyNumberFormat="1" applyFont="1" applyFill="1" applyBorder="1"/>
    <xf numFmtId="0" fontId="13" fillId="0" borderId="5" xfId="2" applyNumberFormat="1" applyFont="1" applyBorder="1"/>
    <xf numFmtId="168" fontId="5" fillId="2" borderId="3" xfId="3" applyNumberFormat="1" applyFont="1" applyFill="1" applyBorder="1"/>
    <xf numFmtId="168" fontId="3" fillId="0" borderId="3" xfId="3" applyNumberFormat="1" applyFont="1" applyBorder="1" applyAlignment="1">
      <alignment vertical="center" wrapText="1"/>
    </xf>
    <xf numFmtId="168" fontId="8" fillId="0" borderId="3" xfId="3" applyNumberFormat="1" applyFont="1" applyBorder="1"/>
    <xf numFmtId="168" fontId="5" fillId="0" borderId="3" xfId="3" applyNumberFormat="1" applyFont="1" applyBorder="1"/>
    <xf numFmtId="168" fontId="28" fillId="0" borderId="3" xfId="3" applyNumberFormat="1" applyFont="1" applyBorder="1" applyAlignment="1">
      <alignment horizontal="left" indent="2"/>
    </xf>
    <xf numFmtId="168" fontId="6" fillId="0" borderId="3" xfId="3" applyNumberFormat="1" applyFont="1" applyBorder="1"/>
    <xf numFmtId="0" fontId="10" fillId="0" borderId="5" xfId="5" applyFont="1" applyBorder="1"/>
    <xf numFmtId="0" fontId="17" fillId="4" borderId="1" xfId="10" applyFont="1" applyFill="1" applyBorder="1" applyAlignment="1">
      <alignment horizontal="center"/>
    </xf>
    <xf numFmtId="0" fontId="0" fillId="4" borderId="0" xfId="0" applyFill="1"/>
    <xf numFmtId="0" fontId="10" fillId="4" borderId="2" xfId="5" applyFont="1" applyFill="1" applyBorder="1"/>
    <xf numFmtId="0" fontId="17" fillId="4" borderId="4" xfId="10" applyFont="1" applyFill="1" applyBorder="1" applyAlignment="1">
      <alignment horizontal="center"/>
    </xf>
    <xf numFmtId="3" fontId="0" fillId="4" borderId="0" xfId="0" applyNumberFormat="1" applyFill="1"/>
    <xf numFmtId="9" fontId="26" fillId="0" borderId="0" xfId="1" applyFont="1"/>
    <xf numFmtId="0" fontId="13" fillId="0" borderId="0" xfId="10" applyFont="1" applyAlignment="1">
      <alignment horizontal="center"/>
    </xf>
    <xf numFmtId="9" fontId="0" fillId="0" borderId="0" xfId="1" applyFont="1"/>
    <xf numFmtId="9" fontId="5" fillId="2" borderId="0" xfId="1" applyFont="1" applyFill="1" applyBorder="1" applyAlignment="1"/>
    <xf numFmtId="9" fontId="3" fillId="0" borderId="0" xfId="1" applyFont="1" applyAlignment="1">
      <alignment horizontal="center" vertical="center" wrapText="1"/>
    </xf>
    <xf numFmtId="9" fontId="8" fillId="0" borderId="0" xfId="1" applyFont="1"/>
    <xf numFmtId="9" fontId="5" fillId="0" borderId="0" xfId="1" applyFont="1" applyFill="1" applyBorder="1" applyAlignment="1"/>
    <xf numFmtId="9" fontId="28" fillId="0" borderId="0" xfId="1" applyFont="1" applyFill="1" applyBorder="1" applyAlignment="1"/>
    <xf numFmtId="166" fontId="8" fillId="0" borderId="0" xfId="1" applyNumberFormat="1" applyFont="1"/>
  </cellXfs>
  <cellStyles count="11">
    <cellStyle name="Comma 2" xfId="9" xr:uid="{59477F28-5E59-42B9-A20F-36540C717D78}"/>
    <cellStyle name="Comma 2 2" xfId="2" xr:uid="{F5DB2286-7566-41A6-8968-5C846C08C11D}"/>
    <cellStyle name="Comma 4" xfId="4" xr:uid="{24BC6D5A-79F1-44F7-A3D4-43B4BD4F66DB}"/>
    <cellStyle name="Normal" xfId="0" builtinId="0"/>
    <cellStyle name="Normal 2" xfId="3" xr:uid="{A5BFC36A-0B6F-447E-AA7E-CD4415685926}"/>
    <cellStyle name="Normal 3" xfId="5" xr:uid="{D431D769-8714-4D1C-86AC-1B1BB908AECF}"/>
    <cellStyle name="Normal 4" xfId="10" xr:uid="{C339BA89-22F9-40D9-AC38-E96EABACEB5B}"/>
    <cellStyle name="Normal 5" xfId="7" xr:uid="{59128348-68F4-40AD-B703-16289694076A}"/>
    <cellStyle name="Percent" xfId="1" builtinId="5"/>
    <cellStyle name="Percent 2" xfId="6" xr:uid="{6631B9F6-FBF2-498C-9892-CDDE55FB1CFE}"/>
    <cellStyle name="Percent 2 2" xfId="8" xr:uid="{E5C4BE21-241D-4D5B-9275-3BDB39D65629}"/>
  </cellStyles>
  <dxfs count="3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FF0000"/>
      </font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FF0000"/>
      </font>
    </dxf>
    <dxf>
      <fill>
        <patternFill>
          <bgColor theme="7" tint="0.79998168889431442"/>
        </patternFill>
      </fill>
    </dxf>
    <dxf>
      <font>
        <color rgb="FFFF0000"/>
      </font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USE!$A$3</c:f>
              <c:strCache>
                <c:ptCount val="1"/>
                <c:pt idx="0">
                  <c:v>GDP-CP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USE!$B$2:$U$2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USE!$B$3:$U$3</c:f>
              <c:numCache>
                <c:formatCode>#,##0</c:formatCode>
                <c:ptCount val="20"/>
                <c:pt idx="0">
                  <c:v>1806</c:v>
                </c:pt>
                <c:pt idx="1">
                  <c:v>2197</c:v>
                </c:pt>
                <c:pt idx="2">
                  <c:v>2799</c:v>
                </c:pt>
                <c:pt idx="3">
                  <c:v>3185</c:v>
                </c:pt>
                <c:pt idx="4">
                  <c:v>3529</c:v>
                </c:pt>
                <c:pt idx="5">
                  <c:v>4084</c:v>
                </c:pt>
                <c:pt idx="6">
                  <c:v>4642</c:v>
                </c:pt>
                <c:pt idx="7">
                  <c:v>4988</c:v>
                </c:pt>
                <c:pt idx="8">
                  <c:v>5548</c:v>
                </c:pt>
                <c:pt idx="9">
                  <c:v>6081</c:v>
                </c:pt>
                <c:pt idx="10">
                  <c:v>6768</c:v>
                </c:pt>
                <c:pt idx="11">
                  <c:v>7621</c:v>
                </c:pt>
                <c:pt idx="12">
                  <c:v>8309</c:v>
                </c:pt>
                <c:pt idx="13">
                  <c:v>9460</c:v>
                </c:pt>
                <c:pt idx="14">
                  <c:v>9891</c:v>
                </c:pt>
                <c:pt idx="15">
                  <c:v>11125</c:v>
                </c:pt>
                <c:pt idx="16">
                  <c:v>14164</c:v>
                </c:pt>
                <c:pt idx="17">
                  <c:v>17660</c:v>
                </c:pt>
                <c:pt idx="18">
                  <c:v>20680</c:v>
                </c:pt>
                <c:pt idx="19">
                  <c:v>16600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9C-4D18-AC21-1B24D37093E0}"/>
            </c:ext>
          </c:extLst>
        </c:ser>
        <c:ser>
          <c:idx val="2"/>
          <c:order val="1"/>
          <c:tx>
            <c:strRef>
              <c:f>USE!$A$22</c:f>
              <c:strCache>
                <c:ptCount val="1"/>
                <c:pt idx="0">
                  <c:v>GDP-KP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USE!$B$2:$U$2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USE!$B$22:$U$22</c:f>
              <c:numCache>
                <c:formatCode>#,##0</c:formatCode>
                <c:ptCount val="20"/>
                <c:pt idx="0">
                  <c:v>5869</c:v>
                </c:pt>
                <c:pt idx="1">
                  <c:v>6316</c:v>
                </c:pt>
                <c:pt idx="2">
                  <c:v>7021</c:v>
                </c:pt>
                <c:pt idx="3">
                  <c:v>7460</c:v>
                </c:pt>
                <c:pt idx="4">
                  <c:v>8006</c:v>
                </c:pt>
                <c:pt idx="5">
                  <c:v>8644</c:v>
                </c:pt>
                <c:pt idx="6">
                  <c:v>9390</c:v>
                </c:pt>
                <c:pt idx="7">
                  <c:v>9834</c:v>
                </c:pt>
                <c:pt idx="8">
                  <c:v>10392</c:v>
                </c:pt>
                <c:pt idx="9">
                  <c:v>11314</c:v>
                </c:pt>
                <c:pt idx="10">
                  <c:v>11954</c:v>
                </c:pt>
                <c:pt idx="11">
                  <c:v>12517</c:v>
                </c:pt>
                <c:pt idx="12">
                  <c:v>13527</c:v>
                </c:pt>
                <c:pt idx="13">
                  <c:v>14782</c:v>
                </c:pt>
                <c:pt idx="14">
                  <c:v>14372</c:v>
                </c:pt>
                <c:pt idx="15">
                  <c:v>15581</c:v>
                </c:pt>
                <c:pt idx="16">
                  <c:v>17111</c:v>
                </c:pt>
                <c:pt idx="17">
                  <c:v>18931</c:v>
                </c:pt>
                <c:pt idx="18">
                  <c:v>20228</c:v>
                </c:pt>
                <c:pt idx="19">
                  <c:v>15681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9C-4D18-AC21-1B24D3709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1010808"/>
        <c:axId val="1101011168"/>
      </c:barChart>
      <c:lineChart>
        <c:grouping val="standard"/>
        <c:varyColors val="0"/>
        <c:ser>
          <c:idx val="1"/>
          <c:order val="2"/>
          <c:tx>
            <c:strRef>
              <c:f>USE!$A$41</c:f>
              <c:strCache>
                <c:ptCount val="1"/>
                <c:pt idx="0">
                  <c:v>GDP-Deflator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USE!$B$2:$U$2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USE!$B$41:$U$41</c:f>
              <c:numCache>
                <c:formatCode>#,##0</c:formatCode>
                <c:ptCount val="20"/>
                <c:pt idx="0">
                  <c:v>30.5</c:v>
                </c:pt>
                <c:pt idx="1">
                  <c:v>34.75</c:v>
                </c:pt>
                <c:pt idx="2">
                  <c:v>40</c:v>
                </c:pt>
                <c:pt idx="3">
                  <c:v>42.75</c:v>
                </c:pt>
                <c:pt idx="4">
                  <c:v>44</c:v>
                </c:pt>
                <c:pt idx="5">
                  <c:v>47.25</c:v>
                </c:pt>
                <c:pt idx="6">
                  <c:v>49.5</c:v>
                </c:pt>
                <c:pt idx="7">
                  <c:v>50.75</c:v>
                </c:pt>
                <c:pt idx="8">
                  <c:v>53.5</c:v>
                </c:pt>
                <c:pt idx="9">
                  <c:v>53.75</c:v>
                </c:pt>
                <c:pt idx="10">
                  <c:v>56.75</c:v>
                </c:pt>
                <c:pt idx="11">
                  <c:v>61</c:v>
                </c:pt>
                <c:pt idx="12">
                  <c:v>61.5</c:v>
                </c:pt>
                <c:pt idx="13">
                  <c:v>64</c:v>
                </c:pt>
                <c:pt idx="14">
                  <c:v>68.75</c:v>
                </c:pt>
                <c:pt idx="15">
                  <c:v>71.5</c:v>
                </c:pt>
                <c:pt idx="16">
                  <c:v>82.75</c:v>
                </c:pt>
                <c:pt idx="17">
                  <c:v>93</c:v>
                </c:pt>
                <c:pt idx="18">
                  <c:v>102</c:v>
                </c:pt>
                <c:pt idx="19">
                  <c:v>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9C-4D18-AC21-1B24D3709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6402008"/>
        <c:axId val="856400928"/>
      </c:lineChart>
      <c:catAx>
        <c:axId val="1101010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101011168"/>
        <c:crosses val="autoZero"/>
        <c:auto val="1"/>
        <c:lblAlgn val="ctr"/>
        <c:lblOffset val="100"/>
        <c:noMultiLvlLbl val="0"/>
      </c:catAx>
      <c:valAx>
        <c:axId val="110101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101010808"/>
        <c:crosses val="autoZero"/>
        <c:crossBetween val="between"/>
      </c:valAx>
      <c:valAx>
        <c:axId val="856400928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56402008"/>
        <c:crosses val="max"/>
        <c:crossBetween val="between"/>
      </c:valAx>
      <c:catAx>
        <c:axId val="856402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6400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Final demand share</a:t>
            </a:r>
            <a:r>
              <a:rPr lang="en-US" baseline="0"/>
              <a:t> to GDP(Current prices)</a:t>
            </a:r>
          </a:p>
          <a:p>
            <a:pPr>
              <a:defRPr/>
            </a:pPr>
            <a:endParaRPr lang="sl-SI"/>
          </a:p>
        </c:rich>
      </c:tx>
      <c:layout>
        <c:manualLayout>
          <c:xMode val="edge"/>
          <c:yMode val="edge"/>
          <c:x val="0.29987568374789669"/>
          <c:y val="4.6376797481289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USE!$A$43</c:f>
              <c:strCache>
                <c:ptCount val="1"/>
                <c:pt idx="0">
                  <c:v>Total final consumption expenditure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USE!$B$2:$U$2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USE!$B$63:$U$63</c:f>
              <c:numCache>
                <c:formatCode>0%</c:formatCode>
                <c:ptCount val="20"/>
                <c:pt idx="0">
                  <c:v>0.96179401993355484</c:v>
                </c:pt>
                <c:pt idx="1">
                  <c:v>0.91715976331360949</c:v>
                </c:pt>
                <c:pt idx="2">
                  <c:v>0.93604858878170771</c:v>
                </c:pt>
                <c:pt idx="3">
                  <c:v>0.94945054945054941</c:v>
                </c:pt>
                <c:pt idx="4">
                  <c:v>0.95239444601870216</c:v>
                </c:pt>
                <c:pt idx="5">
                  <c:v>0.93462291870714986</c:v>
                </c:pt>
                <c:pt idx="6">
                  <c:v>0.93127962085308058</c:v>
                </c:pt>
                <c:pt idx="7">
                  <c:v>0.91178829190056132</c:v>
                </c:pt>
                <c:pt idx="8">
                  <c:v>0.92826243691420329</c:v>
                </c:pt>
                <c:pt idx="9">
                  <c:v>0.94441703667160004</c:v>
                </c:pt>
                <c:pt idx="10">
                  <c:v>0.92656619385342787</c:v>
                </c:pt>
                <c:pt idx="11">
                  <c:v>0.88649783492979928</c:v>
                </c:pt>
                <c:pt idx="12">
                  <c:v>0.8682151883499819</c:v>
                </c:pt>
                <c:pt idx="13">
                  <c:v>0.83171247357293865</c:v>
                </c:pt>
                <c:pt idx="14">
                  <c:v>0.88838337882923868</c:v>
                </c:pt>
                <c:pt idx="15">
                  <c:v>0.91775280898876399</c:v>
                </c:pt>
                <c:pt idx="16">
                  <c:v>0.79596159277040379</c:v>
                </c:pt>
                <c:pt idx="17">
                  <c:v>0.79767836919592294</c:v>
                </c:pt>
                <c:pt idx="18">
                  <c:v>0.8007253384912959</c:v>
                </c:pt>
                <c:pt idx="19">
                  <c:v>0.78722891566265063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93-4B67-A1BE-26648CFAC083}"/>
            </c:ext>
          </c:extLst>
        </c:ser>
        <c:ser>
          <c:idx val="1"/>
          <c:order val="1"/>
          <c:tx>
            <c:strRef>
              <c:f>USE!$A$67</c:f>
              <c:strCache>
                <c:ptCount val="1"/>
                <c:pt idx="0">
                  <c:v>Gross capital formation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USE!$B$2:$U$2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USE!$B$67:$U$67</c:f>
              <c:numCache>
                <c:formatCode>0%</c:formatCode>
                <c:ptCount val="20"/>
                <c:pt idx="0">
                  <c:v>0.15227021040974528</c:v>
                </c:pt>
                <c:pt idx="1">
                  <c:v>0.16977696859353664</c:v>
                </c:pt>
                <c:pt idx="2">
                  <c:v>0.21614862450875313</c:v>
                </c:pt>
                <c:pt idx="3">
                  <c:v>0.21287284144427002</c:v>
                </c:pt>
                <c:pt idx="4">
                  <c:v>0.20799093227543214</c:v>
                </c:pt>
                <c:pt idx="5">
                  <c:v>0.2113124387855044</c:v>
                </c:pt>
                <c:pt idx="6">
                  <c:v>0.23610512710038775</c:v>
                </c:pt>
                <c:pt idx="7">
                  <c:v>0.24739374498797112</c:v>
                </c:pt>
                <c:pt idx="8">
                  <c:v>0.23540014419610669</c:v>
                </c:pt>
                <c:pt idx="9">
                  <c:v>0.24518993586581153</c:v>
                </c:pt>
                <c:pt idx="10">
                  <c:v>0.26196808510638298</c:v>
                </c:pt>
                <c:pt idx="11">
                  <c:v>0.24091326597559376</c:v>
                </c:pt>
                <c:pt idx="12">
                  <c:v>0.17920327355879168</c:v>
                </c:pt>
                <c:pt idx="13">
                  <c:v>0.21659619450317125</c:v>
                </c:pt>
                <c:pt idx="14">
                  <c:v>0.18188251946213729</c:v>
                </c:pt>
                <c:pt idx="15">
                  <c:v>0.3543370786516854</c:v>
                </c:pt>
                <c:pt idx="16">
                  <c:v>0.37764755718723525</c:v>
                </c:pt>
                <c:pt idx="17">
                  <c:v>0.3924122310305776</c:v>
                </c:pt>
                <c:pt idx="18">
                  <c:v>0.34501934235976789</c:v>
                </c:pt>
                <c:pt idx="19">
                  <c:v>0.35156626506024097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93-4B67-A1BE-26648CFAC083}"/>
            </c:ext>
          </c:extLst>
        </c:ser>
        <c:ser>
          <c:idx val="3"/>
          <c:order val="2"/>
          <c:tx>
            <c:strRef>
              <c:f>USE!$A$72</c:f>
              <c:strCache>
                <c:ptCount val="1"/>
                <c:pt idx="0">
                  <c:v>    Exports of goods &amp; 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USE!$B$2:$U$2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USE!$B$72:$U$72</c:f>
              <c:numCache>
                <c:formatCode>0%</c:formatCode>
                <c:ptCount val="20"/>
                <c:pt idx="0">
                  <c:v>0.11129568106312292</c:v>
                </c:pt>
                <c:pt idx="1">
                  <c:v>0.13882567137005006</c:v>
                </c:pt>
                <c:pt idx="2">
                  <c:v>0.11396927474097893</c:v>
                </c:pt>
                <c:pt idx="3">
                  <c:v>0.10486656200941916</c:v>
                </c:pt>
                <c:pt idx="4">
                  <c:v>0.1085293284216492</c:v>
                </c:pt>
                <c:pt idx="5">
                  <c:v>0.12781586679725759</c:v>
                </c:pt>
                <c:pt idx="6">
                  <c:v>0.12171477811288238</c:v>
                </c:pt>
                <c:pt idx="7">
                  <c:v>0.1367281475541299</c:v>
                </c:pt>
                <c:pt idx="8">
                  <c:v>0.14059120403749098</c:v>
                </c:pt>
                <c:pt idx="9">
                  <c:v>0.1338595625719454</c:v>
                </c:pt>
                <c:pt idx="10">
                  <c:v>0.15617612293144209</c:v>
                </c:pt>
                <c:pt idx="11">
                  <c:v>0.20732187376984648</c:v>
                </c:pt>
                <c:pt idx="12">
                  <c:v>0.21627151281742688</c:v>
                </c:pt>
                <c:pt idx="13">
                  <c:v>0.22029598308668077</c:v>
                </c:pt>
                <c:pt idx="14">
                  <c:v>0.18673541603477908</c:v>
                </c:pt>
                <c:pt idx="15">
                  <c:v>0.19280898876404495</c:v>
                </c:pt>
                <c:pt idx="16">
                  <c:v>0.21801750917819826</c:v>
                </c:pt>
                <c:pt idx="17">
                  <c:v>0.24229898074745188</c:v>
                </c:pt>
                <c:pt idx="18">
                  <c:v>0.28002901353965182</c:v>
                </c:pt>
                <c:pt idx="19">
                  <c:v>0.22457831325301206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93-4B67-A1BE-26648CFAC083}"/>
            </c:ext>
          </c:extLst>
        </c:ser>
        <c:ser>
          <c:idx val="4"/>
          <c:order val="3"/>
          <c:tx>
            <c:strRef>
              <c:f>USE!$A$55</c:f>
              <c:strCache>
                <c:ptCount val="1"/>
                <c:pt idx="0">
                  <c:v>    Imports of goods &amp; 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USE!$B$2:$U$2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USE!$B$75:$U$75</c:f>
              <c:numCache>
                <c:formatCode>0%</c:formatCode>
                <c:ptCount val="20"/>
                <c:pt idx="0">
                  <c:v>0.22535991140642303</c:v>
                </c:pt>
                <c:pt idx="1">
                  <c:v>0.22576240327719618</c:v>
                </c:pt>
                <c:pt idx="2">
                  <c:v>0.26616648803143977</c:v>
                </c:pt>
                <c:pt idx="3">
                  <c:v>0.26718995290423864</c:v>
                </c:pt>
                <c:pt idx="4">
                  <c:v>0.26891470671578349</c:v>
                </c:pt>
                <c:pt idx="5">
                  <c:v>0.27375122428991183</c:v>
                </c:pt>
                <c:pt idx="6">
                  <c:v>0.2890995260663507</c:v>
                </c:pt>
                <c:pt idx="7">
                  <c:v>0.29591018444266237</c:v>
                </c:pt>
                <c:pt idx="8">
                  <c:v>0.30425378514780099</c:v>
                </c:pt>
                <c:pt idx="9">
                  <c:v>0.32346653510935702</c:v>
                </c:pt>
                <c:pt idx="10">
                  <c:v>0.34471040189125296</c:v>
                </c:pt>
                <c:pt idx="11">
                  <c:v>0.33473297467523949</c:v>
                </c:pt>
                <c:pt idx="12">
                  <c:v>0.26356962330003608</c:v>
                </c:pt>
                <c:pt idx="13">
                  <c:v>0.2686046511627907</c:v>
                </c:pt>
                <c:pt idx="14">
                  <c:v>0.25690021231422505</c:v>
                </c:pt>
                <c:pt idx="15">
                  <c:v>0.46498876404494383</c:v>
                </c:pt>
                <c:pt idx="16">
                  <c:v>0.39155605761084439</c:v>
                </c:pt>
                <c:pt idx="17">
                  <c:v>0.43244620611551526</c:v>
                </c:pt>
                <c:pt idx="18">
                  <c:v>0.42587040618955513</c:v>
                </c:pt>
                <c:pt idx="19">
                  <c:v>0.36337349397590363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93-4B67-A1BE-26648CFAC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1010808"/>
        <c:axId val="1101011168"/>
      </c:barChart>
      <c:catAx>
        <c:axId val="1101010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101011168"/>
        <c:crosses val="autoZero"/>
        <c:auto val="1"/>
        <c:lblAlgn val="ctr"/>
        <c:lblOffset val="100"/>
        <c:noMultiLvlLbl val="0"/>
      </c:catAx>
      <c:valAx>
        <c:axId val="110101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101010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Final demand share</a:t>
            </a:r>
            <a:r>
              <a:rPr lang="en-US" baseline="0"/>
              <a:t> to GDP(Current prices)</a:t>
            </a:r>
          </a:p>
          <a:p>
            <a:pPr>
              <a:defRPr/>
            </a:pPr>
            <a:endParaRPr lang="sl-SI"/>
          </a:p>
        </c:rich>
      </c:tx>
      <c:layout>
        <c:manualLayout>
          <c:xMode val="edge"/>
          <c:yMode val="edge"/>
          <c:x val="0.29987568374789669"/>
          <c:y val="4.6376797481289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SUP!$A$93</c:f>
              <c:strCache>
                <c:ptCount val="1"/>
                <c:pt idx="0">
                  <c:v>AGRICULTURE, FORESTRY &amp; FISHING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USE!$B$2:$U$2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SUP!$B$93:$U$93</c:f>
              <c:numCache>
                <c:formatCode>0%</c:formatCode>
                <c:ptCount val="20"/>
                <c:pt idx="0">
                  <c:v>0.29069767441860467</c:v>
                </c:pt>
                <c:pt idx="1">
                  <c:v>0.25079654073736912</c:v>
                </c:pt>
                <c:pt idx="2">
                  <c:v>0.23937120400142908</c:v>
                </c:pt>
                <c:pt idx="3">
                  <c:v>0.24395604395604395</c:v>
                </c:pt>
                <c:pt idx="4">
                  <c:v>0.23434400680079343</c:v>
                </c:pt>
                <c:pt idx="5">
                  <c:v>0.22918707149853085</c:v>
                </c:pt>
                <c:pt idx="6">
                  <c:v>0.23804394657475225</c:v>
                </c:pt>
                <c:pt idx="7">
                  <c:v>0.23153526970954358</c:v>
                </c:pt>
                <c:pt idx="8">
                  <c:v>0.23684210526315788</c:v>
                </c:pt>
                <c:pt idx="9">
                  <c:v>0.23104752507811216</c:v>
                </c:pt>
                <c:pt idx="10">
                  <c:v>0.24290780141843971</c:v>
                </c:pt>
                <c:pt idx="11">
                  <c:v>0.25639679832043039</c:v>
                </c:pt>
                <c:pt idx="12">
                  <c:v>0.23275965820194969</c:v>
                </c:pt>
                <c:pt idx="13">
                  <c:v>0.21564482029598309</c:v>
                </c:pt>
                <c:pt idx="14">
                  <c:v>0.24466382070437567</c:v>
                </c:pt>
                <c:pt idx="15">
                  <c:v>0.2143820224719101</c:v>
                </c:pt>
                <c:pt idx="16">
                  <c:v>0.21928833662807118</c:v>
                </c:pt>
                <c:pt idx="17">
                  <c:v>0.23135588286662398</c:v>
                </c:pt>
                <c:pt idx="18">
                  <c:v>0.20790239983934131</c:v>
                </c:pt>
                <c:pt idx="19">
                  <c:v>0.19475903614457832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D-4A28-A196-E4558C60EF54}"/>
            </c:ext>
          </c:extLst>
        </c:ser>
        <c:ser>
          <c:idx val="1"/>
          <c:order val="1"/>
          <c:tx>
            <c:strRef>
              <c:f>SUP!$A$99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USE!$B$2:$U$2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SUP!$B$99:$U$99</c:f>
              <c:numCache>
                <c:formatCode>0%</c:formatCode>
                <c:ptCount val="20"/>
                <c:pt idx="0">
                  <c:v>0.16057585825027684</c:v>
                </c:pt>
                <c:pt idx="1">
                  <c:v>0.16932180245789713</c:v>
                </c:pt>
                <c:pt idx="2">
                  <c:v>0.16470167917113254</c:v>
                </c:pt>
                <c:pt idx="3">
                  <c:v>0.15886970172684459</c:v>
                </c:pt>
                <c:pt idx="4">
                  <c:v>0.16520260697081326</c:v>
                </c:pt>
                <c:pt idx="5">
                  <c:v>0.18364348677766895</c:v>
                </c:pt>
                <c:pt idx="6">
                  <c:v>0.18461869883670831</c:v>
                </c:pt>
                <c:pt idx="7">
                  <c:v>0.19502074688796681</c:v>
                </c:pt>
                <c:pt idx="8">
                  <c:v>0.17790194664744052</c:v>
                </c:pt>
                <c:pt idx="9">
                  <c:v>0.17645124157210984</c:v>
                </c:pt>
                <c:pt idx="10">
                  <c:v>0.1702127659574468</c:v>
                </c:pt>
                <c:pt idx="11">
                  <c:v>0.17451777981892141</c:v>
                </c:pt>
                <c:pt idx="12">
                  <c:v>0.17571308220002407</c:v>
                </c:pt>
                <c:pt idx="13">
                  <c:v>0.19228329809725159</c:v>
                </c:pt>
                <c:pt idx="14">
                  <c:v>0.18916755602988261</c:v>
                </c:pt>
                <c:pt idx="15">
                  <c:v>0.21186516853932585</c:v>
                </c:pt>
                <c:pt idx="16">
                  <c:v>0.21752329850324767</c:v>
                </c:pt>
                <c:pt idx="17">
                  <c:v>0.21476392850905279</c:v>
                </c:pt>
                <c:pt idx="18">
                  <c:v>0.22065468420524148</c:v>
                </c:pt>
                <c:pt idx="19">
                  <c:v>0.22415662650602411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CD-4A28-A196-E4558C60EF54}"/>
            </c:ext>
          </c:extLst>
        </c:ser>
        <c:ser>
          <c:idx val="3"/>
          <c:order val="2"/>
          <c:tx>
            <c:strRef>
              <c:f>SUP!$A$113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USE!$B$2:$U$2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SUP!$B$113:$U$113</c:f>
              <c:numCache>
                <c:formatCode>0%</c:formatCode>
                <c:ptCount val="20"/>
                <c:pt idx="0">
                  <c:v>0.45902547065337762</c:v>
                </c:pt>
                <c:pt idx="1">
                  <c:v>0.48793809740555305</c:v>
                </c:pt>
                <c:pt idx="2">
                  <c:v>0.49910682386566629</c:v>
                </c:pt>
                <c:pt idx="3">
                  <c:v>0.50141287284144431</c:v>
                </c:pt>
                <c:pt idx="4">
                  <c:v>0.50467554548030602</c:v>
                </c:pt>
                <c:pt idx="5">
                  <c:v>0.48481880509304603</c:v>
                </c:pt>
                <c:pt idx="6">
                  <c:v>0.49504523912106851</c:v>
                </c:pt>
                <c:pt idx="7">
                  <c:v>0.49325726141078841</c:v>
                </c:pt>
                <c:pt idx="8">
                  <c:v>0.4987382840663302</c:v>
                </c:pt>
                <c:pt idx="9">
                  <c:v>0.50304226278572606</c:v>
                </c:pt>
                <c:pt idx="10">
                  <c:v>0.49852245862884159</c:v>
                </c:pt>
                <c:pt idx="11">
                  <c:v>0.48326991208502823</c:v>
                </c:pt>
                <c:pt idx="12">
                  <c:v>0.50848477554459015</c:v>
                </c:pt>
                <c:pt idx="13">
                  <c:v>0.50877378435517973</c:v>
                </c:pt>
                <c:pt idx="14">
                  <c:v>0.48852721451440767</c:v>
                </c:pt>
                <c:pt idx="15">
                  <c:v>0.5168539325842697</c:v>
                </c:pt>
                <c:pt idx="16">
                  <c:v>0.5085427845241457</c:v>
                </c:pt>
                <c:pt idx="17">
                  <c:v>0.50334749956336966</c:v>
                </c:pt>
                <c:pt idx="18">
                  <c:v>0.52199015965458384</c:v>
                </c:pt>
                <c:pt idx="19">
                  <c:v>0.52722891566265062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CD-4A28-A196-E4558C60EF54}"/>
            </c:ext>
          </c:extLst>
        </c:ser>
        <c:ser>
          <c:idx val="4"/>
          <c:order val="3"/>
          <c:tx>
            <c:strRef>
              <c:f>SUP!$A$130</c:f>
              <c:strCache>
                <c:ptCount val="1"/>
                <c:pt idx="0">
                  <c:v>Taxes less subsidies on products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USE!$B$2:$U$2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SUP!$B$130:$U$130</c:f>
              <c:numCache>
                <c:formatCode>0%</c:formatCode>
                <c:ptCount val="20"/>
                <c:pt idx="0">
                  <c:v>9.0808416389811741E-2</c:v>
                </c:pt>
                <c:pt idx="1">
                  <c:v>9.148839326354119E-2</c:v>
                </c:pt>
                <c:pt idx="2">
                  <c:v>9.7534833869239015E-2</c:v>
                </c:pt>
                <c:pt idx="3">
                  <c:v>9.5761381475667193E-2</c:v>
                </c:pt>
                <c:pt idx="4">
                  <c:v>9.5777840748087276E-2</c:v>
                </c:pt>
                <c:pt idx="5">
                  <c:v>0.10235063663075417</c:v>
                </c:pt>
                <c:pt idx="6">
                  <c:v>8.2722964239551916E-2</c:v>
                </c:pt>
                <c:pt idx="7">
                  <c:v>8.0290456431535276E-2</c:v>
                </c:pt>
                <c:pt idx="8">
                  <c:v>8.6517664023071372E-2</c:v>
                </c:pt>
                <c:pt idx="9">
                  <c:v>8.9294523926985697E-2</c:v>
                </c:pt>
                <c:pt idx="10">
                  <c:v>8.8061465721040191E-2</c:v>
                </c:pt>
                <c:pt idx="11">
                  <c:v>8.5553077024012603E-2</c:v>
                </c:pt>
                <c:pt idx="12">
                  <c:v>8.3283186905764833E-2</c:v>
                </c:pt>
                <c:pt idx="13">
                  <c:v>8.3403805496828756E-2</c:v>
                </c:pt>
                <c:pt idx="14">
                  <c:v>7.7908217716115266E-2</c:v>
                </c:pt>
                <c:pt idx="15">
                  <c:v>5.6898876404494383E-2</c:v>
                </c:pt>
                <c:pt idx="16">
                  <c:v>5.4645580344535441E-2</c:v>
                </c:pt>
                <c:pt idx="17">
                  <c:v>5.0532689060953602E-2</c:v>
                </c:pt>
                <c:pt idx="18">
                  <c:v>4.9452756300833414E-2</c:v>
                </c:pt>
                <c:pt idx="19">
                  <c:v>5.3855421686746986E-2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CD-4A28-A196-E4558C60E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1010808"/>
        <c:axId val="1101011168"/>
      </c:barChart>
      <c:catAx>
        <c:axId val="1101010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101011168"/>
        <c:crosses val="autoZero"/>
        <c:auto val="1"/>
        <c:lblAlgn val="ctr"/>
        <c:lblOffset val="100"/>
        <c:noMultiLvlLbl val="0"/>
      </c:catAx>
      <c:valAx>
        <c:axId val="110101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101010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585786</xdr:colOff>
      <xdr:row>1</xdr:row>
      <xdr:rowOff>3175</xdr:rowOff>
    </xdr:from>
    <xdr:to>
      <xdr:col>31</xdr:col>
      <xdr:colOff>358774</xdr:colOff>
      <xdr:row>19</xdr:row>
      <xdr:rowOff>92076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A0A4FF-0202-78AD-CAE7-F9B930102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609599</xdr:colOff>
      <xdr:row>62</xdr:row>
      <xdr:rowOff>0</xdr:rowOff>
    </xdr:from>
    <xdr:to>
      <xdr:col>33</xdr:col>
      <xdr:colOff>428624</xdr:colOff>
      <xdr:row>81</xdr:row>
      <xdr:rowOff>57151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34B58F-D39C-45C6-B769-A8CD7503EC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90</xdr:row>
      <xdr:rowOff>0</xdr:rowOff>
    </xdr:from>
    <xdr:to>
      <xdr:col>36</xdr:col>
      <xdr:colOff>428625</xdr:colOff>
      <xdr:row>110</xdr:row>
      <xdr:rowOff>28576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7E4C3F-0DC0-4B40-9B71-9E55C2E6E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02FA-7BB9-426C-A45A-676F779F9AEE}">
  <sheetPr codeName="Sheet1">
    <pageSetUpPr fitToPage="1"/>
  </sheetPr>
  <dimension ref="B1:CE47"/>
  <sheetViews>
    <sheetView showGridLines="0" zoomScaleNormal="100" workbookViewId="0">
      <pane xSplit="3" ySplit="4" topLeftCell="BT26" activePane="bottomRight" state="frozen"/>
      <selection activeCell="BS11" sqref="BS11"/>
      <selection pane="topRight" activeCell="BS11" sqref="BS11"/>
      <selection pane="bottomLeft" activeCell="BS11" sqref="BS11"/>
      <selection pane="bottomRight" activeCell="BX46" sqref="BX46:CA46"/>
    </sheetView>
  </sheetViews>
  <sheetFormatPr defaultColWidth="8.7265625" defaultRowHeight="13" x14ac:dyDescent="0.6"/>
  <cols>
    <col min="1" max="1" width="1.86328125" style="147" customWidth="1"/>
    <col min="2" max="2" width="42.1328125" style="151" customWidth="1"/>
    <col min="3" max="3" width="8" style="149" bestFit="1" customWidth="1"/>
    <col min="4" max="62" width="8" style="149" hidden="1" customWidth="1"/>
    <col min="63" max="63" width="8.54296875" style="149" hidden="1" customWidth="1"/>
    <col min="64" max="82" width="8.54296875" style="149" bestFit="1" customWidth="1"/>
    <col min="83" max="16384" width="8.7265625" style="147"/>
  </cols>
  <sheetData>
    <row r="1" spans="2:82" ht="15.5" x14ac:dyDescent="0.7">
      <c r="B1" s="1" t="s">
        <v>0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  <c r="BR1" s="146"/>
      <c r="BS1" s="146"/>
      <c r="BT1" s="2"/>
      <c r="BU1" s="2"/>
      <c r="BV1" s="2"/>
      <c r="BW1" s="2"/>
      <c r="BX1" s="2"/>
      <c r="BY1" s="2"/>
      <c r="BZ1" s="2"/>
      <c r="CA1" s="2"/>
      <c r="CB1" s="146"/>
      <c r="CC1" s="146"/>
      <c r="CD1" s="146"/>
    </row>
    <row r="2" spans="2:82" ht="18.5" thickBot="1" x14ac:dyDescent="0.9">
      <c r="B2" s="3" t="s">
        <v>1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146"/>
      <c r="AL2" s="146"/>
      <c r="AM2" s="146"/>
      <c r="AN2" s="146"/>
      <c r="AO2" s="146"/>
      <c r="AP2" s="146"/>
      <c r="AQ2" s="146"/>
      <c r="AR2" s="146"/>
      <c r="AS2" s="146"/>
      <c r="AT2" s="146"/>
      <c r="AU2" s="146"/>
      <c r="AV2" s="146"/>
      <c r="AW2" s="146"/>
      <c r="AX2" s="146"/>
      <c r="AY2" s="146"/>
      <c r="AZ2" s="146"/>
      <c r="BA2" s="146"/>
      <c r="BB2" s="146"/>
      <c r="BC2" s="146"/>
      <c r="BD2" s="146"/>
      <c r="BE2" s="146"/>
      <c r="BF2" s="146"/>
      <c r="BG2" s="146"/>
      <c r="BH2" s="146"/>
      <c r="BI2" s="146"/>
      <c r="BJ2" s="146"/>
      <c r="BK2" s="146"/>
      <c r="BL2" s="146"/>
      <c r="BM2" s="146"/>
      <c r="BN2" s="146"/>
      <c r="BO2" s="146"/>
      <c r="BP2" s="146"/>
      <c r="BQ2" s="146"/>
      <c r="BR2" s="146"/>
      <c r="BS2" s="146"/>
      <c r="BT2" s="148"/>
      <c r="BU2" s="148"/>
      <c r="BV2" s="148"/>
      <c r="BW2" s="148"/>
      <c r="BX2" s="148"/>
      <c r="BY2" s="148"/>
      <c r="BZ2" s="148"/>
      <c r="CA2" s="148"/>
      <c r="CB2" s="148"/>
      <c r="CC2" s="148"/>
      <c r="CD2" s="148"/>
    </row>
    <row r="3" spans="2:82" s="149" customFormat="1" ht="14.5" thickTop="1" thickBot="1" x14ac:dyDescent="0.75">
      <c r="B3" s="4"/>
      <c r="C3" s="5">
        <v>2024</v>
      </c>
      <c r="D3" s="5" t="s">
        <v>34</v>
      </c>
      <c r="E3" s="5" t="s">
        <v>35</v>
      </c>
      <c r="F3" s="5" t="s">
        <v>36</v>
      </c>
      <c r="G3" s="5" t="s">
        <v>37</v>
      </c>
      <c r="H3" s="5" t="s">
        <v>38</v>
      </c>
      <c r="I3" s="5" t="s">
        <v>39</v>
      </c>
      <c r="J3" s="5" t="s">
        <v>40</v>
      </c>
      <c r="K3" s="5" t="s">
        <v>41</v>
      </c>
      <c r="L3" s="5" t="s">
        <v>42</v>
      </c>
      <c r="M3" s="5" t="s">
        <v>43</v>
      </c>
      <c r="N3" s="5" t="s">
        <v>44</v>
      </c>
      <c r="O3" s="5" t="s">
        <v>45</v>
      </c>
      <c r="P3" s="5" t="s">
        <v>46</v>
      </c>
      <c r="Q3" s="5" t="s">
        <v>47</v>
      </c>
      <c r="R3" s="5" t="s">
        <v>48</v>
      </c>
      <c r="S3" s="5" t="s">
        <v>49</v>
      </c>
      <c r="T3" s="5" t="s">
        <v>50</v>
      </c>
      <c r="U3" s="5" t="s">
        <v>51</v>
      </c>
      <c r="V3" s="5" t="s">
        <v>52</v>
      </c>
      <c r="W3" s="5" t="s">
        <v>53</v>
      </c>
      <c r="X3" s="5" t="s">
        <v>54</v>
      </c>
      <c r="Y3" s="5" t="s">
        <v>55</v>
      </c>
      <c r="Z3" s="5" t="s">
        <v>56</v>
      </c>
      <c r="AA3" s="5" t="s">
        <v>57</v>
      </c>
      <c r="AB3" s="5" t="s">
        <v>58</v>
      </c>
      <c r="AC3" s="5" t="s">
        <v>59</v>
      </c>
      <c r="AD3" s="5" t="s">
        <v>60</v>
      </c>
      <c r="AE3" s="5" t="s">
        <v>61</v>
      </c>
      <c r="AF3" s="5" t="s">
        <v>62</v>
      </c>
      <c r="AG3" s="5" t="s">
        <v>63</v>
      </c>
      <c r="AH3" s="5" t="s">
        <v>64</v>
      </c>
      <c r="AI3" s="5" t="s">
        <v>65</v>
      </c>
      <c r="AJ3" s="5" t="s">
        <v>66</v>
      </c>
      <c r="AK3" s="5" t="s">
        <v>67</v>
      </c>
      <c r="AL3" s="5" t="s">
        <v>68</v>
      </c>
      <c r="AM3" s="5" t="s">
        <v>69</v>
      </c>
      <c r="AN3" s="5" t="s">
        <v>70</v>
      </c>
      <c r="AO3" s="5" t="s">
        <v>71</v>
      </c>
      <c r="AP3" s="5" t="s">
        <v>72</v>
      </c>
      <c r="AQ3" s="5" t="s">
        <v>73</v>
      </c>
      <c r="AR3" s="5" t="s">
        <v>74</v>
      </c>
      <c r="AS3" s="5" t="s">
        <v>75</v>
      </c>
      <c r="AT3" s="5" t="s">
        <v>76</v>
      </c>
      <c r="AU3" s="5" t="s">
        <v>77</v>
      </c>
      <c r="AV3" s="5" t="s">
        <v>78</v>
      </c>
      <c r="AW3" s="5" t="s">
        <v>79</v>
      </c>
      <c r="AX3" s="5" t="s">
        <v>80</v>
      </c>
      <c r="AY3" s="5" t="s">
        <v>81</v>
      </c>
      <c r="AZ3" s="5" t="s">
        <v>82</v>
      </c>
      <c r="BA3" s="5" t="s">
        <v>83</v>
      </c>
      <c r="BB3" s="5" t="s">
        <v>84</v>
      </c>
      <c r="BC3" s="5" t="s">
        <v>85</v>
      </c>
      <c r="BD3" s="5" t="s">
        <v>86</v>
      </c>
      <c r="BE3" s="5" t="s">
        <v>87</v>
      </c>
      <c r="BF3" s="5" t="s">
        <v>88</v>
      </c>
      <c r="BG3" s="5" t="s">
        <v>89</v>
      </c>
      <c r="BH3" s="5" t="s">
        <v>90</v>
      </c>
      <c r="BI3" s="5" t="s">
        <v>91</v>
      </c>
      <c r="BJ3" s="5" t="s">
        <v>92</v>
      </c>
      <c r="BK3" s="5" t="s">
        <v>93</v>
      </c>
      <c r="BL3" s="5" t="s">
        <v>94</v>
      </c>
      <c r="BM3" s="5" t="s">
        <v>95</v>
      </c>
      <c r="BN3" s="5" t="s">
        <v>96</v>
      </c>
      <c r="BO3" s="5" t="s">
        <v>97</v>
      </c>
      <c r="BP3" s="5" t="s">
        <v>98</v>
      </c>
      <c r="BQ3" s="5" t="s">
        <v>99</v>
      </c>
      <c r="BR3" s="5" t="s">
        <v>100</v>
      </c>
      <c r="BS3" s="5" t="s">
        <v>101</v>
      </c>
      <c r="BT3" s="5" t="s">
        <v>102</v>
      </c>
      <c r="BU3" s="5" t="s">
        <v>103</v>
      </c>
      <c r="BV3" s="5" t="s">
        <v>104</v>
      </c>
      <c r="BW3" s="5" t="s">
        <v>105</v>
      </c>
      <c r="BX3" s="5" t="s">
        <v>106</v>
      </c>
      <c r="BY3" s="5" t="s">
        <v>107</v>
      </c>
      <c r="BZ3" s="5" t="s">
        <v>108</v>
      </c>
      <c r="CA3" s="5" t="s">
        <v>109</v>
      </c>
      <c r="CB3" s="5" t="s">
        <v>110</v>
      </c>
      <c r="CC3" s="5" t="s">
        <v>111</v>
      </c>
      <c r="CD3" s="5" t="s">
        <v>112</v>
      </c>
    </row>
    <row r="4" spans="2:82" ht="13.75" thickTop="1" x14ac:dyDescent="0.6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</row>
    <row r="5" spans="2:82" x14ac:dyDescent="0.6">
      <c r="B5" s="8" t="s">
        <v>2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</row>
    <row r="6" spans="2:82" x14ac:dyDescent="0.6">
      <c r="B6" s="10" t="s">
        <v>3</v>
      </c>
      <c r="C6" s="2">
        <v>19918</v>
      </c>
      <c r="D6" s="2">
        <v>401</v>
      </c>
      <c r="E6" s="2">
        <v>452</v>
      </c>
      <c r="F6" s="2">
        <v>479</v>
      </c>
      <c r="G6" s="2">
        <v>499</v>
      </c>
      <c r="H6" s="2">
        <v>506</v>
      </c>
      <c r="I6" s="2">
        <v>547</v>
      </c>
      <c r="J6" s="2">
        <v>574</v>
      </c>
      <c r="K6" s="2">
        <v>599</v>
      </c>
      <c r="L6" s="2">
        <v>608</v>
      </c>
      <c r="M6" s="2">
        <v>687</v>
      </c>
      <c r="N6" s="2">
        <v>750</v>
      </c>
      <c r="O6" s="2">
        <v>788</v>
      </c>
      <c r="P6" s="2">
        <v>786</v>
      </c>
      <c r="Q6" s="2">
        <v>774</v>
      </c>
      <c r="R6" s="2">
        <v>809</v>
      </c>
      <c r="S6" s="2">
        <v>855</v>
      </c>
      <c r="T6" s="2">
        <v>853</v>
      </c>
      <c r="U6" s="2">
        <v>858</v>
      </c>
      <c r="V6" s="2">
        <v>906</v>
      </c>
      <c r="W6" s="2">
        <v>955</v>
      </c>
      <c r="X6" s="2">
        <v>963</v>
      </c>
      <c r="Y6" s="2">
        <v>1000</v>
      </c>
      <c r="Z6" s="2">
        <v>1074</v>
      </c>
      <c r="AA6" s="2">
        <v>1096</v>
      </c>
      <c r="AB6" s="2">
        <v>1114</v>
      </c>
      <c r="AC6" s="2">
        <v>1144</v>
      </c>
      <c r="AD6" s="2">
        <v>1210</v>
      </c>
      <c r="AE6" s="2">
        <v>1234</v>
      </c>
      <c r="AF6" s="2">
        <v>1214</v>
      </c>
      <c r="AG6" s="2">
        <v>1253</v>
      </c>
      <c r="AH6" s="2">
        <v>1261</v>
      </c>
      <c r="AI6" s="2">
        <v>1329</v>
      </c>
      <c r="AJ6" s="2">
        <v>1355</v>
      </c>
      <c r="AK6" s="2">
        <v>1394</v>
      </c>
      <c r="AL6" s="2">
        <v>1437</v>
      </c>
      <c r="AM6" s="2">
        <v>1436</v>
      </c>
      <c r="AN6" s="2">
        <v>1465</v>
      </c>
      <c r="AO6" s="2">
        <v>1500</v>
      </c>
      <c r="AP6" s="2">
        <v>1568</v>
      </c>
      <c r="AQ6" s="2">
        <v>1617</v>
      </c>
      <c r="AR6" s="2">
        <v>1661</v>
      </c>
      <c r="AS6" s="2">
        <v>1711</v>
      </c>
      <c r="AT6" s="2">
        <v>1696</v>
      </c>
      <c r="AU6" s="2">
        <v>1778</v>
      </c>
      <c r="AV6" s="2">
        <v>1846</v>
      </c>
      <c r="AW6" s="2">
        <v>1917</v>
      </c>
      <c r="AX6" s="2">
        <v>1944</v>
      </c>
      <c r="AY6" s="2">
        <v>1988</v>
      </c>
      <c r="AZ6" s="2">
        <v>2016</v>
      </c>
      <c r="BA6" s="2">
        <v>2132</v>
      </c>
      <c r="BB6" s="2">
        <v>1884</v>
      </c>
      <c r="BC6" s="2">
        <v>2277</v>
      </c>
      <c r="BD6" s="2">
        <v>2160</v>
      </c>
      <c r="BE6" s="2">
        <v>2468</v>
      </c>
      <c r="BF6" s="2">
        <v>2195</v>
      </c>
      <c r="BG6" s="2">
        <v>2637</v>
      </c>
      <c r="BH6" s="2">
        <v>2395</v>
      </c>
      <c r="BI6" s="2">
        <v>2413</v>
      </c>
      <c r="BJ6" s="2">
        <v>2221</v>
      </c>
      <c r="BK6" s="2">
        <v>2862</v>
      </c>
      <c r="BL6" s="2">
        <v>2574</v>
      </c>
      <c r="BM6" s="2">
        <v>2841</v>
      </c>
      <c r="BN6" s="2">
        <v>2598</v>
      </c>
      <c r="BO6" s="2">
        <v>3112</v>
      </c>
      <c r="BP6" s="2">
        <v>3101</v>
      </c>
      <c r="BQ6" s="2">
        <v>3549</v>
      </c>
      <c r="BR6" s="2">
        <v>3304</v>
      </c>
      <c r="BS6" s="2">
        <v>4210</v>
      </c>
      <c r="BT6" s="2">
        <v>4031</v>
      </c>
      <c r="BU6" s="2">
        <v>4255</v>
      </c>
      <c r="BV6" s="2">
        <v>3875</v>
      </c>
      <c r="BW6" s="2">
        <v>5016</v>
      </c>
      <c r="BX6" s="2">
        <v>4514</v>
      </c>
      <c r="BY6" s="2">
        <v>4965</v>
      </c>
      <c r="BZ6" s="2">
        <v>4659</v>
      </c>
      <c r="CA6" s="2">
        <v>5780</v>
      </c>
      <c r="CB6" s="2">
        <v>5276</v>
      </c>
      <c r="CC6" s="2">
        <v>5799</v>
      </c>
      <c r="CD6" s="2">
        <v>5525</v>
      </c>
    </row>
    <row r="7" spans="2:82" x14ac:dyDescent="0.6">
      <c r="B7" s="11" t="s">
        <v>4</v>
      </c>
      <c r="C7" s="12"/>
      <c r="D7" s="12">
        <v>0</v>
      </c>
      <c r="E7" s="12">
        <v>0</v>
      </c>
      <c r="F7" s="12">
        <v>0</v>
      </c>
      <c r="G7" s="12">
        <v>0</v>
      </c>
      <c r="H7" s="12">
        <v>0.26200000000000001</v>
      </c>
      <c r="I7" s="12">
        <v>0.21099999999999999</v>
      </c>
      <c r="J7" s="12">
        <v>0.19800000000000001</v>
      </c>
      <c r="K7" s="12">
        <v>0.2</v>
      </c>
      <c r="L7" s="12">
        <v>0.2</v>
      </c>
      <c r="M7" s="12">
        <v>0.25600000000000001</v>
      </c>
      <c r="N7" s="12">
        <v>0.307</v>
      </c>
      <c r="O7" s="12">
        <v>0.316</v>
      </c>
      <c r="P7" s="12">
        <v>0.29399999999999998</v>
      </c>
      <c r="Q7" s="12">
        <v>0.127</v>
      </c>
      <c r="R7" s="12">
        <v>7.9000000000000001E-2</v>
      </c>
      <c r="S7" s="12">
        <v>8.5000000000000006E-2</v>
      </c>
      <c r="T7" s="12">
        <v>8.5000000000000006E-2</v>
      </c>
      <c r="U7" s="12">
        <v>0.108</v>
      </c>
      <c r="V7" s="12">
        <v>0.12</v>
      </c>
      <c r="W7" s="12">
        <v>0.11700000000000001</v>
      </c>
      <c r="X7" s="12">
        <v>0.129</v>
      </c>
      <c r="Y7" s="12">
        <v>0.16500000000000001</v>
      </c>
      <c r="Z7" s="12">
        <v>0.186</v>
      </c>
      <c r="AA7" s="12">
        <v>0.14699999999999999</v>
      </c>
      <c r="AB7" s="12">
        <v>0.156</v>
      </c>
      <c r="AC7" s="12">
        <v>0.14399999999999999</v>
      </c>
      <c r="AD7" s="12">
        <v>0.126</v>
      </c>
      <c r="AE7" s="12">
        <v>0.127</v>
      </c>
      <c r="AF7" s="12">
        <v>8.8999999999999996E-2</v>
      </c>
      <c r="AG7" s="12">
        <v>9.6000000000000002E-2</v>
      </c>
      <c r="AH7" s="12">
        <v>4.2000000000000003E-2</v>
      </c>
      <c r="AI7" s="12">
        <v>7.5999999999999998E-2</v>
      </c>
      <c r="AJ7" s="12">
        <v>0.11700000000000001</v>
      </c>
      <c r="AK7" s="12">
        <v>0.113</v>
      </c>
      <c r="AL7" s="12">
        <v>0.14000000000000001</v>
      </c>
      <c r="AM7" s="12">
        <v>0.08</v>
      </c>
      <c r="AN7" s="12">
        <v>8.1000000000000003E-2</v>
      </c>
      <c r="AO7" s="12">
        <v>7.5999999999999998E-2</v>
      </c>
      <c r="AP7" s="12">
        <v>9.0999999999999998E-2</v>
      </c>
      <c r="AQ7" s="12">
        <v>0.127</v>
      </c>
      <c r="AR7" s="12">
        <v>0.13300000000000001</v>
      </c>
      <c r="AS7" s="12">
        <v>0.14000000000000001</v>
      </c>
      <c r="AT7" s="12">
        <v>8.2000000000000003E-2</v>
      </c>
      <c r="AU7" s="12">
        <v>9.9000000000000005E-2</v>
      </c>
      <c r="AV7" s="12">
        <v>0.111</v>
      </c>
      <c r="AW7" s="12">
        <v>0.12</v>
      </c>
      <c r="AX7" s="12">
        <v>0.14599999999999999</v>
      </c>
      <c r="AY7" s="12">
        <v>0.11799999999999999</v>
      </c>
      <c r="AZ7" s="12">
        <v>9.1999999999999998E-2</v>
      </c>
      <c r="BA7" s="12">
        <v>0.112</v>
      </c>
      <c r="BB7" s="12">
        <v>-3.1E-2</v>
      </c>
      <c r="BC7" s="12">
        <v>0.14599999999999999</v>
      </c>
      <c r="BD7" s="12">
        <v>7.1999999999999995E-2</v>
      </c>
      <c r="BE7" s="12">
        <v>0.158</v>
      </c>
      <c r="BF7" s="12">
        <v>0.16500000000000001</v>
      </c>
      <c r="BG7" s="12">
        <v>0.158</v>
      </c>
      <c r="BH7" s="12">
        <v>0.109</v>
      </c>
      <c r="BI7" s="12">
        <v>-2.1999999999999999E-2</v>
      </c>
      <c r="BJ7" s="12">
        <v>1.2E-2</v>
      </c>
      <c r="BK7" s="12">
        <v>8.5000000000000006E-2</v>
      </c>
      <c r="BL7" s="12">
        <v>7.4999999999999997E-2</v>
      </c>
      <c r="BM7" s="12">
        <v>0.17699999999999999</v>
      </c>
      <c r="BN7" s="12">
        <v>0.16900000000000001</v>
      </c>
      <c r="BO7" s="12">
        <v>8.6999999999999994E-2</v>
      </c>
      <c r="BP7" s="12">
        <v>0.20499999999999999</v>
      </c>
      <c r="BQ7" s="12">
        <v>0.249</v>
      </c>
      <c r="BR7" s="12">
        <v>0.27200000000000002</v>
      </c>
      <c r="BS7" s="12">
        <v>0.35299999999999998</v>
      </c>
      <c r="BT7" s="12">
        <v>0.3</v>
      </c>
      <c r="BU7" s="12">
        <v>0.19900000000000001</v>
      </c>
      <c r="BV7" s="12">
        <v>0.17299999999999999</v>
      </c>
      <c r="BW7" s="12">
        <v>0.191</v>
      </c>
      <c r="BX7" s="12">
        <v>0.12</v>
      </c>
      <c r="BY7" s="12">
        <v>0.16700000000000001</v>
      </c>
      <c r="BZ7" s="12">
        <v>0.20200000000000001</v>
      </c>
      <c r="CA7" s="12">
        <v>0.152</v>
      </c>
      <c r="CB7" s="12">
        <v>0.16900000000000001</v>
      </c>
      <c r="CC7" s="12">
        <v>0.16800000000000001</v>
      </c>
      <c r="CD7" s="12">
        <v>0.186</v>
      </c>
    </row>
    <row r="8" spans="2:82" x14ac:dyDescent="0.6">
      <c r="B8" s="10" t="s">
        <v>5</v>
      </c>
      <c r="C8" s="2">
        <v>19918</v>
      </c>
      <c r="D8" s="2">
        <v>813</v>
      </c>
      <c r="E8" s="2">
        <v>873</v>
      </c>
      <c r="F8" s="2">
        <v>960</v>
      </c>
      <c r="G8" s="2">
        <v>961</v>
      </c>
      <c r="H8" s="2">
        <v>922</v>
      </c>
      <c r="I8" s="2">
        <v>941</v>
      </c>
      <c r="J8" s="2">
        <v>995</v>
      </c>
      <c r="K8" s="2">
        <v>1024</v>
      </c>
      <c r="L8" s="2">
        <v>1009</v>
      </c>
      <c r="M8" s="2">
        <v>1067</v>
      </c>
      <c r="N8" s="2">
        <v>1113</v>
      </c>
      <c r="O8" s="2">
        <v>1127</v>
      </c>
      <c r="P8" s="2">
        <v>1133</v>
      </c>
      <c r="Q8" s="2">
        <v>1121</v>
      </c>
      <c r="R8" s="2">
        <v>1152</v>
      </c>
      <c r="S8" s="2">
        <v>1180</v>
      </c>
      <c r="T8" s="2">
        <v>1191</v>
      </c>
      <c r="U8" s="2">
        <v>1193</v>
      </c>
      <c r="V8" s="2">
        <v>1244</v>
      </c>
      <c r="W8" s="2">
        <v>1294</v>
      </c>
      <c r="X8" s="2">
        <v>1292</v>
      </c>
      <c r="Y8" s="2">
        <v>1263</v>
      </c>
      <c r="Z8" s="2">
        <v>1373</v>
      </c>
      <c r="AA8" s="2">
        <v>1386</v>
      </c>
      <c r="AB8" s="2">
        <v>1400</v>
      </c>
      <c r="AC8" s="2">
        <v>1399</v>
      </c>
      <c r="AD8" s="2">
        <v>1471</v>
      </c>
      <c r="AE8" s="2">
        <v>1503</v>
      </c>
      <c r="AF8" s="2">
        <v>1466</v>
      </c>
      <c r="AG8" s="2">
        <v>1510</v>
      </c>
      <c r="AH8" s="2">
        <v>1509</v>
      </c>
      <c r="AI8" s="2">
        <v>1561</v>
      </c>
      <c r="AJ8" s="2">
        <v>1554</v>
      </c>
      <c r="AK8" s="2">
        <v>1578</v>
      </c>
      <c r="AL8" s="2">
        <v>1643</v>
      </c>
      <c r="AM8" s="2">
        <v>1643</v>
      </c>
      <c r="AN8" s="2">
        <v>1678</v>
      </c>
      <c r="AO8" s="2">
        <v>1724</v>
      </c>
      <c r="AP8" s="2">
        <v>1776</v>
      </c>
      <c r="AQ8" s="2">
        <v>1808</v>
      </c>
      <c r="AR8" s="2">
        <v>1858</v>
      </c>
      <c r="AS8" s="2">
        <v>1872</v>
      </c>
      <c r="AT8" s="2">
        <v>1833</v>
      </c>
      <c r="AU8" s="2">
        <v>1841</v>
      </c>
      <c r="AV8" s="2">
        <v>1862</v>
      </c>
      <c r="AW8" s="2">
        <v>1904</v>
      </c>
      <c r="AX8" s="2">
        <v>1955</v>
      </c>
      <c r="AY8" s="2">
        <v>1973</v>
      </c>
      <c r="AZ8" s="2">
        <v>3264</v>
      </c>
      <c r="BA8" s="2">
        <v>3433</v>
      </c>
      <c r="BB8" s="2">
        <v>3026</v>
      </c>
      <c r="BC8" s="2">
        <v>3804</v>
      </c>
      <c r="BD8" s="2">
        <v>3468</v>
      </c>
      <c r="BE8" s="2">
        <v>3885</v>
      </c>
      <c r="BF8" s="2">
        <v>3383</v>
      </c>
      <c r="BG8" s="2">
        <v>4046</v>
      </c>
      <c r="BH8" s="2">
        <v>3621</v>
      </c>
      <c r="BI8" s="2">
        <v>3451</v>
      </c>
      <c r="BJ8" s="2">
        <v>3258</v>
      </c>
      <c r="BK8" s="2">
        <v>4042</v>
      </c>
      <c r="BL8" s="2">
        <v>3707</v>
      </c>
      <c r="BM8" s="2">
        <v>4070</v>
      </c>
      <c r="BN8" s="2">
        <v>3454</v>
      </c>
      <c r="BO8" s="2">
        <v>4350</v>
      </c>
      <c r="BP8" s="2">
        <v>4074</v>
      </c>
      <c r="BQ8" s="2">
        <v>4541</v>
      </c>
      <c r="BR8" s="2">
        <v>3852</v>
      </c>
      <c r="BS8" s="2">
        <v>4644</v>
      </c>
      <c r="BT8" s="2">
        <v>4386</v>
      </c>
      <c r="BU8" s="2">
        <v>4659</v>
      </c>
      <c r="BV8" s="2">
        <v>4261</v>
      </c>
      <c r="BW8" s="2">
        <v>5270</v>
      </c>
      <c r="BX8" s="2">
        <v>4741</v>
      </c>
      <c r="BY8" s="2">
        <v>5137</v>
      </c>
      <c r="BZ8" s="2">
        <v>4550</v>
      </c>
      <c r="CA8" s="2">
        <v>5489</v>
      </c>
      <c r="CB8" s="2">
        <v>5052</v>
      </c>
      <c r="CC8" s="2">
        <v>5540</v>
      </c>
      <c r="CD8" s="2">
        <v>5089</v>
      </c>
    </row>
    <row r="9" spans="2:82" x14ac:dyDescent="0.6">
      <c r="B9" s="11" t="s">
        <v>4</v>
      </c>
      <c r="C9" s="12"/>
      <c r="D9" s="12">
        <v>0</v>
      </c>
      <c r="E9" s="12">
        <v>0</v>
      </c>
      <c r="F9" s="12">
        <v>0</v>
      </c>
      <c r="G9" s="12">
        <v>0</v>
      </c>
      <c r="H9" s="12">
        <v>0.13400000000000001</v>
      </c>
      <c r="I9" s="12">
        <v>7.6999999999999999E-2</v>
      </c>
      <c r="J9" s="12">
        <v>3.6999999999999998E-2</v>
      </c>
      <c r="K9" s="12">
        <v>6.6000000000000003E-2</v>
      </c>
      <c r="L9" s="12">
        <v>9.4E-2</v>
      </c>
      <c r="M9" s="12">
        <v>0.13400000000000001</v>
      </c>
      <c r="N9" s="12">
        <v>0.11799999999999999</v>
      </c>
      <c r="O9" s="12">
        <v>0.1</v>
      </c>
      <c r="P9" s="12">
        <v>0.122</v>
      </c>
      <c r="Q9" s="12">
        <v>0.05</v>
      </c>
      <c r="R9" s="12">
        <v>3.5000000000000003E-2</v>
      </c>
      <c r="S9" s="12">
        <v>4.7E-2</v>
      </c>
      <c r="T9" s="12">
        <v>5.1999999999999998E-2</v>
      </c>
      <c r="U9" s="12">
        <v>6.4000000000000001E-2</v>
      </c>
      <c r="V9" s="12">
        <v>0.08</v>
      </c>
      <c r="W9" s="12">
        <v>9.7000000000000003E-2</v>
      </c>
      <c r="X9" s="12">
        <v>8.4000000000000005E-2</v>
      </c>
      <c r="Y9" s="12">
        <v>5.8999999999999997E-2</v>
      </c>
      <c r="Z9" s="12">
        <v>0.10299999999999999</v>
      </c>
      <c r="AA9" s="12">
        <v>7.0999999999999994E-2</v>
      </c>
      <c r="AB9" s="12">
        <v>8.4000000000000005E-2</v>
      </c>
      <c r="AC9" s="12">
        <v>0.107</v>
      </c>
      <c r="AD9" s="12">
        <v>7.1999999999999995E-2</v>
      </c>
      <c r="AE9" s="12">
        <v>8.5000000000000006E-2</v>
      </c>
      <c r="AF9" s="12">
        <v>4.7E-2</v>
      </c>
      <c r="AG9" s="12">
        <v>0.08</v>
      </c>
      <c r="AH9" s="12">
        <v>2.5999999999999999E-2</v>
      </c>
      <c r="AI9" s="12">
        <v>3.7999999999999999E-2</v>
      </c>
      <c r="AJ9" s="12">
        <v>0.06</v>
      </c>
      <c r="AK9" s="12">
        <v>4.4999999999999998E-2</v>
      </c>
      <c r="AL9" s="12">
        <v>8.8999999999999996E-2</v>
      </c>
      <c r="AM9" s="12">
        <v>5.2999999999999999E-2</v>
      </c>
      <c r="AN9" s="12">
        <v>0.08</v>
      </c>
      <c r="AO9" s="12">
        <v>9.2999999999999999E-2</v>
      </c>
      <c r="AP9" s="12">
        <v>8.1000000000000003E-2</v>
      </c>
      <c r="AQ9" s="12">
        <v>0.1</v>
      </c>
      <c r="AR9" s="12">
        <v>0.107</v>
      </c>
      <c r="AS9" s="12">
        <v>8.5000000000000006E-2</v>
      </c>
      <c r="AT9" s="12">
        <v>3.2000000000000001E-2</v>
      </c>
      <c r="AU9" s="12">
        <v>1.7999999999999999E-2</v>
      </c>
      <c r="AV9" s="12">
        <v>2E-3</v>
      </c>
      <c r="AW9" s="12">
        <v>1.7000000000000001E-2</v>
      </c>
      <c r="AX9" s="12">
        <v>6.6000000000000003E-2</v>
      </c>
      <c r="AY9" s="12">
        <v>7.1999999999999995E-2</v>
      </c>
      <c r="AZ9" s="12">
        <v>0.753</v>
      </c>
      <c r="BA9" s="12">
        <v>0.80300000000000005</v>
      </c>
      <c r="BB9" s="12">
        <v>0.54800000000000004</v>
      </c>
      <c r="BC9" s="12">
        <v>0.92800000000000005</v>
      </c>
      <c r="BD9" s="12">
        <v>6.3E-2</v>
      </c>
      <c r="BE9" s="12">
        <v>0.13200000000000001</v>
      </c>
      <c r="BF9" s="12">
        <v>0.11799999999999999</v>
      </c>
      <c r="BG9" s="12">
        <v>6.4000000000000001E-2</v>
      </c>
      <c r="BH9" s="12">
        <v>4.3999999999999997E-2</v>
      </c>
      <c r="BI9" s="12">
        <v>-0.112</v>
      </c>
      <c r="BJ9" s="12">
        <v>-3.6999999999999998E-2</v>
      </c>
      <c r="BK9" s="12">
        <v>-1E-3</v>
      </c>
      <c r="BL9" s="12">
        <v>2.4E-2</v>
      </c>
      <c r="BM9" s="12">
        <v>0.17899999999999999</v>
      </c>
      <c r="BN9" s="12">
        <v>0.06</v>
      </c>
      <c r="BO9" s="12">
        <v>7.5999999999999998E-2</v>
      </c>
      <c r="BP9" s="12">
        <v>9.9000000000000005E-2</v>
      </c>
      <c r="BQ9" s="12">
        <v>0.11600000000000001</v>
      </c>
      <c r="BR9" s="12">
        <v>0.115</v>
      </c>
      <c r="BS9" s="12">
        <v>6.8000000000000005E-2</v>
      </c>
      <c r="BT9" s="12">
        <v>7.6999999999999999E-2</v>
      </c>
      <c r="BU9" s="12">
        <v>2.5999999999999999E-2</v>
      </c>
      <c r="BV9" s="12">
        <v>0.106</v>
      </c>
      <c r="BW9" s="12">
        <v>0.13500000000000001</v>
      </c>
      <c r="BX9" s="12">
        <v>8.1000000000000003E-2</v>
      </c>
      <c r="BY9" s="12">
        <v>0.10299999999999999</v>
      </c>
      <c r="BZ9" s="12">
        <v>6.8000000000000005E-2</v>
      </c>
      <c r="CA9" s="12">
        <v>4.2000000000000003E-2</v>
      </c>
      <c r="CB9" s="12">
        <v>6.5000000000000002E-2</v>
      </c>
      <c r="CC9" s="12">
        <v>7.8E-2</v>
      </c>
      <c r="CD9" s="12">
        <v>0.11799999999999999</v>
      </c>
    </row>
    <row r="10" spans="2:82" x14ac:dyDescent="0.6">
      <c r="B10" s="10" t="s">
        <v>6</v>
      </c>
      <c r="C10" s="2">
        <v>100</v>
      </c>
      <c r="D10" s="2">
        <v>49</v>
      </c>
      <c r="E10" s="2">
        <v>52</v>
      </c>
      <c r="F10" s="2">
        <v>50</v>
      </c>
      <c r="G10" s="2">
        <v>52</v>
      </c>
      <c r="H10" s="2">
        <v>55</v>
      </c>
      <c r="I10" s="2">
        <v>58</v>
      </c>
      <c r="J10" s="2">
        <v>58</v>
      </c>
      <c r="K10" s="2">
        <v>58</v>
      </c>
      <c r="L10" s="2">
        <v>60</v>
      </c>
      <c r="M10" s="2">
        <v>64</v>
      </c>
      <c r="N10" s="2">
        <v>67</v>
      </c>
      <c r="O10" s="2">
        <v>70</v>
      </c>
      <c r="P10" s="2">
        <v>69</v>
      </c>
      <c r="Q10" s="2">
        <v>69</v>
      </c>
      <c r="R10" s="2">
        <v>70</v>
      </c>
      <c r="S10" s="2">
        <v>72</v>
      </c>
      <c r="T10" s="2">
        <v>72</v>
      </c>
      <c r="U10" s="2">
        <v>72</v>
      </c>
      <c r="V10" s="2">
        <v>73</v>
      </c>
      <c r="W10" s="2">
        <v>74</v>
      </c>
      <c r="X10" s="2">
        <v>75</v>
      </c>
      <c r="Y10" s="2">
        <v>79</v>
      </c>
      <c r="Z10" s="2">
        <v>78</v>
      </c>
      <c r="AA10" s="2">
        <v>79</v>
      </c>
      <c r="AB10" s="2">
        <v>80</v>
      </c>
      <c r="AC10" s="2">
        <v>82</v>
      </c>
      <c r="AD10" s="2">
        <v>82</v>
      </c>
      <c r="AE10" s="2">
        <v>82</v>
      </c>
      <c r="AF10" s="2">
        <v>83</v>
      </c>
      <c r="AG10" s="2">
        <v>83</v>
      </c>
      <c r="AH10" s="2">
        <v>84</v>
      </c>
      <c r="AI10" s="2">
        <v>85</v>
      </c>
      <c r="AJ10" s="2">
        <v>87</v>
      </c>
      <c r="AK10" s="2">
        <v>88</v>
      </c>
      <c r="AL10" s="2">
        <v>87</v>
      </c>
      <c r="AM10" s="2">
        <v>87</v>
      </c>
      <c r="AN10" s="2">
        <v>87</v>
      </c>
      <c r="AO10" s="2">
        <v>87</v>
      </c>
      <c r="AP10" s="2">
        <v>88</v>
      </c>
      <c r="AQ10" s="2">
        <v>89</v>
      </c>
      <c r="AR10" s="2">
        <v>89</v>
      </c>
      <c r="AS10" s="2">
        <v>91</v>
      </c>
      <c r="AT10" s="2">
        <v>93</v>
      </c>
      <c r="AU10" s="2">
        <v>97</v>
      </c>
      <c r="AV10" s="2">
        <v>99</v>
      </c>
      <c r="AW10" s="2">
        <v>101</v>
      </c>
      <c r="AX10" s="2">
        <v>99</v>
      </c>
      <c r="AY10" s="2">
        <v>101</v>
      </c>
      <c r="AZ10" s="2">
        <v>62</v>
      </c>
      <c r="BA10" s="2">
        <v>62</v>
      </c>
      <c r="BB10" s="2">
        <v>62</v>
      </c>
      <c r="BC10" s="2">
        <v>60</v>
      </c>
      <c r="BD10" s="2">
        <v>62</v>
      </c>
      <c r="BE10" s="2">
        <v>64</v>
      </c>
      <c r="BF10" s="2">
        <v>65</v>
      </c>
      <c r="BG10" s="2">
        <v>65</v>
      </c>
      <c r="BH10" s="2">
        <v>66</v>
      </c>
      <c r="BI10" s="2">
        <v>70</v>
      </c>
      <c r="BJ10" s="2">
        <v>68</v>
      </c>
      <c r="BK10" s="2">
        <v>71</v>
      </c>
      <c r="BL10" s="2">
        <v>69</v>
      </c>
      <c r="BM10" s="2">
        <v>70</v>
      </c>
      <c r="BN10" s="2">
        <v>75</v>
      </c>
      <c r="BO10" s="2">
        <v>72</v>
      </c>
      <c r="BP10" s="2">
        <v>76</v>
      </c>
      <c r="BQ10" s="2">
        <v>78</v>
      </c>
      <c r="BR10" s="2">
        <v>86</v>
      </c>
      <c r="BS10" s="2">
        <v>91</v>
      </c>
      <c r="BT10" s="2">
        <v>92</v>
      </c>
      <c r="BU10" s="2">
        <v>91</v>
      </c>
      <c r="BV10" s="2">
        <v>91</v>
      </c>
      <c r="BW10" s="2">
        <v>95</v>
      </c>
      <c r="BX10" s="2">
        <v>95</v>
      </c>
      <c r="BY10" s="2">
        <v>97</v>
      </c>
      <c r="BZ10" s="2">
        <v>102</v>
      </c>
      <c r="CA10" s="2">
        <v>105</v>
      </c>
      <c r="CB10" s="2">
        <v>104</v>
      </c>
      <c r="CC10" s="2">
        <v>105</v>
      </c>
      <c r="CD10" s="2">
        <v>109</v>
      </c>
    </row>
    <row r="11" spans="2:82" x14ac:dyDescent="0.6">
      <c r="B11" s="11" t="s">
        <v>4</v>
      </c>
      <c r="C11" s="12"/>
      <c r="D11" s="12">
        <v>0</v>
      </c>
      <c r="E11" s="12">
        <v>0</v>
      </c>
      <c r="F11" s="12">
        <v>0</v>
      </c>
      <c r="G11" s="12">
        <v>0</v>
      </c>
      <c r="H11" s="12">
        <v>0.112</v>
      </c>
      <c r="I11" s="12">
        <v>0.124</v>
      </c>
      <c r="J11" s="12">
        <v>0.155</v>
      </c>
      <c r="K11" s="12">
        <v>0.126</v>
      </c>
      <c r="L11" s="12">
        <v>9.7000000000000003E-2</v>
      </c>
      <c r="M11" s="12">
        <v>0.107</v>
      </c>
      <c r="N11" s="12">
        <v>0.16800000000000001</v>
      </c>
      <c r="O11" s="12">
        <v>0.19600000000000001</v>
      </c>
      <c r="P11" s="12">
        <v>0.153</v>
      </c>
      <c r="Q11" s="12">
        <v>7.2999999999999995E-2</v>
      </c>
      <c r="R11" s="12">
        <v>4.2000000000000003E-2</v>
      </c>
      <c r="S11" s="12">
        <v>3.5999999999999997E-2</v>
      </c>
      <c r="T11" s="12">
        <v>3.2000000000000001E-2</v>
      </c>
      <c r="U11" s="12">
        <v>4.1000000000000002E-2</v>
      </c>
      <c r="V11" s="12">
        <v>3.6999999999999998E-2</v>
      </c>
      <c r="W11" s="12">
        <v>1.7999999999999999E-2</v>
      </c>
      <c r="X11" s="12">
        <v>4.2000000000000003E-2</v>
      </c>
      <c r="Y11" s="12">
        <v>0.1</v>
      </c>
      <c r="Z11" s="12">
        <v>7.4999999999999997E-2</v>
      </c>
      <c r="AA11" s="12">
        <v>7.1999999999999995E-2</v>
      </c>
      <c r="AB11" s="12">
        <v>6.7000000000000004E-2</v>
      </c>
      <c r="AC11" s="12">
        <v>3.3000000000000002E-2</v>
      </c>
      <c r="AD11" s="12">
        <v>5.0999999999999997E-2</v>
      </c>
      <c r="AE11" s="12">
        <v>3.9E-2</v>
      </c>
      <c r="AF11" s="12">
        <v>0.04</v>
      </c>
      <c r="AG11" s="12">
        <v>1.4999999999999999E-2</v>
      </c>
      <c r="AH11" s="12">
        <v>1.6E-2</v>
      </c>
      <c r="AI11" s="12">
        <v>3.6999999999999998E-2</v>
      </c>
      <c r="AJ11" s="12">
        <v>5.2999999999999999E-2</v>
      </c>
      <c r="AK11" s="12">
        <v>6.5000000000000002E-2</v>
      </c>
      <c r="AL11" s="12">
        <v>4.7E-2</v>
      </c>
      <c r="AM11" s="12">
        <v>2.5999999999999999E-2</v>
      </c>
      <c r="AN11" s="12">
        <v>1E-3</v>
      </c>
      <c r="AO11" s="12">
        <v>-1.4999999999999999E-2</v>
      </c>
      <c r="AP11" s="12">
        <v>8.9999999999999993E-3</v>
      </c>
      <c r="AQ11" s="12">
        <v>2.4E-2</v>
      </c>
      <c r="AR11" s="12">
        <v>2.4E-2</v>
      </c>
      <c r="AS11" s="12">
        <v>5.0999999999999997E-2</v>
      </c>
      <c r="AT11" s="12">
        <v>4.8000000000000001E-2</v>
      </c>
      <c r="AU11" s="12">
        <v>7.9000000000000001E-2</v>
      </c>
      <c r="AV11" s="12">
        <v>0.109</v>
      </c>
      <c r="AW11" s="12">
        <v>0.10100000000000001</v>
      </c>
      <c r="AX11" s="12">
        <v>7.4999999999999997E-2</v>
      </c>
      <c r="AY11" s="12">
        <v>4.3999999999999997E-2</v>
      </c>
      <c r="AZ11" s="12">
        <v>-0.376</v>
      </c>
      <c r="BA11" s="12">
        <v>-0.38500000000000001</v>
      </c>
      <c r="BB11" s="12">
        <v>-0.371</v>
      </c>
      <c r="BC11" s="12">
        <v>-0.40699999999999997</v>
      </c>
      <c r="BD11" s="12">
        <v>8.0000000000000002E-3</v>
      </c>
      <c r="BE11" s="12">
        <v>2.3E-2</v>
      </c>
      <c r="BF11" s="12">
        <v>4.2000000000000003E-2</v>
      </c>
      <c r="BG11" s="12">
        <v>8.8999999999999996E-2</v>
      </c>
      <c r="BH11" s="12">
        <v>6.2E-2</v>
      </c>
      <c r="BI11" s="12">
        <v>0.10100000000000001</v>
      </c>
      <c r="BJ11" s="12">
        <v>5.0999999999999997E-2</v>
      </c>
      <c r="BK11" s="12">
        <v>8.5999999999999993E-2</v>
      </c>
      <c r="BL11" s="12">
        <v>0.05</v>
      </c>
      <c r="BM11" s="12">
        <v>-2E-3</v>
      </c>
      <c r="BN11" s="12">
        <v>0.10299999999999999</v>
      </c>
      <c r="BO11" s="12">
        <v>0.01</v>
      </c>
      <c r="BP11" s="12">
        <v>9.6000000000000002E-2</v>
      </c>
      <c r="BQ11" s="12">
        <v>0.12</v>
      </c>
      <c r="BR11" s="12">
        <v>0.14000000000000001</v>
      </c>
      <c r="BS11" s="12">
        <v>0.26700000000000002</v>
      </c>
      <c r="BT11" s="12">
        <v>0.20699999999999999</v>
      </c>
      <c r="BU11" s="12">
        <v>0.16900000000000001</v>
      </c>
      <c r="BV11" s="12">
        <v>0.06</v>
      </c>
      <c r="BW11" s="12">
        <v>0.05</v>
      </c>
      <c r="BX11" s="12">
        <v>3.5999999999999997E-2</v>
      </c>
      <c r="BY11" s="12">
        <v>5.8000000000000003E-2</v>
      </c>
      <c r="BZ11" s="12">
        <v>0.126</v>
      </c>
      <c r="CA11" s="12">
        <v>0.106</v>
      </c>
      <c r="CB11" s="12">
        <v>9.7000000000000003E-2</v>
      </c>
      <c r="CC11" s="12">
        <v>8.3000000000000004E-2</v>
      </c>
      <c r="CD11" s="12">
        <v>0.06</v>
      </c>
    </row>
    <row r="12" spans="2:82" ht="8.25" customHeight="1" x14ac:dyDescent="0.6"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</row>
    <row r="13" spans="2:82" x14ac:dyDescent="0.6">
      <c r="B13" s="10" t="s">
        <v>7</v>
      </c>
      <c r="C13" s="2">
        <v>1449</v>
      </c>
      <c r="D13" s="2">
        <v>45</v>
      </c>
      <c r="E13" s="2">
        <v>51</v>
      </c>
      <c r="F13" s="2">
        <v>54</v>
      </c>
      <c r="G13" s="2">
        <v>55</v>
      </c>
      <c r="H13" s="2">
        <v>56</v>
      </c>
      <c r="I13" s="2">
        <v>60</v>
      </c>
      <c r="J13" s="2">
        <v>63</v>
      </c>
      <c r="K13" s="2">
        <v>65</v>
      </c>
      <c r="L13" s="2">
        <v>65</v>
      </c>
      <c r="M13" s="2">
        <v>73</v>
      </c>
      <c r="N13" s="2">
        <v>80</v>
      </c>
      <c r="O13" s="2">
        <v>83</v>
      </c>
      <c r="P13" s="2">
        <v>83</v>
      </c>
      <c r="Q13" s="2">
        <v>81</v>
      </c>
      <c r="R13" s="2">
        <v>84</v>
      </c>
      <c r="S13" s="2">
        <v>88</v>
      </c>
      <c r="T13" s="2">
        <v>87</v>
      </c>
      <c r="U13" s="2">
        <v>87</v>
      </c>
      <c r="V13" s="2">
        <v>91</v>
      </c>
      <c r="W13" s="2">
        <v>96</v>
      </c>
      <c r="X13" s="2">
        <v>96</v>
      </c>
      <c r="Y13" s="2">
        <v>99</v>
      </c>
      <c r="Z13" s="2">
        <v>106</v>
      </c>
      <c r="AA13" s="2">
        <v>107</v>
      </c>
      <c r="AB13" s="2">
        <v>108</v>
      </c>
      <c r="AC13" s="2">
        <v>110</v>
      </c>
      <c r="AD13" s="2">
        <v>116</v>
      </c>
      <c r="AE13" s="2">
        <v>118</v>
      </c>
      <c r="AF13" s="2">
        <v>115</v>
      </c>
      <c r="AG13" s="2">
        <v>118</v>
      </c>
      <c r="AH13" s="2">
        <v>118</v>
      </c>
      <c r="AI13" s="2">
        <v>124</v>
      </c>
      <c r="AJ13" s="2">
        <v>125</v>
      </c>
      <c r="AK13" s="2">
        <v>128</v>
      </c>
      <c r="AL13" s="2">
        <v>131</v>
      </c>
      <c r="AM13" s="2">
        <v>131</v>
      </c>
      <c r="AN13" s="2">
        <v>132</v>
      </c>
      <c r="AO13" s="2">
        <v>135</v>
      </c>
      <c r="AP13" s="2">
        <v>140</v>
      </c>
      <c r="AQ13" s="2">
        <v>144</v>
      </c>
      <c r="AR13" s="2">
        <v>147</v>
      </c>
      <c r="AS13" s="2">
        <v>150</v>
      </c>
      <c r="AT13" s="2">
        <v>148</v>
      </c>
      <c r="AU13" s="2">
        <v>154</v>
      </c>
      <c r="AV13" s="2">
        <v>159</v>
      </c>
      <c r="AW13" s="2">
        <v>164</v>
      </c>
      <c r="AX13" s="2">
        <v>166</v>
      </c>
      <c r="AY13" s="2">
        <v>168</v>
      </c>
      <c r="AZ13" s="2">
        <v>170</v>
      </c>
      <c r="BA13" s="2">
        <v>178</v>
      </c>
      <c r="BB13" s="2">
        <v>157</v>
      </c>
      <c r="BC13" s="2">
        <v>188</v>
      </c>
      <c r="BD13" s="2">
        <v>178</v>
      </c>
      <c r="BE13" s="2">
        <v>202</v>
      </c>
      <c r="BF13" s="2">
        <v>178</v>
      </c>
      <c r="BG13" s="2">
        <v>213</v>
      </c>
      <c r="BH13" s="2">
        <v>192</v>
      </c>
      <c r="BI13" s="2">
        <v>193</v>
      </c>
      <c r="BJ13" s="2">
        <v>176</v>
      </c>
      <c r="BK13" s="2">
        <v>226</v>
      </c>
      <c r="BL13" s="2">
        <v>202</v>
      </c>
      <c r="BM13" s="2">
        <v>222</v>
      </c>
      <c r="BN13" s="2">
        <v>202</v>
      </c>
      <c r="BO13" s="2">
        <v>240</v>
      </c>
      <c r="BP13" s="2">
        <v>238</v>
      </c>
      <c r="BQ13" s="2">
        <v>271</v>
      </c>
      <c r="BR13" s="2">
        <v>251</v>
      </c>
      <c r="BS13" s="2">
        <v>318</v>
      </c>
      <c r="BT13" s="2">
        <v>302</v>
      </c>
      <c r="BU13" s="2">
        <v>317</v>
      </c>
      <c r="BV13" s="2">
        <v>288</v>
      </c>
      <c r="BW13" s="2">
        <v>370</v>
      </c>
      <c r="BX13" s="2">
        <v>331</v>
      </c>
      <c r="BY13" s="2">
        <v>362</v>
      </c>
      <c r="BZ13" s="2">
        <v>338</v>
      </c>
      <c r="CA13" s="2">
        <v>417</v>
      </c>
      <c r="CB13" s="2">
        <v>379</v>
      </c>
      <c r="CC13" s="2">
        <v>414</v>
      </c>
      <c r="CD13" s="2">
        <v>392</v>
      </c>
    </row>
    <row r="14" spans="2:82" x14ac:dyDescent="0.6">
      <c r="B14" s="10" t="s">
        <v>8</v>
      </c>
      <c r="C14" s="2">
        <v>1098</v>
      </c>
      <c r="D14" s="2">
        <v>82</v>
      </c>
      <c r="E14" s="2">
        <v>92</v>
      </c>
      <c r="F14" s="2">
        <v>97</v>
      </c>
      <c r="G14" s="2">
        <v>101</v>
      </c>
      <c r="H14" s="2">
        <v>102</v>
      </c>
      <c r="I14" s="2">
        <v>110</v>
      </c>
      <c r="J14" s="2">
        <v>114</v>
      </c>
      <c r="K14" s="2">
        <v>119</v>
      </c>
      <c r="L14" s="2">
        <v>120</v>
      </c>
      <c r="M14" s="2">
        <v>135</v>
      </c>
      <c r="N14" s="2">
        <v>146</v>
      </c>
      <c r="O14" s="2">
        <v>151</v>
      </c>
      <c r="P14" s="2">
        <v>146</v>
      </c>
      <c r="Q14" s="2">
        <v>142</v>
      </c>
      <c r="R14" s="2">
        <v>147</v>
      </c>
      <c r="S14" s="2">
        <v>155</v>
      </c>
      <c r="T14" s="2">
        <v>152</v>
      </c>
      <c r="U14" s="2">
        <v>151</v>
      </c>
      <c r="V14" s="2">
        <v>155</v>
      </c>
      <c r="W14" s="2">
        <v>162</v>
      </c>
      <c r="X14" s="2">
        <v>160</v>
      </c>
      <c r="Y14" s="2">
        <v>165</v>
      </c>
      <c r="Z14" s="2">
        <v>176</v>
      </c>
      <c r="AA14" s="2">
        <v>178</v>
      </c>
      <c r="AB14" s="2">
        <v>179</v>
      </c>
      <c r="AC14" s="2">
        <v>181</v>
      </c>
      <c r="AD14" s="2">
        <v>189</v>
      </c>
      <c r="AE14" s="2">
        <v>187</v>
      </c>
      <c r="AF14" s="2">
        <v>182</v>
      </c>
      <c r="AG14" s="2">
        <v>185</v>
      </c>
      <c r="AH14" s="2">
        <v>182</v>
      </c>
      <c r="AI14" s="2">
        <v>186</v>
      </c>
      <c r="AJ14" s="2">
        <v>186</v>
      </c>
      <c r="AK14" s="2">
        <v>188</v>
      </c>
      <c r="AL14" s="2">
        <v>192</v>
      </c>
      <c r="AM14" s="2">
        <v>189</v>
      </c>
      <c r="AN14" s="2">
        <v>189</v>
      </c>
      <c r="AO14" s="2">
        <v>189</v>
      </c>
      <c r="AP14" s="2">
        <v>193</v>
      </c>
      <c r="AQ14" s="2">
        <v>194</v>
      </c>
      <c r="AR14" s="2">
        <v>193</v>
      </c>
      <c r="AS14" s="2">
        <v>193</v>
      </c>
      <c r="AT14" s="2">
        <v>185</v>
      </c>
      <c r="AU14" s="2">
        <v>189</v>
      </c>
      <c r="AV14" s="2">
        <v>193</v>
      </c>
      <c r="AW14" s="2">
        <v>198</v>
      </c>
      <c r="AX14" s="2">
        <v>199</v>
      </c>
      <c r="AY14" s="2">
        <v>200</v>
      </c>
      <c r="AZ14" s="2">
        <v>200</v>
      </c>
      <c r="BA14" s="2">
        <v>208</v>
      </c>
      <c r="BB14" s="2">
        <v>181</v>
      </c>
      <c r="BC14" s="2">
        <v>215</v>
      </c>
      <c r="BD14" s="2">
        <v>201</v>
      </c>
      <c r="BE14" s="2">
        <v>226</v>
      </c>
      <c r="BF14" s="2">
        <v>197</v>
      </c>
      <c r="BG14" s="2">
        <v>233</v>
      </c>
      <c r="BH14" s="2">
        <v>207</v>
      </c>
      <c r="BI14" s="2">
        <v>207</v>
      </c>
      <c r="BJ14" s="2">
        <v>186</v>
      </c>
      <c r="BK14" s="2">
        <v>234</v>
      </c>
      <c r="BL14" s="2">
        <v>207</v>
      </c>
      <c r="BM14" s="2">
        <v>226</v>
      </c>
      <c r="BN14" s="2">
        <v>203</v>
      </c>
      <c r="BO14" s="2">
        <v>239</v>
      </c>
      <c r="BP14" s="2">
        <v>235</v>
      </c>
      <c r="BQ14" s="2">
        <v>265</v>
      </c>
      <c r="BR14" s="2">
        <v>243</v>
      </c>
      <c r="BS14" s="2">
        <v>301</v>
      </c>
      <c r="BT14" s="2">
        <v>278</v>
      </c>
      <c r="BU14" s="2">
        <v>282</v>
      </c>
      <c r="BV14" s="2">
        <v>242</v>
      </c>
      <c r="BW14" s="2">
        <v>299</v>
      </c>
      <c r="BX14" s="2">
        <v>259</v>
      </c>
      <c r="BY14" s="2">
        <v>279</v>
      </c>
      <c r="BZ14" s="2">
        <v>255</v>
      </c>
      <c r="CA14" s="2">
        <v>305</v>
      </c>
      <c r="CB14" s="2">
        <v>270</v>
      </c>
      <c r="CC14" s="2">
        <v>291</v>
      </c>
      <c r="CD14" s="2">
        <v>272</v>
      </c>
    </row>
    <row r="15" spans="2:82" ht="8.25" customHeight="1" x14ac:dyDescent="0.6">
      <c r="B15" s="13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</row>
    <row r="16" spans="2:82" x14ac:dyDescent="0.6">
      <c r="B16" s="8" t="s">
        <v>9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</row>
    <row r="17" spans="2:82" x14ac:dyDescent="0.6">
      <c r="B17" s="10" t="s">
        <v>10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</row>
    <row r="18" spans="2:82" x14ac:dyDescent="0.6">
      <c r="B18" s="11" t="s">
        <v>11</v>
      </c>
      <c r="C18" s="17">
        <v>0.17</v>
      </c>
      <c r="D18" s="17">
        <v>0.16</v>
      </c>
      <c r="E18" s="17">
        <v>0.18</v>
      </c>
      <c r="F18" s="17">
        <v>0.16</v>
      </c>
      <c r="G18" s="17">
        <v>0.14000000000000001</v>
      </c>
      <c r="H18" s="17">
        <v>0.15</v>
      </c>
      <c r="I18" s="17">
        <v>0.13</v>
      </c>
      <c r="J18" s="17">
        <v>0.14000000000000001</v>
      </c>
      <c r="K18" s="17">
        <v>0.15</v>
      </c>
      <c r="L18" s="17">
        <v>0.13</v>
      </c>
      <c r="M18" s="17">
        <v>0.12</v>
      </c>
      <c r="N18" s="17">
        <v>0.12</v>
      </c>
      <c r="O18" s="17">
        <v>0.12</v>
      </c>
      <c r="P18" s="17">
        <v>0.13</v>
      </c>
      <c r="Q18" s="17">
        <v>0.14000000000000001</v>
      </c>
      <c r="R18" s="17">
        <v>0.13</v>
      </c>
      <c r="S18" s="17">
        <v>0.12</v>
      </c>
      <c r="T18" s="17">
        <v>0.13</v>
      </c>
      <c r="U18" s="17">
        <v>0.14000000000000001</v>
      </c>
      <c r="V18" s="17">
        <v>0.13</v>
      </c>
      <c r="W18" s="17">
        <v>0.13</v>
      </c>
      <c r="X18" s="17">
        <v>0.1</v>
      </c>
      <c r="Y18" s="17">
        <v>0.12</v>
      </c>
      <c r="Z18" s="17">
        <v>0.13</v>
      </c>
      <c r="AA18" s="17">
        <v>0.14000000000000001</v>
      </c>
      <c r="AB18" s="17">
        <v>0.13</v>
      </c>
      <c r="AC18" s="17">
        <v>0.15</v>
      </c>
      <c r="AD18" s="17">
        <v>0.11</v>
      </c>
      <c r="AE18" s="17">
        <v>0.12</v>
      </c>
      <c r="AF18" s="17">
        <v>0.12</v>
      </c>
      <c r="AG18" s="17">
        <v>0.14000000000000001</v>
      </c>
      <c r="AH18" s="17">
        <v>0.12</v>
      </c>
      <c r="AI18" s="17">
        <v>0.13</v>
      </c>
      <c r="AJ18" s="17">
        <v>0.14000000000000001</v>
      </c>
      <c r="AK18" s="17">
        <v>0.16</v>
      </c>
      <c r="AL18" s="17">
        <v>0.14000000000000001</v>
      </c>
      <c r="AM18" s="17">
        <v>0.13</v>
      </c>
      <c r="AN18" s="17">
        <v>0.14000000000000001</v>
      </c>
      <c r="AO18" s="17">
        <v>0.14000000000000001</v>
      </c>
      <c r="AP18" s="17">
        <v>0.14000000000000001</v>
      </c>
      <c r="AQ18" s="17">
        <v>0.13</v>
      </c>
      <c r="AR18" s="17">
        <v>0.16</v>
      </c>
      <c r="AS18" s="17">
        <v>0.14000000000000001</v>
      </c>
      <c r="AT18" s="17">
        <v>0.16</v>
      </c>
      <c r="AU18" s="17">
        <v>0.15</v>
      </c>
      <c r="AV18" s="17">
        <v>0.14000000000000001</v>
      </c>
      <c r="AW18" s="17">
        <v>0.15</v>
      </c>
      <c r="AX18" s="17">
        <v>0.16</v>
      </c>
      <c r="AY18" s="17">
        <v>0.15</v>
      </c>
      <c r="AZ18" s="17">
        <v>0.13</v>
      </c>
      <c r="BA18" s="17">
        <v>0.13</v>
      </c>
      <c r="BB18" s="17">
        <v>0.16</v>
      </c>
      <c r="BC18" s="17">
        <v>0.13</v>
      </c>
      <c r="BD18" s="17">
        <v>0.15</v>
      </c>
      <c r="BE18" s="17">
        <v>0.17</v>
      </c>
      <c r="BF18" s="17">
        <v>0.14000000000000001</v>
      </c>
      <c r="BG18" s="17">
        <v>0.13</v>
      </c>
      <c r="BH18" s="17">
        <v>0.16</v>
      </c>
      <c r="BI18" s="17">
        <v>0.15</v>
      </c>
      <c r="BJ18" s="17">
        <v>0.16</v>
      </c>
      <c r="BK18" s="17">
        <v>0.14000000000000001</v>
      </c>
      <c r="BL18" s="17">
        <v>0.17</v>
      </c>
      <c r="BM18" s="17">
        <v>0.18</v>
      </c>
      <c r="BN18" s="17">
        <v>0.2</v>
      </c>
      <c r="BO18" s="17">
        <v>0.16</v>
      </c>
      <c r="BP18" s="17">
        <v>0.19</v>
      </c>
      <c r="BQ18" s="17">
        <v>0.16</v>
      </c>
      <c r="BR18" s="17">
        <v>0.22</v>
      </c>
      <c r="BS18" s="17">
        <v>0.14000000000000001</v>
      </c>
      <c r="BT18" s="17">
        <v>0.17</v>
      </c>
      <c r="BU18" s="17">
        <v>0.2</v>
      </c>
      <c r="BV18" s="17">
        <v>0.18</v>
      </c>
      <c r="BW18" s="17">
        <v>0.13</v>
      </c>
      <c r="BX18" s="17">
        <v>0.16</v>
      </c>
      <c r="BY18" s="17">
        <v>0.18</v>
      </c>
      <c r="BZ18" s="17">
        <v>0.17</v>
      </c>
      <c r="CA18" s="17">
        <v>0.17</v>
      </c>
      <c r="CB18" s="17">
        <v>0.16</v>
      </c>
      <c r="CC18" s="17">
        <v>0.16</v>
      </c>
      <c r="CD18" s="17">
        <v>0.16</v>
      </c>
    </row>
    <row r="19" spans="2:82" x14ac:dyDescent="0.6">
      <c r="B19" s="11" t="s">
        <v>12</v>
      </c>
      <c r="C19" s="17">
        <v>0.63</v>
      </c>
      <c r="D19" s="17">
        <v>0.82</v>
      </c>
      <c r="E19" s="17">
        <v>0.77</v>
      </c>
      <c r="F19" s="17">
        <v>0.81</v>
      </c>
      <c r="G19" s="17">
        <v>0.81</v>
      </c>
      <c r="H19" s="17">
        <v>0.76</v>
      </c>
      <c r="I19" s="17">
        <v>0.79</v>
      </c>
      <c r="J19" s="17">
        <v>0.78</v>
      </c>
      <c r="K19" s="17">
        <v>0.78</v>
      </c>
      <c r="L19" s="17">
        <v>0.82</v>
      </c>
      <c r="M19" s="17">
        <v>0.8</v>
      </c>
      <c r="N19" s="17">
        <v>0.83</v>
      </c>
      <c r="O19" s="17">
        <v>0.8</v>
      </c>
      <c r="P19" s="17">
        <v>0.8</v>
      </c>
      <c r="Q19" s="17">
        <v>0.81</v>
      </c>
      <c r="R19" s="17">
        <v>0.84</v>
      </c>
      <c r="S19" s="17">
        <v>0.84</v>
      </c>
      <c r="T19" s="17">
        <v>0.83</v>
      </c>
      <c r="U19" s="17">
        <v>0.82</v>
      </c>
      <c r="V19" s="17">
        <v>0.82</v>
      </c>
      <c r="W19" s="17">
        <v>0.81</v>
      </c>
      <c r="X19" s="17">
        <v>0.82</v>
      </c>
      <c r="Y19" s="17">
        <v>0.84</v>
      </c>
      <c r="Z19" s="17">
        <v>0.81</v>
      </c>
      <c r="AA19" s="17">
        <v>0.79</v>
      </c>
      <c r="AB19" s="17">
        <v>0.8</v>
      </c>
      <c r="AC19" s="17">
        <v>0.81</v>
      </c>
      <c r="AD19" s="17">
        <v>0.85</v>
      </c>
      <c r="AE19" s="17">
        <v>0.76</v>
      </c>
      <c r="AF19" s="17">
        <v>0.78</v>
      </c>
      <c r="AG19" s="17">
        <v>0.75</v>
      </c>
      <c r="AH19" s="17">
        <v>0.8</v>
      </c>
      <c r="AI19" s="17">
        <v>0.8</v>
      </c>
      <c r="AJ19" s="17">
        <v>0.8</v>
      </c>
      <c r="AK19" s="17">
        <v>0.76</v>
      </c>
      <c r="AL19" s="17">
        <v>0.82</v>
      </c>
      <c r="AM19" s="17">
        <v>0.77</v>
      </c>
      <c r="AN19" s="17">
        <v>0.8</v>
      </c>
      <c r="AO19" s="17">
        <v>0.82</v>
      </c>
      <c r="AP19" s="17">
        <v>0.82</v>
      </c>
      <c r="AQ19" s="17">
        <v>0.79</v>
      </c>
      <c r="AR19" s="17">
        <v>0.74</v>
      </c>
      <c r="AS19" s="17">
        <v>0.81</v>
      </c>
      <c r="AT19" s="17">
        <v>0.8</v>
      </c>
      <c r="AU19" s="17">
        <v>0.76</v>
      </c>
      <c r="AV19" s="17">
        <v>0.74</v>
      </c>
      <c r="AW19" s="17">
        <v>0.74</v>
      </c>
      <c r="AX19" s="17">
        <v>0.74</v>
      </c>
      <c r="AY19" s="17">
        <v>0.73</v>
      </c>
      <c r="AZ19" s="17">
        <v>0.75</v>
      </c>
      <c r="BA19" s="17">
        <v>0.75</v>
      </c>
      <c r="BB19" s="17">
        <v>0.68</v>
      </c>
      <c r="BC19" s="17">
        <v>0.73</v>
      </c>
      <c r="BD19" s="17">
        <v>0.71</v>
      </c>
      <c r="BE19" s="17">
        <v>0.69</v>
      </c>
      <c r="BF19" s="17">
        <v>0.64</v>
      </c>
      <c r="BG19" s="17">
        <v>0.69</v>
      </c>
      <c r="BH19" s="17">
        <v>0.74</v>
      </c>
      <c r="BI19" s="17">
        <v>0.75</v>
      </c>
      <c r="BJ19" s="17">
        <v>0.7</v>
      </c>
      <c r="BK19" s="17">
        <v>0.76</v>
      </c>
      <c r="BL19" s="17">
        <v>0.7</v>
      </c>
      <c r="BM19" s="17">
        <v>0.7</v>
      </c>
      <c r="BN19" s="17">
        <v>0.88</v>
      </c>
      <c r="BO19" s="17">
        <v>0.69</v>
      </c>
      <c r="BP19" s="17">
        <v>0.61</v>
      </c>
      <c r="BQ19" s="17">
        <v>0.65</v>
      </c>
      <c r="BR19" s="17">
        <v>0.56999999999999995</v>
      </c>
      <c r="BS19" s="17">
        <v>0.66</v>
      </c>
      <c r="BT19" s="17">
        <v>0.66</v>
      </c>
      <c r="BU19" s="17">
        <v>0.65</v>
      </c>
      <c r="BV19" s="17">
        <v>0.56999999999999995</v>
      </c>
      <c r="BW19" s="17">
        <v>0.7</v>
      </c>
      <c r="BX19" s="17">
        <v>0.61</v>
      </c>
      <c r="BY19" s="17">
        <v>0.64</v>
      </c>
      <c r="BZ19" s="17">
        <v>0.62</v>
      </c>
      <c r="CA19" s="17">
        <v>0.66</v>
      </c>
      <c r="CB19" s="17">
        <v>0.61</v>
      </c>
      <c r="CC19" s="17">
        <v>0.68</v>
      </c>
      <c r="CD19" s="17">
        <v>0.6</v>
      </c>
    </row>
    <row r="20" spans="2:82" x14ac:dyDescent="0.6">
      <c r="B20" s="10" t="s">
        <v>13</v>
      </c>
      <c r="C20" s="17">
        <v>0.35</v>
      </c>
      <c r="D20" s="17">
        <v>0.15</v>
      </c>
      <c r="E20" s="17">
        <v>0.16</v>
      </c>
      <c r="F20" s="17">
        <v>0.14000000000000001</v>
      </c>
      <c r="G20" s="17">
        <v>0.15</v>
      </c>
      <c r="H20" s="17">
        <v>0.17</v>
      </c>
      <c r="I20" s="17">
        <v>0.16</v>
      </c>
      <c r="J20" s="17">
        <v>0.17</v>
      </c>
      <c r="K20" s="17">
        <v>0.18</v>
      </c>
      <c r="L20" s="17">
        <v>0.18</v>
      </c>
      <c r="M20" s="17">
        <v>0.23</v>
      </c>
      <c r="N20" s="17">
        <v>0.21</v>
      </c>
      <c r="O20" s="17">
        <v>0.23</v>
      </c>
      <c r="P20" s="17">
        <v>0.24</v>
      </c>
      <c r="Q20" s="17">
        <v>0.22</v>
      </c>
      <c r="R20" s="17">
        <v>0.19</v>
      </c>
      <c r="S20" s="17">
        <v>0.19</v>
      </c>
      <c r="T20" s="17">
        <v>0.22</v>
      </c>
      <c r="U20" s="17">
        <v>0.19</v>
      </c>
      <c r="V20" s="17">
        <v>0.19</v>
      </c>
      <c r="W20" s="17">
        <v>0.22</v>
      </c>
      <c r="X20" s="17">
        <v>0.23</v>
      </c>
      <c r="Y20" s="17">
        <v>0.19</v>
      </c>
      <c r="Z20" s="17">
        <v>0.2</v>
      </c>
      <c r="AA20" s="17">
        <v>0.22</v>
      </c>
      <c r="AB20" s="17">
        <v>0.23</v>
      </c>
      <c r="AC20" s="17">
        <v>0.21</v>
      </c>
      <c r="AD20" s="17">
        <v>0.23</v>
      </c>
      <c r="AE20" s="17">
        <v>0.26</v>
      </c>
      <c r="AF20" s="17">
        <v>0.25</v>
      </c>
      <c r="AG20" s="17">
        <v>0.24</v>
      </c>
      <c r="AH20" s="17">
        <v>0.23</v>
      </c>
      <c r="AI20" s="17">
        <v>0.25</v>
      </c>
      <c r="AJ20" s="17">
        <v>0.24</v>
      </c>
      <c r="AK20" s="17">
        <v>0.23</v>
      </c>
      <c r="AL20" s="17">
        <v>0.19</v>
      </c>
      <c r="AM20" s="17">
        <v>0.26</v>
      </c>
      <c r="AN20" s="17">
        <v>0.25</v>
      </c>
      <c r="AO20" s="17">
        <v>0.24</v>
      </c>
      <c r="AP20" s="17">
        <v>0.22</v>
      </c>
      <c r="AQ20" s="17">
        <v>0.26</v>
      </c>
      <c r="AR20" s="17">
        <v>0.28000000000000003</v>
      </c>
      <c r="AS20" s="17">
        <v>0.26</v>
      </c>
      <c r="AT20" s="17">
        <v>0.24</v>
      </c>
      <c r="AU20" s="17">
        <v>0.26</v>
      </c>
      <c r="AV20" s="17">
        <v>0.24</v>
      </c>
      <c r="AW20" s="17">
        <v>0.23</v>
      </c>
      <c r="AX20" s="17">
        <v>0.24</v>
      </c>
      <c r="AY20" s="17">
        <v>0.24</v>
      </c>
      <c r="AZ20" s="17">
        <v>0.18</v>
      </c>
      <c r="BA20" s="17">
        <v>0.15</v>
      </c>
      <c r="BB20" s="17">
        <v>0.19</v>
      </c>
      <c r="BC20" s="17">
        <v>0.2</v>
      </c>
      <c r="BD20" s="17">
        <v>0.19</v>
      </c>
      <c r="BE20" s="17">
        <v>0.19</v>
      </c>
      <c r="BF20" s="17">
        <v>0.27</v>
      </c>
      <c r="BG20" s="17">
        <v>0.22</v>
      </c>
      <c r="BH20" s="17">
        <v>0.19</v>
      </c>
      <c r="BI20" s="17">
        <v>0.17</v>
      </c>
      <c r="BJ20" s="17">
        <v>0.2</v>
      </c>
      <c r="BK20" s="17">
        <v>0.17</v>
      </c>
      <c r="BL20" s="17">
        <v>0.35</v>
      </c>
      <c r="BM20" s="17">
        <v>0.33</v>
      </c>
      <c r="BN20" s="17">
        <v>0.39</v>
      </c>
      <c r="BO20" s="17">
        <v>0.35</v>
      </c>
      <c r="BP20" s="17">
        <v>0.37</v>
      </c>
      <c r="BQ20" s="17">
        <v>0.38</v>
      </c>
      <c r="BR20" s="17">
        <v>0.44</v>
      </c>
      <c r="BS20" s="17">
        <v>0.33</v>
      </c>
      <c r="BT20" s="17">
        <v>0.36</v>
      </c>
      <c r="BU20" s="17">
        <v>0.35</v>
      </c>
      <c r="BV20" s="17">
        <v>0.49</v>
      </c>
      <c r="BW20" s="17">
        <v>0.34</v>
      </c>
      <c r="BX20" s="17">
        <v>0.4</v>
      </c>
      <c r="BY20" s="17">
        <v>0.34</v>
      </c>
      <c r="BZ20" s="17">
        <v>0.38</v>
      </c>
      <c r="CA20" s="17">
        <v>0.28999999999999998</v>
      </c>
      <c r="CB20" s="17">
        <v>0.38</v>
      </c>
      <c r="CC20" s="17">
        <v>0.3</v>
      </c>
      <c r="CD20" s="17">
        <v>0.37</v>
      </c>
    </row>
    <row r="21" spans="2:82" x14ac:dyDescent="0.6">
      <c r="B21" s="10" t="s">
        <v>14</v>
      </c>
      <c r="C21" s="17">
        <v>-0.15</v>
      </c>
      <c r="D21" s="17">
        <v>-0.12</v>
      </c>
      <c r="E21" s="17">
        <v>-0.11</v>
      </c>
      <c r="F21" s="17">
        <v>-0.12</v>
      </c>
      <c r="G21" s="17">
        <v>-0.11</v>
      </c>
      <c r="H21" s="17">
        <v>-7.0000000000000007E-2</v>
      </c>
      <c r="I21" s="17">
        <v>-0.08</v>
      </c>
      <c r="J21" s="17">
        <v>-0.09</v>
      </c>
      <c r="K21" s="17">
        <v>-0.1</v>
      </c>
      <c r="L21" s="17">
        <v>-0.13</v>
      </c>
      <c r="M21" s="17">
        <v>-0.15</v>
      </c>
      <c r="N21" s="17">
        <v>-0.16</v>
      </c>
      <c r="O21" s="17">
        <v>-0.15</v>
      </c>
      <c r="P21" s="17">
        <v>-0.17</v>
      </c>
      <c r="Q21" s="17">
        <v>-0.17</v>
      </c>
      <c r="R21" s="17">
        <v>-0.15</v>
      </c>
      <c r="S21" s="17">
        <v>-0.15</v>
      </c>
      <c r="T21" s="17">
        <v>-0.17</v>
      </c>
      <c r="U21" s="17">
        <v>-0.15</v>
      </c>
      <c r="V21" s="17">
        <v>-0.14000000000000001</v>
      </c>
      <c r="W21" s="17">
        <v>-0.16</v>
      </c>
      <c r="X21" s="17">
        <v>-0.14000000000000001</v>
      </c>
      <c r="Y21" s="17">
        <v>-0.15</v>
      </c>
      <c r="Z21" s="17">
        <v>-0.14000000000000001</v>
      </c>
      <c r="AA21" s="17">
        <v>-0.14000000000000001</v>
      </c>
      <c r="AB21" s="17">
        <v>-0.16</v>
      </c>
      <c r="AC21" s="17">
        <v>-0.17</v>
      </c>
      <c r="AD21" s="17">
        <v>-0.18</v>
      </c>
      <c r="AE21" s="17">
        <v>-0.15</v>
      </c>
      <c r="AF21" s="17">
        <v>-0.16</v>
      </c>
      <c r="AG21" s="17">
        <v>-0.13</v>
      </c>
      <c r="AH21" s="17">
        <v>-0.16</v>
      </c>
      <c r="AI21" s="17">
        <v>-0.18</v>
      </c>
      <c r="AJ21" s="17">
        <v>-0.18</v>
      </c>
      <c r="AK21" s="17">
        <v>-0.16</v>
      </c>
      <c r="AL21" s="17">
        <v>-0.15</v>
      </c>
      <c r="AM21" s="17">
        <v>-0.16</v>
      </c>
      <c r="AN21" s="17">
        <v>-0.19</v>
      </c>
      <c r="AO21" s="17">
        <v>-0.2</v>
      </c>
      <c r="AP21" s="17">
        <v>-0.18</v>
      </c>
      <c r="AQ21" s="17">
        <v>-0.18</v>
      </c>
      <c r="AR21" s="17">
        <v>-0.18</v>
      </c>
      <c r="AS21" s="17">
        <v>-0.2</v>
      </c>
      <c r="AT21" s="17">
        <v>-0.2</v>
      </c>
      <c r="AU21" s="17">
        <v>-0.17</v>
      </c>
      <c r="AV21" s="17">
        <v>-0.12</v>
      </c>
      <c r="AW21" s="17">
        <v>-0.12</v>
      </c>
      <c r="AX21" s="17">
        <v>-0.14000000000000001</v>
      </c>
      <c r="AY21" s="17">
        <v>-0.12</v>
      </c>
      <c r="AZ21" s="17">
        <v>-0.06</v>
      </c>
      <c r="BA21" s="17">
        <v>-0.03</v>
      </c>
      <c r="BB21" s="17">
        <v>-0.03</v>
      </c>
      <c r="BC21" s="17">
        <v>-0.06</v>
      </c>
      <c r="BD21" s="17">
        <v>-0.05</v>
      </c>
      <c r="BE21" s="17">
        <v>-0.05</v>
      </c>
      <c r="BF21" s="17">
        <v>-0.05</v>
      </c>
      <c r="BG21" s="17">
        <v>-0.04</v>
      </c>
      <c r="BH21" s="17">
        <v>-0.09</v>
      </c>
      <c r="BI21" s="17">
        <v>-7.0000000000000007E-2</v>
      </c>
      <c r="BJ21" s="17">
        <v>-0.06</v>
      </c>
      <c r="BK21" s="17">
        <v>-0.06</v>
      </c>
      <c r="BL21" s="17">
        <v>-0.23</v>
      </c>
      <c r="BM21" s="17">
        <v>-0.21</v>
      </c>
      <c r="BN21" s="17">
        <v>-0.48</v>
      </c>
      <c r="BO21" s="17">
        <v>-0.2</v>
      </c>
      <c r="BP21" s="17">
        <v>-0.16</v>
      </c>
      <c r="BQ21" s="17">
        <v>-0.18</v>
      </c>
      <c r="BR21" s="17">
        <v>-0.22</v>
      </c>
      <c r="BS21" s="17">
        <v>-0.13</v>
      </c>
      <c r="BT21" s="17">
        <v>-0.19</v>
      </c>
      <c r="BU21" s="17">
        <v>-0.2</v>
      </c>
      <c r="BV21" s="17">
        <v>-0.23</v>
      </c>
      <c r="BW21" s="17">
        <v>-0.17</v>
      </c>
      <c r="BX21" s="17">
        <v>-0.17</v>
      </c>
      <c r="BY21" s="17">
        <v>-0.16</v>
      </c>
      <c r="BZ21" s="17">
        <v>-0.16</v>
      </c>
      <c r="CA21" s="17">
        <v>-0.11</v>
      </c>
      <c r="CB21" s="17">
        <v>-0.16</v>
      </c>
      <c r="CC21" s="17">
        <v>-0.13</v>
      </c>
      <c r="CD21" s="17">
        <v>-0.13</v>
      </c>
    </row>
    <row r="22" spans="2:82" x14ac:dyDescent="0.6">
      <c r="B22" s="10" t="s">
        <v>15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</row>
    <row r="23" spans="2:82" x14ac:dyDescent="0.6">
      <c r="B23" s="11" t="s">
        <v>16</v>
      </c>
      <c r="C23" s="17">
        <v>0.21</v>
      </c>
      <c r="D23" s="17">
        <v>0.28999999999999998</v>
      </c>
      <c r="E23" s="17">
        <v>0.3</v>
      </c>
      <c r="F23" s="17">
        <v>0.3</v>
      </c>
      <c r="G23" s="17">
        <v>0.31</v>
      </c>
      <c r="H23" s="17">
        <v>0.28000000000000003</v>
      </c>
      <c r="I23" s="17">
        <v>0.26</v>
      </c>
      <c r="J23" s="17">
        <v>0.26</v>
      </c>
      <c r="K23" s="17">
        <v>0.25</v>
      </c>
      <c r="L23" s="17">
        <v>0.25</v>
      </c>
      <c r="M23" s="17">
        <v>0.25</v>
      </c>
      <c r="N23" s="17">
        <v>0.24</v>
      </c>
      <c r="O23" s="17">
        <v>0.24</v>
      </c>
      <c r="P23" s="17">
        <v>0.25</v>
      </c>
      <c r="Q23" s="17">
        <v>0.26</v>
      </c>
      <c r="R23" s="17">
        <v>0.25</v>
      </c>
      <c r="S23" s="17">
        <v>0.26</v>
      </c>
      <c r="T23" s="17">
        <v>0.25</v>
      </c>
      <c r="U23" s="17">
        <v>0.25</v>
      </c>
      <c r="V23" s="17">
        <v>0.24</v>
      </c>
      <c r="W23" s="17">
        <v>0.24</v>
      </c>
      <c r="X23" s="17">
        <v>0.23</v>
      </c>
      <c r="Y23" s="17">
        <v>0.25</v>
      </c>
      <c r="Z23" s="17">
        <v>0.24</v>
      </c>
      <c r="AA23" s="17">
        <v>0.24</v>
      </c>
      <c r="AB23" s="17">
        <v>0.24</v>
      </c>
      <c r="AC23" s="17">
        <v>0.25</v>
      </c>
      <c r="AD23" s="17">
        <v>0.25</v>
      </c>
      <c r="AE23" s="17">
        <v>0.25</v>
      </c>
      <c r="AF23" s="17">
        <v>0.25</v>
      </c>
      <c r="AG23" s="17">
        <v>0.26</v>
      </c>
      <c r="AH23" s="17">
        <v>0.24</v>
      </c>
      <c r="AI23" s="17">
        <v>0.25</v>
      </c>
      <c r="AJ23" s="17">
        <v>0.25</v>
      </c>
      <c r="AK23" s="17">
        <v>0.25</v>
      </c>
      <c r="AL23" s="17">
        <v>0.24</v>
      </c>
      <c r="AM23" s="17">
        <v>0.24</v>
      </c>
      <c r="AN23" s="17">
        <v>0.24</v>
      </c>
      <c r="AO23" s="17">
        <v>0.24</v>
      </c>
      <c r="AP23" s="17">
        <v>0.24</v>
      </c>
      <c r="AQ23" s="17">
        <v>0.24</v>
      </c>
      <c r="AR23" s="17">
        <v>0.25</v>
      </c>
      <c r="AS23" s="17">
        <v>0.25</v>
      </c>
      <c r="AT23" s="17">
        <v>0.25</v>
      </c>
      <c r="AU23" s="17">
        <v>0.26</v>
      </c>
      <c r="AV23" s="17">
        <v>0.27</v>
      </c>
      <c r="AW23" s="17">
        <v>0.27</v>
      </c>
      <c r="AX23" s="17">
        <v>0.25</v>
      </c>
      <c r="AY23" s="17">
        <v>0.26</v>
      </c>
      <c r="AZ23" s="17">
        <v>0.24</v>
      </c>
      <c r="BA23" s="17">
        <v>0.26</v>
      </c>
      <c r="BB23" s="17">
        <v>0.16</v>
      </c>
      <c r="BC23" s="17">
        <v>0.26</v>
      </c>
      <c r="BD23" s="17">
        <v>0.21</v>
      </c>
      <c r="BE23" s="17">
        <v>0.24</v>
      </c>
      <c r="BF23" s="17">
        <v>0.15</v>
      </c>
      <c r="BG23" s="17">
        <v>0.26</v>
      </c>
      <c r="BH23" s="17">
        <v>0.23</v>
      </c>
      <c r="BI23" s="17">
        <v>0.28000000000000003</v>
      </c>
      <c r="BJ23" s="17">
        <v>0.17</v>
      </c>
      <c r="BK23" s="17">
        <v>0.28000000000000003</v>
      </c>
      <c r="BL23" s="17">
        <v>0.23</v>
      </c>
      <c r="BM23" s="17">
        <v>0.24</v>
      </c>
      <c r="BN23" s="17">
        <v>0.15</v>
      </c>
      <c r="BO23" s="17">
        <v>0.22</v>
      </c>
      <c r="BP23" s="17">
        <v>0.2</v>
      </c>
      <c r="BQ23" s="17">
        <v>0.24</v>
      </c>
      <c r="BR23" s="17">
        <v>0.16</v>
      </c>
      <c r="BS23" s="17">
        <v>0.27</v>
      </c>
      <c r="BT23" s="17">
        <v>0.22</v>
      </c>
      <c r="BU23" s="17">
        <v>0.27</v>
      </c>
      <c r="BV23" s="17">
        <v>0.16</v>
      </c>
      <c r="BW23" s="17">
        <v>0.26</v>
      </c>
      <c r="BX23" s="17">
        <v>0.22</v>
      </c>
      <c r="BY23" s="17">
        <v>0.23</v>
      </c>
      <c r="BZ23" s="17">
        <v>0.15</v>
      </c>
      <c r="CA23" s="17">
        <v>0.23</v>
      </c>
      <c r="CB23" s="17">
        <v>0.2</v>
      </c>
      <c r="CC23" s="17">
        <v>0.23</v>
      </c>
      <c r="CD23" s="17">
        <v>0.15</v>
      </c>
    </row>
    <row r="24" spans="2:82" x14ac:dyDescent="0.6">
      <c r="B24" s="11" t="s">
        <v>17</v>
      </c>
      <c r="C24" s="17">
        <v>0.22</v>
      </c>
      <c r="D24" s="17">
        <v>0.15</v>
      </c>
      <c r="E24" s="17">
        <v>0.15</v>
      </c>
      <c r="F24" s="17">
        <v>0.16</v>
      </c>
      <c r="G24" s="17">
        <v>0.16</v>
      </c>
      <c r="H24" s="17">
        <v>0.17</v>
      </c>
      <c r="I24" s="17">
        <v>0.16</v>
      </c>
      <c r="J24" s="17">
        <v>0.17</v>
      </c>
      <c r="K24" s="17">
        <v>0.17</v>
      </c>
      <c r="L24" s="17">
        <v>0.16</v>
      </c>
      <c r="M24" s="17">
        <v>0.16</v>
      </c>
      <c r="N24" s="17">
        <v>0.16</v>
      </c>
      <c r="O24" s="17">
        <v>0.16</v>
      </c>
      <c r="P24" s="17">
        <v>0.16</v>
      </c>
      <c r="Q24" s="17">
        <v>0.15</v>
      </c>
      <c r="R24" s="17">
        <v>0.15</v>
      </c>
      <c r="S24" s="17">
        <v>0.16</v>
      </c>
      <c r="T24" s="17">
        <v>0.16</v>
      </c>
      <c r="U24" s="17">
        <v>0.16</v>
      </c>
      <c r="V24" s="17">
        <v>0.16</v>
      </c>
      <c r="W24" s="17">
        <v>0.17</v>
      </c>
      <c r="X24" s="17">
        <v>0.18</v>
      </c>
      <c r="Y24" s="17">
        <v>0.17</v>
      </c>
      <c r="Z24" s="17">
        <v>0.18</v>
      </c>
      <c r="AA24" s="17">
        <v>0.19</v>
      </c>
      <c r="AB24" s="17">
        <v>0.18</v>
      </c>
      <c r="AC24" s="17">
        <v>0.17</v>
      </c>
      <c r="AD24" s="17">
        <v>0.18</v>
      </c>
      <c r="AE24" s="17">
        <v>0.2</v>
      </c>
      <c r="AF24" s="17">
        <v>0.18</v>
      </c>
      <c r="AG24" s="17">
        <v>0.18</v>
      </c>
      <c r="AH24" s="17">
        <v>0.18</v>
      </c>
      <c r="AI24" s="17">
        <v>0.17</v>
      </c>
      <c r="AJ24" s="17">
        <v>0.17</v>
      </c>
      <c r="AK24" s="17">
        <v>0.17</v>
      </c>
      <c r="AL24" s="17">
        <v>0.18</v>
      </c>
      <c r="AM24" s="17">
        <v>0.18</v>
      </c>
      <c r="AN24" s="17">
        <v>0.17</v>
      </c>
      <c r="AO24" s="17">
        <v>0.17</v>
      </c>
      <c r="AP24" s="17">
        <v>0.18</v>
      </c>
      <c r="AQ24" s="17">
        <v>0.18</v>
      </c>
      <c r="AR24" s="17">
        <v>0.17</v>
      </c>
      <c r="AS24" s="17">
        <v>0.17</v>
      </c>
      <c r="AT24" s="17">
        <v>0.16</v>
      </c>
      <c r="AU24" s="17">
        <v>0.17</v>
      </c>
      <c r="AV24" s="17">
        <v>0.17</v>
      </c>
      <c r="AW24" s="17">
        <v>0.17</v>
      </c>
      <c r="AX24" s="17">
        <v>0.17</v>
      </c>
      <c r="AY24" s="17">
        <v>0.18</v>
      </c>
      <c r="AZ24" s="17">
        <v>0.18</v>
      </c>
      <c r="BA24" s="17">
        <v>0.17</v>
      </c>
      <c r="BB24" s="17">
        <v>0.18</v>
      </c>
      <c r="BC24" s="17">
        <v>0.17</v>
      </c>
      <c r="BD24" s="17">
        <v>0.19</v>
      </c>
      <c r="BE24" s="17">
        <v>0.19</v>
      </c>
      <c r="BF24" s="17">
        <v>0.21</v>
      </c>
      <c r="BG24" s="17">
        <v>0.19</v>
      </c>
      <c r="BH24" s="17">
        <v>0.2</v>
      </c>
      <c r="BI24" s="17">
        <v>0.19</v>
      </c>
      <c r="BJ24" s="17">
        <v>0.19</v>
      </c>
      <c r="BK24" s="17">
        <v>0.19</v>
      </c>
      <c r="BL24" s="17">
        <v>0.21</v>
      </c>
      <c r="BM24" s="17">
        <v>0.19</v>
      </c>
      <c r="BN24" s="17">
        <v>0.23</v>
      </c>
      <c r="BO24" s="17">
        <v>0.22</v>
      </c>
      <c r="BP24" s="17">
        <v>0.24</v>
      </c>
      <c r="BQ24" s="17">
        <v>0.22</v>
      </c>
      <c r="BR24" s="17">
        <v>0.22</v>
      </c>
      <c r="BS24" s="17">
        <v>0.2</v>
      </c>
      <c r="BT24" s="17">
        <v>0.23</v>
      </c>
      <c r="BU24" s="17">
        <v>0.2</v>
      </c>
      <c r="BV24" s="17">
        <v>0.23</v>
      </c>
      <c r="BW24" s="17">
        <v>0.21</v>
      </c>
      <c r="BX24" s="17">
        <v>0.24</v>
      </c>
      <c r="BY24" s="17">
        <v>0.22</v>
      </c>
      <c r="BZ24" s="17">
        <v>0.22</v>
      </c>
      <c r="CA24" s="17">
        <v>0.21</v>
      </c>
      <c r="CB24" s="17">
        <v>0.24</v>
      </c>
      <c r="CC24" s="17">
        <v>0.21</v>
      </c>
      <c r="CD24" s="17">
        <v>0.22</v>
      </c>
    </row>
    <row r="25" spans="2:82" x14ac:dyDescent="0.6">
      <c r="B25" s="11" t="s">
        <v>18</v>
      </c>
      <c r="C25" s="17">
        <v>0.52</v>
      </c>
      <c r="D25" s="17">
        <v>0.46</v>
      </c>
      <c r="E25" s="17">
        <v>0.46</v>
      </c>
      <c r="F25" s="17">
        <v>0.45</v>
      </c>
      <c r="G25" s="17">
        <v>0.44</v>
      </c>
      <c r="H25" s="17">
        <v>0.47</v>
      </c>
      <c r="I25" s="17">
        <v>0.49</v>
      </c>
      <c r="J25" s="17">
        <v>0.48</v>
      </c>
      <c r="K25" s="17">
        <v>0.49</v>
      </c>
      <c r="L25" s="17">
        <v>0.49</v>
      </c>
      <c r="M25" s="17">
        <v>0.5</v>
      </c>
      <c r="N25" s="17">
        <v>0.5</v>
      </c>
      <c r="O25" s="17">
        <v>0.49</v>
      </c>
      <c r="P25" s="17">
        <v>0.49</v>
      </c>
      <c r="Q25" s="17">
        <v>0.49</v>
      </c>
      <c r="R25" s="17">
        <v>0.5</v>
      </c>
      <c r="S25" s="17">
        <v>0.49</v>
      </c>
      <c r="T25" s="17">
        <v>0.5</v>
      </c>
      <c r="U25" s="17">
        <v>0.51</v>
      </c>
      <c r="V25" s="17">
        <v>0.5</v>
      </c>
      <c r="W25" s="17">
        <v>0.49</v>
      </c>
      <c r="X25" s="17">
        <v>0.48</v>
      </c>
      <c r="Y25" s="17">
        <v>0.47</v>
      </c>
      <c r="Z25" s="17">
        <v>0.48</v>
      </c>
      <c r="AA25" s="17">
        <v>0.48</v>
      </c>
      <c r="AB25" s="17">
        <v>0.49</v>
      </c>
      <c r="AC25" s="17">
        <v>0.49</v>
      </c>
      <c r="AD25" s="17">
        <v>0.48</v>
      </c>
      <c r="AE25" s="17">
        <v>0.48</v>
      </c>
      <c r="AF25" s="17">
        <v>0.49</v>
      </c>
      <c r="AG25" s="17">
        <v>0.49</v>
      </c>
      <c r="AH25" s="17">
        <v>0.5</v>
      </c>
      <c r="AI25" s="17">
        <v>0.51</v>
      </c>
      <c r="AJ25" s="17">
        <v>0.49</v>
      </c>
      <c r="AK25" s="17">
        <v>0.49</v>
      </c>
      <c r="AL25" s="17">
        <v>0.49</v>
      </c>
      <c r="AM25" s="17">
        <v>0.5</v>
      </c>
      <c r="AN25" s="17">
        <v>0.51</v>
      </c>
      <c r="AO25" s="17">
        <v>0.5</v>
      </c>
      <c r="AP25" s="17">
        <v>0.5</v>
      </c>
      <c r="AQ25" s="17">
        <v>0.49</v>
      </c>
      <c r="AR25" s="17">
        <v>0.49</v>
      </c>
      <c r="AS25" s="17">
        <v>0.49</v>
      </c>
      <c r="AT25" s="17">
        <v>0.5</v>
      </c>
      <c r="AU25" s="17">
        <v>0.49</v>
      </c>
      <c r="AV25" s="17">
        <v>0.47</v>
      </c>
      <c r="AW25" s="17">
        <v>0.47</v>
      </c>
      <c r="AX25" s="17">
        <v>0.49</v>
      </c>
      <c r="AY25" s="17">
        <v>0.48</v>
      </c>
      <c r="AZ25" s="17">
        <v>0.5</v>
      </c>
      <c r="BA25" s="17">
        <v>0.48</v>
      </c>
      <c r="BB25" s="17">
        <v>0.56999999999999995</v>
      </c>
      <c r="BC25" s="17">
        <v>0.49</v>
      </c>
      <c r="BD25" s="17">
        <v>0.52</v>
      </c>
      <c r="BE25" s="17">
        <v>0.49</v>
      </c>
      <c r="BF25" s="17">
        <v>0.56000000000000005</v>
      </c>
      <c r="BG25" s="17">
        <v>0.48</v>
      </c>
      <c r="BH25" s="17">
        <v>0.49</v>
      </c>
      <c r="BI25" s="17">
        <v>0.46</v>
      </c>
      <c r="BJ25" s="17">
        <v>0.56000000000000005</v>
      </c>
      <c r="BK25" s="17">
        <v>0.46</v>
      </c>
      <c r="BL25" s="17">
        <v>0.5</v>
      </c>
      <c r="BM25" s="17">
        <v>0.5</v>
      </c>
      <c r="BN25" s="17">
        <v>0.56999999999999995</v>
      </c>
      <c r="BO25" s="17">
        <v>0.5</v>
      </c>
      <c r="BP25" s="17">
        <v>0.51</v>
      </c>
      <c r="BQ25" s="17">
        <v>0.49</v>
      </c>
      <c r="BR25" s="17">
        <v>0.56999999999999995</v>
      </c>
      <c r="BS25" s="17">
        <v>0.48</v>
      </c>
      <c r="BT25" s="17">
        <v>0.5</v>
      </c>
      <c r="BU25" s="17">
        <v>0.48</v>
      </c>
      <c r="BV25" s="17">
        <v>0.56000000000000005</v>
      </c>
      <c r="BW25" s="17">
        <v>0.49</v>
      </c>
      <c r="BX25" s="17">
        <v>0.49</v>
      </c>
      <c r="BY25" s="17">
        <v>0.5</v>
      </c>
      <c r="BZ25" s="17">
        <v>0.56999999999999995</v>
      </c>
      <c r="CA25" s="17">
        <v>0.52</v>
      </c>
      <c r="CB25" s="17">
        <v>0.51</v>
      </c>
      <c r="CC25" s="17">
        <v>0.5</v>
      </c>
      <c r="CD25" s="17">
        <v>0.56999999999999995</v>
      </c>
    </row>
    <row r="26" spans="2:82" x14ac:dyDescent="0.6">
      <c r="B26" s="11" t="s">
        <v>19</v>
      </c>
      <c r="C26" s="17">
        <v>0.05</v>
      </c>
      <c r="D26" s="17">
        <v>0.09</v>
      </c>
      <c r="E26" s="17">
        <v>0.09</v>
      </c>
      <c r="F26" s="17">
        <v>0.09</v>
      </c>
      <c r="G26" s="17">
        <v>0.09</v>
      </c>
      <c r="H26" s="17">
        <v>0.09</v>
      </c>
      <c r="I26" s="17">
        <v>0.09</v>
      </c>
      <c r="J26" s="17">
        <v>0.09</v>
      </c>
      <c r="K26" s="17">
        <v>0.09</v>
      </c>
      <c r="L26" s="17">
        <v>0.1</v>
      </c>
      <c r="M26" s="17">
        <v>0.09</v>
      </c>
      <c r="N26" s="17">
        <v>0.1</v>
      </c>
      <c r="O26" s="17">
        <v>0.1</v>
      </c>
      <c r="P26" s="17">
        <v>0.1</v>
      </c>
      <c r="Q26" s="17">
        <v>0.1</v>
      </c>
      <c r="R26" s="17">
        <v>0.09</v>
      </c>
      <c r="S26" s="17">
        <v>0.09</v>
      </c>
      <c r="T26" s="17">
        <v>0.09</v>
      </c>
      <c r="U26" s="17">
        <v>0.09</v>
      </c>
      <c r="V26" s="17">
        <v>0.1</v>
      </c>
      <c r="W26" s="17">
        <v>0.1</v>
      </c>
      <c r="X26" s="17">
        <v>0.11</v>
      </c>
      <c r="Y26" s="17">
        <v>0.11</v>
      </c>
      <c r="Z26" s="17">
        <v>0.1</v>
      </c>
      <c r="AA26" s="17">
        <v>0.09</v>
      </c>
      <c r="AB26" s="17">
        <v>0.09</v>
      </c>
      <c r="AC26" s="17">
        <v>0.08</v>
      </c>
      <c r="AD26" s="17">
        <v>0.08</v>
      </c>
      <c r="AE26" s="17">
        <v>7.0000000000000007E-2</v>
      </c>
      <c r="AF26" s="17">
        <v>7.0000000000000007E-2</v>
      </c>
      <c r="AG26" s="17">
        <v>0.08</v>
      </c>
      <c r="AH26" s="17">
        <v>0.08</v>
      </c>
      <c r="AI26" s="17">
        <v>0.08</v>
      </c>
      <c r="AJ26" s="17">
        <v>0.08</v>
      </c>
      <c r="AK26" s="17">
        <v>0.09</v>
      </c>
      <c r="AL26" s="17">
        <v>0.09</v>
      </c>
      <c r="AM26" s="17">
        <v>0.08</v>
      </c>
      <c r="AN26" s="17">
        <v>0.08</v>
      </c>
      <c r="AO26" s="17">
        <v>0.09</v>
      </c>
      <c r="AP26" s="17">
        <v>0.09</v>
      </c>
      <c r="AQ26" s="17">
        <v>0.09</v>
      </c>
      <c r="AR26" s="17">
        <v>0.09</v>
      </c>
      <c r="AS26" s="17">
        <v>0.09</v>
      </c>
      <c r="AT26" s="17">
        <v>0.09</v>
      </c>
      <c r="AU26" s="17">
        <v>0.08</v>
      </c>
      <c r="AV26" s="17">
        <v>0.08</v>
      </c>
      <c r="AW26" s="17">
        <v>0.09</v>
      </c>
      <c r="AX26" s="17">
        <v>0.08</v>
      </c>
      <c r="AY26" s="17">
        <v>0.09</v>
      </c>
      <c r="AZ26" s="17">
        <v>0.08</v>
      </c>
      <c r="BA26" s="17">
        <v>0.08</v>
      </c>
      <c r="BB26" s="17">
        <v>0.09</v>
      </c>
      <c r="BC26" s="17">
        <v>0.08</v>
      </c>
      <c r="BD26" s="17">
        <v>0.09</v>
      </c>
      <c r="BE26" s="17">
        <v>0.09</v>
      </c>
      <c r="BF26" s="17">
        <v>0.08</v>
      </c>
      <c r="BG26" s="17">
        <v>0.08</v>
      </c>
      <c r="BH26" s="17">
        <v>0.08</v>
      </c>
      <c r="BI26" s="17">
        <v>0.08</v>
      </c>
      <c r="BJ26" s="17">
        <v>0.09</v>
      </c>
      <c r="BK26" s="17">
        <v>7.0000000000000007E-2</v>
      </c>
      <c r="BL26" s="17">
        <v>0.06</v>
      </c>
      <c r="BM26" s="17">
        <v>0.06</v>
      </c>
      <c r="BN26" s="17">
        <v>0.05</v>
      </c>
      <c r="BO26" s="17">
        <v>0.05</v>
      </c>
      <c r="BP26" s="17">
        <v>0.05</v>
      </c>
      <c r="BQ26" s="17">
        <v>0.06</v>
      </c>
      <c r="BR26" s="17">
        <v>0.06</v>
      </c>
      <c r="BS26" s="17">
        <v>0.05</v>
      </c>
      <c r="BT26" s="17">
        <v>0.05</v>
      </c>
      <c r="BU26" s="17">
        <v>0.05</v>
      </c>
      <c r="BV26" s="17">
        <v>0.06</v>
      </c>
      <c r="BW26" s="17">
        <v>0.04</v>
      </c>
      <c r="BX26" s="17">
        <v>0.05</v>
      </c>
      <c r="BY26" s="17">
        <v>0.05</v>
      </c>
      <c r="BZ26" s="17">
        <v>0.06</v>
      </c>
      <c r="CA26" s="17">
        <v>0.04</v>
      </c>
      <c r="CB26" s="17">
        <v>0.05</v>
      </c>
      <c r="CC26" s="17">
        <v>0.05</v>
      </c>
      <c r="CD26" s="17">
        <v>0.06</v>
      </c>
    </row>
    <row r="27" spans="2:82" ht="8.25" customHeight="1" x14ac:dyDescent="0.6"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</row>
    <row r="28" spans="2:82" x14ac:dyDescent="0.6">
      <c r="B28" s="8" t="s">
        <v>20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</row>
    <row r="29" spans="2:82" x14ac:dyDescent="0.6">
      <c r="B29" s="10" t="s">
        <v>21</v>
      </c>
      <c r="C29" s="2">
        <v>19918</v>
      </c>
      <c r="D29" s="2">
        <v>401</v>
      </c>
      <c r="E29" s="2">
        <v>452</v>
      </c>
      <c r="F29" s="2">
        <v>479</v>
      </c>
      <c r="G29" s="2">
        <v>499</v>
      </c>
      <c r="H29" s="2">
        <v>506</v>
      </c>
      <c r="I29" s="2">
        <v>547</v>
      </c>
      <c r="J29" s="2">
        <v>574</v>
      </c>
      <c r="K29" s="2">
        <v>599</v>
      </c>
      <c r="L29" s="2">
        <v>608</v>
      </c>
      <c r="M29" s="2">
        <v>687</v>
      </c>
      <c r="N29" s="2">
        <v>750</v>
      </c>
      <c r="O29" s="2">
        <v>788</v>
      </c>
      <c r="P29" s="2">
        <v>786</v>
      </c>
      <c r="Q29" s="2">
        <v>774</v>
      </c>
      <c r="R29" s="2">
        <v>809</v>
      </c>
      <c r="S29" s="2">
        <v>855</v>
      </c>
      <c r="T29" s="2">
        <v>853</v>
      </c>
      <c r="U29" s="2">
        <v>858</v>
      </c>
      <c r="V29" s="2">
        <v>906</v>
      </c>
      <c r="W29" s="2">
        <v>955</v>
      </c>
      <c r="X29" s="2">
        <v>963</v>
      </c>
      <c r="Y29" s="2">
        <v>1000</v>
      </c>
      <c r="Z29" s="2">
        <v>1074</v>
      </c>
      <c r="AA29" s="2">
        <v>1096</v>
      </c>
      <c r="AB29" s="2">
        <v>1114</v>
      </c>
      <c r="AC29" s="2">
        <v>1144</v>
      </c>
      <c r="AD29" s="2">
        <v>1210</v>
      </c>
      <c r="AE29" s="2">
        <v>1234</v>
      </c>
      <c r="AF29" s="2">
        <v>1214</v>
      </c>
      <c r="AG29" s="2">
        <v>1253</v>
      </c>
      <c r="AH29" s="2">
        <v>1261</v>
      </c>
      <c r="AI29" s="2">
        <v>1329</v>
      </c>
      <c r="AJ29" s="2">
        <v>1355</v>
      </c>
      <c r="AK29" s="2">
        <v>1394</v>
      </c>
      <c r="AL29" s="2">
        <v>1437</v>
      </c>
      <c r="AM29" s="2">
        <v>1436</v>
      </c>
      <c r="AN29" s="2">
        <v>1465</v>
      </c>
      <c r="AO29" s="2">
        <v>1500</v>
      </c>
      <c r="AP29" s="2">
        <v>1568</v>
      </c>
      <c r="AQ29" s="2">
        <v>1617</v>
      </c>
      <c r="AR29" s="2">
        <v>1661</v>
      </c>
      <c r="AS29" s="2">
        <v>1711</v>
      </c>
      <c r="AT29" s="2">
        <v>1696</v>
      </c>
      <c r="AU29" s="2">
        <v>1778</v>
      </c>
      <c r="AV29" s="2">
        <v>1846</v>
      </c>
      <c r="AW29" s="2">
        <v>1917</v>
      </c>
      <c r="AX29" s="2">
        <v>1944</v>
      </c>
      <c r="AY29" s="2">
        <v>1988</v>
      </c>
      <c r="AZ29" s="2">
        <v>2016</v>
      </c>
      <c r="BA29" s="2">
        <v>2132</v>
      </c>
      <c r="BB29" s="2">
        <v>1884</v>
      </c>
      <c r="BC29" s="2">
        <v>2277</v>
      </c>
      <c r="BD29" s="2">
        <v>2160</v>
      </c>
      <c r="BE29" s="2">
        <v>2468</v>
      </c>
      <c r="BF29" s="2">
        <v>2195</v>
      </c>
      <c r="BG29" s="2">
        <v>2637</v>
      </c>
      <c r="BH29" s="2">
        <v>2395</v>
      </c>
      <c r="BI29" s="2">
        <v>2413</v>
      </c>
      <c r="BJ29" s="2">
        <v>2221</v>
      </c>
      <c r="BK29" s="2">
        <v>2862</v>
      </c>
      <c r="BL29" s="2">
        <v>2574</v>
      </c>
      <c r="BM29" s="2">
        <v>2841</v>
      </c>
      <c r="BN29" s="2">
        <v>2598</v>
      </c>
      <c r="BO29" s="2">
        <v>3112</v>
      </c>
      <c r="BP29" s="2">
        <v>3101</v>
      </c>
      <c r="BQ29" s="2">
        <v>3549</v>
      </c>
      <c r="BR29" s="2">
        <v>3304</v>
      </c>
      <c r="BS29" s="2">
        <v>4210</v>
      </c>
      <c r="BT29" s="2">
        <v>4031</v>
      </c>
      <c r="BU29" s="2">
        <v>4255</v>
      </c>
      <c r="BV29" s="2">
        <v>3875</v>
      </c>
      <c r="BW29" s="2">
        <v>5016</v>
      </c>
      <c r="BX29" s="2">
        <v>4514</v>
      </c>
      <c r="BY29" s="2">
        <v>4965</v>
      </c>
      <c r="BZ29" s="2">
        <v>4659</v>
      </c>
      <c r="CA29" s="2">
        <v>5780</v>
      </c>
      <c r="CB29" s="2">
        <v>5276</v>
      </c>
      <c r="CC29" s="2">
        <v>5799</v>
      </c>
      <c r="CD29" s="2">
        <v>5525</v>
      </c>
    </row>
    <row r="30" spans="2:82" x14ac:dyDescent="0.6">
      <c r="B30" s="13" t="s">
        <v>22</v>
      </c>
      <c r="C30" s="2">
        <v>-450</v>
      </c>
      <c r="D30" s="2">
        <v>-4</v>
      </c>
      <c r="E30" s="2">
        <v>-4</v>
      </c>
      <c r="F30" s="2">
        <v>-4</v>
      </c>
      <c r="G30" s="2">
        <v>-4</v>
      </c>
      <c r="H30" s="2">
        <v>-2</v>
      </c>
      <c r="I30" s="2">
        <v>-2</v>
      </c>
      <c r="J30" s="2">
        <v>-2</v>
      </c>
      <c r="K30" s="2">
        <v>-2</v>
      </c>
      <c r="L30" s="2">
        <v>-5</v>
      </c>
      <c r="M30" s="2">
        <v>-5</v>
      </c>
      <c r="N30" s="2">
        <v>-5</v>
      </c>
      <c r="O30" s="2">
        <v>-5</v>
      </c>
      <c r="P30" s="2">
        <v>-5</v>
      </c>
      <c r="Q30" s="2">
        <v>-5</v>
      </c>
      <c r="R30" s="2">
        <v>-5</v>
      </c>
      <c r="S30" s="2">
        <v>-5</v>
      </c>
      <c r="T30" s="2">
        <v>-7</v>
      </c>
      <c r="U30" s="2">
        <v>-7</v>
      </c>
      <c r="V30" s="2">
        <v>-8</v>
      </c>
      <c r="W30" s="2">
        <v>-8</v>
      </c>
      <c r="X30" s="2">
        <v>-9</v>
      </c>
      <c r="Y30" s="2">
        <v>-9</v>
      </c>
      <c r="Z30" s="2">
        <v>-9</v>
      </c>
      <c r="AA30" s="2">
        <v>-9</v>
      </c>
      <c r="AB30" s="2">
        <v>-16</v>
      </c>
      <c r="AC30" s="2">
        <v>-16</v>
      </c>
      <c r="AD30" s="2">
        <v>-16</v>
      </c>
      <c r="AE30" s="2">
        <v>-16</v>
      </c>
      <c r="AF30" s="2">
        <v>-21</v>
      </c>
      <c r="AG30" s="2">
        <v>-21</v>
      </c>
      <c r="AH30" s="2">
        <v>-21</v>
      </c>
      <c r="AI30" s="2">
        <v>-22</v>
      </c>
      <c r="AJ30" s="2">
        <v>-32</v>
      </c>
      <c r="AK30" s="2">
        <v>-32</v>
      </c>
      <c r="AL30" s="2">
        <v>-32</v>
      </c>
      <c r="AM30" s="2">
        <v>-33</v>
      </c>
      <c r="AN30" s="2">
        <v>-24</v>
      </c>
      <c r="AO30" s="2">
        <v>-33</v>
      </c>
      <c r="AP30" s="2">
        <v>-25</v>
      </c>
      <c r="AQ30" s="2">
        <v>-35</v>
      </c>
      <c r="AR30" s="2">
        <v>-35</v>
      </c>
      <c r="AS30" s="2">
        <v>-51</v>
      </c>
      <c r="AT30" s="2">
        <v>-46</v>
      </c>
      <c r="AU30" s="2">
        <v>-55</v>
      </c>
      <c r="AV30" s="2">
        <v>-48</v>
      </c>
      <c r="AW30" s="2">
        <v>-61</v>
      </c>
      <c r="AX30" s="2">
        <v>-67</v>
      </c>
      <c r="AY30" s="2">
        <v>-67</v>
      </c>
      <c r="AZ30" s="2">
        <v>-73</v>
      </c>
      <c r="BA30" s="2">
        <v>-80</v>
      </c>
      <c r="BB30" s="2">
        <v>-72</v>
      </c>
      <c r="BC30" s="2">
        <v>-72</v>
      </c>
      <c r="BD30" s="2">
        <v>-79</v>
      </c>
      <c r="BE30" s="2">
        <v>-76</v>
      </c>
      <c r="BF30" s="2">
        <v>-76</v>
      </c>
      <c r="BG30" s="2">
        <v>-65</v>
      </c>
      <c r="BH30" s="2">
        <v>-53</v>
      </c>
      <c r="BI30" s="2">
        <v>-48</v>
      </c>
      <c r="BJ30" s="2">
        <v>-48</v>
      </c>
      <c r="BK30" s="2">
        <v>-39</v>
      </c>
      <c r="BL30" s="2">
        <v>-48</v>
      </c>
      <c r="BM30" s="2">
        <v>-40</v>
      </c>
      <c r="BN30" s="2">
        <v>-45</v>
      </c>
      <c r="BO30" s="2">
        <v>-41</v>
      </c>
      <c r="BP30" s="2">
        <v>-70</v>
      </c>
      <c r="BQ30" s="2">
        <v>-45</v>
      </c>
      <c r="BR30" s="2">
        <v>-76</v>
      </c>
      <c r="BS30" s="2">
        <v>-58</v>
      </c>
      <c r="BT30" s="2">
        <v>-58</v>
      </c>
      <c r="BU30" s="2">
        <v>-75</v>
      </c>
      <c r="BV30" s="2">
        <v>-94</v>
      </c>
      <c r="BW30" s="2">
        <v>-93</v>
      </c>
      <c r="BX30" s="2">
        <v>-106</v>
      </c>
      <c r="BY30" s="2">
        <v>-111</v>
      </c>
      <c r="BZ30" s="2">
        <v>-114</v>
      </c>
      <c r="CA30" s="2">
        <v>-119</v>
      </c>
      <c r="CB30" s="2">
        <v>-119</v>
      </c>
      <c r="CC30" s="2">
        <v>-125</v>
      </c>
      <c r="CD30" s="2">
        <v>-123</v>
      </c>
    </row>
    <row r="31" spans="2:82" x14ac:dyDescent="0.6">
      <c r="B31" s="10" t="s">
        <v>23</v>
      </c>
      <c r="C31" s="2">
        <v>19468</v>
      </c>
      <c r="D31" s="2">
        <v>397</v>
      </c>
      <c r="E31" s="2">
        <v>448</v>
      </c>
      <c r="F31" s="2">
        <v>475</v>
      </c>
      <c r="G31" s="2">
        <v>495</v>
      </c>
      <c r="H31" s="2">
        <v>504</v>
      </c>
      <c r="I31" s="2">
        <v>545</v>
      </c>
      <c r="J31" s="2">
        <v>571</v>
      </c>
      <c r="K31" s="2">
        <v>597</v>
      </c>
      <c r="L31" s="2">
        <v>603</v>
      </c>
      <c r="M31" s="2">
        <v>682</v>
      </c>
      <c r="N31" s="2">
        <v>745</v>
      </c>
      <c r="O31" s="2">
        <v>783</v>
      </c>
      <c r="P31" s="2">
        <v>781</v>
      </c>
      <c r="Q31" s="2">
        <v>769</v>
      </c>
      <c r="R31" s="2">
        <v>804</v>
      </c>
      <c r="S31" s="2">
        <v>850</v>
      </c>
      <c r="T31" s="2">
        <v>846</v>
      </c>
      <c r="U31" s="2">
        <v>850</v>
      </c>
      <c r="V31" s="2">
        <v>898</v>
      </c>
      <c r="W31" s="2">
        <v>948</v>
      </c>
      <c r="X31" s="2">
        <v>955</v>
      </c>
      <c r="Y31" s="2">
        <v>991</v>
      </c>
      <c r="Z31" s="2">
        <v>1066</v>
      </c>
      <c r="AA31" s="2">
        <v>1087</v>
      </c>
      <c r="AB31" s="2">
        <v>1099</v>
      </c>
      <c r="AC31" s="2">
        <v>1128</v>
      </c>
      <c r="AD31" s="2">
        <v>1194</v>
      </c>
      <c r="AE31" s="2">
        <v>1218</v>
      </c>
      <c r="AF31" s="2">
        <v>1193</v>
      </c>
      <c r="AG31" s="2">
        <v>1232</v>
      </c>
      <c r="AH31" s="2">
        <v>1240</v>
      </c>
      <c r="AI31" s="2">
        <v>1307</v>
      </c>
      <c r="AJ31" s="2">
        <v>1323</v>
      </c>
      <c r="AK31" s="2">
        <v>1362</v>
      </c>
      <c r="AL31" s="2">
        <v>1405</v>
      </c>
      <c r="AM31" s="2">
        <v>1403</v>
      </c>
      <c r="AN31" s="2">
        <v>1441</v>
      </c>
      <c r="AO31" s="2">
        <v>1467</v>
      </c>
      <c r="AP31" s="2">
        <v>1543</v>
      </c>
      <c r="AQ31" s="2">
        <v>1582</v>
      </c>
      <c r="AR31" s="2">
        <v>1626</v>
      </c>
      <c r="AS31" s="2">
        <v>1660</v>
      </c>
      <c r="AT31" s="2">
        <v>1650</v>
      </c>
      <c r="AU31" s="2">
        <v>1722</v>
      </c>
      <c r="AV31" s="2">
        <v>1798</v>
      </c>
      <c r="AW31" s="2">
        <v>1856</v>
      </c>
      <c r="AX31" s="2">
        <v>1876</v>
      </c>
      <c r="AY31" s="2">
        <v>1921</v>
      </c>
      <c r="AZ31" s="2">
        <v>1944</v>
      </c>
      <c r="BA31" s="2">
        <v>2052</v>
      </c>
      <c r="BB31" s="2">
        <v>1812</v>
      </c>
      <c r="BC31" s="2">
        <v>2205</v>
      </c>
      <c r="BD31" s="2">
        <v>2081</v>
      </c>
      <c r="BE31" s="2">
        <v>2392</v>
      </c>
      <c r="BF31" s="2">
        <v>2119</v>
      </c>
      <c r="BG31" s="2">
        <v>2572</v>
      </c>
      <c r="BH31" s="2">
        <v>2342</v>
      </c>
      <c r="BI31" s="2">
        <v>2365</v>
      </c>
      <c r="BJ31" s="2">
        <v>2174</v>
      </c>
      <c r="BK31" s="2">
        <v>2824</v>
      </c>
      <c r="BL31" s="2">
        <v>2526</v>
      </c>
      <c r="BM31" s="2">
        <v>2801</v>
      </c>
      <c r="BN31" s="2">
        <v>2552</v>
      </c>
      <c r="BO31" s="2">
        <v>3071</v>
      </c>
      <c r="BP31" s="2">
        <v>3031</v>
      </c>
      <c r="BQ31" s="2">
        <v>3504</v>
      </c>
      <c r="BR31" s="2">
        <v>3228</v>
      </c>
      <c r="BS31" s="2">
        <v>4152</v>
      </c>
      <c r="BT31" s="2">
        <v>3973</v>
      </c>
      <c r="BU31" s="2">
        <v>4180</v>
      </c>
      <c r="BV31" s="2">
        <v>3782</v>
      </c>
      <c r="BW31" s="2">
        <v>4922</v>
      </c>
      <c r="BX31" s="2">
        <v>4408</v>
      </c>
      <c r="BY31" s="2">
        <v>4854</v>
      </c>
      <c r="BZ31" s="2">
        <v>4545</v>
      </c>
      <c r="CA31" s="2">
        <v>5661</v>
      </c>
      <c r="CB31" s="2">
        <v>5157</v>
      </c>
      <c r="CC31" s="2">
        <v>5673</v>
      </c>
      <c r="CD31" s="2">
        <v>5402</v>
      </c>
    </row>
    <row r="32" spans="2:82" x14ac:dyDescent="0.6">
      <c r="B32" s="13" t="s">
        <v>24</v>
      </c>
      <c r="C32" s="2">
        <v>1028</v>
      </c>
      <c r="D32" s="2">
        <v>45</v>
      </c>
      <c r="E32" s="2">
        <v>45</v>
      </c>
      <c r="F32" s="2">
        <v>45</v>
      </c>
      <c r="G32" s="2">
        <v>45</v>
      </c>
      <c r="H32" s="2">
        <v>63</v>
      </c>
      <c r="I32" s="2">
        <v>63</v>
      </c>
      <c r="J32" s="2">
        <v>63</v>
      </c>
      <c r="K32" s="2">
        <v>63</v>
      </c>
      <c r="L32" s="2">
        <v>71</v>
      </c>
      <c r="M32" s="2">
        <v>70</v>
      </c>
      <c r="N32" s="2">
        <v>71</v>
      </c>
      <c r="O32" s="2">
        <v>72</v>
      </c>
      <c r="P32" s="2">
        <v>85</v>
      </c>
      <c r="Q32" s="2">
        <v>85</v>
      </c>
      <c r="R32" s="2">
        <v>85</v>
      </c>
      <c r="S32" s="2">
        <v>85</v>
      </c>
      <c r="T32" s="2">
        <v>83</v>
      </c>
      <c r="U32" s="2">
        <v>84</v>
      </c>
      <c r="V32" s="2">
        <v>86</v>
      </c>
      <c r="W32" s="2">
        <v>86</v>
      </c>
      <c r="X32" s="2">
        <v>119</v>
      </c>
      <c r="Y32" s="2">
        <v>120</v>
      </c>
      <c r="Z32" s="2">
        <v>120</v>
      </c>
      <c r="AA32" s="2">
        <v>120</v>
      </c>
      <c r="AB32" s="2">
        <v>96</v>
      </c>
      <c r="AC32" s="2">
        <v>96</v>
      </c>
      <c r="AD32" s="2">
        <v>97</v>
      </c>
      <c r="AE32" s="2">
        <v>99</v>
      </c>
      <c r="AF32" s="2">
        <v>117</v>
      </c>
      <c r="AG32" s="2">
        <v>119</v>
      </c>
      <c r="AH32" s="2">
        <v>120</v>
      </c>
      <c r="AI32" s="2">
        <v>123</v>
      </c>
      <c r="AJ32" s="2">
        <v>97</v>
      </c>
      <c r="AK32" s="2">
        <v>98</v>
      </c>
      <c r="AL32" s="2">
        <v>99</v>
      </c>
      <c r="AM32" s="2">
        <v>100</v>
      </c>
      <c r="AN32" s="2">
        <v>46</v>
      </c>
      <c r="AO32" s="2">
        <v>66</v>
      </c>
      <c r="AP32" s="2">
        <v>77</v>
      </c>
      <c r="AQ32" s="2">
        <v>79</v>
      </c>
      <c r="AR32" s="2">
        <v>65</v>
      </c>
      <c r="AS32" s="2">
        <v>70</v>
      </c>
      <c r="AT32" s="2">
        <v>65</v>
      </c>
      <c r="AU32" s="2">
        <v>71</v>
      </c>
      <c r="AV32" s="2">
        <v>91</v>
      </c>
      <c r="AW32" s="2">
        <v>133</v>
      </c>
      <c r="AX32" s="2">
        <v>127</v>
      </c>
      <c r="AY32" s="2">
        <v>144</v>
      </c>
      <c r="AZ32" s="2">
        <v>130</v>
      </c>
      <c r="BA32" s="2">
        <v>124</v>
      </c>
      <c r="BB32" s="2">
        <v>155</v>
      </c>
      <c r="BC32" s="2">
        <v>166</v>
      </c>
      <c r="BD32" s="2">
        <v>136</v>
      </c>
      <c r="BE32" s="2">
        <v>98</v>
      </c>
      <c r="BF32" s="2">
        <v>129</v>
      </c>
      <c r="BG32" s="2">
        <v>161</v>
      </c>
      <c r="BH32" s="2">
        <v>141</v>
      </c>
      <c r="BI32" s="2">
        <v>136</v>
      </c>
      <c r="BJ32" s="2">
        <v>149</v>
      </c>
      <c r="BK32" s="2">
        <v>160</v>
      </c>
      <c r="BL32" s="2">
        <v>175</v>
      </c>
      <c r="BM32" s="2">
        <v>195</v>
      </c>
      <c r="BN32" s="2">
        <v>176</v>
      </c>
      <c r="BO32" s="2">
        <v>203</v>
      </c>
      <c r="BP32" s="2">
        <v>239</v>
      </c>
      <c r="BQ32" s="2">
        <v>366</v>
      </c>
      <c r="BR32" s="2">
        <v>186</v>
      </c>
      <c r="BS32" s="2">
        <v>218</v>
      </c>
      <c r="BT32" s="2">
        <v>173</v>
      </c>
      <c r="BU32" s="2">
        <v>384</v>
      </c>
      <c r="BV32" s="2">
        <v>242</v>
      </c>
      <c r="BW32" s="2">
        <v>231</v>
      </c>
      <c r="BX32" s="2">
        <v>205</v>
      </c>
      <c r="BY32" s="2">
        <v>335</v>
      </c>
      <c r="BZ32" s="2">
        <v>218</v>
      </c>
      <c r="CA32" s="2">
        <v>270</v>
      </c>
      <c r="CB32" s="2">
        <v>215</v>
      </c>
      <c r="CC32" s="2">
        <v>283</v>
      </c>
      <c r="CD32" s="2">
        <v>292</v>
      </c>
    </row>
    <row r="33" spans="2:83" x14ac:dyDescent="0.6">
      <c r="B33" s="10" t="s">
        <v>25</v>
      </c>
      <c r="C33" s="2">
        <v>20496</v>
      </c>
      <c r="D33" s="2">
        <v>442</v>
      </c>
      <c r="E33" s="2">
        <v>492</v>
      </c>
      <c r="F33" s="2">
        <v>520</v>
      </c>
      <c r="G33" s="2">
        <v>540</v>
      </c>
      <c r="H33" s="2">
        <v>567</v>
      </c>
      <c r="I33" s="2">
        <v>608</v>
      </c>
      <c r="J33" s="2">
        <v>635</v>
      </c>
      <c r="K33" s="2">
        <v>660</v>
      </c>
      <c r="L33" s="2">
        <v>673</v>
      </c>
      <c r="M33" s="2">
        <v>752</v>
      </c>
      <c r="N33" s="2">
        <v>816</v>
      </c>
      <c r="O33" s="2">
        <v>855</v>
      </c>
      <c r="P33" s="2">
        <v>866</v>
      </c>
      <c r="Q33" s="2">
        <v>854</v>
      </c>
      <c r="R33" s="2">
        <v>889</v>
      </c>
      <c r="S33" s="2">
        <v>936</v>
      </c>
      <c r="T33" s="2">
        <v>929</v>
      </c>
      <c r="U33" s="2">
        <v>934</v>
      </c>
      <c r="V33" s="2">
        <v>984</v>
      </c>
      <c r="W33" s="2">
        <v>1033</v>
      </c>
      <c r="X33" s="2">
        <v>1074</v>
      </c>
      <c r="Y33" s="2">
        <v>1111</v>
      </c>
      <c r="Z33" s="2">
        <v>1185</v>
      </c>
      <c r="AA33" s="2">
        <v>1207</v>
      </c>
      <c r="AB33" s="2">
        <v>1194</v>
      </c>
      <c r="AC33" s="2">
        <v>1224</v>
      </c>
      <c r="AD33" s="2">
        <v>1291</v>
      </c>
      <c r="AE33" s="2">
        <v>1318</v>
      </c>
      <c r="AF33" s="2">
        <v>1310</v>
      </c>
      <c r="AG33" s="2">
        <v>1350</v>
      </c>
      <c r="AH33" s="2">
        <v>1360</v>
      </c>
      <c r="AI33" s="2">
        <v>1430</v>
      </c>
      <c r="AJ33" s="2">
        <v>1421</v>
      </c>
      <c r="AK33" s="2">
        <v>1461</v>
      </c>
      <c r="AL33" s="2">
        <v>1504</v>
      </c>
      <c r="AM33" s="2">
        <v>1503</v>
      </c>
      <c r="AN33" s="2">
        <v>1487</v>
      </c>
      <c r="AO33" s="2">
        <v>1533</v>
      </c>
      <c r="AP33" s="2">
        <v>1620</v>
      </c>
      <c r="AQ33" s="2">
        <v>1661</v>
      </c>
      <c r="AR33" s="2">
        <v>1691</v>
      </c>
      <c r="AS33" s="2">
        <v>1730</v>
      </c>
      <c r="AT33" s="2">
        <v>1714</v>
      </c>
      <c r="AU33" s="2">
        <v>1793</v>
      </c>
      <c r="AV33" s="2">
        <v>1889</v>
      </c>
      <c r="AW33" s="2">
        <v>1990</v>
      </c>
      <c r="AX33" s="2">
        <v>2004</v>
      </c>
      <c r="AY33" s="2">
        <v>2066</v>
      </c>
      <c r="AZ33" s="2">
        <v>2074</v>
      </c>
      <c r="BA33" s="2">
        <v>2176</v>
      </c>
      <c r="BB33" s="2">
        <v>1967</v>
      </c>
      <c r="BC33" s="2">
        <v>2371</v>
      </c>
      <c r="BD33" s="2">
        <v>2217</v>
      </c>
      <c r="BE33" s="2">
        <v>2491</v>
      </c>
      <c r="BF33" s="2">
        <v>2248</v>
      </c>
      <c r="BG33" s="2">
        <v>2732</v>
      </c>
      <c r="BH33" s="2">
        <v>2483</v>
      </c>
      <c r="BI33" s="2">
        <v>2501</v>
      </c>
      <c r="BJ33" s="2">
        <v>2322</v>
      </c>
      <c r="BK33" s="2">
        <v>2984</v>
      </c>
      <c r="BL33" s="2">
        <v>2701</v>
      </c>
      <c r="BM33" s="2">
        <v>2996</v>
      </c>
      <c r="BN33" s="2">
        <v>2728</v>
      </c>
      <c r="BO33" s="2">
        <v>3274</v>
      </c>
      <c r="BP33" s="2">
        <v>3270</v>
      </c>
      <c r="BQ33" s="2">
        <v>3870</v>
      </c>
      <c r="BR33" s="2">
        <v>3414</v>
      </c>
      <c r="BS33" s="2">
        <v>4370</v>
      </c>
      <c r="BT33" s="2">
        <v>4146</v>
      </c>
      <c r="BU33" s="2">
        <v>4564</v>
      </c>
      <c r="BV33" s="2">
        <v>4024</v>
      </c>
      <c r="BW33" s="2">
        <v>5153</v>
      </c>
      <c r="BX33" s="2">
        <v>4613</v>
      </c>
      <c r="BY33" s="2">
        <v>5189</v>
      </c>
      <c r="BZ33" s="2">
        <v>4763</v>
      </c>
      <c r="CA33" s="2">
        <v>5931</v>
      </c>
      <c r="CB33" s="2">
        <v>5372</v>
      </c>
      <c r="CC33" s="2">
        <v>5957</v>
      </c>
      <c r="CD33" s="2">
        <v>5695</v>
      </c>
    </row>
    <row r="34" spans="2:83" x14ac:dyDescent="0.6">
      <c r="B34" s="13" t="s">
        <v>26</v>
      </c>
      <c r="C34" s="2">
        <v>-15959</v>
      </c>
      <c r="D34" s="2">
        <v>-392</v>
      </c>
      <c r="E34" s="2">
        <v>-429</v>
      </c>
      <c r="F34" s="2">
        <v>-469</v>
      </c>
      <c r="G34" s="2">
        <v>-476</v>
      </c>
      <c r="H34" s="2">
        <v>-458</v>
      </c>
      <c r="I34" s="2">
        <v>-502</v>
      </c>
      <c r="J34" s="2">
        <v>-530</v>
      </c>
      <c r="K34" s="2">
        <v>-555</v>
      </c>
      <c r="L34" s="2">
        <v>-579</v>
      </c>
      <c r="M34" s="2">
        <v>-633</v>
      </c>
      <c r="N34" s="2">
        <v>-715</v>
      </c>
      <c r="O34" s="2">
        <v>-727</v>
      </c>
      <c r="P34" s="2">
        <v>-730</v>
      </c>
      <c r="Q34" s="2">
        <v>-735</v>
      </c>
      <c r="R34" s="2">
        <v>-781</v>
      </c>
      <c r="S34" s="2">
        <v>-819</v>
      </c>
      <c r="T34" s="2">
        <v>-812</v>
      </c>
      <c r="U34" s="2">
        <v>-824</v>
      </c>
      <c r="V34" s="2">
        <v>-862</v>
      </c>
      <c r="W34" s="2">
        <v>-904</v>
      </c>
      <c r="X34" s="2">
        <v>-881</v>
      </c>
      <c r="Y34" s="2">
        <v>-956</v>
      </c>
      <c r="Z34" s="2">
        <v>-1012</v>
      </c>
      <c r="AA34" s="2">
        <v>-1015</v>
      </c>
      <c r="AB34" s="2">
        <v>-1035</v>
      </c>
      <c r="AC34" s="2">
        <v>-1095</v>
      </c>
      <c r="AD34" s="2">
        <v>-1158</v>
      </c>
      <c r="AE34" s="2">
        <v>-1097</v>
      </c>
      <c r="AF34" s="2">
        <v>-1096</v>
      </c>
      <c r="AG34" s="2">
        <v>-1118</v>
      </c>
      <c r="AH34" s="2">
        <v>-1163</v>
      </c>
      <c r="AI34" s="2">
        <v>-1238</v>
      </c>
      <c r="AJ34" s="2">
        <v>-1274</v>
      </c>
      <c r="AK34" s="2">
        <v>-1292</v>
      </c>
      <c r="AL34" s="2">
        <v>-1375</v>
      </c>
      <c r="AM34" s="2">
        <v>-1285</v>
      </c>
      <c r="AN34" s="2">
        <v>-1378</v>
      </c>
      <c r="AO34" s="2">
        <v>-1437</v>
      </c>
      <c r="AP34" s="2">
        <v>-1506</v>
      </c>
      <c r="AQ34" s="2">
        <v>-1491</v>
      </c>
      <c r="AR34" s="2">
        <v>-1499</v>
      </c>
      <c r="AS34" s="2">
        <v>-1613</v>
      </c>
      <c r="AT34" s="2">
        <v>-1624</v>
      </c>
      <c r="AU34" s="2">
        <v>-1613</v>
      </c>
      <c r="AV34" s="2">
        <v>-1634</v>
      </c>
      <c r="AW34" s="2">
        <v>-1709</v>
      </c>
      <c r="AX34" s="2">
        <v>-1746</v>
      </c>
      <c r="AY34" s="2">
        <v>-1743</v>
      </c>
      <c r="AZ34" s="2">
        <v>-1785</v>
      </c>
      <c r="BA34" s="2">
        <v>-1876</v>
      </c>
      <c r="BB34" s="2">
        <v>-1591</v>
      </c>
      <c r="BC34" s="2">
        <v>-1962</v>
      </c>
      <c r="BD34" s="2">
        <v>-1851</v>
      </c>
      <c r="BE34" s="2">
        <v>-2126</v>
      </c>
      <c r="BF34" s="2">
        <v>-1723</v>
      </c>
      <c r="BG34" s="2">
        <v>-2168</v>
      </c>
      <c r="BH34" s="2">
        <v>-2144</v>
      </c>
      <c r="BI34" s="2">
        <v>-2171</v>
      </c>
      <c r="BJ34" s="2">
        <v>-1911</v>
      </c>
      <c r="BK34" s="2">
        <v>-2561</v>
      </c>
      <c r="BL34" s="2">
        <v>-2254</v>
      </c>
      <c r="BM34" s="2">
        <v>-2498</v>
      </c>
      <c r="BN34" s="2">
        <v>-2826</v>
      </c>
      <c r="BO34" s="2">
        <v>-2632</v>
      </c>
      <c r="BP34" s="2">
        <v>-2467</v>
      </c>
      <c r="BQ34" s="2">
        <v>-2857</v>
      </c>
      <c r="BR34" s="2">
        <v>-2584</v>
      </c>
      <c r="BS34" s="2">
        <v>-3366</v>
      </c>
      <c r="BT34" s="2">
        <v>-3319</v>
      </c>
      <c r="BU34" s="2">
        <v>-3584</v>
      </c>
      <c r="BV34" s="2">
        <v>-2896</v>
      </c>
      <c r="BW34" s="2">
        <v>-4136</v>
      </c>
      <c r="BX34" s="2">
        <v>-3471</v>
      </c>
      <c r="BY34" s="2">
        <v>-4060</v>
      </c>
      <c r="BZ34" s="2">
        <v>-3658</v>
      </c>
      <c r="CA34" s="2">
        <v>-4770</v>
      </c>
      <c r="CB34" s="2">
        <v>-4071</v>
      </c>
      <c r="CC34" s="2">
        <v>-4828</v>
      </c>
      <c r="CD34" s="2">
        <v>-4169</v>
      </c>
    </row>
    <row r="35" spans="2:83" x14ac:dyDescent="0.6">
      <c r="B35" s="10" t="s">
        <v>27</v>
      </c>
      <c r="C35" s="2">
        <v>4537</v>
      </c>
      <c r="D35" s="2">
        <v>51</v>
      </c>
      <c r="E35" s="2">
        <v>63</v>
      </c>
      <c r="F35" s="2">
        <v>51</v>
      </c>
      <c r="G35" s="2">
        <v>64</v>
      </c>
      <c r="H35" s="2">
        <v>110</v>
      </c>
      <c r="I35" s="2">
        <v>105</v>
      </c>
      <c r="J35" s="2">
        <v>105</v>
      </c>
      <c r="K35" s="2">
        <v>105</v>
      </c>
      <c r="L35" s="2">
        <v>95</v>
      </c>
      <c r="M35" s="2">
        <v>119</v>
      </c>
      <c r="N35" s="2">
        <v>100</v>
      </c>
      <c r="O35" s="2">
        <v>128</v>
      </c>
      <c r="P35" s="2">
        <v>136</v>
      </c>
      <c r="Q35" s="2">
        <v>119</v>
      </c>
      <c r="R35" s="2">
        <v>108</v>
      </c>
      <c r="S35" s="2">
        <v>116</v>
      </c>
      <c r="T35" s="2">
        <v>116</v>
      </c>
      <c r="U35" s="2">
        <v>111</v>
      </c>
      <c r="V35" s="2">
        <v>121</v>
      </c>
      <c r="W35" s="2">
        <v>130</v>
      </c>
      <c r="X35" s="2">
        <v>194</v>
      </c>
      <c r="Y35" s="2">
        <v>155</v>
      </c>
      <c r="Z35" s="2">
        <v>173</v>
      </c>
      <c r="AA35" s="2">
        <v>192</v>
      </c>
      <c r="AB35" s="2">
        <v>159</v>
      </c>
      <c r="AC35" s="2">
        <v>129</v>
      </c>
      <c r="AD35" s="2">
        <v>133</v>
      </c>
      <c r="AE35" s="2">
        <v>221</v>
      </c>
      <c r="AF35" s="2">
        <v>214</v>
      </c>
      <c r="AG35" s="2">
        <v>232</v>
      </c>
      <c r="AH35" s="2">
        <v>197</v>
      </c>
      <c r="AI35" s="2">
        <v>192</v>
      </c>
      <c r="AJ35" s="2">
        <v>147</v>
      </c>
      <c r="AK35" s="2">
        <v>168</v>
      </c>
      <c r="AL35" s="2">
        <v>129</v>
      </c>
      <c r="AM35" s="2">
        <v>218</v>
      </c>
      <c r="AN35" s="2">
        <v>109</v>
      </c>
      <c r="AO35" s="2">
        <v>96</v>
      </c>
      <c r="AP35" s="2">
        <v>114</v>
      </c>
      <c r="AQ35" s="2">
        <v>170</v>
      </c>
      <c r="AR35" s="2">
        <v>192</v>
      </c>
      <c r="AS35" s="2">
        <v>117</v>
      </c>
      <c r="AT35" s="2">
        <v>90</v>
      </c>
      <c r="AU35" s="2">
        <v>180</v>
      </c>
      <c r="AV35" s="2">
        <v>256</v>
      </c>
      <c r="AW35" s="2">
        <v>281</v>
      </c>
      <c r="AX35" s="2">
        <v>258</v>
      </c>
      <c r="AY35" s="2">
        <v>322</v>
      </c>
      <c r="AZ35" s="2">
        <v>289</v>
      </c>
      <c r="BA35" s="2">
        <v>300</v>
      </c>
      <c r="BB35" s="2">
        <v>377</v>
      </c>
      <c r="BC35" s="2">
        <v>409</v>
      </c>
      <c r="BD35" s="2">
        <v>366</v>
      </c>
      <c r="BE35" s="2">
        <v>364</v>
      </c>
      <c r="BF35" s="2">
        <v>525</v>
      </c>
      <c r="BG35" s="2">
        <v>565</v>
      </c>
      <c r="BH35" s="2">
        <v>339</v>
      </c>
      <c r="BI35" s="2">
        <v>330</v>
      </c>
      <c r="BJ35" s="2">
        <v>411</v>
      </c>
      <c r="BK35" s="2">
        <v>423</v>
      </c>
      <c r="BL35" s="2">
        <v>447</v>
      </c>
      <c r="BM35" s="2">
        <v>498</v>
      </c>
      <c r="BN35" s="2">
        <v>-98</v>
      </c>
      <c r="BO35" s="2">
        <v>642</v>
      </c>
      <c r="BP35" s="2">
        <v>802</v>
      </c>
      <c r="BQ35" s="2">
        <v>1013</v>
      </c>
      <c r="BR35" s="2">
        <v>830</v>
      </c>
      <c r="BS35" s="2">
        <v>1004</v>
      </c>
      <c r="BT35" s="2">
        <v>827</v>
      </c>
      <c r="BU35" s="2">
        <v>979</v>
      </c>
      <c r="BV35" s="2">
        <v>1128</v>
      </c>
      <c r="BW35" s="2">
        <v>1017</v>
      </c>
      <c r="BX35" s="2">
        <v>1141</v>
      </c>
      <c r="BY35" s="2">
        <v>1129</v>
      </c>
      <c r="BZ35" s="2">
        <v>1106</v>
      </c>
      <c r="CA35" s="2">
        <v>1161</v>
      </c>
      <c r="CB35" s="2">
        <v>1302</v>
      </c>
      <c r="CC35" s="2">
        <v>1129</v>
      </c>
      <c r="CD35" s="2">
        <v>1526</v>
      </c>
    </row>
    <row r="36" spans="2:83" x14ac:dyDescent="0.6">
      <c r="B36" s="13" t="s">
        <v>28</v>
      </c>
      <c r="C36" s="2">
        <v>-6916</v>
      </c>
      <c r="D36" s="2">
        <v>-59</v>
      </c>
      <c r="E36" s="2">
        <v>-72</v>
      </c>
      <c r="F36" s="2">
        <v>-68</v>
      </c>
      <c r="G36" s="2">
        <v>-77</v>
      </c>
      <c r="H36" s="2">
        <v>-87</v>
      </c>
      <c r="I36" s="2">
        <v>-86</v>
      </c>
      <c r="J36" s="2">
        <v>-95</v>
      </c>
      <c r="K36" s="2">
        <v>-106</v>
      </c>
      <c r="L36" s="2">
        <v>-110</v>
      </c>
      <c r="M36" s="2">
        <v>-157</v>
      </c>
      <c r="N36" s="2">
        <v>-156</v>
      </c>
      <c r="O36" s="2">
        <v>-182</v>
      </c>
      <c r="P36" s="2">
        <v>-191</v>
      </c>
      <c r="Q36" s="2">
        <v>-171</v>
      </c>
      <c r="R36" s="2">
        <v>-153</v>
      </c>
      <c r="S36" s="2">
        <v>-163</v>
      </c>
      <c r="T36" s="2">
        <v>-186</v>
      </c>
      <c r="U36" s="2">
        <v>-167</v>
      </c>
      <c r="V36" s="2">
        <v>-174</v>
      </c>
      <c r="W36" s="2">
        <v>-207</v>
      </c>
      <c r="X36" s="2">
        <v>-221</v>
      </c>
      <c r="Y36" s="2">
        <v>-194</v>
      </c>
      <c r="Z36" s="2">
        <v>-211</v>
      </c>
      <c r="AA36" s="2">
        <v>-238</v>
      </c>
      <c r="AB36" s="2">
        <v>-258</v>
      </c>
      <c r="AC36" s="2">
        <v>-244</v>
      </c>
      <c r="AD36" s="2">
        <v>-273</v>
      </c>
      <c r="AE36" s="2">
        <v>-321</v>
      </c>
      <c r="AF36" s="2">
        <v>-306</v>
      </c>
      <c r="AG36" s="2">
        <v>-300</v>
      </c>
      <c r="AH36" s="2">
        <v>-296</v>
      </c>
      <c r="AI36" s="2">
        <v>-333</v>
      </c>
      <c r="AJ36" s="2">
        <v>-326</v>
      </c>
      <c r="AK36" s="2">
        <v>-325</v>
      </c>
      <c r="AL36" s="2">
        <v>-280</v>
      </c>
      <c r="AM36" s="2">
        <v>-375</v>
      </c>
      <c r="AN36" s="2">
        <v>-359</v>
      </c>
      <c r="AO36" s="2">
        <v>-363</v>
      </c>
      <c r="AP36" s="2">
        <v>-350</v>
      </c>
      <c r="AQ36" s="2">
        <v>-419</v>
      </c>
      <c r="AR36" s="2">
        <v>-466</v>
      </c>
      <c r="AS36" s="2">
        <v>-442</v>
      </c>
      <c r="AT36" s="2">
        <v>-403</v>
      </c>
      <c r="AU36" s="2">
        <v>-461</v>
      </c>
      <c r="AV36" s="2">
        <v>-442</v>
      </c>
      <c r="AW36" s="2">
        <v>-436</v>
      </c>
      <c r="AX36" s="2">
        <v>-470</v>
      </c>
      <c r="AY36" s="2">
        <v>-487</v>
      </c>
      <c r="AZ36" s="2">
        <v>-356</v>
      </c>
      <c r="BA36" s="2">
        <v>-329</v>
      </c>
      <c r="BB36" s="2">
        <v>-356</v>
      </c>
      <c r="BC36" s="2">
        <v>-448</v>
      </c>
      <c r="BD36" s="2">
        <v>-420</v>
      </c>
      <c r="BE36" s="2">
        <v>-472</v>
      </c>
      <c r="BF36" s="2">
        <v>-585</v>
      </c>
      <c r="BG36" s="2">
        <v>-572</v>
      </c>
      <c r="BH36" s="2">
        <v>-462</v>
      </c>
      <c r="BI36" s="2">
        <v>-416</v>
      </c>
      <c r="BJ36" s="2">
        <v>-446</v>
      </c>
      <c r="BK36" s="2">
        <v>-475</v>
      </c>
      <c r="BL36" s="2">
        <v>-908</v>
      </c>
      <c r="BM36" s="2">
        <v>-936</v>
      </c>
      <c r="BN36" s="2">
        <v>-1009</v>
      </c>
      <c r="BO36" s="2">
        <v>-1089</v>
      </c>
      <c r="BP36" s="2">
        <v>-1139</v>
      </c>
      <c r="BQ36" s="2">
        <v>-1348</v>
      </c>
      <c r="BR36" s="2">
        <v>-1458</v>
      </c>
      <c r="BS36" s="2">
        <v>-1404</v>
      </c>
      <c r="BT36" s="2">
        <v>-1468</v>
      </c>
      <c r="BU36" s="2">
        <v>-1510</v>
      </c>
      <c r="BV36" s="2">
        <v>-1886</v>
      </c>
      <c r="BW36" s="2">
        <v>-1725</v>
      </c>
      <c r="BX36" s="2">
        <v>-1809</v>
      </c>
      <c r="BY36" s="2">
        <v>-1696</v>
      </c>
      <c r="BZ36" s="2">
        <v>-1754</v>
      </c>
      <c r="CA36" s="2">
        <v>-1656</v>
      </c>
      <c r="CB36" s="2">
        <v>-2029</v>
      </c>
      <c r="CC36" s="2">
        <v>-1743</v>
      </c>
      <c r="CD36" s="2">
        <v>-2064</v>
      </c>
    </row>
    <row r="37" spans="2:83" x14ac:dyDescent="0.6">
      <c r="B37" s="10" t="s">
        <v>29</v>
      </c>
      <c r="C37" s="2">
        <v>-2379</v>
      </c>
      <c r="D37" s="2">
        <v>-8</v>
      </c>
      <c r="E37" s="2">
        <v>-8</v>
      </c>
      <c r="F37" s="2">
        <v>-17</v>
      </c>
      <c r="G37" s="2">
        <v>-13</v>
      </c>
      <c r="H37" s="2">
        <v>23</v>
      </c>
      <c r="I37" s="2">
        <v>19</v>
      </c>
      <c r="J37" s="2">
        <v>10</v>
      </c>
      <c r="K37" s="2">
        <v>-1</v>
      </c>
      <c r="L37" s="2">
        <v>-15</v>
      </c>
      <c r="M37" s="2">
        <v>-38</v>
      </c>
      <c r="N37" s="2">
        <v>-56</v>
      </c>
      <c r="O37" s="2">
        <v>-54</v>
      </c>
      <c r="P37" s="2">
        <v>-55</v>
      </c>
      <c r="Q37" s="2">
        <v>-52</v>
      </c>
      <c r="R37" s="2">
        <v>-44</v>
      </c>
      <c r="S37" s="2">
        <v>-46</v>
      </c>
      <c r="T37" s="2">
        <v>-70</v>
      </c>
      <c r="U37" s="2">
        <v>-56</v>
      </c>
      <c r="V37" s="2">
        <v>-52</v>
      </c>
      <c r="W37" s="2">
        <v>-77</v>
      </c>
      <c r="X37" s="2">
        <v>-27</v>
      </c>
      <c r="Y37" s="2">
        <v>-39</v>
      </c>
      <c r="Z37" s="2">
        <v>-38</v>
      </c>
      <c r="AA37" s="2">
        <v>-46</v>
      </c>
      <c r="AB37" s="2">
        <v>-99</v>
      </c>
      <c r="AC37" s="2">
        <v>-115</v>
      </c>
      <c r="AD37" s="2">
        <v>-139</v>
      </c>
      <c r="AE37" s="2">
        <v>-100</v>
      </c>
      <c r="AF37" s="2">
        <v>-92</v>
      </c>
      <c r="AG37" s="2">
        <v>-68</v>
      </c>
      <c r="AH37" s="2">
        <v>-99</v>
      </c>
      <c r="AI37" s="2">
        <v>-141</v>
      </c>
      <c r="AJ37" s="2">
        <v>-179</v>
      </c>
      <c r="AK37" s="2">
        <v>-157</v>
      </c>
      <c r="AL37" s="2">
        <v>-151</v>
      </c>
      <c r="AM37" s="2">
        <v>-157</v>
      </c>
      <c r="AN37" s="2">
        <v>-250</v>
      </c>
      <c r="AO37" s="2">
        <v>-267</v>
      </c>
      <c r="AP37" s="2">
        <v>-235</v>
      </c>
      <c r="AQ37" s="2">
        <v>-249</v>
      </c>
      <c r="AR37" s="2">
        <v>-274</v>
      </c>
      <c r="AS37" s="2">
        <v>-325</v>
      </c>
      <c r="AT37" s="2">
        <v>-313</v>
      </c>
      <c r="AU37" s="2">
        <v>-281</v>
      </c>
      <c r="AV37" s="2">
        <v>-186</v>
      </c>
      <c r="AW37" s="2">
        <v>-155</v>
      </c>
      <c r="AX37" s="2">
        <v>-211</v>
      </c>
      <c r="AY37" s="2">
        <v>-164</v>
      </c>
      <c r="AZ37" s="2">
        <v>-67</v>
      </c>
      <c r="BA37" s="2">
        <v>-28</v>
      </c>
      <c r="BB37" s="2">
        <v>21</v>
      </c>
      <c r="BC37" s="2">
        <v>-38</v>
      </c>
      <c r="BD37" s="2">
        <v>-54</v>
      </c>
      <c r="BE37" s="2">
        <v>-108</v>
      </c>
      <c r="BF37" s="2">
        <v>-61</v>
      </c>
      <c r="BG37" s="2">
        <v>-7</v>
      </c>
      <c r="BH37" s="2">
        <v>-123</v>
      </c>
      <c r="BI37" s="2">
        <v>-86</v>
      </c>
      <c r="BJ37" s="2">
        <v>-35</v>
      </c>
      <c r="BK37" s="2">
        <v>-53</v>
      </c>
      <c r="BL37" s="2">
        <v>-461</v>
      </c>
      <c r="BM37" s="2">
        <v>-438</v>
      </c>
      <c r="BN37" s="2">
        <v>-1107</v>
      </c>
      <c r="BO37" s="2">
        <v>-447</v>
      </c>
      <c r="BP37" s="2">
        <v>-337</v>
      </c>
      <c r="BQ37" s="2">
        <v>-335</v>
      </c>
      <c r="BR37" s="2">
        <v>-628</v>
      </c>
      <c r="BS37" s="2">
        <v>-401</v>
      </c>
      <c r="BT37" s="2">
        <v>-641</v>
      </c>
      <c r="BU37" s="2">
        <v>-531</v>
      </c>
      <c r="BV37" s="2">
        <v>-759</v>
      </c>
      <c r="BW37" s="2">
        <v>-708</v>
      </c>
      <c r="BX37" s="2">
        <v>-668</v>
      </c>
      <c r="BY37" s="2">
        <v>-568</v>
      </c>
      <c r="BZ37" s="2">
        <v>-649</v>
      </c>
      <c r="CA37" s="2">
        <v>-494</v>
      </c>
      <c r="CB37" s="2">
        <v>-727</v>
      </c>
      <c r="CC37" s="2">
        <v>-614</v>
      </c>
      <c r="CD37" s="2">
        <v>-538</v>
      </c>
    </row>
    <row r="38" spans="2:83" ht="8.25" customHeight="1" x14ac:dyDescent="0.6">
      <c r="B38" s="1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</row>
    <row r="39" spans="2:83" x14ac:dyDescent="0.6">
      <c r="B39" s="8" t="s">
        <v>30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</row>
    <row r="40" spans="2:83" x14ac:dyDescent="0.6">
      <c r="B40" s="13" t="s">
        <v>31</v>
      </c>
      <c r="C40" s="18"/>
      <c r="D40" s="18">
        <v>8.8000000000000007</v>
      </c>
      <c r="E40" s="18">
        <v>8.9</v>
      </c>
      <c r="F40" s="18">
        <v>8.9</v>
      </c>
      <c r="G40" s="18">
        <v>9</v>
      </c>
      <c r="H40" s="18">
        <v>9.1</v>
      </c>
      <c r="I40" s="18">
        <v>9.1</v>
      </c>
      <c r="J40" s="18">
        <v>9.1999999999999993</v>
      </c>
      <c r="K40" s="18">
        <v>9.1999999999999993</v>
      </c>
      <c r="L40" s="18">
        <v>9.3000000000000007</v>
      </c>
      <c r="M40" s="18">
        <v>9.3000000000000007</v>
      </c>
      <c r="N40" s="18">
        <v>9.4</v>
      </c>
      <c r="O40" s="18">
        <v>9.5</v>
      </c>
      <c r="P40" s="18">
        <v>9.5</v>
      </c>
      <c r="Q40" s="18">
        <v>9.6</v>
      </c>
      <c r="R40" s="18">
        <v>9.6999999999999993</v>
      </c>
      <c r="S40" s="18">
        <v>9.6999999999999993</v>
      </c>
      <c r="T40" s="18">
        <v>9.8000000000000007</v>
      </c>
      <c r="U40" s="18">
        <v>9.8000000000000007</v>
      </c>
      <c r="V40" s="18">
        <v>9.9</v>
      </c>
      <c r="W40" s="18">
        <v>10</v>
      </c>
      <c r="X40" s="18">
        <v>10</v>
      </c>
      <c r="Y40" s="18">
        <v>10.1</v>
      </c>
      <c r="Z40" s="18">
        <v>10.199999999999999</v>
      </c>
      <c r="AA40" s="18">
        <v>10.199999999999999</v>
      </c>
      <c r="AB40" s="18">
        <v>10.3</v>
      </c>
      <c r="AC40" s="18">
        <v>10.4</v>
      </c>
      <c r="AD40" s="18">
        <v>10.4</v>
      </c>
      <c r="AE40" s="18">
        <v>10.5</v>
      </c>
      <c r="AF40" s="18">
        <v>10.5</v>
      </c>
      <c r="AG40" s="18">
        <v>10.6</v>
      </c>
      <c r="AH40" s="18">
        <v>10.7</v>
      </c>
      <c r="AI40" s="18">
        <v>10.7</v>
      </c>
      <c r="AJ40" s="18">
        <v>10.8</v>
      </c>
      <c r="AK40" s="18">
        <v>10.9</v>
      </c>
      <c r="AL40" s="18">
        <v>10.9</v>
      </c>
      <c r="AM40" s="18">
        <v>11</v>
      </c>
      <c r="AN40" s="18">
        <v>11.1</v>
      </c>
      <c r="AO40" s="18">
        <v>11.1</v>
      </c>
      <c r="AP40" s="18">
        <v>11.2</v>
      </c>
      <c r="AQ40" s="18">
        <v>11.3</v>
      </c>
      <c r="AR40" s="18">
        <v>11.3</v>
      </c>
      <c r="AS40" s="18">
        <v>11.4</v>
      </c>
      <c r="AT40" s="18">
        <v>11.5</v>
      </c>
      <c r="AU40" s="18">
        <v>11.5</v>
      </c>
      <c r="AV40" s="18">
        <v>11.6</v>
      </c>
      <c r="AW40" s="18">
        <v>11.7</v>
      </c>
      <c r="AX40" s="18">
        <v>11.7</v>
      </c>
      <c r="AY40" s="18">
        <v>11.8</v>
      </c>
      <c r="AZ40" s="18">
        <v>11.879654769224835</v>
      </c>
      <c r="BA40" s="18">
        <v>11.949558252541907</v>
      </c>
      <c r="BB40" s="18">
        <v>12.019581232789788</v>
      </c>
      <c r="BC40" s="18">
        <v>12.089721000000001</v>
      </c>
      <c r="BD40" s="18">
        <v>12.161227981912015</v>
      </c>
      <c r="BE40" s="18">
        <v>12.232194322845313</v>
      </c>
      <c r="BF40" s="18">
        <v>12.303251733301648</v>
      </c>
      <c r="BG40" s="18">
        <v>12.374397</v>
      </c>
      <c r="BH40" s="18">
        <v>12.446965307522708</v>
      </c>
      <c r="BI40" s="18">
        <v>12.518941617979875</v>
      </c>
      <c r="BJ40" s="18">
        <v>12.590993009881153</v>
      </c>
      <c r="BK40" s="18">
        <v>12.663116</v>
      </c>
      <c r="BL40" s="18">
        <v>12.736697561036411</v>
      </c>
      <c r="BM40" s="18">
        <v>12.809655167447634</v>
      </c>
      <c r="BN40" s="18">
        <v>12.882678191915987</v>
      </c>
      <c r="BO40" s="18">
        <v>12.955762999999999</v>
      </c>
      <c r="BP40" s="18">
        <v>13.03053572329827</v>
      </c>
      <c r="BQ40" s="18">
        <v>13.104459342935584</v>
      </c>
      <c r="BR40" s="18">
        <v>13.178373063378688</v>
      </c>
      <c r="BS40" s="18">
        <v>13.252272</v>
      </c>
      <c r="BT40" s="18">
        <v>13.327927231883914</v>
      </c>
      <c r="BU40" s="18">
        <v>13.402664807232977</v>
      </c>
      <c r="BV40" s="18">
        <v>13.477369134532768</v>
      </c>
      <c r="BW40" s="18">
        <v>13.552035</v>
      </c>
      <c r="BX40" s="18">
        <v>13.628522760729734</v>
      </c>
      <c r="BY40" s="18">
        <v>13.704026031198328</v>
      </c>
      <c r="BZ40" s="18">
        <v>13.779472951628902</v>
      </c>
      <c r="CA40" s="18">
        <v>13.854858</v>
      </c>
      <c r="CB40" s="18">
        <v>13.932177721635712</v>
      </c>
      <c r="CC40" s="18">
        <v>14.008398190673036</v>
      </c>
      <c r="CD40" s="18">
        <v>14.084522644139193</v>
      </c>
    </row>
    <row r="41" spans="2:83" x14ac:dyDescent="0.6">
      <c r="B41" s="11" t="s">
        <v>4</v>
      </c>
      <c r="C41" s="12"/>
      <c r="D41" s="12">
        <v>0</v>
      </c>
      <c r="E41" s="12">
        <v>0</v>
      </c>
      <c r="F41" s="12">
        <v>0</v>
      </c>
      <c r="G41" s="12">
        <v>0</v>
      </c>
      <c r="H41" s="12">
        <v>2.5999999999999999E-2</v>
      </c>
      <c r="I41" s="12">
        <v>2.5999999999999999E-2</v>
      </c>
      <c r="J41" s="12">
        <v>2.5999999999999999E-2</v>
      </c>
      <c r="K41" s="12">
        <v>2.5999999999999999E-2</v>
      </c>
      <c r="L41" s="12">
        <v>2.5999999999999999E-2</v>
      </c>
      <c r="M41" s="12">
        <v>2.5999999999999999E-2</v>
      </c>
      <c r="N41" s="12">
        <v>2.5999999999999999E-2</v>
      </c>
      <c r="O41" s="12">
        <v>2.5999999999999999E-2</v>
      </c>
      <c r="P41" s="12">
        <v>2.5999999999999999E-2</v>
      </c>
      <c r="Q41" s="12">
        <v>2.5999999999999999E-2</v>
      </c>
      <c r="R41" s="12">
        <v>2.5999999999999999E-2</v>
      </c>
      <c r="S41" s="12">
        <v>2.5999999999999999E-2</v>
      </c>
      <c r="T41" s="12">
        <v>2.5999999999999999E-2</v>
      </c>
      <c r="U41" s="12">
        <v>2.5999999999999999E-2</v>
      </c>
      <c r="V41" s="12">
        <v>2.5999999999999999E-2</v>
      </c>
      <c r="W41" s="12">
        <v>2.5999999999999999E-2</v>
      </c>
      <c r="X41" s="12">
        <v>2.5999999999999999E-2</v>
      </c>
      <c r="Y41" s="12">
        <v>2.5999999999999999E-2</v>
      </c>
      <c r="Z41" s="12">
        <v>2.5999999999999999E-2</v>
      </c>
      <c r="AA41" s="12">
        <v>2.5999999999999999E-2</v>
      </c>
      <c r="AB41" s="12">
        <v>2.5999999999999999E-2</v>
      </c>
      <c r="AC41" s="12">
        <v>2.5999999999999999E-2</v>
      </c>
      <c r="AD41" s="12">
        <v>2.5999999999999999E-2</v>
      </c>
      <c r="AE41" s="12">
        <v>2.5999999999999999E-2</v>
      </c>
      <c r="AF41" s="12">
        <v>2.5000000000000001E-2</v>
      </c>
      <c r="AG41" s="12">
        <v>2.4E-2</v>
      </c>
      <c r="AH41" s="12">
        <v>2.4E-2</v>
      </c>
      <c r="AI41" s="12">
        <v>2.4E-2</v>
      </c>
      <c r="AJ41" s="12">
        <v>2.4E-2</v>
      </c>
      <c r="AK41" s="12">
        <v>2.4E-2</v>
      </c>
      <c r="AL41" s="12">
        <v>2.4E-2</v>
      </c>
      <c r="AM41" s="12">
        <v>2.4E-2</v>
      </c>
      <c r="AN41" s="12">
        <v>2.4E-2</v>
      </c>
      <c r="AO41" s="12">
        <v>2.4E-2</v>
      </c>
      <c r="AP41" s="12">
        <v>2.4E-2</v>
      </c>
      <c r="AQ41" s="12">
        <v>2.4E-2</v>
      </c>
      <c r="AR41" s="12">
        <v>2.4E-2</v>
      </c>
      <c r="AS41" s="12">
        <v>2.4E-2</v>
      </c>
      <c r="AT41" s="12">
        <v>2.4E-2</v>
      </c>
      <c r="AU41" s="12">
        <v>2.4E-2</v>
      </c>
      <c r="AV41" s="12">
        <v>2.4E-2</v>
      </c>
      <c r="AW41" s="12">
        <v>2.4E-2</v>
      </c>
      <c r="AX41" s="12">
        <v>2.4E-2</v>
      </c>
      <c r="AY41" s="12">
        <v>2.4E-2</v>
      </c>
      <c r="AZ41" s="12">
        <v>2.4E-2</v>
      </c>
      <c r="BA41" s="12">
        <v>2.1000000000000001E-2</v>
      </c>
      <c r="BB41" s="12">
        <v>2.7E-2</v>
      </c>
      <c r="BC41" s="12">
        <v>2.5000000000000001E-2</v>
      </c>
      <c r="BD41" s="12">
        <v>2.4E-2</v>
      </c>
      <c r="BE41" s="12">
        <v>2.4E-2</v>
      </c>
      <c r="BF41" s="12">
        <v>2.4E-2</v>
      </c>
      <c r="BG41" s="12">
        <v>2.4E-2</v>
      </c>
      <c r="BH41" s="12">
        <v>2.3E-2</v>
      </c>
      <c r="BI41" s="12">
        <v>2.3E-2</v>
      </c>
      <c r="BJ41" s="12">
        <v>2.3E-2</v>
      </c>
      <c r="BK41" s="12">
        <v>2.3E-2</v>
      </c>
      <c r="BL41" s="12">
        <v>2.3E-2</v>
      </c>
      <c r="BM41" s="12">
        <v>2.3E-2</v>
      </c>
      <c r="BN41" s="12">
        <v>2.3E-2</v>
      </c>
      <c r="BO41" s="12">
        <v>2.3E-2</v>
      </c>
      <c r="BP41" s="12">
        <v>2.3E-2</v>
      </c>
      <c r="BQ41" s="12">
        <v>2.3E-2</v>
      </c>
      <c r="BR41" s="12">
        <v>2.3E-2</v>
      </c>
      <c r="BS41" s="12">
        <v>2.3E-2</v>
      </c>
      <c r="BT41" s="12">
        <v>2.3E-2</v>
      </c>
      <c r="BU41" s="12">
        <v>2.3E-2</v>
      </c>
      <c r="BV41" s="12">
        <v>2.3E-2</v>
      </c>
      <c r="BW41" s="12">
        <v>2.3E-2</v>
      </c>
      <c r="BX41" s="12">
        <v>2.3E-2</v>
      </c>
      <c r="BY41" s="12">
        <v>2.1999999999999999E-2</v>
      </c>
      <c r="BZ41" s="12">
        <v>2.1999999999999999E-2</v>
      </c>
      <c r="CA41" s="12">
        <v>2.1999999999999999E-2</v>
      </c>
      <c r="CB41" s="12">
        <v>2.1999999999999999E-2</v>
      </c>
      <c r="CC41" s="12">
        <v>2.1999999999999999E-2</v>
      </c>
      <c r="CD41" s="12">
        <v>2.1999999999999999E-2</v>
      </c>
    </row>
    <row r="42" spans="2:83" x14ac:dyDescent="0.6">
      <c r="B42" s="13" t="s">
        <v>32</v>
      </c>
      <c r="C42" s="19"/>
      <c r="D42" s="19">
        <v>554</v>
      </c>
      <c r="E42" s="19">
        <v>552</v>
      </c>
      <c r="F42" s="19">
        <v>551</v>
      </c>
      <c r="G42" s="19">
        <v>550</v>
      </c>
      <c r="H42" s="19">
        <v>548</v>
      </c>
      <c r="I42" s="19">
        <v>546</v>
      </c>
      <c r="J42" s="19">
        <v>548</v>
      </c>
      <c r="K42" s="19">
        <v>546</v>
      </c>
      <c r="L42" s="19">
        <v>544</v>
      </c>
      <c r="M42" s="19">
        <v>543</v>
      </c>
      <c r="N42" s="19">
        <v>547</v>
      </c>
      <c r="O42" s="19">
        <v>553</v>
      </c>
      <c r="P42" s="19">
        <v>566</v>
      </c>
      <c r="Q42" s="19">
        <v>568</v>
      </c>
      <c r="R42" s="19">
        <v>569</v>
      </c>
      <c r="S42" s="19">
        <v>570</v>
      </c>
      <c r="T42" s="19">
        <v>573</v>
      </c>
      <c r="U42" s="19">
        <v>579</v>
      </c>
      <c r="V42" s="19">
        <v>589</v>
      </c>
      <c r="W42" s="19">
        <v>592</v>
      </c>
      <c r="X42" s="19">
        <v>599</v>
      </c>
      <c r="Y42" s="19">
        <v>601</v>
      </c>
      <c r="Z42" s="19">
        <v>600</v>
      </c>
      <c r="AA42" s="19">
        <v>602</v>
      </c>
      <c r="AB42" s="19">
        <v>605</v>
      </c>
      <c r="AC42" s="19">
        <v>609</v>
      </c>
      <c r="AD42" s="19">
        <v>615</v>
      </c>
      <c r="AE42" s="19">
        <v>628</v>
      </c>
      <c r="AF42" s="19">
        <v>633</v>
      </c>
      <c r="AG42" s="19">
        <v>640</v>
      </c>
      <c r="AH42" s="19">
        <v>649</v>
      </c>
      <c r="AI42" s="19">
        <v>664</v>
      </c>
      <c r="AJ42" s="19">
        <v>675</v>
      </c>
      <c r="AK42" s="19">
        <v>681</v>
      </c>
      <c r="AL42" s="19">
        <v>684</v>
      </c>
      <c r="AM42" s="19">
        <v>691</v>
      </c>
      <c r="AN42" s="19">
        <v>702</v>
      </c>
      <c r="AO42" s="19">
        <v>713</v>
      </c>
      <c r="AP42" s="19">
        <v>725</v>
      </c>
      <c r="AQ42" s="19">
        <v>739</v>
      </c>
      <c r="AR42" s="19">
        <v>759</v>
      </c>
      <c r="AS42" s="19">
        <v>776</v>
      </c>
      <c r="AT42" s="19">
        <v>800</v>
      </c>
      <c r="AU42" s="19">
        <v>815</v>
      </c>
      <c r="AV42" s="19">
        <v>823</v>
      </c>
      <c r="AW42" s="19">
        <v>828</v>
      </c>
      <c r="AX42" s="19">
        <v>834</v>
      </c>
      <c r="AY42" s="19">
        <v>842</v>
      </c>
      <c r="AZ42" s="19">
        <v>849</v>
      </c>
      <c r="BA42" s="19">
        <v>856</v>
      </c>
      <c r="BB42" s="19">
        <v>864</v>
      </c>
      <c r="BC42" s="19">
        <v>875</v>
      </c>
      <c r="BD42" s="19">
        <v>884</v>
      </c>
      <c r="BE42" s="19">
        <v>893</v>
      </c>
      <c r="BF42" s="19">
        <v>904</v>
      </c>
      <c r="BG42" s="19">
        <v>916</v>
      </c>
      <c r="BH42" s="19">
        <v>927</v>
      </c>
      <c r="BI42" s="19">
        <v>933</v>
      </c>
      <c r="BJ42" s="19">
        <v>947</v>
      </c>
      <c r="BK42" s="19">
        <v>966</v>
      </c>
      <c r="BL42" s="19">
        <v>976</v>
      </c>
      <c r="BM42" s="19">
        <v>983</v>
      </c>
      <c r="BN42" s="19">
        <v>992</v>
      </c>
      <c r="BO42" s="19">
        <v>1004</v>
      </c>
      <c r="BP42" s="19">
        <v>1014</v>
      </c>
      <c r="BQ42" s="19">
        <v>1021</v>
      </c>
      <c r="BR42" s="19">
        <v>1032</v>
      </c>
      <c r="BS42" s="19">
        <v>1055</v>
      </c>
      <c r="BT42" s="19">
        <v>1088</v>
      </c>
      <c r="BU42" s="19">
        <v>1127</v>
      </c>
      <c r="BV42" s="19">
        <v>1187</v>
      </c>
      <c r="BW42" s="19">
        <v>1239</v>
      </c>
      <c r="BX42" s="19">
        <v>1279</v>
      </c>
      <c r="BY42" s="19">
        <v>1300</v>
      </c>
      <c r="BZ42" s="19">
        <v>1327</v>
      </c>
      <c r="CA42" s="19">
        <v>1367</v>
      </c>
      <c r="CB42" s="19">
        <v>1400</v>
      </c>
      <c r="CC42" s="19">
        <v>1420</v>
      </c>
      <c r="CD42" s="19">
        <v>1443</v>
      </c>
      <c r="CE42" s="19"/>
    </row>
    <row r="43" spans="2:83" x14ac:dyDescent="0.6">
      <c r="B43" s="11" t="s">
        <v>4</v>
      </c>
      <c r="C43" s="17"/>
      <c r="D43" s="17">
        <v>0</v>
      </c>
      <c r="E43" s="17">
        <v>0</v>
      </c>
      <c r="F43" s="17">
        <v>0</v>
      </c>
      <c r="G43" s="17">
        <v>0</v>
      </c>
      <c r="H43" s="17">
        <v>-0.01</v>
      </c>
      <c r="I43" s="17">
        <v>-0.01</v>
      </c>
      <c r="J43" s="17">
        <v>-0.01</v>
      </c>
      <c r="K43" s="17">
        <v>-0.01</v>
      </c>
      <c r="L43" s="17">
        <v>-0.01</v>
      </c>
      <c r="M43" s="17">
        <v>-0.01</v>
      </c>
      <c r="N43" s="17">
        <v>0</v>
      </c>
      <c r="O43" s="17">
        <v>0.01</v>
      </c>
      <c r="P43" s="17">
        <v>0.04</v>
      </c>
      <c r="Q43" s="17">
        <v>0.05</v>
      </c>
      <c r="R43" s="17">
        <v>0.04</v>
      </c>
      <c r="S43" s="17">
        <v>0.03</v>
      </c>
      <c r="T43" s="17">
        <v>0.01</v>
      </c>
      <c r="U43" s="17">
        <v>0.02</v>
      </c>
      <c r="V43" s="17">
        <v>0.04</v>
      </c>
      <c r="W43" s="17">
        <v>0.04</v>
      </c>
      <c r="X43" s="17">
        <v>0.05</v>
      </c>
      <c r="Y43" s="17">
        <v>0.04</v>
      </c>
      <c r="Z43" s="17">
        <v>0.02</v>
      </c>
      <c r="AA43" s="17">
        <v>0.02</v>
      </c>
      <c r="AB43" s="17">
        <v>0.01</v>
      </c>
      <c r="AC43" s="17">
        <v>0.01</v>
      </c>
      <c r="AD43" s="17">
        <v>0.02</v>
      </c>
      <c r="AE43" s="17">
        <v>0.04</v>
      </c>
      <c r="AF43" s="17">
        <v>0.05</v>
      </c>
      <c r="AG43" s="17">
        <v>0.05</v>
      </c>
      <c r="AH43" s="17">
        <v>0.06</v>
      </c>
      <c r="AI43" s="17">
        <v>0.06</v>
      </c>
      <c r="AJ43" s="17">
        <v>7.0000000000000007E-2</v>
      </c>
      <c r="AK43" s="17">
        <v>0.06</v>
      </c>
      <c r="AL43" s="17">
        <v>0.05</v>
      </c>
      <c r="AM43" s="17">
        <v>0.04</v>
      </c>
      <c r="AN43" s="17">
        <v>0.04</v>
      </c>
      <c r="AO43" s="17">
        <v>0.05</v>
      </c>
      <c r="AP43" s="17">
        <v>0.06</v>
      </c>
      <c r="AQ43" s="17">
        <v>7.0000000000000007E-2</v>
      </c>
      <c r="AR43" s="17">
        <v>0.08</v>
      </c>
      <c r="AS43" s="17">
        <v>0.09</v>
      </c>
      <c r="AT43" s="17">
        <v>0.1</v>
      </c>
      <c r="AU43" s="17">
        <v>0.1</v>
      </c>
      <c r="AV43" s="17">
        <v>0.08</v>
      </c>
      <c r="AW43" s="17">
        <v>7.0000000000000007E-2</v>
      </c>
      <c r="AX43" s="17">
        <v>0.04</v>
      </c>
      <c r="AY43" s="17">
        <v>0.03</v>
      </c>
      <c r="AZ43" s="17">
        <v>0.03</v>
      </c>
      <c r="BA43" s="17">
        <v>0.03</v>
      </c>
      <c r="BB43" s="17">
        <v>0.04</v>
      </c>
      <c r="BC43" s="17">
        <v>0.04</v>
      </c>
      <c r="BD43" s="17">
        <v>0.04</v>
      </c>
      <c r="BE43" s="17">
        <v>0.04</v>
      </c>
      <c r="BF43" s="17">
        <v>0.05</v>
      </c>
      <c r="BG43" s="17">
        <v>0.05</v>
      </c>
      <c r="BH43" s="17">
        <v>0.05</v>
      </c>
      <c r="BI43" s="17">
        <v>0.04</v>
      </c>
      <c r="BJ43" s="17">
        <v>0.05</v>
      </c>
      <c r="BK43" s="17">
        <v>0.05</v>
      </c>
      <c r="BL43" s="17">
        <v>0.05</v>
      </c>
      <c r="BM43" s="17">
        <v>0.05</v>
      </c>
      <c r="BN43" s="17">
        <v>0.05</v>
      </c>
      <c r="BO43" s="17">
        <v>0.04</v>
      </c>
      <c r="BP43" s="17">
        <v>0.04</v>
      </c>
      <c r="BQ43" s="17">
        <v>0.04</v>
      </c>
      <c r="BR43" s="17">
        <v>0.04</v>
      </c>
      <c r="BS43" s="17">
        <v>0.05</v>
      </c>
      <c r="BT43" s="17">
        <v>7.0000000000000007E-2</v>
      </c>
      <c r="BU43" s="17">
        <v>0.1</v>
      </c>
      <c r="BV43" s="17">
        <v>0.15</v>
      </c>
      <c r="BW43" s="17">
        <v>0.17</v>
      </c>
      <c r="BX43" s="17">
        <v>0.18</v>
      </c>
      <c r="BY43" s="17">
        <v>0.15</v>
      </c>
      <c r="BZ43" s="17">
        <v>0.12</v>
      </c>
      <c r="CA43" s="17">
        <v>0.1</v>
      </c>
      <c r="CB43" s="17">
        <v>0.09</v>
      </c>
      <c r="CC43" s="17">
        <v>0.09</v>
      </c>
      <c r="CD43" s="17">
        <v>0.09</v>
      </c>
    </row>
    <row r="44" spans="2:83" ht="8.25" customHeight="1" thickBot="1" x14ac:dyDescent="0.8">
      <c r="B44" s="150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0"/>
      <c r="BC44" s="150"/>
      <c r="BD44" s="150"/>
      <c r="BE44" s="150"/>
      <c r="BF44" s="150"/>
      <c r="BG44" s="150"/>
      <c r="BH44" s="150"/>
      <c r="BI44" s="150"/>
      <c r="BJ44" s="150"/>
      <c r="BK44" s="150"/>
      <c r="BL44" s="150"/>
      <c r="BM44" s="150"/>
      <c r="BN44" s="150"/>
      <c r="BO44" s="150"/>
      <c r="BP44" s="150"/>
      <c r="BQ44" s="150"/>
      <c r="BR44" s="150"/>
      <c r="BS44" s="150"/>
      <c r="BT44" s="150"/>
      <c r="BU44" s="150"/>
      <c r="BV44" s="150"/>
      <c r="BW44" s="150"/>
      <c r="BX44" s="150"/>
      <c r="BY44" s="150"/>
      <c r="BZ44" s="150"/>
      <c r="CA44" s="150"/>
      <c r="CB44" s="150"/>
      <c r="CC44" s="150"/>
      <c r="CD44" s="150"/>
    </row>
    <row r="45" spans="2:83" ht="13.75" thickTop="1" x14ac:dyDescent="0.6">
      <c r="B45" s="20" t="s">
        <v>33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</row>
    <row r="46" spans="2:83" x14ac:dyDescent="0.6">
      <c r="B46" s="22">
        <v>46007</v>
      </c>
      <c r="BL46" s="198">
        <f>BL36/BL29</f>
        <v>-0.35275835275835277</v>
      </c>
      <c r="BM46" s="198">
        <f t="shared" ref="BM46:CD46" si="0">BM36/BM29</f>
        <v>-0.32946145723336856</v>
      </c>
      <c r="BN46" s="198">
        <f t="shared" si="0"/>
        <v>-0.38837567359507313</v>
      </c>
      <c r="BO46" s="198">
        <f t="shared" si="0"/>
        <v>-0.34993573264781491</v>
      </c>
      <c r="BP46" s="198">
        <f t="shared" si="0"/>
        <v>-0.36730087068687522</v>
      </c>
      <c r="BQ46" s="198">
        <f t="shared" si="0"/>
        <v>-0.37982530290222599</v>
      </c>
      <c r="BR46" s="198">
        <f t="shared" si="0"/>
        <v>-0.44128329297820823</v>
      </c>
      <c r="BS46" s="198">
        <f t="shared" si="0"/>
        <v>-0.33349168646080762</v>
      </c>
      <c r="BT46" s="198">
        <f t="shared" si="0"/>
        <v>-0.36417762341850657</v>
      </c>
      <c r="BU46" s="198">
        <f t="shared" si="0"/>
        <v>-0.35487661574618096</v>
      </c>
      <c r="BV46" s="198">
        <f t="shared" si="0"/>
        <v>-0.48670967741935484</v>
      </c>
      <c r="BW46" s="198">
        <f t="shared" si="0"/>
        <v>-0.34389952153110048</v>
      </c>
      <c r="BX46" s="198">
        <f t="shared" si="0"/>
        <v>-0.40075321222862209</v>
      </c>
      <c r="BY46" s="198">
        <f t="shared" si="0"/>
        <v>-0.34159113796576035</v>
      </c>
      <c r="BZ46" s="198">
        <f t="shared" si="0"/>
        <v>-0.37647563854904487</v>
      </c>
      <c r="CA46" s="198">
        <f t="shared" si="0"/>
        <v>-0.28650519031141869</v>
      </c>
      <c r="CB46" s="198">
        <f t="shared" si="0"/>
        <v>-0.38457164518574677</v>
      </c>
      <c r="CC46" s="198">
        <f t="shared" si="0"/>
        <v>-0.30056906363166064</v>
      </c>
      <c r="CD46" s="198">
        <f t="shared" si="0"/>
        <v>-0.37357466063348416</v>
      </c>
    </row>
    <row r="47" spans="2:83" x14ac:dyDescent="0.6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</row>
  </sheetData>
  <pageMargins left="0.7" right="0.7" top="0.75" bottom="0.75" header="0.3" footer="0.3"/>
  <pageSetup scale="58" fitToHeight="0" orientation="landscape" r:id="rId1"/>
  <colBreaks count="1" manualBreakCount="1">
    <brk id="57" max="4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EF788-8E38-4733-BF20-E4370CAB39B5}">
  <sheetPr codeName="Sheet2">
    <pageSetUpPr fitToPage="1"/>
  </sheetPr>
  <dimension ref="A1:XFA65"/>
  <sheetViews>
    <sheetView showGridLines="0" zoomScale="90" zoomScaleNormal="90" workbookViewId="0">
      <pane xSplit="64" ySplit="7" topLeftCell="BS32" activePane="bottomRight" state="frozen"/>
      <selection activeCell="CF28" sqref="CF28"/>
      <selection pane="topRight" activeCell="CF28" sqref="CF28"/>
      <selection pane="bottomLeft" activeCell="CF28" sqref="CF28"/>
      <selection pane="bottomRight" activeCell="E7" sqref="E7:H7"/>
    </sheetView>
  </sheetViews>
  <sheetFormatPr defaultColWidth="9.1328125" defaultRowHeight="14.75" x14ac:dyDescent="0.75"/>
  <cols>
    <col min="1" max="1" width="1.40625" style="102" customWidth="1"/>
    <col min="2" max="2" width="47.54296875" style="102" customWidth="1"/>
    <col min="3" max="3" width="6.40625" style="103" bestFit="1" customWidth="1"/>
    <col min="4" max="4" width="9.40625" style="102" bestFit="1" customWidth="1"/>
    <col min="5" max="64" width="8.40625" style="102" hidden="1" customWidth="1"/>
    <col min="65" max="75" width="8.40625" style="102" customWidth="1"/>
    <col min="76" max="76" width="8" style="102" bestFit="1" customWidth="1"/>
    <col min="77" max="83" width="8.40625" style="102" customWidth="1"/>
    <col min="84" max="108" width="9.1328125" style="85"/>
    <col min="109" max="109" width="9.1328125" style="78"/>
    <col min="110" max="16384" width="9.1328125" style="85"/>
  </cols>
  <sheetData>
    <row r="1" spans="1:16381" s="67" customFormat="1" ht="15" customHeight="1" x14ac:dyDescent="0.75">
      <c r="A1" s="64"/>
      <c r="B1" s="65" t="s">
        <v>164</v>
      </c>
      <c r="C1" s="66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  <c r="CA1" s="68"/>
      <c r="CB1" s="68"/>
      <c r="CC1" s="68"/>
      <c r="CD1" s="68"/>
      <c r="CE1" s="68"/>
      <c r="CF1" s="68"/>
      <c r="CG1" s="68"/>
      <c r="CH1" s="68"/>
      <c r="CI1" s="68"/>
      <c r="CJ1" s="68"/>
      <c r="CK1" s="68"/>
      <c r="CL1" s="68"/>
      <c r="CM1" s="68"/>
      <c r="CN1" s="68"/>
      <c r="CO1" s="68"/>
      <c r="CP1" s="68"/>
      <c r="CQ1" s="68"/>
      <c r="CR1" s="68"/>
      <c r="CS1" s="68"/>
      <c r="CT1" s="68"/>
      <c r="CU1" s="68"/>
      <c r="CV1" s="68"/>
      <c r="CW1" s="68"/>
      <c r="CX1" s="68"/>
      <c r="CY1" s="68"/>
      <c r="CZ1" s="68"/>
      <c r="DA1" s="68"/>
      <c r="DB1" s="68"/>
      <c r="DC1" s="68"/>
      <c r="DD1" s="68"/>
      <c r="DE1" s="68"/>
      <c r="DF1" s="68"/>
      <c r="DG1" s="68"/>
      <c r="DH1" s="68"/>
      <c r="DI1" s="68"/>
      <c r="DJ1" s="68"/>
      <c r="DK1" s="68"/>
      <c r="DL1" s="68"/>
      <c r="DM1" s="68"/>
      <c r="DN1" s="68"/>
      <c r="DO1" s="68"/>
      <c r="DP1" s="68"/>
      <c r="DQ1" s="68"/>
      <c r="DR1" s="68"/>
      <c r="DS1" s="68"/>
      <c r="DT1" s="68"/>
      <c r="DU1" s="68"/>
      <c r="DV1" s="68"/>
      <c r="DW1" s="68"/>
      <c r="DX1" s="68"/>
      <c r="DY1" s="68"/>
      <c r="DZ1" s="68"/>
      <c r="EA1" s="68"/>
      <c r="EB1" s="68"/>
      <c r="EC1" s="68"/>
      <c r="ED1" s="68"/>
      <c r="EE1" s="68"/>
      <c r="EF1" s="68"/>
      <c r="EG1" s="68"/>
      <c r="EH1" s="68"/>
      <c r="EI1" s="68"/>
      <c r="EJ1" s="68"/>
      <c r="EK1" s="68"/>
      <c r="EL1" s="68"/>
      <c r="EM1" s="68"/>
      <c r="EN1" s="68"/>
      <c r="EO1" s="68"/>
      <c r="EP1" s="68"/>
      <c r="EQ1" s="68"/>
      <c r="ER1" s="68"/>
      <c r="ES1" s="68"/>
      <c r="ET1" s="68"/>
      <c r="EU1" s="68"/>
      <c r="EV1" s="68"/>
      <c r="EW1" s="68"/>
      <c r="EX1" s="68"/>
      <c r="EY1" s="68"/>
      <c r="EZ1" s="68"/>
      <c r="FA1" s="68"/>
      <c r="FB1" s="68"/>
      <c r="FC1" s="68"/>
      <c r="FD1" s="68"/>
      <c r="FE1" s="68"/>
      <c r="FF1" s="68"/>
      <c r="FG1" s="68"/>
      <c r="FH1" s="68"/>
      <c r="FI1" s="68"/>
      <c r="FJ1" s="68"/>
      <c r="FK1" s="68"/>
      <c r="FL1" s="68"/>
      <c r="FM1" s="68"/>
      <c r="FN1" s="68"/>
      <c r="FO1" s="68"/>
      <c r="FP1" s="68"/>
      <c r="FQ1" s="68"/>
      <c r="FR1" s="68"/>
      <c r="FS1" s="68"/>
      <c r="FT1" s="68"/>
      <c r="FU1" s="68"/>
      <c r="FV1" s="68"/>
      <c r="FW1" s="68"/>
      <c r="FX1" s="68"/>
      <c r="FY1" s="68"/>
      <c r="FZ1" s="68"/>
      <c r="GA1" s="68"/>
      <c r="GB1" s="68"/>
      <c r="GC1" s="68"/>
      <c r="GD1" s="68"/>
      <c r="GE1" s="68"/>
      <c r="GF1" s="68"/>
      <c r="GG1" s="68"/>
      <c r="GH1" s="68"/>
      <c r="GI1" s="68"/>
      <c r="GJ1" s="68"/>
      <c r="GK1" s="68"/>
      <c r="GL1" s="68"/>
      <c r="GM1" s="68"/>
      <c r="GN1" s="68"/>
      <c r="GO1" s="68"/>
      <c r="GP1" s="68"/>
      <c r="GQ1" s="68"/>
      <c r="GR1" s="68"/>
      <c r="GS1" s="68"/>
      <c r="GT1" s="68"/>
      <c r="GU1" s="68"/>
      <c r="GV1" s="68"/>
      <c r="GW1" s="68"/>
      <c r="GX1" s="68"/>
      <c r="GY1" s="68"/>
      <c r="GZ1" s="68"/>
      <c r="HA1" s="68"/>
      <c r="HB1" s="68"/>
      <c r="HC1" s="68"/>
      <c r="HD1" s="68"/>
      <c r="HE1" s="68"/>
      <c r="HF1" s="68"/>
      <c r="HG1" s="68"/>
      <c r="HH1" s="68"/>
      <c r="HI1" s="68"/>
      <c r="HJ1" s="68"/>
      <c r="HK1" s="68"/>
      <c r="HL1" s="68"/>
      <c r="HM1" s="68"/>
      <c r="HN1" s="68"/>
      <c r="HO1" s="68"/>
      <c r="HP1" s="68"/>
      <c r="HQ1" s="68"/>
      <c r="HR1" s="68"/>
      <c r="HS1" s="68"/>
      <c r="HT1" s="68"/>
      <c r="HU1" s="68"/>
      <c r="HV1" s="68"/>
      <c r="HW1" s="68"/>
      <c r="HX1" s="68"/>
      <c r="HY1" s="68"/>
      <c r="HZ1" s="68"/>
      <c r="IA1" s="68"/>
      <c r="IB1" s="68"/>
      <c r="IC1" s="68"/>
      <c r="ID1" s="68"/>
      <c r="IE1" s="68"/>
      <c r="IF1" s="68"/>
      <c r="IG1" s="68"/>
      <c r="IH1" s="68"/>
      <c r="II1" s="68"/>
      <c r="IJ1" s="68"/>
      <c r="IK1" s="68"/>
      <c r="IL1" s="68"/>
      <c r="IM1" s="68"/>
      <c r="IN1" s="68"/>
      <c r="IO1" s="68"/>
      <c r="IP1" s="68"/>
      <c r="IQ1" s="68"/>
      <c r="IR1" s="68"/>
      <c r="IS1" s="68"/>
      <c r="IT1" s="68"/>
      <c r="IU1" s="68"/>
      <c r="IV1" s="68"/>
      <c r="IW1" s="68"/>
      <c r="IX1" s="68"/>
      <c r="IY1" s="68"/>
      <c r="IZ1" s="68"/>
      <c r="JA1" s="68"/>
      <c r="JB1" s="68"/>
      <c r="JC1" s="68"/>
      <c r="JD1" s="68"/>
      <c r="JE1" s="68"/>
      <c r="JF1" s="68"/>
      <c r="JG1" s="68"/>
      <c r="JH1" s="68"/>
      <c r="JI1" s="68"/>
      <c r="JJ1" s="68"/>
      <c r="JK1" s="68"/>
      <c r="JL1" s="68"/>
      <c r="JM1" s="68"/>
      <c r="JN1" s="68"/>
      <c r="JO1" s="68"/>
      <c r="JP1" s="68"/>
      <c r="JQ1" s="68"/>
      <c r="JR1" s="68"/>
      <c r="JS1" s="68"/>
      <c r="JT1" s="68"/>
      <c r="JU1" s="68"/>
      <c r="JV1" s="68"/>
      <c r="JW1" s="68"/>
      <c r="JX1" s="68"/>
      <c r="JY1" s="68"/>
      <c r="JZ1" s="68"/>
      <c r="KA1" s="68"/>
      <c r="KB1" s="68"/>
      <c r="KC1" s="68"/>
      <c r="KD1" s="68"/>
      <c r="KE1" s="68"/>
      <c r="KF1" s="68"/>
      <c r="KG1" s="68"/>
      <c r="KH1" s="68"/>
      <c r="KI1" s="68"/>
      <c r="KJ1" s="68"/>
      <c r="KK1" s="68"/>
      <c r="KL1" s="68"/>
      <c r="KM1" s="68"/>
      <c r="KN1" s="68"/>
      <c r="KO1" s="68"/>
      <c r="KP1" s="68"/>
      <c r="KQ1" s="68"/>
      <c r="KR1" s="68"/>
      <c r="KS1" s="68"/>
      <c r="KT1" s="68"/>
      <c r="KU1" s="68"/>
      <c r="KV1" s="68"/>
      <c r="KW1" s="68"/>
      <c r="KX1" s="68"/>
      <c r="KY1" s="68"/>
      <c r="KZ1" s="68"/>
      <c r="LA1" s="68"/>
      <c r="LB1" s="68"/>
      <c r="LC1" s="68"/>
      <c r="LD1" s="68"/>
      <c r="LE1" s="68"/>
      <c r="LF1" s="68"/>
      <c r="LG1" s="68"/>
      <c r="LH1" s="68"/>
      <c r="LI1" s="68"/>
      <c r="LJ1" s="68"/>
      <c r="LK1" s="68"/>
      <c r="LL1" s="68"/>
      <c r="LM1" s="68"/>
      <c r="LN1" s="68"/>
      <c r="LO1" s="68"/>
      <c r="LP1" s="68"/>
      <c r="LQ1" s="68"/>
      <c r="LR1" s="68"/>
      <c r="LS1" s="68"/>
      <c r="LT1" s="68"/>
      <c r="LU1" s="68"/>
      <c r="LV1" s="68"/>
      <c r="LW1" s="68"/>
      <c r="LX1" s="68"/>
      <c r="LY1" s="68"/>
      <c r="LZ1" s="68"/>
      <c r="MA1" s="68"/>
      <c r="MB1" s="68"/>
      <c r="MC1" s="68"/>
      <c r="MD1" s="68"/>
      <c r="ME1" s="68"/>
      <c r="MF1" s="68"/>
      <c r="MG1" s="68"/>
      <c r="MH1" s="68"/>
      <c r="MI1" s="68"/>
      <c r="MJ1" s="68"/>
      <c r="MK1" s="68"/>
      <c r="ML1" s="68"/>
      <c r="MM1" s="68"/>
      <c r="MN1" s="68"/>
      <c r="MO1" s="68"/>
      <c r="MP1" s="68"/>
      <c r="MQ1" s="68"/>
      <c r="MR1" s="68"/>
      <c r="MS1" s="68"/>
      <c r="MT1" s="68"/>
      <c r="MU1" s="68"/>
      <c r="MV1" s="68"/>
      <c r="MW1" s="68"/>
      <c r="MX1" s="68"/>
      <c r="MY1" s="68"/>
      <c r="MZ1" s="68"/>
      <c r="NA1" s="68"/>
      <c r="NB1" s="68"/>
      <c r="NC1" s="68"/>
      <c r="ND1" s="68"/>
      <c r="NE1" s="68"/>
      <c r="NF1" s="68"/>
      <c r="NG1" s="68"/>
      <c r="NH1" s="68"/>
      <c r="NI1" s="68"/>
      <c r="NJ1" s="68"/>
      <c r="NK1" s="68"/>
      <c r="NL1" s="68"/>
      <c r="NM1" s="68"/>
      <c r="NN1" s="68"/>
      <c r="NO1" s="68"/>
      <c r="NP1" s="68"/>
      <c r="NQ1" s="68"/>
      <c r="NR1" s="68"/>
      <c r="NS1" s="68"/>
      <c r="NT1" s="68"/>
      <c r="NU1" s="68"/>
      <c r="NV1" s="68"/>
      <c r="NW1" s="68"/>
      <c r="NX1" s="68"/>
      <c r="NY1" s="68"/>
      <c r="NZ1" s="68"/>
      <c r="OA1" s="68"/>
      <c r="OB1" s="68"/>
      <c r="OC1" s="68"/>
      <c r="OD1" s="68"/>
      <c r="OE1" s="68"/>
      <c r="OF1" s="68"/>
      <c r="OG1" s="68"/>
      <c r="OH1" s="68"/>
      <c r="OI1" s="68"/>
      <c r="OJ1" s="68"/>
      <c r="OK1" s="68"/>
      <c r="OL1" s="68"/>
      <c r="OM1" s="68"/>
      <c r="ON1" s="68"/>
      <c r="OO1" s="68"/>
      <c r="OP1" s="68"/>
      <c r="OQ1" s="68"/>
      <c r="OR1" s="68"/>
      <c r="OS1" s="68"/>
      <c r="OT1" s="68"/>
      <c r="OU1" s="68"/>
      <c r="OV1" s="68"/>
      <c r="OW1" s="68"/>
      <c r="OX1" s="68"/>
      <c r="OY1" s="68"/>
      <c r="OZ1" s="68"/>
      <c r="PA1" s="68"/>
      <c r="PB1" s="68"/>
      <c r="PC1" s="68"/>
      <c r="PD1" s="68"/>
      <c r="PE1" s="68"/>
      <c r="PF1" s="68"/>
      <c r="PG1" s="68"/>
      <c r="PH1" s="68"/>
      <c r="PI1" s="68"/>
      <c r="PJ1" s="68"/>
      <c r="PK1" s="68"/>
      <c r="PL1" s="68"/>
      <c r="PM1" s="68"/>
      <c r="PN1" s="68"/>
      <c r="PO1" s="68"/>
      <c r="PP1" s="68"/>
      <c r="PQ1" s="68"/>
      <c r="PR1" s="68"/>
      <c r="PS1" s="68"/>
      <c r="PT1" s="68"/>
      <c r="PU1" s="68"/>
      <c r="PV1" s="68"/>
      <c r="PW1" s="68"/>
      <c r="PX1" s="68"/>
      <c r="PY1" s="68"/>
      <c r="PZ1" s="68"/>
      <c r="QA1" s="68"/>
      <c r="QB1" s="68"/>
      <c r="QC1" s="68"/>
      <c r="QD1" s="68"/>
      <c r="QE1" s="68"/>
      <c r="QF1" s="68"/>
      <c r="QG1" s="68"/>
      <c r="QH1" s="68"/>
      <c r="QI1" s="68"/>
      <c r="QJ1" s="68"/>
      <c r="QK1" s="68"/>
      <c r="QL1" s="68"/>
      <c r="QM1" s="68"/>
      <c r="QN1" s="68"/>
      <c r="QO1" s="68"/>
      <c r="QP1" s="68"/>
      <c r="QQ1" s="68"/>
      <c r="QR1" s="68"/>
      <c r="QS1" s="68"/>
      <c r="QT1" s="68"/>
      <c r="QU1" s="68"/>
      <c r="QV1" s="68"/>
      <c r="QW1" s="68"/>
      <c r="QX1" s="68"/>
      <c r="QY1" s="68"/>
      <c r="QZ1" s="68"/>
      <c r="RA1" s="68"/>
      <c r="RB1" s="68"/>
      <c r="RC1" s="68"/>
      <c r="RD1" s="68"/>
      <c r="RE1" s="68"/>
      <c r="RF1" s="68"/>
      <c r="RG1" s="68"/>
      <c r="RH1" s="68"/>
      <c r="RI1" s="68"/>
      <c r="RJ1" s="68"/>
      <c r="RK1" s="68"/>
      <c r="RL1" s="68"/>
      <c r="RM1" s="68"/>
      <c r="RN1" s="68"/>
      <c r="RO1" s="68"/>
      <c r="RP1" s="68"/>
      <c r="RQ1" s="68"/>
      <c r="RR1" s="68"/>
      <c r="RS1" s="68"/>
      <c r="RT1" s="68"/>
      <c r="RU1" s="68"/>
      <c r="RV1" s="68"/>
      <c r="RW1" s="68"/>
      <c r="RX1" s="68"/>
      <c r="RY1" s="68"/>
      <c r="RZ1" s="68"/>
      <c r="SA1" s="68"/>
      <c r="SB1" s="68"/>
      <c r="SC1" s="68"/>
      <c r="SD1" s="68"/>
      <c r="SE1" s="68"/>
      <c r="SF1" s="68"/>
      <c r="SG1" s="68"/>
      <c r="SH1" s="68"/>
      <c r="SI1" s="68"/>
      <c r="SJ1" s="68"/>
      <c r="SK1" s="68"/>
      <c r="SL1" s="68"/>
      <c r="SM1" s="68"/>
      <c r="SN1" s="68"/>
      <c r="SO1" s="68"/>
      <c r="SP1" s="68"/>
      <c r="SQ1" s="68"/>
      <c r="SR1" s="68"/>
      <c r="SS1" s="68"/>
      <c r="ST1" s="68"/>
      <c r="SU1" s="68"/>
      <c r="SV1" s="68"/>
      <c r="SW1" s="68"/>
      <c r="SX1" s="68"/>
      <c r="SY1" s="68"/>
      <c r="SZ1" s="68"/>
      <c r="TA1" s="68"/>
      <c r="TB1" s="68"/>
      <c r="TC1" s="68"/>
      <c r="TD1" s="68"/>
      <c r="TE1" s="68"/>
      <c r="TF1" s="68"/>
      <c r="TG1" s="68"/>
      <c r="TH1" s="68"/>
      <c r="TI1" s="68"/>
      <c r="TJ1" s="68"/>
      <c r="TK1" s="68"/>
      <c r="TL1" s="68"/>
      <c r="TM1" s="68"/>
      <c r="TN1" s="68"/>
      <c r="TO1" s="68"/>
      <c r="TP1" s="68"/>
      <c r="TQ1" s="68"/>
      <c r="TR1" s="68"/>
      <c r="TS1" s="68"/>
      <c r="TT1" s="68"/>
      <c r="TU1" s="68"/>
      <c r="TV1" s="68"/>
      <c r="TW1" s="68"/>
      <c r="TX1" s="68"/>
      <c r="TY1" s="68"/>
      <c r="TZ1" s="68"/>
      <c r="UA1" s="68"/>
      <c r="UB1" s="68"/>
      <c r="UC1" s="68"/>
      <c r="UD1" s="68"/>
      <c r="UE1" s="68"/>
      <c r="UF1" s="68"/>
      <c r="UG1" s="68"/>
      <c r="UH1" s="68"/>
      <c r="UI1" s="68"/>
      <c r="UJ1" s="68"/>
      <c r="UK1" s="68"/>
      <c r="UL1" s="68"/>
      <c r="UM1" s="68"/>
      <c r="UN1" s="68"/>
      <c r="UO1" s="68"/>
      <c r="UP1" s="68"/>
      <c r="UQ1" s="68"/>
      <c r="UR1" s="68"/>
      <c r="US1" s="68"/>
      <c r="UT1" s="68"/>
      <c r="UU1" s="68"/>
      <c r="UV1" s="68"/>
      <c r="UW1" s="68"/>
      <c r="UX1" s="68"/>
      <c r="UY1" s="68"/>
      <c r="UZ1" s="68"/>
      <c r="VA1" s="68"/>
      <c r="VB1" s="68"/>
      <c r="VC1" s="68"/>
      <c r="VD1" s="68"/>
      <c r="VE1" s="68"/>
      <c r="VF1" s="68"/>
      <c r="VG1" s="68"/>
      <c r="VH1" s="68"/>
      <c r="VI1" s="68"/>
      <c r="VJ1" s="68"/>
      <c r="VK1" s="68"/>
      <c r="VL1" s="68"/>
      <c r="VM1" s="68"/>
      <c r="VN1" s="68"/>
      <c r="VO1" s="68"/>
      <c r="VP1" s="68"/>
      <c r="VQ1" s="68"/>
      <c r="VR1" s="68"/>
      <c r="VS1" s="68"/>
      <c r="VT1" s="68"/>
      <c r="VU1" s="68"/>
      <c r="VV1" s="68"/>
      <c r="VW1" s="68"/>
      <c r="VX1" s="68"/>
      <c r="VY1" s="68"/>
      <c r="VZ1" s="68"/>
      <c r="WA1" s="68"/>
      <c r="WB1" s="68"/>
      <c r="WC1" s="68"/>
      <c r="WD1" s="68"/>
      <c r="WE1" s="68"/>
      <c r="WF1" s="68"/>
      <c r="WG1" s="68"/>
      <c r="WH1" s="68"/>
      <c r="WI1" s="68"/>
      <c r="WJ1" s="68"/>
      <c r="WK1" s="68"/>
      <c r="WL1" s="68"/>
      <c r="WM1" s="68"/>
      <c r="WN1" s="68"/>
      <c r="WO1" s="68"/>
      <c r="WP1" s="68"/>
      <c r="WQ1" s="68"/>
      <c r="WR1" s="68"/>
      <c r="WS1" s="68"/>
      <c r="WT1" s="68"/>
      <c r="WU1" s="68"/>
      <c r="WV1" s="68"/>
      <c r="WW1" s="68"/>
      <c r="WX1" s="68"/>
      <c r="WY1" s="68"/>
      <c r="WZ1" s="68"/>
      <c r="XA1" s="68"/>
      <c r="XB1" s="68"/>
      <c r="XC1" s="68"/>
      <c r="XD1" s="68"/>
      <c r="XE1" s="68"/>
      <c r="XF1" s="68"/>
      <c r="XG1" s="68"/>
      <c r="XH1" s="68"/>
      <c r="XI1" s="68"/>
      <c r="XJ1" s="68"/>
      <c r="XK1" s="68"/>
      <c r="XL1" s="68"/>
      <c r="XM1" s="68"/>
      <c r="XN1" s="68"/>
      <c r="XO1" s="68"/>
      <c r="XP1" s="68"/>
      <c r="XQ1" s="68"/>
      <c r="XR1" s="68"/>
      <c r="XS1" s="68"/>
      <c r="XT1" s="68"/>
      <c r="XU1" s="68"/>
      <c r="XV1" s="68"/>
      <c r="XW1" s="68"/>
      <c r="XX1" s="68"/>
      <c r="XY1" s="68"/>
      <c r="XZ1" s="68"/>
      <c r="YA1" s="68"/>
      <c r="YB1" s="68"/>
      <c r="YC1" s="68"/>
      <c r="YD1" s="68"/>
      <c r="YE1" s="68"/>
      <c r="YF1" s="68"/>
      <c r="YG1" s="68"/>
      <c r="YH1" s="68"/>
      <c r="YI1" s="68"/>
      <c r="YJ1" s="68"/>
      <c r="YK1" s="68"/>
      <c r="YL1" s="68"/>
      <c r="YM1" s="68"/>
      <c r="YN1" s="68"/>
      <c r="YO1" s="68"/>
      <c r="YP1" s="68"/>
      <c r="YQ1" s="68"/>
      <c r="YR1" s="68"/>
      <c r="YS1" s="68"/>
      <c r="YT1" s="68"/>
      <c r="YU1" s="68"/>
      <c r="YV1" s="68"/>
      <c r="YW1" s="68"/>
      <c r="YX1" s="68"/>
      <c r="YY1" s="68"/>
      <c r="YZ1" s="68"/>
      <c r="ZA1" s="68"/>
      <c r="ZB1" s="68"/>
      <c r="ZC1" s="68"/>
      <c r="ZD1" s="68"/>
      <c r="ZE1" s="68"/>
      <c r="ZF1" s="68"/>
      <c r="ZG1" s="68"/>
      <c r="ZH1" s="68"/>
      <c r="ZI1" s="68"/>
      <c r="ZJ1" s="68"/>
      <c r="ZK1" s="68"/>
      <c r="ZL1" s="68"/>
      <c r="ZM1" s="68"/>
      <c r="ZN1" s="68"/>
      <c r="ZO1" s="68"/>
      <c r="ZP1" s="68"/>
      <c r="ZQ1" s="68"/>
      <c r="ZR1" s="68"/>
      <c r="ZS1" s="68"/>
      <c r="ZT1" s="68"/>
      <c r="ZU1" s="68"/>
      <c r="ZV1" s="68"/>
      <c r="ZW1" s="68"/>
      <c r="ZX1" s="68"/>
      <c r="ZY1" s="68"/>
      <c r="ZZ1" s="68"/>
      <c r="AAA1" s="68"/>
      <c r="AAB1" s="68"/>
      <c r="AAC1" s="68"/>
      <c r="AAD1" s="68"/>
      <c r="AAE1" s="68"/>
      <c r="AAF1" s="68"/>
      <c r="AAG1" s="68"/>
      <c r="AAH1" s="68"/>
      <c r="AAI1" s="68"/>
      <c r="AAJ1" s="68"/>
      <c r="AAK1" s="68"/>
      <c r="AAL1" s="68"/>
      <c r="AAM1" s="68"/>
      <c r="AAN1" s="68"/>
      <c r="AAO1" s="68"/>
      <c r="AAP1" s="68"/>
      <c r="AAQ1" s="68"/>
      <c r="AAR1" s="68"/>
      <c r="AAS1" s="68"/>
      <c r="AAT1" s="68"/>
      <c r="AAU1" s="68"/>
      <c r="AAV1" s="68"/>
      <c r="AAW1" s="68"/>
      <c r="AAX1" s="68"/>
      <c r="AAY1" s="68"/>
      <c r="AAZ1" s="68"/>
      <c r="ABA1" s="68"/>
      <c r="ABB1" s="68"/>
      <c r="ABC1" s="68"/>
      <c r="ABD1" s="68"/>
      <c r="ABE1" s="68"/>
      <c r="ABF1" s="68"/>
      <c r="ABG1" s="68"/>
      <c r="ABH1" s="68"/>
      <c r="ABI1" s="68"/>
      <c r="ABJ1" s="68"/>
      <c r="ABK1" s="68"/>
      <c r="ABL1" s="68"/>
      <c r="ABM1" s="68"/>
      <c r="ABN1" s="68"/>
      <c r="ABO1" s="68"/>
      <c r="ABP1" s="68"/>
      <c r="ABQ1" s="68"/>
      <c r="ABR1" s="68"/>
      <c r="ABS1" s="68"/>
      <c r="ABT1" s="68"/>
      <c r="ABU1" s="68"/>
      <c r="ABV1" s="68"/>
      <c r="ABW1" s="68"/>
      <c r="ABX1" s="68"/>
      <c r="ABY1" s="68"/>
      <c r="ABZ1" s="68"/>
      <c r="ACA1" s="68"/>
      <c r="ACB1" s="68"/>
      <c r="ACC1" s="68"/>
      <c r="ACD1" s="68"/>
      <c r="ACE1" s="68"/>
      <c r="ACF1" s="68"/>
      <c r="ACG1" s="68"/>
      <c r="ACH1" s="68"/>
      <c r="ACI1" s="68"/>
      <c r="ACJ1" s="68"/>
      <c r="ACK1" s="68"/>
      <c r="ACL1" s="68"/>
      <c r="ACM1" s="68"/>
      <c r="ACN1" s="68"/>
      <c r="ACO1" s="68"/>
      <c r="ACP1" s="68"/>
      <c r="ACQ1" s="68"/>
      <c r="ACR1" s="68"/>
      <c r="ACS1" s="68"/>
      <c r="ACT1" s="68"/>
      <c r="ACU1" s="68"/>
      <c r="ACV1" s="68"/>
      <c r="ACW1" s="68"/>
      <c r="ACX1" s="68"/>
      <c r="ACY1" s="68"/>
      <c r="ACZ1" s="68"/>
      <c r="ADA1" s="68"/>
      <c r="ADB1" s="68"/>
      <c r="ADC1" s="68"/>
      <c r="ADD1" s="68"/>
      <c r="ADE1" s="68"/>
      <c r="ADF1" s="68"/>
      <c r="ADG1" s="68"/>
      <c r="ADH1" s="68"/>
      <c r="ADI1" s="68"/>
      <c r="ADJ1" s="68"/>
      <c r="ADK1" s="68"/>
      <c r="ADL1" s="68"/>
      <c r="ADM1" s="68"/>
      <c r="ADN1" s="68"/>
      <c r="ADO1" s="68"/>
      <c r="ADP1" s="68"/>
      <c r="ADQ1" s="68"/>
      <c r="ADR1" s="68"/>
      <c r="ADS1" s="68"/>
      <c r="ADT1" s="68"/>
      <c r="ADU1" s="68"/>
      <c r="ADV1" s="68"/>
      <c r="ADW1" s="68"/>
      <c r="ADX1" s="68"/>
      <c r="ADY1" s="68"/>
      <c r="ADZ1" s="68"/>
      <c r="AEA1" s="68"/>
      <c r="AEB1" s="68"/>
      <c r="AEC1" s="68"/>
      <c r="AED1" s="68"/>
      <c r="AEE1" s="68"/>
      <c r="AEF1" s="68"/>
      <c r="AEG1" s="68"/>
      <c r="AEH1" s="68"/>
      <c r="AEI1" s="68"/>
      <c r="AEJ1" s="68"/>
      <c r="AEK1" s="68"/>
      <c r="AEL1" s="68"/>
      <c r="AEM1" s="68"/>
      <c r="AEN1" s="68"/>
      <c r="AEO1" s="68"/>
      <c r="AEP1" s="68"/>
      <c r="AEQ1" s="68"/>
      <c r="AER1" s="68"/>
      <c r="AES1" s="68"/>
      <c r="AET1" s="68"/>
      <c r="AEU1" s="68"/>
      <c r="AEV1" s="68"/>
      <c r="AEW1" s="68"/>
      <c r="AEX1" s="68"/>
      <c r="AEY1" s="68"/>
      <c r="AEZ1" s="68"/>
      <c r="AFA1" s="68"/>
      <c r="AFB1" s="68"/>
      <c r="AFC1" s="68"/>
      <c r="AFD1" s="68"/>
      <c r="AFE1" s="68"/>
      <c r="AFF1" s="68"/>
      <c r="AFG1" s="68"/>
      <c r="AFH1" s="68"/>
      <c r="AFI1" s="68"/>
      <c r="AFJ1" s="68"/>
      <c r="AFK1" s="68"/>
      <c r="AFL1" s="68"/>
      <c r="AFM1" s="68"/>
      <c r="AFN1" s="68"/>
      <c r="AFO1" s="68"/>
      <c r="AFP1" s="68"/>
      <c r="AFQ1" s="68"/>
      <c r="AFR1" s="68"/>
      <c r="AFS1" s="68"/>
      <c r="AFT1" s="68"/>
      <c r="AFU1" s="68"/>
      <c r="AFV1" s="68"/>
      <c r="AFW1" s="68"/>
      <c r="AFX1" s="68"/>
      <c r="AFY1" s="68"/>
      <c r="AFZ1" s="68"/>
      <c r="AGA1" s="68"/>
      <c r="AGB1" s="68"/>
      <c r="AGC1" s="68"/>
      <c r="AGD1" s="68"/>
      <c r="AGE1" s="68"/>
      <c r="AGF1" s="68"/>
      <c r="AGG1" s="68"/>
      <c r="AGH1" s="68"/>
      <c r="AGI1" s="68"/>
      <c r="AGJ1" s="68"/>
      <c r="AGK1" s="68"/>
      <c r="AGL1" s="68"/>
      <c r="AGM1" s="68"/>
      <c r="AGN1" s="68"/>
      <c r="AGO1" s="68"/>
      <c r="AGP1" s="68"/>
      <c r="AGQ1" s="68"/>
      <c r="AGR1" s="68"/>
      <c r="AGS1" s="68"/>
      <c r="AGT1" s="68"/>
      <c r="AGU1" s="68"/>
      <c r="AGV1" s="68"/>
      <c r="AGW1" s="68"/>
      <c r="AGX1" s="68"/>
      <c r="AGY1" s="68"/>
      <c r="AGZ1" s="68"/>
      <c r="AHA1" s="68"/>
      <c r="AHB1" s="68"/>
      <c r="AHC1" s="68"/>
      <c r="AHD1" s="68"/>
      <c r="AHE1" s="68"/>
      <c r="AHF1" s="68"/>
      <c r="AHG1" s="68"/>
      <c r="AHH1" s="68"/>
      <c r="AHI1" s="68"/>
      <c r="AHJ1" s="68"/>
      <c r="AHK1" s="68"/>
      <c r="AHL1" s="68"/>
      <c r="AHM1" s="68"/>
      <c r="AHN1" s="68"/>
      <c r="AHO1" s="68"/>
      <c r="AHP1" s="68"/>
      <c r="AHQ1" s="68"/>
      <c r="AHR1" s="68"/>
      <c r="AHS1" s="68"/>
      <c r="AHT1" s="68"/>
      <c r="AHU1" s="68"/>
      <c r="AHV1" s="68"/>
      <c r="AHW1" s="68"/>
      <c r="AHX1" s="68"/>
      <c r="AHY1" s="68"/>
      <c r="AHZ1" s="68"/>
      <c r="AIA1" s="68"/>
      <c r="AIB1" s="68"/>
      <c r="AIC1" s="68"/>
      <c r="AID1" s="68"/>
      <c r="AIE1" s="68"/>
      <c r="AIF1" s="68"/>
      <c r="AIG1" s="68"/>
      <c r="AIH1" s="68"/>
      <c r="AII1" s="68"/>
      <c r="AIJ1" s="68"/>
      <c r="AIK1" s="68"/>
      <c r="AIL1" s="68"/>
      <c r="AIM1" s="68"/>
      <c r="AIN1" s="68"/>
      <c r="AIO1" s="68"/>
      <c r="AIP1" s="68"/>
      <c r="AIQ1" s="68"/>
      <c r="AIR1" s="68"/>
      <c r="AIS1" s="68"/>
      <c r="AIT1" s="68"/>
      <c r="AIU1" s="68"/>
      <c r="AIV1" s="68"/>
      <c r="AIW1" s="68"/>
      <c r="AIX1" s="68"/>
      <c r="AIY1" s="68"/>
      <c r="AIZ1" s="68"/>
      <c r="AJA1" s="68"/>
      <c r="AJB1" s="68"/>
      <c r="AJC1" s="68"/>
      <c r="AJD1" s="68"/>
      <c r="AJE1" s="68"/>
      <c r="AJF1" s="68"/>
      <c r="AJG1" s="68"/>
      <c r="AJH1" s="68"/>
      <c r="AJI1" s="68"/>
      <c r="AJJ1" s="68"/>
      <c r="AJK1" s="68"/>
      <c r="AJL1" s="68"/>
      <c r="AJM1" s="68"/>
      <c r="AJN1" s="68"/>
      <c r="AJO1" s="68"/>
      <c r="AJP1" s="68"/>
      <c r="AJQ1" s="68"/>
      <c r="AJR1" s="68"/>
      <c r="AJS1" s="68"/>
      <c r="AJT1" s="68"/>
      <c r="AJU1" s="68"/>
      <c r="AJV1" s="68"/>
      <c r="AJW1" s="68"/>
      <c r="AJX1" s="68"/>
      <c r="AJY1" s="68"/>
      <c r="AJZ1" s="68"/>
      <c r="AKA1" s="68"/>
      <c r="AKB1" s="68"/>
      <c r="AKC1" s="68"/>
      <c r="AKD1" s="68"/>
      <c r="AKE1" s="68"/>
      <c r="AKF1" s="68"/>
      <c r="AKG1" s="68"/>
      <c r="AKH1" s="68"/>
      <c r="AKI1" s="68"/>
      <c r="AKJ1" s="68"/>
      <c r="AKK1" s="68"/>
      <c r="AKL1" s="68"/>
      <c r="AKM1" s="68"/>
      <c r="AKN1" s="68"/>
      <c r="AKO1" s="68"/>
      <c r="AKP1" s="68"/>
      <c r="AKQ1" s="68"/>
      <c r="AKR1" s="68"/>
      <c r="AKS1" s="68"/>
      <c r="AKT1" s="68"/>
      <c r="AKU1" s="68"/>
      <c r="AKV1" s="68"/>
      <c r="AKW1" s="68"/>
      <c r="AKX1" s="68"/>
      <c r="AKY1" s="68"/>
      <c r="AKZ1" s="68"/>
      <c r="ALA1" s="68"/>
      <c r="ALB1" s="68"/>
      <c r="ALC1" s="68"/>
      <c r="ALD1" s="68"/>
      <c r="ALE1" s="68"/>
      <c r="ALF1" s="68"/>
      <c r="ALG1" s="68"/>
      <c r="ALH1" s="68"/>
      <c r="ALI1" s="68"/>
      <c r="ALJ1" s="68"/>
      <c r="ALK1" s="68"/>
      <c r="ALL1" s="68"/>
      <c r="ALM1" s="68"/>
      <c r="ALN1" s="68"/>
      <c r="ALO1" s="68"/>
      <c r="ALP1" s="68"/>
      <c r="ALQ1" s="68"/>
      <c r="ALR1" s="68"/>
      <c r="ALS1" s="68"/>
      <c r="ALT1" s="68"/>
      <c r="ALU1" s="68"/>
      <c r="ALV1" s="68"/>
      <c r="ALW1" s="68"/>
      <c r="ALX1" s="68"/>
      <c r="ALY1" s="68"/>
      <c r="ALZ1" s="68"/>
      <c r="AMA1" s="68"/>
      <c r="AMB1" s="68"/>
      <c r="AMC1" s="68"/>
      <c r="AMD1" s="68"/>
      <c r="AME1" s="68"/>
      <c r="AMF1" s="68"/>
      <c r="AMG1" s="68"/>
      <c r="AMH1" s="68"/>
      <c r="AMI1" s="68"/>
      <c r="AMJ1" s="68"/>
      <c r="AMK1" s="68"/>
      <c r="AML1" s="68"/>
      <c r="AMM1" s="68"/>
      <c r="AMN1" s="68"/>
      <c r="AMO1" s="68"/>
      <c r="AMP1" s="68"/>
      <c r="AMQ1" s="68"/>
      <c r="AMR1" s="68"/>
      <c r="AMS1" s="68"/>
      <c r="AMT1" s="68"/>
      <c r="AMU1" s="68"/>
      <c r="AMV1" s="68"/>
      <c r="AMW1" s="68"/>
      <c r="AMX1" s="68"/>
      <c r="AMY1" s="68"/>
      <c r="AMZ1" s="68"/>
      <c r="ANA1" s="68"/>
      <c r="ANB1" s="68"/>
      <c r="ANC1" s="68"/>
      <c r="AND1" s="68"/>
      <c r="ANE1" s="68"/>
      <c r="ANF1" s="68"/>
      <c r="ANG1" s="68"/>
      <c r="ANH1" s="68"/>
      <c r="ANI1" s="68"/>
      <c r="ANJ1" s="68"/>
      <c r="ANK1" s="68"/>
      <c r="ANL1" s="68"/>
      <c r="ANM1" s="68"/>
      <c r="ANN1" s="68"/>
      <c r="ANO1" s="68"/>
      <c r="ANP1" s="68"/>
      <c r="ANQ1" s="68"/>
      <c r="ANR1" s="68"/>
      <c r="ANS1" s="68"/>
      <c r="ANT1" s="68"/>
      <c r="ANU1" s="68"/>
      <c r="ANV1" s="68"/>
      <c r="ANW1" s="68"/>
      <c r="ANX1" s="68"/>
      <c r="ANY1" s="68"/>
      <c r="ANZ1" s="68"/>
      <c r="AOA1" s="68"/>
      <c r="AOB1" s="68"/>
      <c r="AOC1" s="68"/>
      <c r="AOD1" s="68"/>
      <c r="AOE1" s="68"/>
      <c r="AOF1" s="68"/>
      <c r="AOG1" s="68"/>
      <c r="AOH1" s="68"/>
      <c r="AOI1" s="68"/>
      <c r="AOJ1" s="68"/>
      <c r="AOK1" s="68"/>
      <c r="AOL1" s="68"/>
      <c r="AOM1" s="68"/>
      <c r="AON1" s="68"/>
      <c r="AOO1" s="68"/>
      <c r="AOP1" s="68"/>
      <c r="AOQ1" s="68"/>
      <c r="AOR1" s="68"/>
      <c r="AOS1" s="68"/>
      <c r="AOT1" s="68"/>
      <c r="AOU1" s="68"/>
      <c r="AOV1" s="68"/>
      <c r="AOW1" s="68"/>
      <c r="AOX1" s="68"/>
      <c r="AOY1" s="68"/>
      <c r="AOZ1" s="68"/>
      <c r="APA1" s="68"/>
      <c r="APB1" s="68"/>
      <c r="APC1" s="68"/>
      <c r="APD1" s="68"/>
      <c r="APE1" s="68"/>
      <c r="APF1" s="68"/>
      <c r="APG1" s="68"/>
      <c r="APH1" s="68"/>
      <c r="API1" s="68"/>
      <c r="APJ1" s="68"/>
      <c r="APK1" s="68"/>
      <c r="APL1" s="68"/>
      <c r="APM1" s="68"/>
      <c r="APN1" s="68"/>
      <c r="APO1" s="68"/>
      <c r="APP1" s="68"/>
      <c r="APQ1" s="68"/>
      <c r="APR1" s="68"/>
      <c r="APS1" s="68"/>
      <c r="APT1" s="68"/>
      <c r="APU1" s="68"/>
      <c r="APV1" s="68"/>
      <c r="APW1" s="68"/>
      <c r="APX1" s="68"/>
      <c r="APY1" s="68"/>
      <c r="APZ1" s="68"/>
      <c r="AQA1" s="68"/>
      <c r="AQB1" s="68"/>
      <c r="AQC1" s="68"/>
      <c r="AQD1" s="68"/>
      <c r="AQE1" s="68"/>
      <c r="AQF1" s="68"/>
      <c r="AQG1" s="68"/>
      <c r="AQH1" s="68"/>
      <c r="AQI1" s="68"/>
      <c r="AQJ1" s="68"/>
      <c r="AQK1" s="68"/>
      <c r="AQL1" s="68"/>
      <c r="AQM1" s="68"/>
      <c r="AQN1" s="68"/>
      <c r="AQO1" s="68"/>
      <c r="AQP1" s="68"/>
      <c r="AQQ1" s="68"/>
      <c r="AQR1" s="68"/>
      <c r="AQS1" s="68"/>
      <c r="AQT1" s="68"/>
      <c r="AQU1" s="68"/>
      <c r="AQV1" s="68"/>
      <c r="AQW1" s="68"/>
      <c r="AQX1" s="68"/>
      <c r="AQY1" s="68"/>
      <c r="AQZ1" s="68"/>
      <c r="ARA1" s="68"/>
      <c r="ARB1" s="68"/>
      <c r="ARC1" s="68"/>
      <c r="ARD1" s="68"/>
      <c r="ARE1" s="68"/>
      <c r="ARF1" s="68"/>
      <c r="ARG1" s="68"/>
      <c r="ARH1" s="68"/>
      <c r="ARI1" s="68"/>
      <c r="ARJ1" s="68"/>
      <c r="ARK1" s="68"/>
      <c r="ARL1" s="68"/>
      <c r="ARM1" s="68"/>
      <c r="ARN1" s="68"/>
      <c r="ARO1" s="68"/>
      <c r="ARP1" s="68"/>
      <c r="ARQ1" s="68"/>
      <c r="ARR1" s="68"/>
      <c r="ARS1" s="68"/>
      <c r="ART1" s="68"/>
      <c r="ARU1" s="68"/>
      <c r="ARV1" s="68"/>
      <c r="ARW1" s="68"/>
      <c r="ARX1" s="68"/>
      <c r="ARY1" s="68"/>
      <c r="ARZ1" s="68"/>
      <c r="ASA1" s="68"/>
      <c r="ASB1" s="68"/>
      <c r="ASC1" s="68"/>
      <c r="ASD1" s="68"/>
      <c r="ASE1" s="68"/>
      <c r="ASF1" s="68"/>
      <c r="ASG1" s="68"/>
      <c r="ASH1" s="68"/>
      <c r="ASI1" s="68"/>
      <c r="ASJ1" s="68"/>
      <c r="ASK1" s="68"/>
      <c r="ASL1" s="68"/>
      <c r="ASM1" s="68"/>
      <c r="ASN1" s="68"/>
      <c r="ASO1" s="68"/>
      <c r="ASP1" s="68"/>
      <c r="ASQ1" s="68"/>
      <c r="ASR1" s="68"/>
      <c r="ASS1" s="68"/>
      <c r="AST1" s="68"/>
      <c r="ASU1" s="68"/>
      <c r="ASV1" s="68"/>
      <c r="ASW1" s="68"/>
      <c r="ASX1" s="68"/>
      <c r="ASY1" s="68"/>
      <c r="ASZ1" s="68"/>
      <c r="ATA1" s="68"/>
      <c r="ATB1" s="68"/>
      <c r="ATC1" s="68"/>
      <c r="ATD1" s="68"/>
      <c r="ATE1" s="68"/>
      <c r="ATF1" s="68"/>
      <c r="ATG1" s="68"/>
      <c r="ATH1" s="68"/>
      <c r="ATI1" s="68"/>
      <c r="ATJ1" s="68"/>
      <c r="ATK1" s="68"/>
      <c r="ATL1" s="68"/>
      <c r="ATM1" s="68"/>
      <c r="ATN1" s="68"/>
      <c r="ATO1" s="68"/>
      <c r="ATP1" s="68"/>
      <c r="ATQ1" s="68"/>
      <c r="ATR1" s="68"/>
      <c r="ATS1" s="68"/>
      <c r="ATT1" s="68"/>
      <c r="ATU1" s="68"/>
      <c r="ATV1" s="68"/>
      <c r="ATW1" s="68"/>
      <c r="ATX1" s="68"/>
      <c r="ATY1" s="68"/>
      <c r="ATZ1" s="68"/>
      <c r="AUA1" s="68"/>
      <c r="AUB1" s="68"/>
      <c r="AUC1" s="68"/>
      <c r="AUD1" s="68"/>
      <c r="AUE1" s="68"/>
      <c r="AUF1" s="68"/>
      <c r="AUG1" s="68"/>
      <c r="AUH1" s="68"/>
      <c r="AUI1" s="68"/>
      <c r="AUJ1" s="68"/>
      <c r="AUK1" s="68"/>
      <c r="AUL1" s="68"/>
      <c r="AUM1" s="68"/>
      <c r="AUN1" s="68"/>
      <c r="AUO1" s="68"/>
      <c r="AUP1" s="68"/>
      <c r="AUQ1" s="68"/>
      <c r="AUR1" s="68"/>
      <c r="AUS1" s="68"/>
      <c r="AUT1" s="68"/>
      <c r="AUU1" s="68"/>
      <c r="AUV1" s="68"/>
      <c r="AUW1" s="68"/>
      <c r="AUX1" s="68"/>
      <c r="AUY1" s="68"/>
      <c r="AUZ1" s="68"/>
      <c r="AVA1" s="68"/>
      <c r="AVB1" s="68"/>
      <c r="AVC1" s="68"/>
      <c r="AVD1" s="68"/>
      <c r="AVE1" s="68"/>
      <c r="AVF1" s="68"/>
      <c r="AVG1" s="68"/>
      <c r="AVH1" s="68"/>
      <c r="AVI1" s="68"/>
      <c r="AVJ1" s="68"/>
      <c r="AVK1" s="68"/>
      <c r="AVL1" s="68"/>
      <c r="AVM1" s="68"/>
      <c r="AVN1" s="68"/>
      <c r="AVO1" s="68"/>
      <c r="AVP1" s="68"/>
      <c r="AVQ1" s="68"/>
      <c r="AVR1" s="68"/>
      <c r="AVS1" s="68"/>
      <c r="AVT1" s="68"/>
      <c r="AVU1" s="68"/>
      <c r="AVV1" s="68"/>
      <c r="AVW1" s="68"/>
      <c r="AVX1" s="68"/>
      <c r="AVY1" s="68"/>
      <c r="AVZ1" s="68"/>
      <c r="AWA1" s="68"/>
      <c r="AWB1" s="68"/>
      <c r="AWC1" s="68"/>
      <c r="AWD1" s="68"/>
      <c r="AWE1" s="68"/>
      <c r="AWF1" s="68"/>
      <c r="AWG1" s="68"/>
      <c r="AWH1" s="68"/>
      <c r="AWI1" s="68"/>
      <c r="AWJ1" s="68"/>
      <c r="AWK1" s="68"/>
      <c r="AWL1" s="68"/>
      <c r="AWM1" s="68"/>
      <c r="AWN1" s="68"/>
      <c r="AWO1" s="68"/>
      <c r="AWP1" s="68"/>
      <c r="AWQ1" s="68"/>
      <c r="AWR1" s="68"/>
      <c r="AWS1" s="68"/>
      <c r="AWT1" s="68"/>
      <c r="AWU1" s="68"/>
      <c r="AWV1" s="68"/>
      <c r="AWW1" s="68"/>
      <c r="AWX1" s="68"/>
      <c r="AWY1" s="68"/>
      <c r="AWZ1" s="68"/>
      <c r="AXA1" s="68"/>
      <c r="AXB1" s="68"/>
      <c r="AXC1" s="68"/>
      <c r="AXD1" s="68"/>
      <c r="AXE1" s="68"/>
      <c r="AXF1" s="68"/>
      <c r="AXG1" s="68"/>
      <c r="AXH1" s="68"/>
      <c r="AXI1" s="68"/>
      <c r="AXJ1" s="68"/>
      <c r="AXK1" s="68"/>
      <c r="AXL1" s="68"/>
      <c r="AXM1" s="68"/>
      <c r="AXN1" s="68"/>
      <c r="AXO1" s="68"/>
      <c r="AXP1" s="68"/>
      <c r="AXQ1" s="68"/>
      <c r="AXR1" s="68"/>
      <c r="AXS1" s="68"/>
      <c r="AXT1" s="68"/>
      <c r="AXU1" s="68"/>
      <c r="AXV1" s="68"/>
      <c r="AXW1" s="68"/>
      <c r="AXX1" s="68"/>
      <c r="AXY1" s="68"/>
      <c r="AXZ1" s="68"/>
      <c r="AYA1" s="68"/>
      <c r="AYB1" s="68"/>
      <c r="AYC1" s="68"/>
      <c r="AYD1" s="68"/>
      <c r="AYE1" s="68"/>
      <c r="AYF1" s="68"/>
      <c r="AYG1" s="68"/>
      <c r="AYH1" s="68"/>
      <c r="AYI1" s="68"/>
      <c r="AYJ1" s="68"/>
      <c r="AYK1" s="68"/>
      <c r="AYL1" s="68"/>
      <c r="AYM1" s="68"/>
      <c r="AYN1" s="68"/>
      <c r="AYO1" s="68"/>
      <c r="AYP1" s="68"/>
      <c r="AYQ1" s="68"/>
      <c r="AYR1" s="68"/>
      <c r="AYS1" s="68"/>
      <c r="AYT1" s="68"/>
      <c r="AYU1" s="68"/>
      <c r="AYV1" s="68"/>
      <c r="AYW1" s="68"/>
      <c r="AYX1" s="68"/>
      <c r="AYY1" s="68"/>
      <c r="AYZ1" s="68"/>
      <c r="AZA1" s="68"/>
      <c r="AZB1" s="68"/>
      <c r="AZC1" s="68"/>
      <c r="AZD1" s="68"/>
      <c r="AZE1" s="68"/>
      <c r="AZF1" s="68"/>
      <c r="AZG1" s="68"/>
      <c r="AZH1" s="68"/>
      <c r="AZI1" s="68"/>
      <c r="AZJ1" s="68"/>
      <c r="AZK1" s="68"/>
      <c r="AZL1" s="68"/>
      <c r="AZM1" s="68"/>
      <c r="AZN1" s="68"/>
      <c r="AZO1" s="68"/>
      <c r="AZP1" s="68"/>
      <c r="AZQ1" s="68"/>
      <c r="AZR1" s="68"/>
      <c r="AZS1" s="68"/>
      <c r="AZT1" s="68"/>
      <c r="AZU1" s="68"/>
      <c r="AZV1" s="68"/>
      <c r="AZW1" s="68"/>
      <c r="AZX1" s="68"/>
      <c r="AZY1" s="68"/>
      <c r="AZZ1" s="68"/>
      <c r="BAA1" s="68"/>
      <c r="BAB1" s="68"/>
      <c r="BAC1" s="68"/>
      <c r="BAD1" s="68"/>
      <c r="BAE1" s="68"/>
      <c r="BAF1" s="68"/>
      <c r="BAG1" s="68"/>
      <c r="BAH1" s="68"/>
      <c r="BAI1" s="68"/>
      <c r="BAJ1" s="68"/>
      <c r="BAK1" s="68"/>
      <c r="BAL1" s="68"/>
      <c r="BAM1" s="68"/>
      <c r="BAN1" s="68"/>
      <c r="BAO1" s="68"/>
      <c r="BAP1" s="68"/>
      <c r="BAQ1" s="68"/>
      <c r="BAR1" s="68"/>
      <c r="BAS1" s="68"/>
      <c r="BAT1" s="68"/>
      <c r="BAU1" s="68"/>
      <c r="BAV1" s="68"/>
      <c r="BAW1" s="68"/>
      <c r="BAX1" s="68"/>
      <c r="BAY1" s="68"/>
      <c r="BAZ1" s="68"/>
      <c r="BBA1" s="68"/>
      <c r="BBB1" s="68"/>
      <c r="BBC1" s="68"/>
      <c r="BBD1" s="68"/>
      <c r="BBE1" s="68"/>
      <c r="BBF1" s="68"/>
      <c r="BBG1" s="68"/>
      <c r="BBH1" s="68"/>
      <c r="BBI1" s="68"/>
      <c r="BBJ1" s="68"/>
      <c r="BBK1" s="68"/>
      <c r="BBL1" s="68"/>
      <c r="BBM1" s="68"/>
      <c r="BBN1" s="68"/>
      <c r="BBO1" s="68"/>
      <c r="BBP1" s="68"/>
      <c r="BBQ1" s="68"/>
      <c r="BBR1" s="68"/>
      <c r="BBS1" s="68"/>
      <c r="BBT1" s="68"/>
      <c r="BBU1" s="68"/>
      <c r="BBV1" s="68"/>
      <c r="BBW1" s="68"/>
      <c r="BBX1" s="68"/>
      <c r="BBY1" s="68"/>
      <c r="BBZ1" s="68"/>
      <c r="BCA1" s="68"/>
      <c r="BCB1" s="68"/>
      <c r="BCC1" s="68"/>
      <c r="BCD1" s="68"/>
      <c r="BCE1" s="68"/>
      <c r="BCF1" s="68"/>
      <c r="BCG1" s="68"/>
      <c r="BCH1" s="68"/>
      <c r="BCI1" s="68"/>
      <c r="BCJ1" s="68"/>
      <c r="BCK1" s="68"/>
      <c r="BCL1" s="68"/>
      <c r="BCM1" s="68"/>
      <c r="BCN1" s="68"/>
      <c r="BCO1" s="68"/>
      <c r="BCP1" s="68"/>
      <c r="BCQ1" s="68"/>
      <c r="BCR1" s="68"/>
      <c r="BCS1" s="68"/>
      <c r="BCT1" s="68"/>
      <c r="BCU1" s="68"/>
      <c r="BCV1" s="68"/>
      <c r="BCW1" s="68"/>
      <c r="BCX1" s="68"/>
      <c r="BCY1" s="68"/>
      <c r="BCZ1" s="68"/>
      <c r="BDA1" s="68"/>
      <c r="BDB1" s="68"/>
      <c r="BDC1" s="68"/>
      <c r="BDD1" s="68"/>
      <c r="BDE1" s="68"/>
      <c r="BDF1" s="68"/>
      <c r="BDG1" s="68"/>
      <c r="BDH1" s="68"/>
      <c r="BDI1" s="68"/>
      <c r="BDJ1" s="68"/>
      <c r="BDK1" s="68"/>
      <c r="BDL1" s="68"/>
      <c r="BDM1" s="68"/>
      <c r="BDN1" s="68"/>
      <c r="BDO1" s="68"/>
      <c r="BDP1" s="68"/>
      <c r="BDQ1" s="68"/>
      <c r="BDR1" s="68"/>
      <c r="BDS1" s="68"/>
      <c r="BDT1" s="68"/>
      <c r="BDU1" s="68"/>
      <c r="BDV1" s="68"/>
      <c r="BDW1" s="68"/>
      <c r="BDX1" s="68"/>
      <c r="BDY1" s="68"/>
      <c r="BDZ1" s="68"/>
      <c r="BEA1" s="68"/>
      <c r="BEB1" s="68"/>
      <c r="BEC1" s="68"/>
      <c r="BED1" s="68"/>
      <c r="BEE1" s="68"/>
      <c r="BEF1" s="68"/>
      <c r="BEG1" s="68"/>
      <c r="BEH1" s="68"/>
      <c r="BEI1" s="68"/>
      <c r="BEJ1" s="68"/>
      <c r="BEK1" s="68"/>
      <c r="BEL1" s="68"/>
      <c r="BEM1" s="68"/>
      <c r="BEN1" s="68"/>
      <c r="BEO1" s="68"/>
      <c r="BEP1" s="68"/>
      <c r="BEQ1" s="68"/>
      <c r="BER1" s="68"/>
      <c r="BES1" s="68"/>
      <c r="BET1" s="68"/>
      <c r="BEU1" s="68"/>
      <c r="BEV1" s="68"/>
      <c r="BEW1" s="68"/>
      <c r="BEX1" s="68"/>
      <c r="BEY1" s="68"/>
      <c r="BEZ1" s="68"/>
      <c r="BFA1" s="68"/>
      <c r="BFB1" s="68"/>
      <c r="BFC1" s="68"/>
      <c r="BFD1" s="68"/>
      <c r="BFE1" s="68"/>
      <c r="BFF1" s="68"/>
      <c r="BFG1" s="68"/>
      <c r="BFH1" s="68"/>
      <c r="BFI1" s="68"/>
      <c r="BFJ1" s="68"/>
      <c r="BFK1" s="68"/>
      <c r="BFL1" s="68"/>
      <c r="BFM1" s="68"/>
      <c r="BFN1" s="68"/>
      <c r="BFO1" s="68"/>
      <c r="BFP1" s="68"/>
      <c r="BFQ1" s="68"/>
      <c r="BFR1" s="68"/>
      <c r="BFS1" s="68"/>
      <c r="BFT1" s="68"/>
      <c r="BFU1" s="68"/>
      <c r="BFV1" s="68"/>
      <c r="BFW1" s="68"/>
      <c r="BFX1" s="68"/>
      <c r="BFY1" s="68"/>
      <c r="BFZ1" s="68"/>
      <c r="BGA1" s="68"/>
      <c r="BGB1" s="68"/>
      <c r="BGC1" s="68"/>
      <c r="BGD1" s="68"/>
      <c r="BGE1" s="68"/>
      <c r="BGF1" s="68"/>
      <c r="BGG1" s="68"/>
      <c r="BGH1" s="68"/>
      <c r="BGI1" s="68"/>
      <c r="BGJ1" s="68"/>
      <c r="BGK1" s="68"/>
      <c r="BGL1" s="68"/>
      <c r="BGM1" s="68"/>
      <c r="BGN1" s="68"/>
      <c r="BGO1" s="68"/>
      <c r="BGP1" s="68"/>
      <c r="BGQ1" s="68"/>
      <c r="BGR1" s="68"/>
      <c r="BGS1" s="68"/>
      <c r="BGT1" s="68"/>
      <c r="BGU1" s="68"/>
      <c r="BGV1" s="68"/>
      <c r="BGW1" s="68"/>
      <c r="BGX1" s="68"/>
      <c r="BGY1" s="68"/>
      <c r="BGZ1" s="68"/>
      <c r="BHA1" s="68"/>
      <c r="BHB1" s="68"/>
      <c r="BHC1" s="68"/>
      <c r="BHD1" s="68"/>
      <c r="BHE1" s="68"/>
      <c r="BHF1" s="68"/>
      <c r="BHG1" s="68"/>
      <c r="BHH1" s="68"/>
      <c r="BHI1" s="68"/>
      <c r="BHJ1" s="68"/>
      <c r="BHK1" s="68"/>
      <c r="BHL1" s="68"/>
      <c r="BHM1" s="68"/>
      <c r="BHN1" s="68"/>
      <c r="BHO1" s="68"/>
      <c r="BHP1" s="68"/>
      <c r="BHQ1" s="68"/>
      <c r="BHR1" s="68"/>
      <c r="BHS1" s="68"/>
      <c r="BHT1" s="68"/>
      <c r="BHU1" s="68"/>
      <c r="BHV1" s="68"/>
      <c r="BHW1" s="68"/>
      <c r="BHX1" s="68"/>
      <c r="BHY1" s="68"/>
      <c r="BHZ1" s="68"/>
      <c r="BIA1" s="68"/>
      <c r="BIB1" s="68"/>
      <c r="BIC1" s="68"/>
      <c r="BID1" s="68"/>
      <c r="BIE1" s="68"/>
      <c r="BIF1" s="68"/>
      <c r="BIG1" s="68"/>
      <c r="BIH1" s="68"/>
      <c r="BII1" s="68"/>
      <c r="BIJ1" s="68"/>
      <c r="BIK1" s="68"/>
      <c r="BIL1" s="68"/>
      <c r="BIM1" s="68"/>
      <c r="BIN1" s="68"/>
      <c r="BIO1" s="68"/>
      <c r="BIP1" s="68"/>
      <c r="BIQ1" s="68"/>
      <c r="BIR1" s="68"/>
      <c r="BIS1" s="68"/>
      <c r="BIT1" s="68"/>
      <c r="BIU1" s="68"/>
      <c r="BIV1" s="68"/>
      <c r="BIW1" s="68"/>
      <c r="BIX1" s="68"/>
      <c r="BIY1" s="68"/>
      <c r="BIZ1" s="68"/>
      <c r="BJA1" s="68"/>
      <c r="BJB1" s="68"/>
      <c r="BJC1" s="68"/>
      <c r="BJD1" s="68"/>
      <c r="BJE1" s="68"/>
      <c r="BJF1" s="68"/>
      <c r="BJG1" s="68"/>
      <c r="BJH1" s="68"/>
      <c r="BJI1" s="68"/>
      <c r="BJJ1" s="68"/>
      <c r="BJK1" s="68"/>
      <c r="BJL1" s="68"/>
      <c r="BJM1" s="68"/>
      <c r="BJN1" s="68"/>
      <c r="BJO1" s="68"/>
      <c r="BJP1" s="68"/>
      <c r="BJQ1" s="68"/>
      <c r="BJR1" s="68"/>
      <c r="BJS1" s="68"/>
      <c r="BJT1" s="68"/>
      <c r="BJU1" s="68"/>
      <c r="BJV1" s="68"/>
      <c r="BJW1" s="68"/>
      <c r="BJX1" s="68"/>
      <c r="BJY1" s="68"/>
      <c r="BJZ1" s="68"/>
      <c r="BKA1" s="68"/>
      <c r="BKB1" s="68"/>
      <c r="BKC1" s="68"/>
      <c r="BKD1" s="68"/>
      <c r="BKE1" s="68"/>
      <c r="BKF1" s="68"/>
      <c r="BKG1" s="68"/>
      <c r="BKH1" s="68"/>
      <c r="BKI1" s="68"/>
      <c r="BKJ1" s="68"/>
      <c r="BKK1" s="68"/>
      <c r="BKL1" s="68"/>
      <c r="BKM1" s="68"/>
      <c r="BKN1" s="68"/>
      <c r="BKO1" s="68"/>
      <c r="BKP1" s="68"/>
      <c r="BKQ1" s="68"/>
      <c r="BKR1" s="68"/>
      <c r="BKS1" s="68"/>
      <c r="BKT1" s="68"/>
      <c r="BKU1" s="68"/>
      <c r="BKV1" s="68"/>
      <c r="BKW1" s="68"/>
      <c r="BKX1" s="68"/>
      <c r="BKY1" s="68"/>
      <c r="BKZ1" s="68"/>
      <c r="BLA1" s="68"/>
      <c r="BLB1" s="68"/>
      <c r="BLC1" s="68"/>
      <c r="BLD1" s="68"/>
      <c r="BLE1" s="68"/>
      <c r="BLF1" s="68"/>
      <c r="BLG1" s="68"/>
      <c r="BLH1" s="68"/>
      <c r="BLI1" s="68"/>
      <c r="BLJ1" s="68"/>
      <c r="BLK1" s="68"/>
      <c r="BLL1" s="68"/>
      <c r="BLM1" s="68"/>
      <c r="BLN1" s="68"/>
      <c r="BLO1" s="68"/>
      <c r="BLP1" s="68"/>
      <c r="BLQ1" s="68"/>
      <c r="BLR1" s="68"/>
      <c r="BLS1" s="68"/>
      <c r="BLT1" s="68"/>
      <c r="BLU1" s="68"/>
      <c r="BLV1" s="68"/>
      <c r="BLW1" s="68"/>
      <c r="BLX1" s="68"/>
      <c r="BLY1" s="68"/>
      <c r="BLZ1" s="68"/>
      <c r="BMA1" s="68"/>
      <c r="BMB1" s="68"/>
      <c r="BMC1" s="68"/>
      <c r="BMD1" s="68"/>
      <c r="BME1" s="68"/>
      <c r="BMF1" s="68"/>
      <c r="BMG1" s="68"/>
      <c r="BMH1" s="68"/>
      <c r="BMI1" s="68"/>
      <c r="BMJ1" s="68"/>
      <c r="BMK1" s="68"/>
      <c r="BML1" s="68"/>
      <c r="BMM1" s="68"/>
      <c r="BMN1" s="68"/>
      <c r="BMO1" s="68"/>
      <c r="BMP1" s="68"/>
      <c r="BMQ1" s="68"/>
      <c r="BMR1" s="68"/>
      <c r="BMS1" s="68"/>
      <c r="BMT1" s="68"/>
      <c r="BMU1" s="68"/>
      <c r="BMV1" s="68"/>
      <c r="BMW1" s="68"/>
      <c r="BMX1" s="68"/>
      <c r="BMY1" s="68"/>
      <c r="BMZ1" s="68"/>
      <c r="BNA1" s="68"/>
      <c r="BNB1" s="68"/>
      <c r="BNC1" s="68"/>
      <c r="BND1" s="68"/>
      <c r="BNE1" s="68"/>
      <c r="BNF1" s="68"/>
      <c r="BNG1" s="68"/>
      <c r="BNH1" s="68"/>
      <c r="BNI1" s="68"/>
      <c r="BNJ1" s="68"/>
      <c r="BNK1" s="68"/>
      <c r="BNL1" s="68"/>
      <c r="BNM1" s="68"/>
      <c r="BNN1" s="68"/>
      <c r="BNO1" s="68"/>
      <c r="BNP1" s="68"/>
      <c r="BNQ1" s="68"/>
      <c r="BNR1" s="68"/>
      <c r="BNS1" s="68"/>
      <c r="BNT1" s="68"/>
      <c r="BNU1" s="68"/>
      <c r="BNV1" s="68"/>
      <c r="BNW1" s="68"/>
      <c r="BNX1" s="68"/>
      <c r="BNY1" s="68"/>
      <c r="BNZ1" s="68"/>
      <c r="BOA1" s="68"/>
      <c r="BOB1" s="68"/>
      <c r="BOC1" s="68"/>
      <c r="BOD1" s="68"/>
      <c r="BOE1" s="68"/>
      <c r="BOF1" s="68"/>
      <c r="BOG1" s="68"/>
      <c r="BOH1" s="68"/>
      <c r="BOI1" s="68"/>
      <c r="BOJ1" s="68"/>
      <c r="BOK1" s="68"/>
      <c r="BOL1" s="68"/>
      <c r="BOM1" s="68"/>
      <c r="BON1" s="68"/>
      <c r="BOO1" s="68"/>
      <c r="BOP1" s="68"/>
      <c r="BOQ1" s="68"/>
      <c r="BOR1" s="68"/>
      <c r="BOS1" s="68"/>
      <c r="BOT1" s="68"/>
      <c r="BOU1" s="68"/>
      <c r="BOV1" s="68"/>
      <c r="BOW1" s="68"/>
      <c r="BOX1" s="68"/>
      <c r="BOY1" s="68"/>
      <c r="BOZ1" s="68"/>
      <c r="BPA1" s="68"/>
      <c r="BPB1" s="68"/>
      <c r="BPC1" s="68"/>
      <c r="BPD1" s="68"/>
      <c r="BPE1" s="68"/>
      <c r="BPF1" s="68"/>
      <c r="BPG1" s="68"/>
      <c r="BPH1" s="68"/>
      <c r="BPI1" s="68"/>
      <c r="BPJ1" s="68"/>
      <c r="BPK1" s="68"/>
      <c r="BPL1" s="68"/>
      <c r="BPM1" s="68"/>
      <c r="BPN1" s="68"/>
      <c r="BPO1" s="68"/>
      <c r="BPP1" s="68"/>
      <c r="BPQ1" s="68"/>
      <c r="BPR1" s="68"/>
      <c r="BPS1" s="68"/>
      <c r="BPT1" s="68"/>
      <c r="BPU1" s="68"/>
      <c r="BPV1" s="68"/>
      <c r="BPW1" s="68"/>
      <c r="BPX1" s="68"/>
      <c r="BPY1" s="68"/>
      <c r="BPZ1" s="68"/>
      <c r="BQA1" s="68"/>
      <c r="BQB1" s="68"/>
      <c r="BQC1" s="68"/>
      <c r="BQD1" s="68"/>
      <c r="BQE1" s="68"/>
      <c r="BQF1" s="68"/>
      <c r="BQG1" s="68"/>
      <c r="BQH1" s="68"/>
      <c r="BQI1" s="68"/>
      <c r="BQJ1" s="68"/>
      <c r="BQK1" s="68"/>
      <c r="BQL1" s="68"/>
      <c r="BQM1" s="68"/>
      <c r="BQN1" s="68"/>
      <c r="BQO1" s="68"/>
      <c r="BQP1" s="68"/>
      <c r="BQQ1" s="68"/>
      <c r="BQR1" s="68"/>
      <c r="BQS1" s="68"/>
      <c r="BQT1" s="68"/>
      <c r="BQU1" s="68"/>
      <c r="BQV1" s="68"/>
      <c r="BQW1" s="68"/>
      <c r="BQX1" s="68"/>
      <c r="BQY1" s="68"/>
      <c r="BQZ1" s="68"/>
      <c r="BRA1" s="68"/>
      <c r="BRB1" s="68"/>
      <c r="BRC1" s="68"/>
      <c r="BRD1" s="68"/>
      <c r="BRE1" s="68"/>
      <c r="BRF1" s="68"/>
      <c r="BRG1" s="68"/>
      <c r="BRH1" s="68"/>
      <c r="BRI1" s="68"/>
      <c r="BRJ1" s="68"/>
      <c r="BRK1" s="68"/>
      <c r="BRL1" s="68"/>
      <c r="BRM1" s="68"/>
      <c r="BRN1" s="68"/>
      <c r="BRO1" s="68"/>
      <c r="BRP1" s="68"/>
      <c r="BRQ1" s="68"/>
      <c r="BRR1" s="68"/>
      <c r="BRS1" s="68"/>
      <c r="BRT1" s="68"/>
      <c r="BRU1" s="68"/>
      <c r="BRV1" s="68"/>
      <c r="BRW1" s="68"/>
      <c r="BRX1" s="68"/>
      <c r="BRY1" s="68"/>
      <c r="BRZ1" s="68"/>
      <c r="BSA1" s="68"/>
      <c r="BSB1" s="68"/>
      <c r="BSC1" s="68"/>
      <c r="BSD1" s="68"/>
      <c r="BSE1" s="68"/>
      <c r="BSF1" s="68"/>
      <c r="BSG1" s="68"/>
      <c r="BSH1" s="68"/>
      <c r="BSI1" s="68"/>
      <c r="BSJ1" s="68"/>
      <c r="BSK1" s="68"/>
      <c r="BSL1" s="68"/>
      <c r="BSM1" s="68"/>
      <c r="BSN1" s="68"/>
      <c r="BSO1" s="68"/>
      <c r="BSP1" s="68"/>
      <c r="BSQ1" s="68"/>
      <c r="BSR1" s="68"/>
      <c r="BSS1" s="68"/>
      <c r="BST1" s="68"/>
      <c r="BSU1" s="68"/>
      <c r="BSV1" s="68"/>
      <c r="BSW1" s="68"/>
      <c r="BSX1" s="68"/>
      <c r="BSY1" s="68"/>
      <c r="BSZ1" s="68"/>
      <c r="BTA1" s="68"/>
      <c r="BTB1" s="68"/>
      <c r="BTC1" s="68"/>
      <c r="BTD1" s="68"/>
      <c r="BTE1" s="68"/>
      <c r="BTF1" s="68"/>
      <c r="BTG1" s="68"/>
      <c r="BTH1" s="68"/>
      <c r="BTI1" s="68"/>
      <c r="BTJ1" s="68"/>
      <c r="BTK1" s="68"/>
      <c r="BTL1" s="68"/>
      <c r="BTM1" s="68"/>
      <c r="BTN1" s="68"/>
      <c r="BTO1" s="68"/>
      <c r="BTP1" s="68"/>
      <c r="BTQ1" s="68"/>
      <c r="BTR1" s="68"/>
      <c r="BTS1" s="68"/>
      <c r="BTT1" s="68"/>
      <c r="BTU1" s="68"/>
      <c r="BTV1" s="68"/>
      <c r="BTW1" s="68"/>
      <c r="BTX1" s="68"/>
      <c r="BTY1" s="68"/>
      <c r="BTZ1" s="68"/>
      <c r="BUA1" s="68"/>
      <c r="BUB1" s="68"/>
      <c r="BUC1" s="68"/>
      <c r="BUD1" s="68"/>
      <c r="BUE1" s="68"/>
      <c r="BUF1" s="68"/>
      <c r="BUG1" s="68"/>
      <c r="BUH1" s="68"/>
      <c r="BUI1" s="68"/>
      <c r="BUJ1" s="68"/>
      <c r="BUK1" s="68"/>
      <c r="BUL1" s="68"/>
      <c r="BUM1" s="68"/>
      <c r="BUN1" s="68"/>
      <c r="BUO1" s="68"/>
      <c r="BUP1" s="68"/>
      <c r="BUQ1" s="68"/>
      <c r="BUR1" s="68"/>
      <c r="BUS1" s="68"/>
      <c r="BUT1" s="68"/>
      <c r="BUU1" s="68"/>
      <c r="BUV1" s="68"/>
      <c r="BUW1" s="68"/>
      <c r="BUX1" s="68"/>
      <c r="BUY1" s="68"/>
      <c r="BUZ1" s="68"/>
      <c r="BVA1" s="68"/>
      <c r="BVB1" s="68"/>
      <c r="BVC1" s="68"/>
      <c r="BVD1" s="68"/>
      <c r="BVE1" s="68"/>
      <c r="BVF1" s="68"/>
      <c r="BVG1" s="68"/>
      <c r="BVH1" s="68"/>
      <c r="BVI1" s="68"/>
      <c r="BVJ1" s="68"/>
      <c r="BVK1" s="68"/>
      <c r="BVL1" s="68"/>
      <c r="BVM1" s="68"/>
      <c r="BVN1" s="68"/>
      <c r="BVO1" s="68"/>
      <c r="BVP1" s="68"/>
      <c r="BVQ1" s="68"/>
      <c r="BVR1" s="68"/>
      <c r="BVS1" s="68"/>
      <c r="BVT1" s="68"/>
      <c r="BVU1" s="68"/>
      <c r="BVV1" s="68"/>
      <c r="BVW1" s="68"/>
      <c r="BVX1" s="68"/>
      <c r="BVY1" s="68"/>
      <c r="BVZ1" s="68"/>
      <c r="BWA1" s="68"/>
      <c r="BWB1" s="68"/>
      <c r="BWC1" s="68"/>
      <c r="BWD1" s="68"/>
      <c r="BWE1" s="68"/>
      <c r="BWF1" s="68"/>
      <c r="BWG1" s="68"/>
      <c r="BWH1" s="68"/>
      <c r="BWI1" s="68"/>
      <c r="BWJ1" s="68"/>
      <c r="BWK1" s="68"/>
      <c r="BWL1" s="68"/>
      <c r="BWM1" s="68"/>
      <c r="BWN1" s="68"/>
      <c r="BWO1" s="68"/>
      <c r="BWP1" s="68"/>
      <c r="BWQ1" s="68"/>
      <c r="BWR1" s="68"/>
      <c r="BWS1" s="68"/>
      <c r="BWT1" s="68"/>
      <c r="BWU1" s="68"/>
      <c r="BWV1" s="68"/>
      <c r="BWW1" s="68"/>
      <c r="BWX1" s="68"/>
      <c r="BWY1" s="68"/>
      <c r="BWZ1" s="68"/>
      <c r="BXA1" s="68"/>
      <c r="BXB1" s="68"/>
      <c r="BXC1" s="68"/>
      <c r="BXD1" s="68"/>
      <c r="BXE1" s="68"/>
      <c r="BXF1" s="68"/>
      <c r="BXG1" s="68"/>
      <c r="BXH1" s="68"/>
      <c r="BXI1" s="68"/>
      <c r="BXJ1" s="68"/>
      <c r="BXK1" s="68"/>
      <c r="BXL1" s="68"/>
      <c r="BXM1" s="68"/>
      <c r="BXN1" s="68"/>
      <c r="BXO1" s="68"/>
      <c r="BXP1" s="68"/>
      <c r="BXQ1" s="68"/>
      <c r="BXR1" s="68"/>
      <c r="BXS1" s="68"/>
      <c r="BXT1" s="68"/>
      <c r="BXU1" s="68"/>
      <c r="BXV1" s="68"/>
      <c r="BXW1" s="68"/>
      <c r="BXX1" s="68"/>
      <c r="BXY1" s="68"/>
      <c r="BXZ1" s="68"/>
      <c r="BYA1" s="68"/>
      <c r="BYB1" s="68"/>
      <c r="BYC1" s="68"/>
      <c r="BYD1" s="68"/>
      <c r="BYE1" s="68"/>
      <c r="BYF1" s="68"/>
      <c r="BYG1" s="68"/>
      <c r="BYH1" s="68"/>
      <c r="BYI1" s="68"/>
      <c r="BYJ1" s="68"/>
      <c r="BYK1" s="68"/>
      <c r="BYL1" s="68"/>
      <c r="BYM1" s="68"/>
      <c r="BYN1" s="68"/>
      <c r="BYO1" s="68"/>
      <c r="BYP1" s="68"/>
      <c r="BYQ1" s="68"/>
      <c r="BYR1" s="68"/>
      <c r="BYS1" s="68"/>
      <c r="BYT1" s="68"/>
      <c r="BYU1" s="68"/>
      <c r="BYV1" s="68"/>
      <c r="BYW1" s="68"/>
      <c r="BYX1" s="68"/>
      <c r="BYY1" s="68"/>
      <c r="BYZ1" s="68"/>
      <c r="BZA1" s="68"/>
      <c r="BZB1" s="68"/>
      <c r="BZC1" s="68"/>
      <c r="BZD1" s="68"/>
      <c r="BZE1" s="68"/>
      <c r="BZF1" s="68"/>
      <c r="BZG1" s="68"/>
      <c r="BZH1" s="68"/>
      <c r="BZI1" s="68"/>
      <c r="BZJ1" s="68"/>
      <c r="BZK1" s="68"/>
      <c r="BZL1" s="68"/>
      <c r="BZM1" s="68"/>
      <c r="BZN1" s="68"/>
      <c r="BZO1" s="68"/>
      <c r="BZP1" s="68"/>
      <c r="BZQ1" s="68"/>
      <c r="BZR1" s="68"/>
      <c r="BZS1" s="68"/>
      <c r="BZT1" s="68"/>
      <c r="BZU1" s="68"/>
      <c r="BZV1" s="68"/>
      <c r="BZW1" s="68"/>
      <c r="BZX1" s="68"/>
      <c r="BZY1" s="68"/>
      <c r="BZZ1" s="68"/>
      <c r="CAA1" s="68"/>
      <c r="CAB1" s="68"/>
      <c r="CAC1" s="68"/>
      <c r="CAD1" s="68"/>
      <c r="CAE1" s="68"/>
      <c r="CAF1" s="68"/>
      <c r="CAG1" s="68"/>
      <c r="CAH1" s="68"/>
      <c r="CAI1" s="68"/>
      <c r="CAJ1" s="68"/>
      <c r="CAK1" s="68"/>
      <c r="CAL1" s="68"/>
      <c r="CAM1" s="68"/>
      <c r="CAN1" s="68"/>
      <c r="CAO1" s="68"/>
      <c r="CAP1" s="68"/>
      <c r="CAQ1" s="68"/>
      <c r="CAR1" s="68"/>
      <c r="CAS1" s="68"/>
      <c r="CAT1" s="68"/>
      <c r="CAU1" s="68"/>
      <c r="CAV1" s="68"/>
      <c r="CAW1" s="68"/>
      <c r="CAX1" s="68"/>
      <c r="CAY1" s="68"/>
      <c r="CAZ1" s="68"/>
      <c r="CBA1" s="68"/>
      <c r="CBB1" s="68"/>
      <c r="CBC1" s="68"/>
      <c r="CBD1" s="68"/>
      <c r="CBE1" s="68"/>
      <c r="CBF1" s="68"/>
      <c r="CBG1" s="68"/>
      <c r="CBH1" s="68"/>
      <c r="CBI1" s="68"/>
      <c r="CBJ1" s="68"/>
      <c r="CBK1" s="68"/>
      <c r="CBL1" s="68"/>
      <c r="CBM1" s="68"/>
      <c r="CBN1" s="68"/>
      <c r="CBO1" s="68"/>
      <c r="CBP1" s="68"/>
      <c r="CBQ1" s="68"/>
      <c r="CBR1" s="68"/>
      <c r="CBS1" s="68"/>
      <c r="CBT1" s="68"/>
      <c r="CBU1" s="68"/>
      <c r="CBV1" s="68"/>
      <c r="CBW1" s="68"/>
      <c r="CBX1" s="68"/>
      <c r="CBY1" s="68"/>
      <c r="CBZ1" s="68"/>
      <c r="CCA1" s="68"/>
      <c r="CCB1" s="68"/>
      <c r="CCC1" s="68"/>
      <c r="CCD1" s="68"/>
      <c r="CCE1" s="68"/>
      <c r="CCF1" s="68"/>
      <c r="CCG1" s="68"/>
      <c r="CCH1" s="68"/>
      <c r="CCI1" s="68"/>
      <c r="CCJ1" s="68"/>
      <c r="CCK1" s="68"/>
      <c r="CCL1" s="68"/>
      <c r="CCM1" s="68"/>
      <c r="CCN1" s="68"/>
      <c r="CCO1" s="68"/>
      <c r="CCP1" s="68"/>
      <c r="CCQ1" s="68"/>
      <c r="CCR1" s="68"/>
      <c r="CCS1" s="68"/>
      <c r="CCT1" s="68"/>
      <c r="CCU1" s="68"/>
      <c r="CCV1" s="68"/>
      <c r="CCW1" s="68"/>
      <c r="CCX1" s="68"/>
      <c r="CCY1" s="68"/>
      <c r="CCZ1" s="68"/>
      <c r="CDA1" s="68"/>
      <c r="CDB1" s="68"/>
      <c r="CDC1" s="68"/>
      <c r="CDD1" s="68"/>
      <c r="CDE1" s="68"/>
      <c r="CDF1" s="68"/>
      <c r="CDG1" s="68"/>
      <c r="CDH1" s="68"/>
      <c r="CDI1" s="68"/>
      <c r="CDJ1" s="68"/>
      <c r="CDK1" s="68"/>
      <c r="CDL1" s="68"/>
      <c r="CDM1" s="68"/>
      <c r="CDN1" s="68"/>
      <c r="CDO1" s="68"/>
      <c r="CDP1" s="68"/>
      <c r="CDQ1" s="68"/>
      <c r="CDR1" s="68"/>
      <c r="CDS1" s="68"/>
      <c r="CDT1" s="68"/>
      <c r="CDU1" s="68"/>
      <c r="CDV1" s="68"/>
      <c r="CDW1" s="68"/>
      <c r="CDX1" s="68"/>
      <c r="CDY1" s="68"/>
      <c r="CDZ1" s="68"/>
      <c r="CEA1" s="68"/>
      <c r="CEB1" s="68"/>
      <c r="CEC1" s="68"/>
      <c r="CED1" s="68"/>
      <c r="CEE1" s="68"/>
      <c r="CEF1" s="68"/>
      <c r="CEG1" s="68"/>
      <c r="CEH1" s="68"/>
      <c r="CEI1" s="68"/>
      <c r="CEJ1" s="68"/>
      <c r="CEK1" s="68"/>
      <c r="CEL1" s="68"/>
      <c r="CEM1" s="68"/>
      <c r="CEN1" s="68"/>
      <c r="CEO1" s="68"/>
      <c r="CEP1" s="68"/>
      <c r="CEQ1" s="68"/>
      <c r="CER1" s="68"/>
      <c r="CES1" s="68"/>
      <c r="CET1" s="68"/>
      <c r="CEU1" s="68"/>
      <c r="CEV1" s="68"/>
      <c r="CEW1" s="68"/>
      <c r="CEX1" s="68"/>
      <c r="CEY1" s="68"/>
      <c r="CEZ1" s="68"/>
      <c r="CFA1" s="68"/>
      <c r="CFB1" s="68"/>
      <c r="CFC1" s="68"/>
      <c r="CFD1" s="68"/>
      <c r="CFE1" s="68"/>
      <c r="CFF1" s="68"/>
      <c r="CFG1" s="68"/>
      <c r="CFH1" s="68"/>
      <c r="CFI1" s="68"/>
      <c r="CFJ1" s="68"/>
      <c r="CFK1" s="68"/>
      <c r="CFL1" s="68"/>
      <c r="CFM1" s="68"/>
      <c r="CFN1" s="68"/>
      <c r="CFO1" s="68"/>
      <c r="CFP1" s="68"/>
      <c r="CFQ1" s="68"/>
      <c r="CFR1" s="68"/>
      <c r="CFS1" s="68"/>
      <c r="CFT1" s="68"/>
      <c r="CFU1" s="68"/>
      <c r="CFV1" s="68"/>
      <c r="CFW1" s="68"/>
      <c r="CFX1" s="68"/>
      <c r="CFY1" s="68"/>
      <c r="CFZ1" s="68"/>
      <c r="CGA1" s="68"/>
      <c r="CGB1" s="68"/>
      <c r="CGC1" s="68"/>
      <c r="CGD1" s="68"/>
      <c r="CGE1" s="68"/>
      <c r="CGF1" s="68"/>
      <c r="CGG1" s="68"/>
      <c r="CGH1" s="68"/>
      <c r="CGI1" s="68"/>
      <c r="CGJ1" s="68"/>
      <c r="CGK1" s="68"/>
      <c r="CGL1" s="68"/>
      <c r="CGM1" s="68"/>
      <c r="CGN1" s="68"/>
      <c r="CGO1" s="68"/>
      <c r="CGP1" s="68"/>
      <c r="CGQ1" s="68"/>
      <c r="CGR1" s="68"/>
      <c r="CGS1" s="68"/>
      <c r="CGT1" s="68"/>
      <c r="CGU1" s="68"/>
      <c r="CGV1" s="68"/>
      <c r="CGW1" s="68"/>
      <c r="CGX1" s="68"/>
      <c r="CGY1" s="68"/>
      <c r="CGZ1" s="68"/>
      <c r="CHA1" s="68"/>
      <c r="CHB1" s="68"/>
      <c r="CHC1" s="68"/>
      <c r="CHD1" s="68"/>
      <c r="CHE1" s="68"/>
      <c r="CHF1" s="68"/>
      <c r="CHG1" s="68"/>
      <c r="CHH1" s="68"/>
      <c r="CHI1" s="68"/>
      <c r="CHJ1" s="68"/>
      <c r="CHK1" s="68"/>
      <c r="CHL1" s="68"/>
      <c r="CHM1" s="68"/>
      <c r="CHN1" s="68"/>
      <c r="CHO1" s="68"/>
      <c r="CHP1" s="68"/>
      <c r="CHQ1" s="68"/>
      <c r="CHR1" s="68"/>
      <c r="CHS1" s="68"/>
      <c r="CHT1" s="68"/>
      <c r="CHU1" s="68"/>
      <c r="CHV1" s="68"/>
      <c r="CHW1" s="68"/>
      <c r="CHX1" s="68"/>
      <c r="CHY1" s="68"/>
      <c r="CHZ1" s="68"/>
      <c r="CIA1" s="68"/>
      <c r="CIB1" s="68"/>
      <c r="CIC1" s="68"/>
      <c r="CID1" s="68"/>
      <c r="CIE1" s="68"/>
      <c r="CIF1" s="68"/>
      <c r="CIG1" s="68"/>
      <c r="CIH1" s="68"/>
      <c r="CII1" s="68"/>
      <c r="CIJ1" s="68"/>
      <c r="CIK1" s="68"/>
      <c r="CIL1" s="68"/>
      <c r="CIM1" s="68"/>
      <c r="CIN1" s="68"/>
      <c r="CIO1" s="68"/>
      <c r="CIP1" s="68"/>
      <c r="CIQ1" s="68"/>
      <c r="CIR1" s="68"/>
      <c r="CIS1" s="68"/>
      <c r="CIT1" s="68"/>
      <c r="CIU1" s="68"/>
      <c r="CIV1" s="68"/>
      <c r="CIW1" s="68"/>
      <c r="CIX1" s="68"/>
      <c r="CIY1" s="68"/>
      <c r="CIZ1" s="68"/>
      <c r="CJA1" s="68"/>
      <c r="CJB1" s="68"/>
      <c r="CJC1" s="68"/>
      <c r="CJD1" s="68"/>
      <c r="CJE1" s="68"/>
      <c r="CJF1" s="68"/>
      <c r="CJG1" s="68"/>
      <c r="CJH1" s="68"/>
      <c r="CJI1" s="68"/>
      <c r="CJJ1" s="68"/>
      <c r="CJK1" s="68"/>
      <c r="CJL1" s="68"/>
      <c r="CJM1" s="68"/>
      <c r="CJN1" s="68"/>
      <c r="CJO1" s="68"/>
      <c r="CJP1" s="68"/>
      <c r="CJQ1" s="68"/>
      <c r="CJR1" s="68"/>
      <c r="CJS1" s="68"/>
      <c r="CJT1" s="68"/>
      <c r="CJU1" s="68"/>
      <c r="CJV1" s="68"/>
      <c r="CJW1" s="68"/>
      <c r="CJX1" s="68"/>
      <c r="CJY1" s="68"/>
      <c r="CJZ1" s="68"/>
      <c r="CKA1" s="68"/>
      <c r="CKB1" s="68"/>
      <c r="CKC1" s="68"/>
      <c r="CKD1" s="68"/>
      <c r="CKE1" s="68"/>
      <c r="CKF1" s="68"/>
      <c r="CKG1" s="68"/>
      <c r="CKH1" s="68"/>
      <c r="CKI1" s="68"/>
      <c r="CKJ1" s="68"/>
      <c r="CKK1" s="68"/>
      <c r="CKL1" s="68"/>
      <c r="CKM1" s="68"/>
      <c r="CKN1" s="68"/>
      <c r="CKO1" s="68"/>
      <c r="CKP1" s="68"/>
      <c r="CKQ1" s="68"/>
      <c r="CKR1" s="68"/>
      <c r="CKS1" s="68"/>
      <c r="CKT1" s="68"/>
      <c r="CKU1" s="68"/>
      <c r="CKV1" s="68"/>
      <c r="CKW1" s="68"/>
      <c r="CKX1" s="68"/>
      <c r="CKY1" s="68"/>
      <c r="CKZ1" s="68"/>
      <c r="CLA1" s="68"/>
      <c r="CLB1" s="68"/>
      <c r="CLC1" s="68"/>
      <c r="CLD1" s="68"/>
      <c r="CLE1" s="68"/>
      <c r="CLF1" s="68"/>
      <c r="CLG1" s="68"/>
      <c r="CLH1" s="68"/>
      <c r="CLI1" s="68"/>
      <c r="CLJ1" s="68"/>
      <c r="CLK1" s="68"/>
      <c r="CLL1" s="68"/>
      <c r="CLM1" s="68"/>
      <c r="CLN1" s="68"/>
      <c r="CLO1" s="68"/>
      <c r="CLP1" s="68"/>
      <c r="CLQ1" s="68"/>
      <c r="CLR1" s="68"/>
      <c r="CLS1" s="68"/>
      <c r="CLT1" s="68"/>
      <c r="CLU1" s="68"/>
      <c r="CLV1" s="68"/>
      <c r="CLW1" s="68"/>
      <c r="CLX1" s="68"/>
      <c r="CLY1" s="68"/>
      <c r="CLZ1" s="68"/>
      <c r="CMA1" s="68"/>
      <c r="CMB1" s="68"/>
      <c r="CMC1" s="68"/>
      <c r="CMD1" s="68"/>
      <c r="CME1" s="68"/>
      <c r="CMF1" s="68"/>
      <c r="CMG1" s="68"/>
      <c r="CMH1" s="68"/>
      <c r="CMI1" s="68"/>
      <c r="CMJ1" s="68"/>
      <c r="CMK1" s="68"/>
      <c r="CML1" s="68"/>
      <c r="CMM1" s="68"/>
      <c r="CMN1" s="68"/>
      <c r="CMO1" s="68"/>
      <c r="CMP1" s="68"/>
      <c r="CMQ1" s="68"/>
      <c r="CMR1" s="68"/>
      <c r="CMS1" s="68"/>
      <c r="CMT1" s="68"/>
      <c r="CMU1" s="68"/>
      <c r="CMV1" s="68"/>
      <c r="CMW1" s="68"/>
      <c r="CMX1" s="68"/>
      <c r="CMY1" s="68"/>
      <c r="CMZ1" s="68"/>
      <c r="CNA1" s="68"/>
      <c r="CNB1" s="68"/>
      <c r="CNC1" s="68"/>
      <c r="CND1" s="68"/>
      <c r="CNE1" s="68"/>
      <c r="CNF1" s="68"/>
      <c r="CNG1" s="68"/>
      <c r="CNH1" s="68"/>
      <c r="CNI1" s="68"/>
      <c r="CNJ1" s="68"/>
      <c r="CNK1" s="68"/>
      <c r="CNL1" s="68"/>
      <c r="CNM1" s="68"/>
      <c r="CNN1" s="68"/>
      <c r="CNO1" s="68"/>
      <c r="CNP1" s="68"/>
      <c r="CNQ1" s="68"/>
      <c r="CNR1" s="68"/>
      <c r="CNS1" s="68"/>
      <c r="CNT1" s="68"/>
      <c r="CNU1" s="68"/>
      <c r="CNV1" s="68"/>
      <c r="CNW1" s="68"/>
      <c r="CNX1" s="68"/>
      <c r="CNY1" s="68"/>
      <c r="CNZ1" s="68"/>
      <c r="COA1" s="68"/>
      <c r="COB1" s="68"/>
      <c r="COC1" s="68"/>
      <c r="COD1" s="68"/>
      <c r="COE1" s="68"/>
      <c r="COF1" s="68"/>
      <c r="COG1" s="68"/>
      <c r="COH1" s="68"/>
      <c r="COI1" s="68"/>
      <c r="COJ1" s="68"/>
      <c r="COK1" s="68"/>
      <c r="COL1" s="68"/>
      <c r="COM1" s="68"/>
      <c r="CON1" s="68"/>
      <c r="COO1" s="68"/>
      <c r="COP1" s="68"/>
      <c r="COQ1" s="68"/>
      <c r="COR1" s="68"/>
      <c r="COS1" s="68"/>
      <c r="COT1" s="68"/>
      <c r="COU1" s="68"/>
      <c r="COV1" s="68"/>
      <c r="COW1" s="68"/>
      <c r="COX1" s="68"/>
      <c r="COY1" s="68"/>
      <c r="COZ1" s="68"/>
      <c r="CPA1" s="68"/>
      <c r="CPB1" s="68"/>
      <c r="CPC1" s="68"/>
      <c r="CPD1" s="68"/>
      <c r="CPE1" s="68"/>
      <c r="CPF1" s="68"/>
      <c r="CPG1" s="68"/>
      <c r="CPH1" s="68"/>
      <c r="CPI1" s="68"/>
      <c r="CPJ1" s="68"/>
      <c r="CPK1" s="68"/>
      <c r="CPL1" s="68"/>
      <c r="CPM1" s="68"/>
      <c r="CPN1" s="68"/>
      <c r="CPO1" s="68"/>
      <c r="CPP1" s="68"/>
      <c r="CPQ1" s="68"/>
      <c r="CPR1" s="68"/>
      <c r="CPS1" s="68"/>
      <c r="CPT1" s="68"/>
      <c r="CPU1" s="68"/>
      <c r="CPV1" s="68"/>
      <c r="CPW1" s="68"/>
      <c r="CPX1" s="68"/>
      <c r="CPY1" s="68"/>
      <c r="CPZ1" s="68"/>
      <c r="CQA1" s="68"/>
      <c r="CQB1" s="68"/>
      <c r="CQC1" s="68"/>
      <c r="CQD1" s="68"/>
      <c r="CQE1" s="68"/>
      <c r="CQF1" s="68"/>
      <c r="CQG1" s="68"/>
      <c r="CQH1" s="68"/>
      <c r="CQI1" s="68"/>
      <c r="CQJ1" s="68"/>
      <c r="CQK1" s="68"/>
      <c r="CQL1" s="68"/>
      <c r="CQM1" s="68"/>
      <c r="CQN1" s="68"/>
      <c r="CQO1" s="68"/>
      <c r="CQP1" s="68"/>
      <c r="CQQ1" s="68"/>
      <c r="CQR1" s="68"/>
      <c r="CQS1" s="68"/>
      <c r="CQT1" s="68"/>
      <c r="CQU1" s="68"/>
      <c r="CQV1" s="68"/>
      <c r="CQW1" s="68"/>
      <c r="CQX1" s="68"/>
      <c r="CQY1" s="68"/>
      <c r="CQZ1" s="68"/>
      <c r="CRA1" s="68"/>
      <c r="CRB1" s="68"/>
      <c r="CRC1" s="68"/>
      <c r="CRD1" s="68"/>
      <c r="CRE1" s="68"/>
      <c r="CRF1" s="68"/>
      <c r="CRG1" s="68"/>
      <c r="CRH1" s="68"/>
      <c r="CRI1" s="68"/>
      <c r="CRJ1" s="68"/>
      <c r="CRK1" s="68"/>
      <c r="CRL1" s="68"/>
      <c r="CRM1" s="68"/>
      <c r="CRN1" s="68"/>
      <c r="CRO1" s="68"/>
      <c r="CRP1" s="68"/>
      <c r="CRQ1" s="68"/>
      <c r="CRR1" s="68"/>
      <c r="CRS1" s="68"/>
      <c r="CRT1" s="68"/>
      <c r="CRU1" s="68"/>
      <c r="CRV1" s="68"/>
      <c r="CRW1" s="68"/>
      <c r="CRX1" s="68"/>
      <c r="CRY1" s="68"/>
      <c r="CRZ1" s="68"/>
      <c r="CSA1" s="68"/>
      <c r="CSB1" s="68"/>
      <c r="CSC1" s="68"/>
      <c r="CSD1" s="68"/>
      <c r="CSE1" s="68"/>
      <c r="CSF1" s="68"/>
      <c r="CSG1" s="68"/>
      <c r="CSH1" s="68"/>
      <c r="CSI1" s="68"/>
      <c r="CSJ1" s="68"/>
      <c r="CSK1" s="68"/>
      <c r="CSL1" s="68"/>
      <c r="CSM1" s="68"/>
      <c r="CSN1" s="68"/>
      <c r="CSO1" s="68"/>
      <c r="CSP1" s="68"/>
      <c r="CSQ1" s="68"/>
      <c r="CSR1" s="68"/>
      <c r="CSS1" s="68"/>
      <c r="CST1" s="68"/>
      <c r="CSU1" s="68"/>
      <c r="CSV1" s="68"/>
      <c r="CSW1" s="68"/>
      <c r="CSX1" s="68"/>
      <c r="CSY1" s="68"/>
      <c r="CSZ1" s="68"/>
      <c r="CTA1" s="68"/>
      <c r="CTB1" s="68"/>
      <c r="CTC1" s="68"/>
      <c r="CTD1" s="68"/>
      <c r="CTE1" s="68"/>
      <c r="CTF1" s="68"/>
      <c r="CTG1" s="68"/>
      <c r="CTH1" s="68"/>
      <c r="CTI1" s="68"/>
      <c r="CTJ1" s="68"/>
      <c r="CTK1" s="68"/>
      <c r="CTL1" s="68"/>
      <c r="CTM1" s="68"/>
      <c r="CTN1" s="68"/>
      <c r="CTO1" s="68"/>
      <c r="CTP1" s="68"/>
      <c r="CTQ1" s="68"/>
      <c r="CTR1" s="68"/>
      <c r="CTS1" s="68"/>
      <c r="CTT1" s="68"/>
      <c r="CTU1" s="68"/>
      <c r="CTV1" s="68"/>
      <c r="CTW1" s="68"/>
      <c r="CTX1" s="68"/>
      <c r="CTY1" s="68"/>
      <c r="CTZ1" s="68"/>
      <c r="CUA1" s="68"/>
      <c r="CUB1" s="68"/>
      <c r="CUC1" s="68"/>
      <c r="CUD1" s="68"/>
      <c r="CUE1" s="68"/>
      <c r="CUF1" s="68"/>
      <c r="CUG1" s="68"/>
      <c r="CUH1" s="68"/>
      <c r="CUI1" s="68"/>
      <c r="CUJ1" s="68"/>
      <c r="CUK1" s="68"/>
      <c r="CUL1" s="68"/>
      <c r="CUM1" s="68"/>
      <c r="CUN1" s="68"/>
      <c r="CUO1" s="68"/>
      <c r="CUP1" s="68"/>
      <c r="CUQ1" s="68"/>
      <c r="CUR1" s="68"/>
      <c r="CUS1" s="68"/>
      <c r="CUT1" s="68"/>
      <c r="CUU1" s="68"/>
      <c r="CUV1" s="68"/>
      <c r="CUW1" s="68"/>
      <c r="CUX1" s="68"/>
      <c r="CUY1" s="68"/>
      <c r="CUZ1" s="68"/>
      <c r="CVA1" s="68"/>
      <c r="CVB1" s="68"/>
      <c r="CVC1" s="68"/>
      <c r="CVD1" s="68"/>
      <c r="CVE1" s="68"/>
      <c r="CVF1" s="68"/>
      <c r="CVG1" s="68"/>
      <c r="CVH1" s="68"/>
      <c r="CVI1" s="68"/>
      <c r="CVJ1" s="68"/>
      <c r="CVK1" s="68"/>
      <c r="CVL1" s="68"/>
      <c r="CVM1" s="68"/>
      <c r="CVN1" s="68"/>
      <c r="CVO1" s="68"/>
      <c r="CVP1" s="68"/>
      <c r="CVQ1" s="68"/>
      <c r="CVR1" s="68"/>
      <c r="CVS1" s="68"/>
      <c r="CVT1" s="68"/>
      <c r="CVU1" s="68"/>
      <c r="CVV1" s="68"/>
      <c r="CVW1" s="68"/>
      <c r="CVX1" s="68"/>
      <c r="CVY1" s="68"/>
      <c r="CVZ1" s="68"/>
      <c r="CWA1" s="68"/>
      <c r="CWB1" s="68"/>
      <c r="CWC1" s="68"/>
      <c r="CWD1" s="68"/>
      <c r="CWE1" s="68"/>
      <c r="CWF1" s="68"/>
      <c r="CWG1" s="68"/>
      <c r="CWH1" s="68"/>
      <c r="CWI1" s="68"/>
      <c r="CWJ1" s="68"/>
      <c r="CWK1" s="68"/>
      <c r="CWL1" s="68"/>
      <c r="CWM1" s="68"/>
      <c r="CWN1" s="68"/>
      <c r="CWO1" s="68"/>
      <c r="CWP1" s="68"/>
      <c r="CWQ1" s="68"/>
      <c r="CWR1" s="68"/>
      <c r="CWS1" s="68"/>
      <c r="CWT1" s="68"/>
      <c r="CWU1" s="68"/>
      <c r="CWV1" s="68"/>
      <c r="CWW1" s="68"/>
      <c r="CWX1" s="68"/>
      <c r="CWY1" s="68"/>
      <c r="CWZ1" s="68"/>
      <c r="CXA1" s="68"/>
      <c r="CXB1" s="68"/>
      <c r="CXC1" s="68"/>
      <c r="CXD1" s="68"/>
      <c r="CXE1" s="68"/>
      <c r="CXF1" s="68"/>
      <c r="CXG1" s="68"/>
      <c r="CXH1" s="68"/>
      <c r="CXI1" s="68"/>
      <c r="CXJ1" s="68"/>
      <c r="CXK1" s="68"/>
      <c r="CXL1" s="68"/>
      <c r="CXM1" s="68"/>
      <c r="CXN1" s="68"/>
      <c r="CXO1" s="68"/>
      <c r="CXP1" s="68"/>
      <c r="CXQ1" s="68"/>
      <c r="CXR1" s="68"/>
      <c r="CXS1" s="68"/>
      <c r="CXT1" s="68"/>
      <c r="CXU1" s="68"/>
      <c r="CXV1" s="68"/>
      <c r="CXW1" s="68"/>
      <c r="CXX1" s="68"/>
      <c r="CXY1" s="68"/>
      <c r="CXZ1" s="68"/>
      <c r="CYA1" s="68"/>
      <c r="CYB1" s="68"/>
      <c r="CYC1" s="68"/>
      <c r="CYD1" s="68"/>
      <c r="CYE1" s="68"/>
      <c r="CYF1" s="68"/>
      <c r="CYG1" s="68"/>
      <c r="CYH1" s="68"/>
      <c r="CYI1" s="68"/>
      <c r="CYJ1" s="68"/>
      <c r="CYK1" s="68"/>
      <c r="CYL1" s="68"/>
      <c r="CYM1" s="68"/>
      <c r="CYN1" s="68"/>
      <c r="CYO1" s="68"/>
      <c r="CYP1" s="68"/>
      <c r="CYQ1" s="68"/>
      <c r="CYR1" s="68"/>
      <c r="CYS1" s="68"/>
      <c r="CYT1" s="68"/>
      <c r="CYU1" s="68"/>
      <c r="CYV1" s="68"/>
      <c r="CYW1" s="68"/>
      <c r="CYX1" s="68"/>
      <c r="CYY1" s="68"/>
      <c r="CYZ1" s="68"/>
      <c r="CZA1" s="68"/>
      <c r="CZB1" s="68"/>
      <c r="CZC1" s="68"/>
      <c r="CZD1" s="68"/>
      <c r="CZE1" s="68"/>
      <c r="CZF1" s="68"/>
      <c r="CZG1" s="68"/>
      <c r="CZH1" s="68"/>
      <c r="CZI1" s="68"/>
      <c r="CZJ1" s="68"/>
      <c r="CZK1" s="68"/>
      <c r="CZL1" s="68"/>
      <c r="CZM1" s="68"/>
      <c r="CZN1" s="68"/>
      <c r="CZO1" s="68"/>
      <c r="CZP1" s="68"/>
      <c r="CZQ1" s="68"/>
      <c r="CZR1" s="68"/>
      <c r="CZS1" s="68"/>
      <c r="CZT1" s="68"/>
      <c r="CZU1" s="68"/>
      <c r="CZV1" s="68"/>
      <c r="CZW1" s="68"/>
      <c r="CZX1" s="68"/>
      <c r="CZY1" s="68"/>
      <c r="CZZ1" s="68"/>
      <c r="DAA1" s="68"/>
      <c r="DAB1" s="68"/>
      <c r="DAC1" s="68"/>
      <c r="DAD1" s="68"/>
      <c r="DAE1" s="68"/>
      <c r="DAF1" s="68"/>
      <c r="DAG1" s="68"/>
      <c r="DAH1" s="68"/>
      <c r="DAI1" s="68"/>
      <c r="DAJ1" s="68"/>
      <c r="DAK1" s="68"/>
      <c r="DAL1" s="68"/>
      <c r="DAM1" s="68"/>
      <c r="DAN1" s="68"/>
      <c r="DAO1" s="68"/>
      <c r="DAP1" s="68"/>
      <c r="DAQ1" s="68"/>
      <c r="DAR1" s="68"/>
      <c r="DAS1" s="68"/>
      <c r="DAT1" s="68"/>
      <c r="DAU1" s="68"/>
      <c r="DAV1" s="68"/>
      <c r="DAW1" s="68"/>
      <c r="DAX1" s="68"/>
      <c r="DAY1" s="68"/>
      <c r="DAZ1" s="68"/>
      <c r="DBA1" s="68"/>
      <c r="DBB1" s="68"/>
      <c r="DBC1" s="68"/>
      <c r="DBD1" s="68"/>
      <c r="DBE1" s="68"/>
      <c r="DBF1" s="68"/>
      <c r="DBG1" s="68"/>
      <c r="DBH1" s="68"/>
      <c r="DBI1" s="68"/>
      <c r="DBJ1" s="68"/>
      <c r="DBK1" s="68"/>
      <c r="DBL1" s="68"/>
      <c r="DBM1" s="68"/>
      <c r="DBN1" s="68"/>
      <c r="DBO1" s="68"/>
      <c r="DBP1" s="68"/>
      <c r="DBQ1" s="68"/>
      <c r="DBR1" s="68"/>
      <c r="DBS1" s="68"/>
      <c r="DBT1" s="68"/>
      <c r="DBU1" s="68"/>
      <c r="DBV1" s="68"/>
      <c r="DBW1" s="68"/>
      <c r="DBX1" s="68"/>
      <c r="DBY1" s="68"/>
      <c r="DBZ1" s="68"/>
      <c r="DCA1" s="68"/>
      <c r="DCB1" s="68"/>
      <c r="DCC1" s="68"/>
      <c r="DCD1" s="68"/>
      <c r="DCE1" s="68"/>
      <c r="DCF1" s="68"/>
      <c r="DCG1" s="68"/>
      <c r="DCH1" s="68"/>
      <c r="DCI1" s="68"/>
      <c r="DCJ1" s="68"/>
      <c r="DCK1" s="68"/>
      <c r="DCL1" s="68"/>
      <c r="DCM1" s="68"/>
      <c r="DCN1" s="68"/>
      <c r="DCO1" s="68"/>
      <c r="DCP1" s="68"/>
      <c r="DCQ1" s="68"/>
      <c r="DCR1" s="68"/>
      <c r="DCS1" s="68"/>
      <c r="DCT1" s="68"/>
      <c r="DCU1" s="68"/>
      <c r="DCV1" s="68"/>
      <c r="DCW1" s="68"/>
      <c r="DCX1" s="68"/>
      <c r="DCY1" s="68"/>
      <c r="DCZ1" s="68"/>
      <c r="DDA1" s="68"/>
      <c r="DDB1" s="68"/>
      <c r="DDC1" s="68"/>
      <c r="DDD1" s="68"/>
      <c r="DDE1" s="68"/>
      <c r="DDF1" s="68"/>
      <c r="DDG1" s="68"/>
      <c r="DDH1" s="68"/>
      <c r="DDI1" s="68"/>
      <c r="DDJ1" s="68"/>
      <c r="DDK1" s="68"/>
      <c r="DDL1" s="68"/>
      <c r="DDM1" s="68"/>
      <c r="DDN1" s="68"/>
      <c r="DDO1" s="68"/>
      <c r="DDP1" s="68"/>
      <c r="DDQ1" s="68"/>
      <c r="DDR1" s="68"/>
      <c r="DDS1" s="68"/>
      <c r="DDT1" s="68"/>
      <c r="DDU1" s="68"/>
      <c r="DDV1" s="68"/>
      <c r="DDW1" s="68"/>
      <c r="DDX1" s="68"/>
      <c r="DDY1" s="68"/>
      <c r="DDZ1" s="68"/>
      <c r="DEA1" s="68"/>
      <c r="DEB1" s="68"/>
      <c r="DEC1" s="68"/>
      <c r="DED1" s="68"/>
      <c r="DEE1" s="68"/>
      <c r="DEF1" s="68"/>
      <c r="DEG1" s="68"/>
      <c r="DEH1" s="68"/>
      <c r="DEI1" s="68"/>
      <c r="DEJ1" s="68"/>
      <c r="DEK1" s="68"/>
      <c r="DEL1" s="68"/>
      <c r="DEM1" s="68"/>
      <c r="DEN1" s="68"/>
      <c r="DEO1" s="68"/>
      <c r="DEP1" s="68"/>
      <c r="DEQ1" s="68"/>
      <c r="DER1" s="68"/>
      <c r="DES1" s="68"/>
      <c r="DET1" s="68"/>
      <c r="DEU1" s="68"/>
      <c r="DEV1" s="68"/>
      <c r="DEW1" s="68"/>
      <c r="DEX1" s="68"/>
      <c r="DEY1" s="68"/>
      <c r="DEZ1" s="68"/>
      <c r="DFA1" s="68"/>
      <c r="DFB1" s="68"/>
      <c r="DFC1" s="68"/>
      <c r="DFD1" s="68"/>
      <c r="DFE1" s="68"/>
      <c r="DFF1" s="68"/>
      <c r="DFG1" s="68"/>
      <c r="DFH1" s="68"/>
      <c r="DFI1" s="68"/>
      <c r="DFJ1" s="68"/>
      <c r="DFK1" s="68"/>
      <c r="DFL1" s="68"/>
      <c r="DFM1" s="68"/>
      <c r="DFN1" s="68"/>
      <c r="DFO1" s="68"/>
      <c r="DFP1" s="68"/>
      <c r="DFQ1" s="68"/>
      <c r="DFR1" s="68"/>
      <c r="DFS1" s="68"/>
      <c r="DFT1" s="68"/>
      <c r="DFU1" s="68"/>
      <c r="DFV1" s="68"/>
      <c r="DFW1" s="68"/>
      <c r="DFX1" s="68"/>
      <c r="DFY1" s="68"/>
      <c r="DFZ1" s="68"/>
      <c r="DGA1" s="68"/>
      <c r="DGB1" s="68"/>
      <c r="DGC1" s="68"/>
      <c r="DGD1" s="68"/>
      <c r="DGE1" s="68"/>
      <c r="DGF1" s="68"/>
      <c r="DGG1" s="68"/>
      <c r="DGH1" s="68"/>
      <c r="DGI1" s="68"/>
      <c r="DGJ1" s="68"/>
      <c r="DGK1" s="68"/>
      <c r="DGL1" s="68"/>
      <c r="DGM1" s="68"/>
      <c r="DGN1" s="68"/>
      <c r="DGO1" s="68"/>
      <c r="DGP1" s="68"/>
      <c r="DGQ1" s="68"/>
      <c r="DGR1" s="68"/>
      <c r="DGS1" s="68"/>
      <c r="DGT1" s="68"/>
      <c r="DGU1" s="68"/>
      <c r="DGV1" s="68"/>
      <c r="DGW1" s="68"/>
      <c r="DGX1" s="68"/>
      <c r="DGY1" s="68"/>
      <c r="DGZ1" s="68"/>
      <c r="DHA1" s="68"/>
      <c r="DHB1" s="68"/>
      <c r="DHC1" s="68"/>
      <c r="DHD1" s="68"/>
      <c r="DHE1" s="68"/>
      <c r="DHF1" s="68"/>
      <c r="DHG1" s="68"/>
      <c r="DHH1" s="68"/>
      <c r="DHI1" s="68"/>
      <c r="DHJ1" s="68"/>
      <c r="DHK1" s="68"/>
      <c r="DHL1" s="68"/>
      <c r="DHM1" s="68"/>
      <c r="DHN1" s="68"/>
      <c r="DHO1" s="68"/>
      <c r="DHP1" s="68"/>
      <c r="DHQ1" s="68"/>
      <c r="DHR1" s="68"/>
      <c r="DHS1" s="68"/>
      <c r="DHT1" s="68"/>
      <c r="DHU1" s="68"/>
      <c r="DHV1" s="68"/>
      <c r="DHW1" s="68"/>
      <c r="DHX1" s="68"/>
      <c r="DHY1" s="68"/>
      <c r="DHZ1" s="68"/>
      <c r="DIA1" s="68"/>
      <c r="DIB1" s="68"/>
      <c r="DIC1" s="68"/>
      <c r="DID1" s="68"/>
      <c r="DIE1" s="68"/>
      <c r="DIF1" s="68"/>
      <c r="DIG1" s="68"/>
      <c r="DIH1" s="68"/>
      <c r="DII1" s="68"/>
      <c r="DIJ1" s="68"/>
      <c r="DIK1" s="68"/>
      <c r="DIL1" s="68"/>
      <c r="DIM1" s="68"/>
      <c r="DIN1" s="68"/>
      <c r="DIO1" s="68"/>
      <c r="DIP1" s="68"/>
      <c r="DIQ1" s="68"/>
      <c r="DIR1" s="68"/>
      <c r="DIS1" s="68"/>
      <c r="DIT1" s="68"/>
      <c r="DIU1" s="68"/>
      <c r="DIV1" s="68"/>
      <c r="DIW1" s="68"/>
      <c r="DIX1" s="68"/>
      <c r="DIY1" s="68"/>
      <c r="DIZ1" s="68"/>
      <c r="DJA1" s="68"/>
      <c r="DJB1" s="68"/>
      <c r="DJC1" s="68"/>
      <c r="DJD1" s="68"/>
      <c r="DJE1" s="68"/>
      <c r="DJF1" s="68"/>
      <c r="DJG1" s="68"/>
      <c r="DJH1" s="68"/>
      <c r="DJI1" s="68"/>
      <c r="DJJ1" s="68"/>
      <c r="DJK1" s="68"/>
      <c r="DJL1" s="68"/>
      <c r="DJM1" s="68"/>
      <c r="DJN1" s="68"/>
      <c r="DJO1" s="68"/>
      <c r="DJP1" s="68"/>
      <c r="DJQ1" s="68"/>
      <c r="DJR1" s="68"/>
      <c r="DJS1" s="68"/>
      <c r="DJT1" s="68"/>
      <c r="DJU1" s="68"/>
      <c r="DJV1" s="68"/>
      <c r="DJW1" s="68"/>
      <c r="DJX1" s="68"/>
      <c r="DJY1" s="68"/>
      <c r="DJZ1" s="68"/>
      <c r="DKA1" s="68"/>
      <c r="DKB1" s="68"/>
      <c r="DKC1" s="68"/>
      <c r="DKD1" s="68"/>
      <c r="DKE1" s="68"/>
      <c r="DKF1" s="68"/>
      <c r="DKG1" s="68"/>
      <c r="DKH1" s="68"/>
      <c r="DKI1" s="68"/>
      <c r="DKJ1" s="68"/>
      <c r="DKK1" s="68"/>
      <c r="DKL1" s="68"/>
      <c r="DKM1" s="68"/>
      <c r="DKN1" s="68"/>
      <c r="DKO1" s="68"/>
      <c r="DKP1" s="68"/>
      <c r="DKQ1" s="68"/>
      <c r="DKR1" s="68"/>
      <c r="DKS1" s="68"/>
      <c r="DKT1" s="68"/>
      <c r="DKU1" s="68"/>
      <c r="DKV1" s="68"/>
      <c r="DKW1" s="68"/>
      <c r="DKX1" s="68"/>
      <c r="DKY1" s="68"/>
      <c r="DKZ1" s="68"/>
      <c r="DLA1" s="68"/>
      <c r="DLB1" s="68"/>
      <c r="DLC1" s="68"/>
      <c r="DLD1" s="68"/>
      <c r="DLE1" s="68"/>
      <c r="DLF1" s="68"/>
      <c r="DLG1" s="68"/>
      <c r="DLH1" s="68"/>
      <c r="DLI1" s="68"/>
      <c r="DLJ1" s="68"/>
      <c r="DLK1" s="68"/>
      <c r="DLL1" s="68"/>
      <c r="DLM1" s="68"/>
      <c r="DLN1" s="68"/>
      <c r="DLO1" s="68"/>
      <c r="DLP1" s="68"/>
      <c r="DLQ1" s="68"/>
      <c r="DLR1" s="68"/>
      <c r="DLS1" s="68"/>
      <c r="DLT1" s="68"/>
      <c r="DLU1" s="68"/>
      <c r="DLV1" s="68"/>
      <c r="DLW1" s="68"/>
      <c r="DLX1" s="68"/>
      <c r="DLY1" s="68"/>
      <c r="DLZ1" s="68"/>
      <c r="DMA1" s="68"/>
      <c r="DMB1" s="68"/>
      <c r="DMC1" s="68"/>
      <c r="DMD1" s="68"/>
      <c r="DME1" s="68"/>
      <c r="DMF1" s="68"/>
      <c r="DMG1" s="68"/>
      <c r="DMH1" s="68"/>
      <c r="DMI1" s="68"/>
      <c r="DMJ1" s="68"/>
      <c r="DMK1" s="68"/>
      <c r="DML1" s="68"/>
      <c r="DMM1" s="68"/>
      <c r="DMN1" s="68"/>
      <c r="DMO1" s="68"/>
      <c r="DMP1" s="68"/>
      <c r="DMQ1" s="68"/>
      <c r="DMR1" s="68"/>
      <c r="DMS1" s="68"/>
      <c r="DMT1" s="68"/>
      <c r="DMU1" s="68"/>
      <c r="DMV1" s="68"/>
      <c r="DMW1" s="68"/>
      <c r="DMX1" s="68"/>
      <c r="DMY1" s="68"/>
      <c r="DMZ1" s="68"/>
      <c r="DNA1" s="68"/>
      <c r="DNB1" s="68"/>
      <c r="DNC1" s="68"/>
      <c r="DND1" s="68"/>
      <c r="DNE1" s="68"/>
      <c r="DNF1" s="68"/>
      <c r="DNG1" s="68"/>
      <c r="DNH1" s="68"/>
      <c r="DNI1" s="68"/>
      <c r="DNJ1" s="68"/>
      <c r="DNK1" s="68"/>
      <c r="DNL1" s="68"/>
      <c r="DNM1" s="68"/>
      <c r="DNN1" s="68"/>
      <c r="DNO1" s="68"/>
      <c r="DNP1" s="68"/>
      <c r="DNQ1" s="68"/>
      <c r="DNR1" s="68"/>
      <c r="DNS1" s="68"/>
      <c r="DNT1" s="68"/>
      <c r="DNU1" s="68"/>
      <c r="DNV1" s="68"/>
      <c r="DNW1" s="68"/>
      <c r="DNX1" s="68"/>
      <c r="DNY1" s="68"/>
      <c r="DNZ1" s="68"/>
      <c r="DOA1" s="68"/>
      <c r="DOB1" s="68"/>
      <c r="DOC1" s="68"/>
      <c r="DOD1" s="68"/>
      <c r="DOE1" s="68"/>
      <c r="DOF1" s="68"/>
      <c r="DOG1" s="68"/>
      <c r="DOH1" s="68"/>
      <c r="DOI1" s="68"/>
      <c r="DOJ1" s="68"/>
      <c r="DOK1" s="68"/>
      <c r="DOL1" s="68"/>
      <c r="DOM1" s="68"/>
      <c r="DON1" s="68"/>
      <c r="DOO1" s="68"/>
      <c r="DOP1" s="68"/>
      <c r="DOQ1" s="68"/>
      <c r="DOR1" s="68"/>
      <c r="DOS1" s="68"/>
      <c r="DOT1" s="68"/>
      <c r="DOU1" s="68"/>
      <c r="DOV1" s="68"/>
      <c r="DOW1" s="68"/>
      <c r="DOX1" s="68"/>
      <c r="DOY1" s="68"/>
      <c r="DOZ1" s="68"/>
      <c r="DPA1" s="68"/>
      <c r="DPB1" s="68"/>
      <c r="DPC1" s="68"/>
      <c r="DPD1" s="68"/>
      <c r="DPE1" s="68"/>
      <c r="DPF1" s="68"/>
      <c r="DPG1" s="68"/>
      <c r="DPH1" s="68"/>
      <c r="DPI1" s="68"/>
      <c r="DPJ1" s="68"/>
      <c r="DPK1" s="68"/>
      <c r="DPL1" s="68"/>
      <c r="DPM1" s="68"/>
      <c r="DPN1" s="68"/>
      <c r="DPO1" s="68"/>
      <c r="DPP1" s="68"/>
      <c r="DPQ1" s="68"/>
      <c r="DPR1" s="68"/>
      <c r="DPS1" s="68"/>
      <c r="DPT1" s="68"/>
      <c r="DPU1" s="68"/>
      <c r="DPV1" s="68"/>
      <c r="DPW1" s="68"/>
      <c r="DPX1" s="68"/>
      <c r="DPY1" s="68"/>
      <c r="DPZ1" s="68"/>
      <c r="DQA1" s="68"/>
      <c r="DQB1" s="68"/>
      <c r="DQC1" s="68"/>
      <c r="DQD1" s="68"/>
      <c r="DQE1" s="68"/>
      <c r="DQF1" s="68"/>
      <c r="DQG1" s="68"/>
      <c r="DQH1" s="68"/>
      <c r="DQI1" s="68"/>
      <c r="DQJ1" s="68"/>
      <c r="DQK1" s="68"/>
      <c r="DQL1" s="68"/>
      <c r="DQM1" s="68"/>
      <c r="DQN1" s="68"/>
      <c r="DQO1" s="68"/>
      <c r="DQP1" s="68"/>
      <c r="DQQ1" s="68"/>
      <c r="DQR1" s="68"/>
      <c r="DQS1" s="68"/>
      <c r="DQT1" s="68"/>
      <c r="DQU1" s="68"/>
      <c r="DQV1" s="68"/>
      <c r="DQW1" s="68"/>
      <c r="DQX1" s="68"/>
      <c r="DQY1" s="68"/>
      <c r="DQZ1" s="68"/>
      <c r="DRA1" s="68"/>
      <c r="DRB1" s="68"/>
      <c r="DRC1" s="68"/>
      <c r="DRD1" s="68"/>
      <c r="DRE1" s="68"/>
      <c r="DRF1" s="68"/>
      <c r="DRG1" s="68"/>
      <c r="DRH1" s="68"/>
      <c r="DRI1" s="68"/>
      <c r="DRJ1" s="68"/>
      <c r="DRK1" s="68"/>
      <c r="DRL1" s="68"/>
      <c r="DRM1" s="68"/>
      <c r="DRN1" s="68"/>
      <c r="DRO1" s="68"/>
      <c r="DRP1" s="68"/>
      <c r="DRQ1" s="68"/>
      <c r="DRR1" s="68"/>
      <c r="DRS1" s="68"/>
      <c r="DRT1" s="68"/>
      <c r="DRU1" s="68"/>
      <c r="DRV1" s="68"/>
      <c r="DRW1" s="68"/>
      <c r="DRX1" s="68"/>
      <c r="DRY1" s="68"/>
      <c r="DRZ1" s="68"/>
      <c r="DSA1" s="68"/>
      <c r="DSB1" s="68"/>
      <c r="DSC1" s="68"/>
      <c r="DSD1" s="68"/>
      <c r="DSE1" s="68"/>
      <c r="DSF1" s="68"/>
      <c r="DSG1" s="68"/>
      <c r="DSH1" s="68"/>
      <c r="DSI1" s="68"/>
      <c r="DSJ1" s="68"/>
      <c r="DSK1" s="68"/>
      <c r="DSL1" s="68"/>
      <c r="DSM1" s="68"/>
      <c r="DSN1" s="68"/>
      <c r="DSO1" s="68"/>
      <c r="DSP1" s="68"/>
      <c r="DSQ1" s="68"/>
      <c r="DSR1" s="68"/>
      <c r="DSS1" s="68"/>
      <c r="DST1" s="68"/>
      <c r="DSU1" s="68"/>
      <c r="DSV1" s="68"/>
      <c r="DSW1" s="68"/>
      <c r="DSX1" s="68"/>
      <c r="DSY1" s="68"/>
      <c r="DSZ1" s="68"/>
      <c r="DTA1" s="68"/>
      <c r="DTB1" s="68"/>
      <c r="DTC1" s="68"/>
      <c r="DTD1" s="68"/>
      <c r="DTE1" s="68"/>
      <c r="DTF1" s="68"/>
      <c r="DTG1" s="68"/>
      <c r="DTH1" s="68"/>
      <c r="DTI1" s="68"/>
      <c r="DTJ1" s="68"/>
      <c r="DTK1" s="68"/>
      <c r="DTL1" s="68"/>
      <c r="DTM1" s="68"/>
      <c r="DTN1" s="68"/>
      <c r="DTO1" s="68"/>
      <c r="DTP1" s="68"/>
      <c r="DTQ1" s="68"/>
      <c r="DTR1" s="68"/>
      <c r="DTS1" s="68"/>
      <c r="DTT1" s="68"/>
      <c r="DTU1" s="68"/>
      <c r="DTV1" s="68"/>
      <c r="DTW1" s="68"/>
      <c r="DTX1" s="68"/>
      <c r="DTY1" s="68"/>
      <c r="DTZ1" s="68"/>
      <c r="DUA1" s="68"/>
      <c r="DUB1" s="68"/>
      <c r="DUC1" s="68"/>
      <c r="DUD1" s="68"/>
      <c r="DUE1" s="68"/>
      <c r="DUF1" s="68"/>
      <c r="DUG1" s="68"/>
      <c r="DUH1" s="68"/>
      <c r="DUI1" s="68"/>
      <c r="DUJ1" s="68"/>
      <c r="DUK1" s="68"/>
      <c r="DUL1" s="68"/>
      <c r="DUM1" s="68"/>
      <c r="DUN1" s="68"/>
      <c r="DUO1" s="68"/>
      <c r="DUP1" s="68"/>
      <c r="DUQ1" s="68"/>
      <c r="DUR1" s="68"/>
      <c r="DUS1" s="68"/>
      <c r="DUT1" s="68"/>
      <c r="DUU1" s="68"/>
      <c r="DUV1" s="68"/>
      <c r="DUW1" s="68"/>
      <c r="DUX1" s="68"/>
      <c r="DUY1" s="68"/>
      <c r="DUZ1" s="68"/>
      <c r="DVA1" s="68"/>
      <c r="DVB1" s="68"/>
      <c r="DVC1" s="68"/>
      <c r="DVD1" s="68"/>
      <c r="DVE1" s="68"/>
      <c r="DVF1" s="68"/>
      <c r="DVG1" s="68"/>
      <c r="DVH1" s="68"/>
      <c r="DVI1" s="68"/>
      <c r="DVJ1" s="68"/>
      <c r="DVK1" s="68"/>
      <c r="DVL1" s="68"/>
      <c r="DVM1" s="68"/>
      <c r="DVN1" s="68"/>
      <c r="DVO1" s="68"/>
      <c r="DVP1" s="68"/>
      <c r="DVQ1" s="68"/>
      <c r="DVR1" s="68"/>
      <c r="DVS1" s="68"/>
      <c r="DVT1" s="68"/>
      <c r="DVU1" s="68"/>
      <c r="DVV1" s="68"/>
      <c r="DVW1" s="68"/>
      <c r="DVX1" s="68"/>
      <c r="DVY1" s="68"/>
      <c r="DVZ1" s="68"/>
      <c r="DWA1" s="68"/>
      <c r="DWB1" s="68"/>
      <c r="DWC1" s="68"/>
      <c r="DWD1" s="68"/>
      <c r="DWE1" s="68"/>
      <c r="DWF1" s="68"/>
      <c r="DWG1" s="68"/>
      <c r="DWH1" s="68"/>
      <c r="DWI1" s="68"/>
      <c r="DWJ1" s="68"/>
      <c r="DWK1" s="68"/>
      <c r="DWL1" s="68"/>
      <c r="DWM1" s="68"/>
      <c r="DWN1" s="68"/>
      <c r="DWO1" s="68"/>
      <c r="DWP1" s="68"/>
      <c r="DWQ1" s="68"/>
      <c r="DWR1" s="68"/>
      <c r="DWS1" s="68"/>
      <c r="DWT1" s="68"/>
      <c r="DWU1" s="68"/>
      <c r="DWV1" s="68"/>
      <c r="DWW1" s="68"/>
      <c r="DWX1" s="68"/>
      <c r="DWY1" s="68"/>
      <c r="DWZ1" s="68"/>
      <c r="DXA1" s="68"/>
      <c r="DXB1" s="68"/>
      <c r="DXC1" s="68"/>
      <c r="DXD1" s="68"/>
      <c r="DXE1" s="68"/>
      <c r="DXF1" s="68"/>
      <c r="DXG1" s="68"/>
      <c r="DXH1" s="68"/>
      <c r="DXI1" s="68"/>
      <c r="DXJ1" s="68"/>
      <c r="DXK1" s="68"/>
      <c r="DXL1" s="68"/>
      <c r="DXM1" s="68"/>
      <c r="DXN1" s="68"/>
      <c r="DXO1" s="68"/>
      <c r="DXP1" s="68"/>
      <c r="DXQ1" s="68"/>
      <c r="DXR1" s="68"/>
      <c r="DXS1" s="68"/>
      <c r="DXT1" s="68"/>
      <c r="DXU1" s="68"/>
      <c r="DXV1" s="68"/>
      <c r="DXW1" s="68"/>
      <c r="DXX1" s="68"/>
      <c r="DXY1" s="68"/>
      <c r="DXZ1" s="68"/>
      <c r="DYA1" s="68"/>
      <c r="DYB1" s="68"/>
      <c r="DYC1" s="68"/>
      <c r="DYD1" s="68"/>
      <c r="DYE1" s="68"/>
      <c r="DYF1" s="68"/>
      <c r="DYG1" s="68"/>
      <c r="DYH1" s="68"/>
      <c r="DYI1" s="68"/>
      <c r="DYJ1" s="68"/>
      <c r="DYK1" s="68"/>
      <c r="DYL1" s="68"/>
      <c r="DYM1" s="68"/>
      <c r="DYN1" s="68"/>
      <c r="DYO1" s="68"/>
      <c r="DYP1" s="68"/>
      <c r="DYQ1" s="68"/>
      <c r="DYR1" s="68"/>
      <c r="DYS1" s="68"/>
      <c r="DYT1" s="68"/>
      <c r="DYU1" s="68"/>
      <c r="DYV1" s="68"/>
      <c r="DYW1" s="68"/>
      <c r="DYX1" s="68"/>
      <c r="DYY1" s="68"/>
      <c r="DYZ1" s="68"/>
      <c r="DZA1" s="68"/>
      <c r="DZB1" s="68"/>
      <c r="DZC1" s="68"/>
      <c r="DZD1" s="68"/>
      <c r="DZE1" s="68"/>
      <c r="DZF1" s="68"/>
      <c r="DZG1" s="68"/>
      <c r="DZH1" s="68"/>
      <c r="DZI1" s="68"/>
      <c r="DZJ1" s="68"/>
      <c r="DZK1" s="68"/>
      <c r="DZL1" s="68"/>
      <c r="DZM1" s="68"/>
      <c r="DZN1" s="68"/>
      <c r="DZO1" s="68"/>
      <c r="DZP1" s="68"/>
      <c r="DZQ1" s="68"/>
      <c r="DZR1" s="68"/>
      <c r="DZS1" s="68"/>
      <c r="DZT1" s="68"/>
      <c r="DZU1" s="68"/>
      <c r="DZV1" s="68"/>
      <c r="DZW1" s="68"/>
      <c r="DZX1" s="68"/>
      <c r="DZY1" s="68"/>
      <c r="DZZ1" s="68"/>
      <c r="EAA1" s="68"/>
      <c r="EAB1" s="68"/>
      <c r="EAC1" s="68"/>
      <c r="EAD1" s="68"/>
      <c r="EAE1" s="68"/>
      <c r="EAF1" s="68"/>
      <c r="EAG1" s="68"/>
      <c r="EAH1" s="68"/>
      <c r="EAI1" s="68"/>
      <c r="EAJ1" s="68"/>
      <c r="EAK1" s="68"/>
      <c r="EAL1" s="68"/>
      <c r="EAM1" s="68"/>
      <c r="EAN1" s="68"/>
      <c r="EAO1" s="68"/>
      <c r="EAP1" s="68"/>
      <c r="EAQ1" s="68"/>
      <c r="EAR1" s="68"/>
      <c r="EAS1" s="68"/>
      <c r="EAT1" s="68"/>
      <c r="EAU1" s="68"/>
      <c r="EAV1" s="68"/>
      <c r="EAW1" s="68"/>
      <c r="EAX1" s="68"/>
      <c r="EAY1" s="68"/>
      <c r="EAZ1" s="68"/>
      <c r="EBA1" s="68"/>
      <c r="EBB1" s="68"/>
      <c r="EBC1" s="68"/>
      <c r="EBD1" s="68"/>
      <c r="EBE1" s="68"/>
      <c r="EBF1" s="68"/>
      <c r="EBG1" s="68"/>
      <c r="EBH1" s="68"/>
      <c r="EBI1" s="68"/>
      <c r="EBJ1" s="68"/>
      <c r="EBK1" s="68"/>
      <c r="EBL1" s="68"/>
      <c r="EBM1" s="68"/>
      <c r="EBN1" s="68"/>
      <c r="EBO1" s="68"/>
      <c r="EBP1" s="68"/>
      <c r="EBQ1" s="68"/>
      <c r="EBR1" s="68"/>
      <c r="EBS1" s="68"/>
      <c r="EBT1" s="68"/>
      <c r="EBU1" s="68"/>
      <c r="EBV1" s="68"/>
      <c r="EBW1" s="68"/>
      <c r="EBX1" s="68"/>
      <c r="EBY1" s="68"/>
      <c r="EBZ1" s="68"/>
      <c r="ECA1" s="68"/>
      <c r="ECB1" s="68"/>
      <c r="ECC1" s="68"/>
      <c r="ECD1" s="68"/>
      <c r="ECE1" s="68"/>
      <c r="ECF1" s="68"/>
      <c r="ECG1" s="68"/>
      <c r="ECH1" s="68"/>
      <c r="ECI1" s="68"/>
      <c r="ECJ1" s="68"/>
      <c r="ECK1" s="68"/>
      <c r="ECL1" s="68"/>
      <c r="ECM1" s="68"/>
      <c r="ECN1" s="68"/>
      <c r="ECO1" s="68"/>
      <c r="ECP1" s="68"/>
      <c r="ECQ1" s="68"/>
      <c r="ECR1" s="68"/>
      <c r="ECS1" s="68"/>
      <c r="ECT1" s="68"/>
      <c r="ECU1" s="68"/>
      <c r="ECV1" s="68"/>
      <c r="ECW1" s="68"/>
      <c r="ECX1" s="68"/>
      <c r="ECY1" s="68"/>
      <c r="ECZ1" s="68"/>
      <c r="EDA1" s="68"/>
      <c r="EDB1" s="68"/>
      <c r="EDC1" s="68"/>
      <c r="EDD1" s="68"/>
      <c r="EDE1" s="68"/>
      <c r="EDF1" s="68"/>
      <c r="EDG1" s="68"/>
      <c r="EDH1" s="68"/>
      <c r="EDI1" s="68"/>
      <c r="EDJ1" s="68"/>
      <c r="EDK1" s="68"/>
      <c r="EDL1" s="68"/>
      <c r="EDM1" s="68"/>
      <c r="EDN1" s="68"/>
      <c r="EDO1" s="68"/>
      <c r="EDP1" s="68"/>
      <c r="EDQ1" s="68"/>
      <c r="EDR1" s="68"/>
      <c r="EDS1" s="68"/>
      <c r="EDT1" s="68"/>
      <c r="EDU1" s="68"/>
      <c r="EDV1" s="68"/>
      <c r="EDW1" s="68"/>
      <c r="EDX1" s="68"/>
      <c r="EDY1" s="68"/>
      <c r="EDZ1" s="68"/>
      <c r="EEA1" s="68"/>
      <c r="EEB1" s="68"/>
      <c r="EEC1" s="68"/>
      <c r="EED1" s="68"/>
      <c r="EEE1" s="68"/>
      <c r="EEF1" s="68"/>
      <c r="EEG1" s="68"/>
      <c r="EEH1" s="68"/>
      <c r="EEI1" s="68"/>
      <c r="EEJ1" s="68"/>
      <c r="EEK1" s="68"/>
      <c r="EEL1" s="68"/>
      <c r="EEM1" s="68"/>
      <c r="EEN1" s="68"/>
      <c r="EEO1" s="68"/>
      <c r="EEP1" s="68"/>
      <c r="EEQ1" s="68"/>
      <c r="EER1" s="68"/>
      <c r="EES1" s="68"/>
      <c r="EET1" s="68"/>
      <c r="EEU1" s="68"/>
      <c r="EEV1" s="68"/>
      <c r="EEW1" s="68"/>
      <c r="EEX1" s="68"/>
      <c r="EEY1" s="68"/>
      <c r="EEZ1" s="68"/>
      <c r="EFA1" s="68"/>
      <c r="EFB1" s="68"/>
      <c r="EFC1" s="68"/>
      <c r="EFD1" s="68"/>
      <c r="EFE1" s="68"/>
      <c r="EFF1" s="68"/>
      <c r="EFG1" s="68"/>
      <c r="EFH1" s="68"/>
      <c r="EFI1" s="68"/>
      <c r="EFJ1" s="68"/>
      <c r="EFK1" s="68"/>
      <c r="EFL1" s="68"/>
      <c r="EFM1" s="68"/>
      <c r="EFN1" s="68"/>
      <c r="EFO1" s="68"/>
      <c r="EFP1" s="68"/>
      <c r="EFQ1" s="68"/>
      <c r="EFR1" s="68"/>
      <c r="EFS1" s="68"/>
      <c r="EFT1" s="68"/>
      <c r="EFU1" s="68"/>
      <c r="EFV1" s="68"/>
      <c r="EFW1" s="68"/>
      <c r="EFX1" s="68"/>
      <c r="EFY1" s="68"/>
      <c r="EFZ1" s="68"/>
      <c r="EGA1" s="68"/>
      <c r="EGB1" s="68"/>
      <c r="EGC1" s="68"/>
      <c r="EGD1" s="68"/>
      <c r="EGE1" s="68"/>
      <c r="EGF1" s="68"/>
      <c r="EGG1" s="68"/>
      <c r="EGH1" s="68"/>
      <c r="EGI1" s="68"/>
      <c r="EGJ1" s="68"/>
      <c r="EGK1" s="68"/>
      <c r="EGL1" s="68"/>
      <c r="EGM1" s="68"/>
      <c r="EGN1" s="68"/>
      <c r="EGO1" s="68"/>
      <c r="EGP1" s="68"/>
      <c r="EGQ1" s="68"/>
      <c r="EGR1" s="68"/>
      <c r="EGS1" s="68"/>
      <c r="EGT1" s="68"/>
      <c r="EGU1" s="68"/>
      <c r="EGV1" s="68"/>
      <c r="EGW1" s="68"/>
      <c r="EGX1" s="68"/>
      <c r="EGY1" s="68"/>
      <c r="EGZ1" s="68"/>
      <c r="EHA1" s="68"/>
      <c r="EHB1" s="68"/>
      <c r="EHC1" s="68"/>
      <c r="EHD1" s="68"/>
      <c r="EHE1" s="68"/>
      <c r="EHF1" s="68"/>
      <c r="EHG1" s="68"/>
      <c r="EHH1" s="68"/>
      <c r="EHI1" s="68"/>
      <c r="EHJ1" s="68"/>
      <c r="EHK1" s="68"/>
      <c r="EHL1" s="68"/>
      <c r="EHM1" s="68"/>
      <c r="EHN1" s="68"/>
      <c r="EHO1" s="68"/>
      <c r="EHP1" s="68"/>
      <c r="EHQ1" s="68"/>
      <c r="EHR1" s="68"/>
      <c r="EHS1" s="68"/>
      <c r="EHT1" s="68"/>
      <c r="EHU1" s="68"/>
      <c r="EHV1" s="68"/>
      <c r="EHW1" s="68"/>
      <c r="EHX1" s="68"/>
      <c r="EHY1" s="68"/>
      <c r="EHZ1" s="68"/>
      <c r="EIA1" s="68"/>
      <c r="EIB1" s="68"/>
      <c r="EIC1" s="68"/>
      <c r="EID1" s="68"/>
      <c r="EIE1" s="68"/>
      <c r="EIF1" s="68"/>
      <c r="EIG1" s="68"/>
      <c r="EIH1" s="68"/>
      <c r="EII1" s="68"/>
      <c r="EIJ1" s="68"/>
      <c r="EIK1" s="68"/>
      <c r="EIL1" s="68"/>
      <c r="EIM1" s="68"/>
      <c r="EIN1" s="68"/>
      <c r="EIO1" s="68"/>
      <c r="EIP1" s="68"/>
      <c r="EIQ1" s="68"/>
      <c r="EIR1" s="68"/>
      <c r="EIS1" s="68"/>
      <c r="EIT1" s="68"/>
      <c r="EIU1" s="68"/>
      <c r="EIV1" s="68"/>
      <c r="EIW1" s="68"/>
      <c r="EIX1" s="68"/>
      <c r="EIY1" s="68"/>
      <c r="EIZ1" s="68"/>
      <c r="EJA1" s="68"/>
      <c r="EJB1" s="68"/>
      <c r="EJC1" s="68"/>
      <c r="EJD1" s="68"/>
      <c r="EJE1" s="68"/>
      <c r="EJF1" s="68"/>
      <c r="EJG1" s="68"/>
      <c r="EJH1" s="68"/>
      <c r="EJI1" s="68"/>
      <c r="EJJ1" s="68"/>
      <c r="EJK1" s="68"/>
      <c r="EJL1" s="68"/>
      <c r="EJM1" s="68"/>
      <c r="EJN1" s="68"/>
      <c r="EJO1" s="68"/>
      <c r="EJP1" s="68"/>
      <c r="EJQ1" s="68"/>
      <c r="EJR1" s="68"/>
      <c r="EJS1" s="68"/>
      <c r="EJT1" s="68"/>
      <c r="EJU1" s="68"/>
      <c r="EJV1" s="68"/>
      <c r="EJW1" s="68"/>
      <c r="EJX1" s="68"/>
      <c r="EJY1" s="68"/>
      <c r="EJZ1" s="68"/>
      <c r="EKA1" s="68"/>
      <c r="EKB1" s="68"/>
      <c r="EKC1" s="68"/>
      <c r="EKD1" s="68"/>
      <c r="EKE1" s="68"/>
      <c r="EKF1" s="68"/>
      <c r="EKG1" s="68"/>
      <c r="EKH1" s="68"/>
      <c r="EKI1" s="68"/>
      <c r="EKJ1" s="68"/>
      <c r="EKK1" s="68"/>
      <c r="EKL1" s="68"/>
      <c r="EKM1" s="68"/>
      <c r="EKN1" s="68"/>
      <c r="EKO1" s="68"/>
      <c r="EKP1" s="68"/>
      <c r="EKQ1" s="68"/>
      <c r="EKR1" s="68"/>
      <c r="EKS1" s="68"/>
      <c r="EKT1" s="68"/>
      <c r="EKU1" s="68"/>
      <c r="EKV1" s="68"/>
      <c r="EKW1" s="68"/>
      <c r="EKX1" s="68"/>
      <c r="EKY1" s="68"/>
      <c r="EKZ1" s="68"/>
      <c r="ELA1" s="68"/>
      <c r="ELB1" s="68"/>
      <c r="ELC1" s="68"/>
      <c r="ELD1" s="68"/>
      <c r="ELE1" s="68"/>
      <c r="ELF1" s="68"/>
      <c r="ELG1" s="68"/>
      <c r="ELH1" s="68"/>
      <c r="ELI1" s="68"/>
      <c r="ELJ1" s="68"/>
      <c r="ELK1" s="68"/>
      <c r="ELL1" s="68"/>
      <c r="ELM1" s="68"/>
      <c r="ELN1" s="68"/>
      <c r="ELO1" s="68"/>
      <c r="ELP1" s="68"/>
      <c r="ELQ1" s="68"/>
      <c r="ELR1" s="68"/>
      <c r="ELS1" s="68"/>
      <c r="ELT1" s="68"/>
      <c r="ELU1" s="68"/>
      <c r="ELV1" s="68"/>
      <c r="ELW1" s="68"/>
      <c r="ELX1" s="68"/>
      <c r="ELY1" s="68"/>
      <c r="ELZ1" s="68"/>
      <c r="EMA1" s="68"/>
      <c r="EMB1" s="68"/>
      <c r="EMC1" s="68"/>
      <c r="EMD1" s="68"/>
      <c r="EME1" s="68"/>
      <c r="EMF1" s="68"/>
      <c r="EMG1" s="68"/>
      <c r="EMH1" s="68"/>
      <c r="EMI1" s="68"/>
      <c r="EMJ1" s="68"/>
      <c r="EMK1" s="68"/>
      <c r="EML1" s="68"/>
      <c r="EMM1" s="68"/>
      <c r="EMN1" s="68"/>
      <c r="EMO1" s="68"/>
      <c r="EMP1" s="68"/>
      <c r="EMQ1" s="68"/>
      <c r="EMR1" s="68"/>
      <c r="EMS1" s="68"/>
      <c r="EMT1" s="68"/>
      <c r="EMU1" s="68"/>
      <c r="EMV1" s="68"/>
      <c r="EMW1" s="68"/>
      <c r="EMX1" s="68"/>
      <c r="EMY1" s="68"/>
      <c r="EMZ1" s="68"/>
      <c r="ENA1" s="68"/>
      <c r="ENB1" s="68"/>
      <c r="ENC1" s="68"/>
      <c r="END1" s="68"/>
      <c r="ENE1" s="68"/>
      <c r="ENF1" s="68"/>
      <c r="ENG1" s="68"/>
      <c r="ENH1" s="68"/>
      <c r="ENI1" s="68"/>
      <c r="ENJ1" s="68"/>
      <c r="ENK1" s="68"/>
      <c r="ENL1" s="68"/>
      <c r="ENM1" s="68"/>
      <c r="ENN1" s="68"/>
      <c r="ENO1" s="68"/>
      <c r="ENP1" s="68"/>
      <c r="ENQ1" s="68"/>
      <c r="ENR1" s="68"/>
      <c r="ENS1" s="68"/>
      <c r="ENT1" s="68"/>
      <c r="ENU1" s="68"/>
      <c r="ENV1" s="68"/>
      <c r="ENW1" s="68"/>
      <c r="ENX1" s="68"/>
      <c r="ENY1" s="68"/>
      <c r="ENZ1" s="68"/>
      <c r="EOA1" s="68"/>
      <c r="EOB1" s="68"/>
      <c r="EOC1" s="68"/>
      <c r="EOD1" s="68"/>
      <c r="EOE1" s="68"/>
      <c r="EOF1" s="68"/>
      <c r="EOG1" s="68"/>
      <c r="EOH1" s="68"/>
      <c r="EOI1" s="68"/>
      <c r="EOJ1" s="68"/>
      <c r="EOK1" s="68"/>
      <c r="EOL1" s="68"/>
      <c r="EOM1" s="68"/>
      <c r="EON1" s="68"/>
      <c r="EOO1" s="68"/>
      <c r="EOP1" s="68"/>
      <c r="EOQ1" s="68"/>
      <c r="EOR1" s="68"/>
      <c r="EOS1" s="68"/>
      <c r="EOT1" s="68"/>
      <c r="EOU1" s="68"/>
      <c r="EOV1" s="68"/>
      <c r="EOW1" s="68"/>
      <c r="EOX1" s="68"/>
      <c r="EOY1" s="68"/>
      <c r="EOZ1" s="68"/>
      <c r="EPA1" s="68"/>
      <c r="EPB1" s="68"/>
      <c r="EPC1" s="68"/>
      <c r="EPD1" s="68"/>
      <c r="EPE1" s="68"/>
      <c r="EPF1" s="68"/>
      <c r="EPG1" s="68"/>
      <c r="EPH1" s="68"/>
      <c r="EPI1" s="68"/>
      <c r="EPJ1" s="68"/>
      <c r="EPK1" s="68"/>
      <c r="EPL1" s="68"/>
      <c r="EPM1" s="68"/>
      <c r="EPN1" s="68"/>
      <c r="EPO1" s="68"/>
      <c r="EPP1" s="68"/>
      <c r="EPQ1" s="68"/>
      <c r="EPR1" s="68"/>
      <c r="EPS1" s="68"/>
      <c r="EPT1" s="68"/>
      <c r="EPU1" s="68"/>
      <c r="EPV1" s="68"/>
      <c r="EPW1" s="68"/>
      <c r="EPX1" s="68"/>
      <c r="EPY1" s="68"/>
      <c r="EPZ1" s="68"/>
      <c r="EQA1" s="68"/>
      <c r="EQB1" s="68"/>
      <c r="EQC1" s="68"/>
      <c r="EQD1" s="68"/>
      <c r="EQE1" s="68"/>
      <c r="EQF1" s="68"/>
      <c r="EQG1" s="68"/>
      <c r="EQH1" s="68"/>
      <c r="EQI1" s="68"/>
      <c r="EQJ1" s="68"/>
      <c r="EQK1" s="68"/>
      <c r="EQL1" s="68"/>
      <c r="EQM1" s="68"/>
      <c r="EQN1" s="68"/>
      <c r="EQO1" s="68"/>
      <c r="EQP1" s="68"/>
      <c r="EQQ1" s="68"/>
      <c r="EQR1" s="68"/>
      <c r="EQS1" s="68"/>
      <c r="EQT1" s="68"/>
      <c r="EQU1" s="68"/>
      <c r="EQV1" s="68"/>
      <c r="EQW1" s="68"/>
      <c r="EQX1" s="68"/>
      <c r="EQY1" s="68"/>
      <c r="EQZ1" s="68"/>
      <c r="ERA1" s="68"/>
      <c r="ERB1" s="68"/>
      <c r="ERC1" s="68"/>
      <c r="ERD1" s="68"/>
      <c r="ERE1" s="68"/>
      <c r="ERF1" s="68"/>
      <c r="ERG1" s="68"/>
      <c r="ERH1" s="68"/>
      <c r="ERI1" s="68"/>
      <c r="ERJ1" s="68"/>
      <c r="ERK1" s="68"/>
      <c r="ERL1" s="68"/>
      <c r="ERM1" s="68"/>
      <c r="ERN1" s="68"/>
      <c r="ERO1" s="68"/>
      <c r="ERP1" s="68"/>
      <c r="ERQ1" s="68"/>
      <c r="ERR1" s="68"/>
      <c r="ERS1" s="68"/>
      <c r="ERT1" s="68"/>
      <c r="ERU1" s="68"/>
      <c r="ERV1" s="68"/>
      <c r="ERW1" s="68"/>
      <c r="ERX1" s="68"/>
      <c r="ERY1" s="68"/>
      <c r="ERZ1" s="68"/>
      <c r="ESA1" s="68"/>
      <c r="ESB1" s="68"/>
      <c r="ESC1" s="68"/>
      <c r="ESD1" s="68"/>
      <c r="ESE1" s="68"/>
      <c r="ESF1" s="68"/>
      <c r="ESG1" s="68"/>
      <c r="ESH1" s="68"/>
      <c r="ESI1" s="68"/>
      <c r="ESJ1" s="68"/>
      <c r="ESK1" s="68"/>
      <c r="ESL1" s="68"/>
      <c r="ESM1" s="68"/>
      <c r="ESN1" s="68"/>
      <c r="ESO1" s="68"/>
      <c r="ESP1" s="68"/>
      <c r="ESQ1" s="68"/>
      <c r="ESR1" s="68"/>
      <c r="ESS1" s="68"/>
      <c r="EST1" s="68"/>
      <c r="ESU1" s="68"/>
      <c r="ESV1" s="68"/>
      <c r="ESW1" s="68"/>
      <c r="ESX1" s="68"/>
      <c r="ESY1" s="68"/>
      <c r="ESZ1" s="68"/>
      <c r="ETA1" s="68"/>
      <c r="ETB1" s="68"/>
      <c r="ETC1" s="68"/>
      <c r="ETD1" s="68"/>
      <c r="ETE1" s="68"/>
      <c r="ETF1" s="68"/>
      <c r="ETG1" s="68"/>
      <c r="ETH1" s="68"/>
      <c r="ETI1" s="68"/>
      <c r="ETJ1" s="68"/>
      <c r="ETK1" s="68"/>
      <c r="ETL1" s="68"/>
      <c r="ETM1" s="68"/>
      <c r="ETN1" s="68"/>
      <c r="ETO1" s="68"/>
      <c r="ETP1" s="68"/>
      <c r="ETQ1" s="68"/>
      <c r="ETR1" s="68"/>
      <c r="ETS1" s="68"/>
      <c r="ETT1" s="68"/>
      <c r="ETU1" s="68"/>
      <c r="ETV1" s="68"/>
      <c r="ETW1" s="68"/>
      <c r="ETX1" s="68"/>
      <c r="ETY1" s="68"/>
      <c r="ETZ1" s="68"/>
      <c r="EUA1" s="68"/>
      <c r="EUB1" s="68"/>
      <c r="EUC1" s="68"/>
      <c r="EUD1" s="68"/>
      <c r="EUE1" s="68"/>
      <c r="EUF1" s="68"/>
      <c r="EUG1" s="68"/>
      <c r="EUH1" s="68"/>
      <c r="EUI1" s="68"/>
      <c r="EUJ1" s="68"/>
      <c r="EUK1" s="68"/>
      <c r="EUL1" s="68"/>
      <c r="EUM1" s="68"/>
      <c r="EUN1" s="68"/>
      <c r="EUO1" s="68"/>
      <c r="EUP1" s="68"/>
      <c r="EUQ1" s="68"/>
      <c r="EUR1" s="68"/>
      <c r="EUS1" s="68"/>
      <c r="EUT1" s="68"/>
      <c r="EUU1" s="68"/>
      <c r="EUV1" s="68"/>
      <c r="EUW1" s="68"/>
      <c r="EUX1" s="68"/>
      <c r="EUY1" s="68"/>
      <c r="EUZ1" s="68"/>
      <c r="EVA1" s="68"/>
      <c r="EVB1" s="68"/>
      <c r="EVC1" s="68"/>
      <c r="EVD1" s="68"/>
      <c r="EVE1" s="68"/>
      <c r="EVF1" s="68"/>
      <c r="EVG1" s="68"/>
      <c r="EVH1" s="68"/>
      <c r="EVI1" s="68"/>
      <c r="EVJ1" s="68"/>
      <c r="EVK1" s="68"/>
      <c r="EVL1" s="68"/>
      <c r="EVM1" s="68"/>
      <c r="EVN1" s="68"/>
      <c r="EVO1" s="68"/>
      <c r="EVP1" s="68"/>
      <c r="EVQ1" s="68"/>
      <c r="EVR1" s="68"/>
      <c r="EVS1" s="68"/>
      <c r="EVT1" s="68"/>
      <c r="EVU1" s="68"/>
      <c r="EVV1" s="68"/>
      <c r="EVW1" s="68"/>
      <c r="EVX1" s="68"/>
      <c r="EVY1" s="68"/>
      <c r="EVZ1" s="68"/>
      <c r="EWA1" s="68"/>
      <c r="EWB1" s="68"/>
      <c r="EWC1" s="68"/>
      <c r="EWD1" s="68"/>
      <c r="EWE1" s="68"/>
      <c r="EWF1" s="68"/>
      <c r="EWG1" s="68"/>
      <c r="EWH1" s="68"/>
      <c r="EWI1" s="68"/>
      <c r="EWJ1" s="68"/>
      <c r="EWK1" s="68"/>
      <c r="EWL1" s="68"/>
      <c r="EWM1" s="68"/>
      <c r="EWN1" s="68"/>
      <c r="EWO1" s="68"/>
      <c r="EWP1" s="68"/>
      <c r="EWQ1" s="68"/>
      <c r="EWR1" s="68"/>
      <c r="EWS1" s="68"/>
      <c r="EWT1" s="68"/>
      <c r="EWU1" s="68"/>
      <c r="EWV1" s="68"/>
      <c r="EWW1" s="68"/>
      <c r="EWX1" s="68"/>
      <c r="EWY1" s="68"/>
      <c r="EWZ1" s="68"/>
      <c r="EXA1" s="68"/>
      <c r="EXB1" s="68"/>
      <c r="EXC1" s="68"/>
      <c r="EXD1" s="68"/>
      <c r="EXE1" s="68"/>
      <c r="EXF1" s="68"/>
      <c r="EXG1" s="68"/>
      <c r="EXH1" s="68"/>
      <c r="EXI1" s="68"/>
      <c r="EXJ1" s="68"/>
      <c r="EXK1" s="68"/>
      <c r="EXL1" s="68"/>
      <c r="EXM1" s="68"/>
      <c r="EXN1" s="68"/>
      <c r="EXO1" s="68"/>
      <c r="EXP1" s="68"/>
      <c r="EXQ1" s="68"/>
      <c r="EXR1" s="68"/>
      <c r="EXS1" s="68"/>
      <c r="EXT1" s="68"/>
      <c r="EXU1" s="68"/>
      <c r="EXV1" s="68"/>
      <c r="EXW1" s="68"/>
      <c r="EXX1" s="68"/>
      <c r="EXY1" s="68"/>
      <c r="EXZ1" s="68"/>
      <c r="EYA1" s="68"/>
      <c r="EYB1" s="68"/>
      <c r="EYC1" s="68"/>
      <c r="EYD1" s="68"/>
      <c r="EYE1" s="68"/>
      <c r="EYF1" s="68"/>
      <c r="EYG1" s="68"/>
      <c r="EYH1" s="68"/>
      <c r="EYI1" s="68"/>
      <c r="EYJ1" s="68"/>
      <c r="EYK1" s="68"/>
      <c r="EYL1" s="68"/>
      <c r="EYM1" s="68"/>
      <c r="EYN1" s="68"/>
      <c r="EYO1" s="68"/>
      <c r="EYP1" s="68"/>
      <c r="EYQ1" s="68"/>
      <c r="EYR1" s="68"/>
      <c r="EYS1" s="68"/>
      <c r="EYT1" s="68"/>
      <c r="EYU1" s="68"/>
      <c r="EYV1" s="68"/>
      <c r="EYW1" s="68"/>
      <c r="EYX1" s="68"/>
      <c r="EYY1" s="68"/>
      <c r="EYZ1" s="68"/>
      <c r="EZA1" s="68"/>
      <c r="EZB1" s="68"/>
      <c r="EZC1" s="68"/>
      <c r="EZD1" s="68"/>
      <c r="EZE1" s="68"/>
      <c r="EZF1" s="68"/>
      <c r="EZG1" s="68"/>
      <c r="EZH1" s="68"/>
      <c r="EZI1" s="68"/>
      <c r="EZJ1" s="68"/>
      <c r="EZK1" s="68"/>
      <c r="EZL1" s="68"/>
      <c r="EZM1" s="68"/>
      <c r="EZN1" s="68"/>
      <c r="EZO1" s="68"/>
      <c r="EZP1" s="68"/>
      <c r="EZQ1" s="68"/>
      <c r="EZR1" s="68"/>
      <c r="EZS1" s="68"/>
      <c r="EZT1" s="68"/>
      <c r="EZU1" s="68"/>
      <c r="EZV1" s="68"/>
      <c r="EZW1" s="68"/>
      <c r="EZX1" s="68"/>
      <c r="EZY1" s="68"/>
      <c r="EZZ1" s="68"/>
      <c r="FAA1" s="68"/>
      <c r="FAB1" s="68"/>
      <c r="FAC1" s="68"/>
      <c r="FAD1" s="68"/>
      <c r="FAE1" s="68"/>
      <c r="FAF1" s="68"/>
      <c r="FAG1" s="68"/>
      <c r="FAH1" s="68"/>
      <c r="FAI1" s="68"/>
      <c r="FAJ1" s="68"/>
      <c r="FAK1" s="68"/>
      <c r="FAL1" s="68"/>
      <c r="FAM1" s="68"/>
      <c r="FAN1" s="68"/>
      <c r="FAO1" s="68"/>
      <c r="FAP1" s="68"/>
      <c r="FAQ1" s="68"/>
      <c r="FAR1" s="68"/>
      <c r="FAS1" s="68"/>
      <c r="FAT1" s="68"/>
      <c r="FAU1" s="68"/>
      <c r="FAV1" s="68"/>
      <c r="FAW1" s="68"/>
      <c r="FAX1" s="68"/>
      <c r="FAY1" s="68"/>
      <c r="FAZ1" s="68"/>
      <c r="FBA1" s="68"/>
      <c r="FBB1" s="68"/>
      <c r="FBC1" s="68"/>
      <c r="FBD1" s="68"/>
      <c r="FBE1" s="68"/>
      <c r="FBF1" s="68"/>
      <c r="FBG1" s="68"/>
      <c r="FBH1" s="68"/>
      <c r="FBI1" s="68"/>
      <c r="FBJ1" s="68"/>
      <c r="FBK1" s="68"/>
      <c r="FBL1" s="68"/>
      <c r="FBM1" s="68"/>
      <c r="FBN1" s="68"/>
      <c r="FBO1" s="68"/>
      <c r="FBP1" s="68"/>
      <c r="FBQ1" s="68"/>
      <c r="FBR1" s="68"/>
      <c r="FBS1" s="68"/>
      <c r="FBT1" s="68"/>
      <c r="FBU1" s="68"/>
      <c r="FBV1" s="68"/>
      <c r="FBW1" s="68"/>
      <c r="FBX1" s="68"/>
      <c r="FBY1" s="68"/>
      <c r="FBZ1" s="68"/>
      <c r="FCA1" s="68"/>
      <c r="FCB1" s="68"/>
      <c r="FCC1" s="68"/>
      <c r="FCD1" s="68"/>
      <c r="FCE1" s="68"/>
      <c r="FCF1" s="68"/>
      <c r="FCG1" s="68"/>
      <c r="FCH1" s="68"/>
      <c r="FCI1" s="68"/>
      <c r="FCJ1" s="68"/>
      <c r="FCK1" s="68"/>
      <c r="FCL1" s="68"/>
      <c r="FCM1" s="68"/>
      <c r="FCN1" s="68"/>
      <c r="FCO1" s="68"/>
      <c r="FCP1" s="68"/>
      <c r="FCQ1" s="68"/>
      <c r="FCR1" s="68"/>
      <c r="FCS1" s="68"/>
      <c r="FCT1" s="68"/>
      <c r="FCU1" s="68"/>
      <c r="FCV1" s="68"/>
      <c r="FCW1" s="68"/>
      <c r="FCX1" s="68"/>
      <c r="FCY1" s="68"/>
      <c r="FCZ1" s="68"/>
      <c r="FDA1" s="68"/>
      <c r="FDB1" s="68"/>
      <c r="FDC1" s="68"/>
      <c r="FDD1" s="68"/>
      <c r="FDE1" s="68"/>
      <c r="FDF1" s="68"/>
      <c r="FDG1" s="68"/>
      <c r="FDH1" s="68"/>
      <c r="FDI1" s="68"/>
      <c r="FDJ1" s="68"/>
      <c r="FDK1" s="68"/>
      <c r="FDL1" s="68"/>
      <c r="FDM1" s="68"/>
      <c r="FDN1" s="68"/>
      <c r="FDO1" s="68"/>
      <c r="FDP1" s="68"/>
      <c r="FDQ1" s="68"/>
      <c r="FDR1" s="68"/>
      <c r="FDS1" s="68"/>
      <c r="FDT1" s="68"/>
      <c r="FDU1" s="68"/>
      <c r="FDV1" s="68"/>
      <c r="FDW1" s="68"/>
      <c r="FDX1" s="68"/>
      <c r="FDY1" s="68"/>
      <c r="FDZ1" s="68"/>
      <c r="FEA1" s="68"/>
      <c r="FEB1" s="68"/>
      <c r="FEC1" s="68"/>
      <c r="FED1" s="68"/>
      <c r="FEE1" s="68"/>
      <c r="FEF1" s="68"/>
      <c r="FEG1" s="68"/>
      <c r="FEH1" s="68"/>
      <c r="FEI1" s="68"/>
      <c r="FEJ1" s="68"/>
      <c r="FEK1" s="68"/>
      <c r="FEL1" s="68"/>
      <c r="FEM1" s="68"/>
      <c r="FEN1" s="68"/>
      <c r="FEO1" s="68"/>
      <c r="FEP1" s="68"/>
      <c r="FEQ1" s="68"/>
      <c r="FER1" s="68"/>
      <c r="FES1" s="68"/>
      <c r="FET1" s="68"/>
      <c r="FEU1" s="68"/>
      <c r="FEV1" s="68"/>
      <c r="FEW1" s="68"/>
      <c r="FEX1" s="68"/>
      <c r="FEY1" s="68"/>
      <c r="FEZ1" s="68"/>
      <c r="FFA1" s="68"/>
      <c r="FFB1" s="68"/>
      <c r="FFC1" s="68"/>
      <c r="FFD1" s="68"/>
      <c r="FFE1" s="68"/>
      <c r="FFF1" s="68"/>
      <c r="FFG1" s="68"/>
      <c r="FFH1" s="68"/>
      <c r="FFI1" s="68"/>
      <c r="FFJ1" s="68"/>
      <c r="FFK1" s="68"/>
      <c r="FFL1" s="68"/>
      <c r="FFM1" s="68"/>
      <c r="FFN1" s="68"/>
      <c r="FFO1" s="68"/>
      <c r="FFP1" s="68"/>
      <c r="FFQ1" s="68"/>
      <c r="FFR1" s="68"/>
      <c r="FFS1" s="68"/>
      <c r="FFT1" s="68"/>
      <c r="FFU1" s="68"/>
      <c r="FFV1" s="68"/>
      <c r="FFW1" s="68"/>
      <c r="FFX1" s="68"/>
      <c r="FFY1" s="68"/>
      <c r="FFZ1" s="68"/>
      <c r="FGA1" s="68"/>
      <c r="FGB1" s="68"/>
      <c r="FGC1" s="68"/>
      <c r="FGD1" s="68"/>
      <c r="FGE1" s="68"/>
      <c r="FGF1" s="68"/>
      <c r="FGG1" s="68"/>
      <c r="FGH1" s="68"/>
      <c r="FGI1" s="68"/>
      <c r="FGJ1" s="68"/>
      <c r="FGK1" s="68"/>
      <c r="FGL1" s="68"/>
      <c r="FGM1" s="68"/>
      <c r="FGN1" s="68"/>
      <c r="FGO1" s="68"/>
      <c r="FGP1" s="68"/>
      <c r="FGQ1" s="68"/>
      <c r="FGR1" s="68"/>
      <c r="FGS1" s="68"/>
      <c r="FGT1" s="68"/>
      <c r="FGU1" s="68"/>
      <c r="FGV1" s="68"/>
      <c r="FGW1" s="68"/>
      <c r="FGX1" s="68"/>
      <c r="FGY1" s="68"/>
      <c r="FGZ1" s="68"/>
      <c r="FHA1" s="68"/>
      <c r="FHB1" s="68"/>
      <c r="FHC1" s="68"/>
      <c r="FHD1" s="68"/>
      <c r="FHE1" s="68"/>
      <c r="FHF1" s="68"/>
      <c r="FHG1" s="68"/>
      <c r="FHH1" s="68"/>
      <c r="FHI1" s="68"/>
      <c r="FHJ1" s="68"/>
      <c r="FHK1" s="68"/>
      <c r="FHL1" s="68"/>
      <c r="FHM1" s="68"/>
      <c r="FHN1" s="68"/>
      <c r="FHO1" s="68"/>
      <c r="FHP1" s="68"/>
      <c r="FHQ1" s="68"/>
      <c r="FHR1" s="68"/>
      <c r="FHS1" s="68"/>
      <c r="FHT1" s="68"/>
      <c r="FHU1" s="68"/>
      <c r="FHV1" s="68"/>
      <c r="FHW1" s="68"/>
      <c r="FHX1" s="68"/>
      <c r="FHY1" s="68"/>
      <c r="FHZ1" s="68"/>
      <c r="FIA1" s="68"/>
      <c r="FIB1" s="68"/>
      <c r="FIC1" s="68"/>
      <c r="FID1" s="68"/>
      <c r="FIE1" s="68"/>
      <c r="FIF1" s="68"/>
      <c r="FIG1" s="68"/>
      <c r="FIH1" s="68"/>
      <c r="FII1" s="68"/>
      <c r="FIJ1" s="68"/>
      <c r="FIK1" s="68"/>
      <c r="FIL1" s="68"/>
      <c r="FIM1" s="68"/>
      <c r="FIN1" s="68"/>
      <c r="FIO1" s="68"/>
      <c r="FIP1" s="68"/>
      <c r="FIQ1" s="68"/>
      <c r="FIR1" s="68"/>
      <c r="FIS1" s="68"/>
      <c r="FIT1" s="68"/>
      <c r="FIU1" s="68"/>
      <c r="FIV1" s="68"/>
      <c r="FIW1" s="68"/>
      <c r="FIX1" s="68"/>
      <c r="FIY1" s="68"/>
      <c r="FIZ1" s="68"/>
      <c r="FJA1" s="68"/>
      <c r="FJB1" s="68"/>
      <c r="FJC1" s="68"/>
      <c r="FJD1" s="68"/>
      <c r="FJE1" s="68"/>
      <c r="FJF1" s="68"/>
      <c r="FJG1" s="68"/>
      <c r="FJH1" s="68"/>
      <c r="FJI1" s="68"/>
      <c r="FJJ1" s="68"/>
      <c r="FJK1" s="68"/>
      <c r="FJL1" s="68"/>
      <c r="FJM1" s="68"/>
      <c r="FJN1" s="68"/>
      <c r="FJO1" s="68"/>
      <c r="FJP1" s="68"/>
      <c r="FJQ1" s="68"/>
      <c r="FJR1" s="68"/>
      <c r="FJS1" s="68"/>
      <c r="FJT1" s="68"/>
      <c r="FJU1" s="68"/>
      <c r="FJV1" s="68"/>
      <c r="FJW1" s="68"/>
      <c r="FJX1" s="68"/>
      <c r="FJY1" s="68"/>
      <c r="FJZ1" s="68"/>
      <c r="FKA1" s="68"/>
      <c r="FKB1" s="68"/>
      <c r="FKC1" s="68"/>
      <c r="FKD1" s="68"/>
      <c r="FKE1" s="68"/>
      <c r="FKF1" s="68"/>
      <c r="FKG1" s="68"/>
      <c r="FKH1" s="68"/>
      <c r="FKI1" s="68"/>
      <c r="FKJ1" s="68"/>
      <c r="FKK1" s="68"/>
      <c r="FKL1" s="68"/>
      <c r="FKM1" s="68"/>
      <c r="FKN1" s="68"/>
      <c r="FKO1" s="68"/>
      <c r="FKP1" s="68"/>
      <c r="FKQ1" s="68"/>
      <c r="FKR1" s="68"/>
      <c r="FKS1" s="68"/>
      <c r="FKT1" s="68"/>
      <c r="FKU1" s="68"/>
      <c r="FKV1" s="68"/>
      <c r="FKW1" s="68"/>
      <c r="FKX1" s="68"/>
      <c r="FKY1" s="68"/>
      <c r="FKZ1" s="68"/>
      <c r="FLA1" s="68"/>
      <c r="FLB1" s="68"/>
      <c r="FLC1" s="68"/>
      <c r="FLD1" s="68"/>
      <c r="FLE1" s="68"/>
      <c r="FLF1" s="68"/>
      <c r="FLG1" s="68"/>
      <c r="FLH1" s="68"/>
      <c r="FLI1" s="68"/>
      <c r="FLJ1" s="68"/>
      <c r="FLK1" s="68"/>
      <c r="FLL1" s="68"/>
      <c r="FLM1" s="68"/>
      <c r="FLN1" s="68"/>
      <c r="FLO1" s="68"/>
      <c r="FLP1" s="68"/>
      <c r="FLQ1" s="68"/>
      <c r="FLR1" s="68"/>
      <c r="FLS1" s="68"/>
      <c r="FLT1" s="68"/>
      <c r="FLU1" s="68"/>
      <c r="FLV1" s="68"/>
      <c r="FLW1" s="68"/>
      <c r="FLX1" s="68"/>
      <c r="FLY1" s="68"/>
      <c r="FLZ1" s="68"/>
      <c r="FMA1" s="68"/>
      <c r="FMB1" s="68"/>
      <c r="FMC1" s="68"/>
      <c r="FMD1" s="68"/>
      <c r="FME1" s="68"/>
      <c r="FMF1" s="68"/>
      <c r="FMG1" s="68"/>
      <c r="FMH1" s="68"/>
      <c r="FMI1" s="68"/>
      <c r="FMJ1" s="68"/>
      <c r="FMK1" s="68"/>
      <c r="FML1" s="68"/>
      <c r="FMM1" s="68"/>
      <c r="FMN1" s="68"/>
      <c r="FMO1" s="68"/>
      <c r="FMP1" s="68"/>
      <c r="FMQ1" s="68"/>
      <c r="FMR1" s="68"/>
      <c r="FMS1" s="68"/>
      <c r="FMT1" s="68"/>
      <c r="FMU1" s="68"/>
      <c r="FMV1" s="68"/>
      <c r="FMW1" s="68"/>
      <c r="FMX1" s="68"/>
      <c r="FMY1" s="68"/>
      <c r="FMZ1" s="68"/>
      <c r="FNA1" s="68"/>
      <c r="FNB1" s="68"/>
      <c r="FNC1" s="68"/>
      <c r="FND1" s="68"/>
      <c r="FNE1" s="68"/>
      <c r="FNF1" s="68"/>
      <c r="FNG1" s="68"/>
      <c r="FNH1" s="68"/>
      <c r="FNI1" s="68"/>
      <c r="FNJ1" s="68"/>
      <c r="FNK1" s="68"/>
      <c r="FNL1" s="68"/>
      <c r="FNM1" s="68"/>
      <c r="FNN1" s="68"/>
      <c r="FNO1" s="68"/>
      <c r="FNP1" s="68"/>
      <c r="FNQ1" s="68"/>
      <c r="FNR1" s="68"/>
      <c r="FNS1" s="68"/>
      <c r="FNT1" s="68"/>
      <c r="FNU1" s="68"/>
      <c r="FNV1" s="68"/>
      <c r="FNW1" s="68"/>
      <c r="FNX1" s="68"/>
      <c r="FNY1" s="68"/>
      <c r="FNZ1" s="68"/>
      <c r="FOA1" s="68"/>
      <c r="FOB1" s="68"/>
      <c r="FOC1" s="68"/>
      <c r="FOD1" s="68"/>
      <c r="FOE1" s="68"/>
      <c r="FOF1" s="68"/>
      <c r="FOG1" s="68"/>
      <c r="FOH1" s="68"/>
      <c r="FOI1" s="68"/>
      <c r="FOJ1" s="68"/>
      <c r="FOK1" s="68"/>
      <c r="FOL1" s="68"/>
      <c r="FOM1" s="68"/>
      <c r="FON1" s="68"/>
      <c r="FOO1" s="68"/>
      <c r="FOP1" s="68"/>
      <c r="FOQ1" s="68"/>
      <c r="FOR1" s="68"/>
      <c r="FOS1" s="68"/>
      <c r="FOT1" s="68"/>
      <c r="FOU1" s="68"/>
      <c r="FOV1" s="68"/>
      <c r="FOW1" s="68"/>
      <c r="FOX1" s="68"/>
      <c r="FOY1" s="68"/>
      <c r="FOZ1" s="68"/>
      <c r="FPA1" s="68"/>
      <c r="FPB1" s="68"/>
      <c r="FPC1" s="68"/>
      <c r="FPD1" s="68"/>
      <c r="FPE1" s="68"/>
      <c r="FPF1" s="68"/>
      <c r="FPG1" s="68"/>
      <c r="FPH1" s="68"/>
      <c r="FPI1" s="68"/>
      <c r="FPJ1" s="68"/>
      <c r="FPK1" s="68"/>
      <c r="FPL1" s="68"/>
      <c r="FPM1" s="68"/>
      <c r="FPN1" s="68"/>
      <c r="FPO1" s="68"/>
      <c r="FPP1" s="68"/>
      <c r="FPQ1" s="68"/>
      <c r="FPR1" s="68"/>
      <c r="FPS1" s="68"/>
      <c r="FPT1" s="68"/>
      <c r="FPU1" s="68"/>
      <c r="FPV1" s="68"/>
      <c r="FPW1" s="68"/>
      <c r="FPX1" s="68"/>
      <c r="FPY1" s="68"/>
      <c r="FPZ1" s="68"/>
      <c r="FQA1" s="68"/>
      <c r="FQB1" s="68"/>
      <c r="FQC1" s="68"/>
      <c r="FQD1" s="68"/>
      <c r="FQE1" s="68"/>
      <c r="FQF1" s="68"/>
      <c r="FQG1" s="68"/>
      <c r="FQH1" s="68"/>
      <c r="FQI1" s="68"/>
      <c r="FQJ1" s="68"/>
      <c r="FQK1" s="68"/>
      <c r="FQL1" s="68"/>
      <c r="FQM1" s="68"/>
      <c r="FQN1" s="68"/>
      <c r="FQO1" s="68"/>
      <c r="FQP1" s="68"/>
      <c r="FQQ1" s="68"/>
      <c r="FQR1" s="68"/>
      <c r="FQS1" s="68"/>
      <c r="FQT1" s="68"/>
      <c r="FQU1" s="68"/>
      <c r="FQV1" s="68"/>
      <c r="FQW1" s="68"/>
      <c r="FQX1" s="68"/>
      <c r="FQY1" s="68"/>
      <c r="FQZ1" s="68"/>
      <c r="FRA1" s="68"/>
      <c r="FRB1" s="68"/>
      <c r="FRC1" s="68"/>
      <c r="FRD1" s="68"/>
      <c r="FRE1" s="68"/>
      <c r="FRF1" s="68"/>
      <c r="FRG1" s="68"/>
      <c r="FRH1" s="68"/>
      <c r="FRI1" s="68"/>
      <c r="FRJ1" s="68"/>
      <c r="FRK1" s="68"/>
      <c r="FRL1" s="68"/>
      <c r="FRM1" s="68"/>
      <c r="FRN1" s="68"/>
      <c r="FRO1" s="68"/>
      <c r="FRP1" s="68"/>
      <c r="FRQ1" s="68"/>
      <c r="FRR1" s="68"/>
      <c r="FRS1" s="68"/>
      <c r="FRT1" s="68"/>
      <c r="FRU1" s="68"/>
      <c r="FRV1" s="68"/>
      <c r="FRW1" s="68"/>
      <c r="FRX1" s="68"/>
      <c r="FRY1" s="68"/>
      <c r="FRZ1" s="68"/>
      <c r="FSA1" s="68"/>
      <c r="FSB1" s="68"/>
      <c r="FSC1" s="68"/>
      <c r="FSD1" s="68"/>
      <c r="FSE1" s="68"/>
      <c r="FSF1" s="68"/>
      <c r="FSG1" s="68"/>
      <c r="FSH1" s="68"/>
      <c r="FSI1" s="68"/>
      <c r="FSJ1" s="68"/>
      <c r="FSK1" s="68"/>
      <c r="FSL1" s="68"/>
      <c r="FSM1" s="68"/>
      <c r="FSN1" s="68"/>
      <c r="FSO1" s="68"/>
      <c r="FSP1" s="68"/>
      <c r="FSQ1" s="68"/>
      <c r="FSR1" s="68"/>
      <c r="FSS1" s="68"/>
      <c r="FST1" s="68"/>
      <c r="FSU1" s="68"/>
      <c r="FSV1" s="68"/>
      <c r="FSW1" s="68"/>
      <c r="FSX1" s="68"/>
      <c r="FSY1" s="68"/>
      <c r="FSZ1" s="68"/>
      <c r="FTA1" s="68"/>
      <c r="FTB1" s="68"/>
      <c r="FTC1" s="68"/>
      <c r="FTD1" s="68"/>
      <c r="FTE1" s="68"/>
      <c r="FTF1" s="68"/>
      <c r="FTG1" s="68"/>
      <c r="FTH1" s="68"/>
      <c r="FTI1" s="68"/>
      <c r="FTJ1" s="68"/>
      <c r="FTK1" s="68"/>
      <c r="FTL1" s="68"/>
      <c r="FTM1" s="68"/>
      <c r="FTN1" s="68"/>
      <c r="FTO1" s="68"/>
      <c r="FTP1" s="68"/>
      <c r="FTQ1" s="68"/>
      <c r="FTR1" s="68"/>
      <c r="FTS1" s="68"/>
      <c r="FTT1" s="68"/>
      <c r="FTU1" s="68"/>
      <c r="FTV1" s="68"/>
      <c r="FTW1" s="68"/>
      <c r="FTX1" s="68"/>
      <c r="FTY1" s="68"/>
      <c r="FTZ1" s="68"/>
      <c r="FUA1" s="68"/>
      <c r="FUB1" s="68"/>
      <c r="FUC1" s="68"/>
      <c r="FUD1" s="68"/>
      <c r="FUE1" s="68"/>
      <c r="FUF1" s="68"/>
      <c r="FUG1" s="68"/>
      <c r="FUH1" s="68"/>
      <c r="FUI1" s="68"/>
      <c r="FUJ1" s="68"/>
      <c r="FUK1" s="68"/>
      <c r="FUL1" s="68"/>
      <c r="FUM1" s="68"/>
      <c r="FUN1" s="68"/>
      <c r="FUO1" s="68"/>
      <c r="FUP1" s="68"/>
      <c r="FUQ1" s="68"/>
      <c r="FUR1" s="68"/>
      <c r="FUS1" s="68"/>
      <c r="FUT1" s="68"/>
      <c r="FUU1" s="68"/>
      <c r="FUV1" s="68"/>
      <c r="FUW1" s="68"/>
      <c r="FUX1" s="68"/>
      <c r="FUY1" s="68"/>
      <c r="FUZ1" s="68"/>
      <c r="FVA1" s="68"/>
      <c r="FVB1" s="68"/>
      <c r="FVC1" s="68"/>
      <c r="FVD1" s="68"/>
      <c r="FVE1" s="68"/>
      <c r="FVF1" s="68"/>
      <c r="FVG1" s="68"/>
      <c r="FVH1" s="68"/>
      <c r="FVI1" s="68"/>
      <c r="FVJ1" s="68"/>
      <c r="FVK1" s="68"/>
      <c r="FVL1" s="68"/>
      <c r="FVM1" s="68"/>
      <c r="FVN1" s="68"/>
      <c r="FVO1" s="68"/>
      <c r="FVP1" s="68"/>
      <c r="FVQ1" s="68"/>
      <c r="FVR1" s="68"/>
      <c r="FVS1" s="68"/>
      <c r="FVT1" s="68"/>
      <c r="FVU1" s="68"/>
      <c r="FVV1" s="68"/>
      <c r="FVW1" s="68"/>
      <c r="FVX1" s="68"/>
      <c r="FVY1" s="68"/>
      <c r="FVZ1" s="68"/>
      <c r="FWA1" s="68"/>
      <c r="FWB1" s="68"/>
      <c r="FWC1" s="68"/>
      <c r="FWD1" s="68"/>
      <c r="FWE1" s="68"/>
      <c r="FWF1" s="68"/>
      <c r="FWG1" s="68"/>
      <c r="FWH1" s="68"/>
      <c r="FWI1" s="68"/>
      <c r="FWJ1" s="68"/>
      <c r="FWK1" s="68"/>
      <c r="FWL1" s="68"/>
      <c r="FWM1" s="68"/>
      <c r="FWN1" s="68"/>
      <c r="FWO1" s="68"/>
      <c r="FWP1" s="68"/>
      <c r="FWQ1" s="68"/>
      <c r="FWR1" s="68"/>
      <c r="FWS1" s="68"/>
      <c r="FWT1" s="68"/>
      <c r="FWU1" s="68"/>
      <c r="FWV1" s="68"/>
      <c r="FWW1" s="68"/>
      <c r="FWX1" s="68"/>
      <c r="FWY1" s="68"/>
      <c r="FWZ1" s="68"/>
      <c r="FXA1" s="68"/>
      <c r="FXB1" s="68"/>
      <c r="FXC1" s="68"/>
      <c r="FXD1" s="68"/>
      <c r="FXE1" s="68"/>
      <c r="FXF1" s="68"/>
      <c r="FXG1" s="68"/>
      <c r="FXH1" s="68"/>
      <c r="FXI1" s="68"/>
      <c r="FXJ1" s="68"/>
      <c r="FXK1" s="68"/>
      <c r="FXL1" s="68"/>
      <c r="FXM1" s="68"/>
      <c r="FXN1" s="68"/>
      <c r="FXO1" s="68"/>
      <c r="FXP1" s="68"/>
      <c r="FXQ1" s="68"/>
      <c r="FXR1" s="68"/>
      <c r="FXS1" s="68"/>
      <c r="FXT1" s="68"/>
      <c r="FXU1" s="68"/>
      <c r="FXV1" s="68"/>
      <c r="FXW1" s="68"/>
      <c r="FXX1" s="68"/>
      <c r="FXY1" s="68"/>
      <c r="FXZ1" s="68"/>
      <c r="FYA1" s="68"/>
      <c r="FYB1" s="68"/>
      <c r="FYC1" s="68"/>
      <c r="FYD1" s="68"/>
      <c r="FYE1" s="68"/>
      <c r="FYF1" s="68"/>
      <c r="FYG1" s="68"/>
      <c r="FYH1" s="68"/>
      <c r="FYI1" s="68"/>
      <c r="FYJ1" s="68"/>
      <c r="FYK1" s="68"/>
      <c r="FYL1" s="68"/>
      <c r="FYM1" s="68"/>
      <c r="FYN1" s="68"/>
      <c r="FYO1" s="68"/>
      <c r="FYP1" s="68"/>
      <c r="FYQ1" s="68"/>
      <c r="FYR1" s="68"/>
      <c r="FYS1" s="68"/>
      <c r="FYT1" s="68"/>
      <c r="FYU1" s="68"/>
      <c r="FYV1" s="68"/>
      <c r="FYW1" s="68"/>
      <c r="FYX1" s="68"/>
      <c r="FYY1" s="68"/>
      <c r="FYZ1" s="68"/>
      <c r="FZA1" s="68"/>
      <c r="FZB1" s="68"/>
      <c r="FZC1" s="68"/>
      <c r="FZD1" s="68"/>
      <c r="FZE1" s="68"/>
      <c r="FZF1" s="68"/>
      <c r="FZG1" s="68"/>
      <c r="FZH1" s="68"/>
      <c r="FZI1" s="68"/>
      <c r="FZJ1" s="68"/>
      <c r="FZK1" s="68"/>
      <c r="FZL1" s="68"/>
      <c r="FZM1" s="68"/>
      <c r="FZN1" s="68"/>
      <c r="FZO1" s="68"/>
      <c r="FZP1" s="68"/>
      <c r="FZQ1" s="68"/>
      <c r="FZR1" s="68"/>
      <c r="FZS1" s="68"/>
      <c r="FZT1" s="68"/>
      <c r="FZU1" s="68"/>
      <c r="FZV1" s="68"/>
      <c r="FZW1" s="68"/>
      <c r="FZX1" s="68"/>
      <c r="FZY1" s="68"/>
      <c r="FZZ1" s="68"/>
      <c r="GAA1" s="68"/>
      <c r="GAB1" s="68"/>
      <c r="GAC1" s="68"/>
      <c r="GAD1" s="68"/>
      <c r="GAE1" s="68"/>
      <c r="GAF1" s="68"/>
      <c r="GAG1" s="68"/>
      <c r="GAH1" s="68"/>
      <c r="GAI1" s="68"/>
      <c r="GAJ1" s="68"/>
      <c r="GAK1" s="68"/>
      <c r="GAL1" s="68"/>
      <c r="GAM1" s="68"/>
      <c r="GAN1" s="68"/>
      <c r="GAO1" s="68"/>
      <c r="GAP1" s="68"/>
      <c r="GAQ1" s="68"/>
      <c r="GAR1" s="68"/>
      <c r="GAS1" s="68"/>
      <c r="GAT1" s="68"/>
      <c r="GAU1" s="68"/>
      <c r="GAV1" s="68"/>
      <c r="GAW1" s="68"/>
      <c r="GAX1" s="68"/>
      <c r="GAY1" s="68"/>
      <c r="GAZ1" s="68"/>
      <c r="GBA1" s="68"/>
      <c r="GBB1" s="68"/>
      <c r="GBC1" s="68"/>
      <c r="GBD1" s="68"/>
      <c r="GBE1" s="68"/>
      <c r="GBF1" s="68"/>
      <c r="GBG1" s="68"/>
      <c r="GBH1" s="68"/>
      <c r="GBI1" s="68"/>
      <c r="GBJ1" s="68"/>
      <c r="GBK1" s="68"/>
      <c r="GBL1" s="68"/>
      <c r="GBM1" s="68"/>
      <c r="GBN1" s="68"/>
      <c r="GBO1" s="68"/>
      <c r="GBP1" s="68"/>
      <c r="GBQ1" s="68"/>
      <c r="GBR1" s="68"/>
      <c r="GBS1" s="68"/>
      <c r="GBT1" s="68"/>
      <c r="GBU1" s="68"/>
      <c r="GBV1" s="68"/>
      <c r="GBW1" s="68"/>
      <c r="GBX1" s="68"/>
      <c r="GBY1" s="68"/>
      <c r="GBZ1" s="68"/>
      <c r="GCA1" s="68"/>
      <c r="GCB1" s="68"/>
      <c r="GCC1" s="68"/>
      <c r="GCD1" s="68"/>
      <c r="GCE1" s="68"/>
      <c r="GCF1" s="68"/>
      <c r="GCG1" s="68"/>
      <c r="GCH1" s="68"/>
      <c r="GCI1" s="68"/>
      <c r="GCJ1" s="68"/>
      <c r="GCK1" s="68"/>
      <c r="GCL1" s="68"/>
      <c r="GCM1" s="68"/>
      <c r="GCN1" s="68"/>
      <c r="GCO1" s="68"/>
      <c r="GCP1" s="68"/>
      <c r="GCQ1" s="68"/>
      <c r="GCR1" s="68"/>
      <c r="GCS1" s="68"/>
      <c r="GCT1" s="68"/>
      <c r="GCU1" s="68"/>
      <c r="GCV1" s="68"/>
      <c r="GCW1" s="68"/>
      <c r="GCX1" s="68"/>
      <c r="GCY1" s="68"/>
      <c r="GCZ1" s="68"/>
      <c r="GDA1" s="68"/>
      <c r="GDB1" s="68"/>
      <c r="GDC1" s="68"/>
      <c r="GDD1" s="68"/>
      <c r="GDE1" s="68"/>
      <c r="GDF1" s="68"/>
      <c r="GDG1" s="68"/>
      <c r="GDH1" s="68"/>
      <c r="GDI1" s="68"/>
      <c r="GDJ1" s="68"/>
      <c r="GDK1" s="68"/>
      <c r="GDL1" s="68"/>
      <c r="GDM1" s="68"/>
      <c r="GDN1" s="68"/>
      <c r="GDO1" s="68"/>
      <c r="GDP1" s="68"/>
      <c r="GDQ1" s="68"/>
      <c r="GDR1" s="68"/>
      <c r="GDS1" s="68"/>
      <c r="GDT1" s="68"/>
      <c r="GDU1" s="68"/>
      <c r="GDV1" s="68"/>
      <c r="GDW1" s="68"/>
      <c r="GDX1" s="68"/>
      <c r="GDY1" s="68"/>
      <c r="GDZ1" s="68"/>
      <c r="GEA1" s="68"/>
      <c r="GEB1" s="68"/>
      <c r="GEC1" s="68"/>
      <c r="GED1" s="68"/>
      <c r="GEE1" s="68"/>
      <c r="GEF1" s="68"/>
      <c r="GEG1" s="68"/>
      <c r="GEH1" s="68"/>
      <c r="GEI1" s="68"/>
      <c r="GEJ1" s="68"/>
      <c r="GEK1" s="68"/>
      <c r="GEL1" s="68"/>
      <c r="GEM1" s="68"/>
      <c r="GEN1" s="68"/>
      <c r="GEO1" s="68"/>
      <c r="GEP1" s="68"/>
      <c r="GEQ1" s="68"/>
      <c r="GER1" s="68"/>
      <c r="GES1" s="68"/>
      <c r="GET1" s="68"/>
      <c r="GEU1" s="68"/>
      <c r="GEV1" s="68"/>
      <c r="GEW1" s="68"/>
      <c r="GEX1" s="68"/>
      <c r="GEY1" s="68"/>
      <c r="GEZ1" s="68"/>
      <c r="GFA1" s="68"/>
      <c r="GFB1" s="68"/>
      <c r="GFC1" s="68"/>
      <c r="GFD1" s="68"/>
      <c r="GFE1" s="68"/>
      <c r="GFF1" s="68"/>
      <c r="GFG1" s="68"/>
      <c r="GFH1" s="68"/>
      <c r="GFI1" s="68"/>
      <c r="GFJ1" s="68"/>
      <c r="GFK1" s="68"/>
      <c r="GFL1" s="68"/>
      <c r="GFM1" s="68"/>
      <c r="GFN1" s="68"/>
      <c r="GFO1" s="68"/>
      <c r="GFP1" s="68"/>
      <c r="GFQ1" s="68"/>
      <c r="GFR1" s="68"/>
      <c r="GFS1" s="68"/>
      <c r="GFT1" s="68"/>
      <c r="GFU1" s="68"/>
      <c r="GFV1" s="68"/>
      <c r="GFW1" s="68"/>
      <c r="GFX1" s="68"/>
      <c r="GFY1" s="68"/>
      <c r="GFZ1" s="68"/>
      <c r="GGA1" s="68"/>
      <c r="GGB1" s="68"/>
      <c r="GGC1" s="68"/>
      <c r="GGD1" s="68"/>
      <c r="GGE1" s="68"/>
      <c r="GGF1" s="68"/>
      <c r="GGG1" s="68"/>
      <c r="GGH1" s="68"/>
      <c r="GGI1" s="68"/>
      <c r="GGJ1" s="68"/>
      <c r="GGK1" s="68"/>
      <c r="GGL1" s="68"/>
      <c r="GGM1" s="68"/>
      <c r="GGN1" s="68"/>
      <c r="GGO1" s="68"/>
      <c r="GGP1" s="68"/>
      <c r="GGQ1" s="68"/>
      <c r="GGR1" s="68"/>
      <c r="GGS1" s="68"/>
      <c r="GGT1" s="68"/>
      <c r="GGU1" s="68"/>
      <c r="GGV1" s="68"/>
      <c r="GGW1" s="68"/>
      <c r="GGX1" s="68"/>
      <c r="GGY1" s="68"/>
      <c r="GGZ1" s="68"/>
      <c r="GHA1" s="68"/>
      <c r="GHB1" s="68"/>
      <c r="GHC1" s="68"/>
      <c r="GHD1" s="68"/>
      <c r="GHE1" s="68"/>
      <c r="GHF1" s="68"/>
      <c r="GHG1" s="68"/>
      <c r="GHH1" s="68"/>
      <c r="GHI1" s="68"/>
      <c r="GHJ1" s="68"/>
      <c r="GHK1" s="68"/>
      <c r="GHL1" s="68"/>
      <c r="GHM1" s="68"/>
      <c r="GHN1" s="68"/>
      <c r="GHO1" s="68"/>
      <c r="GHP1" s="68"/>
      <c r="GHQ1" s="68"/>
      <c r="GHR1" s="68"/>
      <c r="GHS1" s="68"/>
      <c r="GHT1" s="68"/>
      <c r="GHU1" s="68"/>
      <c r="GHV1" s="68"/>
      <c r="GHW1" s="68"/>
      <c r="GHX1" s="68"/>
      <c r="GHY1" s="68"/>
      <c r="GHZ1" s="68"/>
      <c r="GIA1" s="68"/>
      <c r="GIB1" s="68"/>
      <c r="GIC1" s="68"/>
      <c r="GID1" s="68"/>
      <c r="GIE1" s="68"/>
      <c r="GIF1" s="68"/>
      <c r="GIG1" s="68"/>
      <c r="GIH1" s="68"/>
      <c r="GII1" s="68"/>
      <c r="GIJ1" s="68"/>
      <c r="GIK1" s="68"/>
      <c r="GIL1" s="68"/>
      <c r="GIM1" s="68"/>
      <c r="GIN1" s="68"/>
      <c r="GIO1" s="68"/>
      <c r="GIP1" s="68"/>
      <c r="GIQ1" s="68"/>
      <c r="GIR1" s="68"/>
      <c r="GIS1" s="68"/>
      <c r="GIT1" s="68"/>
      <c r="GIU1" s="68"/>
      <c r="GIV1" s="68"/>
      <c r="GIW1" s="68"/>
      <c r="GIX1" s="68"/>
      <c r="GIY1" s="68"/>
      <c r="GIZ1" s="68"/>
      <c r="GJA1" s="68"/>
      <c r="GJB1" s="68"/>
      <c r="GJC1" s="68"/>
      <c r="GJD1" s="68"/>
      <c r="GJE1" s="68"/>
      <c r="GJF1" s="68"/>
      <c r="GJG1" s="68"/>
      <c r="GJH1" s="68"/>
      <c r="GJI1" s="68"/>
      <c r="GJJ1" s="68"/>
      <c r="GJK1" s="68"/>
      <c r="GJL1" s="68"/>
      <c r="GJM1" s="68"/>
      <c r="GJN1" s="68"/>
      <c r="GJO1" s="68"/>
      <c r="GJP1" s="68"/>
      <c r="GJQ1" s="68"/>
      <c r="GJR1" s="68"/>
      <c r="GJS1" s="68"/>
      <c r="GJT1" s="68"/>
      <c r="GJU1" s="68"/>
      <c r="GJV1" s="68"/>
      <c r="GJW1" s="68"/>
      <c r="GJX1" s="68"/>
      <c r="GJY1" s="68"/>
      <c r="GJZ1" s="68"/>
      <c r="GKA1" s="68"/>
      <c r="GKB1" s="68"/>
      <c r="GKC1" s="68"/>
      <c r="GKD1" s="68"/>
      <c r="GKE1" s="68"/>
      <c r="GKF1" s="68"/>
      <c r="GKG1" s="68"/>
      <c r="GKH1" s="68"/>
      <c r="GKI1" s="68"/>
      <c r="GKJ1" s="68"/>
      <c r="GKK1" s="68"/>
      <c r="GKL1" s="68"/>
      <c r="GKM1" s="68"/>
      <c r="GKN1" s="68"/>
      <c r="GKO1" s="68"/>
      <c r="GKP1" s="68"/>
      <c r="GKQ1" s="68"/>
      <c r="GKR1" s="68"/>
      <c r="GKS1" s="68"/>
      <c r="GKT1" s="68"/>
      <c r="GKU1" s="68"/>
      <c r="GKV1" s="68"/>
      <c r="GKW1" s="68"/>
      <c r="GKX1" s="68"/>
      <c r="GKY1" s="68"/>
      <c r="GKZ1" s="68"/>
      <c r="GLA1" s="68"/>
      <c r="GLB1" s="68"/>
      <c r="GLC1" s="68"/>
      <c r="GLD1" s="68"/>
      <c r="GLE1" s="68"/>
      <c r="GLF1" s="68"/>
      <c r="GLG1" s="68"/>
      <c r="GLH1" s="68"/>
      <c r="GLI1" s="68"/>
      <c r="GLJ1" s="68"/>
      <c r="GLK1" s="68"/>
      <c r="GLL1" s="68"/>
      <c r="GLM1" s="68"/>
      <c r="GLN1" s="68"/>
      <c r="GLO1" s="68"/>
      <c r="GLP1" s="68"/>
      <c r="GLQ1" s="68"/>
      <c r="GLR1" s="68"/>
      <c r="GLS1" s="68"/>
      <c r="GLT1" s="68"/>
      <c r="GLU1" s="68"/>
      <c r="GLV1" s="68"/>
      <c r="GLW1" s="68"/>
      <c r="GLX1" s="68"/>
      <c r="GLY1" s="68"/>
      <c r="GLZ1" s="68"/>
      <c r="GMA1" s="68"/>
      <c r="GMB1" s="68"/>
      <c r="GMC1" s="68"/>
      <c r="GMD1" s="68"/>
      <c r="GME1" s="68"/>
      <c r="GMF1" s="68"/>
      <c r="GMG1" s="68"/>
      <c r="GMH1" s="68"/>
      <c r="GMI1" s="68"/>
      <c r="GMJ1" s="68"/>
      <c r="GMK1" s="68"/>
      <c r="GML1" s="68"/>
      <c r="GMM1" s="68"/>
      <c r="GMN1" s="68"/>
      <c r="GMO1" s="68"/>
      <c r="GMP1" s="68"/>
      <c r="GMQ1" s="68"/>
      <c r="GMR1" s="68"/>
      <c r="GMS1" s="68"/>
      <c r="GMT1" s="68"/>
      <c r="GMU1" s="68"/>
      <c r="GMV1" s="68"/>
      <c r="GMW1" s="68"/>
      <c r="GMX1" s="68"/>
      <c r="GMY1" s="68"/>
      <c r="GMZ1" s="68"/>
      <c r="GNA1" s="68"/>
      <c r="GNB1" s="68"/>
      <c r="GNC1" s="68"/>
      <c r="GND1" s="68"/>
      <c r="GNE1" s="68"/>
      <c r="GNF1" s="68"/>
      <c r="GNG1" s="68"/>
      <c r="GNH1" s="68"/>
      <c r="GNI1" s="68"/>
      <c r="GNJ1" s="68"/>
      <c r="GNK1" s="68"/>
      <c r="GNL1" s="68"/>
      <c r="GNM1" s="68"/>
      <c r="GNN1" s="68"/>
      <c r="GNO1" s="68"/>
      <c r="GNP1" s="68"/>
      <c r="GNQ1" s="68"/>
      <c r="GNR1" s="68"/>
      <c r="GNS1" s="68"/>
      <c r="GNT1" s="68"/>
      <c r="GNU1" s="68"/>
      <c r="GNV1" s="68"/>
      <c r="GNW1" s="68"/>
      <c r="GNX1" s="68"/>
      <c r="GNY1" s="68"/>
      <c r="GNZ1" s="68"/>
      <c r="GOA1" s="68"/>
      <c r="GOB1" s="68"/>
      <c r="GOC1" s="68"/>
      <c r="GOD1" s="68"/>
      <c r="GOE1" s="68"/>
      <c r="GOF1" s="68"/>
      <c r="GOG1" s="68"/>
      <c r="GOH1" s="68"/>
      <c r="GOI1" s="68"/>
      <c r="GOJ1" s="68"/>
      <c r="GOK1" s="68"/>
      <c r="GOL1" s="68"/>
      <c r="GOM1" s="68"/>
      <c r="GON1" s="68"/>
      <c r="GOO1" s="68"/>
      <c r="GOP1" s="68"/>
      <c r="GOQ1" s="68"/>
      <c r="GOR1" s="68"/>
      <c r="GOS1" s="68"/>
      <c r="GOT1" s="68"/>
      <c r="GOU1" s="68"/>
      <c r="GOV1" s="68"/>
      <c r="GOW1" s="68"/>
      <c r="GOX1" s="68"/>
      <c r="GOY1" s="68"/>
      <c r="GOZ1" s="68"/>
      <c r="GPA1" s="68"/>
      <c r="GPB1" s="68"/>
      <c r="GPC1" s="68"/>
      <c r="GPD1" s="68"/>
      <c r="GPE1" s="68"/>
      <c r="GPF1" s="68"/>
      <c r="GPG1" s="68"/>
      <c r="GPH1" s="68"/>
      <c r="GPI1" s="68"/>
      <c r="GPJ1" s="68"/>
      <c r="GPK1" s="68"/>
      <c r="GPL1" s="68"/>
      <c r="GPM1" s="68"/>
      <c r="GPN1" s="68"/>
      <c r="GPO1" s="68"/>
      <c r="GPP1" s="68"/>
      <c r="GPQ1" s="68"/>
      <c r="GPR1" s="68"/>
      <c r="GPS1" s="68"/>
      <c r="GPT1" s="68"/>
      <c r="GPU1" s="68"/>
      <c r="GPV1" s="68"/>
      <c r="GPW1" s="68"/>
      <c r="GPX1" s="68"/>
      <c r="GPY1" s="68"/>
      <c r="GPZ1" s="68"/>
      <c r="GQA1" s="68"/>
      <c r="GQB1" s="68"/>
      <c r="GQC1" s="68"/>
      <c r="GQD1" s="68"/>
      <c r="GQE1" s="68"/>
      <c r="GQF1" s="68"/>
      <c r="GQG1" s="68"/>
      <c r="GQH1" s="68"/>
      <c r="GQI1" s="68"/>
      <c r="GQJ1" s="68"/>
      <c r="GQK1" s="68"/>
      <c r="GQL1" s="68"/>
      <c r="GQM1" s="68"/>
      <c r="GQN1" s="68"/>
      <c r="GQO1" s="68"/>
      <c r="GQP1" s="68"/>
      <c r="GQQ1" s="68"/>
      <c r="GQR1" s="68"/>
      <c r="GQS1" s="68"/>
      <c r="GQT1" s="68"/>
      <c r="GQU1" s="68"/>
      <c r="GQV1" s="68"/>
      <c r="GQW1" s="68"/>
      <c r="GQX1" s="68"/>
      <c r="GQY1" s="68"/>
      <c r="GQZ1" s="68"/>
      <c r="GRA1" s="68"/>
      <c r="GRB1" s="68"/>
      <c r="GRC1" s="68"/>
      <c r="GRD1" s="68"/>
      <c r="GRE1" s="68"/>
      <c r="GRF1" s="68"/>
      <c r="GRG1" s="68"/>
      <c r="GRH1" s="68"/>
      <c r="GRI1" s="68"/>
      <c r="GRJ1" s="68"/>
      <c r="GRK1" s="68"/>
      <c r="GRL1" s="68"/>
      <c r="GRM1" s="68"/>
      <c r="GRN1" s="68"/>
      <c r="GRO1" s="68"/>
      <c r="GRP1" s="68"/>
      <c r="GRQ1" s="68"/>
      <c r="GRR1" s="68"/>
      <c r="GRS1" s="68"/>
      <c r="GRT1" s="68"/>
      <c r="GRU1" s="68"/>
      <c r="GRV1" s="68"/>
      <c r="GRW1" s="68"/>
      <c r="GRX1" s="68"/>
      <c r="GRY1" s="68"/>
      <c r="GRZ1" s="68"/>
      <c r="GSA1" s="68"/>
      <c r="GSB1" s="68"/>
      <c r="GSC1" s="68"/>
      <c r="GSD1" s="68"/>
      <c r="GSE1" s="68"/>
      <c r="GSF1" s="68"/>
      <c r="GSG1" s="68"/>
      <c r="GSH1" s="68"/>
      <c r="GSI1" s="68"/>
      <c r="GSJ1" s="68"/>
      <c r="GSK1" s="68"/>
      <c r="GSL1" s="68"/>
      <c r="GSM1" s="68"/>
      <c r="GSN1" s="68"/>
      <c r="GSO1" s="68"/>
      <c r="GSP1" s="68"/>
      <c r="GSQ1" s="68"/>
      <c r="GSR1" s="68"/>
      <c r="GSS1" s="68"/>
      <c r="GST1" s="68"/>
      <c r="GSU1" s="68"/>
      <c r="GSV1" s="68"/>
      <c r="GSW1" s="68"/>
      <c r="GSX1" s="68"/>
      <c r="GSY1" s="68"/>
      <c r="GSZ1" s="68"/>
      <c r="GTA1" s="68"/>
      <c r="GTB1" s="68"/>
      <c r="GTC1" s="68"/>
      <c r="GTD1" s="68"/>
      <c r="GTE1" s="68"/>
      <c r="GTF1" s="68"/>
      <c r="GTG1" s="68"/>
      <c r="GTH1" s="68"/>
      <c r="GTI1" s="68"/>
      <c r="GTJ1" s="68"/>
      <c r="GTK1" s="68"/>
      <c r="GTL1" s="68"/>
      <c r="GTM1" s="68"/>
      <c r="GTN1" s="68"/>
      <c r="GTO1" s="68"/>
      <c r="GTP1" s="68"/>
      <c r="GTQ1" s="68"/>
      <c r="GTR1" s="68"/>
      <c r="GTS1" s="68"/>
      <c r="GTT1" s="68"/>
      <c r="GTU1" s="68"/>
      <c r="GTV1" s="68"/>
      <c r="GTW1" s="68"/>
      <c r="GTX1" s="68"/>
      <c r="GTY1" s="68"/>
      <c r="GTZ1" s="68"/>
      <c r="GUA1" s="68"/>
      <c r="GUB1" s="68"/>
      <c r="GUC1" s="68"/>
      <c r="GUD1" s="68"/>
      <c r="GUE1" s="68"/>
      <c r="GUF1" s="68"/>
      <c r="GUG1" s="68"/>
      <c r="GUH1" s="68"/>
      <c r="GUI1" s="68"/>
      <c r="GUJ1" s="68"/>
      <c r="GUK1" s="68"/>
      <c r="GUL1" s="68"/>
      <c r="GUM1" s="68"/>
      <c r="GUN1" s="68"/>
      <c r="GUO1" s="68"/>
      <c r="GUP1" s="68"/>
      <c r="GUQ1" s="68"/>
      <c r="GUR1" s="68"/>
      <c r="GUS1" s="68"/>
      <c r="GUT1" s="68"/>
      <c r="GUU1" s="68"/>
      <c r="GUV1" s="68"/>
      <c r="GUW1" s="68"/>
      <c r="GUX1" s="68"/>
      <c r="GUY1" s="68"/>
      <c r="GUZ1" s="68"/>
      <c r="GVA1" s="68"/>
      <c r="GVB1" s="68"/>
      <c r="GVC1" s="68"/>
      <c r="GVD1" s="68"/>
      <c r="GVE1" s="68"/>
      <c r="GVF1" s="68"/>
      <c r="GVG1" s="68"/>
      <c r="GVH1" s="68"/>
      <c r="GVI1" s="68"/>
      <c r="GVJ1" s="68"/>
      <c r="GVK1" s="68"/>
      <c r="GVL1" s="68"/>
      <c r="GVM1" s="68"/>
      <c r="GVN1" s="68"/>
      <c r="GVO1" s="68"/>
      <c r="GVP1" s="68"/>
      <c r="GVQ1" s="68"/>
      <c r="GVR1" s="68"/>
      <c r="GVS1" s="68"/>
      <c r="GVT1" s="68"/>
      <c r="GVU1" s="68"/>
      <c r="GVV1" s="68"/>
      <c r="GVW1" s="68"/>
      <c r="GVX1" s="68"/>
      <c r="GVY1" s="68"/>
      <c r="GVZ1" s="68"/>
      <c r="GWA1" s="68"/>
      <c r="GWB1" s="68"/>
      <c r="GWC1" s="68"/>
      <c r="GWD1" s="68"/>
      <c r="GWE1" s="68"/>
      <c r="GWF1" s="68"/>
      <c r="GWG1" s="68"/>
      <c r="GWH1" s="68"/>
      <c r="GWI1" s="68"/>
      <c r="GWJ1" s="68"/>
      <c r="GWK1" s="68"/>
      <c r="GWL1" s="68"/>
      <c r="GWM1" s="68"/>
      <c r="GWN1" s="68"/>
      <c r="GWO1" s="68"/>
      <c r="GWP1" s="68"/>
      <c r="GWQ1" s="68"/>
      <c r="GWR1" s="68"/>
      <c r="GWS1" s="68"/>
      <c r="GWT1" s="68"/>
      <c r="GWU1" s="68"/>
      <c r="GWV1" s="68"/>
      <c r="GWW1" s="68"/>
      <c r="GWX1" s="68"/>
      <c r="GWY1" s="68"/>
      <c r="GWZ1" s="68"/>
      <c r="GXA1" s="68"/>
      <c r="GXB1" s="68"/>
      <c r="GXC1" s="68"/>
      <c r="GXD1" s="68"/>
      <c r="GXE1" s="68"/>
      <c r="GXF1" s="68"/>
      <c r="GXG1" s="68"/>
      <c r="GXH1" s="68"/>
      <c r="GXI1" s="68"/>
      <c r="GXJ1" s="68"/>
      <c r="GXK1" s="68"/>
      <c r="GXL1" s="68"/>
      <c r="GXM1" s="68"/>
      <c r="GXN1" s="68"/>
      <c r="GXO1" s="68"/>
      <c r="GXP1" s="68"/>
      <c r="GXQ1" s="68"/>
      <c r="GXR1" s="68"/>
      <c r="GXS1" s="68"/>
      <c r="GXT1" s="68"/>
      <c r="GXU1" s="68"/>
      <c r="GXV1" s="68"/>
      <c r="GXW1" s="68"/>
      <c r="GXX1" s="68"/>
      <c r="GXY1" s="68"/>
      <c r="GXZ1" s="68"/>
      <c r="GYA1" s="68"/>
      <c r="GYB1" s="68"/>
      <c r="GYC1" s="68"/>
      <c r="GYD1" s="68"/>
      <c r="GYE1" s="68"/>
      <c r="GYF1" s="68"/>
      <c r="GYG1" s="68"/>
      <c r="GYH1" s="68"/>
      <c r="GYI1" s="68"/>
      <c r="GYJ1" s="68"/>
      <c r="GYK1" s="68"/>
      <c r="GYL1" s="68"/>
      <c r="GYM1" s="68"/>
      <c r="GYN1" s="68"/>
      <c r="GYO1" s="68"/>
      <c r="GYP1" s="68"/>
      <c r="GYQ1" s="68"/>
      <c r="GYR1" s="68"/>
      <c r="GYS1" s="68"/>
      <c r="GYT1" s="68"/>
      <c r="GYU1" s="68"/>
      <c r="GYV1" s="68"/>
      <c r="GYW1" s="68"/>
      <c r="GYX1" s="68"/>
      <c r="GYY1" s="68"/>
      <c r="GYZ1" s="68"/>
      <c r="GZA1" s="68"/>
      <c r="GZB1" s="68"/>
      <c r="GZC1" s="68"/>
      <c r="GZD1" s="68"/>
      <c r="GZE1" s="68"/>
      <c r="GZF1" s="68"/>
      <c r="GZG1" s="68"/>
      <c r="GZH1" s="68"/>
      <c r="GZI1" s="68"/>
      <c r="GZJ1" s="68"/>
      <c r="GZK1" s="68"/>
      <c r="GZL1" s="68"/>
      <c r="GZM1" s="68"/>
      <c r="GZN1" s="68"/>
      <c r="GZO1" s="68"/>
      <c r="GZP1" s="68"/>
      <c r="GZQ1" s="68"/>
      <c r="GZR1" s="68"/>
      <c r="GZS1" s="68"/>
      <c r="GZT1" s="68"/>
      <c r="GZU1" s="68"/>
      <c r="GZV1" s="68"/>
      <c r="GZW1" s="68"/>
      <c r="GZX1" s="68"/>
      <c r="GZY1" s="68"/>
      <c r="GZZ1" s="68"/>
      <c r="HAA1" s="68"/>
      <c r="HAB1" s="68"/>
      <c r="HAC1" s="68"/>
      <c r="HAD1" s="68"/>
      <c r="HAE1" s="68"/>
      <c r="HAF1" s="68"/>
      <c r="HAG1" s="68"/>
      <c r="HAH1" s="68"/>
      <c r="HAI1" s="68"/>
      <c r="HAJ1" s="68"/>
      <c r="HAK1" s="68"/>
      <c r="HAL1" s="68"/>
      <c r="HAM1" s="68"/>
      <c r="HAN1" s="68"/>
      <c r="HAO1" s="68"/>
      <c r="HAP1" s="68"/>
      <c r="HAQ1" s="68"/>
      <c r="HAR1" s="68"/>
      <c r="HAS1" s="68"/>
      <c r="HAT1" s="68"/>
      <c r="HAU1" s="68"/>
      <c r="HAV1" s="68"/>
      <c r="HAW1" s="68"/>
      <c r="HAX1" s="68"/>
      <c r="HAY1" s="68"/>
      <c r="HAZ1" s="68"/>
      <c r="HBA1" s="68"/>
      <c r="HBB1" s="68"/>
      <c r="HBC1" s="68"/>
      <c r="HBD1" s="68"/>
      <c r="HBE1" s="68"/>
      <c r="HBF1" s="68"/>
      <c r="HBG1" s="68"/>
      <c r="HBH1" s="68"/>
      <c r="HBI1" s="68"/>
      <c r="HBJ1" s="68"/>
      <c r="HBK1" s="68"/>
      <c r="HBL1" s="68"/>
      <c r="HBM1" s="68"/>
      <c r="HBN1" s="68"/>
      <c r="HBO1" s="68"/>
      <c r="HBP1" s="68"/>
      <c r="HBQ1" s="68"/>
      <c r="HBR1" s="68"/>
      <c r="HBS1" s="68"/>
      <c r="HBT1" s="68"/>
      <c r="HBU1" s="68"/>
      <c r="HBV1" s="68"/>
      <c r="HBW1" s="68"/>
      <c r="HBX1" s="68"/>
      <c r="HBY1" s="68"/>
      <c r="HBZ1" s="68"/>
      <c r="HCA1" s="68"/>
      <c r="HCB1" s="68"/>
      <c r="HCC1" s="68"/>
      <c r="HCD1" s="68"/>
      <c r="HCE1" s="68"/>
      <c r="HCF1" s="68"/>
      <c r="HCG1" s="68"/>
      <c r="HCH1" s="68"/>
      <c r="HCI1" s="68"/>
      <c r="HCJ1" s="68"/>
      <c r="HCK1" s="68"/>
      <c r="HCL1" s="68"/>
      <c r="HCM1" s="68"/>
      <c r="HCN1" s="68"/>
      <c r="HCO1" s="68"/>
      <c r="HCP1" s="68"/>
      <c r="HCQ1" s="68"/>
      <c r="HCR1" s="68"/>
      <c r="HCS1" s="68"/>
      <c r="HCT1" s="68"/>
      <c r="HCU1" s="68"/>
      <c r="HCV1" s="68"/>
      <c r="HCW1" s="68"/>
      <c r="HCX1" s="68"/>
      <c r="HCY1" s="68"/>
      <c r="HCZ1" s="68"/>
      <c r="HDA1" s="68"/>
      <c r="HDB1" s="68"/>
      <c r="HDC1" s="68"/>
      <c r="HDD1" s="68"/>
      <c r="HDE1" s="68"/>
      <c r="HDF1" s="68"/>
      <c r="HDG1" s="68"/>
      <c r="HDH1" s="68"/>
      <c r="HDI1" s="68"/>
      <c r="HDJ1" s="68"/>
      <c r="HDK1" s="68"/>
      <c r="HDL1" s="68"/>
      <c r="HDM1" s="68"/>
      <c r="HDN1" s="68"/>
      <c r="HDO1" s="68"/>
      <c r="HDP1" s="68"/>
      <c r="HDQ1" s="68"/>
      <c r="HDR1" s="68"/>
      <c r="HDS1" s="68"/>
      <c r="HDT1" s="68"/>
      <c r="HDU1" s="68"/>
      <c r="HDV1" s="68"/>
      <c r="HDW1" s="68"/>
      <c r="HDX1" s="68"/>
      <c r="HDY1" s="68"/>
      <c r="HDZ1" s="68"/>
      <c r="HEA1" s="68"/>
      <c r="HEB1" s="68"/>
      <c r="HEC1" s="68"/>
      <c r="HED1" s="68"/>
      <c r="HEE1" s="68"/>
      <c r="HEF1" s="68"/>
      <c r="HEG1" s="68"/>
      <c r="HEH1" s="68"/>
      <c r="HEI1" s="68"/>
      <c r="HEJ1" s="68"/>
      <c r="HEK1" s="68"/>
      <c r="HEL1" s="68"/>
      <c r="HEM1" s="68"/>
      <c r="HEN1" s="68"/>
      <c r="HEO1" s="68"/>
      <c r="HEP1" s="68"/>
      <c r="HEQ1" s="68"/>
      <c r="HER1" s="68"/>
      <c r="HES1" s="68"/>
      <c r="HET1" s="68"/>
      <c r="HEU1" s="68"/>
      <c r="HEV1" s="68"/>
      <c r="HEW1" s="68"/>
      <c r="HEX1" s="68"/>
      <c r="HEY1" s="68"/>
      <c r="HEZ1" s="68"/>
      <c r="HFA1" s="68"/>
      <c r="HFB1" s="68"/>
      <c r="HFC1" s="68"/>
      <c r="HFD1" s="68"/>
      <c r="HFE1" s="68"/>
      <c r="HFF1" s="68"/>
      <c r="HFG1" s="68"/>
      <c r="HFH1" s="68"/>
      <c r="HFI1" s="68"/>
      <c r="HFJ1" s="68"/>
      <c r="HFK1" s="68"/>
      <c r="HFL1" s="68"/>
      <c r="HFM1" s="68"/>
      <c r="HFN1" s="68"/>
      <c r="HFO1" s="68"/>
      <c r="HFP1" s="68"/>
      <c r="HFQ1" s="68"/>
      <c r="HFR1" s="68"/>
      <c r="HFS1" s="68"/>
      <c r="HFT1" s="68"/>
      <c r="HFU1" s="68"/>
      <c r="HFV1" s="68"/>
      <c r="HFW1" s="68"/>
      <c r="HFX1" s="68"/>
      <c r="HFY1" s="68"/>
      <c r="HFZ1" s="68"/>
      <c r="HGA1" s="68"/>
      <c r="HGB1" s="68"/>
      <c r="HGC1" s="68"/>
      <c r="HGD1" s="68"/>
      <c r="HGE1" s="68"/>
      <c r="HGF1" s="68"/>
      <c r="HGG1" s="68"/>
      <c r="HGH1" s="68"/>
      <c r="HGI1" s="68"/>
      <c r="HGJ1" s="68"/>
      <c r="HGK1" s="68"/>
      <c r="HGL1" s="68"/>
      <c r="HGM1" s="68"/>
      <c r="HGN1" s="68"/>
      <c r="HGO1" s="68"/>
      <c r="HGP1" s="68"/>
      <c r="HGQ1" s="68"/>
      <c r="HGR1" s="68"/>
      <c r="HGS1" s="68"/>
      <c r="HGT1" s="68"/>
      <c r="HGU1" s="68"/>
      <c r="HGV1" s="68"/>
      <c r="HGW1" s="68"/>
      <c r="HGX1" s="68"/>
      <c r="HGY1" s="68"/>
      <c r="HGZ1" s="68"/>
      <c r="HHA1" s="68"/>
      <c r="HHB1" s="68"/>
      <c r="HHC1" s="68"/>
      <c r="HHD1" s="68"/>
      <c r="HHE1" s="68"/>
      <c r="HHF1" s="68"/>
      <c r="HHG1" s="68"/>
      <c r="HHH1" s="68"/>
      <c r="HHI1" s="68"/>
      <c r="HHJ1" s="68"/>
      <c r="HHK1" s="68"/>
      <c r="HHL1" s="68"/>
      <c r="HHM1" s="68"/>
      <c r="HHN1" s="68"/>
      <c r="HHO1" s="68"/>
      <c r="HHP1" s="68"/>
      <c r="HHQ1" s="68"/>
      <c r="HHR1" s="68"/>
      <c r="HHS1" s="68"/>
      <c r="HHT1" s="68"/>
      <c r="HHU1" s="68"/>
      <c r="HHV1" s="68"/>
      <c r="HHW1" s="68"/>
      <c r="HHX1" s="68"/>
      <c r="HHY1" s="68"/>
      <c r="HHZ1" s="68"/>
      <c r="HIA1" s="68"/>
      <c r="HIB1" s="68"/>
      <c r="HIC1" s="68"/>
      <c r="HID1" s="68"/>
      <c r="HIE1" s="68"/>
      <c r="HIF1" s="68"/>
      <c r="HIG1" s="68"/>
      <c r="HIH1" s="68"/>
      <c r="HII1" s="68"/>
      <c r="HIJ1" s="68"/>
      <c r="HIK1" s="68"/>
      <c r="HIL1" s="68"/>
      <c r="HIM1" s="68"/>
      <c r="HIN1" s="68"/>
      <c r="HIO1" s="68"/>
      <c r="HIP1" s="68"/>
      <c r="HIQ1" s="68"/>
      <c r="HIR1" s="68"/>
      <c r="HIS1" s="68"/>
      <c r="HIT1" s="68"/>
      <c r="HIU1" s="68"/>
      <c r="HIV1" s="68"/>
      <c r="HIW1" s="68"/>
      <c r="HIX1" s="68"/>
      <c r="HIY1" s="68"/>
      <c r="HIZ1" s="68"/>
      <c r="HJA1" s="68"/>
      <c r="HJB1" s="68"/>
      <c r="HJC1" s="68"/>
      <c r="HJD1" s="68"/>
      <c r="HJE1" s="68"/>
      <c r="HJF1" s="68"/>
      <c r="HJG1" s="68"/>
      <c r="HJH1" s="68"/>
      <c r="HJI1" s="68"/>
      <c r="HJJ1" s="68"/>
      <c r="HJK1" s="68"/>
      <c r="HJL1" s="68"/>
      <c r="HJM1" s="68"/>
      <c r="HJN1" s="68"/>
      <c r="HJO1" s="68"/>
      <c r="HJP1" s="68"/>
      <c r="HJQ1" s="68"/>
      <c r="HJR1" s="68"/>
      <c r="HJS1" s="68"/>
      <c r="HJT1" s="68"/>
      <c r="HJU1" s="68"/>
      <c r="HJV1" s="68"/>
      <c r="HJW1" s="68"/>
      <c r="HJX1" s="68"/>
      <c r="HJY1" s="68"/>
      <c r="HJZ1" s="68"/>
      <c r="HKA1" s="68"/>
      <c r="HKB1" s="68"/>
      <c r="HKC1" s="68"/>
      <c r="HKD1" s="68"/>
      <c r="HKE1" s="68"/>
      <c r="HKF1" s="68"/>
      <c r="HKG1" s="68"/>
      <c r="HKH1" s="68"/>
      <c r="HKI1" s="68"/>
      <c r="HKJ1" s="68"/>
      <c r="HKK1" s="68"/>
      <c r="HKL1" s="68"/>
      <c r="HKM1" s="68"/>
      <c r="HKN1" s="68"/>
      <c r="HKO1" s="68"/>
      <c r="HKP1" s="68"/>
      <c r="HKQ1" s="68"/>
      <c r="HKR1" s="68"/>
      <c r="HKS1" s="68"/>
      <c r="HKT1" s="68"/>
      <c r="HKU1" s="68"/>
      <c r="HKV1" s="68"/>
      <c r="HKW1" s="68"/>
      <c r="HKX1" s="68"/>
      <c r="HKY1" s="68"/>
      <c r="HKZ1" s="68"/>
      <c r="HLA1" s="68"/>
      <c r="HLB1" s="68"/>
      <c r="HLC1" s="68"/>
      <c r="HLD1" s="68"/>
      <c r="HLE1" s="68"/>
      <c r="HLF1" s="68"/>
      <c r="HLG1" s="68"/>
      <c r="HLH1" s="68"/>
      <c r="HLI1" s="68"/>
      <c r="HLJ1" s="68"/>
      <c r="HLK1" s="68"/>
      <c r="HLL1" s="68"/>
      <c r="HLM1" s="68"/>
      <c r="HLN1" s="68"/>
      <c r="HLO1" s="68"/>
      <c r="HLP1" s="68"/>
      <c r="HLQ1" s="68"/>
      <c r="HLR1" s="68"/>
      <c r="HLS1" s="68"/>
      <c r="HLT1" s="68"/>
      <c r="HLU1" s="68"/>
      <c r="HLV1" s="68"/>
      <c r="HLW1" s="68"/>
      <c r="HLX1" s="68"/>
      <c r="HLY1" s="68"/>
      <c r="HLZ1" s="68"/>
      <c r="HMA1" s="68"/>
      <c r="HMB1" s="68"/>
      <c r="HMC1" s="68"/>
      <c r="HMD1" s="68"/>
      <c r="HME1" s="68"/>
      <c r="HMF1" s="68"/>
      <c r="HMG1" s="68"/>
      <c r="HMH1" s="68"/>
      <c r="HMI1" s="68"/>
      <c r="HMJ1" s="68"/>
      <c r="HMK1" s="68"/>
      <c r="HML1" s="68"/>
      <c r="HMM1" s="68"/>
      <c r="HMN1" s="68"/>
      <c r="HMO1" s="68"/>
      <c r="HMP1" s="68"/>
      <c r="HMQ1" s="68"/>
      <c r="HMR1" s="68"/>
      <c r="HMS1" s="68"/>
      <c r="HMT1" s="68"/>
      <c r="HMU1" s="68"/>
      <c r="HMV1" s="68"/>
      <c r="HMW1" s="68"/>
      <c r="HMX1" s="68"/>
      <c r="HMY1" s="68"/>
      <c r="HMZ1" s="68"/>
      <c r="HNA1" s="68"/>
      <c r="HNB1" s="68"/>
      <c r="HNC1" s="68"/>
      <c r="HND1" s="68"/>
      <c r="HNE1" s="68"/>
      <c r="HNF1" s="68"/>
      <c r="HNG1" s="68"/>
      <c r="HNH1" s="68"/>
      <c r="HNI1" s="68"/>
      <c r="HNJ1" s="68"/>
      <c r="HNK1" s="68"/>
      <c r="HNL1" s="68"/>
      <c r="HNM1" s="68"/>
      <c r="HNN1" s="68"/>
      <c r="HNO1" s="68"/>
      <c r="HNP1" s="68"/>
      <c r="HNQ1" s="68"/>
      <c r="HNR1" s="68"/>
      <c r="HNS1" s="68"/>
      <c r="HNT1" s="68"/>
      <c r="HNU1" s="68"/>
      <c r="HNV1" s="68"/>
      <c r="HNW1" s="68"/>
      <c r="HNX1" s="68"/>
      <c r="HNY1" s="68"/>
      <c r="HNZ1" s="68"/>
      <c r="HOA1" s="68"/>
      <c r="HOB1" s="68"/>
      <c r="HOC1" s="68"/>
      <c r="HOD1" s="68"/>
      <c r="HOE1" s="68"/>
      <c r="HOF1" s="68"/>
      <c r="HOG1" s="68"/>
      <c r="HOH1" s="68"/>
      <c r="HOI1" s="68"/>
      <c r="HOJ1" s="68"/>
      <c r="HOK1" s="68"/>
      <c r="HOL1" s="68"/>
      <c r="HOM1" s="68"/>
      <c r="HON1" s="68"/>
      <c r="HOO1" s="68"/>
      <c r="HOP1" s="68"/>
      <c r="HOQ1" s="68"/>
      <c r="HOR1" s="68"/>
      <c r="HOS1" s="68"/>
      <c r="HOT1" s="68"/>
      <c r="HOU1" s="68"/>
      <c r="HOV1" s="68"/>
      <c r="HOW1" s="68"/>
      <c r="HOX1" s="68"/>
      <c r="HOY1" s="68"/>
      <c r="HOZ1" s="68"/>
      <c r="HPA1" s="68"/>
      <c r="HPB1" s="68"/>
      <c r="HPC1" s="68"/>
      <c r="HPD1" s="68"/>
      <c r="HPE1" s="68"/>
      <c r="HPF1" s="68"/>
      <c r="HPG1" s="68"/>
      <c r="HPH1" s="68"/>
      <c r="HPI1" s="68"/>
      <c r="HPJ1" s="68"/>
      <c r="HPK1" s="68"/>
      <c r="HPL1" s="68"/>
      <c r="HPM1" s="68"/>
      <c r="HPN1" s="68"/>
      <c r="HPO1" s="68"/>
      <c r="HPP1" s="68"/>
      <c r="HPQ1" s="68"/>
      <c r="HPR1" s="68"/>
      <c r="HPS1" s="68"/>
      <c r="HPT1" s="68"/>
      <c r="HPU1" s="68"/>
      <c r="HPV1" s="68"/>
      <c r="HPW1" s="68"/>
      <c r="HPX1" s="68"/>
      <c r="HPY1" s="68"/>
      <c r="HPZ1" s="68"/>
      <c r="HQA1" s="68"/>
      <c r="HQB1" s="68"/>
      <c r="HQC1" s="68"/>
      <c r="HQD1" s="68"/>
      <c r="HQE1" s="68"/>
      <c r="HQF1" s="68"/>
      <c r="HQG1" s="68"/>
      <c r="HQH1" s="68"/>
      <c r="HQI1" s="68"/>
      <c r="HQJ1" s="68"/>
      <c r="HQK1" s="68"/>
      <c r="HQL1" s="68"/>
      <c r="HQM1" s="68"/>
      <c r="HQN1" s="68"/>
      <c r="HQO1" s="68"/>
      <c r="HQP1" s="68"/>
      <c r="HQQ1" s="68"/>
      <c r="HQR1" s="68"/>
      <c r="HQS1" s="68"/>
      <c r="HQT1" s="68"/>
      <c r="HQU1" s="68"/>
      <c r="HQV1" s="68"/>
      <c r="HQW1" s="68"/>
      <c r="HQX1" s="68"/>
      <c r="HQY1" s="68"/>
      <c r="HQZ1" s="68"/>
      <c r="HRA1" s="68"/>
      <c r="HRB1" s="68"/>
      <c r="HRC1" s="68"/>
      <c r="HRD1" s="68"/>
      <c r="HRE1" s="68"/>
      <c r="HRF1" s="68"/>
      <c r="HRG1" s="68"/>
      <c r="HRH1" s="68"/>
      <c r="HRI1" s="68"/>
      <c r="HRJ1" s="68"/>
      <c r="HRK1" s="68"/>
      <c r="HRL1" s="68"/>
      <c r="HRM1" s="68"/>
      <c r="HRN1" s="68"/>
      <c r="HRO1" s="68"/>
      <c r="HRP1" s="68"/>
      <c r="HRQ1" s="68"/>
      <c r="HRR1" s="68"/>
      <c r="HRS1" s="68"/>
      <c r="HRT1" s="68"/>
      <c r="HRU1" s="68"/>
      <c r="HRV1" s="68"/>
      <c r="HRW1" s="68"/>
      <c r="HRX1" s="68"/>
      <c r="HRY1" s="68"/>
      <c r="HRZ1" s="68"/>
      <c r="HSA1" s="68"/>
      <c r="HSB1" s="68"/>
      <c r="HSC1" s="68"/>
      <c r="HSD1" s="68"/>
      <c r="HSE1" s="68"/>
      <c r="HSF1" s="68"/>
      <c r="HSG1" s="68"/>
      <c r="HSH1" s="68"/>
      <c r="HSI1" s="68"/>
      <c r="HSJ1" s="68"/>
      <c r="HSK1" s="68"/>
      <c r="HSL1" s="68"/>
      <c r="HSM1" s="68"/>
      <c r="HSN1" s="68"/>
      <c r="HSO1" s="68"/>
      <c r="HSP1" s="68"/>
      <c r="HSQ1" s="68"/>
      <c r="HSR1" s="68"/>
      <c r="HSS1" s="68"/>
      <c r="HST1" s="68"/>
      <c r="HSU1" s="68"/>
      <c r="HSV1" s="68"/>
      <c r="HSW1" s="68"/>
      <c r="HSX1" s="68"/>
      <c r="HSY1" s="68"/>
      <c r="HSZ1" s="68"/>
      <c r="HTA1" s="68"/>
      <c r="HTB1" s="68"/>
      <c r="HTC1" s="68"/>
      <c r="HTD1" s="68"/>
      <c r="HTE1" s="68"/>
      <c r="HTF1" s="68"/>
      <c r="HTG1" s="68"/>
      <c r="HTH1" s="68"/>
      <c r="HTI1" s="68"/>
      <c r="HTJ1" s="68"/>
      <c r="HTK1" s="68"/>
      <c r="HTL1" s="68"/>
      <c r="HTM1" s="68"/>
      <c r="HTN1" s="68"/>
      <c r="HTO1" s="68"/>
      <c r="HTP1" s="68"/>
      <c r="HTQ1" s="68"/>
      <c r="HTR1" s="68"/>
      <c r="HTS1" s="68"/>
      <c r="HTT1" s="68"/>
      <c r="HTU1" s="68"/>
      <c r="HTV1" s="68"/>
      <c r="HTW1" s="68"/>
      <c r="HTX1" s="68"/>
      <c r="HTY1" s="68"/>
      <c r="HTZ1" s="68"/>
      <c r="HUA1" s="68"/>
      <c r="HUB1" s="68"/>
      <c r="HUC1" s="68"/>
      <c r="HUD1" s="68"/>
      <c r="HUE1" s="68"/>
      <c r="HUF1" s="68"/>
      <c r="HUG1" s="68"/>
      <c r="HUH1" s="68"/>
      <c r="HUI1" s="68"/>
      <c r="HUJ1" s="68"/>
      <c r="HUK1" s="68"/>
      <c r="HUL1" s="68"/>
      <c r="HUM1" s="68"/>
      <c r="HUN1" s="68"/>
      <c r="HUO1" s="68"/>
      <c r="HUP1" s="68"/>
      <c r="HUQ1" s="68"/>
      <c r="HUR1" s="68"/>
      <c r="HUS1" s="68"/>
      <c r="HUT1" s="68"/>
      <c r="HUU1" s="68"/>
      <c r="HUV1" s="68"/>
      <c r="HUW1" s="68"/>
      <c r="HUX1" s="68"/>
      <c r="HUY1" s="68"/>
      <c r="HUZ1" s="68"/>
      <c r="HVA1" s="68"/>
      <c r="HVB1" s="68"/>
      <c r="HVC1" s="68"/>
      <c r="HVD1" s="68"/>
      <c r="HVE1" s="68"/>
      <c r="HVF1" s="68"/>
      <c r="HVG1" s="68"/>
      <c r="HVH1" s="68"/>
      <c r="HVI1" s="68"/>
      <c r="HVJ1" s="68"/>
      <c r="HVK1" s="68"/>
      <c r="HVL1" s="68"/>
      <c r="HVM1" s="68"/>
      <c r="HVN1" s="68"/>
      <c r="HVO1" s="68"/>
      <c r="HVP1" s="68"/>
      <c r="HVQ1" s="68"/>
      <c r="HVR1" s="68"/>
      <c r="HVS1" s="68"/>
      <c r="HVT1" s="68"/>
      <c r="HVU1" s="68"/>
      <c r="HVV1" s="68"/>
      <c r="HVW1" s="68"/>
      <c r="HVX1" s="68"/>
      <c r="HVY1" s="68"/>
      <c r="HVZ1" s="68"/>
      <c r="HWA1" s="68"/>
      <c r="HWB1" s="68"/>
      <c r="HWC1" s="68"/>
      <c r="HWD1" s="68"/>
      <c r="HWE1" s="68"/>
      <c r="HWF1" s="68"/>
      <c r="HWG1" s="68"/>
      <c r="HWH1" s="68"/>
      <c r="HWI1" s="68"/>
      <c r="HWJ1" s="68"/>
      <c r="HWK1" s="68"/>
      <c r="HWL1" s="68"/>
      <c r="HWM1" s="68"/>
      <c r="HWN1" s="68"/>
      <c r="HWO1" s="68"/>
      <c r="HWP1" s="68"/>
      <c r="HWQ1" s="68"/>
      <c r="HWR1" s="68"/>
      <c r="HWS1" s="68"/>
      <c r="HWT1" s="68"/>
      <c r="HWU1" s="68"/>
      <c r="HWV1" s="68"/>
      <c r="HWW1" s="68"/>
      <c r="HWX1" s="68"/>
      <c r="HWY1" s="68"/>
      <c r="HWZ1" s="68"/>
      <c r="HXA1" s="68"/>
      <c r="HXB1" s="68"/>
      <c r="HXC1" s="68"/>
      <c r="HXD1" s="68"/>
      <c r="HXE1" s="68"/>
      <c r="HXF1" s="68"/>
      <c r="HXG1" s="68"/>
      <c r="HXH1" s="68"/>
      <c r="HXI1" s="68"/>
      <c r="HXJ1" s="68"/>
      <c r="HXK1" s="68"/>
      <c r="HXL1" s="68"/>
      <c r="HXM1" s="68"/>
      <c r="HXN1" s="68"/>
      <c r="HXO1" s="68"/>
      <c r="HXP1" s="68"/>
      <c r="HXQ1" s="68"/>
      <c r="HXR1" s="68"/>
      <c r="HXS1" s="68"/>
      <c r="HXT1" s="68"/>
      <c r="HXU1" s="68"/>
      <c r="HXV1" s="68"/>
      <c r="HXW1" s="68"/>
      <c r="HXX1" s="68"/>
      <c r="HXY1" s="68"/>
      <c r="HXZ1" s="68"/>
      <c r="HYA1" s="68"/>
      <c r="HYB1" s="68"/>
      <c r="HYC1" s="68"/>
      <c r="HYD1" s="68"/>
      <c r="HYE1" s="68"/>
      <c r="HYF1" s="68"/>
      <c r="HYG1" s="68"/>
      <c r="HYH1" s="68"/>
      <c r="HYI1" s="68"/>
      <c r="HYJ1" s="68"/>
      <c r="HYK1" s="68"/>
      <c r="HYL1" s="68"/>
      <c r="HYM1" s="68"/>
      <c r="HYN1" s="68"/>
      <c r="HYO1" s="68"/>
      <c r="HYP1" s="68"/>
      <c r="HYQ1" s="68"/>
      <c r="HYR1" s="68"/>
      <c r="HYS1" s="68"/>
      <c r="HYT1" s="68"/>
      <c r="HYU1" s="68"/>
      <c r="HYV1" s="68"/>
      <c r="HYW1" s="68"/>
      <c r="HYX1" s="68"/>
      <c r="HYY1" s="68"/>
      <c r="HYZ1" s="68"/>
      <c r="HZA1" s="68"/>
      <c r="HZB1" s="68"/>
      <c r="HZC1" s="68"/>
      <c r="HZD1" s="68"/>
      <c r="HZE1" s="68"/>
      <c r="HZF1" s="68"/>
      <c r="HZG1" s="68"/>
      <c r="HZH1" s="68"/>
      <c r="HZI1" s="68"/>
      <c r="HZJ1" s="68"/>
      <c r="HZK1" s="68"/>
      <c r="HZL1" s="68"/>
      <c r="HZM1" s="68"/>
      <c r="HZN1" s="68"/>
      <c r="HZO1" s="68"/>
      <c r="HZP1" s="68"/>
      <c r="HZQ1" s="68"/>
      <c r="HZR1" s="68"/>
      <c r="HZS1" s="68"/>
      <c r="HZT1" s="68"/>
      <c r="HZU1" s="68"/>
      <c r="HZV1" s="68"/>
      <c r="HZW1" s="68"/>
      <c r="HZX1" s="68"/>
      <c r="HZY1" s="68"/>
      <c r="HZZ1" s="68"/>
      <c r="IAA1" s="68"/>
      <c r="IAB1" s="68"/>
      <c r="IAC1" s="68"/>
      <c r="IAD1" s="68"/>
      <c r="IAE1" s="68"/>
      <c r="IAF1" s="68"/>
      <c r="IAG1" s="68"/>
      <c r="IAH1" s="68"/>
      <c r="IAI1" s="68"/>
      <c r="IAJ1" s="68"/>
      <c r="IAK1" s="68"/>
      <c r="IAL1" s="68"/>
      <c r="IAM1" s="68"/>
      <c r="IAN1" s="68"/>
      <c r="IAO1" s="68"/>
      <c r="IAP1" s="68"/>
      <c r="IAQ1" s="68"/>
      <c r="IAR1" s="68"/>
      <c r="IAS1" s="68"/>
      <c r="IAT1" s="68"/>
      <c r="IAU1" s="68"/>
      <c r="IAV1" s="68"/>
      <c r="IAW1" s="68"/>
      <c r="IAX1" s="68"/>
      <c r="IAY1" s="68"/>
      <c r="IAZ1" s="68"/>
      <c r="IBA1" s="68"/>
      <c r="IBB1" s="68"/>
      <c r="IBC1" s="68"/>
      <c r="IBD1" s="68"/>
      <c r="IBE1" s="68"/>
      <c r="IBF1" s="68"/>
      <c r="IBG1" s="68"/>
      <c r="IBH1" s="68"/>
      <c r="IBI1" s="68"/>
      <c r="IBJ1" s="68"/>
      <c r="IBK1" s="68"/>
      <c r="IBL1" s="68"/>
      <c r="IBM1" s="68"/>
      <c r="IBN1" s="68"/>
      <c r="IBO1" s="68"/>
      <c r="IBP1" s="68"/>
      <c r="IBQ1" s="68"/>
      <c r="IBR1" s="68"/>
      <c r="IBS1" s="68"/>
      <c r="IBT1" s="68"/>
      <c r="IBU1" s="68"/>
      <c r="IBV1" s="68"/>
      <c r="IBW1" s="68"/>
      <c r="IBX1" s="68"/>
      <c r="IBY1" s="68"/>
      <c r="IBZ1" s="68"/>
      <c r="ICA1" s="68"/>
      <c r="ICB1" s="68"/>
      <c r="ICC1" s="68"/>
      <c r="ICD1" s="68"/>
      <c r="ICE1" s="68"/>
      <c r="ICF1" s="68"/>
      <c r="ICG1" s="68"/>
      <c r="ICH1" s="68"/>
      <c r="ICI1" s="68"/>
      <c r="ICJ1" s="68"/>
      <c r="ICK1" s="68"/>
      <c r="ICL1" s="68"/>
      <c r="ICM1" s="68"/>
      <c r="ICN1" s="68"/>
      <c r="ICO1" s="68"/>
      <c r="ICP1" s="68"/>
      <c r="ICQ1" s="68"/>
      <c r="ICR1" s="68"/>
      <c r="ICS1" s="68"/>
      <c r="ICT1" s="68"/>
      <c r="ICU1" s="68"/>
      <c r="ICV1" s="68"/>
      <c r="ICW1" s="68"/>
      <c r="ICX1" s="68"/>
      <c r="ICY1" s="68"/>
      <c r="ICZ1" s="68"/>
      <c r="IDA1" s="68"/>
      <c r="IDB1" s="68"/>
      <c r="IDC1" s="68"/>
      <c r="IDD1" s="68"/>
      <c r="IDE1" s="68"/>
      <c r="IDF1" s="68"/>
      <c r="IDG1" s="68"/>
      <c r="IDH1" s="68"/>
      <c r="IDI1" s="68"/>
      <c r="IDJ1" s="68"/>
      <c r="IDK1" s="68"/>
      <c r="IDL1" s="68"/>
      <c r="IDM1" s="68"/>
      <c r="IDN1" s="68"/>
      <c r="IDO1" s="68"/>
      <c r="IDP1" s="68"/>
      <c r="IDQ1" s="68"/>
      <c r="IDR1" s="68"/>
      <c r="IDS1" s="68"/>
      <c r="IDT1" s="68"/>
      <c r="IDU1" s="68"/>
      <c r="IDV1" s="68"/>
      <c r="IDW1" s="68"/>
      <c r="IDX1" s="68"/>
      <c r="IDY1" s="68"/>
      <c r="IDZ1" s="68"/>
      <c r="IEA1" s="68"/>
      <c r="IEB1" s="68"/>
      <c r="IEC1" s="68"/>
      <c r="IED1" s="68"/>
      <c r="IEE1" s="68"/>
      <c r="IEF1" s="68"/>
      <c r="IEG1" s="68"/>
      <c r="IEH1" s="68"/>
      <c r="IEI1" s="68"/>
      <c r="IEJ1" s="68"/>
      <c r="IEK1" s="68"/>
      <c r="IEL1" s="68"/>
      <c r="IEM1" s="68"/>
      <c r="IEN1" s="68"/>
      <c r="IEO1" s="68"/>
      <c r="IEP1" s="68"/>
      <c r="IEQ1" s="68"/>
      <c r="IER1" s="68"/>
      <c r="IES1" s="68"/>
      <c r="IET1" s="68"/>
      <c r="IEU1" s="68"/>
      <c r="IEV1" s="68"/>
      <c r="IEW1" s="68"/>
      <c r="IEX1" s="68"/>
      <c r="IEY1" s="68"/>
      <c r="IEZ1" s="68"/>
      <c r="IFA1" s="68"/>
      <c r="IFB1" s="68"/>
      <c r="IFC1" s="68"/>
      <c r="IFD1" s="68"/>
      <c r="IFE1" s="68"/>
      <c r="IFF1" s="68"/>
      <c r="IFG1" s="68"/>
      <c r="IFH1" s="68"/>
      <c r="IFI1" s="68"/>
      <c r="IFJ1" s="68"/>
      <c r="IFK1" s="68"/>
      <c r="IFL1" s="68"/>
      <c r="IFM1" s="68"/>
      <c r="IFN1" s="68"/>
      <c r="IFO1" s="68"/>
      <c r="IFP1" s="68"/>
      <c r="IFQ1" s="68"/>
      <c r="IFR1" s="68"/>
      <c r="IFS1" s="68"/>
      <c r="IFT1" s="68"/>
      <c r="IFU1" s="68"/>
      <c r="IFV1" s="68"/>
      <c r="IFW1" s="68"/>
      <c r="IFX1" s="68"/>
      <c r="IFY1" s="68"/>
      <c r="IFZ1" s="68"/>
      <c r="IGA1" s="68"/>
      <c r="IGB1" s="68"/>
      <c r="IGC1" s="68"/>
      <c r="IGD1" s="68"/>
      <c r="IGE1" s="68"/>
      <c r="IGF1" s="68"/>
      <c r="IGG1" s="68"/>
      <c r="IGH1" s="68"/>
      <c r="IGI1" s="68"/>
      <c r="IGJ1" s="68"/>
      <c r="IGK1" s="68"/>
      <c r="IGL1" s="68"/>
      <c r="IGM1" s="68"/>
      <c r="IGN1" s="68"/>
      <c r="IGO1" s="68"/>
      <c r="IGP1" s="68"/>
      <c r="IGQ1" s="68"/>
      <c r="IGR1" s="68"/>
      <c r="IGS1" s="68"/>
      <c r="IGT1" s="68"/>
      <c r="IGU1" s="68"/>
      <c r="IGV1" s="68"/>
      <c r="IGW1" s="68"/>
      <c r="IGX1" s="68"/>
      <c r="IGY1" s="68"/>
      <c r="IGZ1" s="68"/>
      <c r="IHA1" s="68"/>
      <c r="IHB1" s="68"/>
      <c r="IHC1" s="68"/>
      <c r="IHD1" s="68"/>
      <c r="IHE1" s="68"/>
      <c r="IHF1" s="68"/>
      <c r="IHG1" s="68"/>
      <c r="IHH1" s="68"/>
      <c r="IHI1" s="68"/>
      <c r="IHJ1" s="68"/>
      <c r="IHK1" s="68"/>
      <c r="IHL1" s="68"/>
      <c r="IHM1" s="68"/>
      <c r="IHN1" s="68"/>
      <c r="IHO1" s="68"/>
      <c r="IHP1" s="68"/>
      <c r="IHQ1" s="68"/>
      <c r="IHR1" s="68"/>
      <c r="IHS1" s="68"/>
      <c r="IHT1" s="68"/>
      <c r="IHU1" s="68"/>
      <c r="IHV1" s="68"/>
      <c r="IHW1" s="68"/>
      <c r="IHX1" s="68"/>
      <c r="IHY1" s="68"/>
      <c r="IHZ1" s="68"/>
      <c r="IIA1" s="68"/>
      <c r="IIB1" s="68"/>
      <c r="IIC1" s="68"/>
      <c r="IID1" s="68"/>
      <c r="IIE1" s="68"/>
      <c r="IIF1" s="68"/>
      <c r="IIG1" s="68"/>
      <c r="IIH1" s="68"/>
      <c r="III1" s="68"/>
      <c r="IIJ1" s="68"/>
      <c r="IIK1" s="68"/>
      <c r="IIL1" s="68"/>
      <c r="IIM1" s="68"/>
      <c r="IIN1" s="68"/>
      <c r="IIO1" s="68"/>
      <c r="IIP1" s="68"/>
      <c r="IIQ1" s="68"/>
      <c r="IIR1" s="68"/>
      <c r="IIS1" s="68"/>
      <c r="IIT1" s="68"/>
      <c r="IIU1" s="68"/>
      <c r="IIV1" s="68"/>
      <c r="IIW1" s="68"/>
      <c r="IIX1" s="68"/>
      <c r="IIY1" s="68"/>
      <c r="IIZ1" s="68"/>
      <c r="IJA1" s="68"/>
      <c r="IJB1" s="68"/>
      <c r="IJC1" s="68"/>
      <c r="IJD1" s="68"/>
      <c r="IJE1" s="68"/>
      <c r="IJF1" s="68"/>
      <c r="IJG1" s="68"/>
      <c r="IJH1" s="68"/>
      <c r="IJI1" s="68"/>
      <c r="IJJ1" s="68"/>
      <c r="IJK1" s="68"/>
      <c r="IJL1" s="68"/>
      <c r="IJM1" s="68"/>
      <c r="IJN1" s="68"/>
      <c r="IJO1" s="68"/>
      <c r="IJP1" s="68"/>
      <c r="IJQ1" s="68"/>
      <c r="IJR1" s="68"/>
      <c r="IJS1" s="68"/>
      <c r="IJT1" s="68"/>
      <c r="IJU1" s="68"/>
      <c r="IJV1" s="68"/>
      <c r="IJW1" s="68"/>
      <c r="IJX1" s="68"/>
      <c r="IJY1" s="68"/>
      <c r="IJZ1" s="68"/>
      <c r="IKA1" s="68"/>
      <c r="IKB1" s="68"/>
      <c r="IKC1" s="68"/>
      <c r="IKD1" s="68"/>
      <c r="IKE1" s="68"/>
      <c r="IKF1" s="68"/>
      <c r="IKG1" s="68"/>
      <c r="IKH1" s="68"/>
      <c r="IKI1" s="68"/>
      <c r="IKJ1" s="68"/>
      <c r="IKK1" s="68"/>
      <c r="IKL1" s="68"/>
      <c r="IKM1" s="68"/>
      <c r="IKN1" s="68"/>
      <c r="IKO1" s="68"/>
      <c r="IKP1" s="68"/>
      <c r="IKQ1" s="68"/>
      <c r="IKR1" s="68"/>
      <c r="IKS1" s="68"/>
      <c r="IKT1" s="68"/>
      <c r="IKU1" s="68"/>
      <c r="IKV1" s="68"/>
      <c r="IKW1" s="68"/>
      <c r="IKX1" s="68"/>
      <c r="IKY1" s="68"/>
      <c r="IKZ1" s="68"/>
      <c r="ILA1" s="68"/>
      <c r="ILB1" s="68"/>
      <c r="ILC1" s="68"/>
      <c r="ILD1" s="68"/>
      <c r="ILE1" s="68"/>
      <c r="ILF1" s="68"/>
      <c r="ILG1" s="68"/>
      <c r="ILH1" s="68"/>
      <c r="ILI1" s="68"/>
      <c r="ILJ1" s="68"/>
      <c r="ILK1" s="68"/>
      <c r="ILL1" s="68"/>
      <c r="ILM1" s="68"/>
      <c r="ILN1" s="68"/>
      <c r="ILO1" s="68"/>
      <c r="ILP1" s="68"/>
      <c r="ILQ1" s="68"/>
      <c r="ILR1" s="68"/>
      <c r="ILS1" s="68"/>
      <c r="ILT1" s="68"/>
      <c r="ILU1" s="68"/>
      <c r="ILV1" s="68"/>
      <c r="ILW1" s="68"/>
      <c r="ILX1" s="68"/>
      <c r="ILY1" s="68"/>
      <c r="ILZ1" s="68"/>
      <c r="IMA1" s="68"/>
      <c r="IMB1" s="68"/>
      <c r="IMC1" s="68"/>
      <c r="IMD1" s="68"/>
      <c r="IME1" s="68"/>
      <c r="IMF1" s="68"/>
      <c r="IMG1" s="68"/>
      <c r="IMH1" s="68"/>
      <c r="IMI1" s="68"/>
      <c r="IMJ1" s="68"/>
      <c r="IMK1" s="68"/>
      <c r="IML1" s="68"/>
      <c r="IMM1" s="68"/>
      <c r="IMN1" s="68"/>
      <c r="IMO1" s="68"/>
      <c r="IMP1" s="68"/>
      <c r="IMQ1" s="68"/>
      <c r="IMR1" s="68"/>
      <c r="IMS1" s="68"/>
      <c r="IMT1" s="68"/>
      <c r="IMU1" s="68"/>
      <c r="IMV1" s="68"/>
      <c r="IMW1" s="68"/>
      <c r="IMX1" s="68"/>
      <c r="IMY1" s="68"/>
      <c r="IMZ1" s="68"/>
      <c r="INA1" s="68"/>
      <c r="INB1" s="68"/>
      <c r="INC1" s="68"/>
      <c r="IND1" s="68"/>
      <c r="INE1" s="68"/>
      <c r="INF1" s="68"/>
      <c r="ING1" s="68"/>
      <c r="INH1" s="68"/>
      <c r="INI1" s="68"/>
      <c r="INJ1" s="68"/>
      <c r="INK1" s="68"/>
      <c r="INL1" s="68"/>
      <c r="INM1" s="68"/>
      <c r="INN1" s="68"/>
      <c r="INO1" s="68"/>
      <c r="INP1" s="68"/>
      <c r="INQ1" s="68"/>
      <c r="INR1" s="68"/>
      <c r="INS1" s="68"/>
      <c r="INT1" s="68"/>
      <c r="INU1" s="68"/>
      <c r="INV1" s="68"/>
      <c r="INW1" s="68"/>
      <c r="INX1" s="68"/>
      <c r="INY1" s="68"/>
      <c r="INZ1" s="68"/>
      <c r="IOA1" s="68"/>
      <c r="IOB1" s="68"/>
      <c r="IOC1" s="68"/>
      <c r="IOD1" s="68"/>
      <c r="IOE1" s="68"/>
      <c r="IOF1" s="68"/>
      <c r="IOG1" s="68"/>
      <c r="IOH1" s="68"/>
      <c r="IOI1" s="68"/>
      <c r="IOJ1" s="68"/>
      <c r="IOK1" s="68"/>
      <c r="IOL1" s="68"/>
      <c r="IOM1" s="68"/>
      <c r="ION1" s="68"/>
      <c r="IOO1" s="68"/>
      <c r="IOP1" s="68"/>
      <c r="IOQ1" s="68"/>
      <c r="IOR1" s="68"/>
      <c r="IOS1" s="68"/>
      <c r="IOT1" s="68"/>
      <c r="IOU1" s="68"/>
      <c r="IOV1" s="68"/>
      <c r="IOW1" s="68"/>
      <c r="IOX1" s="68"/>
      <c r="IOY1" s="68"/>
      <c r="IOZ1" s="68"/>
      <c r="IPA1" s="68"/>
      <c r="IPB1" s="68"/>
      <c r="IPC1" s="68"/>
      <c r="IPD1" s="68"/>
      <c r="IPE1" s="68"/>
      <c r="IPF1" s="68"/>
      <c r="IPG1" s="68"/>
      <c r="IPH1" s="68"/>
      <c r="IPI1" s="68"/>
      <c r="IPJ1" s="68"/>
      <c r="IPK1" s="68"/>
      <c r="IPL1" s="68"/>
      <c r="IPM1" s="68"/>
      <c r="IPN1" s="68"/>
      <c r="IPO1" s="68"/>
      <c r="IPP1" s="68"/>
      <c r="IPQ1" s="68"/>
      <c r="IPR1" s="68"/>
      <c r="IPS1" s="68"/>
      <c r="IPT1" s="68"/>
      <c r="IPU1" s="68"/>
      <c r="IPV1" s="68"/>
      <c r="IPW1" s="68"/>
      <c r="IPX1" s="68"/>
      <c r="IPY1" s="68"/>
      <c r="IPZ1" s="68"/>
      <c r="IQA1" s="68"/>
      <c r="IQB1" s="68"/>
      <c r="IQC1" s="68"/>
      <c r="IQD1" s="68"/>
      <c r="IQE1" s="68"/>
      <c r="IQF1" s="68"/>
      <c r="IQG1" s="68"/>
      <c r="IQH1" s="68"/>
      <c r="IQI1" s="68"/>
      <c r="IQJ1" s="68"/>
      <c r="IQK1" s="68"/>
      <c r="IQL1" s="68"/>
      <c r="IQM1" s="68"/>
      <c r="IQN1" s="68"/>
      <c r="IQO1" s="68"/>
      <c r="IQP1" s="68"/>
      <c r="IQQ1" s="68"/>
      <c r="IQR1" s="68"/>
      <c r="IQS1" s="68"/>
      <c r="IQT1" s="68"/>
      <c r="IQU1" s="68"/>
      <c r="IQV1" s="68"/>
      <c r="IQW1" s="68"/>
      <c r="IQX1" s="68"/>
      <c r="IQY1" s="68"/>
      <c r="IQZ1" s="68"/>
      <c r="IRA1" s="68"/>
      <c r="IRB1" s="68"/>
      <c r="IRC1" s="68"/>
      <c r="IRD1" s="68"/>
      <c r="IRE1" s="68"/>
      <c r="IRF1" s="68"/>
      <c r="IRG1" s="68"/>
      <c r="IRH1" s="68"/>
      <c r="IRI1" s="68"/>
      <c r="IRJ1" s="68"/>
      <c r="IRK1" s="68"/>
      <c r="IRL1" s="68"/>
      <c r="IRM1" s="68"/>
      <c r="IRN1" s="68"/>
      <c r="IRO1" s="68"/>
      <c r="IRP1" s="68"/>
      <c r="IRQ1" s="68"/>
      <c r="IRR1" s="68"/>
      <c r="IRS1" s="68"/>
      <c r="IRT1" s="68"/>
      <c r="IRU1" s="68"/>
      <c r="IRV1" s="68"/>
      <c r="IRW1" s="68"/>
      <c r="IRX1" s="68"/>
      <c r="IRY1" s="68"/>
      <c r="IRZ1" s="68"/>
      <c r="ISA1" s="68"/>
      <c r="ISB1" s="68"/>
      <c r="ISC1" s="68"/>
      <c r="ISD1" s="68"/>
      <c r="ISE1" s="68"/>
      <c r="ISF1" s="68"/>
      <c r="ISG1" s="68"/>
      <c r="ISH1" s="68"/>
      <c r="ISI1" s="68"/>
      <c r="ISJ1" s="68"/>
      <c r="ISK1" s="68"/>
      <c r="ISL1" s="68"/>
      <c r="ISM1" s="68"/>
      <c r="ISN1" s="68"/>
      <c r="ISO1" s="68"/>
      <c r="ISP1" s="68"/>
      <c r="ISQ1" s="68"/>
      <c r="ISR1" s="68"/>
      <c r="ISS1" s="68"/>
      <c r="IST1" s="68"/>
      <c r="ISU1" s="68"/>
      <c r="ISV1" s="68"/>
      <c r="ISW1" s="68"/>
      <c r="ISX1" s="68"/>
      <c r="ISY1" s="68"/>
      <c r="ISZ1" s="68"/>
      <c r="ITA1" s="68"/>
      <c r="ITB1" s="68"/>
      <c r="ITC1" s="68"/>
      <c r="ITD1" s="68"/>
      <c r="ITE1" s="68"/>
      <c r="ITF1" s="68"/>
      <c r="ITG1" s="68"/>
      <c r="ITH1" s="68"/>
      <c r="ITI1" s="68"/>
      <c r="ITJ1" s="68"/>
      <c r="ITK1" s="68"/>
      <c r="ITL1" s="68"/>
      <c r="ITM1" s="68"/>
      <c r="ITN1" s="68"/>
      <c r="ITO1" s="68"/>
      <c r="ITP1" s="68"/>
      <c r="ITQ1" s="68"/>
      <c r="ITR1" s="68"/>
      <c r="ITS1" s="68"/>
      <c r="ITT1" s="68"/>
      <c r="ITU1" s="68"/>
      <c r="ITV1" s="68"/>
      <c r="ITW1" s="68"/>
      <c r="ITX1" s="68"/>
      <c r="ITY1" s="68"/>
      <c r="ITZ1" s="68"/>
      <c r="IUA1" s="68"/>
      <c r="IUB1" s="68"/>
      <c r="IUC1" s="68"/>
      <c r="IUD1" s="68"/>
      <c r="IUE1" s="68"/>
      <c r="IUF1" s="68"/>
      <c r="IUG1" s="68"/>
      <c r="IUH1" s="68"/>
      <c r="IUI1" s="68"/>
      <c r="IUJ1" s="68"/>
      <c r="IUK1" s="68"/>
      <c r="IUL1" s="68"/>
      <c r="IUM1" s="68"/>
      <c r="IUN1" s="68"/>
      <c r="IUO1" s="68"/>
      <c r="IUP1" s="68"/>
      <c r="IUQ1" s="68"/>
      <c r="IUR1" s="68"/>
      <c r="IUS1" s="68"/>
      <c r="IUT1" s="68"/>
      <c r="IUU1" s="68"/>
      <c r="IUV1" s="68"/>
      <c r="IUW1" s="68"/>
      <c r="IUX1" s="68"/>
      <c r="IUY1" s="68"/>
      <c r="IUZ1" s="68"/>
      <c r="IVA1" s="68"/>
      <c r="IVB1" s="68"/>
      <c r="IVC1" s="68"/>
      <c r="IVD1" s="68"/>
      <c r="IVE1" s="68"/>
      <c r="IVF1" s="68"/>
      <c r="IVG1" s="68"/>
      <c r="IVH1" s="68"/>
      <c r="IVI1" s="68"/>
      <c r="IVJ1" s="68"/>
      <c r="IVK1" s="68"/>
      <c r="IVL1" s="68"/>
      <c r="IVM1" s="68"/>
      <c r="IVN1" s="68"/>
      <c r="IVO1" s="68"/>
      <c r="IVP1" s="68"/>
      <c r="IVQ1" s="68"/>
      <c r="IVR1" s="68"/>
      <c r="IVS1" s="68"/>
      <c r="IVT1" s="68"/>
      <c r="IVU1" s="68"/>
      <c r="IVV1" s="68"/>
      <c r="IVW1" s="68"/>
      <c r="IVX1" s="68"/>
      <c r="IVY1" s="68"/>
      <c r="IVZ1" s="68"/>
      <c r="IWA1" s="68"/>
      <c r="IWB1" s="68"/>
      <c r="IWC1" s="68"/>
      <c r="IWD1" s="68"/>
      <c r="IWE1" s="68"/>
      <c r="IWF1" s="68"/>
      <c r="IWG1" s="68"/>
      <c r="IWH1" s="68"/>
      <c r="IWI1" s="68"/>
      <c r="IWJ1" s="68"/>
      <c r="IWK1" s="68"/>
      <c r="IWL1" s="68"/>
      <c r="IWM1" s="68"/>
      <c r="IWN1" s="68"/>
      <c r="IWO1" s="68"/>
      <c r="IWP1" s="68"/>
      <c r="IWQ1" s="68"/>
      <c r="IWR1" s="68"/>
      <c r="IWS1" s="68"/>
      <c r="IWT1" s="68"/>
      <c r="IWU1" s="68"/>
      <c r="IWV1" s="68"/>
      <c r="IWW1" s="68"/>
      <c r="IWX1" s="68"/>
      <c r="IWY1" s="68"/>
      <c r="IWZ1" s="68"/>
      <c r="IXA1" s="68"/>
      <c r="IXB1" s="68"/>
      <c r="IXC1" s="68"/>
      <c r="IXD1" s="68"/>
      <c r="IXE1" s="68"/>
      <c r="IXF1" s="68"/>
      <c r="IXG1" s="68"/>
      <c r="IXH1" s="68"/>
      <c r="IXI1" s="68"/>
      <c r="IXJ1" s="68"/>
      <c r="IXK1" s="68"/>
      <c r="IXL1" s="68"/>
      <c r="IXM1" s="68"/>
      <c r="IXN1" s="68"/>
      <c r="IXO1" s="68"/>
      <c r="IXP1" s="68"/>
      <c r="IXQ1" s="68"/>
      <c r="IXR1" s="68"/>
      <c r="IXS1" s="68"/>
      <c r="IXT1" s="68"/>
      <c r="IXU1" s="68"/>
      <c r="IXV1" s="68"/>
      <c r="IXW1" s="68"/>
      <c r="IXX1" s="68"/>
      <c r="IXY1" s="68"/>
      <c r="IXZ1" s="68"/>
      <c r="IYA1" s="68"/>
      <c r="IYB1" s="68"/>
      <c r="IYC1" s="68"/>
      <c r="IYD1" s="68"/>
      <c r="IYE1" s="68"/>
      <c r="IYF1" s="68"/>
      <c r="IYG1" s="68"/>
      <c r="IYH1" s="68"/>
      <c r="IYI1" s="68"/>
      <c r="IYJ1" s="68"/>
      <c r="IYK1" s="68"/>
      <c r="IYL1" s="68"/>
      <c r="IYM1" s="68"/>
      <c r="IYN1" s="68"/>
      <c r="IYO1" s="68"/>
      <c r="IYP1" s="68"/>
      <c r="IYQ1" s="68"/>
      <c r="IYR1" s="68"/>
      <c r="IYS1" s="68"/>
      <c r="IYT1" s="68"/>
      <c r="IYU1" s="68"/>
      <c r="IYV1" s="68"/>
      <c r="IYW1" s="68"/>
      <c r="IYX1" s="68"/>
      <c r="IYY1" s="68"/>
      <c r="IYZ1" s="68"/>
      <c r="IZA1" s="68"/>
      <c r="IZB1" s="68"/>
      <c r="IZC1" s="68"/>
      <c r="IZD1" s="68"/>
      <c r="IZE1" s="68"/>
      <c r="IZF1" s="68"/>
      <c r="IZG1" s="68"/>
      <c r="IZH1" s="68"/>
      <c r="IZI1" s="68"/>
      <c r="IZJ1" s="68"/>
      <c r="IZK1" s="68"/>
      <c r="IZL1" s="68"/>
      <c r="IZM1" s="68"/>
      <c r="IZN1" s="68"/>
      <c r="IZO1" s="68"/>
      <c r="IZP1" s="68"/>
      <c r="IZQ1" s="68"/>
      <c r="IZR1" s="68"/>
      <c r="IZS1" s="68"/>
      <c r="IZT1" s="68"/>
      <c r="IZU1" s="68"/>
      <c r="IZV1" s="68"/>
      <c r="IZW1" s="68"/>
      <c r="IZX1" s="68"/>
      <c r="IZY1" s="68"/>
      <c r="IZZ1" s="68"/>
      <c r="JAA1" s="68"/>
      <c r="JAB1" s="68"/>
      <c r="JAC1" s="68"/>
      <c r="JAD1" s="68"/>
      <c r="JAE1" s="68"/>
      <c r="JAF1" s="68"/>
      <c r="JAG1" s="68"/>
      <c r="JAH1" s="68"/>
      <c r="JAI1" s="68"/>
      <c r="JAJ1" s="68"/>
      <c r="JAK1" s="68"/>
      <c r="JAL1" s="68"/>
      <c r="JAM1" s="68"/>
      <c r="JAN1" s="68"/>
      <c r="JAO1" s="68"/>
      <c r="JAP1" s="68"/>
      <c r="JAQ1" s="68"/>
      <c r="JAR1" s="68"/>
      <c r="JAS1" s="68"/>
      <c r="JAT1" s="68"/>
      <c r="JAU1" s="68"/>
      <c r="JAV1" s="68"/>
      <c r="JAW1" s="68"/>
      <c r="JAX1" s="68"/>
      <c r="JAY1" s="68"/>
      <c r="JAZ1" s="68"/>
      <c r="JBA1" s="68"/>
      <c r="JBB1" s="68"/>
      <c r="JBC1" s="68"/>
      <c r="JBD1" s="68"/>
      <c r="JBE1" s="68"/>
      <c r="JBF1" s="68"/>
      <c r="JBG1" s="68"/>
      <c r="JBH1" s="68"/>
      <c r="JBI1" s="68"/>
      <c r="JBJ1" s="68"/>
      <c r="JBK1" s="68"/>
      <c r="JBL1" s="68"/>
      <c r="JBM1" s="68"/>
      <c r="JBN1" s="68"/>
      <c r="JBO1" s="68"/>
      <c r="JBP1" s="68"/>
      <c r="JBQ1" s="68"/>
      <c r="JBR1" s="68"/>
      <c r="JBS1" s="68"/>
      <c r="JBT1" s="68"/>
      <c r="JBU1" s="68"/>
      <c r="JBV1" s="68"/>
      <c r="JBW1" s="68"/>
      <c r="JBX1" s="68"/>
      <c r="JBY1" s="68"/>
      <c r="JBZ1" s="68"/>
      <c r="JCA1" s="68"/>
      <c r="JCB1" s="68"/>
      <c r="JCC1" s="68"/>
      <c r="JCD1" s="68"/>
      <c r="JCE1" s="68"/>
      <c r="JCF1" s="68"/>
      <c r="JCG1" s="68"/>
      <c r="JCH1" s="68"/>
      <c r="JCI1" s="68"/>
      <c r="JCJ1" s="68"/>
      <c r="JCK1" s="68"/>
      <c r="JCL1" s="68"/>
      <c r="JCM1" s="68"/>
      <c r="JCN1" s="68"/>
      <c r="JCO1" s="68"/>
      <c r="JCP1" s="68"/>
      <c r="JCQ1" s="68"/>
      <c r="JCR1" s="68"/>
      <c r="JCS1" s="68"/>
      <c r="JCT1" s="68"/>
      <c r="JCU1" s="68"/>
      <c r="JCV1" s="68"/>
      <c r="JCW1" s="68"/>
      <c r="JCX1" s="68"/>
      <c r="JCY1" s="68"/>
      <c r="JCZ1" s="68"/>
      <c r="JDA1" s="68"/>
      <c r="JDB1" s="68"/>
      <c r="JDC1" s="68"/>
      <c r="JDD1" s="68"/>
      <c r="JDE1" s="68"/>
      <c r="JDF1" s="68"/>
      <c r="JDG1" s="68"/>
      <c r="JDH1" s="68"/>
      <c r="JDI1" s="68"/>
      <c r="JDJ1" s="68"/>
      <c r="JDK1" s="68"/>
      <c r="JDL1" s="68"/>
      <c r="JDM1" s="68"/>
      <c r="JDN1" s="68"/>
      <c r="JDO1" s="68"/>
      <c r="JDP1" s="68"/>
      <c r="JDQ1" s="68"/>
      <c r="JDR1" s="68"/>
      <c r="JDS1" s="68"/>
      <c r="JDT1" s="68"/>
      <c r="JDU1" s="68"/>
      <c r="JDV1" s="68"/>
      <c r="JDW1" s="68"/>
      <c r="JDX1" s="68"/>
      <c r="JDY1" s="68"/>
      <c r="JDZ1" s="68"/>
      <c r="JEA1" s="68"/>
      <c r="JEB1" s="68"/>
      <c r="JEC1" s="68"/>
      <c r="JED1" s="68"/>
      <c r="JEE1" s="68"/>
      <c r="JEF1" s="68"/>
      <c r="JEG1" s="68"/>
      <c r="JEH1" s="68"/>
      <c r="JEI1" s="68"/>
      <c r="JEJ1" s="68"/>
      <c r="JEK1" s="68"/>
      <c r="JEL1" s="68"/>
      <c r="JEM1" s="68"/>
      <c r="JEN1" s="68"/>
      <c r="JEO1" s="68"/>
      <c r="JEP1" s="68"/>
      <c r="JEQ1" s="68"/>
      <c r="JER1" s="68"/>
      <c r="JES1" s="68"/>
      <c r="JET1" s="68"/>
      <c r="JEU1" s="68"/>
      <c r="JEV1" s="68"/>
      <c r="JEW1" s="68"/>
      <c r="JEX1" s="68"/>
      <c r="JEY1" s="68"/>
      <c r="JEZ1" s="68"/>
      <c r="JFA1" s="68"/>
      <c r="JFB1" s="68"/>
      <c r="JFC1" s="68"/>
      <c r="JFD1" s="68"/>
      <c r="JFE1" s="68"/>
      <c r="JFF1" s="68"/>
      <c r="JFG1" s="68"/>
      <c r="JFH1" s="68"/>
      <c r="JFI1" s="68"/>
      <c r="JFJ1" s="68"/>
      <c r="JFK1" s="68"/>
      <c r="JFL1" s="68"/>
      <c r="JFM1" s="68"/>
      <c r="JFN1" s="68"/>
      <c r="JFO1" s="68"/>
      <c r="JFP1" s="68"/>
      <c r="JFQ1" s="68"/>
      <c r="JFR1" s="68"/>
      <c r="JFS1" s="68"/>
      <c r="JFT1" s="68"/>
      <c r="JFU1" s="68"/>
      <c r="JFV1" s="68"/>
      <c r="JFW1" s="68"/>
      <c r="JFX1" s="68"/>
      <c r="JFY1" s="68"/>
      <c r="JFZ1" s="68"/>
      <c r="JGA1" s="68"/>
      <c r="JGB1" s="68"/>
      <c r="JGC1" s="68"/>
      <c r="JGD1" s="68"/>
      <c r="JGE1" s="68"/>
      <c r="JGF1" s="68"/>
      <c r="JGG1" s="68"/>
      <c r="JGH1" s="68"/>
      <c r="JGI1" s="68"/>
      <c r="JGJ1" s="68"/>
      <c r="JGK1" s="68"/>
      <c r="JGL1" s="68"/>
      <c r="JGM1" s="68"/>
      <c r="JGN1" s="68"/>
      <c r="JGO1" s="68"/>
      <c r="JGP1" s="68"/>
      <c r="JGQ1" s="68"/>
      <c r="JGR1" s="68"/>
      <c r="JGS1" s="68"/>
      <c r="JGT1" s="68"/>
      <c r="JGU1" s="68"/>
      <c r="JGV1" s="68"/>
      <c r="JGW1" s="68"/>
      <c r="JGX1" s="68"/>
      <c r="JGY1" s="68"/>
      <c r="JGZ1" s="68"/>
      <c r="JHA1" s="68"/>
      <c r="JHB1" s="68"/>
      <c r="JHC1" s="68"/>
      <c r="JHD1" s="68"/>
      <c r="JHE1" s="68"/>
      <c r="JHF1" s="68"/>
      <c r="JHG1" s="68"/>
      <c r="JHH1" s="68"/>
      <c r="JHI1" s="68"/>
      <c r="JHJ1" s="68"/>
      <c r="JHK1" s="68"/>
      <c r="JHL1" s="68"/>
      <c r="JHM1" s="68"/>
      <c r="JHN1" s="68"/>
      <c r="JHO1" s="68"/>
      <c r="JHP1" s="68"/>
      <c r="JHQ1" s="68"/>
      <c r="JHR1" s="68"/>
      <c r="JHS1" s="68"/>
      <c r="JHT1" s="68"/>
      <c r="JHU1" s="68"/>
      <c r="JHV1" s="68"/>
      <c r="JHW1" s="68"/>
      <c r="JHX1" s="68"/>
      <c r="JHY1" s="68"/>
      <c r="JHZ1" s="68"/>
      <c r="JIA1" s="68"/>
      <c r="JIB1" s="68"/>
      <c r="JIC1" s="68"/>
      <c r="JID1" s="68"/>
      <c r="JIE1" s="68"/>
      <c r="JIF1" s="68"/>
      <c r="JIG1" s="68"/>
      <c r="JIH1" s="68"/>
      <c r="JII1" s="68"/>
      <c r="JIJ1" s="68"/>
      <c r="JIK1" s="68"/>
      <c r="JIL1" s="68"/>
      <c r="JIM1" s="68"/>
      <c r="JIN1" s="68"/>
      <c r="JIO1" s="68"/>
      <c r="JIP1" s="68"/>
      <c r="JIQ1" s="68"/>
      <c r="JIR1" s="68"/>
      <c r="JIS1" s="68"/>
      <c r="JIT1" s="68"/>
      <c r="JIU1" s="68"/>
      <c r="JIV1" s="68"/>
      <c r="JIW1" s="68"/>
      <c r="JIX1" s="68"/>
      <c r="JIY1" s="68"/>
      <c r="JIZ1" s="68"/>
      <c r="JJA1" s="68"/>
      <c r="JJB1" s="68"/>
      <c r="JJC1" s="68"/>
      <c r="JJD1" s="68"/>
      <c r="JJE1" s="68"/>
      <c r="JJF1" s="68"/>
      <c r="JJG1" s="68"/>
      <c r="JJH1" s="68"/>
      <c r="JJI1" s="68"/>
      <c r="JJJ1" s="68"/>
      <c r="JJK1" s="68"/>
      <c r="JJL1" s="68"/>
      <c r="JJM1" s="68"/>
      <c r="JJN1" s="68"/>
      <c r="JJO1" s="68"/>
      <c r="JJP1" s="68"/>
      <c r="JJQ1" s="68"/>
      <c r="JJR1" s="68"/>
      <c r="JJS1" s="68"/>
      <c r="JJT1" s="68"/>
      <c r="JJU1" s="68"/>
      <c r="JJV1" s="68"/>
      <c r="JJW1" s="68"/>
      <c r="JJX1" s="68"/>
      <c r="JJY1" s="68"/>
      <c r="JJZ1" s="68"/>
      <c r="JKA1" s="68"/>
      <c r="JKB1" s="68"/>
      <c r="JKC1" s="68"/>
      <c r="JKD1" s="68"/>
      <c r="JKE1" s="68"/>
      <c r="JKF1" s="68"/>
      <c r="JKG1" s="68"/>
      <c r="JKH1" s="68"/>
      <c r="JKI1" s="68"/>
      <c r="JKJ1" s="68"/>
      <c r="JKK1" s="68"/>
      <c r="JKL1" s="68"/>
      <c r="JKM1" s="68"/>
      <c r="JKN1" s="68"/>
      <c r="JKO1" s="68"/>
      <c r="JKP1" s="68"/>
      <c r="JKQ1" s="68"/>
      <c r="JKR1" s="68"/>
      <c r="JKS1" s="68"/>
      <c r="JKT1" s="68"/>
      <c r="JKU1" s="68"/>
      <c r="JKV1" s="68"/>
      <c r="JKW1" s="68"/>
      <c r="JKX1" s="68"/>
      <c r="JKY1" s="68"/>
      <c r="JKZ1" s="68"/>
      <c r="JLA1" s="68"/>
      <c r="JLB1" s="68"/>
      <c r="JLC1" s="68"/>
      <c r="JLD1" s="68"/>
      <c r="JLE1" s="68"/>
      <c r="JLF1" s="68"/>
      <c r="JLG1" s="68"/>
      <c r="JLH1" s="68"/>
      <c r="JLI1" s="68"/>
      <c r="JLJ1" s="68"/>
      <c r="JLK1" s="68"/>
      <c r="JLL1" s="68"/>
      <c r="JLM1" s="68"/>
      <c r="JLN1" s="68"/>
      <c r="JLO1" s="68"/>
      <c r="JLP1" s="68"/>
      <c r="JLQ1" s="68"/>
      <c r="JLR1" s="68"/>
      <c r="JLS1" s="68"/>
      <c r="JLT1" s="68"/>
      <c r="JLU1" s="68"/>
      <c r="JLV1" s="68"/>
      <c r="JLW1" s="68"/>
      <c r="JLX1" s="68"/>
      <c r="JLY1" s="68"/>
      <c r="JLZ1" s="68"/>
      <c r="JMA1" s="68"/>
      <c r="JMB1" s="68"/>
      <c r="JMC1" s="68"/>
      <c r="JMD1" s="68"/>
      <c r="JME1" s="68"/>
      <c r="JMF1" s="68"/>
      <c r="JMG1" s="68"/>
      <c r="JMH1" s="68"/>
      <c r="JMI1" s="68"/>
      <c r="JMJ1" s="68"/>
      <c r="JMK1" s="68"/>
      <c r="JML1" s="68"/>
      <c r="JMM1" s="68"/>
      <c r="JMN1" s="68"/>
      <c r="JMO1" s="68"/>
      <c r="JMP1" s="68"/>
      <c r="JMQ1" s="68"/>
      <c r="JMR1" s="68"/>
      <c r="JMS1" s="68"/>
      <c r="JMT1" s="68"/>
      <c r="JMU1" s="68"/>
      <c r="JMV1" s="68"/>
      <c r="JMW1" s="68"/>
      <c r="JMX1" s="68"/>
      <c r="JMY1" s="68"/>
      <c r="JMZ1" s="68"/>
      <c r="JNA1" s="68"/>
      <c r="JNB1" s="68"/>
      <c r="JNC1" s="68"/>
      <c r="JND1" s="68"/>
      <c r="JNE1" s="68"/>
      <c r="JNF1" s="68"/>
      <c r="JNG1" s="68"/>
      <c r="JNH1" s="68"/>
      <c r="JNI1" s="68"/>
      <c r="JNJ1" s="68"/>
      <c r="JNK1" s="68"/>
      <c r="JNL1" s="68"/>
      <c r="JNM1" s="68"/>
      <c r="JNN1" s="68"/>
      <c r="JNO1" s="68"/>
      <c r="JNP1" s="68"/>
      <c r="JNQ1" s="68"/>
      <c r="JNR1" s="68"/>
      <c r="JNS1" s="68"/>
      <c r="JNT1" s="68"/>
      <c r="JNU1" s="68"/>
      <c r="JNV1" s="68"/>
      <c r="JNW1" s="68"/>
      <c r="JNX1" s="68"/>
      <c r="JNY1" s="68"/>
      <c r="JNZ1" s="68"/>
      <c r="JOA1" s="68"/>
      <c r="JOB1" s="68"/>
      <c r="JOC1" s="68"/>
      <c r="JOD1" s="68"/>
      <c r="JOE1" s="68"/>
      <c r="JOF1" s="68"/>
      <c r="JOG1" s="68"/>
      <c r="JOH1" s="68"/>
      <c r="JOI1" s="68"/>
      <c r="JOJ1" s="68"/>
      <c r="JOK1" s="68"/>
      <c r="JOL1" s="68"/>
      <c r="JOM1" s="68"/>
      <c r="JON1" s="68"/>
      <c r="JOO1" s="68"/>
      <c r="JOP1" s="68"/>
      <c r="JOQ1" s="68"/>
      <c r="JOR1" s="68"/>
      <c r="JOS1" s="68"/>
      <c r="JOT1" s="68"/>
      <c r="JOU1" s="68"/>
      <c r="JOV1" s="68"/>
      <c r="JOW1" s="68"/>
      <c r="JOX1" s="68"/>
      <c r="JOY1" s="68"/>
      <c r="JOZ1" s="68"/>
      <c r="JPA1" s="68"/>
      <c r="JPB1" s="68"/>
      <c r="JPC1" s="68"/>
      <c r="JPD1" s="68"/>
      <c r="JPE1" s="68"/>
      <c r="JPF1" s="68"/>
      <c r="JPG1" s="68"/>
      <c r="JPH1" s="68"/>
      <c r="JPI1" s="68"/>
      <c r="JPJ1" s="68"/>
      <c r="JPK1" s="68"/>
      <c r="JPL1" s="68"/>
      <c r="JPM1" s="68"/>
      <c r="JPN1" s="68"/>
      <c r="JPO1" s="68"/>
      <c r="JPP1" s="68"/>
      <c r="JPQ1" s="68"/>
      <c r="JPR1" s="68"/>
      <c r="JPS1" s="68"/>
      <c r="JPT1" s="68"/>
      <c r="JPU1" s="68"/>
      <c r="JPV1" s="68"/>
      <c r="JPW1" s="68"/>
      <c r="JPX1" s="68"/>
      <c r="JPY1" s="68"/>
      <c r="JPZ1" s="68"/>
      <c r="JQA1" s="68"/>
      <c r="JQB1" s="68"/>
      <c r="JQC1" s="68"/>
      <c r="JQD1" s="68"/>
      <c r="JQE1" s="68"/>
      <c r="JQF1" s="68"/>
      <c r="JQG1" s="68"/>
      <c r="JQH1" s="68"/>
      <c r="JQI1" s="68"/>
      <c r="JQJ1" s="68"/>
      <c r="JQK1" s="68"/>
      <c r="JQL1" s="68"/>
      <c r="JQM1" s="68"/>
      <c r="JQN1" s="68"/>
      <c r="JQO1" s="68"/>
      <c r="JQP1" s="68"/>
      <c r="JQQ1" s="68"/>
      <c r="JQR1" s="68"/>
      <c r="JQS1" s="68"/>
      <c r="JQT1" s="68"/>
      <c r="JQU1" s="68"/>
      <c r="JQV1" s="68"/>
      <c r="JQW1" s="68"/>
      <c r="JQX1" s="68"/>
      <c r="JQY1" s="68"/>
      <c r="JQZ1" s="68"/>
      <c r="JRA1" s="68"/>
      <c r="JRB1" s="68"/>
      <c r="JRC1" s="68"/>
      <c r="JRD1" s="68"/>
      <c r="JRE1" s="68"/>
      <c r="JRF1" s="68"/>
      <c r="JRG1" s="68"/>
      <c r="JRH1" s="68"/>
      <c r="JRI1" s="68"/>
      <c r="JRJ1" s="68"/>
      <c r="JRK1" s="68"/>
      <c r="JRL1" s="68"/>
      <c r="JRM1" s="68"/>
      <c r="JRN1" s="68"/>
      <c r="JRO1" s="68"/>
      <c r="JRP1" s="68"/>
      <c r="JRQ1" s="68"/>
      <c r="JRR1" s="68"/>
      <c r="JRS1" s="68"/>
      <c r="JRT1" s="68"/>
      <c r="JRU1" s="68"/>
      <c r="JRV1" s="68"/>
      <c r="JRW1" s="68"/>
      <c r="JRX1" s="68"/>
      <c r="JRY1" s="68"/>
      <c r="JRZ1" s="68"/>
      <c r="JSA1" s="68"/>
      <c r="JSB1" s="68"/>
      <c r="JSC1" s="68"/>
      <c r="JSD1" s="68"/>
      <c r="JSE1" s="68"/>
      <c r="JSF1" s="68"/>
      <c r="JSG1" s="68"/>
      <c r="JSH1" s="68"/>
      <c r="JSI1" s="68"/>
      <c r="JSJ1" s="68"/>
      <c r="JSK1" s="68"/>
      <c r="JSL1" s="68"/>
      <c r="JSM1" s="68"/>
      <c r="JSN1" s="68"/>
      <c r="JSO1" s="68"/>
      <c r="JSP1" s="68"/>
      <c r="JSQ1" s="68"/>
      <c r="JSR1" s="68"/>
      <c r="JSS1" s="68"/>
      <c r="JST1" s="68"/>
      <c r="JSU1" s="68"/>
      <c r="JSV1" s="68"/>
      <c r="JSW1" s="68"/>
      <c r="JSX1" s="68"/>
      <c r="JSY1" s="68"/>
      <c r="JSZ1" s="68"/>
      <c r="JTA1" s="68"/>
      <c r="JTB1" s="68"/>
      <c r="JTC1" s="68"/>
      <c r="JTD1" s="68"/>
      <c r="JTE1" s="68"/>
      <c r="JTF1" s="68"/>
      <c r="JTG1" s="68"/>
      <c r="JTH1" s="68"/>
      <c r="JTI1" s="68"/>
      <c r="JTJ1" s="68"/>
      <c r="JTK1" s="68"/>
      <c r="JTL1" s="68"/>
      <c r="JTM1" s="68"/>
      <c r="JTN1" s="68"/>
      <c r="JTO1" s="68"/>
      <c r="JTP1" s="68"/>
      <c r="JTQ1" s="68"/>
      <c r="JTR1" s="68"/>
      <c r="JTS1" s="68"/>
      <c r="JTT1" s="68"/>
      <c r="JTU1" s="68"/>
      <c r="JTV1" s="68"/>
      <c r="JTW1" s="68"/>
      <c r="JTX1" s="68"/>
      <c r="JTY1" s="68"/>
      <c r="JTZ1" s="68"/>
      <c r="JUA1" s="68"/>
      <c r="JUB1" s="68"/>
      <c r="JUC1" s="68"/>
      <c r="JUD1" s="68"/>
      <c r="JUE1" s="68"/>
      <c r="JUF1" s="68"/>
      <c r="JUG1" s="68"/>
      <c r="JUH1" s="68"/>
      <c r="JUI1" s="68"/>
      <c r="JUJ1" s="68"/>
      <c r="JUK1" s="68"/>
      <c r="JUL1" s="68"/>
      <c r="JUM1" s="68"/>
      <c r="JUN1" s="68"/>
      <c r="JUO1" s="68"/>
      <c r="JUP1" s="68"/>
      <c r="JUQ1" s="68"/>
      <c r="JUR1" s="68"/>
      <c r="JUS1" s="68"/>
      <c r="JUT1" s="68"/>
      <c r="JUU1" s="68"/>
      <c r="JUV1" s="68"/>
      <c r="JUW1" s="68"/>
      <c r="JUX1" s="68"/>
      <c r="JUY1" s="68"/>
      <c r="JUZ1" s="68"/>
      <c r="JVA1" s="68"/>
      <c r="JVB1" s="68"/>
      <c r="JVC1" s="68"/>
      <c r="JVD1" s="68"/>
      <c r="JVE1" s="68"/>
      <c r="JVF1" s="68"/>
      <c r="JVG1" s="68"/>
      <c r="JVH1" s="68"/>
      <c r="JVI1" s="68"/>
      <c r="JVJ1" s="68"/>
      <c r="JVK1" s="68"/>
      <c r="JVL1" s="68"/>
      <c r="JVM1" s="68"/>
      <c r="JVN1" s="68"/>
      <c r="JVO1" s="68"/>
      <c r="JVP1" s="68"/>
      <c r="JVQ1" s="68"/>
      <c r="JVR1" s="68"/>
      <c r="JVS1" s="68"/>
      <c r="JVT1" s="68"/>
      <c r="JVU1" s="68"/>
      <c r="JVV1" s="68"/>
      <c r="JVW1" s="68"/>
      <c r="JVX1" s="68"/>
      <c r="JVY1" s="68"/>
      <c r="JVZ1" s="68"/>
      <c r="JWA1" s="68"/>
      <c r="JWB1" s="68"/>
      <c r="JWC1" s="68"/>
      <c r="JWD1" s="68"/>
      <c r="JWE1" s="68"/>
      <c r="JWF1" s="68"/>
      <c r="JWG1" s="68"/>
      <c r="JWH1" s="68"/>
      <c r="JWI1" s="68"/>
      <c r="JWJ1" s="68"/>
      <c r="JWK1" s="68"/>
      <c r="JWL1" s="68"/>
      <c r="JWM1" s="68"/>
      <c r="JWN1" s="68"/>
      <c r="JWO1" s="68"/>
      <c r="JWP1" s="68"/>
      <c r="JWQ1" s="68"/>
      <c r="JWR1" s="68"/>
      <c r="JWS1" s="68"/>
      <c r="JWT1" s="68"/>
      <c r="JWU1" s="68"/>
      <c r="JWV1" s="68"/>
      <c r="JWW1" s="68"/>
      <c r="JWX1" s="68"/>
      <c r="JWY1" s="68"/>
      <c r="JWZ1" s="68"/>
      <c r="JXA1" s="68"/>
      <c r="JXB1" s="68"/>
      <c r="JXC1" s="68"/>
      <c r="JXD1" s="68"/>
      <c r="JXE1" s="68"/>
      <c r="JXF1" s="68"/>
      <c r="JXG1" s="68"/>
      <c r="JXH1" s="68"/>
      <c r="JXI1" s="68"/>
      <c r="JXJ1" s="68"/>
      <c r="JXK1" s="68"/>
      <c r="JXL1" s="68"/>
      <c r="JXM1" s="68"/>
      <c r="JXN1" s="68"/>
      <c r="JXO1" s="68"/>
      <c r="JXP1" s="68"/>
      <c r="JXQ1" s="68"/>
      <c r="JXR1" s="68"/>
      <c r="JXS1" s="68"/>
      <c r="JXT1" s="68"/>
      <c r="JXU1" s="68"/>
      <c r="JXV1" s="68"/>
      <c r="JXW1" s="68"/>
      <c r="JXX1" s="68"/>
      <c r="JXY1" s="68"/>
      <c r="JXZ1" s="68"/>
      <c r="JYA1" s="68"/>
      <c r="JYB1" s="68"/>
      <c r="JYC1" s="68"/>
      <c r="JYD1" s="68"/>
      <c r="JYE1" s="68"/>
      <c r="JYF1" s="68"/>
      <c r="JYG1" s="68"/>
      <c r="JYH1" s="68"/>
      <c r="JYI1" s="68"/>
      <c r="JYJ1" s="68"/>
      <c r="JYK1" s="68"/>
      <c r="JYL1" s="68"/>
      <c r="JYM1" s="68"/>
      <c r="JYN1" s="68"/>
      <c r="JYO1" s="68"/>
      <c r="JYP1" s="68"/>
      <c r="JYQ1" s="68"/>
      <c r="JYR1" s="68"/>
      <c r="JYS1" s="68"/>
      <c r="JYT1" s="68"/>
      <c r="JYU1" s="68"/>
      <c r="JYV1" s="68"/>
      <c r="JYW1" s="68"/>
      <c r="JYX1" s="68"/>
      <c r="JYY1" s="68"/>
      <c r="JYZ1" s="68"/>
      <c r="JZA1" s="68"/>
      <c r="JZB1" s="68"/>
      <c r="JZC1" s="68"/>
      <c r="JZD1" s="68"/>
      <c r="JZE1" s="68"/>
      <c r="JZF1" s="68"/>
      <c r="JZG1" s="68"/>
      <c r="JZH1" s="68"/>
      <c r="JZI1" s="68"/>
      <c r="JZJ1" s="68"/>
      <c r="JZK1" s="68"/>
      <c r="JZL1" s="68"/>
      <c r="JZM1" s="68"/>
      <c r="JZN1" s="68"/>
      <c r="JZO1" s="68"/>
      <c r="JZP1" s="68"/>
      <c r="JZQ1" s="68"/>
      <c r="JZR1" s="68"/>
      <c r="JZS1" s="68"/>
      <c r="JZT1" s="68"/>
      <c r="JZU1" s="68"/>
      <c r="JZV1" s="68"/>
      <c r="JZW1" s="68"/>
      <c r="JZX1" s="68"/>
      <c r="JZY1" s="68"/>
      <c r="JZZ1" s="68"/>
      <c r="KAA1" s="68"/>
      <c r="KAB1" s="68"/>
      <c r="KAC1" s="68"/>
      <c r="KAD1" s="68"/>
      <c r="KAE1" s="68"/>
      <c r="KAF1" s="68"/>
      <c r="KAG1" s="68"/>
      <c r="KAH1" s="68"/>
      <c r="KAI1" s="68"/>
      <c r="KAJ1" s="68"/>
      <c r="KAK1" s="68"/>
      <c r="KAL1" s="68"/>
      <c r="KAM1" s="68"/>
      <c r="KAN1" s="68"/>
      <c r="KAO1" s="68"/>
      <c r="KAP1" s="68"/>
      <c r="KAQ1" s="68"/>
      <c r="KAR1" s="68"/>
      <c r="KAS1" s="68"/>
      <c r="KAT1" s="68"/>
      <c r="KAU1" s="68"/>
      <c r="KAV1" s="68"/>
      <c r="KAW1" s="68"/>
      <c r="KAX1" s="68"/>
      <c r="KAY1" s="68"/>
      <c r="KAZ1" s="68"/>
      <c r="KBA1" s="68"/>
      <c r="KBB1" s="68"/>
      <c r="KBC1" s="68"/>
      <c r="KBD1" s="68"/>
      <c r="KBE1" s="68"/>
      <c r="KBF1" s="68"/>
      <c r="KBG1" s="68"/>
      <c r="KBH1" s="68"/>
      <c r="KBI1" s="68"/>
      <c r="KBJ1" s="68"/>
      <c r="KBK1" s="68"/>
      <c r="KBL1" s="68"/>
      <c r="KBM1" s="68"/>
      <c r="KBN1" s="68"/>
      <c r="KBO1" s="68"/>
      <c r="KBP1" s="68"/>
      <c r="KBQ1" s="68"/>
      <c r="KBR1" s="68"/>
      <c r="KBS1" s="68"/>
      <c r="KBT1" s="68"/>
      <c r="KBU1" s="68"/>
      <c r="KBV1" s="68"/>
      <c r="KBW1" s="68"/>
      <c r="KBX1" s="68"/>
      <c r="KBY1" s="68"/>
      <c r="KBZ1" s="68"/>
      <c r="KCA1" s="68"/>
      <c r="KCB1" s="68"/>
      <c r="KCC1" s="68"/>
      <c r="KCD1" s="68"/>
      <c r="KCE1" s="68"/>
      <c r="KCF1" s="68"/>
      <c r="KCG1" s="68"/>
      <c r="KCH1" s="68"/>
      <c r="KCI1" s="68"/>
      <c r="KCJ1" s="68"/>
      <c r="KCK1" s="68"/>
      <c r="KCL1" s="68"/>
      <c r="KCM1" s="68"/>
      <c r="KCN1" s="68"/>
      <c r="KCO1" s="68"/>
      <c r="KCP1" s="68"/>
      <c r="KCQ1" s="68"/>
      <c r="KCR1" s="68"/>
      <c r="KCS1" s="68"/>
      <c r="KCT1" s="68"/>
      <c r="KCU1" s="68"/>
      <c r="KCV1" s="68"/>
      <c r="KCW1" s="68"/>
      <c r="KCX1" s="68"/>
      <c r="KCY1" s="68"/>
      <c r="KCZ1" s="68"/>
      <c r="KDA1" s="68"/>
      <c r="KDB1" s="68"/>
      <c r="KDC1" s="68"/>
      <c r="KDD1" s="68"/>
      <c r="KDE1" s="68"/>
      <c r="KDF1" s="68"/>
      <c r="KDG1" s="68"/>
      <c r="KDH1" s="68"/>
      <c r="KDI1" s="68"/>
      <c r="KDJ1" s="68"/>
      <c r="KDK1" s="68"/>
      <c r="KDL1" s="68"/>
      <c r="KDM1" s="68"/>
      <c r="KDN1" s="68"/>
      <c r="KDO1" s="68"/>
      <c r="KDP1" s="68"/>
      <c r="KDQ1" s="68"/>
      <c r="KDR1" s="68"/>
      <c r="KDS1" s="68"/>
      <c r="KDT1" s="68"/>
      <c r="KDU1" s="68"/>
      <c r="KDV1" s="68"/>
      <c r="KDW1" s="68"/>
      <c r="KDX1" s="68"/>
      <c r="KDY1" s="68"/>
      <c r="KDZ1" s="68"/>
      <c r="KEA1" s="68"/>
      <c r="KEB1" s="68"/>
      <c r="KEC1" s="68"/>
      <c r="KED1" s="68"/>
      <c r="KEE1" s="68"/>
      <c r="KEF1" s="68"/>
      <c r="KEG1" s="68"/>
      <c r="KEH1" s="68"/>
      <c r="KEI1" s="68"/>
      <c r="KEJ1" s="68"/>
      <c r="KEK1" s="68"/>
      <c r="KEL1" s="68"/>
      <c r="KEM1" s="68"/>
      <c r="KEN1" s="68"/>
      <c r="KEO1" s="68"/>
      <c r="KEP1" s="68"/>
      <c r="KEQ1" s="68"/>
      <c r="KER1" s="68"/>
      <c r="KES1" s="68"/>
      <c r="KET1" s="68"/>
      <c r="KEU1" s="68"/>
      <c r="KEV1" s="68"/>
      <c r="KEW1" s="68"/>
      <c r="KEX1" s="68"/>
      <c r="KEY1" s="68"/>
      <c r="KEZ1" s="68"/>
      <c r="KFA1" s="68"/>
      <c r="KFB1" s="68"/>
      <c r="KFC1" s="68"/>
      <c r="KFD1" s="68"/>
      <c r="KFE1" s="68"/>
      <c r="KFF1" s="68"/>
      <c r="KFG1" s="68"/>
      <c r="KFH1" s="68"/>
      <c r="KFI1" s="68"/>
      <c r="KFJ1" s="68"/>
      <c r="KFK1" s="68"/>
      <c r="KFL1" s="68"/>
      <c r="KFM1" s="68"/>
      <c r="KFN1" s="68"/>
      <c r="KFO1" s="68"/>
      <c r="KFP1" s="68"/>
      <c r="KFQ1" s="68"/>
      <c r="KFR1" s="68"/>
      <c r="KFS1" s="68"/>
      <c r="KFT1" s="68"/>
      <c r="KFU1" s="68"/>
      <c r="KFV1" s="68"/>
      <c r="KFW1" s="68"/>
      <c r="KFX1" s="68"/>
      <c r="KFY1" s="68"/>
      <c r="KFZ1" s="68"/>
      <c r="KGA1" s="68"/>
      <c r="KGB1" s="68"/>
      <c r="KGC1" s="68"/>
      <c r="KGD1" s="68"/>
      <c r="KGE1" s="68"/>
      <c r="KGF1" s="68"/>
      <c r="KGG1" s="68"/>
      <c r="KGH1" s="68"/>
      <c r="KGI1" s="68"/>
      <c r="KGJ1" s="68"/>
      <c r="KGK1" s="68"/>
      <c r="KGL1" s="68"/>
      <c r="KGM1" s="68"/>
      <c r="KGN1" s="68"/>
      <c r="KGO1" s="68"/>
      <c r="KGP1" s="68"/>
      <c r="KGQ1" s="68"/>
      <c r="KGR1" s="68"/>
      <c r="KGS1" s="68"/>
      <c r="KGT1" s="68"/>
      <c r="KGU1" s="68"/>
      <c r="KGV1" s="68"/>
      <c r="KGW1" s="68"/>
      <c r="KGX1" s="68"/>
      <c r="KGY1" s="68"/>
      <c r="KGZ1" s="68"/>
      <c r="KHA1" s="68"/>
      <c r="KHB1" s="68"/>
      <c r="KHC1" s="68"/>
      <c r="KHD1" s="68"/>
      <c r="KHE1" s="68"/>
      <c r="KHF1" s="68"/>
      <c r="KHG1" s="68"/>
      <c r="KHH1" s="68"/>
      <c r="KHI1" s="68"/>
      <c r="KHJ1" s="68"/>
      <c r="KHK1" s="68"/>
      <c r="KHL1" s="68"/>
      <c r="KHM1" s="68"/>
      <c r="KHN1" s="68"/>
      <c r="KHO1" s="68"/>
      <c r="KHP1" s="68"/>
      <c r="KHQ1" s="68"/>
      <c r="KHR1" s="68"/>
      <c r="KHS1" s="68"/>
      <c r="KHT1" s="68"/>
      <c r="KHU1" s="68"/>
      <c r="KHV1" s="68"/>
      <c r="KHW1" s="68"/>
      <c r="KHX1" s="68"/>
      <c r="KHY1" s="68"/>
      <c r="KHZ1" s="68"/>
      <c r="KIA1" s="68"/>
      <c r="KIB1" s="68"/>
      <c r="KIC1" s="68"/>
      <c r="KID1" s="68"/>
      <c r="KIE1" s="68"/>
      <c r="KIF1" s="68"/>
      <c r="KIG1" s="68"/>
      <c r="KIH1" s="68"/>
      <c r="KII1" s="68"/>
      <c r="KIJ1" s="68"/>
      <c r="KIK1" s="68"/>
      <c r="KIL1" s="68"/>
      <c r="KIM1" s="68"/>
      <c r="KIN1" s="68"/>
      <c r="KIO1" s="68"/>
      <c r="KIP1" s="68"/>
      <c r="KIQ1" s="68"/>
      <c r="KIR1" s="68"/>
      <c r="KIS1" s="68"/>
      <c r="KIT1" s="68"/>
      <c r="KIU1" s="68"/>
      <c r="KIV1" s="68"/>
      <c r="KIW1" s="68"/>
      <c r="KIX1" s="68"/>
      <c r="KIY1" s="68"/>
      <c r="KIZ1" s="68"/>
      <c r="KJA1" s="68"/>
      <c r="KJB1" s="68"/>
      <c r="KJC1" s="68"/>
      <c r="KJD1" s="68"/>
      <c r="KJE1" s="68"/>
      <c r="KJF1" s="68"/>
      <c r="KJG1" s="68"/>
      <c r="KJH1" s="68"/>
      <c r="KJI1" s="68"/>
      <c r="KJJ1" s="68"/>
      <c r="KJK1" s="68"/>
      <c r="KJL1" s="68"/>
      <c r="KJM1" s="68"/>
      <c r="KJN1" s="68"/>
      <c r="KJO1" s="68"/>
      <c r="KJP1" s="68"/>
      <c r="KJQ1" s="68"/>
      <c r="KJR1" s="68"/>
      <c r="KJS1" s="68"/>
      <c r="KJT1" s="68"/>
      <c r="KJU1" s="68"/>
      <c r="KJV1" s="68"/>
      <c r="KJW1" s="68"/>
      <c r="KJX1" s="68"/>
      <c r="KJY1" s="68"/>
      <c r="KJZ1" s="68"/>
      <c r="KKA1" s="68"/>
      <c r="KKB1" s="68"/>
      <c r="KKC1" s="68"/>
      <c r="KKD1" s="68"/>
      <c r="KKE1" s="68"/>
      <c r="KKF1" s="68"/>
      <c r="KKG1" s="68"/>
      <c r="KKH1" s="68"/>
      <c r="KKI1" s="68"/>
      <c r="KKJ1" s="68"/>
      <c r="KKK1" s="68"/>
      <c r="KKL1" s="68"/>
      <c r="KKM1" s="68"/>
      <c r="KKN1" s="68"/>
      <c r="KKO1" s="68"/>
      <c r="KKP1" s="68"/>
      <c r="KKQ1" s="68"/>
      <c r="KKR1" s="68"/>
      <c r="KKS1" s="68"/>
      <c r="KKT1" s="68"/>
      <c r="KKU1" s="68"/>
      <c r="KKV1" s="68"/>
      <c r="KKW1" s="68"/>
      <c r="KKX1" s="68"/>
      <c r="KKY1" s="68"/>
      <c r="KKZ1" s="68"/>
      <c r="KLA1" s="68"/>
      <c r="KLB1" s="68"/>
      <c r="KLC1" s="68"/>
      <c r="KLD1" s="68"/>
      <c r="KLE1" s="68"/>
      <c r="KLF1" s="68"/>
      <c r="KLG1" s="68"/>
      <c r="KLH1" s="68"/>
      <c r="KLI1" s="68"/>
      <c r="KLJ1" s="68"/>
      <c r="KLK1" s="68"/>
      <c r="KLL1" s="68"/>
      <c r="KLM1" s="68"/>
      <c r="KLN1" s="68"/>
      <c r="KLO1" s="68"/>
      <c r="KLP1" s="68"/>
      <c r="KLQ1" s="68"/>
      <c r="KLR1" s="68"/>
      <c r="KLS1" s="68"/>
      <c r="KLT1" s="68"/>
      <c r="KLU1" s="68"/>
      <c r="KLV1" s="68"/>
      <c r="KLW1" s="68"/>
      <c r="KLX1" s="68"/>
      <c r="KLY1" s="68"/>
      <c r="KLZ1" s="68"/>
      <c r="KMA1" s="68"/>
      <c r="KMB1" s="68"/>
      <c r="KMC1" s="68"/>
      <c r="KMD1" s="68"/>
      <c r="KME1" s="68"/>
      <c r="KMF1" s="68"/>
      <c r="KMG1" s="68"/>
      <c r="KMH1" s="68"/>
      <c r="KMI1" s="68"/>
      <c r="KMJ1" s="68"/>
      <c r="KMK1" s="68"/>
      <c r="KML1" s="68"/>
      <c r="KMM1" s="68"/>
      <c r="KMN1" s="68"/>
      <c r="KMO1" s="68"/>
      <c r="KMP1" s="68"/>
      <c r="KMQ1" s="68"/>
      <c r="KMR1" s="68"/>
      <c r="KMS1" s="68"/>
      <c r="KMT1" s="68"/>
      <c r="KMU1" s="68"/>
      <c r="KMV1" s="68"/>
      <c r="KMW1" s="68"/>
      <c r="KMX1" s="68"/>
      <c r="KMY1" s="68"/>
      <c r="KMZ1" s="68"/>
      <c r="KNA1" s="68"/>
      <c r="KNB1" s="68"/>
      <c r="KNC1" s="68"/>
      <c r="KND1" s="68"/>
      <c r="KNE1" s="68"/>
      <c r="KNF1" s="68"/>
      <c r="KNG1" s="68"/>
      <c r="KNH1" s="68"/>
      <c r="KNI1" s="68"/>
      <c r="KNJ1" s="68"/>
      <c r="KNK1" s="68"/>
      <c r="KNL1" s="68"/>
      <c r="KNM1" s="68"/>
      <c r="KNN1" s="68"/>
      <c r="KNO1" s="68"/>
      <c r="KNP1" s="68"/>
      <c r="KNQ1" s="68"/>
      <c r="KNR1" s="68"/>
      <c r="KNS1" s="68"/>
      <c r="KNT1" s="68"/>
      <c r="KNU1" s="68"/>
      <c r="KNV1" s="68"/>
      <c r="KNW1" s="68"/>
      <c r="KNX1" s="68"/>
      <c r="KNY1" s="68"/>
      <c r="KNZ1" s="68"/>
      <c r="KOA1" s="68"/>
      <c r="KOB1" s="68"/>
      <c r="KOC1" s="68"/>
      <c r="KOD1" s="68"/>
      <c r="KOE1" s="68"/>
      <c r="KOF1" s="68"/>
      <c r="KOG1" s="68"/>
      <c r="KOH1" s="68"/>
      <c r="KOI1" s="68"/>
      <c r="KOJ1" s="68"/>
      <c r="KOK1" s="68"/>
      <c r="KOL1" s="68"/>
      <c r="KOM1" s="68"/>
      <c r="KON1" s="68"/>
      <c r="KOO1" s="68"/>
      <c r="KOP1" s="68"/>
      <c r="KOQ1" s="68"/>
      <c r="KOR1" s="68"/>
      <c r="KOS1" s="68"/>
      <c r="KOT1" s="68"/>
      <c r="KOU1" s="68"/>
      <c r="KOV1" s="68"/>
      <c r="KOW1" s="68"/>
      <c r="KOX1" s="68"/>
      <c r="KOY1" s="68"/>
      <c r="KOZ1" s="68"/>
      <c r="KPA1" s="68"/>
      <c r="KPB1" s="68"/>
      <c r="KPC1" s="68"/>
      <c r="KPD1" s="68"/>
      <c r="KPE1" s="68"/>
      <c r="KPF1" s="68"/>
      <c r="KPG1" s="68"/>
      <c r="KPH1" s="68"/>
      <c r="KPI1" s="68"/>
      <c r="KPJ1" s="68"/>
      <c r="KPK1" s="68"/>
      <c r="KPL1" s="68"/>
      <c r="KPM1" s="68"/>
      <c r="KPN1" s="68"/>
      <c r="KPO1" s="68"/>
      <c r="KPP1" s="68"/>
      <c r="KPQ1" s="68"/>
      <c r="KPR1" s="68"/>
      <c r="KPS1" s="68"/>
      <c r="KPT1" s="68"/>
      <c r="KPU1" s="68"/>
      <c r="KPV1" s="68"/>
      <c r="KPW1" s="68"/>
      <c r="KPX1" s="68"/>
      <c r="KPY1" s="68"/>
      <c r="KPZ1" s="68"/>
      <c r="KQA1" s="68"/>
      <c r="KQB1" s="68"/>
      <c r="KQC1" s="68"/>
      <c r="KQD1" s="68"/>
      <c r="KQE1" s="68"/>
      <c r="KQF1" s="68"/>
      <c r="KQG1" s="68"/>
      <c r="KQH1" s="68"/>
      <c r="KQI1" s="68"/>
      <c r="KQJ1" s="68"/>
      <c r="KQK1" s="68"/>
      <c r="KQL1" s="68"/>
      <c r="KQM1" s="68"/>
      <c r="KQN1" s="68"/>
      <c r="KQO1" s="68"/>
      <c r="KQP1" s="68"/>
      <c r="KQQ1" s="68"/>
      <c r="KQR1" s="68"/>
      <c r="KQS1" s="68"/>
      <c r="KQT1" s="68"/>
      <c r="KQU1" s="68"/>
      <c r="KQV1" s="68"/>
      <c r="KQW1" s="68"/>
      <c r="KQX1" s="68"/>
      <c r="KQY1" s="68"/>
      <c r="KQZ1" s="68"/>
      <c r="KRA1" s="68"/>
      <c r="KRB1" s="68"/>
      <c r="KRC1" s="68"/>
      <c r="KRD1" s="68"/>
      <c r="KRE1" s="68"/>
      <c r="KRF1" s="68"/>
      <c r="KRG1" s="68"/>
      <c r="KRH1" s="68"/>
      <c r="KRI1" s="68"/>
      <c r="KRJ1" s="68"/>
      <c r="KRK1" s="68"/>
      <c r="KRL1" s="68"/>
      <c r="KRM1" s="68"/>
      <c r="KRN1" s="68"/>
      <c r="KRO1" s="68"/>
      <c r="KRP1" s="68"/>
      <c r="KRQ1" s="68"/>
      <c r="KRR1" s="68"/>
      <c r="KRS1" s="68"/>
      <c r="KRT1" s="68"/>
      <c r="KRU1" s="68"/>
      <c r="KRV1" s="68"/>
      <c r="KRW1" s="68"/>
      <c r="KRX1" s="68"/>
      <c r="KRY1" s="68"/>
      <c r="KRZ1" s="68"/>
      <c r="KSA1" s="68"/>
      <c r="KSB1" s="68"/>
      <c r="KSC1" s="68"/>
      <c r="KSD1" s="68"/>
      <c r="KSE1" s="68"/>
      <c r="KSF1" s="68"/>
      <c r="KSG1" s="68"/>
      <c r="KSH1" s="68"/>
      <c r="KSI1" s="68"/>
      <c r="KSJ1" s="68"/>
      <c r="KSK1" s="68"/>
      <c r="KSL1" s="68"/>
      <c r="KSM1" s="68"/>
      <c r="KSN1" s="68"/>
      <c r="KSO1" s="68"/>
      <c r="KSP1" s="68"/>
      <c r="KSQ1" s="68"/>
      <c r="KSR1" s="68"/>
      <c r="KSS1" s="68"/>
      <c r="KST1" s="68"/>
      <c r="KSU1" s="68"/>
      <c r="KSV1" s="68"/>
      <c r="KSW1" s="68"/>
      <c r="KSX1" s="68"/>
      <c r="KSY1" s="68"/>
      <c r="KSZ1" s="68"/>
      <c r="KTA1" s="68"/>
      <c r="KTB1" s="68"/>
      <c r="KTC1" s="68"/>
      <c r="KTD1" s="68"/>
      <c r="KTE1" s="68"/>
      <c r="KTF1" s="68"/>
      <c r="KTG1" s="68"/>
      <c r="KTH1" s="68"/>
      <c r="KTI1" s="68"/>
      <c r="KTJ1" s="68"/>
      <c r="KTK1" s="68"/>
      <c r="KTL1" s="68"/>
      <c r="KTM1" s="68"/>
      <c r="KTN1" s="68"/>
      <c r="KTO1" s="68"/>
      <c r="KTP1" s="68"/>
      <c r="KTQ1" s="68"/>
      <c r="KTR1" s="68"/>
      <c r="KTS1" s="68"/>
      <c r="KTT1" s="68"/>
      <c r="KTU1" s="68"/>
      <c r="KTV1" s="68"/>
      <c r="KTW1" s="68"/>
      <c r="KTX1" s="68"/>
      <c r="KTY1" s="68"/>
      <c r="KTZ1" s="68"/>
      <c r="KUA1" s="68"/>
      <c r="KUB1" s="68"/>
      <c r="KUC1" s="68"/>
      <c r="KUD1" s="68"/>
      <c r="KUE1" s="68"/>
      <c r="KUF1" s="68"/>
      <c r="KUG1" s="68"/>
      <c r="KUH1" s="68"/>
      <c r="KUI1" s="68"/>
      <c r="KUJ1" s="68"/>
      <c r="KUK1" s="68"/>
      <c r="KUL1" s="68"/>
      <c r="KUM1" s="68"/>
      <c r="KUN1" s="68"/>
      <c r="KUO1" s="68"/>
      <c r="KUP1" s="68"/>
      <c r="KUQ1" s="68"/>
      <c r="KUR1" s="68"/>
      <c r="KUS1" s="68"/>
      <c r="KUT1" s="68"/>
      <c r="KUU1" s="68"/>
      <c r="KUV1" s="68"/>
      <c r="KUW1" s="68"/>
      <c r="KUX1" s="68"/>
      <c r="KUY1" s="68"/>
      <c r="KUZ1" s="68"/>
      <c r="KVA1" s="68"/>
      <c r="KVB1" s="68"/>
      <c r="KVC1" s="68"/>
      <c r="KVD1" s="68"/>
      <c r="KVE1" s="68"/>
      <c r="KVF1" s="68"/>
      <c r="KVG1" s="68"/>
      <c r="KVH1" s="68"/>
      <c r="KVI1" s="68"/>
      <c r="KVJ1" s="68"/>
      <c r="KVK1" s="68"/>
      <c r="KVL1" s="68"/>
      <c r="KVM1" s="68"/>
      <c r="KVN1" s="68"/>
      <c r="KVO1" s="68"/>
      <c r="KVP1" s="68"/>
      <c r="KVQ1" s="68"/>
      <c r="KVR1" s="68"/>
      <c r="KVS1" s="68"/>
      <c r="KVT1" s="68"/>
      <c r="KVU1" s="68"/>
      <c r="KVV1" s="68"/>
      <c r="KVW1" s="68"/>
      <c r="KVX1" s="68"/>
      <c r="KVY1" s="68"/>
      <c r="KVZ1" s="68"/>
      <c r="KWA1" s="68"/>
      <c r="KWB1" s="68"/>
      <c r="KWC1" s="68"/>
      <c r="KWD1" s="68"/>
      <c r="KWE1" s="68"/>
      <c r="KWF1" s="68"/>
      <c r="KWG1" s="68"/>
      <c r="KWH1" s="68"/>
      <c r="KWI1" s="68"/>
      <c r="KWJ1" s="68"/>
      <c r="KWK1" s="68"/>
      <c r="KWL1" s="68"/>
      <c r="KWM1" s="68"/>
      <c r="KWN1" s="68"/>
      <c r="KWO1" s="68"/>
      <c r="KWP1" s="68"/>
      <c r="KWQ1" s="68"/>
      <c r="KWR1" s="68"/>
      <c r="KWS1" s="68"/>
      <c r="KWT1" s="68"/>
      <c r="KWU1" s="68"/>
      <c r="KWV1" s="68"/>
      <c r="KWW1" s="68"/>
      <c r="KWX1" s="68"/>
      <c r="KWY1" s="68"/>
      <c r="KWZ1" s="68"/>
      <c r="KXA1" s="68"/>
      <c r="KXB1" s="68"/>
      <c r="KXC1" s="68"/>
      <c r="KXD1" s="68"/>
      <c r="KXE1" s="68"/>
      <c r="KXF1" s="68"/>
      <c r="KXG1" s="68"/>
      <c r="KXH1" s="68"/>
      <c r="KXI1" s="68"/>
      <c r="KXJ1" s="68"/>
      <c r="KXK1" s="68"/>
      <c r="KXL1" s="68"/>
      <c r="KXM1" s="68"/>
      <c r="KXN1" s="68"/>
      <c r="KXO1" s="68"/>
      <c r="KXP1" s="68"/>
      <c r="KXQ1" s="68"/>
      <c r="KXR1" s="68"/>
      <c r="KXS1" s="68"/>
      <c r="KXT1" s="68"/>
      <c r="KXU1" s="68"/>
      <c r="KXV1" s="68"/>
      <c r="KXW1" s="68"/>
      <c r="KXX1" s="68"/>
      <c r="KXY1" s="68"/>
      <c r="KXZ1" s="68"/>
      <c r="KYA1" s="68"/>
      <c r="KYB1" s="68"/>
      <c r="KYC1" s="68"/>
      <c r="KYD1" s="68"/>
      <c r="KYE1" s="68"/>
      <c r="KYF1" s="68"/>
      <c r="KYG1" s="68"/>
      <c r="KYH1" s="68"/>
      <c r="KYI1" s="68"/>
      <c r="KYJ1" s="68"/>
      <c r="KYK1" s="68"/>
      <c r="KYL1" s="68"/>
      <c r="KYM1" s="68"/>
      <c r="KYN1" s="68"/>
      <c r="KYO1" s="68"/>
      <c r="KYP1" s="68"/>
      <c r="KYQ1" s="68"/>
      <c r="KYR1" s="68"/>
      <c r="KYS1" s="68"/>
      <c r="KYT1" s="68"/>
      <c r="KYU1" s="68"/>
      <c r="KYV1" s="68"/>
      <c r="KYW1" s="68"/>
      <c r="KYX1" s="68"/>
      <c r="KYY1" s="68"/>
      <c r="KYZ1" s="68"/>
      <c r="KZA1" s="68"/>
      <c r="KZB1" s="68"/>
      <c r="KZC1" s="68"/>
      <c r="KZD1" s="68"/>
      <c r="KZE1" s="68"/>
      <c r="KZF1" s="68"/>
      <c r="KZG1" s="68"/>
      <c r="KZH1" s="68"/>
      <c r="KZI1" s="68"/>
      <c r="KZJ1" s="68"/>
      <c r="KZK1" s="68"/>
      <c r="KZL1" s="68"/>
      <c r="KZM1" s="68"/>
      <c r="KZN1" s="68"/>
      <c r="KZO1" s="68"/>
      <c r="KZP1" s="68"/>
      <c r="KZQ1" s="68"/>
      <c r="KZR1" s="68"/>
      <c r="KZS1" s="68"/>
      <c r="KZT1" s="68"/>
      <c r="KZU1" s="68"/>
      <c r="KZV1" s="68"/>
      <c r="KZW1" s="68"/>
      <c r="KZX1" s="68"/>
      <c r="KZY1" s="68"/>
      <c r="KZZ1" s="68"/>
      <c r="LAA1" s="68"/>
      <c r="LAB1" s="68"/>
      <c r="LAC1" s="68"/>
      <c r="LAD1" s="68"/>
      <c r="LAE1" s="68"/>
      <c r="LAF1" s="68"/>
      <c r="LAG1" s="68"/>
      <c r="LAH1" s="68"/>
      <c r="LAI1" s="68"/>
      <c r="LAJ1" s="68"/>
      <c r="LAK1" s="68"/>
      <c r="LAL1" s="68"/>
      <c r="LAM1" s="68"/>
      <c r="LAN1" s="68"/>
      <c r="LAO1" s="68"/>
      <c r="LAP1" s="68"/>
      <c r="LAQ1" s="68"/>
      <c r="LAR1" s="68"/>
      <c r="LAS1" s="68"/>
      <c r="LAT1" s="68"/>
      <c r="LAU1" s="68"/>
      <c r="LAV1" s="68"/>
      <c r="LAW1" s="68"/>
      <c r="LAX1" s="68"/>
      <c r="LAY1" s="68"/>
      <c r="LAZ1" s="68"/>
      <c r="LBA1" s="68"/>
      <c r="LBB1" s="68"/>
      <c r="LBC1" s="68"/>
      <c r="LBD1" s="68"/>
      <c r="LBE1" s="68"/>
      <c r="LBF1" s="68"/>
      <c r="LBG1" s="68"/>
      <c r="LBH1" s="68"/>
      <c r="LBI1" s="68"/>
      <c r="LBJ1" s="68"/>
      <c r="LBK1" s="68"/>
      <c r="LBL1" s="68"/>
      <c r="LBM1" s="68"/>
      <c r="LBN1" s="68"/>
      <c r="LBO1" s="68"/>
      <c r="LBP1" s="68"/>
      <c r="LBQ1" s="68"/>
      <c r="LBR1" s="68"/>
      <c r="LBS1" s="68"/>
      <c r="LBT1" s="68"/>
      <c r="LBU1" s="68"/>
      <c r="LBV1" s="68"/>
      <c r="LBW1" s="68"/>
      <c r="LBX1" s="68"/>
      <c r="LBY1" s="68"/>
      <c r="LBZ1" s="68"/>
      <c r="LCA1" s="68"/>
      <c r="LCB1" s="68"/>
      <c r="LCC1" s="68"/>
      <c r="LCD1" s="68"/>
      <c r="LCE1" s="68"/>
      <c r="LCF1" s="68"/>
      <c r="LCG1" s="68"/>
      <c r="LCH1" s="68"/>
      <c r="LCI1" s="68"/>
      <c r="LCJ1" s="68"/>
      <c r="LCK1" s="68"/>
      <c r="LCL1" s="68"/>
      <c r="LCM1" s="68"/>
      <c r="LCN1" s="68"/>
      <c r="LCO1" s="68"/>
      <c r="LCP1" s="68"/>
      <c r="LCQ1" s="68"/>
      <c r="LCR1" s="68"/>
      <c r="LCS1" s="68"/>
      <c r="LCT1" s="68"/>
      <c r="LCU1" s="68"/>
      <c r="LCV1" s="68"/>
      <c r="LCW1" s="68"/>
      <c r="LCX1" s="68"/>
      <c r="LCY1" s="68"/>
      <c r="LCZ1" s="68"/>
      <c r="LDA1" s="68"/>
      <c r="LDB1" s="68"/>
      <c r="LDC1" s="68"/>
      <c r="LDD1" s="68"/>
      <c r="LDE1" s="68"/>
      <c r="LDF1" s="68"/>
      <c r="LDG1" s="68"/>
      <c r="LDH1" s="68"/>
      <c r="LDI1" s="68"/>
      <c r="LDJ1" s="68"/>
      <c r="LDK1" s="68"/>
      <c r="LDL1" s="68"/>
      <c r="LDM1" s="68"/>
      <c r="LDN1" s="68"/>
      <c r="LDO1" s="68"/>
      <c r="LDP1" s="68"/>
      <c r="LDQ1" s="68"/>
      <c r="LDR1" s="68"/>
      <c r="LDS1" s="68"/>
      <c r="LDT1" s="68"/>
      <c r="LDU1" s="68"/>
      <c r="LDV1" s="68"/>
      <c r="LDW1" s="68"/>
      <c r="LDX1" s="68"/>
      <c r="LDY1" s="68"/>
      <c r="LDZ1" s="68"/>
      <c r="LEA1" s="68"/>
      <c r="LEB1" s="68"/>
      <c r="LEC1" s="68"/>
      <c r="LED1" s="68"/>
      <c r="LEE1" s="68"/>
      <c r="LEF1" s="68"/>
      <c r="LEG1" s="68"/>
      <c r="LEH1" s="68"/>
      <c r="LEI1" s="68"/>
      <c r="LEJ1" s="68"/>
      <c r="LEK1" s="68"/>
      <c r="LEL1" s="68"/>
      <c r="LEM1" s="68"/>
      <c r="LEN1" s="68"/>
      <c r="LEO1" s="68"/>
      <c r="LEP1" s="68"/>
      <c r="LEQ1" s="68"/>
      <c r="LER1" s="68"/>
      <c r="LES1" s="68"/>
      <c r="LET1" s="68"/>
      <c r="LEU1" s="68"/>
      <c r="LEV1" s="68"/>
      <c r="LEW1" s="68"/>
      <c r="LEX1" s="68"/>
      <c r="LEY1" s="68"/>
      <c r="LEZ1" s="68"/>
      <c r="LFA1" s="68"/>
      <c r="LFB1" s="68"/>
      <c r="LFC1" s="68"/>
      <c r="LFD1" s="68"/>
      <c r="LFE1" s="68"/>
      <c r="LFF1" s="68"/>
      <c r="LFG1" s="68"/>
      <c r="LFH1" s="68"/>
      <c r="LFI1" s="68"/>
      <c r="LFJ1" s="68"/>
      <c r="LFK1" s="68"/>
      <c r="LFL1" s="68"/>
      <c r="LFM1" s="68"/>
      <c r="LFN1" s="68"/>
      <c r="LFO1" s="68"/>
      <c r="LFP1" s="68"/>
      <c r="LFQ1" s="68"/>
      <c r="LFR1" s="68"/>
      <c r="LFS1" s="68"/>
      <c r="LFT1" s="68"/>
      <c r="LFU1" s="68"/>
      <c r="LFV1" s="68"/>
      <c r="LFW1" s="68"/>
      <c r="LFX1" s="68"/>
      <c r="LFY1" s="68"/>
      <c r="LFZ1" s="68"/>
      <c r="LGA1" s="68"/>
      <c r="LGB1" s="68"/>
      <c r="LGC1" s="68"/>
      <c r="LGD1" s="68"/>
      <c r="LGE1" s="68"/>
      <c r="LGF1" s="68"/>
      <c r="LGG1" s="68"/>
      <c r="LGH1" s="68"/>
      <c r="LGI1" s="68"/>
      <c r="LGJ1" s="68"/>
      <c r="LGK1" s="68"/>
      <c r="LGL1" s="68"/>
      <c r="LGM1" s="68"/>
      <c r="LGN1" s="68"/>
      <c r="LGO1" s="68"/>
      <c r="LGP1" s="68"/>
      <c r="LGQ1" s="68"/>
      <c r="LGR1" s="68"/>
      <c r="LGS1" s="68"/>
      <c r="LGT1" s="68"/>
      <c r="LGU1" s="68"/>
      <c r="LGV1" s="68"/>
      <c r="LGW1" s="68"/>
      <c r="LGX1" s="68"/>
      <c r="LGY1" s="68"/>
      <c r="LGZ1" s="68"/>
      <c r="LHA1" s="68"/>
      <c r="LHB1" s="68"/>
      <c r="LHC1" s="68"/>
      <c r="LHD1" s="68"/>
      <c r="LHE1" s="68"/>
      <c r="LHF1" s="68"/>
      <c r="LHG1" s="68"/>
      <c r="LHH1" s="68"/>
      <c r="LHI1" s="68"/>
      <c r="LHJ1" s="68"/>
      <c r="LHK1" s="68"/>
      <c r="LHL1" s="68"/>
      <c r="LHM1" s="68"/>
      <c r="LHN1" s="68"/>
      <c r="LHO1" s="68"/>
      <c r="LHP1" s="68"/>
      <c r="LHQ1" s="68"/>
      <c r="LHR1" s="68"/>
      <c r="LHS1" s="68"/>
      <c r="LHT1" s="68"/>
      <c r="LHU1" s="68"/>
      <c r="LHV1" s="68"/>
      <c r="LHW1" s="68"/>
      <c r="LHX1" s="68"/>
      <c r="LHY1" s="68"/>
      <c r="LHZ1" s="68"/>
      <c r="LIA1" s="68"/>
      <c r="LIB1" s="68"/>
      <c r="LIC1" s="68"/>
      <c r="LID1" s="68"/>
      <c r="LIE1" s="68"/>
      <c r="LIF1" s="68"/>
      <c r="LIG1" s="68"/>
      <c r="LIH1" s="68"/>
      <c r="LII1" s="68"/>
      <c r="LIJ1" s="68"/>
      <c r="LIK1" s="68"/>
      <c r="LIL1" s="68"/>
      <c r="LIM1" s="68"/>
      <c r="LIN1" s="68"/>
      <c r="LIO1" s="68"/>
      <c r="LIP1" s="68"/>
      <c r="LIQ1" s="68"/>
      <c r="LIR1" s="68"/>
      <c r="LIS1" s="68"/>
      <c r="LIT1" s="68"/>
      <c r="LIU1" s="68"/>
      <c r="LIV1" s="68"/>
      <c r="LIW1" s="68"/>
      <c r="LIX1" s="68"/>
      <c r="LIY1" s="68"/>
      <c r="LIZ1" s="68"/>
      <c r="LJA1" s="68"/>
      <c r="LJB1" s="68"/>
      <c r="LJC1" s="68"/>
      <c r="LJD1" s="68"/>
      <c r="LJE1" s="68"/>
      <c r="LJF1" s="68"/>
      <c r="LJG1" s="68"/>
      <c r="LJH1" s="68"/>
      <c r="LJI1" s="68"/>
      <c r="LJJ1" s="68"/>
      <c r="LJK1" s="68"/>
      <c r="LJL1" s="68"/>
      <c r="LJM1" s="68"/>
      <c r="LJN1" s="68"/>
      <c r="LJO1" s="68"/>
      <c r="LJP1" s="68"/>
      <c r="LJQ1" s="68"/>
      <c r="LJR1" s="68"/>
      <c r="LJS1" s="68"/>
      <c r="LJT1" s="68"/>
      <c r="LJU1" s="68"/>
      <c r="LJV1" s="68"/>
      <c r="LJW1" s="68"/>
      <c r="LJX1" s="68"/>
      <c r="LJY1" s="68"/>
      <c r="LJZ1" s="68"/>
      <c r="LKA1" s="68"/>
      <c r="LKB1" s="68"/>
      <c r="LKC1" s="68"/>
      <c r="LKD1" s="68"/>
      <c r="LKE1" s="68"/>
      <c r="LKF1" s="68"/>
      <c r="LKG1" s="68"/>
      <c r="LKH1" s="68"/>
      <c r="LKI1" s="68"/>
      <c r="LKJ1" s="68"/>
      <c r="LKK1" s="68"/>
      <c r="LKL1" s="68"/>
      <c r="LKM1" s="68"/>
      <c r="LKN1" s="68"/>
      <c r="LKO1" s="68"/>
      <c r="LKP1" s="68"/>
      <c r="LKQ1" s="68"/>
      <c r="LKR1" s="68"/>
      <c r="LKS1" s="68"/>
      <c r="LKT1" s="68"/>
      <c r="LKU1" s="68"/>
      <c r="LKV1" s="68"/>
      <c r="LKW1" s="68"/>
      <c r="LKX1" s="68"/>
      <c r="LKY1" s="68"/>
      <c r="LKZ1" s="68"/>
      <c r="LLA1" s="68"/>
      <c r="LLB1" s="68"/>
      <c r="LLC1" s="68"/>
      <c r="LLD1" s="68"/>
      <c r="LLE1" s="68"/>
      <c r="LLF1" s="68"/>
      <c r="LLG1" s="68"/>
      <c r="LLH1" s="68"/>
      <c r="LLI1" s="68"/>
      <c r="LLJ1" s="68"/>
      <c r="LLK1" s="68"/>
      <c r="LLL1" s="68"/>
      <c r="LLM1" s="68"/>
      <c r="LLN1" s="68"/>
      <c r="LLO1" s="68"/>
      <c r="LLP1" s="68"/>
      <c r="LLQ1" s="68"/>
      <c r="LLR1" s="68"/>
      <c r="LLS1" s="68"/>
      <c r="LLT1" s="68"/>
      <c r="LLU1" s="68"/>
      <c r="LLV1" s="68"/>
      <c r="LLW1" s="68"/>
      <c r="LLX1" s="68"/>
      <c r="LLY1" s="68"/>
      <c r="LLZ1" s="68"/>
      <c r="LMA1" s="68"/>
      <c r="LMB1" s="68"/>
      <c r="LMC1" s="68"/>
      <c r="LMD1" s="68"/>
      <c r="LME1" s="68"/>
      <c r="LMF1" s="68"/>
      <c r="LMG1" s="68"/>
      <c r="LMH1" s="68"/>
      <c r="LMI1" s="68"/>
      <c r="LMJ1" s="68"/>
      <c r="LMK1" s="68"/>
      <c r="LML1" s="68"/>
      <c r="LMM1" s="68"/>
      <c r="LMN1" s="68"/>
      <c r="LMO1" s="68"/>
      <c r="LMP1" s="68"/>
      <c r="LMQ1" s="68"/>
      <c r="LMR1" s="68"/>
      <c r="LMS1" s="68"/>
      <c r="LMT1" s="68"/>
      <c r="LMU1" s="68"/>
      <c r="LMV1" s="68"/>
      <c r="LMW1" s="68"/>
      <c r="LMX1" s="68"/>
      <c r="LMY1" s="68"/>
      <c r="LMZ1" s="68"/>
      <c r="LNA1" s="68"/>
      <c r="LNB1" s="68"/>
      <c r="LNC1" s="68"/>
      <c r="LND1" s="68"/>
      <c r="LNE1" s="68"/>
      <c r="LNF1" s="68"/>
      <c r="LNG1" s="68"/>
      <c r="LNH1" s="68"/>
      <c r="LNI1" s="68"/>
      <c r="LNJ1" s="68"/>
      <c r="LNK1" s="68"/>
      <c r="LNL1" s="68"/>
      <c r="LNM1" s="68"/>
      <c r="LNN1" s="68"/>
      <c r="LNO1" s="68"/>
      <c r="LNP1" s="68"/>
      <c r="LNQ1" s="68"/>
      <c r="LNR1" s="68"/>
      <c r="LNS1" s="68"/>
      <c r="LNT1" s="68"/>
      <c r="LNU1" s="68"/>
      <c r="LNV1" s="68"/>
      <c r="LNW1" s="68"/>
      <c r="LNX1" s="68"/>
      <c r="LNY1" s="68"/>
      <c r="LNZ1" s="68"/>
      <c r="LOA1" s="68"/>
      <c r="LOB1" s="68"/>
      <c r="LOC1" s="68"/>
      <c r="LOD1" s="68"/>
      <c r="LOE1" s="68"/>
      <c r="LOF1" s="68"/>
      <c r="LOG1" s="68"/>
      <c r="LOH1" s="68"/>
      <c r="LOI1" s="68"/>
      <c r="LOJ1" s="68"/>
      <c r="LOK1" s="68"/>
      <c r="LOL1" s="68"/>
      <c r="LOM1" s="68"/>
      <c r="LON1" s="68"/>
      <c r="LOO1" s="68"/>
      <c r="LOP1" s="68"/>
      <c r="LOQ1" s="68"/>
      <c r="LOR1" s="68"/>
      <c r="LOS1" s="68"/>
      <c r="LOT1" s="68"/>
      <c r="LOU1" s="68"/>
      <c r="LOV1" s="68"/>
      <c r="LOW1" s="68"/>
      <c r="LOX1" s="68"/>
      <c r="LOY1" s="68"/>
      <c r="LOZ1" s="68"/>
      <c r="LPA1" s="68"/>
      <c r="LPB1" s="68"/>
      <c r="LPC1" s="68"/>
      <c r="LPD1" s="68"/>
      <c r="LPE1" s="68"/>
      <c r="LPF1" s="68"/>
      <c r="LPG1" s="68"/>
      <c r="LPH1" s="68"/>
      <c r="LPI1" s="68"/>
      <c r="LPJ1" s="68"/>
      <c r="LPK1" s="68"/>
      <c r="LPL1" s="68"/>
      <c r="LPM1" s="68"/>
      <c r="LPN1" s="68"/>
      <c r="LPO1" s="68"/>
      <c r="LPP1" s="68"/>
      <c r="LPQ1" s="68"/>
      <c r="LPR1" s="68"/>
      <c r="LPS1" s="68"/>
      <c r="LPT1" s="68"/>
      <c r="LPU1" s="68"/>
      <c r="LPV1" s="68"/>
      <c r="LPW1" s="68"/>
      <c r="LPX1" s="68"/>
      <c r="LPY1" s="68"/>
      <c r="LPZ1" s="68"/>
      <c r="LQA1" s="68"/>
      <c r="LQB1" s="68"/>
      <c r="LQC1" s="68"/>
      <c r="LQD1" s="68"/>
      <c r="LQE1" s="68"/>
      <c r="LQF1" s="68"/>
      <c r="LQG1" s="68"/>
      <c r="LQH1" s="68"/>
      <c r="LQI1" s="68"/>
      <c r="LQJ1" s="68"/>
      <c r="LQK1" s="68"/>
      <c r="LQL1" s="68"/>
      <c r="LQM1" s="68"/>
      <c r="LQN1" s="68"/>
      <c r="LQO1" s="68"/>
      <c r="LQP1" s="68"/>
      <c r="LQQ1" s="68"/>
      <c r="LQR1" s="68"/>
      <c r="LQS1" s="68"/>
      <c r="LQT1" s="68"/>
      <c r="LQU1" s="68"/>
      <c r="LQV1" s="68"/>
      <c r="LQW1" s="68"/>
      <c r="LQX1" s="68"/>
      <c r="LQY1" s="68"/>
      <c r="LQZ1" s="68"/>
      <c r="LRA1" s="68"/>
      <c r="LRB1" s="68"/>
      <c r="LRC1" s="68"/>
      <c r="LRD1" s="68"/>
      <c r="LRE1" s="68"/>
      <c r="LRF1" s="68"/>
      <c r="LRG1" s="68"/>
      <c r="LRH1" s="68"/>
      <c r="LRI1" s="68"/>
      <c r="LRJ1" s="68"/>
      <c r="LRK1" s="68"/>
      <c r="LRL1" s="68"/>
      <c r="LRM1" s="68"/>
      <c r="LRN1" s="68"/>
      <c r="LRO1" s="68"/>
      <c r="LRP1" s="68"/>
      <c r="LRQ1" s="68"/>
      <c r="LRR1" s="68"/>
      <c r="LRS1" s="68"/>
      <c r="LRT1" s="68"/>
      <c r="LRU1" s="68"/>
      <c r="LRV1" s="68"/>
      <c r="LRW1" s="68"/>
      <c r="LRX1" s="68"/>
      <c r="LRY1" s="68"/>
      <c r="LRZ1" s="68"/>
      <c r="LSA1" s="68"/>
      <c r="LSB1" s="68"/>
      <c r="LSC1" s="68"/>
      <c r="LSD1" s="68"/>
      <c r="LSE1" s="68"/>
      <c r="LSF1" s="68"/>
      <c r="LSG1" s="68"/>
      <c r="LSH1" s="68"/>
      <c r="LSI1" s="68"/>
      <c r="LSJ1" s="68"/>
      <c r="LSK1" s="68"/>
      <c r="LSL1" s="68"/>
      <c r="LSM1" s="68"/>
      <c r="LSN1" s="68"/>
      <c r="LSO1" s="68"/>
      <c r="LSP1" s="68"/>
      <c r="LSQ1" s="68"/>
      <c r="LSR1" s="68"/>
      <c r="LSS1" s="68"/>
      <c r="LST1" s="68"/>
      <c r="LSU1" s="68"/>
      <c r="LSV1" s="68"/>
      <c r="LSW1" s="68"/>
      <c r="LSX1" s="68"/>
      <c r="LSY1" s="68"/>
      <c r="LSZ1" s="68"/>
      <c r="LTA1" s="68"/>
      <c r="LTB1" s="68"/>
      <c r="LTC1" s="68"/>
      <c r="LTD1" s="68"/>
      <c r="LTE1" s="68"/>
      <c r="LTF1" s="68"/>
      <c r="LTG1" s="68"/>
      <c r="LTH1" s="68"/>
      <c r="LTI1" s="68"/>
      <c r="LTJ1" s="68"/>
      <c r="LTK1" s="68"/>
      <c r="LTL1" s="68"/>
      <c r="LTM1" s="68"/>
      <c r="LTN1" s="68"/>
      <c r="LTO1" s="68"/>
      <c r="LTP1" s="68"/>
      <c r="LTQ1" s="68"/>
      <c r="LTR1" s="68"/>
      <c r="LTS1" s="68"/>
      <c r="LTT1" s="68"/>
      <c r="LTU1" s="68"/>
      <c r="LTV1" s="68"/>
      <c r="LTW1" s="68"/>
      <c r="LTX1" s="68"/>
      <c r="LTY1" s="68"/>
      <c r="LTZ1" s="68"/>
      <c r="LUA1" s="68"/>
      <c r="LUB1" s="68"/>
      <c r="LUC1" s="68"/>
      <c r="LUD1" s="68"/>
      <c r="LUE1" s="68"/>
      <c r="LUF1" s="68"/>
      <c r="LUG1" s="68"/>
      <c r="LUH1" s="68"/>
      <c r="LUI1" s="68"/>
      <c r="LUJ1" s="68"/>
      <c r="LUK1" s="68"/>
      <c r="LUL1" s="68"/>
      <c r="LUM1" s="68"/>
      <c r="LUN1" s="68"/>
      <c r="LUO1" s="68"/>
      <c r="LUP1" s="68"/>
      <c r="LUQ1" s="68"/>
      <c r="LUR1" s="68"/>
      <c r="LUS1" s="68"/>
      <c r="LUT1" s="68"/>
      <c r="LUU1" s="68"/>
      <c r="LUV1" s="68"/>
      <c r="LUW1" s="68"/>
      <c r="LUX1" s="68"/>
      <c r="LUY1" s="68"/>
      <c r="LUZ1" s="68"/>
      <c r="LVA1" s="68"/>
      <c r="LVB1" s="68"/>
      <c r="LVC1" s="68"/>
      <c r="LVD1" s="68"/>
      <c r="LVE1" s="68"/>
      <c r="LVF1" s="68"/>
      <c r="LVG1" s="68"/>
      <c r="LVH1" s="68"/>
      <c r="LVI1" s="68"/>
      <c r="LVJ1" s="68"/>
      <c r="LVK1" s="68"/>
      <c r="LVL1" s="68"/>
      <c r="LVM1" s="68"/>
      <c r="LVN1" s="68"/>
      <c r="LVO1" s="68"/>
      <c r="LVP1" s="68"/>
      <c r="LVQ1" s="68"/>
      <c r="LVR1" s="68"/>
      <c r="LVS1" s="68"/>
      <c r="LVT1" s="68"/>
      <c r="LVU1" s="68"/>
      <c r="LVV1" s="68"/>
      <c r="LVW1" s="68"/>
      <c r="LVX1" s="68"/>
      <c r="LVY1" s="68"/>
      <c r="LVZ1" s="68"/>
      <c r="LWA1" s="68"/>
      <c r="LWB1" s="68"/>
      <c r="LWC1" s="68"/>
      <c r="LWD1" s="68"/>
      <c r="LWE1" s="68"/>
      <c r="LWF1" s="68"/>
      <c r="LWG1" s="68"/>
      <c r="LWH1" s="68"/>
      <c r="LWI1" s="68"/>
      <c r="LWJ1" s="68"/>
      <c r="LWK1" s="68"/>
      <c r="LWL1" s="68"/>
      <c r="LWM1" s="68"/>
      <c r="LWN1" s="68"/>
      <c r="LWO1" s="68"/>
      <c r="LWP1" s="68"/>
      <c r="LWQ1" s="68"/>
      <c r="LWR1" s="68"/>
      <c r="LWS1" s="68"/>
      <c r="LWT1" s="68"/>
      <c r="LWU1" s="68"/>
      <c r="LWV1" s="68"/>
      <c r="LWW1" s="68"/>
      <c r="LWX1" s="68"/>
      <c r="LWY1" s="68"/>
      <c r="LWZ1" s="68"/>
      <c r="LXA1" s="68"/>
      <c r="LXB1" s="68"/>
      <c r="LXC1" s="68"/>
      <c r="LXD1" s="68"/>
      <c r="LXE1" s="68"/>
      <c r="LXF1" s="68"/>
      <c r="LXG1" s="68"/>
      <c r="LXH1" s="68"/>
      <c r="LXI1" s="68"/>
      <c r="LXJ1" s="68"/>
      <c r="LXK1" s="68"/>
      <c r="LXL1" s="68"/>
      <c r="LXM1" s="68"/>
      <c r="LXN1" s="68"/>
      <c r="LXO1" s="68"/>
      <c r="LXP1" s="68"/>
      <c r="LXQ1" s="68"/>
      <c r="LXR1" s="68"/>
      <c r="LXS1" s="68"/>
      <c r="LXT1" s="68"/>
      <c r="LXU1" s="68"/>
      <c r="LXV1" s="68"/>
      <c r="LXW1" s="68"/>
      <c r="LXX1" s="68"/>
      <c r="LXY1" s="68"/>
      <c r="LXZ1" s="68"/>
      <c r="LYA1" s="68"/>
      <c r="LYB1" s="68"/>
      <c r="LYC1" s="68"/>
      <c r="LYD1" s="68"/>
      <c r="LYE1" s="68"/>
      <c r="LYF1" s="68"/>
      <c r="LYG1" s="68"/>
      <c r="LYH1" s="68"/>
      <c r="LYI1" s="68"/>
      <c r="LYJ1" s="68"/>
      <c r="LYK1" s="68"/>
      <c r="LYL1" s="68"/>
      <c r="LYM1" s="68"/>
      <c r="LYN1" s="68"/>
      <c r="LYO1" s="68"/>
      <c r="LYP1" s="68"/>
      <c r="LYQ1" s="68"/>
      <c r="LYR1" s="68"/>
      <c r="LYS1" s="68"/>
      <c r="LYT1" s="68"/>
      <c r="LYU1" s="68"/>
      <c r="LYV1" s="68"/>
      <c r="LYW1" s="68"/>
      <c r="LYX1" s="68"/>
      <c r="LYY1" s="68"/>
      <c r="LYZ1" s="68"/>
      <c r="LZA1" s="68"/>
      <c r="LZB1" s="68"/>
      <c r="LZC1" s="68"/>
      <c r="LZD1" s="68"/>
      <c r="LZE1" s="68"/>
      <c r="LZF1" s="68"/>
      <c r="LZG1" s="68"/>
      <c r="LZH1" s="68"/>
      <c r="LZI1" s="68"/>
      <c r="LZJ1" s="68"/>
      <c r="LZK1" s="68"/>
      <c r="LZL1" s="68"/>
      <c r="LZM1" s="68"/>
      <c r="LZN1" s="68"/>
      <c r="LZO1" s="68"/>
      <c r="LZP1" s="68"/>
      <c r="LZQ1" s="68"/>
      <c r="LZR1" s="68"/>
      <c r="LZS1" s="68"/>
      <c r="LZT1" s="68"/>
      <c r="LZU1" s="68"/>
      <c r="LZV1" s="68"/>
      <c r="LZW1" s="68"/>
      <c r="LZX1" s="68"/>
      <c r="LZY1" s="68"/>
      <c r="LZZ1" s="68"/>
      <c r="MAA1" s="68"/>
      <c r="MAB1" s="68"/>
      <c r="MAC1" s="68"/>
      <c r="MAD1" s="68"/>
      <c r="MAE1" s="68"/>
      <c r="MAF1" s="68"/>
      <c r="MAG1" s="68"/>
      <c r="MAH1" s="68"/>
      <c r="MAI1" s="68"/>
      <c r="MAJ1" s="68"/>
      <c r="MAK1" s="68"/>
      <c r="MAL1" s="68"/>
      <c r="MAM1" s="68"/>
      <c r="MAN1" s="68"/>
      <c r="MAO1" s="68"/>
      <c r="MAP1" s="68"/>
      <c r="MAQ1" s="68"/>
      <c r="MAR1" s="68"/>
      <c r="MAS1" s="68"/>
      <c r="MAT1" s="68"/>
      <c r="MAU1" s="68"/>
      <c r="MAV1" s="68"/>
      <c r="MAW1" s="68"/>
      <c r="MAX1" s="68"/>
      <c r="MAY1" s="68"/>
      <c r="MAZ1" s="68"/>
      <c r="MBA1" s="68"/>
      <c r="MBB1" s="68"/>
      <c r="MBC1" s="68"/>
      <c r="MBD1" s="68"/>
      <c r="MBE1" s="68"/>
      <c r="MBF1" s="68"/>
      <c r="MBG1" s="68"/>
      <c r="MBH1" s="68"/>
      <c r="MBI1" s="68"/>
      <c r="MBJ1" s="68"/>
      <c r="MBK1" s="68"/>
      <c r="MBL1" s="68"/>
      <c r="MBM1" s="68"/>
      <c r="MBN1" s="68"/>
      <c r="MBO1" s="68"/>
      <c r="MBP1" s="68"/>
      <c r="MBQ1" s="68"/>
      <c r="MBR1" s="68"/>
      <c r="MBS1" s="68"/>
      <c r="MBT1" s="68"/>
      <c r="MBU1" s="68"/>
      <c r="MBV1" s="68"/>
      <c r="MBW1" s="68"/>
      <c r="MBX1" s="68"/>
      <c r="MBY1" s="68"/>
      <c r="MBZ1" s="68"/>
      <c r="MCA1" s="68"/>
      <c r="MCB1" s="68"/>
      <c r="MCC1" s="68"/>
      <c r="MCD1" s="68"/>
      <c r="MCE1" s="68"/>
      <c r="MCF1" s="68"/>
      <c r="MCG1" s="68"/>
      <c r="MCH1" s="68"/>
      <c r="MCI1" s="68"/>
      <c r="MCJ1" s="68"/>
      <c r="MCK1" s="68"/>
      <c r="MCL1" s="68"/>
      <c r="MCM1" s="68"/>
      <c r="MCN1" s="68"/>
      <c r="MCO1" s="68"/>
      <c r="MCP1" s="68"/>
      <c r="MCQ1" s="68"/>
      <c r="MCR1" s="68"/>
      <c r="MCS1" s="68"/>
      <c r="MCT1" s="68"/>
      <c r="MCU1" s="68"/>
      <c r="MCV1" s="68"/>
      <c r="MCW1" s="68"/>
      <c r="MCX1" s="68"/>
      <c r="MCY1" s="68"/>
      <c r="MCZ1" s="68"/>
      <c r="MDA1" s="68"/>
      <c r="MDB1" s="68"/>
      <c r="MDC1" s="68"/>
      <c r="MDD1" s="68"/>
      <c r="MDE1" s="68"/>
      <c r="MDF1" s="68"/>
      <c r="MDG1" s="68"/>
      <c r="MDH1" s="68"/>
      <c r="MDI1" s="68"/>
      <c r="MDJ1" s="68"/>
      <c r="MDK1" s="68"/>
      <c r="MDL1" s="68"/>
      <c r="MDM1" s="68"/>
      <c r="MDN1" s="68"/>
      <c r="MDO1" s="68"/>
      <c r="MDP1" s="68"/>
      <c r="MDQ1" s="68"/>
      <c r="MDR1" s="68"/>
      <c r="MDS1" s="68"/>
      <c r="MDT1" s="68"/>
      <c r="MDU1" s="68"/>
      <c r="MDV1" s="68"/>
      <c r="MDW1" s="68"/>
      <c r="MDX1" s="68"/>
      <c r="MDY1" s="68"/>
      <c r="MDZ1" s="68"/>
      <c r="MEA1" s="68"/>
      <c r="MEB1" s="68"/>
      <c r="MEC1" s="68"/>
      <c r="MED1" s="68"/>
      <c r="MEE1" s="68"/>
      <c r="MEF1" s="68"/>
      <c r="MEG1" s="68"/>
      <c r="MEH1" s="68"/>
      <c r="MEI1" s="68"/>
      <c r="MEJ1" s="68"/>
      <c r="MEK1" s="68"/>
      <c r="MEL1" s="68"/>
      <c r="MEM1" s="68"/>
      <c r="MEN1" s="68"/>
      <c r="MEO1" s="68"/>
      <c r="MEP1" s="68"/>
      <c r="MEQ1" s="68"/>
      <c r="MER1" s="68"/>
      <c r="MES1" s="68"/>
      <c r="MET1" s="68"/>
      <c r="MEU1" s="68"/>
      <c r="MEV1" s="68"/>
      <c r="MEW1" s="68"/>
      <c r="MEX1" s="68"/>
      <c r="MEY1" s="68"/>
      <c r="MEZ1" s="68"/>
      <c r="MFA1" s="68"/>
      <c r="MFB1" s="68"/>
      <c r="MFC1" s="68"/>
      <c r="MFD1" s="68"/>
      <c r="MFE1" s="68"/>
      <c r="MFF1" s="68"/>
      <c r="MFG1" s="68"/>
      <c r="MFH1" s="68"/>
      <c r="MFI1" s="68"/>
      <c r="MFJ1" s="68"/>
      <c r="MFK1" s="68"/>
      <c r="MFL1" s="68"/>
      <c r="MFM1" s="68"/>
      <c r="MFN1" s="68"/>
      <c r="MFO1" s="68"/>
      <c r="MFP1" s="68"/>
      <c r="MFQ1" s="68"/>
      <c r="MFR1" s="68"/>
      <c r="MFS1" s="68"/>
      <c r="MFT1" s="68"/>
      <c r="MFU1" s="68"/>
      <c r="MFV1" s="68"/>
      <c r="MFW1" s="68"/>
      <c r="MFX1" s="68"/>
      <c r="MFY1" s="68"/>
      <c r="MFZ1" s="68"/>
      <c r="MGA1" s="68"/>
      <c r="MGB1" s="68"/>
      <c r="MGC1" s="68"/>
      <c r="MGD1" s="68"/>
      <c r="MGE1" s="68"/>
      <c r="MGF1" s="68"/>
      <c r="MGG1" s="68"/>
      <c r="MGH1" s="68"/>
      <c r="MGI1" s="68"/>
      <c r="MGJ1" s="68"/>
      <c r="MGK1" s="68"/>
      <c r="MGL1" s="68"/>
      <c r="MGM1" s="68"/>
      <c r="MGN1" s="68"/>
      <c r="MGO1" s="68"/>
      <c r="MGP1" s="68"/>
      <c r="MGQ1" s="68"/>
      <c r="MGR1" s="68"/>
      <c r="MGS1" s="68"/>
      <c r="MGT1" s="68"/>
      <c r="MGU1" s="68"/>
      <c r="MGV1" s="68"/>
      <c r="MGW1" s="68"/>
      <c r="MGX1" s="68"/>
      <c r="MGY1" s="68"/>
      <c r="MGZ1" s="68"/>
      <c r="MHA1" s="68"/>
      <c r="MHB1" s="68"/>
      <c r="MHC1" s="68"/>
      <c r="MHD1" s="68"/>
      <c r="MHE1" s="68"/>
      <c r="MHF1" s="68"/>
      <c r="MHG1" s="68"/>
      <c r="MHH1" s="68"/>
      <c r="MHI1" s="68"/>
      <c r="MHJ1" s="68"/>
      <c r="MHK1" s="68"/>
      <c r="MHL1" s="68"/>
      <c r="MHM1" s="68"/>
      <c r="MHN1" s="68"/>
      <c r="MHO1" s="68"/>
      <c r="MHP1" s="68"/>
      <c r="MHQ1" s="68"/>
      <c r="MHR1" s="68"/>
      <c r="MHS1" s="68"/>
      <c r="MHT1" s="68"/>
      <c r="MHU1" s="68"/>
      <c r="MHV1" s="68"/>
      <c r="MHW1" s="68"/>
      <c r="MHX1" s="68"/>
      <c r="MHY1" s="68"/>
      <c r="MHZ1" s="68"/>
      <c r="MIA1" s="68"/>
      <c r="MIB1" s="68"/>
      <c r="MIC1" s="68"/>
      <c r="MID1" s="68"/>
      <c r="MIE1" s="68"/>
      <c r="MIF1" s="68"/>
      <c r="MIG1" s="68"/>
      <c r="MIH1" s="68"/>
      <c r="MII1" s="68"/>
      <c r="MIJ1" s="68"/>
      <c r="MIK1" s="68"/>
      <c r="MIL1" s="68"/>
      <c r="MIM1" s="68"/>
      <c r="MIN1" s="68"/>
      <c r="MIO1" s="68"/>
      <c r="MIP1" s="68"/>
      <c r="MIQ1" s="68"/>
      <c r="MIR1" s="68"/>
      <c r="MIS1" s="68"/>
      <c r="MIT1" s="68"/>
      <c r="MIU1" s="68"/>
      <c r="MIV1" s="68"/>
      <c r="MIW1" s="68"/>
      <c r="MIX1" s="68"/>
      <c r="MIY1" s="68"/>
      <c r="MIZ1" s="68"/>
      <c r="MJA1" s="68"/>
      <c r="MJB1" s="68"/>
      <c r="MJC1" s="68"/>
      <c r="MJD1" s="68"/>
      <c r="MJE1" s="68"/>
      <c r="MJF1" s="68"/>
      <c r="MJG1" s="68"/>
      <c r="MJH1" s="68"/>
      <c r="MJI1" s="68"/>
      <c r="MJJ1" s="68"/>
      <c r="MJK1" s="68"/>
      <c r="MJL1" s="68"/>
      <c r="MJM1" s="68"/>
      <c r="MJN1" s="68"/>
      <c r="MJO1" s="68"/>
      <c r="MJP1" s="68"/>
      <c r="MJQ1" s="68"/>
      <c r="MJR1" s="68"/>
      <c r="MJS1" s="68"/>
      <c r="MJT1" s="68"/>
      <c r="MJU1" s="68"/>
      <c r="MJV1" s="68"/>
      <c r="MJW1" s="68"/>
      <c r="MJX1" s="68"/>
      <c r="MJY1" s="68"/>
      <c r="MJZ1" s="68"/>
      <c r="MKA1" s="68"/>
      <c r="MKB1" s="68"/>
      <c r="MKC1" s="68"/>
      <c r="MKD1" s="68"/>
      <c r="MKE1" s="68"/>
      <c r="MKF1" s="68"/>
      <c r="MKG1" s="68"/>
      <c r="MKH1" s="68"/>
      <c r="MKI1" s="68"/>
      <c r="MKJ1" s="68"/>
      <c r="MKK1" s="68"/>
      <c r="MKL1" s="68"/>
      <c r="MKM1" s="68"/>
      <c r="MKN1" s="68"/>
      <c r="MKO1" s="68"/>
      <c r="MKP1" s="68"/>
      <c r="MKQ1" s="68"/>
      <c r="MKR1" s="68"/>
      <c r="MKS1" s="68"/>
      <c r="MKT1" s="68"/>
      <c r="MKU1" s="68"/>
      <c r="MKV1" s="68"/>
      <c r="MKW1" s="68"/>
      <c r="MKX1" s="68"/>
      <c r="MKY1" s="68"/>
      <c r="MKZ1" s="68"/>
      <c r="MLA1" s="68"/>
      <c r="MLB1" s="68"/>
      <c r="MLC1" s="68"/>
      <c r="MLD1" s="68"/>
      <c r="MLE1" s="68"/>
      <c r="MLF1" s="68"/>
      <c r="MLG1" s="68"/>
      <c r="MLH1" s="68"/>
      <c r="MLI1" s="68"/>
      <c r="MLJ1" s="68"/>
      <c r="MLK1" s="68"/>
      <c r="MLL1" s="68"/>
      <c r="MLM1" s="68"/>
      <c r="MLN1" s="68"/>
      <c r="MLO1" s="68"/>
      <c r="MLP1" s="68"/>
      <c r="MLQ1" s="68"/>
      <c r="MLR1" s="68"/>
      <c r="MLS1" s="68"/>
      <c r="MLT1" s="68"/>
      <c r="MLU1" s="68"/>
      <c r="MLV1" s="68"/>
      <c r="MLW1" s="68"/>
      <c r="MLX1" s="68"/>
      <c r="MLY1" s="68"/>
      <c r="MLZ1" s="68"/>
      <c r="MMA1" s="68"/>
      <c r="MMB1" s="68"/>
      <c r="MMC1" s="68"/>
      <c r="MMD1" s="68"/>
      <c r="MME1" s="68"/>
      <c r="MMF1" s="68"/>
      <c r="MMG1" s="68"/>
      <c r="MMH1" s="68"/>
      <c r="MMI1" s="68"/>
      <c r="MMJ1" s="68"/>
      <c r="MMK1" s="68"/>
      <c r="MML1" s="68"/>
      <c r="MMM1" s="68"/>
      <c r="MMN1" s="68"/>
      <c r="MMO1" s="68"/>
      <c r="MMP1" s="68"/>
      <c r="MMQ1" s="68"/>
      <c r="MMR1" s="68"/>
      <c r="MMS1" s="68"/>
      <c r="MMT1" s="68"/>
      <c r="MMU1" s="68"/>
      <c r="MMV1" s="68"/>
      <c r="MMW1" s="68"/>
      <c r="MMX1" s="68"/>
      <c r="MMY1" s="68"/>
      <c r="MMZ1" s="68"/>
      <c r="MNA1" s="68"/>
      <c r="MNB1" s="68"/>
      <c r="MNC1" s="68"/>
      <c r="MND1" s="68"/>
      <c r="MNE1" s="68"/>
      <c r="MNF1" s="68"/>
      <c r="MNG1" s="68"/>
      <c r="MNH1" s="68"/>
      <c r="MNI1" s="68"/>
      <c r="MNJ1" s="68"/>
      <c r="MNK1" s="68"/>
      <c r="MNL1" s="68"/>
      <c r="MNM1" s="68"/>
      <c r="MNN1" s="68"/>
      <c r="MNO1" s="68"/>
      <c r="MNP1" s="68"/>
      <c r="MNQ1" s="68"/>
      <c r="MNR1" s="68"/>
      <c r="MNS1" s="68"/>
      <c r="MNT1" s="68"/>
      <c r="MNU1" s="68"/>
      <c r="MNV1" s="68"/>
      <c r="MNW1" s="68"/>
      <c r="MNX1" s="68"/>
      <c r="MNY1" s="68"/>
      <c r="MNZ1" s="68"/>
      <c r="MOA1" s="68"/>
      <c r="MOB1" s="68"/>
      <c r="MOC1" s="68"/>
      <c r="MOD1" s="68"/>
      <c r="MOE1" s="68"/>
      <c r="MOF1" s="68"/>
      <c r="MOG1" s="68"/>
      <c r="MOH1" s="68"/>
      <c r="MOI1" s="68"/>
      <c r="MOJ1" s="68"/>
      <c r="MOK1" s="68"/>
      <c r="MOL1" s="68"/>
      <c r="MOM1" s="68"/>
      <c r="MON1" s="68"/>
      <c r="MOO1" s="68"/>
      <c r="MOP1" s="68"/>
      <c r="MOQ1" s="68"/>
      <c r="MOR1" s="68"/>
      <c r="MOS1" s="68"/>
      <c r="MOT1" s="68"/>
      <c r="MOU1" s="68"/>
      <c r="MOV1" s="68"/>
      <c r="MOW1" s="68"/>
      <c r="MOX1" s="68"/>
      <c r="MOY1" s="68"/>
      <c r="MOZ1" s="68"/>
      <c r="MPA1" s="68"/>
      <c r="MPB1" s="68"/>
      <c r="MPC1" s="68"/>
      <c r="MPD1" s="68"/>
      <c r="MPE1" s="68"/>
      <c r="MPF1" s="68"/>
      <c r="MPG1" s="68"/>
      <c r="MPH1" s="68"/>
      <c r="MPI1" s="68"/>
      <c r="MPJ1" s="68"/>
      <c r="MPK1" s="68"/>
      <c r="MPL1" s="68"/>
      <c r="MPM1" s="68"/>
      <c r="MPN1" s="68"/>
      <c r="MPO1" s="68"/>
      <c r="MPP1" s="68"/>
      <c r="MPQ1" s="68"/>
      <c r="MPR1" s="68"/>
      <c r="MPS1" s="68"/>
      <c r="MPT1" s="68"/>
      <c r="MPU1" s="68"/>
      <c r="MPV1" s="68"/>
      <c r="MPW1" s="68"/>
      <c r="MPX1" s="68"/>
      <c r="MPY1" s="68"/>
      <c r="MPZ1" s="68"/>
      <c r="MQA1" s="68"/>
      <c r="MQB1" s="68"/>
      <c r="MQC1" s="68"/>
      <c r="MQD1" s="68"/>
      <c r="MQE1" s="68"/>
      <c r="MQF1" s="68"/>
      <c r="MQG1" s="68"/>
      <c r="MQH1" s="68"/>
      <c r="MQI1" s="68"/>
      <c r="MQJ1" s="68"/>
      <c r="MQK1" s="68"/>
      <c r="MQL1" s="68"/>
      <c r="MQM1" s="68"/>
      <c r="MQN1" s="68"/>
      <c r="MQO1" s="68"/>
      <c r="MQP1" s="68"/>
      <c r="MQQ1" s="68"/>
      <c r="MQR1" s="68"/>
      <c r="MQS1" s="68"/>
      <c r="MQT1" s="68"/>
      <c r="MQU1" s="68"/>
      <c r="MQV1" s="68"/>
      <c r="MQW1" s="68"/>
      <c r="MQX1" s="68"/>
      <c r="MQY1" s="68"/>
      <c r="MQZ1" s="68"/>
      <c r="MRA1" s="68"/>
      <c r="MRB1" s="68"/>
      <c r="MRC1" s="68"/>
      <c r="MRD1" s="68"/>
      <c r="MRE1" s="68"/>
      <c r="MRF1" s="68"/>
      <c r="MRG1" s="68"/>
      <c r="MRH1" s="68"/>
      <c r="MRI1" s="68"/>
      <c r="MRJ1" s="68"/>
      <c r="MRK1" s="68"/>
      <c r="MRL1" s="68"/>
      <c r="MRM1" s="68"/>
      <c r="MRN1" s="68"/>
      <c r="MRO1" s="68"/>
      <c r="MRP1" s="68"/>
      <c r="MRQ1" s="68"/>
      <c r="MRR1" s="68"/>
      <c r="MRS1" s="68"/>
      <c r="MRT1" s="68"/>
      <c r="MRU1" s="68"/>
      <c r="MRV1" s="68"/>
      <c r="MRW1" s="68"/>
      <c r="MRX1" s="68"/>
      <c r="MRY1" s="68"/>
      <c r="MRZ1" s="68"/>
      <c r="MSA1" s="68"/>
      <c r="MSB1" s="68"/>
      <c r="MSC1" s="68"/>
      <c r="MSD1" s="68"/>
      <c r="MSE1" s="68"/>
      <c r="MSF1" s="68"/>
      <c r="MSG1" s="68"/>
      <c r="MSH1" s="68"/>
      <c r="MSI1" s="68"/>
      <c r="MSJ1" s="68"/>
      <c r="MSK1" s="68"/>
      <c r="MSL1" s="68"/>
      <c r="MSM1" s="68"/>
      <c r="MSN1" s="68"/>
      <c r="MSO1" s="68"/>
      <c r="MSP1" s="68"/>
      <c r="MSQ1" s="68"/>
      <c r="MSR1" s="68"/>
      <c r="MSS1" s="68"/>
      <c r="MST1" s="68"/>
      <c r="MSU1" s="68"/>
      <c r="MSV1" s="68"/>
      <c r="MSW1" s="68"/>
      <c r="MSX1" s="68"/>
      <c r="MSY1" s="68"/>
      <c r="MSZ1" s="68"/>
      <c r="MTA1" s="68"/>
      <c r="MTB1" s="68"/>
      <c r="MTC1" s="68"/>
      <c r="MTD1" s="68"/>
      <c r="MTE1" s="68"/>
      <c r="MTF1" s="68"/>
      <c r="MTG1" s="68"/>
      <c r="MTH1" s="68"/>
      <c r="MTI1" s="68"/>
      <c r="MTJ1" s="68"/>
      <c r="MTK1" s="68"/>
      <c r="MTL1" s="68"/>
      <c r="MTM1" s="68"/>
      <c r="MTN1" s="68"/>
      <c r="MTO1" s="68"/>
      <c r="MTP1" s="68"/>
      <c r="MTQ1" s="68"/>
      <c r="MTR1" s="68"/>
      <c r="MTS1" s="68"/>
      <c r="MTT1" s="68"/>
      <c r="MTU1" s="68"/>
      <c r="MTV1" s="68"/>
      <c r="MTW1" s="68"/>
      <c r="MTX1" s="68"/>
      <c r="MTY1" s="68"/>
      <c r="MTZ1" s="68"/>
      <c r="MUA1" s="68"/>
      <c r="MUB1" s="68"/>
      <c r="MUC1" s="68"/>
      <c r="MUD1" s="68"/>
      <c r="MUE1" s="68"/>
      <c r="MUF1" s="68"/>
      <c r="MUG1" s="68"/>
      <c r="MUH1" s="68"/>
      <c r="MUI1" s="68"/>
      <c r="MUJ1" s="68"/>
      <c r="MUK1" s="68"/>
      <c r="MUL1" s="68"/>
      <c r="MUM1" s="68"/>
      <c r="MUN1" s="68"/>
      <c r="MUO1" s="68"/>
      <c r="MUP1" s="68"/>
      <c r="MUQ1" s="68"/>
      <c r="MUR1" s="68"/>
      <c r="MUS1" s="68"/>
      <c r="MUT1" s="68"/>
      <c r="MUU1" s="68"/>
      <c r="MUV1" s="68"/>
      <c r="MUW1" s="68"/>
      <c r="MUX1" s="68"/>
      <c r="MUY1" s="68"/>
      <c r="MUZ1" s="68"/>
      <c r="MVA1" s="68"/>
      <c r="MVB1" s="68"/>
      <c r="MVC1" s="68"/>
      <c r="MVD1" s="68"/>
      <c r="MVE1" s="68"/>
      <c r="MVF1" s="68"/>
      <c r="MVG1" s="68"/>
      <c r="MVH1" s="68"/>
      <c r="MVI1" s="68"/>
      <c r="MVJ1" s="68"/>
      <c r="MVK1" s="68"/>
      <c r="MVL1" s="68"/>
      <c r="MVM1" s="68"/>
      <c r="MVN1" s="68"/>
      <c r="MVO1" s="68"/>
      <c r="MVP1" s="68"/>
      <c r="MVQ1" s="68"/>
      <c r="MVR1" s="68"/>
      <c r="MVS1" s="68"/>
      <c r="MVT1" s="68"/>
      <c r="MVU1" s="68"/>
      <c r="MVV1" s="68"/>
      <c r="MVW1" s="68"/>
      <c r="MVX1" s="68"/>
      <c r="MVY1" s="68"/>
      <c r="MVZ1" s="68"/>
      <c r="MWA1" s="68"/>
      <c r="MWB1" s="68"/>
      <c r="MWC1" s="68"/>
      <c r="MWD1" s="68"/>
      <c r="MWE1" s="68"/>
      <c r="MWF1" s="68"/>
      <c r="MWG1" s="68"/>
      <c r="MWH1" s="68"/>
      <c r="MWI1" s="68"/>
      <c r="MWJ1" s="68"/>
      <c r="MWK1" s="68"/>
      <c r="MWL1" s="68"/>
      <c r="MWM1" s="68"/>
      <c r="MWN1" s="68"/>
      <c r="MWO1" s="68"/>
      <c r="MWP1" s="68"/>
      <c r="MWQ1" s="68"/>
      <c r="MWR1" s="68"/>
      <c r="MWS1" s="68"/>
      <c r="MWT1" s="68"/>
      <c r="MWU1" s="68"/>
      <c r="MWV1" s="68"/>
      <c r="MWW1" s="68"/>
      <c r="MWX1" s="68"/>
      <c r="MWY1" s="68"/>
      <c r="MWZ1" s="68"/>
      <c r="MXA1" s="68"/>
      <c r="MXB1" s="68"/>
      <c r="MXC1" s="68"/>
      <c r="MXD1" s="68"/>
      <c r="MXE1" s="68"/>
      <c r="MXF1" s="68"/>
      <c r="MXG1" s="68"/>
      <c r="MXH1" s="68"/>
      <c r="MXI1" s="68"/>
      <c r="MXJ1" s="68"/>
      <c r="MXK1" s="68"/>
      <c r="MXL1" s="68"/>
      <c r="MXM1" s="68"/>
      <c r="MXN1" s="68"/>
      <c r="MXO1" s="68"/>
      <c r="MXP1" s="68"/>
      <c r="MXQ1" s="68"/>
      <c r="MXR1" s="68"/>
      <c r="MXS1" s="68"/>
      <c r="MXT1" s="68"/>
      <c r="MXU1" s="68"/>
      <c r="MXV1" s="68"/>
      <c r="MXW1" s="68"/>
      <c r="MXX1" s="68"/>
      <c r="MXY1" s="68"/>
      <c r="MXZ1" s="68"/>
      <c r="MYA1" s="68"/>
      <c r="MYB1" s="68"/>
      <c r="MYC1" s="68"/>
      <c r="MYD1" s="68"/>
      <c r="MYE1" s="68"/>
      <c r="MYF1" s="68"/>
      <c r="MYG1" s="68"/>
      <c r="MYH1" s="68"/>
      <c r="MYI1" s="68"/>
      <c r="MYJ1" s="68"/>
      <c r="MYK1" s="68"/>
      <c r="MYL1" s="68"/>
      <c r="MYM1" s="68"/>
      <c r="MYN1" s="68"/>
      <c r="MYO1" s="68"/>
      <c r="MYP1" s="68"/>
      <c r="MYQ1" s="68"/>
      <c r="MYR1" s="68"/>
      <c r="MYS1" s="68"/>
      <c r="MYT1" s="68"/>
      <c r="MYU1" s="68"/>
      <c r="MYV1" s="68"/>
      <c r="MYW1" s="68"/>
      <c r="MYX1" s="68"/>
      <c r="MYY1" s="68"/>
      <c r="MYZ1" s="68"/>
      <c r="MZA1" s="68"/>
      <c r="MZB1" s="68"/>
      <c r="MZC1" s="68"/>
      <c r="MZD1" s="68"/>
      <c r="MZE1" s="68"/>
      <c r="MZF1" s="68"/>
      <c r="MZG1" s="68"/>
      <c r="MZH1" s="68"/>
      <c r="MZI1" s="68"/>
      <c r="MZJ1" s="68"/>
      <c r="MZK1" s="68"/>
      <c r="MZL1" s="68"/>
      <c r="MZM1" s="68"/>
      <c r="MZN1" s="68"/>
      <c r="MZO1" s="68"/>
      <c r="MZP1" s="68"/>
      <c r="MZQ1" s="68"/>
      <c r="MZR1" s="68"/>
      <c r="MZS1" s="68"/>
      <c r="MZT1" s="68"/>
      <c r="MZU1" s="68"/>
      <c r="MZV1" s="68"/>
      <c r="MZW1" s="68"/>
      <c r="MZX1" s="68"/>
      <c r="MZY1" s="68"/>
      <c r="MZZ1" s="68"/>
      <c r="NAA1" s="68"/>
      <c r="NAB1" s="68"/>
      <c r="NAC1" s="68"/>
      <c r="NAD1" s="68"/>
      <c r="NAE1" s="68"/>
      <c r="NAF1" s="68"/>
      <c r="NAG1" s="68"/>
      <c r="NAH1" s="68"/>
      <c r="NAI1" s="68"/>
      <c r="NAJ1" s="68"/>
      <c r="NAK1" s="68"/>
      <c r="NAL1" s="68"/>
      <c r="NAM1" s="68"/>
      <c r="NAN1" s="68"/>
      <c r="NAO1" s="68"/>
      <c r="NAP1" s="68"/>
      <c r="NAQ1" s="68"/>
      <c r="NAR1" s="68"/>
      <c r="NAS1" s="68"/>
      <c r="NAT1" s="68"/>
      <c r="NAU1" s="68"/>
      <c r="NAV1" s="68"/>
      <c r="NAW1" s="68"/>
      <c r="NAX1" s="68"/>
      <c r="NAY1" s="68"/>
      <c r="NAZ1" s="68"/>
      <c r="NBA1" s="68"/>
      <c r="NBB1" s="68"/>
      <c r="NBC1" s="68"/>
      <c r="NBD1" s="68"/>
      <c r="NBE1" s="68"/>
      <c r="NBF1" s="68"/>
      <c r="NBG1" s="68"/>
      <c r="NBH1" s="68"/>
      <c r="NBI1" s="68"/>
      <c r="NBJ1" s="68"/>
      <c r="NBK1" s="68"/>
      <c r="NBL1" s="68"/>
      <c r="NBM1" s="68"/>
      <c r="NBN1" s="68"/>
      <c r="NBO1" s="68"/>
      <c r="NBP1" s="68"/>
      <c r="NBQ1" s="68"/>
      <c r="NBR1" s="68"/>
      <c r="NBS1" s="68"/>
      <c r="NBT1" s="68"/>
      <c r="NBU1" s="68"/>
      <c r="NBV1" s="68"/>
      <c r="NBW1" s="68"/>
      <c r="NBX1" s="68"/>
      <c r="NBY1" s="68"/>
      <c r="NBZ1" s="68"/>
      <c r="NCA1" s="68"/>
      <c r="NCB1" s="68"/>
      <c r="NCC1" s="68"/>
      <c r="NCD1" s="68"/>
      <c r="NCE1" s="68"/>
      <c r="NCF1" s="68"/>
      <c r="NCG1" s="68"/>
      <c r="NCH1" s="68"/>
      <c r="NCI1" s="68"/>
      <c r="NCJ1" s="68"/>
      <c r="NCK1" s="68"/>
      <c r="NCL1" s="68"/>
      <c r="NCM1" s="68"/>
      <c r="NCN1" s="68"/>
      <c r="NCO1" s="68"/>
      <c r="NCP1" s="68"/>
      <c r="NCQ1" s="68"/>
      <c r="NCR1" s="68"/>
      <c r="NCS1" s="68"/>
      <c r="NCT1" s="68"/>
      <c r="NCU1" s="68"/>
      <c r="NCV1" s="68"/>
      <c r="NCW1" s="68"/>
      <c r="NCX1" s="68"/>
      <c r="NCY1" s="68"/>
      <c r="NCZ1" s="68"/>
      <c r="NDA1" s="68"/>
      <c r="NDB1" s="68"/>
      <c r="NDC1" s="68"/>
      <c r="NDD1" s="68"/>
      <c r="NDE1" s="68"/>
      <c r="NDF1" s="68"/>
      <c r="NDG1" s="68"/>
      <c r="NDH1" s="68"/>
      <c r="NDI1" s="68"/>
      <c r="NDJ1" s="68"/>
      <c r="NDK1" s="68"/>
      <c r="NDL1" s="68"/>
      <c r="NDM1" s="68"/>
      <c r="NDN1" s="68"/>
      <c r="NDO1" s="68"/>
      <c r="NDP1" s="68"/>
      <c r="NDQ1" s="68"/>
      <c r="NDR1" s="68"/>
      <c r="NDS1" s="68"/>
      <c r="NDT1" s="68"/>
      <c r="NDU1" s="68"/>
      <c r="NDV1" s="68"/>
      <c r="NDW1" s="68"/>
      <c r="NDX1" s="68"/>
      <c r="NDY1" s="68"/>
      <c r="NDZ1" s="68"/>
      <c r="NEA1" s="68"/>
      <c r="NEB1" s="68"/>
      <c r="NEC1" s="68"/>
      <c r="NED1" s="68"/>
      <c r="NEE1" s="68"/>
      <c r="NEF1" s="68"/>
      <c r="NEG1" s="68"/>
      <c r="NEH1" s="68"/>
      <c r="NEI1" s="68"/>
      <c r="NEJ1" s="68"/>
      <c r="NEK1" s="68"/>
      <c r="NEL1" s="68"/>
      <c r="NEM1" s="68"/>
      <c r="NEN1" s="68"/>
      <c r="NEO1" s="68"/>
      <c r="NEP1" s="68"/>
      <c r="NEQ1" s="68"/>
      <c r="NER1" s="68"/>
      <c r="NES1" s="68"/>
      <c r="NET1" s="68"/>
      <c r="NEU1" s="68"/>
      <c r="NEV1" s="68"/>
      <c r="NEW1" s="68"/>
      <c r="NEX1" s="68"/>
      <c r="NEY1" s="68"/>
      <c r="NEZ1" s="68"/>
      <c r="NFA1" s="68"/>
      <c r="NFB1" s="68"/>
      <c r="NFC1" s="68"/>
      <c r="NFD1" s="68"/>
      <c r="NFE1" s="68"/>
      <c r="NFF1" s="68"/>
      <c r="NFG1" s="68"/>
      <c r="NFH1" s="68"/>
      <c r="NFI1" s="68"/>
      <c r="NFJ1" s="68"/>
      <c r="NFK1" s="68"/>
      <c r="NFL1" s="68"/>
      <c r="NFM1" s="68"/>
      <c r="NFN1" s="68"/>
      <c r="NFO1" s="68"/>
      <c r="NFP1" s="68"/>
      <c r="NFQ1" s="68"/>
      <c r="NFR1" s="68"/>
      <c r="NFS1" s="68"/>
      <c r="NFT1" s="68"/>
      <c r="NFU1" s="68"/>
      <c r="NFV1" s="68"/>
      <c r="NFW1" s="68"/>
      <c r="NFX1" s="68"/>
      <c r="NFY1" s="68"/>
      <c r="NFZ1" s="68"/>
      <c r="NGA1" s="68"/>
      <c r="NGB1" s="68"/>
      <c r="NGC1" s="68"/>
      <c r="NGD1" s="68"/>
      <c r="NGE1" s="68"/>
      <c r="NGF1" s="68"/>
      <c r="NGG1" s="68"/>
      <c r="NGH1" s="68"/>
      <c r="NGI1" s="68"/>
      <c r="NGJ1" s="68"/>
      <c r="NGK1" s="68"/>
      <c r="NGL1" s="68"/>
      <c r="NGM1" s="68"/>
      <c r="NGN1" s="68"/>
      <c r="NGO1" s="68"/>
      <c r="NGP1" s="68"/>
      <c r="NGQ1" s="68"/>
      <c r="NGR1" s="68"/>
      <c r="NGS1" s="68"/>
      <c r="NGT1" s="68"/>
      <c r="NGU1" s="68"/>
      <c r="NGV1" s="68"/>
      <c r="NGW1" s="68"/>
      <c r="NGX1" s="68"/>
      <c r="NGY1" s="68"/>
      <c r="NGZ1" s="68"/>
      <c r="NHA1" s="68"/>
      <c r="NHB1" s="68"/>
      <c r="NHC1" s="68"/>
      <c r="NHD1" s="68"/>
      <c r="NHE1" s="68"/>
      <c r="NHF1" s="68"/>
      <c r="NHG1" s="68"/>
      <c r="NHH1" s="68"/>
      <c r="NHI1" s="68"/>
      <c r="NHJ1" s="68"/>
      <c r="NHK1" s="68"/>
      <c r="NHL1" s="68"/>
      <c r="NHM1" s="68"/>
      <c r="NHN1" s="68"/>
      <c r="NHO1" s="68"/>
      <c r="NHP1" s="68"/>
      <c r="NHQ1" s="68"/>
      <c r="NHR1" s="68"/>
      <c r="NHS1" s="68"/>
      <c r="NHT1" s="68"/>
      <c r="NHU1" s="68"/>
      <c r="NHV1" s="68"/>
      <c r="NHW1" s="68"/>
      <c r="NHX1" s="68"/>
      <c r="NHY1" s="68"/>
      <c r="NHZ1" s="68"/>
      <c r="NIA1" s="68"/>
      <c r="NIB1" s="68"/>
      <c r="NIC1" s="68"/>
      <c r="NID1" s="68"/>
      <c r="NIE1" s="68"/>
      <c r="NIF1" s="68"/>
      <c r="NIG1" s="68"/>
      <c r="NIH1" s="68"/>
      <c r="NII1" s="68"/>
      <c r="NIJ1" s="68"/>
      <c r="NIK1" s="68"/>
      <c r="NIL1" s="68"/>
      <c r="NIM1" s="68"/>
      <c r="NIN1" s="68"/>
      <c r="NIO1" s="68"/>
      <c r="NIP1" s="68"/>
      <c r="NIQ1" s="68"/>
      <c r="NIR1" s="68"/>
      <c r="NIS1" s="68"/>
      <c r="NIT1" s="68"/>
      <c r="NIU1" s="68"/>
      <c r="NIV1" s="68"/>
      <c r="NIW1" s="68"/>
      <c r="NIX1" s="68"/>
      <c r="NIY1" s="68"/>
      <c r="NIZ1" s="68"/>
      <c r="NJA1" s="68"/>
      <c r="NJB1" s="68"/>
      <c r="NJC1" s="68"/>
      <c r="NJD1" s="68"/>
      <c r="NJE1" s="68"/>
      <c r="NJF1" s="68"/>
      <c r="NJG1" s="68"/>
      <c r="NJH1" s="68"/>
      <c r="NJI1" s="68"/>
      <c r="NJJ1" s="68"/>
      <c r="NJK1" s="68"/>
      <c r="NJL1" s="68"/>
      <c r="NJM1" s="68"/>
      <c r="NJN1" s="68"/>
      <c r="NJO1" s="68"/>
      <c r="NJP1" s="68"/>
      <c r="NJQ1" s="68"/>
      <c r="NJR1" s="68"/>
      <c r="NJS1" s="68"/>
      <c r="NJT1" s="68"/>
      <c r="NJU1" s="68"/>
      <c r="NJV1" s="68"/>
      <c r="NJW1" s="68"/>
      <c r="NJX1" s="68"/>
      <c r="NJY1" s="68"/>
      <c r="NJZ1" s="68"/>
      <c r="NKA1" s="68"/>
      <c r="NKB1" s="68"/>
      <c r="NKC1" s="68"/>
      <c r="NKD1" s="68"/>
      <c r="NKE1" s="68"/>
      <c r="NKF1" s="68"/>
      <c r="NKG1" s="68"/>
      <c r="NKH1" s="68"/>
      <c r="NKI1" s="68"/>
      <c r="NKJ1" s="68"/>
      <c r="NKK1" s="68"/>
      <c r="NKL1" s="68"/>
      <c r="NKM1" s="68"/>
      <c r="NKN1" s="68"/>
      <c r="NKO1" s="68"/>
      <c r="NKP1" s="68"/>
      <c r="NKQ1" s="68"/>
      <c r="NKR1" s="68"/>
      <c r="NKS1" s="68"/>
      <c r="NKT1" s="68"/>
      <c r="NKU1" s="68"/>
      <c r="NKV1" s="68"/>
      <c r="NKW1" s="68"/>
      <c r="NKX1" s="68"/>
      <c r="NKY1" s="68"/>
      <c r="NKZ1" s="68"/>
      <c r="NLA1" s="68"/>
      <c r="NLB1" s="68"/>
      <c r="NLC1" s="68"/>
      <c r="NLD1" s="68"/>
      <c r="NLE1" s="68"/>
      <c r="NLF1" s="68"/>
      <c r="NLG1" s="68"/>
      <c r="NLH1" s="68"/>
      <c r="NLI1" s="68"/>
      <c r="NLJ1" s="68"/>
      <c r="NLK1" s="68"/>
      <c r="NLL1" s="68"/>
      <c r="NLM1" s="68"/>
      <c r="NLN1" s="68"/>
      <c r="NLO1" s="68"/>
      <c r="NLP1" s="68"/>
      <c r="NLQ1" s="68"/>
      <c r="NLR1" s="68"/>
      <c r="NLS1" s="68"/>
      <c r="NLT1" s="68"/>
      <c r="NLU1" s="68"/>
      <c r="NLV1" s="68"/>
      <c r="NLW1" s="68"/>
      <c r="NLX1" s="68"/>
      <c r="NLY1" s="68"/>
      <c r="NLZ1" s="68"/>
      <c r="NMA1" s="68"/>
      <c r="NMB1" s="68"/>
      <c r="NMC1" s="68"/>
      <c r="NMD1" s="68"/>
      <c r="NME1" s="68"/>
      <c r="NMF1" s="68"/>
      <c r="NMG1" s="68"/>
      <c r="NMH1" s="68"/>
      <c r="NMI1" s="68"/>
      <c r="NMJ1" s="68"/>
      <c r="NMK1" s="68"/>
      <c r="NML1" s="68"/>
      <c r="NMM1" s="68"/>
      <c r="NMN1" s="68"/>
      <c r="NMO1" s="68"/>
      <c r="NMP1" s="68"/>
      <c r="NMQ1" s="68"/>
      <c r="NMR1" s="68"/>
      <c r="NMS1" s="68"/>
      <c r="NMT1" s="68"/>
      <c r="NMU1" s="68"/>
      <c r="NMV1" s="68"/>
      <c r="NMW1" s="68"/>
      <c r="NMX1" s="68"/>
      <c r="NMY1" s="68"/>
      <c r="NMZ1" s="68"/>
      <c r="NNA1" s="68"/>
      <c r="NNB1" s="68"/>
      <c r="NNC1" s="68"/>
      <c r="NND1" s="68"/>
      <c r="NNE1" s="68"/>
      <c r="NNF1" s="68"/>
      <c r="NNG1" s="68"/>
      <c r="NNH1" s="68"/>
      <c r="NNI1" s="68"/>
      <c r="NNJ1" s="68"/>
      <c r="NNK1" s="68"/>
      <c r="NNL1" s="68"/>
      <c r="NNM1" s="68"/>
      <c r="NNN1" s="68"/>
      <c r="NNO1" s="68"/>
      <c r="NNP1" s="68"/>
      <c r="NNQ1" s="68"/>
      <c r="NNR1" s="68"/>
      <c r="NNS1" s="68"/>
      <c r="NNT1" s="68"/>
      <c r="NNU1" s="68"/>
      <c r="NNV1" s="68"/>
      <c r="NNW1" s="68"/>
      <c r="NNX1" s="68"/>
      <c r="NNY1" s="68"/>
      <c r="NNZ1" s="68"/>
      <c r="NOA1" s="68"/>
      <c r="NOB1" s="68"/>
      <c r="NOC1" s="68"/>
      <c r="NOD1" s="68"/>
      <c r="NOE1" s="68"/>
      <c r="NOF1" s="68"/>
      <c r="NOG1" s="68"/>
      <c r="NOH1" s="68"/>
      <c r="NOI1" s="68"/>
      <c r="NOJ1" s="68"/>
      <c r="NOK1" s="68"/>
      <c r="NOL1" s="68"/>
      <c r="NOM1" s="68"/>
      <c r="NON1" s="68"/>
      <c r="NOO1" s="68"/>
      <c r="NOP1" s="68"/>
      <c r="NOQ1" s="68"/>
      <c r="NOR1" s="68"/>
      <c r="NOS1" s="68"/>
      <c r="NOT1" s="68"/>
      <c r="NOU1" s="68"/>
      <c r="NOV1" s="68"/>
      <c r="NOW1" s="68"/>
      <c r="NOX1" s="68"/>
      <c r="NOY1" s="68"/>
      <c r="NOZ1" s="68"/>
      <c r="NPA1" s="68"/>
      <c r="NPB1" s="68"/>
      <c r="NPC1" s="68"/>
      <c r="NPD1" s="68"/>
      <c r="NPE1" s="68"/>
      <c r="NPF1" s="68"/>
      <c r="NPG1" s="68"/>
      <c r="NPH1" s="68"/>
      <c r="NPI1" s="68"/>
      <c r="NPJ1" s="68"/>
      <c r="NPK1" s="68"/>
      <c r="NPL1" s="68"/>
      <c r="NPM1" s="68"/>
      <c r="NPN1" s="68"/>
      <c r="NPO1" s="68"/>
      <c r="NPP1" s="68"/>
      <c r="NPQ1" s="68"/>
      <c r="NPR1" s="68"/>
      <c r="NPS1" s="68"/>
      <c r="NPT1" s="68"/>
      <c r="NPU1" s="68"/>
      <c r="NPV1" s="68"/>
      <c r="NPW1" s="68"/>
      <c r="NPX1" s="68"/>
      <c r="NPY1" s="68"/>
      <c r="NPZ1" s="68"/>
      <c r="NQA1" s="68"/>
      <c r="NQB1" s="68"/>
      <c r="NQC1" s="68"/>
      <c r="NQD1" s="68"/>
      <c r="NQE1" s="68"/>
      <c r="NQF1" s="68"/>
      <c r="NQG1" s="68"/>
      <c r="NQH1" s="68"/>
      <c r="NQI1" s="68"/>
      <c r="NQJ1" s="68"/>
      <c r="NQK1" s="68"/>
      <c r="NQL1" s="68"/>
      <c r="NQM1" s="68"/>
      <c r="NQN1" s="68"/>
      <c r="NQO1" s="68"/>
      <c r="NQP1" s="68"/>
      <c r="NQQ1" s="68"/>
      <c r="NQR1" s="68"/>
      <c r="NQS1" s="68"/>
      <c r="NQT1" s="68"/>
      <c r="NQU1" s="68"/>
      <c r="NQV1" s="68"/>
      <c r="NQW1" s="68"/>
      <c r="NQX1" s="68"/>
      <c r="NQY1" s="68"/>
      <c r="NQZ1" s="68"/>
      <c r="NRA1" s="68"/>
      <c r="NRB1" s="68"/>
      <c r="NRC1" s="68"/>
      <c r="NRD1" s="68"/>
      <c r="NRE1" s="68"/>
      <c r="NRF1" s="68"/>
      <c r="NRG1" s="68"/>
      <c r="NRH1" s="68"/>
      <c r="NRI1" s="68"/>
      <c r="NRJ1" s="68"/>
      <c r="NRK1" s="68"/>
      <c r="NRL1" s="68"/>
      <c r="NRM1" s="68"/>
      <c r="NRN1" s="68"/>
      <c r="NRO1" s="68"/>
      <c r="NRP1" s="68"/>
      <c r="NRQ1" s="68"/>
      <c r="NRR1" s="68"/>
      <c r="NRS1" s="68"/>
      <c r="NRT1" s="68"/>
      <c r="NRU1" s="68"/>
      <c r="NRV1" s="68"/>
      <c r="NRW1" s="68"/>
      <c r="NRX1" s="68"/>
      <c r="NRY1" s="68"/>
      <c r="NRZ1" s="68"/>
      <c r="NSA1" s="68"/>
      <c r="NSB1" s="68"/>
      <c r="NSC1" s="68"/>
      <c r="NSD1" s="68"/>
      <c r="NSE1" s="68"/>
      <c r="NSF1" s="68"/>
      <c r="NSG1" s="68"/>
      <c r="NSH1" s="68"/>
      <c r="NSI1" s="68"/>
      <c r="NSJ1" s="68"/>
      <c r="NSK1" s="68"/>
      <c r="NSL1" s="68"/>
      <c r="NSM1" s="68"/>
      <c r="NSN1" s="68"/>
      <c r="NSO1" s="68"/>
      <c r="NSP1" s="68"/>
      <c r="NSQ1" s="68"/>
      <c r="NSR1" s="68"/>
      <c r="NSS1" s="68"/>
      <c r="NST1" s="68"/>
      <c r="NSU1" s="68"/>
      <c r="NSV1" s="68"/>
      <c r="NSW1" s="68"/>
      <c r="NSX1" s="68"/>
      <c r="NSY1" s="68"/>
      <c r="NSZ1" s="68"/>
      <c r="NTA1" s="68"/>
      <c r="NTB1" s="68"/>
      <c r="NTC1" s="68"/>
      <c r="NTD1" s="68"/>
      <c r="NTE1" s="68"/>
      <c r="NTF1" s="68"/>
      <c r="NTG1" s="68"/>
      <c r="NTH1" s="68"/>
      <c r="NTI1" s="68"/>
      <c r="NTJ1" s="68"/>
      <c r="NTK1" s="68"/>
      <c r="NTL1" s="68"/>
      <c r="NTM1" s="68"/>
      <c r="NTN1" s="68"/>
      <c r="NTO1" s="68"/>
      <c r="NTP1" s="68"/>
      <c r="NTQ1" s="68"/>
      <c r="NTR1" s="68"/>
      <c r="NTS1" s="68"/>
      <c r="NTT1" s="68"/>
      <c r="NTU1" s="68"/>
      <c r="NTV1" s="68"/>
      <c r="NTW1" s="68"/>
      <c r="NTX1" s="68"/>
      <c r="NTY1" s="68"/>
      <c r="NTZ1" s="68"/>
      <c r="NUA1" s="68"/>
      <c r="NUB1" s="68"/>
      <c r="NUC1" s="68"/>
      <c r="NUD1" s="68"/>
      <c r="NUE1" s="68"/>
      <c r="NUF1" s="68"/>
      <c r="NUG1" s="68"/>
      <c r="NUH1" s="68"/>
      <c r="NUI1" s="68"/>
      <c r="NUJ1" s="68"/>
      <c r="NUK1" s="68"/>
      <c r="NUL1" s="68"/>
      <c r="NUM1" s="68"/>
      <c r="NUN1" s="68"/>
      <c r="NUO1" s="68"/>
      <c r="NUP1" s="68"/>
      <c r="NUQ1" s="68"/>
      <c r="NUR1" s="68"/>
      <c r="NUS1" s="68"/>
      <c r="NUT1" s="68"/>
      <c r="NUU1" s="68"/>
      <c r="NUV1" s="68"/>
      <c r="NUW1" s="68"/>
      <c r="NUX1" s="68"/>
      <c r="NUY1" s="68"/>
      <c r="NUZ1" s="68"/>
      <c r="NVA1" s="68"/>
      <c r="NVB1" s="68"/>
      <c r="NVC1" s="68"/>
      <c r="NVD1" s="68"/>
      <c r="NVE1" s="68"/>
      <c r="NVF1" s="68"/>
      <c r="NVG1" s="68"/>
      <c r="NVH1" s="68"/>
      <c r="NVI1" s="68"/>
      <c r="NVJ1" s="68"/>
      <c r="NVK1" s="68"/>
      <c r="NVL1" s="68"/>
      <c r="NVM1" s="68"/>
      <c r="NVN1" s="68"/>
      <c r="NVO1" s="68"/>
      <c r="NVP1" s="68"/>
      <c r="NVQ1" s="68"/>
      <c r="NVR1" s="68"/>
      <c r="NVS1" s="68"/>
      <c r="NVT1" s="68"/>
      <c r="NVU1" s="68"/>
      <c r="NVV1" s="68"/>
      <c r="NVW1" s="68"/>
      <c r="NVX1" s="68"/>
      <c r="NVY1" s="68"/>
      <c r="NVZ1" s="68"/>
      <c r="NWA1" s="68"/>
      <c r="NWB1" s="68"/>
      <c r="NWC1" s="68"/>
      <c r="NWD1" s="68"/>
      <c r="NWE1" s="68"/>
      <c r="NWF1" s="68"/>
      <c r="NWG1" s="68"/>
      <c r="NWH1" s="68"/>
      <c r="NWI1" s="68"/>
      <c r="NWJ1" s="68"/>
      <c r="NWK1" s="68"/>
      <c r="NWL1" s="68"/>
      <c r="NWM1" s="68"/>
      <c r="NWN1" s="68"/>
      <c r="NWO1" s="68"/>
      <c r="NWP1" s="68"/>
      <c r="NWQ1" s="68"/>
      <c r="NWR1" s="68"/>
      <c r="NWS1" s="68"/>
      <c r="NWT1" s="68"/>
      <c r="NWU1" s="68"/>
      <c r="NWV1" s="68"/>
      <c r="NWW1" s="68"/>
      <c r="NWX1" s="68"/>
      <c r="NWY1" s="68"/>
      <c r="NWZ1" s="68"/>
      <c r="NXA1" s="68"/>
      <c r="NXB1" s="68"/>
      <c r="NXC1" s="68"/>
      <c r="NXD1" s="68"/>
      <c r="NXE1" s="68"/>
      <c r="NXF1" s="68"/>
      <c r="NXG1" s="68"/>
      <c r="NXH1" s="68"/>
      <c r="NXI1" s="68"/>
      <c r="NXJ1" s="68"/>
      <c r="NXK1" s="68"/>
      <c r="NXL1" s="68"/>
      <c r="NXM1" s="68"/>
      <c r="NXN1" s="68"/>
      <c r="NXO1" s="68"/>
      <c r="NXP1" s="68"/>
      <c r="NXQ1" s="68"/>
      <c r="NXR1" s="68"/>
      <c r="NXS1" s="68"/>
      <c r="NXT1" s="68"/>
      <c r="NXU1" s="68"/>
      <c r="NXV1" s="68"/>
      <c r="NXW1" s="68"/>
      <c r="NXX1" s="68"/>
      <c r="NXY1" s="68"/>
      <c r="NXZ1" s="68"/>
      <c r="NYA1" s="68"/>
      <c r="NYB1" s="68"/>
      <c r="NYC1" s="68"/>
      <c r="NYD1" s="68"/>
      <c r="NYE1" s="68"/>
      <c r="NYF1" s="68"/>
      <c r="NYG1" s="68"/>
      <c r="NYH1" s="68"/>
      <c r="NYI1" s="68"/>
      <c r="NYJ1" s="68"/>
      <c r="NYK1" s="68"/>
      <c r="NYL1" s="68"/>
      <c r="NYM1" s="68"/>
      <c r="NYN1" s="68"/>
      <c r="NYO1" s="68"/>
      <c r="NYP1" s="68"/>
      <c r="NYQ1" s="68"/>
      <c r="NYR1" s="68"/>
      <c r="NYS1" s="68"/>
      <c r="NYT1" s="68"/>
      <c r="NYU1" s="68"/>
      <c r="NYV1" s="68"/>
      <c r="NYW1" s="68"/>
      <c r="NYX1" s="68"/>
      <c r="NYY1" s="68"/>
      <c r="NYZ1" s="68"/>
      <c r="NZA1" s="68"/>
      <c r="NZB1" s="68"/>
      <c r="NZC1" s="68"/>
      <c r="NZD1" s="68"/>
      <c r="NZE1" s="68"/>
      <c r="NZF1" s="68"/>
      <c r="NZG1" s="68"/>
      <c r="NZH1" s="68"/>
      <c r="NZI1" s="68"/>
      <c r="NZJ1" s="68"/>
      <c r="NZK1" s="68"/>
      <c r="NZL1" s="68"/>
      <c r="NZM1" s="68"/>
      <c r="NZN1" s="68"/>
      <c r="NZO1" s="68"/>
      <c r="NZP1" s="68"/>
      <c r="NZQ1" s="68"/>
      <c r="NZR1" s="68"/>
      <c r="NZS1" s="68"/>
      <c r="NZT1" s="68"/>
      <c r="NZU1" s="68"/>
      <c r="NZV1" s="68"/>
      <c r="NZW1" s="68"/>
      <c r="NZX1" s="68"/>
      <c r="NZY1" s="68"/>
      <c r="NZZ1" s="68"/>
      <c r="OAA1" s="68"/>
      <c r="OAB1" s="68"/>
      <c r="OAC1" s="68"/>
      <c r="OAD1" s="68"/>
      <c r="OAE1" s="68"/>
      <c r="OAF1" s="68"/>
      <c r="OAG1" s="68"/>
      <c r="OAH1" s="68"/>
      <c r="OAI1" s="68"/>
      <c r="OAJ1" s="68"/>
      <c r="OAK1" s="68"/>
      <c r="OAL1" s="68"/>
      <c r="OAM1" s="68"/>
      <c r="OAN1" s="68"/>
      <c r="OAO1" s="68"/>
      <c r="OAP1" s="68"/>
      <c r="OAQ1" s="68"/>
      <c r="OAR1" s="68"/>
      <c r="OAS1" s="68"/>
      <c r="OAT1" s="68"/>
      <c r="OAU1" s="68"/>
      <c r="OAV1" s="68"/>
      <c r="OAW1" s="68"/>
      <c r="OAX1" s="68"/>
      <c r="OAY1" s="68"/>
      <c r="OAZ1" s="68"/>
      <c r="OBA1" s="68"/>
      <c r="OBB1" s="68"/>
      <c r="OBC1" s="68"/>
      <c r="OBD1" s="68"/>
      <c r="OBE1" s="68"/>
      <c r="OBF1" s="68"/>
      <c r="OBG1" s="68"/>
      <c r="OBH1" s="68"/>
      <c r="OBI1" s="68"/>
      <c r="OBJ1" s="68"/>
      <c r="OBK1" s="68"/>
      <c r="OBL1" s="68"/>
      <c r="OBM1" s="68"/>
      <c r="OBN1" s="68"/>
      <c r="OBO1" s="68"/>
      <c r="OBP1" s="68"/>
      <c r="OBQ1" s="68"/>
      <c r="OBR1" s="68"/>
      <c r="OBS1" s="68"/>
      <c r="OBT1" s="68"/>
      <c r="OBU1" s="68"/>
      <c r="OBV1" s="68"/>
      <c r="OBW1" s="68"/>
      <c r="OBX1" s="68"/>
      <c r="OBY1" s="68"/>
      <c r="OBZ1" s="68"/>
      <c r="OCA1" s="68"/>
      <c r="OCB1" s="68"/>
      <c r="OCC1" s="68"/>
      <c r="OCD1" s="68"/>
      <c r="OCE1" s="68"/>
      <c r="OCF1" s="68"/>
      <c r="OCG1" s="68"/>
      <c r="OCH1" s="68"/>
      <c r="OCI1" s="68"/>
      <c r="OCJ1" s="68"/>
      <c r="OCK1" s="68"/>
      <c r="OCL1" s="68"/>
      <c r="OCM1" s="68"/>
      <c r="OCN1" s="68"/>
      <c r="OCO1" s="68"/>
      <c r="OCP1" s="68"/>
      <c r="OCQ1" s="68"/>
      <c r="OCR1" s="68"/>
      <c r="OCS1" s="68"/>
      <c r="OCT1" s="68"/>
      <c r="OCU1" s="68"/>
      <c r="OCV1" s="68"/>
      <c r="OCW1" s="68"/>
      <c r="OCX1" s="68"/>
      <c r="OCY1" s="68"/>
      <c r="OCZ1" s="68"/>
      <c r="ODA1" s="68"/>
      <c r="ODB1" s="68"/>
      <c r="ODC1" s="68"/>
      <c r="ODD1" s="68"/>
      <c r="ODE1" s="68"/>
      <c r="ODF1" s="68"/>
      <c r="ODG1" s="68"/>
      <c r="ODH1" s="68"/>
      <c r="ODI1" s="68"/>
      <c r="ODJ1" s="68"/>
      <c r="ODK1" s="68"/>
      <c r="ODL1" s="68"/>
      <c r="ODM1" s="68"/>
      <c r="ODN1" s="68"/>
      <c r="ODO1" s="68"/>
      <c r="ODP1" s="68"/>
      <c r="ODQ1" s="68"/>
      <c r="ODR1" s="68"/>
      <c r="ODS1" s="68"/>
      <c r="ODT1" s="68"/>
      <c r="ODU1" s="68"/>
      <c r="ODV1" s="68"/>
      <c r="ODW1" s="68"/>
      <c r="ODX1" s="68"/>
      <c r="ODY1" s="68"/>
      <c r="ODZ1" s="68"/>
      <c r="OEA1" s="68"/>
      <c r="OEB1" s="68"/>
      <c r="OEC1" s="68"/>
      <c r="OED1" s="68"/>
      <c r="OEE1" s="68"/>
      <c r="OEF1" s="68"/>
      <c r="OEG1" s="68"/>
      <c r="OEH1" s="68"/>
      <c r="OEI1" s="68"/>
      <c r="OEJ1" s="68"/>
      <c r="OEK1" s="68"/>
      <c r="OEL1" s="68"/>
      <c r="OEM1" s="68"/>
      <c r="OEN1" s="68"/>
      <c r="OEO1" s="68"/>
      <c r="OEP1" s="68"/>
      <c r="OEQ1" s="68"/>
      <c r="OER1" s="68"/>
      <c r="OES1" s="68"/>
      <c r="OET1" s="68"/>
      <c r="OEU1" s="68"/>
      <c r="OEV1" s="68"/>
      <c r="OEW1" s="68"/>
      <c r="OEX1" s="68"/>
      <c r="OEY1" s="68"/>
      <c r="OEZ1" s="68"/>
      <c r="OFA1" s="68"/>
      <c r="OFB1" s="68"/>
      <c r="OFC1" s="68"/>
      <c r="OFD1" s="68"/>
      <c r="OFE1" s="68"/>
      <c r="OFF1" s="68"/>
      <c r="OFG1" s="68"/>
      <c r="OFH1" s="68"/>
      <c r="OFI1" s="68"/>
      <c r="OFJ1" s="68"/>
      <c r="OFK1" s="68"/>
      <c r="OFL1" s="68"/>
      <c r="OFM1" s="68"/>
      <c r="OFN1" s="68"/>
      <c r="OFO1" s="68"/>
      <c r="OFP1" s="68"/>
      <c r="OFQ1" s="68"/>
      <c r="OFR1" s="68"/>
      <c r="OFS1" s="68"/>
      <c r="OFT1" s="68"/>
      <c r="OFU1" s="68"/>
      <c r="OFV1" s="68"/>
      <c r="OFW1" s="68"/>
      <c r="OFX1" s="68"/>
      <c r="OFY1" s="68"/>
      <c r="OFZ1" s="68"/>
      <c r="OGA1" s="68"/>
      <c r="OGB1" s="68"/>
      <c r="OGC1" s="68"/>
      <c r="OGD1" s="68"/>
      <c r="OGE1" s="68"/>
      <c r="OGF1" s="68"/>
      <c r="OGG1" s="68"/>
      <c r="OGH1" s="68"/>
      <c r="OGI1" s="68"/>
      <c r="OGJ1" s="68"/>
      <c r="OGK1" s="68"/>
      <c r="OGL1" s="68"/>
      <c r="OGM1" s="68"/>
      <c r="OGN1" s="68"/>
      <c r="OGO1" s="68"/>
      <c r="OGP1" s="68"/>
      <c r="OGQ1" s="68"/>
      <c r="OGR1" s="68"/>
      <c r="OGS1" s="68"/>
      <c r="OGT1" s="68"/>
      <c r="OGU1" s="68"/>
      <c r="OGV1" s="68"/>
      <c r="OGW1" s="68"/>
      <c r="OGX1" s="68"/>
      <c r="OGY1" s="68"/>
      <c r="OGZ1" s="68"/>
      <c r="OHA1" s="68"/>
      <c r="OHB1" s="68"/>
      <c r="OHC1" s="68"/>
      <c r="OHD1" s="68"/>
      <c r="OHE1" s="68"/>
      <c r="OHF1" s="68"/>
      <c r="OHG1" s="68"/>
      <c r="OHH1" s="68"/>
      <c r="OHI1" s="68"/>
      <c r="OHJ1" s="68"/>
      <c r="OHK1" s="68"/>
      <c r="OHL1" s="68"/>
      <c r="OHM1" s="68"/>
      <c r="OHN1" s="68"/>
      <c r="OHO1" s="68"/>
      <c r="OHP1" s="68"/>
      <c r="OHQ1" s="68"/>
      <c r="OHR1" s="68"/>
      <c r="OHS1" s="68"/>
      <c r="OHT1" s="68"/>
      <c r="OHU1" s="68"/>
      <c r="OHV1" s="68"/>
      <c r="OHW1" s="68"/>
      <c r="OHX1" s="68"/>
      <c r="OHY1" s="68"/>
      <c r="OHZ1" s="68"/>
      <c r="OIA1" s="68"/>
      <c r="OIB1" s="68"/>
      <c r="OIC1" s="68"/>
      <c r="OID1" s="68"/>
      <c r="OIE1" s="68"/>
      <c r="OIF1" s="68"/>
      <c r="OIG1" s="68"/>
      <c r="OIH1" s="68"/>
      <c r="OII1" s="68"/>
      <c r="OIJ1" s="68"/>
      <c r="OIK1" s="68"/>
      <c r="OIL1" s="68"/>
      <c r="OIM1" s="68"/>
      <c r="OIN1" s="68"/>
      <c r="OIO1" s="68"/>
      <c r="OIP1" s="68"/>
      <c r="OIQ1" s="68"/>
      <c r="OIR1" s="68"/>
      <c r="OIS1" s="68"/>
      <c r="OIT1" s="68"/>
      <c r="OIU1" s="68"/>
      <c r="OIV1" s="68"/>
      <c r="OIW1" s="68"/>
      <c r="OIX1" s="68"/>
      <c r="OIY1" s="68"/>
      <c r="OIZ1" s="68"/>
      <c r="OJA1" s="68"/>
      <c r="OJB1" s="68"/>
      <c r="OJC1" s="68"/>
      <c r="OJD1" s="68"/>
      <c r="OJE1" s="68"/>
      <c r="OJF1" s="68"/>
      <c r="OJG1" s="68"/>
      <c r="OJH1" s="68"/>
      <c r="OJI1" s="68"/>
      <c r="OJJ1" s="68"/>
      <c r="OJK1" s="68"/>
      <c r="OJL1" s="68"/>
      <c r="OJM1" s="68"/>
      <c r="OJN1" s="68"/>
      <c r="OJO1" s="68"/>
      <c r="OJP1" s="68"/>
      <c r="OJQ1" s="68"/>
      <c r="OJR1" s="68"/>
      <c r="OJS1" s="68"/>
      <c r="OJT1" s="68"/>
      <c r="OJU1" s="68"/>
      <c r="OJV1" s="68"/>
      <c r="OJW1" s="68"/>
      <c r="OJX1" s="68"/>
      <c r="OJY1" s="68"/>
      <c r="OJZ1" s="68"/>
      <c r="OKA1" s="68"/>
      <c r="OKB1" s="68"/>
      <c r="OKC1" s="68"/>
      <c r="OKD1" s="68"/>
      <c r="OKE1" s="68"/>
      <c r="OKF1" s="68"/>
      <c r="OKG1" s="68"/>
      <c r="OKH1" s="68"/>
      <c r="OKI1" s="68"/>
      <c r="OKJ1" s="68"/>
      <c r="OKK1" s="68"/>
      <c r="OKL1" s="68"/>
      <c r="OKM1" s="68"/>
      <c r="OKN1" s="68"/>
      <c r="OKO1" s="68"/>
      <c r="OKP1" s="68"/>
      <c r="OKQ1" s="68"/>
      <c r="OKR1" s="68"/>
      <c r="OKS1" s="68"/>
      <c r="OKT1" s="68"/>
      <c r="OKU1" s="68"/>
      <c r="OKV1" s="68"/>
      <c r="OKW1" s="68"/>
      <c r="OKX1" s="68"/>
      <c r="OKY1" s="68"/>
      <c r="OKZ1" s="68"/>
      <c r="OLA1" s="68"/>
      <c r="OLB1" s="68"/>
      <c r="OLC1" s="68"/>
      <c r="OLD1" s="68"/>
      <c r="OLE1" s="68"/>
      <c r="OLF1" s="68"/>
      <c r="OLG1" s="68"/>
      <c r="OLH1" s="68"/>
      <c r="OLI1" s="68"/>
      <c r="OLJ1" s="68"/>
      <c r="OLK1" s="68"/>
      <c r="OLL1" s="68"/>
      <c r="OLM1" s="68"/>
      <c r="OLN1" s="68"/>
      <c r="OLO1" s="68"/>
      <c r="OLP1" s="68"/>
      <c r="OLQ1" s="68"/>
      <c r="OLR1" s="68"/>
      <c r="OLS1" s="68"/>
      <c r="OLT1" s="68"/>
      <c r="OLU1" s="68"/>
      <c r="OLV1" s="68"/>
      <c r="OLW1" s="68"/>
      <c r="OLX1" s="68"/>
      <c r="OLY1" s="68"/>
      <c r="OLZ1" s="68"/>
      <c r="OMA1" s="68"/>
      <c r="OMB1" s="68"/>
      <c r="OMC1" s="68"/>
      <c r="OMD1" s="68"/>
      <c r="OME1" s="68"/>
      <c r="OMF1" s="68"/>
      <c r="OMG1" s="68"/>
      <c r="OMH1" s="68"/>
      <c r="OMI1" s="68"/>
      <c r="OMJ1" s="68"/>
      <c r="OMK1" s="68"/>
      <c r="OML1" s="68"/>
      <c r="OMM1" s="68"/>
      <c r="OMN1" s="68"/>
      <c r="OMO1" s="68"/>
      <c r="OMP1" s="68"/>
      <c r="OMQ1" s="68"/>
      <c r="OMR1" s="68"/>
      <c r="OMS1" s="68"/>
      <c r="OMT1" s="68"/>
      <c r="OMU1" s="68"/>
      <c r="OMV1" s="68"/>
      <c r="OMW1" s="68"/>
      <c r="OMX1" s="68"/>
      <c r="OMY1" s="68"/>
      <c r="OMZ1" s="68"/>
      <c r="ONA1" s="68"/>
      <c r="ONB1" s="68"/>
      <c r="ONC1" s="68"/>
      <c r="OND1" s="68"/>
      <c r="ONE1" s="68"/>
      <c r="ONF1" s="68"/>
      <c r="ONG1" s="68"/>
      <c r="ONH1" s="68"/>
      <c r="ONI1" s="68"/>
      <c r="ONJ1" s="68"/>
      <c r="ONK1" s="68"/>
      <c r="ONL1" s="68"/>
      <c r="ONM1" s="68"/>
      <c r="ONN1" s="68"/>
      <c r="ONO1" s="68"/>
      <c r="ONP1" s="68"/>
      <c r="ONQ1" s="68"/>
      <c r="ONR1" s="68"/>
      <c r="ONS1" s="68"/>
      <c r="ONT1" s="68"/>
      <c r="ONU1" s="68"/>
      <c r="ONV1" s="68"/>
      <c r="ONW1" s="68"/>
      <c r="ONX1" s="68"/>
      <c r="ONY1" s="68"/>
      <c r="ONZ1" s="68"/>
      <c r="OOA1" s="68"/>
      <c r="OOB1" s="68"/>
      <c r="OOC1" s="68"/>
      <c r="OOD1" s="68"/>
      <c r="OOE1" s="68"/>
      <c r="OOF1" s="68"/>
      <c r="OOG1" s="68"/>
      <c r="OOH1" s="68"/>
      <c r="OOI1" s="68"/>
      <c r="OOJ1" s="68"/>
      <c r="OOK1" s="68"/>
      <c r="OOL1" s="68"/>
      <c r="OOM1" s="68"/>
      <c r="OON1" s="68"/>
      <c r="OOO1" s="68"/>
      <c r="OOP1" s="68"/>
      <c r="OOQ1" s="68"/>
      <c r="OOR1" s="68"/>
      <c r="OOS1" s="68"/>
      <c r="OOT1" s="68"/>
      <c r="OOU1" s="68"/>
      <c r="OOV1" s="68"/>
      <c r="OOW1" s="68"/>
      <c r="OOX1" s="68"/>
      <c r="OOY1" s="68"/>
      <c r="OOZ1" s="68"/>
      <c r="OPA1" s="68"/>
      <c r="OPB1" s="68"/>
      <c r="OPC1" s="68"/>
      <c r="OPD1" s="68"/>
      <c r="OPE1" s="68"/>
      <c r="OPF1" s="68"/>
      <c r="OPG1" s="68"/>
      <c r="OPH1" s="68"/>
      <c r="OPI1" s="68"/>
      <c r="OPJ1" s="68"/>
      <c r="OPK1" s="68"/>
      <c r="OPL1" s="68"/>
      <c r="OPM1" s="68"/>
      <c r="OPN1" s="68"/>
      <c r="OPO1" s="68"/>
      <c r="OPP1" s="68"/>
      <c r="OPQ1" s="68"/>
      <c r="OPR1" s="68"/>
      <c r="OPS1" s="68"/>
      <c r="OPT1" s="68"/>
      <c r="OPU1" s="68"/>
      <c r="OPV1" s="68"/>
      <c r="OPW1" s="68"/>
      <c r="OPX1" s="68"/>
      <c r="OPY1" s="68"/>
      <c r="OPZ1" s="68"/>
      <c r="OQA1" s="68"/>
      <c r="OQB1" s="68"/>
      <c r="OQC1" s="68"/>
      <c r="OQD1" s="68"/>
      <c r="OQE1" s="68"/>
      <c r="OQF1" s="68"/>
      <c r="OQG1" s="68"/>
      <c r="OQH1" s="68"/>
      <c r="OQI1" s="68"/>
      <c r="OQJ1" s="68"/>
      <c r="OQK1" s="68"/>
      <c r="OQL1" s="68"/>
      <c r="OQM1" s="68"/>
      <c r="OQN1" s="68"/>
      <c r="OQO1" s="68"/>
      <c r="OQP1" s="68"/>
      <c r="OQQ1" s="68"/>
      <c r="OQR1" s="68"/>
      <c r="OQS1" s="68"/>
      <c r="OQT1" s="68"/>
      <c r="OQU1" s="68"/>
      <c r="OQV1" s="68"/>
      <c r="OQW1" s="68"/>
      <c r="OQX1" s="68"/>
      <c r="OQY1" s="68"/>
      <c r="OQZ1" s="68"/>
      <c r="ORA1" s="68"/>
      <c r="ORB1" s="68"/>
      <c r="ORC1" s="68"/>
      <c r="ORD1" s="68"/>
      <c r="ORE1" s="68"/>
      <c r="ORF1" s="68"/>
      <c r="ORG1" s="68"/>
      <c r="ORH1" s="68"/>
      <c r="ORI1" s="68"/>
      <c r="ORJ1" s="68"/>
      <c r="ORK1" s="68"/>
      <c r="ORL1" s="68"/>
      <c r="ORM1" s="68"/>
      <c r="ORN1" s="68"/>
      <c r="ORO1" s="68"/>
      <c r="ORP1" s="68"/>
      <c r="ORQ1" s="68"/>
      <c r="ORR1" s="68"/>
      <c r="ORS1" s="68"/>
      <c r="ORT1" s="68"/>
      <c r="ORU1" s="68"/>
      <c r="ORV1" s="68"/>
      <c r="ORW1" s="68"/>
      <c r="ORX1" s="68"/>
      <c r="ORY1" s="68"/>
      <c r="ORZ1" s="68"/>
      <c r="OSA1" s="68"/>
      <c r="OSB1" s="68"/>
      <c r="OSC1" s="68"/>
      <c r="OSD1" s="68"/>
      <c r="OSE1" s="68"/>
      <c r="OSF1" s="68"/>
      <c r="OSG1" s="68"/>
      <c r="OSH1" s="68"/>
      <c r="OSI1" s="68"/>
      <c r="OSJ1" s="68"/>
      <c r="OSK1" s="68"/>
      <c r="OSL1" s="68"/>
      <c r="OSM1" s="68"/>
      <c r="OSN1" s="68"/>
      <c r="OSO1" s="68"/>
      <c r="OSP1" s="68"/>
      <c r="OSQ1" s="68"/>
      <c r="OSR1" s="68"/>
      <c r="OSS1" s="68"/>
      <c r="OST1" s="68"/>
      <c r="OSU1" s="68"/>
      <c r="OSV1" s="68"/>
      <c r="OSW1" s="68"/>
      <c r="OSX1" s="68"/>
      <c r="OSY1" s="68"/>
      <c r="OSZ1" s="68"/>
      <c r="OTA1" s="68"/>
      <c r="OTB1" s="68"/>
      <c r="OTC1" s="68"/>
      <c r="OTD1" s="68"/>
      <c r="OTE1" s="68"/>
      <c r="OTF1" s="68"/>
      <c r="OTG1" s="68"/>
      <c r="OTH1" s="68"/>
      <c r="OTI1" s="68"/>
      <c r="OTJ1" s="68"/>
      <c r="OTK1" s="68"/>
      <c r="OTL1" s="68"/>
      <c r="OTM1" s="68"/>
      <c r="OTN1" s="68"/>
      <c r="OTO1" s="68"/>
      <c r="OTP1" s="68"/>
      <c r="OTQ1" s="68"/>
      <c r="OTR1" s="68"/>
      <c r="OTS1" s="68"/>
      <c r="OTT1" s="68"/>
      <c r="OTU1" s="68"/>
      <c r="OTV1" s="68"/>
      <c r="OTW1" s="68"/>
      <c r="OTX1" s="68"/>
      <c r="OTY1" s="68"/>
      <c r="OTZ1" s="68"/>
      <c r="OUA1" s="68"/>
      <c r="OUB1" s="68"/>
      <c r="OUC1" s="68"/>
      <c r="OUD1" s="68"/>
      <c r="OUE1" s="68"/>
      <c r="OUF1" s="68"/>
      <c r="OUG1" s="68"/>
      <c r="OUH1" s="68"/>
      <c r="OUI1" s="68"/>
      <c r="OUJ1" s="68"/>
      <c r="OUK1" s="68"/>
      <c r="OUL1" s="68"/>
      <c r="OUM1" s="68"/>
      <c r="OUN1" s="68"/>
      <c r="OUO1" s="68"/>
      <c r="OUP1" s="68"/>
      <c r="OUQ1" s="68"/>
      <c r="OUR1" s="68"/>
      <c r="OUS1" s="68"/>
      <c r="OUT1" s="68"/>
      <c r="OUU1" s="68"/>
      <c r="OUV1" s="68"/>
      <c r="OUW1" s="68"/>
      <c r="OUX1" s="68"/>
      <c r="OUY1" s="68"/>
      <c r="OUZ1" s="68"/>
      <c r="OVA1" s="68"/>
      <c r="OVB1" s="68"/>
      <c r="OVC1" s="68"/>
      <c r="OVD1" s="68"/>
      <c r="OVE1" s="68"/>
      <c r="OVF1" s="68"/>
      <c r="OVG1" s="68"/>
      <c r="OVH1" s="68"/>
      <c r="OVI1" s="68"/>
      <c r="OVJ1" s="68"/>
      <c r="OVK1" s="68"/>
      <c r="OVL1" s="68"/>
      <c r="OVM1" s="68"/>
      <c r="OVN1" s="68"/>
      <c r="OVO1" s="68"/>
      <c r="OVP1" s="68"/>
      <c r="OVQ1" s="68"/>
      <c r="OVR1" s="68"/>
      <c r="OVS1" s="68"/>
      <c r="OVT1" s="68"/>
      <c r="OVU1" s="68"/>
      <c r="OVV1" s="68"/>
      <c r="OVW1" s="68"/>
      <c r="OVX1" s="68"/>
      <c r="OVY1" s="68"/>
      <c r="OVZ1" s="68"/>
      <c r="OWA1" s="68"/>
      <c r="OWB1" s="68"/>
      <c r="OWC1" s="68"/>
      <c r="OWD1" s="68"/>
      <c r="OWE1" s="68"/>
      <c r="OWF1" s="68"/>
      <c r="OWG1" s="68"/>
      <c r="OWH1" s="68"/>
      <c r="OWI1" s="68"/>
      <c r="OWJ1" s="68"/>
      <c r="OWK1" s="68"/>
      <c r="OWL1" s="68"/>
      <c r="OWM1" s="68"/>
      <c r="OWN1" s="68"/>
      <c r="OWO1" s="68"/>
      <c r="OWP1" s="68"/>
      <c r="OWQ1" s="68"/>
      <c r="OWR1" s="68"/>
      <c r="OWS1" s="68"/>
      <c r="OWT1" s="68"/>
      <c r="OWU1" s="68"/>
      <c r="OWV1" s="68"/>
      <c r="OWW1" s="68"/>
      <c r="OWX1" s="68"/>
      <c r="OWY1" s="68"/>
      <c r="OWZ1" s="68"/>
      <c r="OXA1" s="68"/>
      <c r="OXB1" s="68"/>
      <c r="OXC1" s="68"/>
      <c r="OXD1" s="68"/>
      <c r="OXE1" s="68"/>
      <c r="OXF1" s="68"/>
      <c r="OXG1" s="68"/>
      <c r="OXH1" s="68"/>
      <c r="OXI1" s="68"/>
      <c r="OXJ1" s="68"/>
      <c r="OXK1" s="68"/>
      <c r="OXL1" s="68"/>
      <c r="OXM1" s="68"/>
      <c r="OXN1" s="68"/>
      <c r="OXO1" s="68"/>
      <c r="OXP1" s="68"/>
      <c r="OXQ1" s="68"/>
      <c r="OXR1" s="68"/>
      <c r="OXS1" s="68"/>
      <c r="OXT1" s="68"/>
      <c r="OXU1" s="68"/>
      <c r="OXV1" s="68"/>
      <c r="OXW1" s="68"/>
      <c r="OXX1" s="68"/>
      <c r="OXY1" s="68"/>
      <c r="OXZ1" s="68"/>
      <c r="OYA1" s="68"/>
      <c r="OYB1" s="68"/>
      <c r="OYC1" s="68"/>
      <c r="OYD1" s="68"/>
      <c r="OYE1" s="68"/>
      <c r="OYF1" s="68"/>
      <c r="OYG1" s="68"/>
      <c r="OYH1" s="68"/>
      <c r="OYI1" s="68"/>
      <c r="OYJ1" s="68"/>
      <c r="OYK1" s="68"/>
      <c r="OYL1" s="68"/>
      <c r="OYM1" s="68"/>
      <c r="OYN1" s="68"/>
      <c r="OYO1" s="68"/>
      <c r="OYP1" s="68"/>
      <c r="OYQ1" s="68"/>
      <c r="OYR1" s="68"/>
      <c r="OYS1" s="68"/>
      <c r="OYT1" s="68"/>
      <c r="OYU1" s="68"/>
      <c r="OYV1" s="68"/>
      <c r="OYW1" s="68"/>
      <c r="OYX1" s="68"/>
      <c r="OYY1" s="68"/>
      <c r="OYZ1" s="68"/>
      <c r="OZA1" s="68"/>
      <c r="OZB1" s="68"/>
      <c r="OZC1" s="68"/>
      <c r="OZD1" s="68"/>
      <c r="OZE1" s="68"/>
      <c r="OZF1" s="68"/>
      <c r="OZG1" s="68"/>
      <c r="OZH1" s="68"/>
      <c r="OZI1" s="68"/>
      <c r="OZJ1" s="68"/>
      <c r="OZK1" s="68"/>
      <c r="OZL1" s="68"/>
      <c r="OZM1" s="68"/>
      <c r="OZN1" s="68"/>
      <c r="OZO1" s="68"/>
      <c r="OZP1" s="68"/>
      <c r="OZQ1" s="68"/>
      <c r="OZR1" s="68"/>
      <c r="OZS1" s="68"/>
      <c r="OZT1" s="68"/>
      <c r="OZU1" s="68"/>
      <c r="OZV1" s="68"/>
      <c r="OZW1" s="68"/>
      <c r="OZX1" s="68"/>
      <c r="OZY1" s="68"/>
      <c r="OZZ1" s="68"/>
      <c r="PAA1" s="68"/>
      <c r="PAB1" s="68"/>
      <c r="PAC1" s="68"/>
      <c r="PAD1" s="68"/>
      <c r="PAE1" s="68"/>
      <c r="PAF1" s="68"/>
      <c r="PAG1" s="68"/>
      <c r="PAH1" s="68"/>
      <c r="PAI1" s="68"/>
      <c r="PAJ1" s="68"/>
      <c r="PAK1" s="68"/>
      <c r="PAL1" s="68"/>
      <c r="PAM1" s="68"/>
      <c r="PAN1" s="68"/>
      <c r="PAO1" s="68"/>
      <c r="PAP1" s="68"/>
      <c r="PAQ1" s="68"/>
      <c r="PAR1" s="68"/>
      <c r="PAS1" s="68"/>
      <c r="PAT1" s="68"/>
      <c r="PAU1" s="68"/>
      <c r="PAV1" s="68"/>
      <c r="PAW1" s="68"/>
      <c r="PAX1" s="68"/>
      <c r="PAY1" s="68"/>
      <c r="PAZ1" s="68"/>
      <c r="PBA1" s="68"/>
      <c r="PBB1" s="68"/>
      <c r="PBC1" s="68"/>
      <c r="PBD1" s="68"/>
      <c r="PBE1" s="68"/>
      <c r="PBF1" s="68"/>
      <c r="PBG1" s="68"/>
      <c r="PBH1" s="68"/>
      <c r="PBI1" s="68"/>
      <c r="PBJ1" s="68"/>
      <c r="PBK1" s="68"/>
      <c r="PBL1" s="68"/>
      <c r="PBM1" s="68"/>
      <c r="PBN1" s="68"/>
      <c r="PBO1" s="68"/>
      <c r="PBP1" s="68"/>
      <c r="PBQ1" s="68"/>
      <c r="PBR1" s="68"/>
      <c r="PBS1" s="68"/>
      <c r="PBT1" s="68"/>
      <c r="PBU1" s="68"/>
      <c r="PBV1" s="68"/>
      <c r="PBW1" s="68"/>
      <c r="PBX1" s="68"/>
      <c r="PBY1" s="68"/>
      <c r="PBZ1" s="68"/>
      <c r="PCA1" s="68"/>
      <c r="PCB1" s="68"/>
      <c r="PCC1" s="68"/>
      <c r="PCD1" s="68"/>
      <c r="PCE1" s="68"/>
      <c r="PCF1" s="68"/>
      <c r="PCG1" s="68"/>
      <c r="PCH1" s="68"/>
      <c r="PCI1" s="68"/>
      <c r="PCJ1" s="68"/>
      <c r="PCK1" s="68"/>
      <c r="PCL1" s="68"/>
      <c r="PCM1" s="68"/>
      <c r="PCN1" s="68"/>
      <c r="PCO1" s="68"/>
      <c r="PCP1" s="68"/>
      <c r="PCQ1" s="68"/>
      <c r="PCR1" s="68"/>
      <c r="PCS1" s="68"/>
      <c r="PCT1" s="68"/>
      <c r="PCU1" s="68"/>
      <c r="PCV1" s="68"/>
      <c r="PCW1" s="68"/>
      <c r="PCX1" s="68"/>
      <c r="PCY1" s="68"/>
      <c r="PCZ1" s="68"/>
      <c r="PDA1" s="68"/>
      <c r="PDB1" s="68"/>
      <c r="PDC1" s="68"/>
      <c r="PDD1" s="68"/>
      <c r="PDE1" s="68"/>
      <c r="PDF1" s="68"/>
      <c r="PDG1" s="68"/>
      <c r="PDH1" s="68"/>
      <c r="PDI1" s="68"/>
      <c r="PDJ1" s="68"/>
      <c r="PDK1" s="68"/>
      <c r="PDL1" s="68"/>
      <c r="PDM1" s="68"/>
      <c r="PDN1" s="68"/>
      <c r="PDO1" s="68"/>
      <c r="PDP1" s="68"/>
      <c r="PDQ1" s="68"/>
      <c r="PDR1" s="68"/>
      <c r="PDS1" s="68"/>
      <c r="PDT1" s="68"/>
      <c r="PDU1" s="68"/>
      <c r="PDV1" s="68"/>
      <c r="PDW1" s="68"/>
      <c r="PDX1" s="68"/>
      <c r="PDY1" s="68"/>
      <c r="PDZ1" s="68"/>
      <c r="PEA1" s="68"/>
      <c r="PEB1" s="68"/>
      <c r="PEC1" s="68"/>
      <c r="PED1" s="68"/>
      <c r="PEE1" s="68"/>
      <c r="PEF1" s="68"/>
      <c r="PEG1" s="68"/>
      <c r="PEH1" s="68"/>
      <c r="PEI1" s="68"/>
      <c r="PEJ1" s="68"/>
      <c r="PEK1" s="68"/>
      <c r="PEL1" s="68"/>
      <c r="PEM1" s="68"/>
      <c r="PEN1" s="68"/>
      <c r="PEO1" s="68"/>
      <c r="PEP1" s="68"/>
      <c r="PEQ1" s="68"/>
      <c r="PER1" s="68"/>
      <c r="PES1" s="68"/>
      <c r="PET1" s="68"/>
      <c r="PEU1" s="68"/>
      <c r="PEV1" s="68"/>
      <c r="PEW1" s="68"/>
      <c r="PEX1" s="68"/>
      <c r="PEY1" s="68"/>
      <c r="PEZ1" s="68"/>
      <c r="PFA1" s="68"/>
      <c r="PFB1" s="68"/>
      <c r="PFC1" s="68"/>
      <c r="PFD1" s="68"/>
      <c r="PFE1" s="68"/>
      <c r="PFF1" s="68"/>
      <c r="PFG1" s="68"/>
      <c r="PFH1" s="68"/>
      <c r="PFI1" s="68"/>
      <c r="PFJ1" s="68"/>
      <c r="PFK1" s="68"/>
      <c r="PFL1" s="68"/>
      <c r="PFM1" s="68"/>
      <c r="PFN1" s="68"/>
      <c r="PFO1" s="68"/>
      <c r="PFP1" s="68"/>
      <c r="PFQ1" s="68"/>
      <c r="PFR1" s="68"/>
      <c r="PFS1" s="68"/>
      <c r="PFT1" s="68"/>
      <c r="PFU1" s="68"/>
      <c r="PFV1" s="68"/>
      <c r="PFW1" s="68"/>
      <c r="PFX1" s="68"/>
      <c r="PFY1" s="68"/>
      <c r="PFZ1" s="68"/>
      <c r="PGA1" s="68"/>
      <c r="PGB1" s="68"/>
      <c r="PGC1" s="68"/>
      <c r="PGD1" s="68"/>
      <c r="PGE1" s="68"/>
      <c r="PGF1" s="68"/>
      <c r="PGG1" s="68"/>
      <c r="PGH1" s="68"/>
      <c r="PGI1" s="68"/>
      <c r="PGJ1" s="68"/>
      <c r="PGK1" s="68"/>
      <c r="PGL1" s="68"/>
      <c r="PGM1" s="68"/>
      <c r="PGN1" s="68"/>
      <c r="PGO1" s="68"/>
      <c r="PGP1" s="68"/>
      <c r="PGQ1" s="68"/>
      <c r="PGR1" s="68"/>
      <c r="PGS1" s="68"/>
      <c r="PGT1" s="68"/>
      <c r="PGU1" s="68"/>
      <c r="PGV1" s="68"/>
      <c r="PGW1" s="68"/>
      <c r="PGX1" s="68"/>
      <c r="PGY1" s="68"/>
      <c r="PGZ1" s="68"/>
      <c r="PHA1" s="68"/>
      <c r="PHB1" s="68"/>
      <c r="PHC1" s="68"/>
      <c r="PHD1" s="68"/>
      <c r="PHE1" s="68"/>
      <c r="PHF1" s="68"/>
      <c r="PHG1" s="68"/>
      <c r="PHH1" s="68"/>
      <c r="PHI1" s="68"/>
      <c r="PHJ1" s="68"/>
      <c r="PHK1" s="68"/>
      <c r="PHL1" s="68"/>
      <c r="PHM1" s="68"/>
      <c r="PHN1" s="68"/>
      <c r="PHO1" s="68"/>
      <c r="PHP1" s="68"/>
      <c r="PHQ1" s="68"/>
      <c r="PHR1" s="68"/>
      <c r="PHS1" s="68"/>
      <c r="PHT1" s="68"/>
      <c r="PHU1" s="68"/>
      <c r="PHV1" s="68"/>
      <c r="PHW1" s="68"/>
      <c r="PHX1" s="68"/>
      <c r="PHY1" s="68"/>
      <c r="PHZ1" s="68"/>
      <c r="PIA1" s="68"/>
      <c r="PIB1" s="68"/>
      <c r="PIC1" s="68"/>
      <c r="PID1" s="68"/>
      <c r="PIE1" s="68"/>
      <c r="PIF1" s="68"/>
      <c r="PIG1" s="68"/>
      <c r="PIH1" s="68"/>
      <c r="PII1" s="68"/>
      <c r="PIJ1" s="68"/>
      <c r="PIK1" s="68"/>
      <c r="PIL1" s="68"/>
      <c r="PIM1" s="68"/>
      <c r="PIN1" s="68"/>
      <c r="PIO1" s="68"/>
      <c r="PIP1" s="68"/>
      <c r="PIQ1" s="68"/>
      <c r="PIR1" s="68"/>
      <c r="PIS1" s="68"/>
      <c r="PIT1" s="68"/>
      <c r="PIU1" s="68"/>
      <c r="PIV1" s="68"/>
      <c r="PIW1" s="68"/>
      <c r="PIX1" s="68"/>
      <c r="PIY1" s="68"/>
      <c r="PIZ1" s="68"/>
      <c r="PJA1" s="68"/>
      <c r="PJB1" s="68"/>
      <c r="PJC1" s="68"/>
      <c r="PJD1" s="68"/>
      <c r="PJE1" s="68"/>
      <c r="PJF1" s="68"/>
      <c r="PJG1" s="68"/>
      <c r="PJH1" s="68"/>
      <c r="PJI1" s="68"/>
      <c r="PJJ1" s="68"/>
      <c r="PJK1" s="68"/>
      <c r="PJL1" s="68"/>
      <c r="PJM1" s="68"/>
      <c r="PJN1" s="68"/>
      <c r="PJO1" s="68"/>
      <c r="PJP1" s="68"/>
      <c r="PJQ1" s="68"/>
      <c r="PJR1" s="68"/>
      <c r="PJS1" s="68"/>
      <c r="PJT1" s="68"/>
      <c r="PJU1" s="68"/>
      <c r="PJV1" s="68"/>
      <c r="PJW1" s="68"/>
      <c r="PJX1" s="68"/>
      <c r="PJY1" s="68"/>
      <c r="PJZ1" s="68"/>
      <c r="PKA1" s="68"/>
      <c r="PKB1" s="68"/>
      <c r="PKC1" s="68"/>
      <c r="PKD1" s="68"/>
      <c r="PKE1" s="68"/>
      <c r="PKF1" s="68"/>
      <c r="PKG1" s="68"/>
      <c r="PKH1" s="68"/>
      <c r="PKI1" s="68"/>
      <c r="PKJ1" s="68"/>
      <c r="PKK1" s="68"/>
      <c r="PKL1" s="68"/>
      <c r="PKM1" s="68"/>
      <c r="PKN1" s="68"/>
      <c r="PKO1" s="68"/>
      <c r="PKP1" s="68"/>
      <c r="PKQ1" s="68"/>
      <c r="PKR1" s="68"/>
      <c r="PKS1" s="68"/>
      <c r="PKT1" s="68"/>
      <c r="PKU1" s="68"/>
      <c r="PKV1" s="68"/>
      <c r="PKW1" s="68"/>
      <c r="PKX1" s="68"/>
      <c r="PKY1" s="68"/>
      <c r="PKZ1" s="68"/>
      <c r="PLA1" s="68"/>
      <c r="PLB1" s="68"/>
      <c r="PLC1" s="68"/>
      <c r="PLD1" s="68"/>
      <c r="PLE1" s="68"/>
      <c r="PLF1" s="68"/>
      <c r="PLG1" s="68"/>
      <c r="PLH1" s="68"/>
      <c r="PLI1" s="68"/>
      <c r="PLJ1" s="68"/>
      <c r="PLK1" s="68"/>
      <c r="PLL1" s="68"/>
      <c r="PLM1" s="68"/>
      <c r="PLN1" s="68"/>
      <c r="PLO1" s="68"/>
      <c r="PLP1" s="68"/>
      <c r="PLQ1" s="68"/>
      <c r="PLR1" s="68"/>
      <c r="PLS1" s="68"/>
      <c r="PLT1" s="68"/>
      <c r="PLU1" s="68"/>
      <c r="PLV1" s="68"/>
      <c r="PLW1" s="68"/>
      <c r="PLX1" s="68"/>
      <c r="PLY1" s="68"/>
      <c r="PLZ1" s="68"/>
      <c r="PMA1" s="68"/>
      <c r="PMB1" s="68"/>
      <c r="PMC1" s="68"/>
      <c r="PMD1" s="68"/>
      <c r="PME1" s="68"/>
      <c r="PMF1" s="68"/>
      <c r="PMG1" s="68"/>
      <c r="PMH1" s="68"/>
      <c r="PMI1" s="68"/>
      <c r="PMJ1" s="68"/>
      <c r="PMK1" s="68"/>
      <c r="PML1" s="68"/>
      <c r="PMM1" s="68"/>
      <c r="PMN1" s="68"/>
      <c r="PMO1" s="68"/>
      <c r="PMP1" s="68"/>
      <c r="PMQ1" s="68"/>
      <c r="PMR1" s="68"/>
      <c r="PMS1" s="68"/>
      <c r="PMT1" s="68"/>
      <c r="PMU1" s="68"/>
      <c r="PMV1" s="68"/>
      <c r="PMW1" s="68"/>
      <c r="PMX1" s="68"/>
      <c r="PMY1" s="68"/>
      <c r="PMZ1" s="68"/>
      <c r="PNA1" s="68"/>
      <c r="PNB1" s="68"/>
      <c r="PNC1" s="68"/>
      <c r="PND1" s="68"/>
      <c r="PNE1" s="68"/>
      <c r="PNF1" s="68"/>
      <c r="PNG1" s="68"/>
      <c r="PNH1" s="68"/>
      <c r="PNI1" s="68"/>
      <c r="PNJ1" s="68"/>
      <c r="PNK1" s="68"/>
      <c r="PNL1" s="68"/>
      <c r="PNM1" s="68"/>
      <c r="PNN1" s="68"/>
      <c r="PNO1" s="68"/>
      <c r="PNP1" s="68"/>
      <c r="PNQ1" s="68"/>
      <c r="PNR1" s="68"/>
      <c r="PNS1" s="68"/>
      <c r="PNT1" s="68"/>
      <c r="PNU1" s="68"/>
      <c r="PNV1" s="68"/>
      <c r="PNW1" s="68"/>
      <c r="PNX1" s="68"/>
      <c r="PNY1" s="68"/>
      <c r="PNZ1" s="68"/>
      <c r="POA1" s="68"/>
      <c r="POB1" s="68"/>
      <c r="POC1" s="68"/>
      <c r="POD1" s="68"/>
      <c r="POE1" s="68"/>
      <c r="POF1" s="68"/>
      <c r="POG1" s="68"/>
      <c r="POH1" s="68"/>
      <c r="POI1" s="68"/>
      <c r="POJ1" s="68"/>
      <c r="POK1" s="68"/>
      <c r="POL1" s="68"/>
      <c r="POM1" s="68"/>
      <c r="PON1" s="68"/>
      <c r="POO1" s="68"/>
      <c r="POP1" s="68"/>
      <c r="POQ1" s="68"/>
      <c r="POR1" s="68"/>
      <c r="POS1" s="68"/>
      <c r="POT1" s="68"/>
      <c r="POU1" s="68"/>
      <c r="POV1" s="68"/>
      <c r="POW1" s="68"/>
      <c r="POX1" s="68"/>
      <c r="POY1" s="68"/>
      <c r="POZ1" s="68"/>
      <c r="PPA1" s="68"/>
      <c r="PPB1" s="68"/>
      <c r="PPC1" s="68"/>
      <c r="PPD1" s="68"/>
      <c r="PPE1" s="68"/>
      <c r="PPF1" s="68"/>
      <c r="PPG1" s="68"/>
      <c r="PPH1" s="68"/>
      <c r="PPI1" s="68"/>
      <c r="PPJ1" s="68"/>
      <c r="PPK1" s="68"/>
      <c r="PPL1" s="68"/>
      <c r="PPM1" s="68"/>
      <c r="PPN1" s="68"/>
      <c r="PPO1" s="68"/>
      <c r="PPP1" s="68"/>
      <c r="PPQ1" s="68"/>
      <c r="PPR1" s="68"/>
      <c r="PPS1" s="68"/>
      <c r="PPT1" s="68"/>
      <c r="PPU1" s="68"/>
      <c r="PPV1" s="68"/>
      <c r="PPW1" s="68"/>
      <c r="PPX1" s="68"/>
      <c r="PPY1" s="68"/>
      <c r="PPZ1" s="68"/>
      <c r="PQA1" s="68"/>
      <c r="PQB1" s="68"/>
      <c r="PQC1" s="68"/>
      <c r="PQD1" s="68"/>
      <c r="PQE1" s="68"/>
      <c r="PQF1" s="68"/>
      <c r="PQG1" s="68"/>
      <c r="PQH1" s="68"/>
      <c r="PQI1" s="68"/>
      <c r="PQJ1" s="68"/>
      <c r="PQK1" s="68"/>
      <c r="PQL1" s="68"/>
      <c r="PQM1" s="68"/>
      <c r="PQN1" s="68"/>
      <c r="PQO1" s="68"/>
      <c r="PQP1" s="68"/>
      <c r="PQQ1" s="68"/>
      <c r="PQR1" s="68"/>
      <c r="PQS1" s="68"/>
      <c r="PQT1" s="68"/>
      <c r="PQU1" s="68"/>
      <c r="PQV1" s="68"/>
      <c r="PQW1" s="68"/>
      <c r="PQX1" s="68"/>
      <c r="PQY1" s="68"/>
      <c r="PQZ1" s="68"/>
      <c r="PRA1" s="68"/>
      <c r="PRB1" s="68"/>
      <c r="PRC1" s="68"/>
      <c r="PRD1" s="68"/>
      <c r="PRE1" s="68"/>
      <c r="PRF1" s="68"/>
      <c r="PRG1" s="68"/>
      <c r="PRH1" s="68"/>
      <c r="PRI1" s="68"/>
      <c r="PRJ1" s="68"/>
      <c r="PRK1" s="68"/>
      <c r="PRL1" s="68"/>
      <c r="PRM1" s="68"/>
      <c r="PRN1" s="68"/>
      <c r="PRO1" s="68"/>
      <c r="PRP1" s="68"/>
      <c r="PRQ1" s="68"/>
      <c r="PRR1" s="68"/>
      <c r="PRS1" s="68"/>
      <c r="PRT1" s="68"/>
      <c r="PRU1" s="68"/>
      <c r="PRV1" s="68"/>
      <c r="PRW1" s="68"/>
      <c r="PRX1" s="68"/>
      <c r="PRY1" s="68"/>
      <c r="PRZ1" s="68"/>
      <c r="PSA1" s="68"/>
      <c r="PSB1" s="68"/>
      <c r="PSC1" s="68"/>
      <c r="PSD1" s="68"/>
      <c r="PSE1" s="68"/>
      <c r="PSF1" s="68"/>
      <c r="PSG1" s="68"/>
      <c r="PSH1" s="68"/>
      <c r="PSI1" s="68"/>
      <c r="PSJ1" s="68"/>
      <c r="PSK1" s="68"/>
      <c r="PSL1" s="68"/>
      <c r="PSM1" s="68"/>
      <c r="PSN1" s="68"/>
      <c r="PSO1" s="68"/>
      <c r="PSP1" s="68"/>
      <c r="PSQ1" s="68"/>
      <c r="PSR1" s="68"/>
      <c r="PSS1" s="68"/>
      <c r="PST1" s="68"/>
      <c r="PSU1" s="68"/>
      <c r="PSV1" s="68"/>
      <c r="PSW1" s="68"/>
      <c r="PSX1" s="68"/>
      <c r="PSY1" s="68"/>
      <c r="PSZ1" s="68"/>
      <c r="PTA1" s="68"/>
      <c r="PTB1" s="68"/>
      <c r="PTC1" s="68"/>
      <c r="PTD1" s="68"/>
      <c r="PTE1" s="68"/>
      <c r="PTF1" s="68"/>
      <c r="PTG1" s="68"/>
      <c r="PTH1" s="68"/>
      <c r="PTI1" s="68"/>
      <c r="PTJ1" s="68"/>
      <c r="PTK1" s="68"/>
      <c r="PTL1" s="68"/>
      <c r="PTM1" s="68"/>
      <c r="PTN1" s="68"/>
      <c r="PTO1" s="68"/>
      <c r="PTP1" s="68"/>
      <c r="PTQ1" s="68"/>
      <c r="PTR1" s="68"/>
      <c r="PTS1" s="68"/>
      <c r="PTT1" s="68"/>
      <c r="PTU1" s="68"/>
      <c r="PTV1" s="68"/>
      <c r="PTW1" s="68"/>
      <c r="PTX1" s="68"/>
      <c r="PTY1" s="68"/>
      <c r="PTZ1" s="68"/>
      <c r="PUA1" s="68"/>
      <c r="PUB1" s="68"/>
      <c r="PUC1" s="68"/>
      <c r="PUD1" s="68"/>
      <c r="PUE1" s="68"/>
      <c r="PUF1" s="68"/>
      <c r="PUG1" s="68"/>
      <c r="PUH1" s="68"/>
      <c r="PUI1" s="68"/>
      <c r="PUJ1" s="68"/>
      <c r="PUK1" s="68"/>
      <c r="PUL1" s="68"/>
      <c r="PUM1" s="68"/>
      <c r="PUN1" s="68"/>
      <c r="PUO1" s="68"/>
      <c r="PUP1" s="68"/>
      <c r="PUQ1" s="68"/>
      <c r="PUR1" s="68"/>
      <c r="PUS1" s="68"/>
      <c r="PUT1" s="68"/>
      <c r="PUU1" s="68"/>
      <c r="PUV1" s="68"/>
      <c r="PUW1" s="68"/>
      <c r="PUX1" s="68"/>
      <c r="PUY1" s="68"/>
      <c r="PUZ1" s="68"/>
      <c r="PVA1" s="68"/>
      <c r="PVB1" s="68"/>
      <c r="PVC1" s="68"/>
      <c r="PVD1" s="68"/>
      <c r="PVE1" s="68"/>
      <c r="PVF1" s="68"/>
      <c r="PVG1" s="68"/>
      <c r="PVH1" s="68"/>
      <c r="PVI1" s="68"/>
      <c r="PVJ1" s="68"/>
      <c r="PVK1" s="68"/>
      <c r="PVL1" s="68"/>
      <c r="PVM1" s="68"/>
      <c r="PVN1" s="68"/>
      <c r="PVO1" s="68"/>
      <c r="PVP1" s="68"/>
      <c r="PVQ1" s="68"/>
      <c r="PVR1" s="68"/>
      <c r="PVS1" s="68"/>
      <c r="PVT1" s="68"/>
      <c r="PVU1" s="68"/>
      <c r="PVV1" s="68"/>
      <c r="PVW1" s="68"/>
      <c r="PVX1" s="68"/>
      <c r="PVY1" s="68"/>
      <c r="PVZ1" s="68"/>
      <c r="PWA1" s="68"/>
      <c r="PWB1" s="68"/>
      <c r="PWC1" s="68"/>
      <c r="PWD1" s="68"/>
      <c r="PWE1" s="68"/>
      <c r="PWF1" s="68"/>
      <c r="PWG1" s="68"/>
      <c r="PWH1" s="68"/>
      <c r="PWI1" s="68"/>
      <c r="PWJ1" s="68"/>
      <c r="PWK1" s="68"/>
      <c r="PWL1" s="68"/>
      <c r="PWM1" s="68"/>
      <c r="PWN1" s="68"/>
      <c r="PWO1" s="68"/>
      <c r="PWP1" s="68"/>
      <c r="PWQ1" s="68"/>
      <c r="PWR1" s="68"/>
      <c r="PWS1" s="68"/>
      <c r="PWT1" s="68"/>
      <c r="PWU1" s="68"/>
      <c r="PWV1" s="68"/>
      <c r="PWW1" s="68"/>
      <c r="PWX1" s="68"/>
      <c r="PWY1" s="68"/>
      <c r="PWZ1" s="68"/>
      <c r="PXA1" s="68"/>
      <c r="PXB1" s="68"/>
      <c r="PXC1" s="68"/>
      <c r="PXD1" s="68"/>
      <c r="PXE1" s="68"/>
      <c r="PXF1" s="68"/>
      <c r="PXG1" s="68"/>
      <c r="PXH1" s="68"/>
      <c r="PXI1" s="68"/>
      <c r="PXJ1" s="68"/>
      <c r="PXK1" s="68"/>
      <c r="PXL1" s="68"/>
      <c r="PXM1" s="68"/>
      <c r="PXN1" s="68"/>
      <c r="PXO1" s="68"/>
      <c r="PXP1" s="68"/>
      <c r="PXQ1" s="68"/>
      <c r="PXR1" s="68"/>
      <c r="PXS1" s="68"/>
      <c r="PXT1" s="68"/>
      <c r="PXU1" s="68"/>
      <c r="PXV1" s="68"/>
      <c r="PXW1" s="68"/>
      <c r="PXX1" s="68"/>
      <c r="PXY1" s="68"/>
      <c r="PXZ1" s="68"/>
      <c r="PYA1" s="68"/>
      <c r="PYB1" s="68"/>
      <c r="PYC1" s="68"/>
      <c r="PYD1" s="68"/>
      <c r="PYE1" s="68"/>
      <c r="PYF1" s="68"/>
      <c r="PYG1" s="68"/>
      <c r="PYH1" s="68"/>
      <c r="PYI1" s="68"/>
      <c r="PYJ1" s="68"/>
      <c r="PYK1" s="68"/>
      <c r="PYL1" s="68"/>
      <c r="PYM1" s="68"/>
      <c r="PYN1" s="68"/>
      <c r="PYO1" s="68"/>
      <c r="PYP1" s="68"/>
      <c r="PYQ1" s="68"/>
      <c r="PYR1" s="68"/>
      <c r="PYS1" s="68"/>
      <c r="PYT1" s="68"/>
      <c r="PYU1" s="68"/>
      <c r="PYV1" s="68"/>
      <c r="PYW1" s="68"/>
      <c r="PYX1" s="68"/>
      <c r="PYY1" s="68"/>
      <c r="PYZ1" s="68"/>
      <c r="PZA1" s="68"/>
      <c r="PZB1" s="68"/>
      <c r="PZC1" s="68"/>
      <c r="PZD1" s="68"/>
      <c r="PZE1" s="68"/>
      <c r="PZF1" s="68"/>
      <c r="PZG1" s="68"/>
      <c r="PZH1" s="68"/>
      <c r="PZI1" s="68"/>
      <c r="PZJ1" s="68"/>
      <c r="PZK1" s="68"/>
      <c r="PZL1" s="68"/>
      <c r="PZM1" s="68"/>
      <c r="PZN1" s="68"/>
      <c r="PZO1" s="68"/>
      <c r="PZP1" s="68"/>
      <c r="PZQ1" s="68"/>
      <c r="PZR1" s="68"/>
      <c r="PZS1" s="68"/>
      <c r="PZT1" s="68"/>
      <c r="PZU1" s="68"/>
      <c r="PZV1" s="68"/>
      <c r="PZW1" s="68"/>
      <c r="PZX1" s="68"/>
      <c r="PZY1" s="68"/>
      <c r="PZZ1" s="68"/>
      <c r="QAA1" s="68"/>
      <c r="QAB1" s="68"/>
      <c r="QAC1" s="68"/>
      <c r="QAD1" s="68"/>
      <c r="QAE1" s="68"/>
      <c r="QAF1" s="68"/>
      <c r="QAG1" s="68"/>
      <c r="QAH1" s="68"/>
      <c r="QAI1" s="68"/>
      <c r="QAJ1" s="68"/>
      <c r="QAK1" s="68"/>
      <c r="QAL1" s="68"/>
      <c r="QAM1" s="68"/>
      <c r="QAN1" s="68"/>
      <c r="QAO1" s="68"/>
      <c r="QAP1" s="68"/>
      <c r="QAQ1" s="68"/>
      <c r="QAR1" s="68"/>
      <c r="QAS1" s="68"/>
      <c r="QAT1" s="68"/>
      <c r="QAU1" s="68"/>
      <c r="QAV1" s="68"/>
      <c r="QAW1" s="68"/>
      <c r="QAX1" s="68"/>
      <c r="QAY1" s="68"/>
      <c r="QAZ1" s="68"/>
      <c r="QBA1" s="68"/>
      <c r="QBB1" s="68"/>
      <c r="QBC1" s="68"/>
      <c r="QBD1" s="68"/>
      <c r="QBE1" s="68"/>
      <c r="QBF1" s="68"/>
      <c r="QBG1" s="68"/>
      <c r="QBH1" s="68"/>
      <c r="QBI1" s="68"/>
      <c r="QBJ1" s="68"/>
      <c r="QBK1" s="68"/>
      <c r="QBL1" s="68"/>
      <c r="QBM1" s="68"/>
      <c r="QBN1" s="68"/>
      <c r="QBO1" s="68"/>
      <c r="QBP1" s="68"/>
      <c r="QBQ1" s="68"/>
      <c r="QBR1" s="68"/>
      <c r="QBS1" s="68"/>
      <c r="QBT1" s="68"/>
      <c r="QBU1" s="68"/>
      <c r="QBV1" s="68"/>
      <c r="QBW1" s="68"/>
      <c r="QBX1" s="68"/>
      <c r="QBY1" s="68"/>
      <c r="QBZ1" s="68"/>
      <c r="QCA1" s="68"/>
      <c r="QCB1" s="68"/>
      <c r="QCC1" s="68"/>
      <c r="QCD1" s="68"/>
      <c r="QCE1" s="68"/>
      <c r="QCF1" s="68"/>
      <c r="QCG1" s="68"/>
      <c r="QCH1" s="68"/>
      <c r="QCI1" s="68"/>
      <c r="QCJ1" s="68"/>
      <c r="QCK1" s="68"/>
      <c r="QCL1" s="68"/>
      <c r="QCM1" s="68"/>
      <c r="QCN1" s="68"/>
      <c r="QCO1" s="68"/>
      <c r="QCP1" s="68"/>
      <c r="QCQ1" s="68"/>
      <c r="QCR1" s="68"/>
      <c r="QCS1" s="68"/>
      <c r="QCT1" s="68"/>
      <c r="QCU1" s="68"/>
      <c r="QCV1" s="68"/>
      <c r="QCW1" s="68"/>
      <c r="QCX1" s="68"/>
      <c r="QCY1" s="68"/>
      <c r="QCZ1" s="68"/>
      <c r="QDA1" s="68"/>
      <c r="QDB1" s="68"/>
      <c r="QDC1" s="68"/>
      <c r="QDD1" s="68"/>
      <c r="QDE1" s="68"/>
      <c r="QDF1" s="68"/>
      <c r="QDG1" s="68"/>
      <c r="QDH1" s="68"/>
      <c r="QDI1" s="68"/>
      <c r="QDJ1" s="68"/>
      <c r="QDK1" s="68"/>
      <c r="QDL1" s="68"/>
      <c r="QDM1" s="68"/>
      <c r="QDN1" s="68"/>
      <c r="QDO1" s="68"/>
      <c r="QDP1" s="68"/>
      <c r="QDQ1" s="68"/>
      <c r="QDR1" s="68"/>
      <c r="QDS1" s="68"/>
      <c r="QDT1" s="68"/>
      <c r="QDU1" s="68"/>
      <c r="QDV1" s="68"/>
      <c r="QDW1" s="68"/>
      <c r="QDX1" s="68"/>
      <c r="QDY1" s="68"/>
      <c r="QDZ1" s="68"/>
      <c r="QEA1" s="68"/>
      <c r="QEB1" s="68"/>
      <c r="QEC1" s="68"/>
      <c r="QED1" s="68"/>
      <c r="QEE1" s="68"/>
      <c r="QEF1" s="68"/>
      <c r="QEG1" s="68"/>
      <c r="QEH1" s="68"/>
      <c r="QEI1" s="68"/>
      <c r="QEJ1" s="68"/>
      <c r="QEK1" s="68"/>
      <c r="QEL1" s="68"/>
      <c r="QEM1" s="68"/>
      <c r="QEN1" s="68"/>
      <c r="QEO1" s="68"/>
      <c r="QEP1" s="68"/>
      <c r="QEQ1" s="68"/>
      <c r="QER1" s="68"/>
      <c r="QES1" s="68"/>
      <c r="QET1" s="68"/>
      <c r="QEU1" s="68"/>
      <c r="QEV1" s="68"/>
      <c r="QEW1" s="68"/>
      <c r="QEX1" s="68"/>
      <c r="QEY1" s="68"/>
      <c r="QEZ1" s="68"/>
      <c r="QFA1" s="68"/>
      <c r="QFB1" s="68"/>
      <c r="QFC1" s="68"/>
      <c r="QFD1" s="68"/>
      <c r="QFE1" s="68"/>
      <c r="QFF1" s="68"/>
      <c r="QFG1" s="68"/>
      <c r="QFH1" s="68"/>
      <c r="QFI1" s="68"/>
      <c r="QFJ1" s="68"/>
      <c r="QFK1" s="68"/>
      <c r="QFL1" s="68"/>
      <c r="QFM1" s="68"/>
      <c r="QFN1" s="68"/>
      <c r="QFO1" s="68"/>
      <c r="QFP1" s="68"/>
      <c r="QFQ1" s="68"/>
      <c r="QFR1" s="68"/>
      <c r="QFS1" s="68"/>
      <c r="QFT1" s="68"/>
      <c r="QFU1" s="68"/>
      <c r="QFV1" s="68"/>
      <c r="QFW1" s="68"/>
      <c r="QFX1" s="68"/>
      <c r="QFY1" s="68"/>
      <c r="QFZ1" s="68"/>
      <c r="QGA1" s="68"/>
      <c r="QGB1" s="68"/>
      <c r="QGC1" s="68"/>
      <c r="QGD1" s="68"/>
      <c r="QGE1" s="68"/>
      <c r="QGF1" s="68"/>
      <c r="QGG1" s="68"/>
      <c r="QGH1" s="68"/>
      <c r="QGI1" s="68"/>
      <c r="QGJ1" s="68"/>
      <c r="QGK1" s="68"/>
      <c r="QGL1" s="68"/>
      <c r="QGM1" s="68"/>
      <c r="QGN1" s="68"/>
      <c r="QGO1" s="68"/>
      <c r="QGP1" s="68"/>
      <c r="QGQ1" s="68"/>
      <c r="QGR1" s="68"/>
      <c r="QGS1" s="68"/>
      <c r="QGT1" s="68"/>
      <c r="QGU1" s="68"/>
      <c r="QGV1" s="68"/>
      <c r="QGW1" s="68"/>
      <c r="QGX1" s="68"/>
      <c r="QGY1" s="68"/>
      <c r="QGZ1" s="68"/>
      <c r="QHA1" s="68"/>
      <c r="QHB1" s="68"/>
      <c r="QHC1" s="68"/>
      <c r="QHD1" s="68"/>
      <c r="QHE1" s="68"/>
      <c r="QHF1" s="68"/>
      <c r="QHG1" s="68"/>
      <c r="QHH1" s="68"/>
      <c r="QHI1" s="68"/>
      <c r="QHJ1" s="68"/>
      <c r="QHK1" s="68"/>
      <c r="QHL1" s="68"/>
      <c r="QHM1" s="68"/>
      <c r="QHN1" s="68"/>
      <c r="QHO1" s="68"/>
      <c r="QHP1" s="68"/>
      <c r="QHQ1" s="68"/>
      <c r="QHR1" s="68"/>
      <c r="QHS1" s="68"/>
      <c r="QHT1" s="68"/>
      <c r="QHU1" s="68"/>
      <c r="QHV1" s="68"/>
      <c r="QHW1" s="68"/>
      <c r="QHX1" s="68"/>
      <c r="QHY1" s="68"/>
      <c r="QHZ1" s="68"/>
      <c r="QIA1" s="68"/>
      <c r="QIB1" s="68"/>
      <c r="QIC1" s="68"/>
      <c r="QID1" s="68"/>
      <c r="QIE1" s="68"/>
      <c r="QIF1" s="68"/>
      <c r="QIG1" s="68"/>
      <c r="QIH1" s="68"/>
      <c r="QII1" s="68"/>
      <c r="QIJ1" s="68"/>
      <c r="QIK1" s="68"/>
      <c r="QIL1" s="68"/>
      <c r="QIM1" s="68"/>
      <c r="QIN1" s="68"/>
      <c r="QIO1" s="68"/>
      <c r="QIP1" s="68"/>
      <c r="QIQ1" s="68"/>
      <c r="QIR1" s="68"/>
      <c r="QIS1" s="68"/>
      <c r="QIT1" s="68"/>
      <c r="QIU1" s="68"/>
      <c r="QIV1" s="68"/>
      <c r="QIW1" s="68"/>
      <c r="QIX1" s="68"/>
      <c r="QIY1" s="68"/>
      <c r="QIZ1" s="68"/>
      <c r="QJA1" s="68"/>
      <c r="QJB1" s="68"/>
      <c r="QJC1" s="68"/>
      <c r="QJD1" s="68"/>
      <c r="QJE1" s="68"/>
      <c r="QJF1" s="68"/>
      <c r="QJG1" s="68"/>
      <c r="QJH1" s="68"/>
      <c r="QJI1" s="68"/>
      <c r="QJJ1" s="68"/>
      <c r="QJK1" s="68"/>
      <c r="QJL1" s="68"/>
      <c r="QJM1" s="68"/>
      <c r="QJN1" s="68"/>
      <c r="QJO1" s="68"/>
      <c r="QJP1" s="68"/>
      <c r="QJQ1" s="68"/>
      <c r="QJR1" s="68"/>
      <c r="QJS1" s="68"/>
      <c r="QJT1" s="68"/>
      <c r="QJU1" s="68"/>
      <c r="QJV1" s="68"/>
      <c r="QJW1" s="68"/>
      <c r="QJX1" s="68"/>
      <c r="QJY1" s="68"/>
      <c r="QJZ1" s="68"/>
      <c r="QKA1" s="68"/>
      <c r="QKB1" s="68"/>
      <c r="QKC1" s="68"/>
      <c r="QKD1" s="68"/>
      <c r="QKE1" s="68"/>
      <c r="QKF1" s="68"/>
      <c r="QKG1" s="68"/>
      <c r="QKH1" s="68"/>
      <c r="QKI1" s="68"/>
      <c r="QKJ1" s="68"/>
      <c r="QKK1" s="68"/>
      <c r="QKL1" s="68"/>
      <c r="QKM1" s="68"/>
      <c r="QKN1" s="68"/>
      <c r="QKO1" s="68"/>
      <c r="QKP1" s="68"/>
      <c r="QKQ1" s="68"/>
      <c r="QKR1" s="68"/>
      <c r="QKS1" s="68"/>
      <c r="QKT1" s="68"/>
      <c r="QKU1" s="68"/>
      <c r="QKV1" s="68"/>
      <c r="QKW1" s="68"/>
      <c r="QKX1" s="68"/>
      <c r="QKY1" s="68"/>
      <c r="QKZ1" s="68"/>
      <c r="QLA1" s="68"/>
      <c r="QLB1" s="68"/>
      <c r="QLC1" s="68"/>
      <c r="QLD1" s="68"/>
      <c r="QLE1" s="68"/>
      <c r="QLF1" s="68"/>
      <c r="QLG1" s="68"/>
      <c r="QLH1" s="68"/>
      <c r="QLI1" s="68"/>
      <c r="QLJ1" s="68"/>
      <c r="QLK1" s="68"/>
      <c r="QLL1" s="68"/>
      <c r="QLM1" s="68"/>
      <c r="QLN1" s="68"/>
      <c r="QLO1" s="68"/>
      <c r="QLP1" s="68"/>
      <c r="QLQ1" s="68"/>
      <c r="QLR1" s="68"/>
      <c r="QLS1" s="68"/>
      <c r="QLT1" s="68"/>
      <c r="QLU1" s="68"/>
      <c r="QLV1" s="68"/>
      <c r="QLW1" s="68"/>
      <c r="QLX1" s="68"/>
      <c r="QLY1" s="68"/>
      <c r="QLZ1" s="68"/>
      <c r="QMA1" s="68"/>
      <c r="QMB1" s="68"/>
      <c r="QMC1" s="68"/>
      <c r="QMD1" s="68"/>
      <c r="QME1" s="68"/>
      <c r="QMF1" s="68"/>
      <c r="QMG1" s="68"/>
      <c r="QMH1" s="68"/>
      <c r="QMI1" s="68"/>
      <c r="QMJ1" s="68"/>
      <c r="QMK1" s="68"/>
      <c r="QML1" s="68"/>
      <c r="QMM1" s="68"/>
      <c r="QMN1" s="68"/>
      <c r="QMO1" s="68"/>
      <c r="QMP1" s="68"/>
      <c r="QMQ1" s="68"/>
      <c r="QMR1" s="68"/>
      <c r="QMS1" s="68"/>
      <c r="QMT1" s="68"/>
      <c r="QMU1" s="68"/>
      <c r="QMV1" s="68"/>
      <c r="QMW1" s="68"/>
      <c r="QMX1" s="68"/>
      <c r="QMY1" s="68"/>
      <c r="QMZ1" s="68"/>
      <c r="QNA1" s="68"/>
      <c r="QNB1" s="68"/>
      <c r="QNC1" s="68"/>
      <c r="QND1" s="68"/>
      <c r="QNE1" s="68"/>
      <c r="QNF1" s="68"/>
      <c r="QNG1" s="68"/>
      <c r="QNH1" s="68"/>
      <c r="QNI1" s="68"/>
      <c r="QNJ1" s="68"/>
      <c r="QNK1" s="68"/>
      <c r="QNL1" s="68"/>
      <c r="QNM1" s="68"/>
      <c r="QNN1" s="68"/>
      <c r="QNO1" s="68"/>
      <c r="QNP1" s="68"/>
      <c r="QNQ1" s="68"/>
      <c r="QNR1" s="68"/>
      <c r="QNS1" s="68"/>
      <c r="QNT1" s="68"/>
      <c r="QNU1" s="68"/>
      <c r="QNV1" s="68"/>
      <c r="QNW1" s="68"/>
      <c r="QNX1" s="68"/>
      <c r="QNY1" s="68"/>
      <c r="QNZ1" s="68"/>
      <c r="QOA1" s="68"/>
      <c r="QOB1" s="68"/>
      <c r="QOC1" s="68"/>
      <c r="QOD1" s="68"/>
      <c r="QOE1" s="68"/>
      <c r="QOF1" s="68"/>
      <c r="QOG1" s="68"/>
      <c r="QOH1" s="68"/>
      <c r="QOI1" s="68"/>
      <c r="QOJ1" s="68"/>
      <c r="QOK1" s="68"/>
      <c r="QOL1" s="68"/>
      <c r="QOM1" s="68"/>
      <c r="QON1" s="68"/>
      <c r="QOO1" s="68"/>
      <c r="QOP1" s="68"/>
      <c r="QOQ1" s="68"/>
      <c r="QOR1" s="68"/>
      <c r="QOS1" s="68"/>
      <c r="QOT1" s="68"/>
      <c r="QOU1" s="68"/>
      <c r="QOV1" s="68"/>
      <c r="QOW1" s="68"/>
      <c r="QOX1" s="68"/>
      <c r="QOY1" s="68"/>
      <c r="QOZ1" s="68"/>
      <c r="QPA1" s="68"/>
      <c r="QPB1" s="68"/>
      <c r="QPC1" s="68"/>
      <c r="QPD1" s="68"/>
      <c r="QPE1" s="68"/>
      <c r="QPF1" s="68"/>
      <c r="QPG1" s="68"/>
      <c r="QPH1" s="68"/>
      <c r="QPI1" s="68"/>
      <c r="QPJ1" s="68"/>
      <c r="QPK1" s="68"/>
      <c r="QPL1" s="68"/>
      <c r="QPM1" s="68"/>
      <c r="QPN1" s="68"/>
      <c r="QPO1" s="68"/>
      <c r="QPP1" s="68"/>
      <c r="QPQ1" s="68"/>
      <c r="QPR1" s="68"/>
      <c r="QPS1" s="68"/>
      <c r="QPT1" s="68"/>
      <c r="QPU1" s="68"/>
      <c r="QPV1" s="68"/>
      <c r="QPW1" s="68"/>
      <c r="QPX1" s="68"/>
      <c r="QPY1" s="68"/>
      <c r="QPZ1" s="68"/>
      <c r="QQA1" s="68"/>
      <c r="QQB1" s="68"/>
      <c r="QQC1" s="68"/>
      <c r="QQD1" s="68"/>
      <c r="QQE1" s="68"/>
      <c r="QQF1" s="68"/>
      <c r="QQG1" s="68"/>
      <c r="QQH1" s="68"/>
      <c r="QQI1" s="68"/>
      <c r="QQJ1" s="68"/>
      <c r="QQK1" s="68"/>
      <c r="QQL1" s="68"/>
      <c r="QQM1" s="68"/>
      <c r="QQN1" s="68"/>
      <c r="QQO1" s="68"/>
      <c r="QQP1" s="68"/>
      <c r="QQQ1" s="68"/>
      <c r="QQR1" s="68"/>
      <c r="QQS1" s="68"/>
      <c r="QQT1" s="68"/>
      <c r="QQU1" s="68"/>
      <c r="QQV1" s="68"/>
      <c r="QQW1" s="68"/>
      <c r="QQX1" s="68"/>
      <c r="QQY1" s="68"/>
      <c r="QQZ1" s="68"/>
      <c r="QRA1" s="68"/>
      <c r="QRB1" s="68"/>
      <c r="QRC1" s="68"/>
      <c r="QRD1" s="68"/>
      <c r="QRE1" s="68"/>
      <c r="QRF1" s="68"/>
      <c r="QRG1" s="68"/>
      <c r="QRH1" s="68"/>
      <c r="QRI1" s="68"/>
      <c r="QRJ1" s="68"/>
      <c r="QRK1" s="68"/>
      <c r="QRL1" s="68"/>
      <c r="QRM1" s="68"/>
      <c r="QRN1" s="68"/>
      <c r="QRO1" s="68"/>
      <c r="QRP1" s="68"/>
      <c r="QRQ1" s="68"/>
      <c r="QRR1" s="68"/>
      <c r="QRS1" s="68"/>
      <c r="QRT1" s="68"/>
      <c r="QRU1" s="68"/>
      <c r="QRV1" s="68"/>
      <c r="QRW1" s="68"/>
      <c r="QRX1" s="68"/>
      <c r="QRY1" s="68"/>
      <c r="QRZ1" s="68"/>
      <c r="QSA1" s="68"/>
      <c r="QSB1" s="68"/>
      <c r="QSC1" s="68"/>
      <c r="QSD1" s="68"/>
      <c r="QSE1" s="68"/>
      <c r="QSF1" s="68"/>
      <c r="QSG1" s="68"/>
      <c r="QSH1" s="68"/>
      <c r="QSI1" s="68"/>
      <c r="QSJ1" s="68"/>
      <c r="QSK1" s="68"/>
      <c r="QSL1" s="68"/>
      <c r="QSM1" s="68"/>
      <c r="QSN1" s="68"/>
      <c r="QSO1" s="68"/>
      <c r="QSP1" s="68"/>
      <c r="QSQ1" s="68"/>
      <c r="QSR1" s="68"/>
      <c r="QSS1" s="68"/>
      <c r="QST1" s="68"/>
      <c r="QSU1" s="68"/>
      <c r="QSV1" s="68"/>
      <c r="QSW1" s="68"/>
      <c r="QSX1" s="68"/>
      <c r="QSY1" s="68"/>
      <c r="QSZ1" s="68"/>
      <c r="QTA1" s="68"/>
      <c r="QTB1" s="68"/>
      <c r="QTC1" s="68"/>
      <c r="QTD1" s="68"/>
      <c r="QTE1" s="68"/>
      <c r="QTF1" s="68"/>
      <c r="QTG1" s="68"/>
      <c r="QTH1" s="68"/>
      <c r="QTI1" s="68"/>
      <c r="QTJ1" s="68"/>
      <c r="QTK1" s="68"/>
      <c r="QTL1" s="68"/>
      <c r="QTM1" s="68"/>
      <c r="QTN1" s="68"/>
      <c r="QTO1" s="68"/>
      <c r="QTP1" s="68"/>
      <c r="QTQ1" s="68"/>
      <c r="QTR1" s="68"/>
      <c r="QTS1" s="68"/>
      <c r="QTT1" s="68"/>
      <c r="QTU1" s="68"/>
      <c r="QTV1" s="68"/>
      <c r="QTW1" s="68"/>
      <c r="QTX1" s="68"/>
      <c r="QTY1" s="68"/>
      <c r="QTZ1" s="68"/>
      <c r="QUA1" s="68"/>
      <c r="QUB1" s="68"/>
      <c r="QUC1" s="68"/>
      <c r="QUD1" s="68"/>
      <c r="QUE1" s="68"/>
      <c r="QUF1" s="68"/>
      <c r="QUG1" s="68"/>
      <c r="QUH1" s="68"/>
      <c r="QUI1" s="68"/>
      <c r="QUJ1" s="68"/>
      <c r="QUK1" s="68"/>
      <c r="QUL1" s="68"/>
      <c r="QUM1" s="68"/>
      <c r="QUN1" s="68"/>
      <c r="QUO1" s="68"/>
      <c r="QUP1" s="68"/>
      <c r="QUQ1" s="68"/>
      <c r="QUR1" s="68"/>
      <c r="QUS1" s="68"/>
      <c r="QUT1" s="68"/>
      <c r="QUU1" s="68"/>
      <c r="QUV1" s="68"/>
      <c r="QUW1" s="68"/>
      <c r="QUX1" s="68"/>
      <c r="QUY1" s="68"/>
      <c r="QUZ1" s="68"/>
      <c r="QVA1" s="68"/>
      <c r="QVB1" s="68"/>
      <c r="QVC1" s="68"/>
      <c r="QVD1" s="68"/>
      <c r="QVE1" s="68"/>
      <c r="QVF1" s="68"/>
      <c r="QVG1" s="68"/>
      <c r="QVH1" s="68"/>
      <c r="QVI1" s="68"/>
      <c r="QVJ1" s="68"/>
      <c r="QVK1" s="68"/>
      <c r="QVL1" s="68"/>
      <c r="QVM1" s="68"/>
      <c r="QVN1" s="68"/>
      <c r="QVO1" s="68"/>
      <c r="QVP1" s="68"/>
      <c r="QVQ1" s="68"/>
      <c r="QVR1" s="68"/>
      <c r="QVS1" s="68"/>
      <c r="QVT1" s="68"/>
      <c r="QVU1" s="68"/>
      <c r="QVV1" s="68"/>
      <c r="QVW1" s="68"/>
      <c r="QVX1" s="68"/>
      <c r="QVY1" s="68"/>
      <c r="QVZ1" s="68"/>
      <c r="QWA1" s="68"/>
      <c r="QWB1" s="68"/>
      <c r="QWC1" s="68"/>
      <c r="QWD1" s="68"/>
      <c r="QWE1" s="68"/>
      <c r="QWF1" s="68"/>
      <c r="QWG1" s="68"/>
      <c r="QWH1" s="68"/>
      <c r="QWI1" s="68"/>
      <c r="QWJ1" s="68"/>
      <c r="QWK1" s="68"/>
      <c r="QWL1" s="68"/>
      <c r="QWM1" s="68"/>
      <c r="QWN1" s="68"/>
      <c r="QWO1" s="68"/>
      <c r="QWP1" s="68"/>
      <c r="QWQ1" s="68"/>
      <c r="QWR1" s="68"/>
      <c r="QWS1" s="68"/>
      <c r="QWT1" s="68"/>
      <c r="QWU1" s="68"/>
      <c r="QWV1" s="68"/>
      <c r="QWW1" s="68"/>
      <c r="QWX1" s="68"/>
      <c r="QWY1" s="68"/>
      <c r="QWZ1" s="68"/>
      <c r="QXA1" s="68"/>
      <c r="QXB1" s="68"/>
      <c r="QXC1" s="68"/>
      <c r="QXD1" s="68"/>
      <c r="QXE1" s="68"/>
      <c r="QXF1" s="68"/>
      <c r="QXG1" s="68"/>
      <c r="QXH1" s="68"/>
      <c r="QXI1" s="68"/>
      <c r="QXJ1" s="68"/>
      <c r="QXK1" s="68"/>
      <c r="QXL1" s="68"/>
      <c r="QXM1" s="68"/>
      <c r="QXN1" s="68"/>
      <c r="QXO1" s="68"/>
      <c r="QXP1" s="68"/>
      <c r="QXQ1" s="68"/>
      <c r="QXR1" s="68"/>
      <c r="QXS1" s="68"/>
      <c r="QXT1" s="68"/>
      <c r="QXU1" s="68"/>
      <c r="QXV1" s="68"/>
      <c r="QXW1" s="68"/>
      <c r="QXX1" s="68"/>
      <c r="QXY1" s="68"/>
      <c r="QXZ1" s="68"/>
      <c r="QYA1" s="68"/>
      <c r="QYB1" s="68"/>
      <c r="QYC1" s="68"/>
      <c r="QYD1" s="68"/>
      <c r="QYE1" s="68"/>
      <c r="QYF1" s="68"/>
      <c r="QYG1" s="68"/>
      <c r="QYH1" s="68"/>
      <c r="QYI1" s="68"/>
      <c r="QYJ1" s="68"/>
      <c r="QYK1" s="68"/>
      <c r="QYL1" s="68"/>
      <c r="QYM1" s="68"/>
      <c r="QYN1" s="68"/>
      <c r="QYO1" s="68"/>
      <c r="QYP1" s="68"/>
      <c r="QYQ1" s="68"/>
      <c r="QYR1" s="68"/>
      <c r="QYS1" s="68"/>
      <c r="QYT1" s="68"/>
      <c r="QYU1" s="68"/>
      <c r="QYV1" s="68"/>
      <c r="QYW1" s="68"/>
      <c r="QYX1" s="68"/>
      <c r="QYY1" s="68"/>
      <c r="QYZ1" s="68"/>
      <c r="QZA1" s="68"/>
      <c r="QZB1" s="68"/>
      <c r="QZC1" s="68"/>
      <c r="QZD1" s="68"/>
      <c r="QZE1" s="68"/>
      <c r="QZF1" s="68"/>
      <c r="QZG1" s="68"/>
      <c r="QZH1" s="68"/>
      <c r="QZI1" s="68"/>
      <c r="QZJ1" s="68"/>
      <c r="QZK1" s="68"/>
      <c r="QZL1" s="68"/>
      <c r="QZM1" s="68"/>
      <c r="QZN1" s="68"/>
      <c r="QZO1" s="68"/>
      <c r="QZP1" s="68"/>
      <c r="QZQ1" s="68"/>
      <c r="QZR1" s="68"/>
      <c r="QZS1" s="68"/>
      <c r="QZT1" s="68"/>
      <c r="QZU1" s="68"/>
      <c r="QZV1" s="68"/>
      <c r="QZW1" s="68"/>
      <c r="QZX1" s="68"/>
      <c r="QZY1" s="68"/>
      <c r="QZZ1" s="68"/>
      <c r="RAA1" s="68"/>
      <c r="RAB1" s="68"/>
      <c r="RAC1" s="68"/>
      <c r="RAD1" s="68"/>
      <c r="RAE1" s="68"/>
      <c r="RAF1" s="68"/>
      <c r="RAG1" s="68"/>
      <c r="RAH1" s="68"/>
      <c r="RAI1" s="68"/>
      <c r="RAJ1" s="68"/>
      <c r="RAK1" s="68"/>
      <c r="RAL1" s="68"/>
      <c r="RAM1" s="68"/>
      <c r="RAN1" s="68"/>
      <c r="RAO1" s="68"/>
      <c r="RAP1" s="68"/>
      <c r="RAQ1" s="68"/>
      <c r="RAR1" s="68"/>
      <c r="RAS1" s="68"/>
      <c r="RAT1" s="68"/>
      <c r="RAU1" s="68"/>
      <c r="RAV1" s="68"/>
      <c r="RAW1" s="68"/>
      <c r="RAX1" s="68"/>
      <c r="RAY1" s="68"/>
      <c r="RAZ1" s="68"/>
      <c r="RBA1" s="68"/>
      <c r="RBB1" s="68"/>
      <c r="RBC1" s="68"/>
      <c r="RBD1" s="68"/>
      <c r="RBE1" s="68"/>
      <c r="RBF1" s="68"/>
      <c r="RBG1" s="68"/>
      <c r="RBH1" s="68"/>
      <c r="RBI1" s="68"/>
      <c r="RBJ1" s="68"/>
      <c r="RBK1" s="68"/>
      <c r="RBL1" s="68"/>
      <c r="RBM1" s="68"/>
      <c r="RBN1" s="68"/>
      <c r="RBO1" s="68"/>
      <c r="RBP1" s="68"/>
      <c r="RBQ1" s="68"/>
      <c r="RBR1" s="68"/>
      <c r="RBS1" s="68"/>
      <c r="RBT1" s="68"/>
      <c r="RBU1" s="68"/>
      <c r="RBV1" s="68"/>
      <c r="RBW1" s="68"/>
      <c r="RBX1" s="68"/>
      <c r="RBY1" s="68"/>
      <c r="RBZ1" s="68"/>
      <c r="RCA1" s="68"/>
      <c r="RCB1" s="68"/>
      <c r="RCC1" s="68"/>
      <c r="RCD1" s="68"/>
      <c r="RCE1" s="68"/>
      <c r="RCF1" s="68"/>
      <c r="RCG1" s="68"/>
      <c r="RCH1" s="68"/>
      <c r="RCI1" s="68"/>
      <c r="RCJ1" s="68"/>
      <c r="RCK1" s="68"/>
      <c r="RCL1" s="68"/>
      <c r="RCM1" s="68"/>
      <c r="RCN1" s="68"/>
      <c r="RCO1" s="68"/>
      <c r="RCP1" s="68"/>
      <c r="RCQ1" s="68"/>
      <c r="RCR1" s="68"/>
      <c r="RCS1" s="68"/>
      <c r="RCT1" s="68"/>
      <c r="RCU1" s="68"/>
      <c r="RCV1" s="68"/>
      <c r="RCW1" s="68"/>
      <c r="RCX1" s="68"/>
      <c r="RCY1" s="68"/>
      <c r="RCZ1" s="68"/>
      <c r="RDA1" s="68"/>
      <c r="RDB1" s="68"/>
      <c r="RDC1" s="68"/>
      <c r="RDD1" s="68"/>
      <c r="RDE1" s="68"/>
      <c r="RDF1" s="68"/>
      <c r="RDG1" s="68"/>
      <c r="RDH1" s="68"/>
      <c r="RDI1" s="68"/>
      <c r="RDJ1" s="68"/>
      <c r="RDK1" s="68"/>
      <c r="RDL1" s="68"/>
      <c r="RDM1" s="68"/>
      <c r="RDN1" s="68"/>
      <c r="RDO1" s="68"/>
      <c r="RDP1" s="68"/>
      <c r="RDQ1" s="68"/>
      <c r="RDR1" s="68"/>
      <c r="RDS1" s="68"/>
      <c r="RDT1" s="68"/>
      <c r="RDU1" s="68"/>
      <c r="RDV1" s="68"/>
      <c r="RDW1" s="68"/>
      <c r="RDX1" s="68"/>
      <c r="RDY1" s="68"/>
      <c r="RDZ1" s="68"/>
      <c r="REA1" s="68"/>
      <c r="REB1" s="68"/>
      <c r="REC1" s="68"/>
      <c r="RED1" s="68"/>
      <c r="REE1" s="68"/>
      <c r="REF1" s="68"/>
      <c r="REG1" s="68"/>
      <c r="REH1" s="68"/>
      <c r="REI1" s="68"/>
      <c r="REJ1" s="68"/>
      <c r="REK1" s="68"/>
      <c r="REL1" s="68"/>
      <c r="REM1" s="68"/>
      <c r="REN1" s="68"/>
      <c r="REO1" s="68"/>
      <c r="REP1" s="68"/>
      <c r="REQ1" s="68"/>
      <c r="RER1" s="68"/>
      <c r="RES1" s="68"/>
      <c r="RET1" s="68"/>
      <c r="REU1" s="68"/>
      <c r="REV1" s="68"/>
      <c r="REW1" s="68"/>
      <c r="REX1" s="68"/>
      <c r="REY1" s="68"/>
      <c r="REZ1" s="68"/>
      <c r="RFA1" s="68"/>
      <c r="RFB1" s="68"/>
      <c r="RFC1" s="68"/>
      <c r="RFD1" s="68"/>
      <c r="RFE1" s="68"/>
      <c r="RFF1" s="68"/>
      <c r="RFG1" s="68"/>
      <c r="RFH1" s="68"/>
      <c r="RFI1" s="68"/>
      <c r="RFJ1" s="68"/>
      <c r="RFK1" s="68"/>
      <c r="RFL1" s="68"/>
      <c r="RFM1" s="68"/>
      <c r="RFN1" s="68"/>
      <c r="RFO1" s="68"/>
      <c r="RFP1" s="68"/>
      <c r="RFQ1" s="68"/>
      <c r="RFR1" s="68"/>
      <c r="RFS1" s="68"/>
      <c r="RFT1" s="68"/>
      <c r="RFU1" s="68"/>
      <c r="RFV1" s="68"/>
      <c r="RFW1" s="68"/>
      <c r="RFX1" s="68"/>
      <c r="RFY1" s="68"/>
      <c r="RFZ1" s="68"/>
      <c r="RGA1" s="68"/>
      <c r="RGB1" s="68"/>
      <c r="RGC1" s="68"/>
      <c r="RGD1" s="68"/>
      <c r="RGE1" s="68"/>
      <c r="RGF1" s="68"/>
      <c r="RGG1" s="68"/>
      <c r="RGH1" s="68"/>
      <c r="RGI1" s="68"/>
      <c r="RGJ1" s="68"/>
      <c r="RGK1" s="68"/>
      <c r="RGL1" s="68"/>
      <c r="RGM1" s="68"/>
      <c r="RGN1" s="68"/>
      <c r="RGO1" s="68"/>
      <c r="RGP1" s="68"/>
      <c r="RGQ1" s="68"/>
      <c r="RGR1" s="68"/>
      <c r="RGS1" s="68"/>
      <c r="RGT1" s="68"/>
      <c r="RGU1" s="68"/>
      <c r="RGV1" s="68"/>
      <c r="RGW1" s="68"/>
      <c r="RGX1" s="68"/>
      <c r="RGY1" s="68"/>
      <c r="RGZ1" s="68"/>
      <c r="RHA1" s="68"/>
      <c r="RHB1" s="68"/>
      <c r="RHC1" s="68"/>
      <c r="RHD1" s="68"/>
      <c r="RHE1" s="68"/>
      <c r="RHF1" s="68"/>
      <c r="RHG1" s="68"/>
      <c r="RHH1" s="68"/>
      <c r="RHI1" s="68"/>
      <c r="RHJ1" s="68"/>
      <c r="RHK1" s="68"/>
      <c r="RHL1" s="68"/>
      <c r="RHM1" s="68"/>
      <c r="RHN1" s="68"/>
      <c r="RHO1" s="68"/>
      <c r="RHP1" s="68"/>
      <c r="RHQ1" s="68"/>
      <c r="RHR1" s="68"/>
      <c r="RHS1" s="68"/>
      <c r="RHT1" s="68"/>
      <c r="RHU1" s="68"/>
      <c r="RHV1" s="68"/>
      <c r="RHW1" s="68"/>
      <c r="RHX1" s="68"/>
      <c r="RHY1" s="68"/>
      <c r="RHZ1" s="68"/>
      <c r="RIA1" s="68"/>
      <c r="RIB1" s="68"/>
      <c r="RIC1" s="68"/>
      <c r="RID1" s="68"/>
      <c r="RIE1" s="68"/>
      <c r="RIF1" s="68"/>
      <c r="RIG1" s="68"/>
      <c r="RIH1" s="68"/>
      <c r="RII1" s="68"/>
      <c r="RIJ1" s="68"/>
      <c r="RIK1" s="68"/>
      <c r="RIL1" s="68"/>
      <c r="RIM1" s="68"/>
      <c r="RIN1" s="68"/>
      <c r="RIO1" s="68"/>
      <c r="RIP1" s="68"/>
      <c r="RIQ1" s="68"/>
      <c r="RIR1" s="68"/>
      <c r="RIS1" s="68"/>
      <c r="RIT1" s="68"/>
      <c r="RIU1" s="68"/>
      <c r="RIV1" s="68"/>
      <c r="RIW1" s="68"/>
      <c r="RIX1" s="68"/>
      <c r="RIY1" s="68"/>
      <c r="RIZ1" s="68"/>
      <c r="RJA1" s="68"/>
      <c r="RJB1" s="68"/>
      <c r="RJC1" s="68"/>
      <c r="RJD1" s="68"/>
      <c r="RJE1" s="68"/>
      <c r="RJF1" s="68"/>
      <c r="RJG1" s="68"/>
      <c r="RJH1" s="68"/>
      <c r="RJI1" s="68"/>
      <c r="RJJ1" s="68"/>
      <c r="RJK1" s="68"/>
      <c r="RJL1" s="68"/>
      <c r="RJM1" s="68"/>
      <c r="RJN1" s="68"/>
      <c r="RJO1" s="68"/>
      <c r="RJP1" s="68"/>
      <c r="RJQ1" s="68"/>
      <c r="RJR1" s="68"/>
      <c r="RJS1" s="68"/>
      <c r="RJT1" s="68"/>
      <c r="RJU1" s="68"/>
      <c r="RJV1" s="68"/>
      <c r="RJW1" s="68"/>
      <c r="RJX1" s="68"/>
      <c r="RJY1" s="68"/>
      <c r="RJZ1" s="68"/>
      <c r="RKA1" s="68"/>
      <c r="RKB1" s="68"/>
      <c r="RKC1" s="68"/>
      <c r="RKD1" s="68"/>
      <c r="RKE1" s="68"/>
      <c r="RKF1" s="68"/>
      <c r="RKG1" s="68"/>
      <c r="RKH1" s="68"/>
      <c r="RKI1" s="68"/>
      <c r="RKJ1" s="68"/>
      <c r="RKK1" s="68"/>
      <c r="RKL1" s="68"/>
      <c r="RKM1" s="68"/>
      <c r="RKN1" s="68"/>
      <c r="RKO1" s="68"/>
      <c r="RKP1" s="68"/>
      <c r="RKQ1" s="68"/>
      <c r="RKR1" s="68"/>
      <c r="RKS1" s="68"/>
      <c r="RKT1" s="68"/>
      <c r="RKU1" s="68"/>
      <c r="RKV1" s="68"/>
      <c r="RKW1" s="68"/>
      <c r="RKX1" s="68"/>
      <c r="RKY1" s="68"/>
      <c r="RKZ1" s="68"/>
      <c r="RLA1" s="68"/>
      <c r="RLB1" s="68"/>
      <c r="RLC1" s="68"/>
      <c r="RLD1" s="68"/>
      <c r="RLE1" s="68"/>
      <c r="RLF1" s="68"/>
      <c r="RLG1" s="68"/>
      <c r="RLH1" s="68"/>
      <c r="RLI1" s="68"/>
      <c r="RLJ1" s="68"/>
      <c r="RLK1" s="68"/>
      <c r="RLL1" s="68"/>
      <c r="RLM1" s="68"/>
      <c r="RLN1" s="68"/>
      <c r="RLO1" s="68"/>
      <c r="RLP1" s="68"/>
      <c r="RLQ1" s="68"/>
      <c r="RLR1" s="68"/>
      <c r="RLS1" s="68"/>
      <c r="RLT1" s="68"/>
      <c r="RLU1" s="68"/>
      <c r="RLV1" s="68"/>
      <c r="RLW1" s="68"/>
      <c r="RLX1" s="68"/>
      <c r="RLY1" s="68"/>
      <c r="RLZ1" s="68"/>
      <c r="RMA1" s="68"/>
      <c r="RMB1" s="68"/>
      <c r="RMC1" s="68"/>
      <c r="RMD1" s="68"/>
      <c r="RME1" s="68"/>
      <c r="RMF1" s="68"/>
      <c r="RMG1" s="68"/>
      <c r="RMH1" s="68"/>
      <c r="RMI1" s="68"/>
      <c r="RMJ1" s="68"/>
      <c r="RMK1" s="68"/>
      <c r="RML1" s="68"/>
      <c r="RMM1" s="68"/>
      <c r="RMN1" s="68"/>
      <c r="RMO1" s="68"/>
      <c r="RMP1" s="68"/>
      <c r="RMQ1" s="68"/>
      <c r="RMR1" s="68"/>
      <c r="RMS1" s="68"/>
      <c r="RMT1" s="68"/>
      <c r="RMU1" s="68"/>
      <c r="RMV1" s="68"/>
      <c r="RMW1" s="68"/>
      <c r="RMX1" s="68"/>
      <c r="RMY1" s="68"/>
      <c r="RMZ1" s="68"/>
      <c r="RNA1" s="68"/>
      <c r="RNB1" s="68"/>
      <c r="RNC1" s="68"/>
      <c r="RND1" s="68"/>
      <c r="RNE1" s="68"/>
      <c r="RNF1" s="68"/>
      <c r="RNG1" s="68"/>
      <c r="RNH1" s="68"/>
      <c r="RNI1" s="68"/>
      <c r="RNJ1" s="68"/>
      <c r="RNK1" s="68"/>
      <c r="RNL1" s="68"/>
      <c r="RNM1" s="68"/>
      <c r="RNN1" s="68"/>
      <c r="RNO1" s="68"/>
      <c r="RNP1" s="68"/>
      <c r="RNQ1" s="68"/>
      <c r="RNR1" s="68"/>
      <c r="RNS1" s="68"/>
      <c r="RNT1" s="68"/>
      <c r="RNU1" s="68"/>
      <c r="RNV1" s="68"/>
      <c r="RNW1" s="68"/>
      <c r="RNX1" s="68"/>
      <c r="RNY1" s="68"/>
      <c r="RNZ1" s="68"/>
      <c r="ROA1" s="68"/>
      <c r="ROB1" s="68"/>
      <c r="ROC1" s="68"/>
      <c r="ROD1" s="68"/>
      <c r="ROE1" s="68"/>
      <c r="ROF1" s="68"/>
      <c r="ROG1" s="68"/>
      <c r="ROH1" s="68"/>
      <c r="ROI1" s="68"/>
      <c r="ROJ1" s="68"/>
      <c r="ROK1" s="68"/>
      <c r="ROL1" s="68"/>
      <c r="ROM1" s="68"/>
      <c r="RON1" s="68"/>
      <c r="ROO1" s="68"/>
      <c r="ROP1" s="68"/>
      <c r="ROQ1" s="68"/>
      <c r="ROR1" s="68"/>
      <c r="ROS1" s="68"/>
      <c r="ROT1" s="68"/>
      <c r="ROU1" s="68"/>
      <c r="ROV1" s="68"/>
      <c r="ROW1" s="68"/>
      <c r="ROX1" s="68"/>
      <c r="ROY1" s="68"/>
      <c r="ROZ1" s="68"/>
      <c r="RPA1" s="68"/>
      <c r="RPB1" s="68"/>
      <c r="RPC1" s="68"/>
      <c r="RPD1" s="68"/>
      <c r="RPE1" s="68"/>
      <c r="RPF1" s="68"/>
      <c r="RPG1" s="68"/>
      <c r="RPH1" s="68"/>
      <c r="RPI1" s="68"/>
      <c r="RPJ1" s="68"/>
      <c r="RPK1" s="68"/>
      <c r="RPL1" s="68"/>
      <c r="RPM1" s="68"/>
      <c r="RPN1" s="68"/>
      <c r="RPO1" s="68"/>
      <c r="RPP1" s="68"/>
      <c r="RPQ1" s="68"/>
      <c r="RPR1" s="68"/>
      <c r="RPS1" s="68"/>
      <c r="RPT1" s="68"/>
      <c r="RPU1" s="68"/>
      <c r="RPV1" s="68"/>
      <c r="RPW1" s="68"/>
      <c r="RPX1" s="68"/>
      <c r="RPY1" s="68"/>
      <c r="RPZ1" s="68"/>
      <c r="RQA1" s="68"/>
      <c r="RQB1" s="68"/>
      <c r="RQC1" s="68"/>
      <c r="RQD1" s="68"/>
      <c r="RQE1" s="68"/>
      <c r="RQF1" s="68"/>
      <c r="RQG1" s="68"/>
      <c r="RQH1" s="68"/>
      <c r="RQI1" s="68"/>
      <c r="RQJ1" s="68"/>
      <c r="RQK1" s="68"/>
      <c r="RQL1" s="68"/>
      <c r="RQM1" s="68"/>
      <c r="RQN1" s="68"/>
      <c r="RQO1" s="68"/>
      <c r="RQP1" s="68"/>
      <c r="RQQ1" s="68"/>
      <c r="RQR1" s="68"/>
      <c r="RQS1" s="68"/>
      <c r="RQT1" s="68"/>
      <c r="RQU1" s="68"/>
      <c r="RQV1" s="68"/>
      <c r="RQW1" s="68"/>
      <c r="RQX1" s="68"/>
      <c r="RQY1" s="68"/>
      <c r="RQZ1" s="68"/>
      <c r="RRA1" s="68"/>
      <c r="RRB1" s="68"/>
      <c r="RRC1" s="68"/>
      <c r="RRD1" s="68"/>
      <c r="RRE1" s="68"/>
      <c r="RRF1" s="68"/>
      <c r="RRG1" s="68"/>
      <c r="RRH1" s="68"/>
      <c r="RRI1" s="68"/>
      <c r="RRJ1" s="68"/>
      <c r="RRK1" s="68"/>
      <c r="RRL1" s="68"/>
      <c r="RRM1" s="68"/>
      <c r="RRN1" s="68"/>
      <c r="RRO1" s="68"/>
      <c r="RRP1" s="68"/>
      <c r="RRQ1" s="68"/>
      <c r="RRR1" s="68"/>
      <c r="RRS1" s="68"/>
      <c r="RRT1" s="68"/>
      <c r="RRU1" s="68"/>
      <c r="RRV1" s="68"/>
      <c r="RRW1" s="68"/>
      <c r="RRX1" s="68"/>
      <c r="RRY1" s="68"/>
      <c r="RRZ1" s="68"/>
      <c r="RSA1" s="68"/>
      <c r="RSB1" s="68"/>
      <c r="RSC1" s="68"/>
      <c r="RSD1" s="68"/>
      <c r="RSE1" s="68"/>
      <c r="RSF1" s="68"/>
      <c r="RSG1" s="68"/>
      <c r="RSH1" s="68"/>
      <c r="RSI1" s="68"/>
      <c r="RSJ1" s="68"/>
      <c r="RSK1" s="68"/>
      <c r="RSL1" s="68"/>
      <c r="RSM1" s="68"/>
      <c r="RSN1" s="68"/>
      <c r="RSO1" s="68"/>
      <c r="RSP1" s="68"/>
      <c r="RSQ1" s="68"/>
      <c r="RSR1" s="68"/>
      <c r="RSS1" s="68"/>
      <c r="RST1" s="68"/>
      <c r="RSU1" s="68"/>
      <c r="RSV1" s="68"/>
      <c r="RSW1" s="68"/>
      <c r="RSX1" s="68"/>
      <c r="RSY1" s="68"/>
      <c r="RSZ1" s="68"/>
      <c r="RTA1" s="68"/>
      <c r="RTB1" s="68"/>
      <c r="RTC1" s="68"/>
      <c r="RTD1" s="68"/>
      <c r="RTE1" s="68"/>
      <c r="RTF1" s="68"/>
      <c r="RTG1" s="68"/>
      <c r="RTH1" s="68"/>
      <c r="RTI1" s="68"/>
      <c r="RTJ1" s="68"/>
      <c r="RTK1" s="68"/>
      <c r="RTL1" s="68"/>
      <c r="RTM1" s="68"/>
      <c r="RTN1" s="68"/>
      <c r="RTO1" s="68"/>
      <c r="RTP1" s="68"/>
      <c r="RTQ1" s="68"/>
      <c r="RTR1" s="68"/>
      <c r="RTS1" s="68"/>
      <c r="RTT1" s="68"/>
      <c r="RTU1" s="68"/>
      <c r="RTV1" s="68"/>
      <c r="RTW1" s="68"/>
      <c r="RTX1" s="68"/>
      <c r="RTY1" s="68"/>
      <c r="RTZ1" s="68"/>
      <c r="RUA1" s="68"/>
      <c r="RUB1" s="68"/>
      <c r="RUC1" s="68"/>
      <c r="RUD1" s="68"/>
      <c r="RUE1" s="68"/>
      <c r="RUF1" s="68"/>
      <c r="RUG1" s="68"/>
      <c r="RUH1" s="68"/>
      <c r="RUI1" s="68"/>
      <c r="RUJ1" s="68"/>
      <c r="RUK1" s="68"/>
      <c r="RUL1" s="68"/>
      <c r="RUM1" s="68"/>
      <c r="RUN1" s="68"/>
      <c r="RUO1" s="68"/>
      <c r="RUP1" s="68"/>
      <c r="RUQ1" s="68"/>
      <c r="RUR1" s="68"/>
      <c r="RUS1" s="68"/>
      <c r="RUT1" s="68"/>
      <c r="RUU1" s="68"/>
      <c r="RUV1" s="68"/>
      <c r="RUW1" s="68"/>
      <c r="RUX1" s="68"/>
      <c r="RUY1" s="68"/>
      <c r="RUZ1" s="68"/>
      <c r="RVA1" s="68"/>
      <c r="RVB1" s="68"/>
      <c r="RVC1" s="68"/>
      <c r="RVD1" s="68"/>
      <c r="RVE1" s="68"/>
      <c r="RVF1" s="68"/>
      <c r="RVG1" s="68"/>
      <c r="RVH1" s="68"/>
      <c r="RVI1" s="68"/>
      <c r="RVJ1" s="68"/>
      <c r="RVK1" s="68"/>
      <c r="RVL1" s="68"/>
      <c r="RVM1" s="68"/>
      <c r="RVN1" s="68"/>
      <c r="RVO1" s="68"/>
      <c r="RVP1" s="68"/>
      <c r="RVQ1" s="68"/>
      <c r="RVR1" s="68"/>
      <c r="RVS1" s="68"/>
      <c r="RVT1" s="68"/>
      <c r="RVU1" s="68"/>
      <c r="RVV1" s="68"/>
      <c r="RVW1" s="68"/>
      <c r="RVX1" s="68"/>
      <c r="RVY1" s="68"/>
      <c r="RVZ1" s="68"/>
      <c r="RWA1" s="68"/>
      <c r="RWB1" s="68"/>
      <c r="RWC1" s="68"/>
      <c r="RWD1" s="68"/>
      <c r="RWE1" s="68"/>
      <c r="RWF1" s="68"/>
      <c r="RWG1" s="68"/>
      <c r="RWH1" s="68"/>
      <c r="RWI1" s="68"/>
      <c r="RWJ1" s="68"/>
      <c r="RWK1" s="68"/>
      <c r="RWL1" s="68"/>
      <c r="RWM1" s="68"/>
      <c r="RWN1" s="68"/>
      <c r="RWO1" s="68"/>
      <c r="RWP1" s="68"/>
      <c r="RWQ1" s="68"/>
      <c r="RWR1" s="68"/>
      <c r="RWS1" s="68"/>
      <c r="RWT1" s="68"/>
      <c r="RWU1" s="68"/>
      <c r="RWV1" s="68"/>
      <c r="RWW1" s="68"/>
      <c r="RWX1" s="68"/>
      <c r="RWY1" s="68"/>
      <c r="RWZ1" s="68"/>
      <c r="RXA1" s="68"/>
      <c r="RXB1" s="68"/>
      <c r="RXC1" s="68"/>
      <c r="RXD1" s="68"/>
      <c r="RXE1" s="68"/>
      <c r="RXF1" s="68"/>
      <c r="RXG1" s="68"/>
      <c r="RXH1" s="68"/>
      <c r="RXI1" s="68"/>
      <c r="RXJ1" s="68"/>
      <c r="RXK1" s="68"/>
      <c r="RXL1" s="68"/>
      <c r="RXM1" s="68"/>
      <c r="RXN1" s="68"/>
      <c r="RXO1" s="68"/>
      <c r="RXP1" s="68"/>
      <c r="RXQ1" s="68"/>
      <c r="RXR1" s="68"/>
      <c r="RXS1" s="68"/>
      <c r="RXT1" s="68"/>
      <c r="RXU1" s="68"/>
      <c r="RXV1" s="68"/>
      <c r="RXW1" s="68"/>
      <c r="RXX1" s="68"/>
      <c r="RXY1" s="68"/>
      <c r="RXZ1" s="68"/>
      <c r="RYA1" s="68"/>
      <c r="RYB1" s="68"/>
      <c r="RYC1" s="68"/>
      <c r="RYD1" s="68"/>
      <c r="RYE1" s="68"/>
      <c r="RYF1" s="68"/>
      <c r="RYG1" s="68"/>
      <c r="RYH1" s="68"/>
      <c r="RYI1" s="68"/>
      <c r="RYJ1" s="68"/>
      <c r="RYK1" s="68"/>
      <c r="RYL1" s="68"/>
      <c r="RYM1" s="68"/>
      <c r="RYN1" s="68"/>
      <c r="RYO1" s="68"/>
      <c r="RYP1" s="68"/>
      <c r="RYQ1" s="68"/>
      <c r="RYR1" s="68"/>
      <c r="RYS1" s="68"/>
      <c r="RYT1" s="68"/>
      <c r="RYU1" s="68"/>
      <c r="RYV1" s="68"/>
      <c r="RYW1" s="68"/>
      <c r="RYX1" s="68"/>
      <c r="RYY1" s="68"/>
      <c r="RYZ1" s="68"/>
      <c r="RZA1" s="68"/>
      <c r="RZB1" s="68"/>
      <c r="RZC1" s="68"/>
      <c r="RZD1" s="68"/>
      <c r="RZE1" s="68"/>
      <c r="RZF1" s="68"/>
      <c r="RZG1" s="68"/>
      <c r="RZH1" s="68"/>
      <c r="RZI1" s="68"/>
      <c r="RZJ1" s="68"/>
      <c r="RZK1" s="68"/>
      <c r="RZL1" s="68"/>
      <c r="RZM1" s="68"/>
      <c r="RZN1" s="68"/>
      <c r="RZO1" s="68"/>
      <c r="RZP1" s="68"/>
      <c r="RZQ1" s="68"/>
      <c r="RZR1" s="68"/>
      <c r="RZS1" s="68"/>
      <c r="RZT1" s="68"/>
      <c r="RZU1" s="68"/>
      <c r="RZV1" s="68"/>
      <c r="RZW1" s="68"/>
      <c r="RZX1" s="68"/>
      <c r="RZY1" s="68"/>
      <c r="RZZ1" s="68"/>
      <c r="SAA1" s="68"/>
      <c r="SAB1" s="68"/>
      <c r="SAC1" s="68"/>
      <c r="SAD1" s="68"/>
      <c r="SAE1" s="68"/>
      <c r="SAF1" s="68"/>
      <c r="SAG1" s="68"/>
      <c r="SAH1" s="68"/>
      <c r="SAI1" s="68"/>
      <c r="SAJ1" s="68"/>
      <c r="SAK1" s="68"/>
      <c r="SAL1" s="68"/>
      <c r="SAM1" s="68"/>
      <c r="SAN1" s="68"/>
      <c r="SAO1" s="68"/>
      <c r="SAP1" s="68"/>
      <c r="SAQ1" s="68"/>
      <c r="SAR1" s="68"/>
      <c r="SAS1" s="68"/>
      <c r="SAT1" s="68"/>
      <c r="SAU1" s="68"/>
      <c r="SAV1" s="68"/>
      <c r="SAW1" s="68"/>
      <c r="SAX1" s="68"/>
      <c r="SAY1" s="68"/>
      <c r="SAZ1" s="68"/>
      <c r="SBA1" s="68"/>
      <c r="SBB1" s="68"/>
      <c r="SBC1" s="68"/>
      <c r="SBD1" s="68"/>
      <c r="SBE1" s="68"/>
      <c r="SBF1" s="68"/>
      <c r="SBG1" s="68"/>
      <c r="SBH1" s="68"/>
      <c r="SBI1" s="68"/>
      <c r="SBJ1" s="68"/>
      <c r="SBK1" s="68"/>
      <c r="SBL1" s="68"/>
      <c r="SBM1" s="68"/>
      <c r="SBN1" s="68"/>
      <c r="SBO1" s="68"/>
      <c r="SBP1" s="68"/>
      <c r="SBQ1" s="68"/>
      <c r="SBR1" s="68"/>
      <c r="SBS1" s="68"/>
      <c r="SBT1" s="68"/>
      <c r="SBU1" s="68"/>
      <c r="SBV1" s="68"/>
      <c r="SBW1" s="68"/>
      <c r="SBX1" s="68"/>
      <c r="SBY1" s="68"/>
      <c r="SBZ1" s="68"/>
      <c r="SCA1" s="68"/>
      <c r="SCB1" s="68"/>
      <c r="SCC1" s="68"/>
      <c r="SCD1" s="68"/>
      <c r="SCE1" s="68"/>
      <c r="SCF1" s="68"/>
      <c r="SCG1" s="68"/>
      <c r="SCH1" s="68"/>
      <c r="SCI1" s="68"/>
      <c r="SCJ1" s="68"/>
      <c r="SCK1" s="68"/>
      <c r="SCL1" s="68"/>
      <c r="SCM1" s="68"/>
      <c r="SCN1" s="68"/>
      <c r="SCO1" s="68"/>
      <c r="SCP1" s="68"/>
      <c r="SCQ1" s="68"/>
      <c r="SCR1" s="68"/>
      <c r="SCS1" s="68"/>
      <c r="SCT1" s="68"/>
      <c r="SCU1" s="68"/>
      <c r="SCV1" s="68"/>
      <c r="SCW1" s="68"/>
      <c r="SCX1" s="68"/>
      <c r="SCY1" s="68"/>
      <c r="SCZ1" s="68"/>
      <c r="SDA1" s="68"/>
      <c r="SDB1" s="68"/>
      <c r="SDC1" s="68"/>
      <c r="SDD1" s="68"/>
      <c r="SDE1" s="68"/>
      <c r="SDF1" s="68"/>
      <c r="SDG1" s="68"/>
      <c r="SDH1" s="68"/>
      <c r="SDI1" s="68"/>
      <c r="SDJ1" s="68"/>
      <c r="SDK1" s="68"/>
      <c r="SDL1" s="68"/>
      <c r="SDM1" s="68"/>
      <c r="SDN1" s="68"/>
      <c r="SDO1" s="68"/>
      <c r="SDP1" s="68"/>
      <c r="SDQ1" s="68"/>
      <c r="SDR1" s="68"/>
      <c r="SDS1" s="68"/>
      <c r="SDT1" s="68"/>
      <c r="SDU1" s="68"/>
      <c r="SDV1" s="68"/>
      <c r="SDW1" s="68"/>
      <c r="SDX1" s="68"/>
      <c r="SDY1" s="68"/>
      <c r="SDZ1" s="68"/>
      <c r="SEA1" s="68"/>
      <c r="SEB1" s="68"/>
      <c r="SEC1" s="68"/>
      <c r="SED1" s="68"/>
      <c r="SEE1" s="68"/>
      <c r="SEF1" s="68"/>
      <c r="SEG1" s="68"/>
      <c r="SEH1" s="68"/>
      <c r="SEI1" s="68"/>
      <c r="SEJ1" s="68"/>
      <c r="SEK1" s="68"/>
      <c r="SEL1" s="68"/>
      <c r="SEM1" s="68"/>
      <c r="SEN1" s="68"/>
      <c r="SEO1" s="68"/>
      <c r="SEP1" s="68"/>
      <c r="SEQ1" s="68"/>
      <c r="SER1" s="68"/>
      <c r="SES1" s="68"/>
      <c r="SET1" s="68"/>
      <c r="SEU1" s="68"/>
      <c r="SEV1" s="68"/>
      <c r="SEW1" s="68"/>
      <c r="SEX1" s="68"/>
      <c r="SEY1" s="68"/>
      <c r="SEZ1" s="68"/>
      <c r="SFA1" s="68"/>
      <c r="SFB1" s="68"/>
      <c r="SFC1" s="68"/>
      <c r="SFD1" s="68"/>
      <c r="SFE1" s="68"/>
      <c r="SFF1" s="68"/>
      <c r="SFG1" s="68"/>
      <c r="SFH1" s="68"/>
      <c r="SFI1" s="68"/>
      <c r="SFJ1" s="68"/>
      <c r="SFK1" s="68"/>
      <c r="SFL1" s="68"/>
      <c r="SFM1" s="68"/>
      <c r="SFN1" s="68"/>
      <c r="SFO1" s="68"/>
      <c r="SFP1" s="68"/>
      <c r="SFQ1" s="68"/>
      <c r="SFR1" s="68"/>
      <c r="SFS1" s="68"/>
      <c r="SFT1" s="68"/>
      <c r="SFU1" s="68"/>
      <c r="SFV1" s="68"/>
      <c r="SFW1" s="68"/>
      <c r="SFX1" s="68"/>
      <c r="SFY1" s="68"/>
      <c r="SFZ1" s="68"/>
      <c r="SGA1" s="68"/>
      <c r="SGB1" s="68"/>
      <c r="SGC1" s="68"/>
      <c r="SGD1" s="68"/>
      <c r="SGE1" s="68"/>
      <c r="SGF1" s="68"/>
      <c r="SGG1" s="68"/>
      <c r="SGH1" s="68"/>
      <c r="SGI1" s="68"/>
      <c r="SGJ1" s="68"/>
      <c r="SGK1" s="68"/>
      <c r="SGL1" s="68"/>
      <c r="SGM1" s="68"/>
      <c r="SGN1" s="68"/>
      <c r="SGO1" s="68"/>
      <c r="SGP1" s="68"/>
      <c r="SGQ1" s="68"/>
      <c r="SGR1" s="68"/>
      <c r="SGS1" s="68"/>
      <c r="SGT1" s="68"/>
      <c r="SGU1" s="68"/>
      <c r="SGV1" s="68"/>
      <c r="SGW1" s="68"/>
      <c r="SGX1" s="68"/>
      <c r="SGY1" s="68"/>
      <c r="SGZ1" s="68"/>
      <c r="SHA1" s="68"/>
      <c r="SHB1" s="68"/>
      <c r="SHC1" s="68"/>
      <c r="SHD1" s="68"/>
      <c r="SHE1" s="68"/>
      <c r="SHF1" s="68"/>
      <c r="SHG1" s="68"/>
      <c r="SHH1" s="68"/>
      <c r="SHI1" s="68"/>
      <c r="SHJ1" s="68"/>
      <c r="SHK1" s="68"/>
      <c r="SHL1" s="68"/>
      <c r="SHM1" s="68"/>
      <c r="SHN1" s="68"/>
      <c r="SHO1" s="68"/>
      <c r="SHP1" s="68"/>
      <c r="SHQ1" s="68"/>
      <c r="SHR1" s="68"/>
      <c r="SHS1" s="68"/>
      <c r="SHT1" s="68"/>
      <c r="SHU1" s="68"/>
      <c r="SHV1" s="68"/>
      <c r="SHW1" s="68"/>
      <c r="SHX1" s="68"/>
      <c r="SHY1" s="68"/>
      <c r="SHZ1" s="68"/>
      <c r="SIA1" s="68"/>
      <c r="SIB1" s="68"/>
      <c r="SIC1" s="68"/>
      <c r="SID1" s="68"/>
      <c r="SIE1" s="68"/>
      <c r="SIF1" s="68"/>
      <c r="SIG1" s="68"/>
      <c r="SIH1" s="68"/>
      <c r="SII1" s="68"/>
      <c r="SIJ1" s="68"/>
      <c r="SIK1" s="68"/>
      <c r="SIL1" s="68"/>
      <c r="SIM1" s="68"/>
      <c r="SIN1" s="68"/>
      <c r="SIO1" s="68"/>
      <c r="SIP1" s="68"/>
      <c r="SIQ1" s="68"/>
      <c r="SIR1" s="68"/>
      <c r="SIS1" s="68"/>
      <c r="SIT1" s="68"/>
      <c r="SIU1" s="68"/>
      <c r="SIV1" s="68"/>
      <c r="SIW1" s="68"/>
      <c r="SIX1" s="68"/>
      <c r="SIY1" s="68"/>
      <c r="SIZ1" s="68"/>
      <c r="SJA1" s="68"/>
      <c r="SJB1" s="68"/>
      <c r="SJC1" s="68"/>
      <c r="SJD1" s="68"/>
      <c r="SJE1" s="68"/>
      <c r="SJF1" s="68"/>
      <c r="SJG1" s="68"/>
      <c r="SJH1" s="68"/>
      <c r="SJI1" s="68"/>
      <c r="SJJ1" s="68"/>
      <c r="SJK1" s="68"/>
      <c r="SJL1" s="68"/>
      <c r="SJM1" s="68"/>
      <c r="SJN1" s="68"/>
      <c r="SJO1" s="68"/>
      <c r="SJP1" s="68"/>
      <c r="SJQ1" s="68"/>
      <c r="SJR1" s="68"/>
      <c r="SJS1" s="68"/>
      <c r="SJT1" s="68"/>
      <c r="SJU1" s="68"/>
      <c r="SJV1" s="68"/>
      <c r="SJW1" s="68"/>
      <c r="SJX1" s="68"/>
      <c r="SJY1" s="68"/>
      <c r="SJZ1" s="68"/>
      <c r="SKA1" s="68"/>
      <c r="SKB1" s="68"/>
      <c r="SKC1" s="68"/>
      <c r="SKD1" s="68"/>
      <c r="SKE1" s="68"/>
      <c r="SKF1" s="68"/>
      <c r="SKG1" s="68"/>
      <c r="SKH1" s="68"/>
      <c r="SKI1" s="68"/>
      <c r="SKJ1" s="68"/>
      <c r="SKK1" s="68"/>
      <c r="SKL1" s="68"/>
      <c r="SKM1" s="68"/>
      <c r="SKN1" s="68"/>
      <c r="SKO1" s="68"/>
      <c r="SKP1" s="68"/>
      <c r="SKQ1" s="68"/>
      <c r="SKR1" s="68"/>
      <c r="SKS1" s="68"/>
      <c r="SKT1" s="68"/>
      <c r="SKU1" s="68"/>
      <c r="SKV1" s="68"/>
      <c r="SKW1" s="68"/>
      <c r="SKX1" s="68"/>
      <c r="SKY1" s="68"/>
      <c r="SKZ1" s="68"/>
      <c r="SLA1" s="68"/>
      <c r="SLB1" s="68"/>
      <c r="SLC1" s="68"/>
      <c r="SLD1" s="68"/>
      <c r="SLE1" s="68"/>
      <c r="SLF1" s="68"/>
      <c r="SLG1" s="68"/>
      <c r="SLH1" s="68"/>
      <c r="SLI1" s="68"/>
      <c r="SLJ1" s="68"/>
      <c r="SLK1" s="68"/>
      <c r="SLL1" s="68"/>
      <c r="SLM1" s="68"/>
      <c r="SLN1" s="68"/>
      <c r="SLO1" s="68"/>
      <c r="SLP1" s="68"/>
      <c r="SLQ1" s="68"/>
      <c r="SLR1" s="68"/>
      <c r="SLS1" s="68"/>
      <c r="SLT1" s="68"/>
      <c r="SLU1" s="68"/>
      <c r="SLV1" s="68"/>
      <c r="SLW1" s="68"/>
      <c r="SLX1" s="68"/>
      <c r="SLY1" s="68"/>
      <c r="SLZ1" s="68"/>
      <c r="SMA1" s="68"/>
      <c r="SMB1" s="68"/>
      <c r="SMC1" s="68"/>
      <c r="SMD1" s="68"/>
      <c r="SME1" s="68"/>
      <c r="SMF1" s="68"/>
      <c r="SMG1" s="68"/>
      <c r="SMH1" s="68"/>
      <c r="SMI1" s="68"/>
      <c r="SMJ1" s="68"/>
      <c r="SMK1" s="68"/>
      <c r="SML1" s="68"/>
      <c r="SMM1" s="68"/>
      <c r="SMN1" s="68"/>
      <c r="SMO1" s="68"/>
      <c r="SMP1" s="68"/>
      <c r="SMQ1" s="68"/>
      <c r="SMR1" s="68"/>
      <c r="SMS1" s="68"/>
      <c r="SMT1" s="68"/>
      <c r="SMU1" s="68"/>
      <c r="SMV1" s="68"/>
      <c r="SMW1" s="68"/>
      <c r="SMX1" s="68"/>
      <c r="SMY1" s="68"/>
      <c r="SMZ1" s="68"/>
      <c r="SNA1" s="68"/>
      <c r="SNB1" s="68"/>
      <c r="SNC1" s="68"/>
      <c r="SND1" s="68"/>
      <c r="SNE1" s="68"/>
      <c r="SNF1" s="68"/>
      <c r="SNG1" s="68"/>
      <c r="SNH1" s="68"/>
      <c r="SNI1" s="68"/>
      <c r="SNJ1" s="68"/>
      <c r="SNK1" s="68"/>
      <c r="SNL1" s="68"/>
      <c r="SNM1" s="68"/>
      <c r="SNN1" s="68"/>
      <c r="SNO1" s="68"/>
      <c r="SNP1" s="68"/>
      <c r="SNQ1" s="68"/>
      <c r="SNR1" s="68"/>
      <c r="SNS1" s="68"/>
      <c r="SNT1" s="68"/>
      <c r="SNU1" s="68"/>
      <c r="SNV1" s="68"/>
      <c r="SNW1" s="68"/>
      <c r="SNX1" s="68"/>
      <c r="SNY1" s="68"/>
      <c r="SNZ1" s="68"/>
      <c r="SOA1" s="68"/>
      <c r="SOB1" s="68"/>
      <c r="SOC1" s="68"/>
      <c r="SOD1" s="68"/>
      <c r="SOE1" s="68"/>
      <c r="SOF1" s="68"/>
      <c r="SOG1" s="68"/>
      <c r="SOH1" s="68"/>
      <c r="SOI1" s="68"/>
      <c r="SOJ1" s="68"/>
      <c r="SOK1" s="68"/>
      <c r="SOL1" s="68"/>
      <c r="SOM1" s="68"/>
      <c r="SON1" s="68"/>
      <c r="SOO1" s="68"/>
      <c r="SOP1" s="68"/>
      <c r="SOQ1" s="68"/>
      <c r="SOR1" s="68"/>
      <c r="SOS1" s="68"/>
      <c r="SOT1" s="68"/>
      <c r="SOU1" s="68"/>
      <c r="SOV1" s="68"/>
      <c r="SOW1" s="68"/>
      <c r="SOX1" s="68"/>
      <c r="SOY1" s="68"/>
      <c r="SOZ1" s="68"/>
      <c r="SPA1" s="68"/>
      <c r="SPB1" s="68"/>
      <c r="SPC1" s="68"/>
      <c r="SPD1" s="68"/>
      <c r="SPE1" s="68"/>
      <c r="SPF1" s="68"/>
      <c r="SPG1" s="68"/>
      <c r="SPH1" s="68"/>
      <c r="SPI1" s="68"/>
      <c r="SPJ1" s="68"/>
      <c r="SPK1" s="68"/>
      <c r="SPL1" s="68"/>
      <c r="SPM1" s="68"/>
      <c r="SPN1" s="68"/>
      <c r="SPO1" s="68"/>
      <c r="SPP1" s="68"/>
      <c r="SPQ1" s="68"/>
      <c r="SPR1" s="68"/>
      <c r="SPS1" s="68"/>
      <c r="SPT1" s="68"/>
      <c r="SPU1" s="68"/>
      <c r="SPV1" s="68"/>
      <c r="SPW1" s="68"/>
      <c r="SPX1" s="68"/>
      <c r="SPY1" s="68"/>
      <c r="SPZ1" s="68"/>
      <c r="SQA1" s="68"/>
      <c r="SQB1" s="68"/>
      <c r="SQC1" s="68"/>
      <c r="SQD1" s="68"/>
      <c r="SQE1" s="68"/>
      <c r="SQF1" s="68"/>
      <c r="SQG1" s="68"/>
      <c r="SQH1" s="68"/>
      <c r="SQI1" s="68"/>
      <c r="SQJ1" s="68"/>
      <c r="SQK1" s="68"/>
      <c r="SQL1" s="68"/>
      <c r="SQM1" s="68"/>
      <c r="SQN1" s="68"/>
      <c r="SQO1" s="68"/>
      <c r="SQP1" s="68"/>
      <c r="SQQ1" s="68"/>
      <c r="SQR1" s="68"/>
      <c r="SQS1" s="68"/>
      <c r="SQT1" s="68"/>
      <c r="SQU1" s="68"/>
      <c r="SQV1" s="68"/>
      <c r="SQW1" s="68"/>
      <c r="SQX1" s="68"/>
      <c r="SQY1" s="68"/>
      <c r="SQZ1" s="68"/>
      <c r="SRA1" s="68"/>
      <c r="SRB1" s="68"/>
      <c r="SRC1" s="68"/>
      <c r="SRD1" s="68"/>
      <c r="SRE1" s="68"/>
      <c r="SRF1" s="68"/>
      <c r="SRG1" s="68"/>
      <c r="SRH1" s="68"/>
      <c r="SRI1" s="68"/>
      <c r="SRJ1" s="68"/>
      <c r="SRK1" s="68"/>
      <c r="SRL1" s="68"/>
      <c r="SRM1" s="68"/>
      <c r="SRN1" s="68"/>
      <c r="SRO1" s="68"/>
      <c r="SRP1" s="68"/>
      <c r="SRQ1" s="68"/>
      <c r="SRR1" s="68"/>
      <c r="SRS1" s="68"/>
      <c r="SRT1" s="68"/>
      <c r="SRU1" s="68"/>
      <c r="SRV1" s="68"/>
      <c r="SRW1" s="68"/>
      <c r="SRX1" s="68"/>
      <c r="SRY1" s="68"/>
      <c r="SRZ1" s="68"/>
      <c r="SSA1" s="68"/>
      <c r="SSB1" s="68"/>
      <c r="SSC1" s="68"/>
      <c r="SSD1" s="68"/>
      <c r="SSE1" s="68"/>
      <c r="SSF1" s="68"/>
      <c r="SSG1" s="68"/>
      <c r="SSH1" s="68"/>
      <c r="SSI1" s="68"/>
      <c r="SSJ1" s="68"/>
      <c r="SSK1" s="68"/>
      <c r="SSL1" s="68"/>
      <c r="SSM1" s="68"/>
      <c r="SSN1" s="68"/>
      <c r="SSO1" s="68"/>
      <c r="SSP1" s="68"/>
      <c r="SSQ1" s="68"/>
      <c r="SSR1" s="68"/>
      <c r="SSS1" s="68"/>
      <c r="SST1" s="68"/>
      <c r="SSU1" s="68"/>
      <c r="SSV1" s="68"/>
      <c r="SSW1" s="68"/>
      <c r="SSX1" s="68"/>
      <c r="SSY1" s="68"/>
      <c r="SSZ1" s="68"/>
      <c r="STA1" s="68"/>
      <c r="STB1" s="68"/>
      <c r="STC1" s="68"/>
      <c r="STD1" s="68"/>
      <c r="STE1" s="68"/>
      <c r="STF1" s="68"/>
      <c r="STG1" s="68"/>
      <c r="STH1" s="68"/>
      <c r="STI1" s="68"/>
      <c r="STJ1" s="68"/>
      <c r="STK1" s="68"/>
      <c r="STL1" s="68"/>
      <c r="STM1" s="68"/>
      <c r="STN1" s="68"/>
      <c r="STO1" s="68"/>
      <c r="STP1" s="68"/>
      <c r="STQ1" s="68"/>
      <c r="STR1" s="68"/>
      <c r="STS1" s="68"/>
      <c r="STT1" s="68"/>
      <c r="STU1" s="68"/>
      <c r="STV1" s="68"/>
      <c r="STW1" s="68"/>
      <c r="STX1" s="68"/>
      <c r="STY1" s="68"/>
      <c r="STZ1" s="68"/>
      <c r="SUA1" s="68"/>
      <c r="SUB1" s="68"/>
      <c r="SUC1" s="68"/>
      <c r="SUD1" s="68"/>
      <c r="SUE1" s="68"/>
      <c r="SUF1" s="68"/>
      <c r="SUG1" s="68"/>
      <c r="SUH1" s="68"/>
      <c r="SUI1" s="68"/>
      <c r="SUJ1" s="68"/>
      <c r="SUK1" s="68"/>
      <c r="SUL1" s="68"/>
      <c r="SUM1" s="68"/>
      <c r="SUN1" s="68"/>
      <c r="SUO1" s="68"/>
      <c r="SUP1" s="68"/>
      <c r="SUQ1" s="68"/>
      <c r="SUR1" s="68"/>
      <c r="SUS1" s="68"/>
      <c r="SUT1" s="68"/>
      <c r="SUU1" s="68"/>
      <c r="SUV1" s="68"/>
      <c r="SUW1" s="68"/>
      <c r="SUX1" s="68"/>
      <c r="SUY1" s="68"/>
      <c r="SUZ1" s="68"/>
      <c r="SVA1" s="68"/>
      <c r="SVB1" s="68"/>
      <c r="SVC1" s="68"/>
      <c r="SVD1" s="68"/>
      <c r="SVE1" s="68"/>
      <c r="SVF1" s="68"/>
      <c r="SVG1" s="68"/>
      <c r="SVH1" s="68"/>
      <c r="SVI1" s="68"/>
      <c r="SVJ1" s="68"/>
      <c r="SVK1" s="68"/>
      <c r="SVL1" s="68"/>
      <c r="SVM1" s="68"/>
      <c r="SVN1" s="68"/>
      <c r="SVO1" s="68"/>
      <c r="SVP1" s="68"/>
      <c r="SVQ1" s="68"/>
      <c r="SVR1" s="68"/>
      <c r="SVS1" s="68"/>
      <c r="SVT1" s="68"/>
      <c r="SVU1" s="68"/>
      <c r="SVV1" s="68"/>
      <c r="SVW1" s="68"/>
      <c r="SVX1" s="68"/>
      <c r="SVY1" s="68"/>
      <c r="SVZ1" s="68"/>
      <c r="SWA1" s="68"/>
      <c r="SWB1" s="68"/>
      <c r="SWC1" s="68"/>
      <c r="SWD1" s="68"/>
      <c r="SWE1" s="68"/>
      <c r="SWF1" s="68"/>
      <c r="SWG1" s="68"/>
      <c r="SWH1" s="68"/>
      <c r="SWI1" s="68"/>
      <c r="SWJ1" s="68"/>
      <c r="SWK1" s="68"/>
      <c r="SWL1" s="68"/>
      <c r="SWM1" s="68"/>
      <c r="SWN1" s="68"/>
      <c r="SWO1" s="68"/>
      <c r="SWP1" s="68"/>
      <c r="SWQ1" s="68"/>
      <c r="SWR1" s="68"/>
      <c r="SWS1" s="68"/>
      <c r="SWT1" s="68"/>
      <c r="SWU1" s="68"/>
      <c r="SWV1" s="68"/>
      <c r="SWW1" s="68"/>
      <c r="SWX1" s="68"/>
      <c r="SWY1" s="68"/>
      <c r="SWZ1" s="68"/>
      <c r="SXA1" s="68"/>
      <c r="SXB1" s="68"/>
      <c r="SXC1" s="68"/>
      <c r="SXD1" s="68"/>
      <c r="SXE1" s="68"/>
      <c r="SXF1" s="68"/>
      <c r="SXG1" s="68"/>
      <c r="SXH1" s="68"/>
      <c r="SXI1" s="68"/>
      <c r="SXJ1" s="68"/>
      <c r="SXK1" s="68"/>
      <c r="SXL1" s="68"/>
      <c r="SXM1" s="68"/>
      <c r="SXN1" s="68"/>
      <c r="SXO1" s="68"/>
      <c r="SXP1" s="68"/>
      <c r="SXQ1" s="68"/>
      <c r="SXR1" s="68"/>
      <c r="SXS1" s="68"/>
      <c r="SXT1" s="68"/>
      <c r="SXU1" s="68"/>
      <c r="SXV1" s="68"/>
      <c r="SXW1" s="68"/>
      <c r="SXX1" s="68"/>
      <c r="SXY1" s="68"/>
      <c r="SXZ1" s="68"/>
      <c r="SYA1" s="68"/>
      <c r="SYB1" s="68"/>
      <c r="SYC1" s="68"/>
      <c r="SYD1" s="68"/>
      <c r="SYE1" s="68"/>
      <c r="SYF1" s="68"/>
      <c r="SYG1" s="68"/>
      <c r="SYH1" s="68"/>
      <c r="SYI1" s="68"/>
      <c r="SYJ1" s="68"/>
      <c r="SYK1" s="68"/>
      <c r="SYL1" s="68"/>
      <c r="SYM1" s="68"/>
      <c r="SYN1" s="68"/>
      <c r="SYO1" s="68"/>
      <c r="SYP1" s="68"/>
      <c r="SYQ1" s="68"/>
      <c r="SYR1" s="68"/>
      <c r="SYS1" s="68"/>
      <c r="SYT1" s="68"/>
      <c r="SYU1" s="68"/>
      <c r="SYV1" s="68"/>
      <c r="SYW1" s="68"/>
      <c r="SYX1" s="68"/>
      <c r="SYY1" s="68"/>
      <c r="SYZ1" s="68"/>
      <c r="SZA1" s="68"/>
      <c r="SZB1" s="68"/>
      <c r="SZC1" s="68"/>
      <c r="SZD1" s="68"/>
      <c r="SZE1" s="68"/>
      <c r="SZF1" s="68"/>
      <c r="SZG1" s="68"/>
      <c r="SZH1" s="68"/>
      <c r="SZI1" s="68"/>
      <c r="SZJ1" s="68"/>
      <c r="SZK1" s="68"/>
      <c r="SZL1" s="68"/>
      <c r="SZM1" s="68"/>
      <c r="SZN1" s="68"/>
      <c r="SZO1" s="68"/>
      <c r="SZP1" s="68"/>
      <c r="SZQ1" s="68"/>
      <c r="SZR1" s="68"/>
      <c r="SZS1" s="68"/>
      <c r="SZT1" s="68"/>
      <c r="SZU1" s="68"/>
      <c r="SZV1" s="68"/>
      <c r="SZW1" s="68"/>
      <c r="SZX1" s="68"/>
      <c r="SZY1" s="68"/>
      <c r="SZZ1" s="68"/>
      <c r="TAA1" s="68"/>
      <c r="TAB1" s="68"/>
      <c r="TAC1" s="68"/>
      <c r="TAD1" s="68"/>
      <c r="TAE1" s="68"/>
      <c r="TAF1" s="68"/>
      <c r="TAG1" s="68"/>
      <c r="TAH1" s="68"/>
      <c r="TAI1" s="68"/>
      <c r="TAJ1" s="68"/>
      <c r="TAK1" s="68"/>
      <c r="TAL1" s="68"/>
      <c r="TAM1" s="68"/>
      <c r="TAN1" s="68"/>
      <c r="TAO1" s="68"/>
      <c r="TAP1" s="68"/>
      <c r="TAQ1" s="68"/>
      <c r="TAR1" s="68"/>
      <c r="TAS1" s="68"/>
      <c r="TAT1" s="68"/>
      <c r="TAU1" s="68"/>
      <c r="TAV1" s="68"/>
      <c r="TAW1" s="68"/>
      <c r="TAX1" s="68"/>
      <c r="TAY1" s="68"/>
      <c r="TAZ1" s="68"/>
      <c r="TBA1" s="68"/>
      <c r="TBB1" s="68"/>
      <c r="TBC1" s="68"/>
      <c r="TBD1" s="68"/>
      <c r="TBE1" s="68"/>
      <c r="TBF1" s="68"/>
      <c r="TBG1" s="68"/>
      <c r="TBH1" s="68"/>
      <c r="TBI1" s="68"/>
      <c r="TBJ1" s="68"/>
      <c r="TBK1" s="68"/>
      <c r="TBL1" s="68"/>
      <c r="TBM1" s="68"/>
      <c r="TBN1" s="68"/>
      <c r="TBO1" s="68"/>
      <c r="TBP1" s="68"/>
      <c r="TBQ1" s="68"/>
      <c r="TBR1" s="68"/>
      <c r="TBS1" s="68"/>
      <c r="TBT1" s="68"/>
      <c r="TBU1" s="68"/>
      <c r="TBV1" s="68"/>
      <c r="TBW1" s="68"/>
      <c r="TBX1" s="68"/>
      <c r="TBY1" s="68"/>
      <c r="TBZ1" s="68"/>
      <c r="TCA1" s="68"/>
      <c r="TCB1" s="68"/>
      <c r="TCC1" s="68"/>
      <c r="TCD1" s="68"/>
      <c r="TCE1" s="68"/>
      <c r="TCF1" s="68"/>
      <c r="TCG1" s="68"/>
      <c r="TCH1" s="68"/>
      <c r="TCI1" s="68"/>
      <c r="TCJ1" s="68"/>
      <c r="TCK1" s="68"/>
      <c r="TCL1" s="68"/>
      <c r="TCM1" s="68"/>
      <c r="TCN1" s="68"/>
      <c r="TCO1" s="68"/>
      <c r="TCP1" s="68"/>
      <c r="TCQ1" s="68"/>
      <c r="TCR1" s="68"/>
      <c r="TCS1" s="68"/>
      <c r="TCT1" s="68"/>
      <c r="TCU1" s="68"/>
      <c r="TCV1" s="68"/>
      <c r="TCW1" s="68"/>
      <c r="TCX1" s="68"/>
      <c r="TCY1" s="68"/>
      <c r="TCZ1" s="68"/>
      <c r="TDA1" s="68"/>
      <c r="TDB1" s="68"/>
      <c r="TDC1" s="68"/>
      <c r="TDD1" s="68"/>
      <c r="TDE1" s="68"/>
      <c r="TDF1" s="68"/>
      <c r="TDG1" s="68"/>
      <c r="TDH1" s="68"/>
      <c r="TDI1" s="68"/>
      <c r="TDJ1" s="68"/>
      <c r="TDK1" s="68"/>
      <c r="TDL1" s="68"/>
      <c r="TDM1" s="68"/>
      <c r="TDN1" s="68"/>
      <c r="TDO1" s="68"/>
      <c r="TDP1" s="68"/>
      <c r="TDQ1" s="68"/>
      <c r="TDR1" s="68"/>
      <c r="TDS1" s="68"/>
      <c r="TDT1" s="68"/>
      <c r="TDU1" s="68"/>
      <c r="TDV1" s="68"/>
      <c r="TDW1" s="68"/>
      <c r="TDX1" s="68"/>
      <c r="TDY1" s="68"/>
      <c r="TDZ1" s="68"/>
      <c r="TEA1" s="68"/>
      <c r="TEB1" s="68"/>
      <c r="TEC1" s="68"/>
      <c r="TED1" s="68"/>
      <c r="TEE1" s="68"/>
      <c r="TEF1" s="68"/>
      <c r="TEG1" s="68"/>
      <c r="TEH1" s="68"/>
      <c r="TEI1" s="68"/>
      <c r="TEJ1" s="68"/>
      <c r="TEK1" s="68"/>
      <c r="TEL1" s="68"/>
      <c r="TEM1" s="68"/>
      <c r="TEN1" s="68"/>
      <c r="TEO1" s="68"/>
      <c r="TEP1" s="68"/>
      <c r="TEQ1" s="68"/>
      <c r="TER1" s="68"/>
      <c r="TES1" s="68"/>
      <c r="TET1" s="68"/>
      <c r="TEU1" s="68"/>
      <c r="TEV1" s="68"/>
      <c r="TEW1" s="68"/>
      <c r="TEX1" s="68"/>
      <c r="TEY1" s="68"/>
      <c r="TEZ1" s="68"/>
      <c r="TFA1" s="68"/>
      <c r="TFB1" s="68"/>
      <c r="TFC1" s="68"/>
      <c r="TFD1" s="68"/>
      <c r="TFE1" s="68"/>
      <c r="TFF1" s="68"/>
      <c r="TFG1" s="68"/>
      <c r="TFH1" s="68"/>
      <c r="TFI1" s="68"/>
      <c r="TFJ1" s="68"/>
      <c r="TFK1" s="68"/>
      <c r="TFL1" s="68"/>
      <c r="TFM1" s="68"/>
      <c r="TFN1" s="68"/>
      <c r="TFO1" s="68"/>
      <c r="TFP1" s="68"/>
      <c r="TFQ1" s="68"/>
      <c r="TFR1" s="68"/>
      <c r="TFS1" s="68"/>
      <c r="TFT1" s="68"/>
      <c r="TFU1" s="68"/>
      <c r="TFV1" s="68"/>
      <c r="TFW1" s="68"/>
      <c r="TFX1" s="68"/>
      <c r="TFY1" s="68"/>
      <c r="TFZ1" s="68"/>
      <c r="TGA1" s="68"/>
      <c r="TGB1" s="68"/>
      <c r="TGC1" s="68"/>
      <c r="TGD1" s="68"/>
      <c r="TGE1" s="68"/>
      <c r="TGF1" s="68"/>
      <c r="TGG1" s="68"/>
      <c r="TGH1" s="68"/>
      <c r="TGI1" s="68"/>
      <c r="TGJ1" s="68"/>
      <c r="TGK1" s="68"/>
      <c r="TGL1" s="68"/>
      <c r="TGM1" s="68"/>
      <c r="TGN1" s="68"/>
      <c r="TGO1" s="68"/>
      <c r="TGP1" s="68"/>
      <c r="TGQ1" s="68"/>
      <c r="TGR1" s="68"/>
      <c r="TGS1" s="68"/>
      <c r="TGT1" s="68"/>
      <c r="TGU1" s="68"/>
      <c r="TGV1" s="68"/>
      <c r="TGW1" s="68"/>
      <c r="TGX1" s="68"/>
      <c r="TGY1" s="68"/>
      <c r="TGZ1" s="68"/>
      <c r="THA1" s="68"/>
      <c r="THB1" s="68"/>
      <c r="THC1" s="68"/>
      <c r="THD1" s="68"/>
      <c r="THE1" s="68"/>
      <c r="THF1" s="68"/>
      <c r="THG1" s="68"/>
      <c r="THH1" s="68"/>
      <c r="THI1" s="68"/>
      <c r="THJ1" s="68"/>
      <c r="THK1" s="68"/>
      <c r="THL1" s="68"/>
      <c r="THM1" s="68"/>
      <c r="THN1" s="68"/>
      <c r="THO1" s="68"/>
      <c r="THP1" s="68"/>
      <c r="THQ1" s="68"/>
      <c r="THR1" s="68"/>
      <c r="THS1" s="68"/>
      <c r="THT1" s="68"/>
      <c r="THU1" s="68"/>
      <c r="THV1" s="68"/>
      <c r="THW1" s="68"/>
      <c r="THX1" s="68"/>
      <c r="THY1" s="68"/>
      <c r="THZ1" s="68"/>
      <c r="TIA1" s="68"/>
      <c r="TIB1" s="68"/>
      <c r="TIC1" s="68"/>
      <c r="TID1" s="68"/>
      <c r="TIE1" s="68"/>
      <c r="TIF1" s="68"/>
      <c r="TIG1" s="68"/>
      <c r="TIH1" s="68"/>
      <c r="TII1" s="68"/>
      <c r="TIJ1" s="68"/>
      <c r="TIK1" s="68"/>
      <c r="TIL1" s="68"/>
      <c r="TIM1" s="68"/>
      <c r="TIN1" s="68"/>
      <c r="TIO1" s="68"/>
      <c r="TIP1" s="68"/>
      <c r="TIQ1" s="68"/>
      <c r="TIR1" s="68"/>
      <c r="TIS1" s="68"/>
      <c r="TIT1" s="68"/>
      <c r="TIU1" s="68"/>
      <c r="TIV1" s="68"/>
      <c r="TIW1" s="68"/>
      <c r="TIX1" s="68"/>
      <c r="TIY1" s="68"/>
      <c r="TIZ1" s="68"/>
      <c r="TJA1" s="68"/>
      <c r="TJB1" s="68"/>
      <c r="TJC1" s="68"/>
      <c r="TJD1" s="68"/>
      <c r="TJE1" s="68"/>
      <c r="TJF1" s="68"/>
      <c r="TJG1" s="68"/>
      <c r="TJH1" s="68"/>
      <c r="TJI1" s="68"/>
      <c r="TJJ1" s="68"/>
      <c r="TJK1" s="68"/>
      <c r="TJL1" s="68"/>
      <c r="TJM1" s="68"/>
      <c r="TJN1" s="68"/>
      <c r="TJO1" s="68"/>
      <c r="TJP1" s="68"/>
      <c r="TJQ1" s="68"/>
      <c r="TJR1" s="68"/>
      <c r="TJS1" s="68"/>
      <c r="TJT1" s="68"/>
      <c r="TJU1" s="68"/>
      <c r="TJV1" s="68"/>
      <c r="TJW1" s="68"/>
      <c r="TJX1" s="68"/>
      <c r="TJY1" s="68"/>
      <c r="TJZ1" s="68"/>
      <c r="TKA1" s="68"/>
      <c r="TKB1" s="68"/>
      <c r="TKC1" s="68"/>
      <c r="TKD1" s="68"/>
      <c r="TKE1" s="68"/>
      <c r="TKF1" s="68"/>
      <c r="TKG1" s="68"/>
      <c r="TKH1" s="68"/>
      <c r="TKI1" s="68"/>
      <c r="TKJ1" s="68"/>
      <c r="TKK1" s="68"/>
      <c r="TKL1" s="68"/>
      <c r="TKM1" s="68"/>
      <c r="TKN1" s="68"/>
      <c r="TKO1" s="68"/>
      <c r="TKP1" s="68"/>
      <c r="TKQ1" s="68"/>
      <c r="TKR1" s="68"/>
      <c r="TKS1" s="68"/>
      <c r="TKT1" s="68"/>
      <c r="TKU1" s="68"/>
      <c r="TKV1" s="68"/>
      <c r="TKW1" s="68"/>
      <c r="TKX1" s="68"/>
      <c r="TKY1" s="68"/>
      <c r="TKZ1" s="68"/>
      <c r="TLA1" s="68"/>
      <c r="TLB1" s="68"/>
      <c r="TLC1" s="68"/>
      <c r="TLD1" s="68"/>
      <c r="TLE1" s="68"/>
      <c r="TLF1" s="68"/>
      <c r="TLG1" s="68"/>
      <c r="TLH1" s="68"/>
      <c r="TLI1" s="68"/>
      <c r="TLJ1" s="68"/>
      <c r="TLK1" s="68"/>
      <c r="TLL1" s="68"/>
      <c r="TLM1" s="68"/>
      <c r="TLN1" s="68"/>
      <c r="TLO1" s="68"/>
      <c r="TLP1" s="68"/>
      <c r="TLQ1" s="68"/>
      <c r="TLR1" s="68"/>
      <c r="TLS1" s="68"/>
      <c r="TLT1" s="68"/>
      <c r="TLU1" s="68"/>
      <c r="TLV1" s="68"/>
      <c r="TLW1" s="68"/>
      <c r="TLX1" s="68"/>
      <c r="TLY1" s="68"/>
      <c r="TLZ1" s="68"/>
      <c r="TMA1" s="68"/>
      <c r="TMB1" s="68"/>
      <c r="TMC1" s="68"/>
      <c r="TMD1" s="68"/>
      <c r="TME1" s="68"/>
      <c r="TMF1" s="68"/>
      <c r="TMG1" s="68"/>
      <c r="TMH1" s="68"/>
      <c r="TMI1" s="68"/>
      <c r="TMJ1" s="68"/>
      <c r="TMK1" s="68"/>
      <c r="TML1" s="68"/>
      <c r="TMM1" s="68"/>
      <c r="TMN1" s="68"/>
      <c r="TMO1" s="68"/>
      <c r="TMP1" s="68"/>
      <c r="TMQ1" s="68"/>
      <c r="TMR1" s="68"/>
      <c r="TMS1" s="68"/>
      <c r="TMT1" s="68"/>
      <c r="TMU1" s="68"/>
      <c r="TMV1" s="68"/>
      <c r="TMW1" s="68"/>
      <c r="TMX1" s="68"/>
      <c r="TMY1" s="68"/>
      <c r="TMZ1" s="68"/>
      <c r="TNA1" s="68"/>
      <c r="TNB1" s="68"/>
      <c r="TNC1" s="68"/>
      <c r="TND1" s="68"/>
      <c r="TNE1" s="68"/>
      <c r="TNF1" s="68"/>
      <c r="TNG1" s="68"/>
      <c r="TNH1" s="68"/>
      <c r="TNI1" s="68"/>
      <c r="TNJ1" s="68"/>
      <c r="TNK1" s="68"/>
      <c r="TNL1" s="68"/>
      <c r="TNM1" s="68"/>
      <c r="TNN1" s="68"/>
      <c r="TNO1" s="68"/>
      <c r="TNP1" s="68"/>
      <c r="TNQ1" s="68"/>
      <c r="TNR1" s="68"/>
      <c r="TNS1" s="68"/>
      <c r="TNT1" s="68"/>
      <c r="TNU1" s="68"/>
      <c r="TNV1" s="68"/>
      <c r="TNW1" s="68"/>
      <c r="TNX1" s="68"/>
      <c r="TNY1" s="68"/>
      <c r="TNZ1" s="68"/>
      <c r="TOA1" s="68"/>
      <c r="TOB1" s="68"/>
      <c r="TOC1" s="68"/>
      <c r="TOD1" s="68"/>
      <c r="TOE1" s="68"/>
      <c r="TOF1" s="68"/>
      <c r="TOG1" s="68"/>
      <c r="TOH1" s="68"/>
      <c r="TOI1" s="68"/>
      <c r="TOJ1" s="68"/>
      <c r="TOK1" s="68"/>
      <c r="TOL1" s="68"/>
      <c r="TOM1" s="68"/>
      <c r="TON1" s="68"/>
      <c r="TOO1" s="68"/>
      <c r="TOP1" s="68"/>
      <c r="TOQ1" s="68"/>
      <c r="TOR1" s="68"/>
      <c r="TOS1" s="68"/>
      <c r="TOT1" s="68"/>
      <c r="TOU1" s="68"/>
      <c r="TOV1" s="68"/>
      <c r="TOW1" s="68"/>
      <c r="TOX1" s="68"/>
      <c r="TOY1" s="68"/>
      <c r="TOZ1" s="68"/>
      <c r="TPA1" s="68"/>
      <c r="TPB1" s="68"/>
      <c r="TPC1" s="68"/>
      <c r="TPD1" s="68"/>
      <c r="TPE1" s="68"/>
      <c r="TPF1" s="68"/>
      <c r="TPG1" s="68"/>
      <c r="TPH1" s="68"/>
      <c r="TPI1" s="68"/>
      <c r="TPJ1" s="68"/>
      <c r="TPK1" s="68"/>
      <c r="TPL1" s="68"/>
      <c r="TPM1" s="68"/>
      <c r="TPN1" s="68"/>
      <c r="TPO1" s="68"/>
      <c r="TPP1" s="68"/>
      <c r="TPQ1" s="68"/>
      <c r="TPR1" s="68"/>
      <c r="TPS1" s="68"/>
      <c r="TPT1" s="68"/>
      <c r="TPU1" s="68"/>
      <c r="TPV1" s="68"/>
      <c r="TPW1" s="68"/>
      <c r="TPX1" s="68"/>
      <c r="TPY1" s="68"/>
      <c r="TPZ1" s="68"/>
      <c r="TQA1" s="68"/>
      <c r="TQB1" s="68"/>
      <c r="TQC1" s="68"/>
      <c r="TQD1" s="68"/>
      <c r="TQE1" s="68"/>
      <c r="TQF1" s="68"/>
      <c r="TQG1" s="68"/>
      <c r="TQH1" s="68"/>
      <c r="TQI1" s="68"/>
      <c r="TQJ1" s="68"/>
      <c r="TQK1" s="68"/>
      <c r="TQL1" s="68"/>
      <c r="TQM1" s="68"/>
      <c r="TQN1" s="68"/>
      <c r="TQO1" s="68"/>
      <c r="TQP1" s="68"/>
      <c r="TQQ1" s="68"/>
      <c r="TQR1" s="68"/>
      <c r="TQS1" s="68"/>
      <c r="TQT1" s="68"/>
      <c r="TQU1" s="68"/>
      <c r="TQV1" s="68"/>
      <c r="TQW1" s="68"/>
      <c r="TQX1" s="68"/>
      <c r="TQY1" s="68"/>
      <c r="TQZ1" s="68"/>
      <c r="TRA1" s="68"/>
      <c r="TRB1" s="68"/>
      <c r="TRC1" s="68"/>
      <c r="TRD1" s="68"/>
      <c r="TRE1" s="68"/>
      <c r="TRF1" s="68"/>
      <c r="TRG1" s="68"/>
      <c r="TRH1" s="68"/>
      <c r="TRI1" s="68"/>
      <c r="TRJ1" s="68"/>
      <c r="TRK1" s="68"/>
      <c r="TRL1" s="68"/>
      <c r="TRM1" s="68"/>
      <c r="TRN1" s="68"/>
      <c r="TRO1" s="68"/>
      <c r="TRP1" s="68"/>
      <c r="TRQ1" s="68"/>
      <c r="TRR1" s="68"/>
      <c r="TRS1" s="68"/>
      <c r="TRT1" s="68"/>
      <c r="TRU1" s="68"/>
      <c r="TRV1" s="68"/>
      <c r="TRW1" s="68"/>
      <c r="TRX1" s="68"/>
      <c r="TRY1" s="68"/>
      <c r="TRZ1" s="68"/>
      <c r="TSA1" s="68"/>
      <c r="TSB1" s="68"/>
      <c r="TSC1" s="68"/>
      <c r="TSD1" s="68"/>
      <c r="TSE1" s="68"/>
      <c r="TSF1" s="68"/>
      <c r="TSG1" s="68"/>
      <c r="TSH1" s="68"/>
      <c r="TSI1" s="68"/>
      <c r="TSJ1" s="68"/>
      <c r="TSK1" s="68"/>
      <c r="TSL1" s="68"/>
      <c r="TSM1" s="68"/>
      <c r="TSN1" s="68"/>
      <c r="TSO1" s="68"/>
      <c r="TSP1" s="68"/>
      <c r="TSQ1" s="68"/>
      <c r="TSR1" s="68"/>
      <c r="TSS1" s="68"/>
      <c r="TST1" s="68"/>
      <c r="TSU1" s="68"/>
      <c r="TSV1" s="68"/>
      <c r="TSW1" s="68"/>
      <c r="TSX1" s="68"/>
      <c r="TSY1" s="68"/>
      <c r="TSZ1" s="68"/>
      <c r="TTA1" s="68"/>
      <c r="TTB1" s="68"/>
      <c r="TTC1" s="68"/>
      <c r="TTD1" s="68"/>
      <c r="TTE1" s="68"/>
      <c r="TTF1" s="68"/>
      <c r="TTG1" s="68"/>
      <c r="TTH1" s="68"/>
      <c r="TTI1" s="68"/>
      <c r="TTJ1" s="68"/>
      <c r="TTK1" s="68"/>
      <c r="TTL1" s="68"/>
      <c r="TTM1" s="68"/>
      <c r="TTN1" s="68"/>
      <c r="TTO1" s="68"/>
      <c r="TTP1" s="68"/>
      <c r="TTQ1" s="68"/>
      <c r="TTR1" s="68"/>
      <c r="TTS1" s="68"/>
      <c r="TTT1" s="68"/>
      <c r="TTU1" s="68"/>
      <c r="TTV1" s="68"/>
      <c r="TTW1" s="68"/>
      <c r="TTX1" s="68"/>
      <c r="TTY1" s="68"/>
      <c r="TTZ1" s="68"/>
      <c r="TUA1" s="68"/>
      <c r="TUB1" s="68"/>
      <c r="TUC1" s="68"/>
      <c r="TUD1" s="68"/>
      <c r="TUE1" s="68"/>
      <c r="TUF1" s="68"/>
      <c r="TUG1" s="68"/>
      <c r="TUH1" s="68"/>
      <c r="TUI1" s="68"/>
      <c r="TUJ1" s="68"/>
      <c r="TUK1" s="68"/>
      <c r="TUL1" s="68"/>
      <c r="TUM1" s="68"/>
      <c r="TUN1" s="68"/>
      <c r="TUO1" s="68"/>
      <c r="TUP1" s="68"/>
      <c r="TUQ1" s="68"/>
      <c r="TUR1" s="68"/>
      <c r="TUS1" s="68"/>
      <c r="TUT1" s="68"/>
      <c r="TUU1" s="68"/>
      <c r="TUV1" s="68"/>
      <c r="TUW1" s="68"/>
      <c r="TUX1" s="68"/>
      <c r="TUY1" s="68"/>
      <c r="TUZ1" s="68"/>
      <c r="TVA1" s="68"/>
      <c r="TVB1" s="68"/>
      <c r="TVC1" s="68"/>
      <c r="TVD1" s="68"/>
      <c r="TVE1" s="68"/>
      <c r="TVF1" s="68"/>
      <c r="TVG1" s="68"/>
      <c r="TVH1" s="68"/>
      <c r="TVI1" s="68"/>
      <c r="TVJ1" s="68"/>
      <c r="TVK1" s="68"/>
      <c r="TVL1" s="68"/>
      <c r="TVM1" s="68"/>
      <c r="TVN1" s="68"/>
      <c r="TVO1" s="68"/>
      <c r="TVP1" s="68"/>
      <c r="TVQ1" s="68"/>
      <c r="TVR1" s="68"/>
      <c r="TVS1" s="68"/>
      <c r="TVT1" s="68"/>
      <c r="TVU1" s="68"/>
      <c r="TVV1" s="68"/>
      <c r="TVW1" s="68"/>
      <c r="TVX1" s="68"/>
      <c r="TVY1" s="68"/>
      <c r="TVZ1" s="68"/>
      <c r="TWA1" s="68"/>
      <c r="TWB1" s="68"/>
      <c r="TWC1" s="68"/>
      <c r="TWD1" s="68"/>
      <c r="TWE1" s="68"/>
      <c r="TWF1" s="68"/>
      <c r="TWG1" s="68"/>
      <c r="TWH1" s="68"/>
      <c r="TWI1" s="68"/>
      <c r="TWJ1" s="68"/>
      <c r="TWK1" s="68"/>
      <c r="TWL1" s="68"/>
      <c r="TWM1" s="68"/>
      <c r="TWN1" s="68"/>
      <c r="TWO1" s="68"/>
      <c r="TWP1" s="68"/>
      <c r="TWQ1" s="68"/>
      <c r="TWR1" s="68"/>
      <c r="TWS1" s="68"/>
      <c r="TWT1" s="68"/>
      <c r="TWU1" s="68"/>
      <c r="TWV1" s="68"/>
      <c r="TWW1" s="68"/>
      <c r="TWX1" s="68"/>
      <c r="TWY1" s="68"/>
      <c r="TWZ1" s="68"/>
      <c r="TXA1" s="68"/>
      <c r="TXB1" s="68"/>
      <c r="TXC1" s="68"/>
      <c r="TXD1" s="68"/>
      <c r="TXE1" s="68"/>
      <c r="TXF1" s="68"/>
      <c r="TXG1" s="68"/>
      <c r="TXH1" s="68"/>
      <c r="TXI1" s="68"/>
      <c r="TXJ1" s="68"/>
      <c r="TXK1" s="68"/>
      <c r="TXL1" s="68"/>
      <c r="TXM1" s="68"/>
      <c r="TXN1" s="68"/>
      <c r="TXO1" s="68"/>
      <c r="TXP1" s="68"/>
      <c r="TXQ1" s="68"/>
      <c r="TXR1" s="68"/>
      <c r="TXS1" s="68"/>
      <c r="TXT1" s="68"/>
      <c r="TXU1" s="68"/>
      <c r="TXV1" s="68"/>
      <c r="TXW1" s="68"/>
      <c r="TXX1" s="68"/>
      <c r="TXY1" s="68"/>
      <c r="TXZ1" s="68"/>
      <c r="TYA1" s="68"/>
      <c r="TYB1" s="68"/>
      <c r="TYC1" s="68"/>
      <c r="TYD1" s="68"/>
      <c r="TYE1" s="68"/>
      <c r="TYF1" s="68"/>
      <c r="TYG1" s="68"/>
      <c r="TYH1" s="68"/>
      <c r="TYI1" s="68"/>
      <c r="TYJ1" s="68"/>
      <c r="TYK1" s="68"/>
      <c r="TYL1" s="68"/>
      <c r="TYM1" s="68"/>
      <c r="TYN1" s="68"/>
      <c r="TYO1" s="68"/>
      <c r="TYP1" s="68"/>
      <c r="TYQ1" s="68"/>
      <c r="TYR1" s="68"/>
      <c r="TYS1" s="68"/>
      <c r="TYT1" s="68"/>
      <c r="TYU1" s="68"/>
      <c r="TYV1" s="68"/>
      <c r="TYW1" s="68"/>
      <c r="TYX1" s="68"/>
      <c r="TYY1" s="68"/>
      <c r="TYZ1" s="68"/>
      <c r="TZA1" s="68"/>
      <c r="TZB1" s="68"/>
      <c r="TZC1" s="68"/>
      <c r="TZD1" s="68"/>
      <c r="TZE1" s="68"/>
      <c r="TZF1" s="68"/>
      <c r="TZG1" s="68"/>
      <c r="TZH1" s="68"/>
      <c r="TZI1" s="68"/>
      <c r="TZJ1" s="68"/>
      <c r="TZK1" s="68"/>
      <c r="TZL1" s="68"/>
      <c r="TZM1" s="68"/>
      <c r="TZN1" s="68"/>
      <c r="TZO1" s="68"/>
      <c r="TZP1" s="68"/>
      <c r="TZQ1" s="68"/>
      <c r="TZR1" s="68"/>
      <c r="TZS1" s="68"/>
      <c r="TZT1" s="68"/>
      <c r="TZU1" s="68"/>
      <c r="TZV1" s="68"/>
      <c r="TZW1" s="68"/>
      <c r="TZX1" s="68"/>
      <c r="TZY1" s="68"/>
      <c r="TZZ1" s="68"/>
      <c r="UAA1" s="68"/>
      <c r="UAB1" s="68"/>
      <c r="UAC1" s="68"/>
      <c r="UAD1" s="68"/>
      <c r="UAE1" s="68"/>
      <c r="UAF1" s="68"/>
      <c r="UAG1" s="68"/>
      <c r="UAH1" s="68"/>
      <c r="UAI1" s="68"/>
      <c r="UAJ1" s="68"/>
      <c r="UAK1" s="68"/>
      <c r="UAL1" s="68"/>
      <c r="UAM1" s="68"/>
      <c r="UAN1" s="68"/>
      <c r="UAO1" s="68"/>
      <c r="UAP1" s="68"/>
      <c r="UAQ1" s="68"/>
      <c r="UAR1" s="68"/>
      <c r="UAS1" s="68"/>
      <c r="UAT1" s="68"/>
      <c r="UAU1" s="68"/>
      <c r="UAV1" s="68"/>
      <c r="UAW1" s="68"/>
      <c r="UAX1" s="68"/>
      <c r="UAY1" s="68"/>
      <c r="UAZ1" s="68"/>
      <c r="UBA1" s="68"/>
      <c r="UBB1" s="68"/>
      <c r="UBC1" s="68"/>
      <c r="UBD1" s="68"/>
      <c r="UBE1" s="68"/>
      <c r="UBF1" s="68"/>
      <c r="UBG1" s="68"/>
      <c r="UBH1" s="68"/>
      <c r="UBI1" s="68"/>
      <c r="UBJ1" s="68"/>
      <c r="UBK1" s="68"/>
      <c r="UBL1" s="68"/>
      <c r="UBM1" s="68"/>
      <c r="UBN1" s="68"/>
      <c r="UBO1" s="68"/>
      <c r="UBP1" s="68"/>
      <c r="UBQ1" s="68"/>
      <c r="UBR1" s="68"/>
      <c r="UBS1" s="68"/>
      <c r="UBT1" s="68"/>
      <c r="UBU1" s="68"/>
      <c r="UBV1" s="68"/>
      <c r="UBW1" s="68"/>
      <c r="UBX1" s="68"/>
      <c r="UBY1" s="68"/>
      <c r="UBZ1" s="68"/>
      <c r="UCA1" s="68"/>
      <c r="UCB1" s="68"/>
      <c r="UCC1" s="68"/>
      <c r="UCD1" s="68"/>
      <c r="UCE1" s="68"/>
      <c r="UCF1" s="68"/>
      <c r="UCG1" s="68"/>
      <c r="UCH1" s="68"/>
      <c r="UCI1" s="68"/>
      <c r="UCJ1" s="68"/>
      <c r="UCK1" s="68"/>
      <c r="UCL1" s="68"/>
      <c r="UCM1" s="68"/>
      <c r="UCN1" s="68"/>
      <c r="UCO1" s="68"/>
      <c r="UCP1" s="68"/>
      <c r="UCQ1" s="68"/>
      <c r="UCR1" s="68"/>
      <c r="UCS1" s="68"/>
      <c r="UCT1" s="68"/>
      <c r="UCU1" s="68"/>
      <c r="UCV1" s="68"/>
      <c r="UCW1" s="68"/>
      <c r="UCX1" s="68"/>
      <c r="UCY1" s="68"/>
      <c r="UCZ1" s="68"/>
      <c r="UDA1" s="68"/>
      <c r="UDB1" s="68"/>
      <c r="UDC1" s="68"/>
      <c r="UDD1" s="68"/>
      <c r="UDE1" s="68"/>
      <c r="UDF1" s="68"/>
      <c r="UDG1" s="68"/>
      <c r="UDH1" s="68"/>
      <c r="UDI1" s="68"/>
      <c r="UDJ1" s="68"/>
      <c r="UDK1" s="68"/>
      <c r="UDL1" s="68"/>
      <c r="UDM1" s="68"/>
      <c r="UDN1" s="68"/>
      <c r="UDO1" s="68"/>
      <c r="UDP1" s="68"/>
      <c r="UDQ1" s="68"/>
      <c r="UDR1" s="68"/>
      <c r="UDS1" s="68"/>
      <c r="UDT1" s="68"/>
      <c r="UDU1" s="68"/>
      <c r="UDV1" s="68"/>
      <c r="UDW1" s="68"/>
      <c r="UDX1" s="68"/>
      <c r="UDY1" s="68"/>
      <c r="UDZ1" s="68"/>
      <c r="UEA1" s="68"/>
      <c r="UEB1" s="68"/>
      <c r="UEC1" s="68"/>
      <c r="UED1" s="68"/>
      <c r="UEE1" s="68"/>
      <c r="UEF1" s="68"/>
      <c r="UEG1" s="68"/>
      <c r="UEH1" s="68"/>
      <c r="UEI1" s="68"/>
      <c r="UEJ1" s="68"/>
      <c r="UEK1" s="68"/>
      <c r="UEL1" s="68"/>
      <c r="UEM1" s="68"/>
      <c r="UEN1" s="68"/>
      <c r="UEO1" s="68"/>
      <c r="UEP1" s="68"/>
      <c r="UEQ1" s="68"/>
      <c r="UER1" s="68"/>
      <c r="UES1" s="68"/>
      <c r="UET1" s="68"/>
      <c r="UEU1" s="68"/>
      <c r="UEV1" s="68"/>
      <c r="UEW1" s="68"/>
      <c r="UEX1" s="68"/>
      <c r="UEY1" s="68"/>
      <c r="UEZ1" s="68"/>
      <c r="UFA1" s="68"/>
      <c r="UFB1" s="68"/>
      <c r="UFC1" s="68"/>
      <c r="UFD1" s="68"/>
      <c r="UFE1" s="68"/>
      <c r="UFF1" s="68"/>
      <c r="UFG1" s="68"/>
      <c r="UFH1" s="68"/>
      <c r="UFI1" s="68"/>
      <c r="UFJ1" s="68"/>
      <c r="UFK1" s="68"/>
      <c r="UFL1" s="68"/>
      <c r="UFM1" s="68"/>
      <c r="UFN1" s="68"/>
      <c r="UFO1" s="68"/>
      <c r="UFP1" s="68"/>
      <c r="UFQ1" s="68"/>
      <c r="UFR1" s="68"/>
      <c r="UFS1" s="68"/>
      <c r="UFT1" s="68"/>
      <c r="UFU1" s="68"/>
      <c r="UFV1" s="68"/>
      <c r="UFW1" s="68"/>
      <c r="UFX1" s="68"/>
      <c r="UFY1" s="68"/>
      <c r="UFZ1" s="68"/>
      <c r="UGA1" s="68"/>
      <c r="UGB1" s="68"/>
      <c r="UGC1" s="68"/>
      <c r="UGD1" s="68"/>
      <c r="UGE1" s="68"/>
      <c r="UGF1" s="68"/>
      <c r="UGG1" s="68"/>
      <c r="UGH1" s="68"/>
      <c r="UGI1" s="68"/>
      <c r="UGJ1" s="68"/>
      <c r="UGK1" s="68"/>
      <c r="UGL1" s="68"/>
      <c r="UGM1" s="68"/>
      <c r="UGN1" s="68"/>
      <c r="UGO1" s="68"/>
      <c r="UGP1" s="68"/>
      <c r="UGQ1" s="68"/>
      <c r="UGR1" s="68"/>
      <c r="UGS1" s="68"/>
      <c r="UGT1" s="68"/>
      <c r="UGU1" s="68"/>
      <c r="UGV1" s="68"/>
      <c r="UGW1" s="68"/>
      <c r="UGX1" s="68"/>
      <c r="UGY1" s="68"/>
      <c r="UGZ1" s="68"/>
      <c r="UHA1" s="68"/>
      <c r="UHB1" s="68"/>
      <c r="UHC1" s="68"/>
      <c r="UHD1" s="68"/>
      <c r="UHE1" s="68"/>
      <c r="UHF1" s="68"/>
      <c r="UHG1" s="68"/>
      <c r="UHH1" s="68"/>
      <c r="UHI1" s="68"/>
      <c r="UHJ1" s="68"/>
      <c r="UHK1" s="68"/>
      <c r="UHL1" s="68"/>
      <c r="UHM1" s="68"/>
      <c r="UHN1" s="68"/>
      <c r="UHO1" s="68"/>
      <c r="UHP1" s="68"/>
      <c r="UHQ1" s="68"/>
      <c r="UHR1" s="68"/>
      <c r="UHS1" s="68"/>
      <c r="UHT1" s="68"/>
      <c r="UHU1" s="68"/>
      <c r="UHV1" s="68"/>
      <c r="UHW1" s="68"/>
      <c r="UHX1" s="68"/>
      <c r="UHY1" s="68"/>
      <c r="UHZ1" s="68"/>
      <c r="UIA1" s="68"/>
      <c r="UIB1" s="68"/>
      <c r="UIC1" s="68"/>
      <c r="UID1" s="68"/>
      <c r="UIE1" s="68"/>
      <c r="UIF1" s="68"/>
      <c r="UIG1" s="68"/>
      <c r="UIH1" s="68"/>
      <c r="UII1" s="68"/>
      <c r="UIJ1" s="68"/>
      <c r="UIK1" s="68"/>
      <c r="UIL1" s="68"/>
      <c r="UIM1" s="68"/>
      <c r="UIN1" s="68"/>
      <c r="UIO1" s="68"/>
      <c r="UIP1" s="68"/>
      <c r="UIQ1" s="68"/>
      <c r="UIR1" s="68"/>
      <c r="UIS1" s="68"/>
      <c r="UIT1" s="68"/>
      <c r="UIU1" s="68"/>
      <c r="UIV1" s="68"/>
      <c r="UIW1" s="68"/>
      <c r="UIX1" s="68"/>
      <c r="UIY1" s="68"/>
      <c r="UIZ1" s="68"/>
      <c r="UJA1" s="68"/>
      <c r="UJB1" s="68"/>
      <c r="UJC1" s="68"/>
      <c r="UJD1" s="68"/>
      <c r="UJE1" s="68"/>
      <c r="UJF1" s="68"/>
      <c r="UJG1" s="68"/>
      <c r="UJH1" s="68"/>
      <c r="UJI1" s="68"/>
      <c r="UJJ1" s="68"/>
      <c r="UJK1" s="68"/>
      <c r="UJL1" s="68"/>
      <c r="UJM1" s="68"/>
      <c r="UJN1" s="68"/>
      <c r="UJO1" s="68"/>
      <c r="UJP1" s="68"/>
      <c r="UJQ1" s="68"/>
      <c r="UJR1" s="68"/>
      <c r="UJS1" s="68"/>
      <c r="UJT1" s="68"/>
      <c r="UJU1" s="68"/>
      <c r="UJV1" s="68"/>
      <c r="UJW1" s="68"/>
      <c r="UJX1" s="68"/>
      <c r="UJY1" s="68"/>
      <c r="UJZ1" s="68"/>
      <c r="UKA1" s="68"/>
      <c r="UKB1" s="68"/>
      <c r="UKC1" s="68"/>
      <c r="UKD1" s="68"/>
      <c r="UKE1" s="68"/>
      <c r="UKF1" s="68"/>
      <c r="UKG1" s="68"/>
      <c r="UKH1" s="68"/>
      <c r="UKI1" s="68"/>
      <c r="UKJ1" s="68"/>
      <c r="UKK1" s="68"/>
      <c r="UKL1" s="68"/>
      <c r="UKM1" s="68"/>
      <c r="UKN1" s="68"/>
      <c r="UKO1" s="68"/>
      <c r="UKP1" s="68"/>
      <c r="UKQ1" s="68"/>
      <c r="UKR1" s="68"/>
      <c r="UKS1" s="68"/>
      <c r="UKT1" s="68"/>
      <c r="UKU1" s="68"/>
      <c r="UKV1" s="68"/>
      <c r="UKW1" s="68"/>
      <c r="UKX1" s="68"/>
      <c r="UKY1" s="68"/>
      <c r="UKZ1" s="68"/>
      <c r="ULA1" s="68"/>
      <c r="ULB1" s="68"/>
      <c r="ULC1" s="68"/>
      <c r="ULD1" s="68"/>
      <c r="ULE1" s="68"/>
      <c r="ULF1" s="68"/>
      <c r="ULG1" s="68"/>
      <c r="ULH1" s="68"/>
      <c r="ULI1" s="68"/>
      <c r="ULJ1" s="68"/>
      <c r="ULK1" s="68"/>
      <c r="ULL1" s="68"/>
      <c r="ULM1" s="68"/>
      <c r="ULN1" s="68"/>
      <c r="ULO1" s="68"/>
      <c r="ULP1" s="68"/>
      <c r="ULQ1" s="68"/>
      <c r="ULR1" s="68"/>
      <c r="ULS1" s="68"/>
      <c r="ULT1" s="68"/>
      <c r="ULU1" s="68"/>
      <c r="ULV1" s="68"/>
      <c r="ULW1" s="68"/>
      <c r="ULX1" s="68"/>
      <c r="ULY1" s="68"/>
      <c r="ULZ1" s="68"/>
      <c r="UMA1" s="68"/>
      <c r="UMB1" s="68"/>
      <c r="UMC1" s="68"/>
      <c r="UMD1" s="68"/>
      <c r="UME1" s="68"/>
      <c r="UMF1" s="68"/>
      <c r="UMG1" s="68"/>
      <c r="UMH1" s="68"/>
      <c r="UMI1" s="68"/>
      <c r="UMJ1" s="68"/>
      <c r="UMK1" s="68"/>
      <c r="UML1" s="68"/>
      <c r="UMM1" s="68"/>
      <c r="UMN1" s="68"/>
      <c r="UMO1" s="68"/>
      <c r="UMP1" s="68"/>
      <c r="UMQ1" s="68"/>
      <c r="UMR1" s="68"/>
      <c r="UMS1" s="68"/>
      <c r="UMT1" s="68"/>
      <c r="UMU1" s="68"/>
      <c r="UMV1" s="68"/>
      <c r="UMW1" s="68"/>
      <c r="UMX1" s="68"/>
      <c r="UMY1" s="68"/>
      <c r="UMZ1" s="68"/>
      <c r="UNA1" s="68"/>
      <c r="UNB1" s="68"/>
      <c r="UNC1" s="68"/>
      <c r="UND1" s="68"/>
      <c r="UNE1" s="68"/>
      <c r="UNF1" s="68"/>
      <c r="UNG1" s="68"/>
      <c r="UNH1" s="68"/>
      <c r="UNI1" s="68"/>
      <c r="UNJ1" s="68"/>
      <c r="UNK1" s="68"/>
      <c r="UNL1" s="68"/>
      <c r="UNM1" s="68"/>
      <c r="UNN1" s="68"/>
      <c r="UNO1" s="68"/>
      <c r="UNP1" s="68"/>
      <c r="UNQ1" s="68"/>
      <c r="UNR1" s="68"/>
      <c r="UNS1" s="68"/>
      <c r="UNT1" s="68"/>
      <c r="UNU1" s="68"/>
      <c r="UNV1" s="68"/>
      <c r="UNW1" s="68"/>
      <c r="UNX1" s="68"/>
      <c r="UNY1" s="68"/>
      <c r="UNZ1" s="68"/>
      <c r="UOA1" s="68"/>
      <c r="UOB1" s="68"/>
      <c r="UOC1" s="68"/>
      <c r="UOD1" s="68"/>
      <c r="UOE1" s="68"/>
      <c r="UOF1" s="68"/>
      <c r="UOG1" s="68"/>
      <c r="UOH1" s="68"/>
      <c r="UOI1" s="68"/>
      <c r="UOJ1" s="68"/>
      <c r="UOK1" s="68"/>
      <c r="UOL1" s="68"/>
      <c r="UOM1" s="68"/>
      <c r="UON1" s="68"/>
      <c r="UOO1" s="68"/>
      <c r="UOP1" s="68"/>
      <c r="UOQ1" s="68"/>
      <c r="UOR1" s="68"/>
      <c r="UOS1" s="68"/>
      <c r="UOT1" s="68"/>
      <c r="UOU1" s="68"/>
      <c r="UOV1" s="68"/>
      <c r="UOW1" s="68"/>
      <c r="UOX1" s="68"/>
      <c r="UOY1" s="68"/>
      <c r="UOZ1" s="68"/>
      <c r="UPA1" s="68"/>
      <c r="UPB1" s="68"/>
      <c r="UPC1" s="68"/>
      <c r="UPD1" s="68"/>
      <c r="UPE1" s="68"/>
      <c r="UPF1" s="68"/>
      <c r="UPG1" s="68"/>
      <c r="UPH1" s="68"/>
      <c r="UPI1" s="68"/>
      <c r="UPJ1" s="68"/>
      <c r="UPK1" s="68"/>
      <c r="UPL1" s="68"/>
      <c r="UPM1" s="68"/>
      <c r="UPN1" s="68"/>
      <c r="UPO1" s="68"/>
      <c r="UPP1" s="68"/>
      <c r="UPQ1" s="68"/>
      <c r="UPR1" s="68"/>
      <c r="UPS1" s="68"/>
      <c r="UPT1" s="68"/>
      <c r="UPU1" s="68"/>
      <c r="UPV1" s="68"/>
      <c r="UPW1" s="68"/>
      <c r="UPX1" s="68"/>
      <c r="UPY1" s="68"/>
      <c r="UPZ1" s="68"/>
      <c r="UQA1" s="68"/>
      <c r="UQB1" s="68"/>
      <c r="UQC1" s="68"/>
      <c r="UQD1" s="68"/>
      <c r="UQE1" s="68"/>
      <c r="UQF1" s="68"/>
      <c r="UQG1" s="68"/>
      <c r="UQH1" s="68"/>
      <c r="UQI1" s="68"/>
      <c r="UQJ1" s="68"/>
      <c r="UQK1" s="68"/>
      <c r="UQL1" s="68"/>
      <c r="UQM1" s="68"/>
      <c r="UQN1" s="68"/>
      <c r="UQO1" s="68"/>
      <c r="UQP1" s="68"/>
      <c r="UQQ1" s="68"/>
      <c r="UQR1" s="68"/>
      <c r="UQS1" s="68"/>
      <c r="UQT1" s="68"/>
      <c r="UQU1" s="68"/>
      <c r="UQV1" s="68"/>
      <c r="UQW1" s="68"/>
      <c r="UQX1" s="68"/>
      <c r="UQY1" s="68"/>
      <c r="UQZ1" s="68"/>
      <c r="URA1" s="68"/>
      <c r="URB1" s="68"/>
      <c r="URC1" s="68"/>
      <c r="URD1" s="68"/>
      <c r="URE1" s="68"/>
      <c r="URF1" s="68"/>
      <c r="URG1" s="68"/>
      <c r="URH1" s="68"/>
      <c r="URI1" s="68"/>
      <c r="URJ1" s="68"/>
      <c r="URK1" s="68"/>
      <c r="URL1" s="68"/>
      <c r="URM1" s="68"/>
      <c r="URN1" s="68"/>
      <c r="URO1" s="68"/>
      <c r="URP1" s="68"/>
      <c r="URQ1" s="68"/>
      <c r="URR1" s="68"/>
      <c r="URS1" s="68"/>
      <c r="URT1" s="68"/>
      <c r="URU1" s="68"/>
      <c r="URV1" s="68"/>
      <c r="URW1" s="68"/>
      <c r="URX1" s="68"/>
      <c r="URY1" s="68"/>
      <c r="URZ1" s="68"/>
      <c r="USA1" s="68"/>
      <c r="USB1" s="68"/>
      <c r="USC1" s="68"/>
      <c r="USD1" s="68"/>
      <c r="USE1" s="68"/>
      <c r="USF1" s="68"/>
      <c r="USG1" s="68"/>
      <c r="USH1" s="68"/>
      <c r="USI1" s="68"/>
      <c r="USJ1" s="68"/>
      <c r="USK1" s="68"/>
      <c r="USL1" s="68"/>
      <c r="USM1" s="68"/>
      <c r="USN1" s="68"/>
      <c r="USO1" s="68"/>
      <c r="USP1" s="68"/>
      <c r="USQ1" s="68"/>
      <c r="USR1" s="68"/>
      <c r="USS1" s="68"/>
      <c r="UST1" s="68"/>
      <c r="USU1" s="68"/>
      <c r="USV1" s="68"/>
      <c r="USW1" s="68"/>
      <c r="USX1" s="68"/>
      <c r="USY1" s="68"/>
      <c r="USZ1" s="68"/>
      <c r="UTA1" s="68"/>
      <c r="UTB1" s="68"/>
      <c r="UTC1" s="68"/>
      <c r="UTD1" s="68"/>
      <c r="UTE1" s="68"/>
      <c r="UTF1" s="68"/>
      <c r="UTG1" s="68"/>
      <c r="UTH1" s="68"/>
      <c r="UTI1" s="68"/>
      <c r="UTJ1" s="68"/>
      <c r="UTK1" s="68"/>
      <c r="UTL1" s="68"/>
      <c r="UTM1" s="68"/>
      <c r="UTN1" s="68"/>
      <c r="UTO1" s="68"/>
      <c r="UTP1" s="68"/>
      <c r="UTQ1" s="68"/>
      <c r="UTR1" s="68"/>
      <c r="UTS1" s="68"/>
      <c r="UTT1" s="68"/>
      <c r="UTU1" s="68"/>
      <c r="UTV1" s="68"/>
      <c r="UTW1" s="68"/>
      <c r="UTX1" s="68"/>
      <c r="UTY1" s="68"/>
      <c r="UTZ1" s="68"/>
      <c r="UUA1" s="68"/>
      <c r="UUB1" s="68"/>
      <c r="UUC1" s="68"/>
      <c r="UUD1" s="68"/>
      <c r="UUE1" s="68"/>
      <c r="UUF1" s="68"/>
      <c r="UUG1" s="68"/>
      <c r="UUH1" s="68"/>
      <c r="UUI1" s="68"/>
      <c r="UUJ1" s="68"/>
      <c r="UUK1" s="68"/>
      <c r="UUL1" s="68"/>
      <c r="UUM1" s="68"/>
      <c r="UUN1" s="68"/>
      <c r="UUO1" s="68"/>
      <c r="UUP1" s="68"/>
      <c r="UUQ1" s="68"/>
      <c r="UUR1" s="68"/>
      <c r="UUS1" s="68"/>
      <c r="UUT1" s="68"/>
      <c r="UUU1" s="68"/>
      <c r="UUV1" s="68"/>
      <c r="UUW1" s="68"/>
      <c r="UUX1" s="68"/>
      <c r="UUY1" s="68"/>
      <c r="UUZ1" s="68"/>
      <c r="UVA1" s="68"/>
      <c r="UVB1" s="68"/>
      <c r="UVC1" s="68"/>
      <c r="UVD1" s="68"/>
      <c r="UVE1" s="68"/>
      <c r="UVF1" s="68"/>
      <c r="UVG1" s="68"/>
      <c r="UVH1" s="68"/>
      <c r="UVI1" s="68"/>
      <c r="UVJ1" s="68"/>
      <c r="UVK1" s="68"/>
      <c r="UVL1" s="68"/>
      <c r="UVM1" s="68"/>
      <c r="UVN1" s="68"/>
      <c r="UVO1" s="68"/>
      <c r="UVP1" s="68"/>
      <c r="UVQ1" s="68"/>
      <c r="UVR1" s="68"/>
      <c r="UVS1" s="68"/>
      <c r="UVT1" s="68"/>
      <c r="UVU1" s="68"/>
      <c r="UVV1" s="68"/>
      <c r="UVW1" s="68"/>
      <c r="UVX1" s="68"/>
      <c r="UVY1" s="68"/>
      <c r="UVZ1" s="68"/>
      <c r="UWA1" s="68"/>
      <c r="UWB1" s="68"/>
      <c r="UWC1" s="68"/>
      <c r="UWD1" s="68"/>
      <c r="UWE1" s="68"/>
      <c r="UWF1" s="68"/>
      <c r="UWG1" s="68"/>
      <c r="UWH1" s="68"/>
      <c r="UWI1" s="68"/>
      <c r="UWJ1" s="68"/>
      <c r="UWK1" s="68"/>
      <c r="UWL1" s="68"/>
      <c r="UWM1" s="68"/>
      <c r="UWN1" s="68"/>
      <c r="UWO1" s="68"/>
      <c r="UWP1" s="68"/>
      <c r="UWQ1" s="68"/>
      <c r="UWR1" s="68"/>
      <c r="UWS1" s="68"/>
      <c r="UWT1" s="68"/>
      <c r="UWU1" s="68"/>
      <c r="UWV1" s="68"/>
      <c r="UWW1" s="68"/>
      <c r="UWX1" s="68"/>
      <c r="UWY1" s="68"/>
      <c r="UWZ1" s="68"/>
      <c r="UXA1" s="68"/>
      <c r="UXB1" s="68"/>
      <c r="UXC1" s="68"/>
      <c r="UXD1" s="68"/>
      <c r="UXE1" s="68"/>
      <c r="UXF1" s="68"/>
      <c r="UXG1" s="68"/>
      <c r="UXH1" s="68"/>
      <c r="UXI1" s="68"/>
      <c r="UXJ1" s="68"/>
      <c r="UXK1" s="68"/>
      <c r="UXL1" s="68"/>
      <c r="UXM1" s="68"/>
      <c r="UXN1" s="68"/>
      <c r="UXO1" s="68"/>
      <c r="UXP1" s="68"/>
      <c r="UXQ1" s="68"/>
      <c r="UXR1" s="68"/>
      <c r="UXS1" s="68"/>
      <c r="UXT1" s="68"/>
      <c r="UXU1" s="68"/>
      <c r="UXV1" s="68"/>
      <c r="UXW1" s="68"/>
      <c r="UXX1" s="68"/>
      <c r="UXY1" s="68"/>
      <c r="UXZ1" s="68"/>
      <c r="UYA1" s="68"/>
      <c r="UYB1" s="68"/>
      <c r="UYC1" s="68"/>
      <c r="UYD1" s="68"/>
      <c r="UYE1" s="68"/>
      <c r="UYF1" s="68"/>
      <c r="UYG1" s="68"/>
      <c r="UYH1" s="68"/>
      <c r="UYI1" s="68"/>
      <c r="UYJ1" s="68"/>
      <c r="UYK1" s="68"/>
      <c r="UYL1" s="68"/>
      <c r="UYM1" s="68"/>
      <c r="UYN1" s="68"/>
      <c r="UYO1" s="68"/>
      <c r="UYP1" s="68"/>
      <c r="UYQ1" s="68"/>
      <c r="UYR1" s="68"/>
      <c r="UYS1" s="68"/>
      <c r="UYT1" s="68"/>
      <c r="UYU1" s="68"/>
      <c r="UYV1" s="68"/>
      <c r="UYW1" s="68"/>
      <c r="UYX1" s="68"/>
      <c r="UYY1" s="68"/>
      <c r="UYZ1" s="68"/>
      <c r="UZA1" s="68"/>
      <c r="UZB1" s="68"/>
      <c r="UZC1" s="68"/>
      <c r="UZD1" s="68"/>
      <c r="UZE1" s="68"/>
      <c r="UZF1" s="68"/>
      <c r="UZG1" s="68"/>
      <c r="UZH1" s="68"/>
      <c r="UZI1" s="68"/>
      <c r="UZJ1" s="68"/>
      <c r="UZK1" s="68"/>
      <c r="UZL1" s="68"/>
      <c r="UZM1" s="68"/>
      <c r="UZN1" s="68"/>
      <c r="UZO1" s="68"/>
      <c r="UZP1" s="68"/>
      <c r="UZQ1" s="68"/>
      <c r="UZR1" s="68"/>
      <c r="UZS1" s="68"/>
      <c r="UZT1" s="68"/>
      <c r="UZU1" s="68"/>
      <c r="UZV1" s="68"/>
      <c r="UZW1" s="68"/>
      <c r="UZX1" s="68"/>
      <c r="UZY1" s="68"/>
      <c r="UZZ1" s="68"/>
      <c r="VAA1" s="68"/>
      <c r="VAB1" s="68"/>
      <c r="VAC1" s="68"/>
      <c r="VAD1" s="68"/>
      <c r="VAE1" s="68"/>
      <c r="VAF1" s="68"/>
      <c r="VAG1" s="68"/>
      <c r="VAH1" s="68"/>
      <c r="VAI1" s="68"/>
      <c r="VAJ1" s="68"/>
      <c r="VAK1" s="68"/>
      <c r="VAL1" s="68"/>
      <c r="VAM1" s="68"/>
      <c r="VAN1" s="68"/>
      <c r="VAO1" s="68"/>
      <c r="VAP1" s="68"/>
      <c r="VAQ1" s="68"/>
      <c r="VAR1" s="68"/>
      <c r="VAS1" s="68"/>
      <c r="VAT1" s="68"/>
      <c r="VAU1" s="68"/>
      <c r="VAV1" s="68"/>
      <c r="VAW1" s="68"/>
      <c r="VAX1" s="68"/>
      <c r="VAY1" s="68"/>
      <c r="VAZ1" s="68"/>
      <c r="VBA1" s="68"/>
      <c r="VBB1" s="68"/>
      <c r="VBC1" s="68"/>
      <c r="VBD1" s="68"/>
      <c r="VBE1" s="68"/>
      <c r="VBF1" s="68"/>
      <c r="VBG1" s="68"/>
      <c r="VBH1" s="68"/>
      <c r="VBI1" s="68"/>
      <c r="VBJ1" s="68"/>
      <c r="VBK1" s="68"/>
      <c r="VBL1" s="68"/>
      <c r="VBM1" s="68"/>
      <c r="VBN1" s="68"/>
      <c r="VBO1" s="68"/>
      <c r="VBP1" s="68"/>
      <c r="VBQ1" s="68"/>
      <c r="VBR1" s="68"/>
      <c r="VBS1" s="68"/>
      <c r="VBT1" s="68"/>
      <c r="VBU1" s="68"/>
      <c r="VBV1" s="68"/>
      <c r="VBW1" s="68"/>
      <c r="VBX1" s="68"/>
      <c r="VBY1" s="68"/>
      <c r="VBZ1" s="68"/>
      <c r="VCA1" s="68"/>
      <c r="VCB1" s="68"/>
      <c r="VCC1" s="68"/>
      <c r="VCD1" s="68"/>
      <c r="VCE1" s="68"/>
      <c r="VCF1" s="68"/>
      <c r="VCG1" s="68"/>
      <c r="VCH1" s="68"/>
      <c r="VCI1" s="68"/>
      <c r="VCJ1" s="68"/>
      <c r="VCK1" s="68"/>
      <c r="VCL1" s="68"/>
      <c r="VCM1" s="68"/>
      <c r="VCN1" s="68"/>
      <c r="VCO1" s="68"/>
      <c r="VCP1" s="68"/>
      <c r="VCQ1" s="68"/>
      <c r="VCR1" s="68"/>
      <c r="VCS1" s="68"/>
      <c r="VCT1" s="68"/>
      <c r="VCU1" s="68"/>
      <c r="VCV1" s="68"/>
      <c r="VCW1" s="68"/>
      <c r="VCX1" s="68"/>
      <c r="VCY1" s="68"/>
      <c r="VCZ1" s="68"/>
      <c r="VDA1" s="68"/>
      <c r="VDB1" s="68"/>
      <c r="VDC1" s="68"/>
      <c r="VDD1" s="68"/>
      <c r="VDE1" s="68"/>
      <c r="VDF1" s="68"/>
      <c r="VDG1" s="68"/>
      <c r="VDH1" s="68"/>
      <c r="VDI1" s="68"/>
      <c r="VDJ1" s="68"/>
      <c r="VDK1" s="68"/>
      <c r="VDL1" s="68"/>
      <c r="VDM1" s="68"/>
      <c r="VDN1" s="68"/>
      <c r="VDO1" s="68"/>
      <c r="VDP1" s="68"/>
      <c r="VDQ1" s="68"/>
      <c r="VDR1" s="68"/>
      <c r="VDS1" s="68"/>
      <c r="VDT1" s="68"/>
      <c r="VDU1" s="68"/>
      <c r="VDV1" s="68"/>
      <c r="VDW1" s="68"/>
      <c r="VDX1" s="68"/>
      <c r="VDY1" s="68"/>
      <c r="VDZ1" s="68"/>
      <c r="VEA1" s="68"/>
      <c r="VEB1" s="68"/>
      <c r="VEC1" s="68"/>
      <c r="VED1" s="68"/>
      <c r="VEE1" s="68"/>
      <c r="VEF1" s="68"/>
      <c r="VEG1" s="68"/>
      <c r="VEH1" s="68"/>
      <c r="VEI1" s="68"/>
      <c r="VEJ1" s="68"/>
      <c r="VEK1" s="68"/>
      <c r="VEL1" s="68"/>
      <c r="VEM1" s="68"/>
      <c r="VEN1" s="68"/>
      <c r="VEO1" s="68"/>
      <c r="VEP1" s="68"/>
      <c r="VEQ1" s="68"/>
      <c r="VER1" s="68"/>
      <c r="VES1" s="68"/>
      <c r="VET1" s="68"/>
      <c r="VEU1" s="68"/>
      <c r="VEV1" s="68"/>
      <c r="VEW1" s="68"/>
      <c r="VEX1" s="68"/>
      <c r="VEY1" s="68"/>
      <c r="VEZ1" s="68"/>
      <c r="VFA1" s="68"/>
      <c r="VFB1" s="68"/>
      <c r="VFC1" s="68"/>
      <c r="VFD1" s="68"/>
      <c r="VFE1" s="68"/>
      <c r="VFF1" s="68"/>
      <c r="VFG1" s="68"/>
      <c r="VFH1" s="68"/>
      <c r="VFI1" s="68"/>
      <c r="VFJ1" s="68"/>
      <c r="VFK1" s="68"/>
      <c r="VFL1" s="68"/>
      <c r="VFM1" s="68"/>
      <c r="VFN1" s="68"/>
      <c r="VFO1" s="68"/>
      <c r="VFP1" s="68"/>
      <c r="VFQ1" s="68"/>
      <c r="VFR1" s="68"/>
      <c r="VFS1" s="68"/>
      <c r="VFT1" s="68"/>
      <c r="VFU1" s="68"/>
      <c r="VFV1" s="68"/>
      <c r="VFW1" s="68"/>
      <c r="VFX1" s="68"/>
      <c r="VFY1" s="68"/>
      <c r="VFZ1" s="68"/>
      <c r="VGA1" s="68"/>
      <c r="VGB1" s="68"/>
      <c r="VGC1" s="68"/>
      <c r="VGD1" s="68"/>
      <c r="VGE1" s="68"/>
      <c r="VGF1" s="68"/>
      <c r="VGG1" s="68"/>
      <c r="VGH1" s="68"/>
      <c r="VGI1" s="68"/>
      <c r="VGJ1" s="68"/>
      <c r="VGK1" s="68"/>
      <c r="VGL1" s="68"/>
      <c r="VGM1" s="68"/>
      <c r="VGN1" s="68"/>
      <c r="VGO1" s="68"/>
      <c r="VGP1" s="68"/>
      <c r="VGQ1" s="68"/>
      <c r="VGR1" s="68"/>
      <c r="VGS1" s="68"/>
      <c r="VGT1" s="68"/>
      <c r="VGU1" s="68"/>
      <c r="VGV1" s="68"/>
      <c r="VGW1" s="68"/>
      <c r="VGX1" s="68"/>
      <c r="VGY1" s="68"/>
      <c r="VGZ1" s="68"/>
      <c r="VHA1" s="68"/>
      <c r="VHB1" s="68"/>
      <c r="VHC1" s="68"/>
      <c r="VHD1" s="68"/>
      <c r="VHE1" s="68"/>
      <c r="VHF1" s="68"/>
      <c r="VHG1" s="68"/>
      <c r="VHH1" s="68"/>
      <c r="VHI1" s="68"/>
      <c r="VHJ1" s="68"/>
      <c r="VHK1" s="68"/>
      <c r="VHL1" s="68"/>
      <c r="VHM1" s="68"/>
      <c r="VHN1" s="68"/>
      <c r="VHO1" s="68"/>
      <c r="VHP1" s="68"/>
      <c r="VHQ1" s="68"/>
      <c r="VHR1" s="68"/>
      <c r="VHS1" s="68"/>
      <c r="VHT1" s="68"/>
      <c r="VHU1" s="68"/>
      <c r="VHV1" s="68"/>
      <c r="VHW1" s="68"/>
      <c r="VHX1" s="68"/>
      <c r="VHY1" s="68"/>
      <c r="VHZ1" s="68"/>
      <c r="VIA1" s="68"/>
      <c r="VIB1" s="68"/>
      <c r="VIC1" s="68"/>
      <c r="VID1" s="68"/>
      <c r="VIE1" s="68"/>
      <c r="VIF1" s="68"/>
      <c r="VIG1" s="68"/>
      <c r="VIH1" s="68"/>
      <c r="VII1" s="68"/>
      <c r="VIJ1" s="68"/>
      <c r="VIK1" s="68"/>
      <c r="VIL1" s="68"/>
      <c r="VIM1" s="68"/>
      <c r="VIN1" s="68"/>
      <c r="VIO1" s="68"/>
      <c r="VIP1" s="68"/>
      <c r="VIQ1" s="68"/>
      <c r="VIR1" s="68"/>
      <c r="VIS1" s="68"/>
      <c r="VIT1" s="68"/>
      <c r="VIU1" s="68"/>
      <c r="VIV1" s="68"/>
      <c r="VIW1" s="68"/>
      <c r="VIX1" s="68"/>
      <c r="VIY1" s="68"/>
      <c r="VIZ1" s="68"/>
      <c r="VJA1" s="68"/>
      <c r="VJB1" s="68"/>
      <c r="VJC1" s="68"/>
      <c r="VJD1" s="68"/>
      <c r="VJE1" s="68"/>
      <c r="VJF1" s="68"/>
      <c r="VJG1" s="68"/>
      <c r="VJH1" s="68"/>
      <c r="VJI1" s="68"/>
      <c r="VJJ1" s="68"/>
      <c r="VJK1" s="68"/>
      <c r="VJL1" s="68"/>
      <c r="VJM1" s="68"/>
      <c r="VJN1" s="68"/>
      <c r="VJO1" s="68"/>
      <c r="VJP1" s="68"/>
      <c r="VJQ1" s="68"/>
      <c r="VJR1" s="68"/>
      <c r="VJS1" s="68"/>
      <c r="VJT1" s="68"/>
      <c r="VJU1" s="68"/>
      <c r="VJV1" s="68"/>
      <c r="VJW1" s="68"/>
      <c r="VJX1" s="68"/>
      <c r="VJY1" s="68"/>
      <c r="VJZ1" s="68"/>
      <c r="VKA1" s="68"/>
      <c r="VKB1" s="68"/>
      <c r="VKC1" s="68"/>
      <c r="VKD1" s="68"/>
      <c r="VKE1" s="68"/>
      <c r="VKF1" s="68"/>
      <c r="VKG1" s="68"/>
      <c r="VKH1" s="68"/>
      <c r="VKI1" s="68"/>
      <c r="VKJ1" s="68"/>
      <c r="VKK1" s="68"/>
      <c r="VKL1" s="68"/>
      <c r="VKM1" s="68"/>
      <c r="VKN1" s="68"/>
      <c r="VKO1" s="68"/>
      <c r="VKP1" s="68"/>
      <c r="VKQ1" s="68"/>
      <c r="VKR1" s="68"/>
      <c r="VKS1" s="68"/>
      <c r="VKT1" s="68"/>
      <c r="VKU1" s="68"/>
      <c r="VKV1" s="68"/>
      <c r="VKW1" s="68"/>
      <c r="VKX1" s="68"/>
      <c r="VKY1" s="68"/>
      <c r="VKZ1" s="68"/>
      <c r="VLA1" s="68"/>
      <c r="VLB1" s="68"/>
      <c r="VLC1" s="68"/>
      <c r="VLD1" s="68"/>
      <c r="VLE1" s="68"/>
      <c r="VLF1" s="68"/>
      <c r="VLG1" s="68"/>
      <c r="VLH1" s="68"/>
      <c r="VLI1" s="68"/>
      <c r="VLJ1" s="68"/>
      <c r="VLK1" s="68"/>
      <c r="VLL1" s="68"/>
      <c r="VLM1" s="68"/>
      <c r="VLN1" s="68"/>
      <c r="VLO1" s="68"/>
      <c r="VLP1" s="68"/>
      <c r="VLQ1" s="68"/>
      <c r="VLR1" s="68"/>
      <c r="VLS1" s="68"/>
      <c r="VLT1" s="68"/>
      <c r="VLU1" s="68"/>
      <c r="VLV1" s="68"/>
      <c r="VLW1" s="68"/>
      <c r="VLX1" s="68"/>
      <c r="VLY1" s="68"/>
      <c r="VLZ1" s="68"/>
      <c r="VMA1" s="68"/>
      <c r="VMB1" s="68"/>
      <c r="VMC1" s="68"/>
      <c r="VMD1" s="68"/>
      <c r="VME1" s="68"/>
      <c r="VMF1" s="68"/>
      <c r="VMG1" s="68"/>
      <c r="VMH1" s="68"/>
      <c r="VMI1" s="68"/>
      <c r="VMJ1" s="68"/>
      <c r="VMK1" s="68"/>
      <c r="VML1" s="68"/>
      <c r="VMM1" s="68"/>
      <c r="VMN1" s="68"/>
      <c r="VMO1" s="68"/>
      <c r="VMP1" s="68"/>
      <c r="VMQ1" s="68"/>
      <c r="VMR1" s="68"/>
      <c r="VMS1" s="68"/>
      <c r="VMT1" s="68"/>
      <c r="VMU1" s="68"/>
      <c r="VMV1" s="68"/>
      <c r="VMW1" s="68"/>
      <c r="VMX1" s="68"/>
      <c r="VMY1" s="68"/>
      <c r="VMZ1" s="68"/>
      <c r="VNA1" s="68"/>
      <c r="VNB1" s="68"/>
      <c r="VNC1" s="68"/>
      <c r="VND1" s="68"/>
      <c r="VNE1" s="68"/>
      <c r="VNF1" s="68"/>
      <c r="VNG1" s="68"/>
      <c r="VNH1" s="68"/>
      <c r="VNI1" s="68"/>
      <c r="VNJ1" s="68"/>
      <c r="VNK1" s="68"/>
      <c r="VNL1" s="68"/>
      <c r="VNM1" s="68"/>
      <c r="VNN1" s="68"/>
      <c r="VNO1" s="68"/>
      <c r="VNP1" s="68"/>
      <c r="VNQ1" s="68"/>
      <c r="VNR1" s="68"/>
      <c r="VNS1" s="68"/>
      <c r="VNT1" s="68"/>
      <c r="VNU1" s="68"/>
      <c r="VNV1" s="68"/>
      <c r="VNW1" s="68"/>
      <c r="VNX1" s="68"/>
      <c r="VNY1" s="68"/>
      <c r="VNZ1" s="68"/>
      <c r="VOA1" s="68"/>
      <c r="VOB1" s="68"/>
      <c r="VOC1" s="68"/>
      <c r="VOD1" s="68"/>
      <c r="VOE1" s="68"/>
      <c r="VOF1" s="68"/>
      <c r="VOG1" s="68"/>
      <c r="VOH1" s="68"/>
      <c r="VOI1" s="68"/>
      <c r="VOJ1" s="68"/>
      <c r="VOK1" s="68"/>
      <c r="VOL1" s="68"/>
      <c r="VOM1" s="68"/>
      <c r="VON1" s="68"/>
      <c r="VOO1" s="68"/>
      <c r="VOP1" s="68"/>
      <c r="VOQ1" s="68"/>
      <c r="VOR1" s="68"/>
      <c r="VOS1" s="68"/>
      <c r="VOT1" s="68"/>
      <c r="VOU1" s="68"/>
      <c r="VOV1" s="68"/>
      <c r="VOW1" s="68"/>
      <c r="VOX1" s="68"/>
      <c r="VOY1" s="68"/>
      <c r="VOZ1" s="68"/>
      <c r="VPA1" s="68"/>
      <c r="VPB1" s="68"/>
      <c r="VPC1" s="68"/>
      <c r="VPD1" s="68"/>
      <c r="VPE1" s="68"/>
      <c r="VPF1" s="68"/>
      <c r="VPG1" s="68"/>
      <c r="VPH1" s="68"/>
      <c r="VPI1" s="68"/>
      <c r="VPJ1" s="68"/>
      <c r="VPK1" s="68"/>
      <c r="VPL1" s="68"/>
      <c r="VPM1" s="68"/>
      <c r="VPN1" s="68"/>
      <c r="VPO1" s="68"/>
      <c r="VPP1" s="68"/>
      <c r="VPQ1" s="68"/>
      <c r="VPR1" s="68"/>
      <c r="VPS1" s="68"/>
      <c r="VPT1" s="68"/>
      <c r="VPU1" s="68"/>
      <c r="VPV1" s="68"/>
      <c r="VPW1" s="68"/>
      <c r="VPX1" s="68"/>
      <c r="VPY1" s="68"/>
      <c r="VPZ1" s="68"/>
      <c r="VQA1" s="68"/>
      <c r="VQB1" s="68"/>
      <c r="VQC1" s="68"/>
      <c r="VQD1" s="68"/>
      <c r="VQE1" s="68"/>
      <c r="VQF1" s="68"/>
      <c r="VQG1" s="68"/>
      <c r="VQH1" s="68"/>
      <c r="VQI1" s="68"/>
      <c r="VQJ1" s="68"/>
      <c r="VQK1" s="68"/>
      <c r="VQL1" s="68"/>
      <c r="VQM1" s="68"/>
      <c r="VQN1" s="68"/>
      <c r="VQO1" s="68"/>
      <c r="VQP1" s="68"/>
      <c r="VQQ1" s="68"/>
      <c r="VQR1" s="68"/>
      <c r="VQS1" s="68"/>
      <c r="VQT1" s="68"/>
      <c r="VQU1" s="68"/>
      <c r="VQV1" s="68"/>
      <c r="VQW1" s="68"/>
      <c r="VQX1" s="68"/>
      <c r="VQY1" s="68"/>
      <c r="VQZ1" s="68"/>
      <c r="VRA1" s="68"/>
      <c r="VRB1" s="68"/>
      <c r="VRC1" s="68"/>
      <c r="VRD1" s="68"/>
      <c r="VRE1" s="68"/>
      <c r="VRF1" s="68"/>
      <c r="VRG1" s="68"/>
      <c r="VRH1" s="68"/>
      <c r="VRI1" s="68"/>
      <c r="VRJ1" s="68"/>
      <c r="VRK1" s="68"/>
      <c r="VRL1" s="68"/>
      <c r="VRM1" s="68"/>
      <c r="VRN1" s="68"/>
      <c r="VRO1" s="68"/>
      <c r="VRP1" s="68"/>
      <c r="VRQ1" s="68"/>
      <c r="VRR1" s="68"/>
      <c r="VRS1" s="68"/>
      <c r="VRT1" s="68"/>
      <c r="VRU1" s="68"/>
      <c r="VRV1" s="68"/>
      <c r="VRW1" s="68"/>
      <c r="VRX1" s="68"/>
      <c r="VRY1" s="68"/>
      <c r="VRZ1" s="68"/>
      <c r="VSA1" s="68"/>
      <c r="VSB1" s="68"/>
      <c r="VSC1" s="68"/>
      <c r="VSD1" s="68"/>
      <c r="VSE1" s="68"/>
      <c r="VSF1" s="68"/>
      <c r="VSG1" s="68"/>
      <c r="VSH1" s="68"/>
      <c r="VSI1" s="68"/>
      <c r="VSJ1" s="68"/>
      <c r="VSK1" s="68"/>
      <c r="VSL1" s="68"/>
      <c r="VSM1" s="68"/>
      <c r="VSN1" s="68"/>
      <c r="VSO1" s="68"/>
      <c r="VSP1" s="68"/>
      <c r="VSQ1" s="68"/>
      <c r="VSR1" s="68"/>
      <c r="VSS1" s="68"/>
      <c r="VST1" s="68"/>
      <c r="VSU1" s="68"/>
      <c r="VSV1" s="68"/>
      <c r="VSW1" s="68"/>
      <c r="VSX1" s="68"/>
      <c r="VSY1" s="68"/>
      <c r="VSZ1" s="68"/>
      <c r="VTA1" s="68"/>
      <c r="VTB1" s="68"/>
      <c r="VTC1" s="68"/>
      <c r="VTD1" s="68"/>
      <c r="VTE1" s="68"/>
      <c r="VTF1" s="68"/>
      <c r="VTG1" s="68"/>
      <c r="VTH1" s="68"/>
      <c r="VTI1" s="68"/>
      <c r="VTJ1" s="68"/>
      <c r="VTK1" s="68"/>
      <c r="VTL1" s="68"/>
      <c r="VTM1" s="68"/>
      <c r="VTN1" s="68"/>
      <c r="VTO1" s="68"/>
      <c r="VTP1" s="68"/>
      <c r="VTQ1" s="68"/>
      <c r="VTR1" s="68"/>
      <c r="VTS1" s="68"/>
      <c r="VTT1" s="68"/>
      <c r="VTU1" s="68"/>
      <c r="VTV1" s="68"/>
      <c r="VTW1" s="68"/>
      <c r="VTX1" s="68"/>
      <c r="VTY1" s="68"/>
      <c r="VTZ1" s="68"/>
      <c r="VUA1" s="68"/>
      <c r="VUB1" s="68"/>
      <c r="VUC1" s="68"/>
      <c r="VUD1" s="68"/>
      <c r="VUE1" s="68"/>
      <c r="VUF1" s="68"/>
      <c r="VUG1" s="68"/>
      <c r="VUH1" s="68"/>
      <c r="VUI1" s="68"/>
      <c r="VUJ1" s="68"/>
      <c r="VUK1" s="68"/>
      <c r="VUL1" s="68"/>
      <c r="VUM1" s="68"/>
      <c r="VUN1" s="68"/>
      <c r="VUO1" s="68"/>
      <c r="VUP1" s="68"/>
      <c r="VUQ1" s="68"/>
      <c r="VUR1" s="68"/>
      <c r="VUS1" s="68"/>
      <c r="VUT1" s="68"/>
      <c r="VUU1" s="68"/>
      <c r="VUV1" s="68"/>
      <c r="VUW1" s="68"/>
      <c r="VUX1" s="68"/>
      <c r="VUY1" s="68"/>
      <c r="VUZ1" s="68"/>
      <c r="VVA1" s="68"/>
      <c r="VVB1" s="68"/>
      <c r="VVC1" s="68"/>
      <c r="VVD1" s="68"/>
      <c r="VVE1" s="68"/>
      <c r="VVF1" s="68"/>
      <c r="VVG1" s="68"/>
      <c r="VVH1" s="68"/>
      <c r="VVI1" s="68"/>
      <c r="VVJ1" s="68"/>
      <c r="VVK1" s="68"/>
      <c r="VVL1" s="68"/>
      <c r="VVM1" s="68"/>
      <c r="VVN1" s="68"/>
      <c r="VVO1" s="68"/>
      <c r="VVP1" s="68"/>
      <c r="VVQ1" s="68"/>
      <c r="VVR1" s="68"/>
      <c r="VVS1" s="68"/>
      <c r="VVT1" s="68"/>
      <c r="VVU1" s="68"/>
      <c r="VVV1" s="68"/>
      <c r="VVW1" s="68"/>
      <c r="VVX1" s="68"/>
      <c r="VVY1" s="68"/>
      <c r="VVZ1" s="68"/>
      <c r="VWA1" s="68"/>
      <c r="VWB1" s="68"/>
      <c r="VWC1" s="68"/>
      <c r="VWD1" s="68"/>
      <c r="VWE1" s="68"/>
      <c r="VWF1" s="68"/>
      <c r="VWG1" s="68"/>
      <c r="VWH1" s="68"/>
      <c r="VWI1" s="68"/>
      <c r="VWJ1" s="68"/>
      <c r="VWK1" s="68"/>
      <c r="VWL1" s="68"/>
      <c r="VWM1" s="68"/>
      <c r="VWN1" s="68"/>
      <c r="VWO1" s="68"/>
      <c r="VWP1" s="68"/>
      <c r="VWQ1" s="68"/>
      <c r="VWR1" s="68"/>
      <c r="VWS1" s="68"/>
      <c r="VWT1" s="68"/>
      <c r="VWU1" s="68"/>
      <c r="VWV1" s="68"/>
      <c r="VWW1" s="68"/>
      <c r="VWX1" s="68"/>
      <c r="VWY1" s="68"/>
      <c r="VWZ1" s="68"/>
      <c r="VXA1" s="68"/>
      <c r="VXB1" s="68"/>
      <c r="VXC1" s="68"/>
      <c r="VXD1" s="68"/>
      <c r="VXE1" s="68"/>
      <c r="VXF1" s="68"/>
      <c r="VXG1" s="68"/>
      <c r="VXH1" s="68"/>
      <c r="VXI1" s="68"/>
      <c r="VXJ1" s="68"/>
      <c r="VXK1" s="68"/>
      <c r="VXL1" s="68"/>
      <c r="VXM1" s="68"/>
      <c r="VXN1" s="68"/>
      <c r="VXO1" s="68"/>
      <c r="VXP1" s="68"/>
      <c r="VXQ1" s="68"/>
      <c r="VXR1" s="68"/>
      <c r="VXS1" s="68"/>
      <c r="VXT1" s="68"/>
      <c r="VXU1" s="68"/>
      <c r="VXV1" s="68"/>
      <c r="VXW1" s="68"/>
      <c r="VXX1" s="68"/>
      <c r="VXY1" s="68"/>
      <c r="VXZ1" s="68"/>
      <c r="VYA1" s="68"/>
      <c r="VYB1" s="68"/>
      <c r="VYC1" s="68"/>
      <c r="VYD1" s="68"/>
      <c r="VYE1" s="68"/>
      <c r="VYF1" s="68"/>
      <c r="VYG1" s="68"/>
      <c r="VYH1" s="68"/>
      <c r="VYI1" s="68"/>
      <c r="VYJ1" s="68"/>
      <c r="VYK1" s="68"/>
      <c r="VYL1" s="68"/>
      <c r="VYM1" s="68"/>
      <c r="VYN1" s="68"/>
      <c r="VYO1" s="68"/>
      <c r="VYP1" s="68"/>
      <c r="VYQ1" s="68"/>
      <c r="VYR1" s="68"/>
      <c r="VYS1" s="68"/>
      <c r="VYT1" s="68"/>
      <c r="VYU1" s="68"/>
      <c r="VYV1" s="68"/>
      <c r="VYW1" s="68"/>
      <c r="VYX1" s="68"/>
      <c r="VYY1" s="68"/>
      <c r="VYZ1" s="68"/>
      <c r="VZA1" s="68"/>
      <c r="VZB1" s="68"/>
      <c r="VZC1" s="68"/>
      <c r="VZD1" s="68"/>
      <c r="VZE1" s="68"/>
      <c r="VZF1" s="68"/>
      <c r="VZG1" s="68"/>
      <c r="VZH1" s="68"/>
      <c r="VZI1" s="68"/>
      <c r="VZJ1" s="68"/>
      <c r="VZK1" s="68"/>
      <c r="VZL1" s="68"/>
      <c r="VZM1" s="68"/>
      <c r="VZN1" s="68"/>
      <c r="VZO1" s="68"/>
      <c r="VZP1" s="68"/>
      <c r="VZQ1" s="68"/>
      <c r="VZR1" s="68"/>
      <c r="VZS1" s="68"/>
      <c r="VZT1" s="68"/>
      <c r="VZU1" s="68"/>
      <c r="VZV1" s="68"/>
      <c r="VZW1" s="68"/>
      <c r="VZX1" s="68"/>
      <c r="VZY1" s="68"/>
      <c r="VZZ1" s="68"/>
      <c r="WAA1" s="68"/>
      <c r="WAB1" s="68"/>
      <c r="WAC1" s="68"/>
      <c r="WAD1" s="68"/>
      <c r="WAE1" s="68"/>
      <c r="WAF1" s="68"/>
      <c r="WAG1" s="68"/>
      <c r="WAH1" s="68"/>
      <c r="WAI1" s="68"/>
      <c r="WAJ1" s="68"/>
      <c r="WAK1" s="68"/>
      <c r="WAL1" s="68"/>
      <c r="WAM1" s="68"/>
      <c r="WAN1" s="68"/>
      <c r="WAO1" s="68"/>
      <c r="WAP1" s="68"/>
      <c r="WAQ1" s="68"/>
      <c r="WAR1" s="68"/>
      <c r="WAS1" s="68"/>
      <c r="WAT1" s="68"/>
      <c r="WAU1" s="68"/>
      <c r="WAV1" s="68"/>
      <c r="WAW1" s="68"/>
      <c r="WAX1" s="68"/>
      <c r="WAY1" s="68"/>
      <c r="WAZ1" s="68"/>
      <c r="WBA1" s="68"/>
      <c r="WBB1" s="68"/>
      <c r="WBC1" s="68"/>
      <c r="WBD1" s="68"/>
      <c r="WBE1" s="68"/>
      <c r="WBF1" s="68"/>
      <c r="WBG1" s="68"/>
      <c r="WBH1" s="68"/>
      <c r="WBI1" s="68"/>
      <c r="WBJ1" s="68"/>
      <c r="WBK1" s="68"/>
      <c r="WBL1" s="68"/>
      <c r="WBM1" s="68"/>
      <c r="WBN1" s="68"/>
      <c r="WBO1" s="68"/>
      <c r="WBP1" s="68"/>
      <c r="WBQ1" s="68"/>
      <c r="WBR1" s="68"/>
      <c r="WBS1" s="68"/>
      <c r="WBT1" s="68"/>
      <c r="WBU1" s="68"/>
      <c r="WBV1" s="68"/>
      <c r="WBW1" s="68"/>
      <c r="WBX1" s="68"/>
      <c r="WBY1" s="68"/>
      <c r="WBZ1" s="68"/>
      <c r="WCA1" s="68"/>
      <c r="WCB1" s="68"/>
      <c r="WCC1" s="68"/>
      <c r="WCD1" s="68"/>
      <c r="WCE1" s="68"/>
      <c r="WCF1" s="68"/>
      <c r="WCG1" s="68"/>
      <c r="WCH1" s="68"/>
      <c r="WCI1" s="68"/>
      <c r="WCJ1" s="68"/>
      <c r="WCK1" s="68"/>
      <c r="WCL1" s="68"/>
      <c r="WCM1" s="68"/>
      <c r="WCN1" s="68"/>
      <c r="WCO1" s="68"/>
      <c r="WCP1" s="68"/>
      <c r="WCQ1" s="68"/>
      <c r="WCR1" s="68"/>
      <c r="WCS1" s="68"/>
      <c r="WCT1" s="68"/>
      <c r="WCU1" s="68"/>
      <c r="WCV1" s="68"/>
      <c r="WCW1" s="68"/>
      <c r="WCX1" s="68"/>
      <c r="WCY1" s="68"/>
      <c r="WCZ1" s="68"/>
      <c r="WDA1" s="68"/>
      <c r="WDB1" s="68"/>
      <c r="WDC1" s="68"/>
      <c r="WDD1" s="68"/>
      <c r="WDE1" s="68"/>
      <c r="WDF1" s="68"/>
      <c r="WDG1" s="68"/>
      <c r="WDH1" s="68"/>
      <c r="WDI1" s="68"/>
      <c r="WDJ1" s="68"/>
      <c r="WDK1" s="68"/>
      <c r="WDL1" s="68"/>
      <c r="WDM1" s="68"/>
      <c r="WDN1" s="68"/>
      <c r="WDO1" s="68"/>
      <c r="WDP1" s="68"/>
      <c r="WDQ1" s="68"/>
      <c r="WDR1" s="68"/>
      <c r="WDS1" s="68"/>
      <c r="WDT1" s="68"/>
      <c r="WDU1" s="68"/>
      <c r="WDV1" s="68"/>
      <c r="WDW1" s="68"/>
      <c r="WDX1" s="68"/>
      <c r="WDY1" s="68"/>
      <c r="WDZ1" s="68"/>
      <c r="WEA1" s="68"/>
      <c r="WEB1" s="68"/>
      <c r="WEC1" s="68"/>
      <c r="WED1" s="68"/>
      <c r="WEE1" s="68"/>
      <c r="WEF1" s="68"/>
      <c r="WEG1" s="68"/>
      <c r="WEH1" s="68"/>
      <c r="WEI1" s="68"/>
      <c r="WEJ1" s="68"/>
      <c r="WEK1" s="68"/>
      <c r="WEL1" s="68"/>
      <c r="WEM1" s="68"/>
      <c r="WEN1" s="68"/>
      <c r="WEO1" s="68"/>
      <c r="WEP1" s="68"/>
      <c r="WEQ1" s="68"/>
      <c r="WER1" s="68"/>
      <c r="WES1" s="68"/>
      <c r="WET1" s="68"/>
      <c r="WEU1" s="68"/>
      <c r="WEV1" s="68"/>
      <c r="WEW1" s="68"/>
      <c r="WEX1" s="68"/>
      <c r="WEY1" s="68"/>
      <c r="WEZ1" s="68"/>
      <c r="WFA1" s="68"/>
      <c r="WFB1" s="68"/>
      <c r="WFC1" s="68"/>
      <c r="WFD1" s="68"/>
      <c r="WFE1" s="68"/>
      <c r="WFF1" s="68"/>
      <c r="WFG1" s="68"/>
      <c r="WFH1" s="68"/>
      <c r="WFI1" s="68"/>
      <c r="WFJ1" s="68"/>
      <c r="WFK1" s="68"/>
      <c r="WFL1" s="68"/>
      <c r="WFM1" s="68"/>
      <c r="WFN1" s="68"/>
      <c r="WFO1" s="68"/>
      <c r="WFP1" s="68"/>
      <c r="WFQ1" s="68"/>
      <c r="WFR1" s="68"/>
      <c r="WFS1" s="68"/>
      <c r="WFT1" s="68"/>
      <c r="WFU1" s="68"/>
      <c r="WFV1" s="68"/>
      <c r="WFW1" s="68"/>
      <c r="WFX1" s="68"/>
      <c r="WFY1" s="68"/>
      <c r="WFZ1" s="68"/>
      <c r="WGA1" s="68"/>
      <c r="WGB1" s="68"/>
      <c r="WGC1" s="68"/>
      <c r="WGD1" s="68"/>
      <c r="WGE1" s="68"/>
      <c r="WGF1" s="68"/>
      <c r="WGG1" s="68"/>
      <c r="WGH1" s="68"/>
      <c r="WGI1" s="68"/>
      <c r="WGJ1" s="68"/>
      <c r="WGK1" s="68"/>
      <c r="WGL1" s="68"/>
      <c r="WGM1" s="68"/>
      <c r="WGN1" s="68"/>
      <c r="WGO1" s="68"/>
      <c r="WGP1" s="68"/>
      <c r="WGQ1" s="68"/>
      <c r="WGR1" s="68"/>
      <c r="WGS1" s="68"/>
      <c r="WGT1" s="68"/>
      <c r="WGU1" s="68"/>
      <c r="WGV1" s="68"/>
      <c r="WGW1" s="68"/>
      <c r="WGX1" s="68"/>
      <c r="WGY1" s="68"/>
      <c r="WGZ1" s="68"/>
      <c r="WHA1" s="68"/>
      <c r="WHB1" s="68"/>
      <c r="WHC1" s="68"/>
      <c r="WHD1" s="68"/>
      <c r="WHE1" s="68"/>
      <c r="WHF1" s="68"/>
      <c r="WHG1" s="68"/>
      <c r="WHH1" s="68"/>
      <c r="WHI1" s="68"/>
      <c r="WHJ1" s="68"/>
      <c r="WHK1" s="68"/>
      <c r="WHL1" s="68"/>
      <c r="WHM1" s="68"/>
      <c r="WHN1" s="68"/>
      <c r="WHO1" s="68"/>
      <c r="WHP1" s="68"/>
      <c r="WHQ1" s="68"/>
      <c r="WHR1" s="68"/>
      <c r="WHS1" s="68"/>
      <c r="WHT1" s="68"/>
      <c r="WHU1" s="68"/>
      <c r="WHV1" s="68"/>
      <c r="WHW1" s="68"/>
      <c r="WHX1" s="68"/>
      <c r="WHY1" s="68"/>
      <c r="WHZ1" s="68"/>
      <c r="WIA1" s="68"/>
      <c r="WIB1" s="68"/>
      <c r="WIC1" s="68"/>
      <c r="WID1" s="68"/>
      <c r="WIE1" s="68"/>
      <c r="WIF1" s="68"/>
      <c r="WIG1" s="68"/>
      <c r="WIH1" s="68"/>
      <c r="WII1" s="68"/>
      <c r="WIJ1" s="68"/>
      <c r="WIK1" s="68"/>
      <c r="WIL1" s="68"/>
      <c r="WIM1" s="68"/>
      <c r="WIN1" s="68"/>
      <c r="WIO1" s="68"/>
      <c r="WIP1" s="68"/>
      <c r="WIQ1" s="68"/>
      <c r="WIR1" s="68"/>
      <c r="WIS1" s="68"/>
      <c r="WIT1" s="68"/>
      <c r="WIU1" s="68"/>
      <c r="WIV1" s="68"/>
      <c r="WIW1" s="68"/>
      <c r="WIX1" s="68"/>
      <c r="WIY1" s="68"/>
      <c r="WIZ1" s="68"/>
      <c r="WJA1" s="68"/>
      <c r="WJB1" s="68"/>
      <c r="WJC1" s="68"/>
      <c r="WJD1" s="68"/>
      <c r="WJE1" s="68"/>
      <c r="WJF1" s="68"/>
      <c r="WJG1" s="68"/>
      <c r="WJH1" s="68"/>
      <c r="WJI1" s="68"/>
      <c r="WJJ1" s="68"/>
      <c r="WJK1" s="68"/>
      <c r="WJL1" s="68"/>
      <c r="WJM1" s="68"/>
      <c r="WJN1" s="68"/>
      <c r="WJO1" s="68"/>
      <c r="WJP1" s="68"/>
      <c r="WJQ1" s="68"/>
      <c r="WJR1" s="68"/>
      <c r="WJS1" s="68"/>
      <c r="WJT1" s="68"/>
      <c r="WJU1" s="68"/>
      <c r="WJV1" s="68"/>
      <c r="WJW1" s="68"/>
      <c r="WJX1" s="68"/>
      <c r="WJY1" s="68"/>
      <c r="WJZ1" s="68"/>
      <c r="WKA1" s="68"/>
      <c r="WKB1" s="68"/>
      <c r="WKC1" s="68"/>
      <c r="WKD1" s="68"/>
      <c r="WKE1" s="68"/>
      <c r="WKF1" s="68"/>
      <c r="WKG1" s="68"/>
      <c r="WKH1" s="68"/>
      <c r="WKI1" s="68"/>
      <c r="WKJ1" s="68"/>
      <c r="WKK1" s="68"/>
      <c r="WKL1" s="68"/>
      <c r="WKM1" s="68"/>
      <c r="WKN1" s="68"/>
      <c r="WKO1" s="68"/>
      <c r="WKP1" s="68"/>
      <c r="WKQ1" s="68"/>
      <c r="WKR1" s="68"/>
      <c r="WKS1" s="68"/>
      <c r="WKT1" s="68"/>
      <c r="WKU1" s="68"/>
      <c r="WKV1" s="68"/>
      <c r="WKW1" s="68"/>
      <c r="WKX1" s="68"/>
      <c r="WKY1" s="68"/>
      <c r="WKZ1" s="68"/>
      <c r="WLA1" s="68"/>
      <c r="WLB1" s="68"/>
      <c r="WLC1" s="68"/>
      <c r="WLD1" s="68"/>
      <c r="WLE1" s="68"/>
      <c r="WLF1" s="68"/>
      <c r="WLG1" s="68"/>
      <c r="WLH1" s="68"/>
      <c r="WLI1" s="68"/>
      <c r="WLJ1" s="68"/>
      <c r="WLK1" s="68"/>
      <c r="WLL1" s="68"/>
      <c r="WLM1" s="68"/>
      <c r="WLN1" s="68"/>
      <c r="WLO1" s="68"/>
      <c r="WLP1" s="68"/>
      <c r="WLQ1" s="68"/>
      <c r="WLR1" s="68"/>
      <c r="WLS1" s="68"/>
      <c r="WLT1" s="68"/>
      <c r="WLU1" s="68"/>
      <c r="WLV1" s="68"/>
      <c r="WLW1" s="68"/>
      <c r="WLX1" s="68"/>
      <c r="WLY1" s="68"/>
      <c r="WLZ1" s="68"/>
      <c r="WMA1" s="68"/>
      <c r="WMB1" s="68"/>
      <c r="WMC1" s="68"/>
      <c r="WMD1" s="68"/>
      <c r="WME1" s="68"/>
      <c r="WMF1" s="68"/>
      <c r="WMG1" s="68"/>
      <c r="WMH1" s="68"/>
      <c r="WMI1" s="68"/>
      <c r="WMJ1" s="68"/>
      <c r="WMK1" s="68"/>
      <c r="WML1" s="68"/>
      <c r="WMM1" s="68"/>
      <c r="WMN1" s="68"/>
      <c r="WMO1" s="68"/>
      <c r="WMP1" s="68"/>
      <c r="WMQ1" s="68"/>
      <c r="WMR1" s="68"/>
      <c r="WMS1" s="68"/>
      <c r="WMT1" s="68"/>
      <c r="WMU1" s="68"/>
      <c r="WMV1" s="68"/>
      <c r="WMW1" s="68"/>
      <c r="WMX1" s="68"/>
      <c r="WMY1" s="68"/>
      <c r="WMZ1" s="68"/>
      <c r="WNA1" s="68"/>
      <c r="WNB1" s="68"/>
      <c r="WNC1" s="68"/>
      <c r="WND1" s="68"/>
      <c r="WNE1" s="68"/>
      <c r="WNF1" s="68"/>
      <c r="WNG1" s="68"/>
      <c r="WNH1" s="68"/>
      <c r="WNI1" s="68"/>
      <c r="WNJ1" s="68"/>
      <c r="WNK1" s="68"/>
      <c r="WNL1" s="68"/>
      <c r="WNM1" s="68"/>
      <c r="WNN1" s="68"/>
      <c r="WNO1" s="68"/>
      <c r="WNP1" s="68"/>
      <c r="WNQ1" s="68"/>
      <c r="WNR1" s="68"/>
      <c r="WNS1" s="68"/>
      <c r="WNT1" s="68"/>
      <c r="WNU1" s="68"/>
      <c r="WNV1" s="68"/>
      <c r="WNW1" s="68"/>
      <c r="WNX1" s="68"/>
      <c r="WNY1" s="68"/>
      <c r="WNZ1" s="68"/>
      <c r="WOA1" s="68"/>
      <c r="WOB1" s="68"/>
      <c r="WOC1" s="68"/>
      <c r="WOD1" s="68"/>
      <c r="WOE1" s="68"/>
      <c r="WOF1" s="68"/>
      <c r="WOG1" s="68"/>
      <c r="WOH1" s="68"/>
      <c r="WOI1" s="68"/>
      <c r="WOJ1" s="68"/>
      <c r="WOK1" s="68"/>
      <c r="WOL1" s="68"/>
      <c r="WOM1" s="68"/>
      <c r="WON1" s="68"/>
      <c r="WOO1" s="68"/>
      <c r="WOP1" s="68"/>
      <c r="WOQ1" s="68"/>
      <c r="WOR1" s="68"/>
      <c r="WOS1" s="68"/>
      <c r="WOT1" s="68"/>
      <c r="WOU1" s="68"/>
      <c r="WOV1" s="68"/>
      <c r="WOW1" s="68"/>
      <c r="WOX1" s="68"/>
      <c r="WOY1" s="68"/>
      <c r="WOZ1" s="68"/>
      <c r="WPA1" s="68"/>
      <c r="WPB1" s="68"/>
      <c r="WPC1" s="68"/>
      <c r="WPD1" s="68"/>
      <c r="WPE1" s="68"/>
      <c r="WPF1" s="68"/>
      <c r="WPG1" s="68"/>
      <c r="WPH1" s="68"/>
      <c r="WPI1" s="68"/>
      <c r="WPJ1" s="68"/>
      <c r="WPK1" s="68"/>
      <c r="WPL1" s="68"/>
      <c r="WPM1" s="68"/>
      <c r="WPN1" s="68"/>
      <c r="WPO1" s="68"/>
      <c r="WPP1" s="68"/>
      <c r="WPQ1" s="68"/>
      <c r="WPR1" s="68"/>
      <c r="WPS1" s="68"/>
      <c r="WPT1" s="68"/>
      <c r="WPU1" s="68"/>
      <c r="WPV1" s="68"/>
      <c r="WPW1" s="68"/>
      <c r="WPX1" s="68"/>
      <c r="WPY1" s="68"/>
      <c r="WPZ1" s="68"/>
      <c r="WQA1" s="68"/>
      <c r="WQB1" s="68"/>
      <c r="WQC1" s="68"/>
      <c r="WQD1" s="68"/>
      <c r="WQE1" s="68"/>
      <c r="WQF1" s="68"/>
      <c r="WQG1" s="68"/>
      <c r="WQH1" s="68"/>
      <c r="WQI1" s="68"/>
      <c r="WQJ1" s="68"/>
      <c r="WQK1" s="68"/>
      <c r="WQL1" s="68"/>
      <c r="WQM1" s="68"/>
      <c r="WQN1" s="68"/>
      <c r="WQO1" s="68"/>
      <c r="WQP1" s="68"/>
      <c r="WQQ1" s="68"/>
      <c r="WQR1" s="68"/>
      <c r="WQS1" s="68"/>
      <c r="WQT1" s="68"/>
      <c r="WQU1" s="68"/>
      <c r="WQV1" s="68"/>
      <c r="WQW1" s="68"/>
      <c r="WQX1" s="68"/>
      <c r="WQY1" s="68"/>
      <c r="WQZ1" s="68"/>
      <c r="WRA1" s="68"/>
      <c r="WRB1" s="68"/>
      <c r="WRC1" s="68"/>
      <c r="WRD1" s="68"/>
      <c r="WRE1" s="68"/>
      <c r="WRF1" s="68"/>
      <c r="WRG1" s="68"/>
      <c r="WRH1" s="68"/>
      <c r="WRI1" s="68"/>
      <c r="WRJ1" s="68"/>
      <c r="WRK1" s="68"/>
      <c r="WRL1" s="68"/>
      <c r="WRM1" s="68"/>
      <c r="WRN1" s="68"/>
      <c r="WRO1" s="68"/>
      <c r="WRP1" s="68"/>
      <c r="WRQ1" s="68"/>
      <c r="WRR1" s="68"/>
      <c r="WRS1" s="68"/>
      <c r="WRT1" s="68"/>
      <c r="WRU1" s="68"/>
      <c r="WRV1" s="68"/>
      <c r="WRW1" s="68"/>
      <c r="WRX1" s="68"/>
      <c r="WRY1" s="68"/>
      <c r="WRZ1" s="68"/>
      <c r="WSA1" s="68"/>
      <c r="WSB1" s="68"/>
      <c r="WSC1" s="68"/>
      <c r="WSD1" s="68"/>
      <c r="WSE1" s="68"/>
      <c r="WSF1" s="68"/>
      <c r="WSG1" s="68"/>
      <c r="WSH1" s="68"/>
      <c r="WSI1" s="68"/>
      <c r="WSJ1" s="68"/>
      <c r="WSK1" s="68"/>
      <c r="WSL1" s="68"/>
      <c r="WSM1" s="68"/>
      <c r="WSN1" s="68"/>
      <c r="WSO1" s="68"/>
      <c r="WSP1" s="68"/>
      <c r="WSQ1" s="68"/>
      <c r="WSR1" s="68"/>
      <c r="WSS1" s="68"/>
      <c r="WST1" s="68"/>
      <c r="WSU1" s="68"/>
      <c r="WSV1" s="68"/>
      <c r="WSW1" s="68"/>
      <c r="WSX1" s="68"/>
      <c r="WSY1" s="68"/>
      <c r="WSZ1" s="68"/>
      <c r="WTA1" s="68"/>
      <c r="WTB1" s="68"/>
      <c r="WTC1" s="68"/>
      <c r="WTD1" s="68"/>
      <c r="WTE1" s="68"/>
      <c r="WTF1" s="68"/>
      <c r="WTG1" s="68"/>
      <c r="WTH1" s="68"/>
      <c r="WTI1" s="68"/>
      <c r="WTJ1" s="68"/>
      <c r="WTK1" s="68"/>
      <c r="WTL1" s="68"/>
      <c r="WTM1" s="68"/>
      <c r="WTN1" s="68"/>
      <c r="WTO1" s="68"/>
      <c r="WTP1" s="68"/>
      <c r="WTQ1" s="68"/>
      <c r="WTR1" s="68"/>
      <c r="WTS1" s="68"/>
      <c r="WTT1" s="68"/>
      <c r="WTU1" s="68"/>
      <c r="WTV1" s="68"/>
      <c r="WTW1" s="68"/>
      <c r="WTX1" s="68"/>
      <c r="WTY1" s="68"/>
      <c r="WTZ1" s="68"/>
      <c r="WUA1" s="68"/>
      <c r="WUB1" s="68"/>
      <c r="WUC1" s="68"/>
      <c r="WUD1" s="68"/>
      <c r="WUE1" s="68"/>
      <c r="WUF1" s="68"/>
      <c r="WUG1" s="68"/>
      <c r="WUH1" s="68"/>
      <c r="WUI1" s="68"/>
      <c r="WUJ1" s="68"/>
      <c r="WUK1" s="68"/>
      <c r="WUL1" s="68"/>
      <c r="WUM1" s="68"/>
      <c r="WUN1" s="68"/>
      <c r="WUO1" s="68"/>
      <c r="WUP1" s="68"/>
      <c r="WUQ1" s="68"/>
      <c r="WUR1" s="68"/>
      <c r="WUS1" s="68"/>
      <c r="WUT1" s="68"/>
      <c r="WUU1" s="68"/>
      <c r="WUV1" s="68"/>
      <c r="WUW1" s="68"/>
      <c r="WUX1" s="68"/>
      <c r="WUY1" s="68"/>
      <c r="WUZ1" s="68"/>
      <c r="WVA1" s="68"/>
      <c r="WVB1" s="68"/>
      <c r="WVC1" s="68"/>
      <c r="WVD1" s="68"/>
      <c r="WVE1" s="68"/>
      <c r="WVF1" s="68"/>
      <c r="WVG1" s="68"/>
      <c r="WVH1" s="68"/>
      <c r="WVI1" s="68"/>
      <c r="WVJ1" s="68"/>
      <c r="WVK1" s="68"/>
      <c r="WVL1" s="68"/>
      <c r="WVM1" s="68"/>
      <c r="WVN1" s="68"/>
      <c r="WVO1" s="68"/>
      <c r="WVP1" s="68"/>
      <c r="WVQ1" s="68"/>
      <c r="WVR1" s="68"/>
      <c r="WVS1" s="68"/>
      <c r="WVT1" s="68"/>
      <c r="WVU1" s="68"/>
      <c r="WVV1" s="68"/>
      <c r="WVW1" s="68"/>
      <c r="WVX1" s="68"/>
      <c r="WVY1" s="68"/>
      <c r="WVZ1" s="68"/>
      <c r="WWA1" s="68"/>
      <c r="WWB1" s="68"/>
      <c r="WWC1" s="68"/>
      <c r="WWD1" s="68"/>
      <c r="WWE1" s="68"/>
      <c r="WWF1" s="68"/>
      <c r="WWG1" s="68"/>
      <c r="WWH1" s="68"/>
      <c r="WWI1" s="68"/>
      <c r="WWJ1" s="68"/>
      <c r="WWK1" s="68"/>
      <c r="WWL1" s="68"/>
      <c r="WWM1" s="68"/>
      <c r="WWN1" s="68"/>
      <c r="WWO1" s="68"/>
      <c r="WWP1" s="68"/>
      <c r="WWQ1" s="68"/>
      <c r="WWR1" s="68"/>
      <c r="WWS1" s="68"/>
      <c r="WWT1" s="68"/>
      <c r="WWU1" s="68"/>
      <c r="WWV1" s="68"/>
      <c r="WWW1" s="68"/>
      <c r="WWX1" s="68"/>
      <c r="WWY1" s="68"/>
      <c r="WWZ1" s="68"/>
      <c r="WXA1" s="68"/>
      <c r="WXB1" s="68"/>
      <c r="WXC1" s="68"/>
      <c r="WXD1" s="68"/>
      <c r="WXE1" s="68"/>
      <c r="WXF1" s="68"/>
      <c r="WXG1" s="68"/>
      <c r="WXH1" s="68"/>
      <c r="WXI1" s="68"/>
      <c r="WXJ1" s="68"/>
      <c r="WXK1" s="68"/>
      <c r="WXL1" s="68"/>
      <c r="WXM1" s="68"/>
      <c r="WXN1" s="68"/>
      <c r="WXO1" s="68"/>
      <c r="WXP1" s="68"/>
      <c r="WXQ1" s="68"/>
      <c r="WXR1" s="68"/>
      <c r="WXS1" s="68"/>
      <c r="WXT1" s="68"/>
      <c r="WXU1" s="68"/>
      <c r="WXV1" s="68"/>
      <c r="WXW1" s="68"/>
      <c r="WXX1" s="68"/>
      <c r="WXY1" s="68"/>
      <c r="WXZ1" s="68"/>
      <c r="WYA1" s="68"/>
      <c r="WYB1" s="68"/>
      <c r="WYC1" s="68"/>
      <c r="WYD1" s="68"/>
      <c r="WYE1" s="68"/>
      <c r="WYF1" s="68"/>
      <c r="WYG1" s="68"/>
      <c r="WYH1" s="68"/>
      <c r="WYI1" s="68"/>
      <c r="WYJ1" s="68"/>
      <c r="WYK1" s="68"/>
      <c r="WYL1" s="68"/>
      <c r="WYM1" s="68"/>
      <c r="WYN1" s="68"/>
      <c r="WYO1" s="68"/>
      <c r="WYP1" s="68"/>
      <c r="WYQ1" s="68"/>
      <c r="WYR1" s="68"/>
      <c r="WYS1" s="68"/>
      <c r="WYT1" s="68"/>
      <c r="WYU1" s="68"/>
      <c r="WYV1" s="68"/>
      <c r="WYW1" s="68"/>
      <c r="WYX1" s="68"/>
      <c r="WYY1" s="68"/>
      <c r="WYZ1" s="68"/>
      <c r="WZA1" s="68"/>
      <c r="WZB1" s="68"/>
      <c r="WZC1" s="68"/>
      <c r="WZD1" s="68"/>
      <c r="WZE1" s="68"/>
      <c r="WZF1" s="68"/>
      <c r="WZG1" s="68"/>
      <c r="WZH1" s="68"/>
      <c r="WZI1" s="68"/>
      <c r="WZJ1" s="68"/>
      <c r="WZK1" s="68"/>
      <c r="WZL1" s="68"/>
      <c r="WZM1" s="68"/>
      <c r="WZN1" s="68"/>
      <c r="WZO1" s="68"/>
      <c r="WZP1" s="68"/>
      <c r="WZQ1" s="68"/>
      <c r="WZR1" s="68"/>
      <c r="WZS1" s="68"/>
      <c r="WZT1" s="68"/>
      <c r="WZU1" s="68"/>
      <c r="WZV1" s="68"/>
      <c r="WZW1" s="68"/>
      <c r="WZX1" s="68"/>
      <c r="WZY1" s="68"/>
      <c r="WZZ1" s="68"/>
      <c r="XAA1" s="68"/>
      <c r="XAB1" s="68"/>
      <c r="XAC1" s="68"/>
      <c r="XAD1" s="68"/>
      <c r="XAE1" s="68"/>
      <c r="XAF1" s="68"/>
      <c r="XAG1" s="68"/>
      <c r="XAH1" s="68"/>
      <c r="XAI1" s="68"/>
      <c r="XAJ1" s="68"/>
      <c r="XAK1" s="68"/>
      <c r="XAL1" s="68"/>
      <c r="XAM1" s="68"/>
      <c r="XAN1" s="68"/>
      <c r="XAO1" s="68"/>
      <c r="XAP1" s="68"/>
      <c r="XAQ1" s="68"/>
      <c r="XAR1" s="68"/>
      <c r="XAS1" s="68"/>
      <c r="XAT1" s="68"/>
      <c r="XAU1" s="68"/>
      <c r="XAV1" s="68"/>
      <c r="XAW1" s="68"/>
      <c r="XAX1" s="68"/>
      <c r="XAY1" s="68"/>
      <c r="XAZ1" s="68"/>
      <c r="XBA1" s="68"/>
      <c r="XBB1" s="68"/>
      <c r="XBC1" s="68"/>
      <c r="XBD1" s="68"/>
      <c r="XBE1" s="68"/>
      <c r="XBF1" s="68"/>
      <c r="XBG1" s="68"/>
      <c r="XBH1" s="68"/>
      <c r="XBI1" s="68"/>
      <c r="XBJ1" s="68"/>
      <c r="XBK1" s="68"/>
      <c r="XBL1" s="68"/>
      <c r="XBM1" s="68"/>
      <c r="XBN1" s="68"/>
      <c r="XBO1" s="68"/>
      <c r="XBP1" s="68"/>
      <c r="XBQ1" s="68"/>
      <c r="XBR1" s="68"/>
      <c r="XBS1" s="68"/>
      <c r="XBT1" s="68"/>
      <c r="XBU1" s="68"/>
      <c r="XBV1" s="68"/>
      <c r="XBW1" s="68"/>
      <c r="XBX1" s="68"/>
      <c r="XBY1" s="68"/>
      <c r="XBZ1" s="68"/>
      <c r="XCA1" s="68"/>
      <c r="XCB1" s="68"/>
      <c r="XCC1" s="68"/>
      <c r="XCD1" s="68"/>
      <c r="XCE1" s="68"/>
      <c r="XCF1" s="68"/>
      <c r="XCG1" s="68"/>
      <c r="XCH1" s="68"/>
      <c r="XCI1" s="68"/>
      <c r="XCJ1" s="68"/>
      <c r="XCK1" s="68"/>
      <c r="XCL1" s="68"/>
      <c r="XCM1" s="68"/>
      <c r="XCN1" s="68"/>
      <c r="XCO1" s="68"/>
      <c r="XCP1" s="68"/>
      <c r="XCQ1" s="68"/>
      <c r="XCR1" s="68"/>
      <c r="XCS1" s="68"/>
      <c r="XCT1" s="68"/>
      <c r="XCU1" s="68"/>
      <c r="XCV1" s="68"/>
      <c r="XCW1" s="68"/>
      <c r="XCX1" s="68"/>
      <c r="XCY1" s="68"/>
      <c r="XCZ1" s="68"/>
      <c r="XDA1" s="68"/>
      <c r="XDB1" s="68"/>
      <c r="XDC1" s="68"/>
      <c r="XDD1" s="68"/>
      <c r="XDE1" s="68"/>
      <c r="XDF1" s="68"/>
      <c r="XDG1" s="68"/>
      <c r="XDH1" s="68"/>
      <c r="XDI1" s="68"/>
      <c r="XDJ1" s="68"/>
      <c r="XDK1" s="68"/>
      <c r="XDL1" s="68"/>
      <c r="XDM1" s="68"/>
      <c r="XDN1" s="68"/>
      <c r="XDO1" s="68"/>
      <c r="XDP1" s="68"/>
      <c r="XDQ1" s="68"/>
      <c r="XDR1" s="68"/>
      <c r="XDS1" s="68"/>
      <c r="XDT1" s="68"/>
      <c r="XDU1" s="68"/>
      <c r="XDV1" s="68"/>
      <c r="XDW1" s="68"/>
      <c r="XDX1" s="68"/>
      <c r="XDY1" s="68"/>
      <c r="XDZ1" s="68"/>
      <c r="XEA1" s="68"/>
      <c r="XEB1" s="68"/>
      <c r="XEC1" s="68"/>
      <c r="XED1" s="68"/>
      <c r="XEE1" s="68"/>
      <c r="XEF1" s="68"/>
      <c r="XEG1" s="68"/>
      <c r="XEH1" s="68"/>
      <c r="XEI1" s="68"/>
      <c r="XEJ1" s="68"/>
      <c r="XEK1" s="68"/>
      <c r="XEL1" s="68"/>
      <c r="XEM1" s="68"/>
      <c r="XEN1" s="68"/>
      <c r="XEO1" s="68"/>
      <c r="XEP1" s="68"/>
      <c r="XEQ1" s="68"/>
      <c r="XER1" s="68"/>
      <c r="XES1" s="68"/>
      <c r="XET1" s="68"/>
      <c r="XEU1" s="68"/>
      <c r="XEV1" s="68"/>
      <c r="XEW1" s="68"/>
      <c r="XEX1" s="68"/>
      <c r="XEY1" s="68"/>
      <c r="XEZ1" s="68"/>
      <c r="XFA1" s="68"/>
    </row>
    <row r="2" spans="1:16381" s="71" customFormat="1" ht="15" customHeight="1" x14ac:dyDescent="0.75">
      <c r="A2" s="69"/>
      <c r="B2" s="69" t="s">
        <v>165</v>
      </c>
      <c r="C2" s="70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68"/>
      <c r="DV2" s="68"/>
      <c r="DW2" s="68"/>
      <c r="DX2" s="68"/>
      <c r="DY2" s="68"/>
      <c r="DZ2" s="68"/>
      <c r="EA2" s="68"/>
      <c r="EB2" s="68"/>
      <c r="EC2" s="68"/>
      <c r="ED2" s="68"/>
      <c r="EE2" s="68"/>
      <c r="EF2" s="68"/>
      <c r="EG2" s="68"/>
      <c r="EH2" s="68"/>
      <c r="EI2" s="68"/>
      <c r="EJ2" s="68"/>
      <c r="EK2" s="68"/>
      <c r="EL2" s="68"/>
      <c r="EM2" s="68"/>
      <c r="EN2" s="68"/>
      <c r="EO2" s="68"/>
      <c r="EP2" s="68"/>
      <c r="EQ2" s="68"/>
      <c r="ER2" s="68"/>
      <c r="ES2" s="68"/>
      <c r="ET2" s="68"/>
      <c r="EU2" s="68"/>
      <c r="EV2" s="68"/>
      <c r="EW2" s="68"/>
      <c r="EX2" s="68"/>
      <c r="EY2" s="68"/>
      <c r="EZ2" s="68"/>
      <c r="FA2" s="68"/>
      <c r="FB2" s="68"/>
      <c r="FC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8"/>
      <c r="HM2" s="68"/>
      <c r="HN2" s="68"/>
      <c r="HO2" s="68"/>
      <c r="HP2" s="68"/>
      <c r="HQ2" s="68"/>
      <c r="HR2" s="68"/>
      <c r="HS2" s="68"/>
      <c r="HT2" s="68"/>
      <c r="HU2" s="68"/>
      <c r="HV2" s="68"/>
      <c r="HW2" s="68"/>
      <c r="HX2" s="68"/>
      <c r="HY2" s="68"/>
      <c r="HZ2" s="68"/>
      <c r="IA2" s="68"/>
      <c r="IB2" s="68"/>
      <c r="IC2" s="68"/>
      <c r="ID2" s="68"/>
      <c r="IE2" s="68"/>
      <c r="IF2" s="68"/>
      <c r="IG2" s="68"/>
      <c r="IH2" s="68"/>
      <c r="II2" s="68"/>
      <c r="IJ2" s="68"/>
      <c r="IK2" s="68"/>
      <c r="IL2" s="68"/>
      <c r="IM2" s="68"/>
      <c r="IN2" s="68"/>
      <c r="IO2" s="68"/>
      <c r="IP2" s="68"/>
      <c r="IQ2" s="68"/>
      <c r="IR2" s="68"/>
      <c r="IS2" s="68"/>
      <c r="IT2" s="68"/>
      <c r="IU2" s="68"/>
      <c r="IV2" s="68"/>
      <c r="IW2" s="68"/>
      <c r="IX2" s="68"/>
      <c r="IY2" s="68"/>
      <c r="IZ2" s="68"/>
      <c r="JA2" s="68"/>
      <c r="JB2" s="68"/>
      <c r="JC2" s="68"/>
      <c r="JD2" s="68"/>
      <c r="JE2" s="68"/>
      <c r="JF2" s="68"/>
      <c r="JG2" s="68"/>
      <c r="JH2" s="68"/>
      <c r="JI2" s="68"/>
      <c r="JJ2" s="68"/>
      <c r="JK2" s="68"/>
      <c r="JL2" s="68"/>
      <c r="JM2" s="68"/>
      <c r="JN2" s="68"/>
      <c r="JO2" s="68"/>
      <c r="JP2" s="68"/>
      <c r="JQ2" s="68"/>
      <c r="JR2" s="68"/>
      <c r="JS2" s="68"/>
      <c r="JT2" s="68"/>
      <c r="JU2" s="68"/>
      <c r="JV2" s="68"/>
      <c r="JW2" s="68"/>
      <c r="JX2" s="68"/>
      <c r="JY2" s="68"/>
      <c r="JZ2" s="68"/>
      <c r="KA2" s="68"/>
      <c r="KB2" s="68"/>
      <c r="KC2" s="68"/>
      <c r="KD2" s="68"/>
      <c r="KE2" s="68"/>
      <c r="KF2" s="68"/>
      <c r="KG2" s="68"/>
      <c r="KH2" s="68"/>
      <c r="KI2" s="68"/>
      <c r="KJ2" s="68"/>
      <c r="KK2" s="68"/>
      <c r="KL2" s="68"/>
      <c r="KM2" s="68"/>
      <c r="KN2" s="68"/>
      <c r="KO2" s="68"/>
      <c r="KP2" s="68"/>
      <c r="KQ2" s="68"/>
      <c r="KR2" s="68"/>
      <c r="KS2" s="68"/>
      <c r="KT2" s="68"/>
      <c r="KU2" s="68"/>
      <c r="KV2" s="68"/>
      <c r="KW2" s="68"/>
      <c r="KX2" s="68"/>
      <c r="KY2" s="68"/>
      <c r="KZ2" s="68"/>
      <c r="LA2" s="68"/>
      <c r="LB2" s="68"/>
      <c r="LC2" s="68"/>
      <c r="LD2" s="68"/>
      <c r="LE2" s="68"/>
      <c r="LF2" s="68"/>
      <c r="LG2" s="68"/>
      <c r="LH2" s="68"/>
      <c r="LI2" s="68"/>
      <c r="LJ2" s="68"/>
      <c r="LK2" s="68"/>
      <c r="LL2" s="68"/>
      <c r="LM2" s="68"/>
      <c r="LN2" s="68"/>
      <c r="LO2" s="68"/>
      <c r="LP2" s="68"/>
      <c r="LQ2" s="68"/>
      <c r="LR2" s="68"/>
      <c r="LS2" s="68"/>
      <c r="LT2" s="68"/>
      <c r="LU2" s="68"/>
      <c r="LV2" s="68"/>
      <c r="LW2" s="68"/>
      <c r="LX2" s="68"/>
      <c r="LY2" s="68"/>
      <c r="LZ2" s="68"/>
      <c r="MA2" s="68"/>
      <c r="MB2" s="68"/>
      <c r="MC2" s="68"/>
      <c r="MD2" s="68"/>
      <c r="ME2" s="68"/>
      <c r="MF2" s="68"/>
      <c r="MG2" s="68"/>
      <c r="MH2" s="68"/>
      <c r="MI2" s="68"/>
      <c r="MJ2" s="68"/>
      <c r="MK2" s="68"/>
      <c r="ML2" s="68"/>
      <c r="MM2" s="68"/>
      <c r="MN2" s="68"/>
      <c r="MO2" s="68"/>
      <c r="MP2" s="68"/>
      <c r="MQ2" s="68"/>
      <c r="MR2" s="68"/>
      <c r="MS2" s="68"/>
      <c r="MT2" s="68"/>
      <c r="MU2" s="68"/>
      <c r="MV2" s="68"/>
      <c r="MW2" s="68"/>
      <c r="MX2" s="68"/>
      <c r="MY2" s="68"/>
      <c r="MZ2" s="68"/>
      <c r="NA2" s="68"/>
      <c r="NB2" s="68"/>
      <c r="NC2" s="68"/>
      <c r="ND2" s="68"/>
      <c r="NE2" s="68"/>
      <c r="NF2" s="68"/>
      <c r="NG2" s="68"/>
      <c r="NH2" s="68"/>
      <c r="NI2" s="68"/>
      <c r="NJ2" s="68"/>
      <c r="NK2" s="68"/>
      <c r="NL2" s="68"/>
      <c r="NM2" s="68"/>
      <c r="NN2" s="68"/>
      <c r="NO2" s="68"/>
      <c r="NP2" s="68"/>
      <c r="NQ2" s="68"/>
      <c r="NR2" s="68"/>
      <c r="NS2" s="68"/>
      <c r="NT2" s="68"/>
      <c r="NU2" s="68"/>
      <c r="NV2" s="68"/>
      <c r="NW2" s="68"/>
      <c r="NX2" s="68"/>
      <c r="NY2" s="68"/>
      <c r="NZ2" s="68"/>
      <c r="OA2" s="68"/>
      <c r="OB2" s="68"/>
      <c r="OC2" s="68"/>
      <c r="OD2" s="68"/>
      <c r="OE2" s="68"/>
      <c r="OF2" s="68"/>
      <c r="OG2" s="68"/>
      <c r="OH2" s="68"/>
      <c r="OI2" s="68"/>
      <c r="OJ2" s="68"/>
      <c r="OK2" s="68"/>
      <c r="OL2" s="68"/>
      <c r="OM2" s="68"/>
      <c r="ON2" s="68"/>
      <c r="OO2" s="68"/>
      <c r="OP2" s="68"/>
      <c r="OQ2" s="68"/>
      <c r="OR2" s="68"/>
      <c r="OS2" s="68"/>
      <c r="OT2" s="68"/>
      <c r="OU2" s="68"/>
      <c r="OV2" s="68"/>
      <c r="OW2" s="68"/>
      <c r="OX2" s="68"/>
      <c r="OY2" s="68"/>
      <c r="OZ2" s="68"/>
      <c r="PA2" s="68"/>
      <c r="PB2" s="68"/>
      <c r="PC2" s="68"/>
      <c r="PD2" s="68"/>
      <c r="PE2" s="68"/>
      <c r="PF2" s="68"/>
      <c r="PG2" s="68"/>
      <c r="PH2" s="68"/>
      <c r="PI2" s="68"/>
      <c r="PJ2" s="68"/>
      <c r="PK2" s="68"/>
      <c r="PL2" s="68"/>
      <c r="PM2" s="68"/>
      <c r="PN2" s="68"/>
      <c r="PO2" s="68"/>
      <c r="PP2" s="68"/>
      <c r="PQ2" s="68"/>
      <c r="PR2" s="68"/>
      <c r="PS2" s="68"/>
      <c r="PT2" s="68"/>
      <c r="PU2" s="68"/>
      <c r="PV2" s="68"/>
      <c r="PW2" s="68"/>
      <c r="PX2" s="68"/>
      <c r="PY2" s="68"/>
      <c r="PZ2" s="68"/>
      <c r="QA2" s="68"/>
      <c r="QB2" s="68"/>
      <c r="QC2" s="68"/>
      <c r="QD2" s="68"/>
      <c r="QE2" s="68"/>
      <c r="QF2" s="68"/>
      <c r="QG2" s="68"/>
      <c r="QH2" s="68"/>
      <c r="QI2" s="68"/>
      <c r="QJ2" s="68"/>
      <c r="QK2" s="68"/>
      <c r="QL2" s="68"/>
      <c r="QM2" s="68"/>
      <c r="QN2" s="68"/>
      <c r="QO2" s="68"/>
      <c r="QP2" s="68"/>
      <c r="QQ2" s="68"/>
      <c r="QR2" s="68"/>
      <c r="QS2" s="68"/>
      <c r="QT2" s="68"/>
      <c r="QU2" s="68"/>
      <c r="QV2" s="68"/>
      <c r="QW2" s="68"/>
      <c r="QX2" s="68"/>
      <c r="QY2" s="68"/>
      <c r="QZ2" s="68"/>
      <c r="RA2" s="68"/>
      <c r="RB2" s="68"/>
      <c r="RC2" s="68"/>
      <c r="RD2" s="68"/>
      <c r="RE2" s="68"/>
      <c r="RF2" s="68"/>
      <c r="RG2" s="68"/>
      <c r="RH2" s="68"/>
      <c r="RI2" s="68"/>
      <c r="RJ2" s="68"/>
      <c r="RK2" s="68"/>
      <c r="RL2" s="68"/>
      <c r="RM2" s="68"/>
      <c r="RN2" s="68"/>
      <c r="RO2" s="68"/>
      <c r="RP2" s="68"/>
      <c r="RQ2" s="68"/>
      <c r="RR2" s="68"/>
      <c r="RS2" s="68"/>
      <c r="RT2" s="68"/>
      <c r="RU2" s="68"/>
      <c r="RV2" s="68"/>
      <c r="RW2" s="68"/>
      <c r="RX2" s="68"/>
      <c r="RY2" s="68"/>
      <c r="RZ2" s="68"/>
      <c r="SA2" s="68"/>
      <c r="SB2" s="68"/>
      <c r="SC2" s="68"/>
      <c r="SD2" s="68"/>
      <c r="SE2" s="68"/>
      <c r="SF2" s="68"/>
      <c r="SG2" s="68"/>
      <c r="SH2" s="68"/>
      <c r="SI2" s="68"/>
      <c r="SJ2" s="68"/>
      <c r="SK2" s="68"/>
      <c r="SL2" s="68"/>
      <c r="SM2" s="68"/>
      <c r="SN2" s="68"/>
      <c r="SO2" s="68"/>
      <c r="SP2" s="68"/>
      <c r="SQ2" s="68"/>
      <c r="SR2" s="68"/>
      <c r="SS2" s="68"/>
      <c r="ST2" s="68"/>
      <c r="SU2" s="68"/>
      <c r="SV2" s="68"/>
      <c r="SW2" s="68"/>
      <c r="SX2" s="68"/>
      <c r="SY2" s="68"/>
      <c r="SZ2" s="68"/>
      <c r="TA2" s="68"/>
      <c r="TB2" s="68"/>
      <c r="TC2" s="68"/>
      <c r="TD2" s="68"/>
      <c r="TE2" s="68"/>
      <c r="TF2" s="68"/>
      <c r="TG2" s="68"/>
      <c r="TH2" s="68"/>
      <c r="TI2" s="68"/>
      <c r="TJ2" s="68"/>
      <c r="TK2" s="68"/>
      <c r="TL2" s="68"/>
      <c r="TM2" s="68"/>
      <c r="TN2" s="68"/>
      <c r="TO2" s="68"/>
      <c r="TP2" s="68"/>
      <c r="TQ2" s="68"/>
      <c r="TR2" s="68"/>
      <c r="TS2" s="68"/>
      <c r="TT2" s="68"/>
      <c r="TU2" s="68"/>
      <c r="TV2" s="68"/>
      <c r="TW2" s="68"/>
      <c r="TX2" s="68"/>
      <c r="TY2" s="68"/>
      <c r="TZ2" s="68"/>
      <c r="UA2" s="68"/>
      <c r="UB2" s="68"/>
      <c r="UC2" s="68"/>
      <c r="UD2" s="68"/>
      <c r="UE2" s="68"/>
      <c r="UF2" s="68"/>
      <c r="UG2" s="68"/>
      <c r="UH2" s="68"/>
      <c r="UI2" s="68"/>
      <c r="UJ2" s="68"/>
      <c r="UK2" s="68"/>
      <c r="UL2" s="68"/>
      <c r="UM2" s="68"/>
      <c r="UN2" s="68"/>
      <c r="UO2" s="68"/>
      <c r="UP2" s="68"/>
      <c r="UQ2" s="68"/>
      <c r="UR2" s="68"/>
      <c r="US2" s="68"/>
      <c r="UT2" s="68"/>
      <c r="UU2" s="68"/>
      <c r="UV2" s="68"/>
      <c r="UW2" s="68"/>
      <c r="UX2" s="68"/>
      <c r="UY2" s="68"/>
      <c r="UZ2" s="68"/>
      <c r="VA2" s="68"/>
      <c r="VB2" s="68"/>
      <c r="VC2" s="68"/>
      <c r="VD2" s="68"/>
      <c r="VE2" s="68"/>
      <c r="VF2" s="68"/>
      <c r="VG2" s="68"/>
      <c r="VH2" s="68"/>
      <c r="VI2" s="68"/>
      <c r="VJ2" s="68"/>
      <c r="VK2" s="68"/>
      <c r="VL2" s="68"/>
      <c r="VM2" s="68"/>
      <c r="VN2" s="68"/>
      <c r="VO2" s="68"/>
      <c r="VP2" s="68"/>
      <c r="VQ2" s="68"/>
      <c r="VR2" s="68"/>
      <c r="VS2" s="68"/>
      <c r="VT2" s="68"/>
      <c r="VU2" s="68"/>
      <c r="VV2" s="68"/>
      <c r="VW2" s="68"/>
      <c r="VX2" s="68"/>
      <c r="VY2" s="68"/>
      <c r="VZ2" s="68"/>
      <c r="WA2" s="68"/>
      <c r="WB2" s="68"/>
      <c r="WC2" s="68"/>
      <c r="WD2" s="68"/>
      <c r="WE2" s="68"/>
      <c r="WF2" s="68"/>
      <c r="WG2" s="68"/>
      <c r="WH2" s="68"/>
      <c r="WI2" s="68"/>
      <c r="WJ2" s="68"/>
      <c r="WK2" s="68"/>
      <c r="WL2" s="68"/>
      <c r="WM2" s="68"/>
      <c r="WN2" s="68"/>
      <c r="WO2" s="68"/>
      <c r="WP2" s="68"/>
      <c r="WQ2" s="68"/>
      <c r="WR2" s="68"/>
      <c r="WS2" s="68"/>
      <c r="WT2" s="68"/>
      <c r="WU2" s="68"/>
      <c r="WV2" s="68"/>
      <c r="WW2" s="68"/>
      <c r="WX2" s="68"/>
      <c r="WY2" s="68"/>
      <c r="WZ2" s="68"/>
      <c r="XA2" s="68"/>
      <c r="XB2" s="68"/>
      <c r="XC2" s="68"/>
      <c r="XD2" s="68"/>
      <c r="XE2" s="68"/>
      <c r="XF2" s="68"/>
      <c r="XG2" s="68"/>
      <c r="XH2" s="68"/>
      <c r="XI2" s="68"/>
      <c r="XJ2" s="68"/>
      <c r="XK2" s="68"/>
      <c r="XL2" s="68"/>
      <c r="XM2" s="68"/>
      <c r="XN2" s="68"/>
      <c r="XO2" s="68"/>
      <c r="XP2" s="68"/>
      <c r="XQ2" s="68"/>
      <c r="XR2" s="68"/>
      <c r="XS2" s="68"/>
      <c r="XT2" s="68"/>
      <c r="XU2" s="68"/>
      <c r="XV2" s="68"/>
      <c r="XW2" s="68"/>
      <c r="XX2" s="68"/>
      <c r="XY2" s="68"/>
      <c r="XZ2" s="68"/>
      <c r="YA2" s="68"/>
      <c r="YB2" s="68"/>
      <c r="YC2" s="68"/>
      <c r="YD2" s="68"/>
      <c r="YE2" s="68"/>
      <c r="YF2" s="68"/>
      <c r="YG2" s="68"/>
      <c r="YH2" s="68"/>
      <c r="YI2" s="68"/>
      <c r="YJ2" s="68"/>
      <c r="YK2" s="68"/>
      <c r="YL2" s="68"/>
      <c r="YM2" s="68"/>
      <c r="YN2" s="68"/>
      <c r="YO2" s="68"/>
      <c r="YP2" s="68"/>
      <c r="YQ2" s="68"/>
      <c r="YR2" s="68"/>
      <c r="YS2" s="68"/>
      <c r="YT2" s="68"/>
      <c r="YU2" s="68"/>
      <c r="YV2" s="68"/>
      <c r="YW2" s="68"/>
      <c r="YX2" s="68"/>
      <c r="YY2" s="68"/>
      <c r="YZ2" s="68"/>
      <c r="ZA2" s="68"/>
      <c r="ZB2" s="68"/>
      <c r="ZC2" s="68"/>
      <c r="ZD2" s="68"/>
      <c r="ZE2" s="68"/>
      <c r="ZF2" s="68"/>
      <c r="ZG2" s="68"/>
      <c r="ZH2" s="68"/>
      <c r="ZI2" s="68"/>
      <c r="ZJ2" s="68"/>
      <c r="ZK2" s="68"/>
      <c r="ZL2" s="68"/>
      <c r="ZM2" s="68"/>
      <c r="ZN2" s="68"/>
      <c r="ZO2" s="68"/>
      <c r="ZP2" s="68"/>
      <c r="ZQ2" s="68"/>
      <c r="ZR2" s="68"/>
      <c r="ZS2" s="68"/>
      <c r="ZT2" s="68"/>
      <c r="ZU2" s="68"/>
      <c r="ZV2" s="68"/>
      <c r="ZW2" s="68"/>
      <c r="ZX2" s="68"/>
      <c r="ZY2" s="68"/>
      <c r="ZZ2" s="68"/>
      <c r="AAA2" s="68"/>
      <c r="AAB2" s="68"/>
      <c r="AAC2" s="68"/>
      <c r="AAD2" s="68"/>
      <c r="AAE2" s="68"/>
      <c r="AAF2" s="68"/>
      <c r="AAG2" s="68"/>
      <c r="AAH2" s="68"/>
      <c r="AAI2" s="68"/>
      <c r="AAJ2" s="68"/>
      <c r="AAK2" s="68"/>
      <c r="AAL2" s="68"/>
      <c r="AAM2" s="68"/>
      <c r="AAN2" s="68"/>
      <c r="AAO2" s="68"/>
      <c r="AAP2" s="68"/>
      <c r="AAQ2" s="68"/>
      <c r="AAR2" s="68"/>
      <c r="AAS2" s="68"/>
      <c r="AAT2" s="68"/>
      <c r="AAU2" s="68"/>
      <c r="AAV2" s="68"/>
      <c r="AAW2" s="68"/>
      <c r="AAX2" s="68"/>
      <c r="AAY2" s="68"/>
      <c r="AAZ2" s="68"/>
      <c r="ABA2" s="68"/>
      <c r="ABB2" s="68"/>
      <c r="ABC2" s="68"/>
      <c r="ABD2" s="68"/>
      <c r="ABE2" s="68"/>
      <c r="ABF2" s="68"/>
      <c r="ABG2" s="68"/>
      <c r="ABH2" s="68"/>
      <c r="ABI2" s="68"/>
      <c r="ABJ2" s="68"/>
      <c r="ABK2" s="68"/>
      <c r="ABL2" s="68"/>
      <c r="ABM2" s="68"/>
      <c r="ABN2" s="68"/>
      <c r="ABO2" s="68"/>
      <c r="ABP2" s="68"/>
      <c r="ABQ2" s="68"/>
      <c r="ABR2" s="68"/>
      <c r="ABS2" s="68"/>
      <c r="ABT2" s="68"/>
      <c r="ABU2" s="68"/>
      <c r="ABV2" s="68"/>
      <c r="ABW2" s="68"/>
      <c r="ABX2" s="68"/>
      <c r="ABY2" s="68"/>
      <c r="ABZ2" s="68"/>
      <c r="ACA2" s="68"/>
      <c r="ACB2" s="68"/>
      <c r="ACC2" s="68"/>
      <c r="ACD2" s="68"/>
      <c r="ACE2" s="68"/>
      <c r="ACF2" s="68"/>
      <c r="ACG2" s="68"/>
      <c r="ACH2" s="68"/>
      <c r="ACI2" s="68"/>
      <c r="ACJ2" s="68"/>
      <c r="ACK2" s="68"/>
      <c r="ACL2" s="68"/>
      <c r="ACM2" s="68"/>
      <c r="ACN2" s="68"/>
      <c r="ACO2" s="68"/>
      <c r="ACP2" s="68"/>
      <c r="ACQ2" s="68"/>
      <c r="ACR2" s="68"/>
      <c r="ACS2" s="68"/>
      <c r="ACT2" s="68"/>
      <c r="ACU2" s="68"/>
      <c r="ACV2" s="68"/>
      <c r="ACW2" s="68"/>
      <c r="ACX2" s="68"/>
      <c r="ACY2" s="68"/>
      <c r="ACZ2" s="68"/>
      <c r="ADA2" s="68"/>
      <c r="ADB2" s="68"/>
      <c r="ADC2" s="68"/>
      <c r="ADD2" s="68"/>
      <c r="ADE2" s="68"/>
      <c r="ADF2" s="68"/>
      <c r="ADG2" s="68"/>
      <c r="ADH2" s="68"/>
      <c r="ADI2" s="68"/>
      <c r="ADJ2" s="68"/>
      <c r="ADK2" s="68"/>
      <c r="ADL2" s="68"/>
      <c r="ADM2" s="68"/>
      <c r="ADN2" s="68"/>
      <c r="ADO2" s="68"/>
      <c r="ADP2" s="68"/>
      <c r="ADQ2" s="68"/>
      <c r="ADR2" s="68"/>
      <c r="ADS2" s="68"/>
      <c r="ADT2" s="68"/>
      <c r="ADU2" s="68"/>
      <c r="ADV2" s="68"/>
      <c r="ADW2" s="68"/>
      <c r="ADX2" s="68"/>
      <c r="ADY2" s="68"/>
      <c r="ADZ2" s="68"/>
      <c r="AEA2" s="68"/>
      <c r="AEB2" s="68"/>
      <c r="AEC2" s="68"/>
      <c r="AED2" s="68"/>
      <c r="AEE2" s="68"/>
      <c r="AEF2" s="68"/>
      <c r="AEG2" s="68"/>
      <c r="AEH2" s="68"/>
      <c r="AEI2" s="68"/>
      <c r="AEJ2" s="68"/>
      <c r="AEK2" s="68"/>
      <c r="AEL2" s="68"/>
      <c r="AEM2" s="68"/>
      <c r="AEN2" s="68"/>
      <c r="AEO2" s="68"/>
      <c r="AEP2" s="68"/>
      <c r="AEQ2" s="68"/>
      <c r="AER2" s="68"/>
      <c r="AES2" s="68"/>
      <c r="AET2" s="68"/>
      <c r="AEU2" s="68"/>
      <c r="AEV2" s="68"/>
      <c r="AEW2" s="68"/>
      <c r="AEX2" s="68"/>
      <c r="AEY2" s="68"/>
      <c r="AEZ2" s="68"/>
      <c r="AFA2" s="68"/>
      <c r="AFB2" s="68"/>
      <c r="AFC2" s="68"/>
      <c r="AFD2" s="68"/>
      <c r="AFE2" s="68"/>
      <c r="AFF2" s="68"/>
      <c r="AFG2" s="68"/>
      <c r="AFH2" s="68"/>
      <c r="AFI2" s="68"/>
      <c r="AFJ2" s="68"/>
      <c r="AFK2" s="68"/>
      <c r="AFL2" s="68"/>
      <c r="AFM2" s="68"/>
      <c r="AFN2" s="68"/>
      <c r="AFO2" s="68"/>
      <c r="AFP2" s="68"/>
      <c r="AFQ2" s="68"/>
      <c r="AFR2" s="68"/>
      <c r="AFS2" s="68"/>
      <c r="AFT2" s="68"/>
      <c r="AFU2" s="68"/>
      <c r="AFV2" s="68"/>
      <c r="AFW2" s="68"/>
      <c r="AFX2" s="68"/>
      <c r="AFY2" s="68"/>
      <c r="AFZ2" s="68"/>
      <c r="AGA2" s="68"/>
      <c r="AGB2" s="68"/>
      <c r="AGC2" s="68"/>
      <c r="AGD2" s="68"/>
      <c r="AGE2" s="68"/>
      <c r="AGF2" s="68"/>
      <c r="AGG2" s="68"/>
      <c r="AGH2" s="68"/>
      <c r="AGI2" s="68"/>
      <c r="AGJ2" s="68"/>
      <c r="AGK2" s="68"/>
      <c r="AGL2" s="68"/>
      <c r="AGM2" s="68"/>
      <c r="AGN2" s="68"/>
      <c r="AGO2" s="68"/>
      <c r="AGP2" s="68"/>
      <c r="AGQ2" s="68"/>
      <c r="AGR2" s="68"/>
      <c r="AGS2" s="68"/>
      <c r="AGT2" s="68"/>
      <c r="AGU2" s="68"/>
      <c r="AGV2" s="68"/>
      <c r="AGW2" s="68"/>
      <c r="AGX2" s="68"/>
      <c r="AGY2" s="68"/>
      <c r="AGZ2" s="68"/>
      <c r="AHA2" s="68"/>
      <c r="AHB2" s="68"/>
      <c r="AHC2" s="68"/>
      <c r="AHD2" s="68"/>
      <c r="AHE2" s="68"/>
      <c r="AHF2" s="68"/>
      <c r="AHG2" s="68"/>
      <c r="AHH2" s="68"/>
      <c r="AHI2" s="68"/>
      <c r="AHJ2" s="68"/>
      <c r="AHK2" s="68"/>
      <c r="AHL2" s="68"/>
      <c r="AHM2" s="68"/>
      <c r="AHN2" s="68"/>
      <c r="AHO2" s="68"/>
      <c r="AHP2" s="68"/>
      <c r="AHQ2" s="68"/>
      <c r="AHR2" s="68"/>
      <c r="AHS2" s="68"/>
      <c r="AHT2" s="68"/>
      <c r="AHU2" s="68"/>
      <c r="AHV2" s="68"/>
      <c r="AHW2" s="68"/>
      <c r="AHX2" s="68"/>
      <c r="AHY2" s="68"/>
      <c r="AHZ2" s="68"/>
      <c r="AIA2" s="68"/>
      <c r="AIB2" s="68"/>
      <c r="AIC2" s="68"/>
      <c r="AID2" s="68"/>
      <c r="AIE2" s="68"/>
      <c r="AIF2" s="68"/>
      <c r="AIG2" s="68"/>
      <c r="AIH2" s="68"/>
      <c r="AII2" s="68"/>
      <c r="AIJ2" s="68"/>
      <c r="AIK2" s="68"/>
      <c r="AIL2" s="68"/>
      <c r="AIM2" s="68"/>
      <c r="AIN2" s="68"/>
      <c r="AIO2" s="68"/>
      <c r="AIP2" s="68"/>
      <c r="AIQ2" s="68"/>
      <c r="AIR2" s="68"/>
      <c r="AIS2" s="68"/>
      <c r="AIT2" s="68"/>
      <c r="AIU2" s="68"/>
      <c r="AIV2" s="68"/>
      <c r="AIW2" s="68"/>
      <c r="AIX2" s="68"/>
      <c r="AIY2" s="68"/>
      <c r="AIZ2" s="68"/>
      <c r="AJA2" s="68"/>
      <c r="AJB2" s="68"/>
      <c r="AJC2" s="68"/>
      <c r="AJD2" s="68"/>
      <c r="AJE2" s="68"/>
      <c r="AJF2" s="68"/>
      <c r="AJG2" s="68"/>
      <c r="AJH2" s="68"/>
      <c r="AJI2" s="68"/>
      <c r="AJJ2" s="68"/>
      <c r="AJK2" s="68"/>
      <c r="AJL2" s="68"/>
      <c r="AJM2" s="68"/>
      <c r="AJN2" s="68"/>
      <c r="AJO2" s="68"/>
      <c r="AJP2" s="68"/>
      <c r="AJQ2" s="68"/>
      <c r="AJR2" s="68"/>
      <c r="AJS2" s="68"/>
      <c r="AJT2" s="68"/>
      <c r="AJU2" s="68"/>
      <c r="AJV2" s="68"/>
      <c r="AJW2" s="68"/>
      <c r="AJX2" s="68"/>
      <c r="AJY2" s="68"/>
      <c r="AJZ2" s="68"/>
      <c r="AKA2" s="68"/>
      <c r="AKB2" s="68"/>
      <c r="AKC2" s="68"/>
      <c r="AKD2" s="68"/>
      <c r="AKE2" s="68"/>
      <c r="AKF2" s="68"/>
      <c r="AKG2" s="68"/>
      <c r="AKH2" s="68"/>
      <c r="AKI2" s="68"/>
      <c r="AKJ2" s="68"/>
      <c r="AKK2" s="68"/>
      <c r="AKL2" s="68"/>
      <c r="AKM2" s="68"/>
      <c r="AKN2" s="68"/>
      <c r="AKO2" s="68"/>
      <c r="AKP2" s="68"/>
      <c r="AKQ2" s="68"/>
      <c r="AKR2" s="68"/>
      <c r="AKS2" s="68"/>
      <c r="AKT2" s="68"/>
      <c r="AKU2" s="68"/>
      <c r="AKV2" s="68"/>
      <c r="AKW2" s="68"/>
      <c r="AKX2" s="68"/>
      <c r="AKY2" s="68"/>
      <c r="AKZ2" s="68"/>
      <c r="ALA2" s="68"/>
      <c r="ALB2" s="68"/>
      <c r="ALC2" s="68"/>
      <c r="ALD2" s="68"/>
      <c r="ALE2" s="68"/>
      <c r="ALF2" s="68"/>
      <c r="ALG2" s="68"/>
      <c r="ALH2" s="68"/>
      <c r="ALI2" s="68"/>
      <c r="ALJ2" s="68"/>
      <c r="ALK2" s="68"/>
      <c r="ALL2" s="68"/>
      <c r="ALM2" s="68"/>
      <c r="ALN2" s="68"/>
      <c r="ALO2" s="68"/>
      <c r="ALP2" s="68"/>
      <c r="ALQ2" s="68"/>
      <c r="ALR2" s="68"/>
      <c r="ALS2" s="68"/>
      <c r="ALT2" s="68"/>
      <c r="ALU2" s="68"/>
      <c r="ALV2" s="68"/>
      <c r="ALW2" s="68"/>
      <c r="ALX2" s="68"/>
      <c r="ALY2" s="68"/>
      <c r="ALZ2" s="68"/>
      <c r="AMA2" s="68"/>
      <c r="AMB2" s="68"/>
      <c r="AMC2" s="68"/>
      <c r="AMD2" s="68"/>
      <c r="AME2" s="68"/>
      <c r="AMF2" s="68"/>
      <c r="AMG2" s="68"/>
      <c r="AMH2" s="68"/>
      <c r="AMI2" s="68"/>
      <c r="AMJ2" s="68"/>
      <c r="AMK2" s="68"/>
      <c r="AML2" s="68"/>
      <c r="AMM2" s="68"/>
      <c r="AMN2" s="68"/>
      <c r="AMO2" s="68"/>
      <c r="AMP2" s="68"/>
      <c r="AMQ2" s="68"/>
      <c r="AMR2" s="68"/>
      <c r="AMS2" s="68"/>
      <c r="AMT2" s="68"/>
      <c r="AMU2" s="68"/>
      <c r="AMV2" s="68"/>
      <c r="AMW2" s="68"/>
      <c r="AMX2" s="68"/>
      <c r="AMY2" s="68"/>
      <c r="AMZ2" s="68"/>
      <c r="ANA2" s="68"/>
      <c r="ANB2" s="68"/>
      <c r="ANC2" s="68"/>
      <c r="AND2" s="68"/>
      <c r="ANE2" s="68"/>
      <c r="ANF2" s="68"/>
      <c r="ANG2" s="68"/>
      <c r="ANH2" s="68"/>
      <c r="ANI2" s="68"/>
      <c r="ANJ2" s="68"/>
      <c r="ANK2" s="68"/>
      <c r="ANL2" s="68"/>
      <c r="ANM2" s="68"/>
      <c r="ANN2" s="68"/>
      <c r="ANO2" s="68"/>
      <c r="ANP2" s="68"/>
      <c r="ANQ2" s="68"/>
      <c r="ANR2" s="68"/>
      <c r="ANS2" s="68"/>
      <c r="ANT2" s="68"/>
      <c r="ANU2" s="68"/>
      <c r="ANV2" s="68"/>
      <c r="ANW2" s="68"/>
      <c r="ANX2" s="68"/>
      <c r="ANY2" s="68"/>
      <c r="ANZ2" s="68"/>
      <c r="AOA2" s="68"/>
      <c r="AOB2" s="68"/>
      <c r="AOC2" s="68"/>
      <c r="AOD2" s="68"/>
      <c r="AOE2" s="68"/>
      <c r="AOF2" s="68"/>
      <c r="AOG2" s="68"/>
      <c r="AOH2" s="68"/>
      <c r="AOI2" s="68"/>
      <c r="AOJ2" s="68"/>
      <c r="AOK2" s="68"/>
      <c r="AOL2" s="68"/>
      <c r="AOM2" s="68"/>
      <c r="AON2" s="68"/>
      <c r="AOO2" s="68"/>
      <c r="AOP2" s="68"/>
      <c r="AOQ2" s="68"/>
      <c r="AOR2" s="68"/>
      <c r="AOS2" s="68"/>
      <c r="AOT2" s="68"/>
      <c r="AOU2" s="68"/>
      <c r="AOV2" s="68"/>
      <c r="AOW2" s="68"/>
      <c r="AOX2" s="68"/>
      <c r="AOY2" s="68"/>
      <c r="AOZ2" s="68"/>
      <c r="APA2" s="68"/>
      <c r="APB2" s="68"/>
      <c r="APC2" s="68"/>
      <c r="APD2" s="68"/>
      <c r="APE2" s="68"/>
      <c r="APF2" s="68"/>
      <c r="APG2" s="68"/>
      <c r="APH2" s="68"/>
      <c r="API2" s="68"/>
      <c r="APJ2" s="68"/>
      <c r="APK2" s="68"/>
      <c r="APL2" s="68"/>
      <c r="APM2" s="68"/>
      <c r="APN2" s="68"/>
      <c r="APO2" s="68"/>
      <c r="APP2" s="68"/>
      <c r="APQ2" s="68"/>
      <c r="APR2" s="68"/>
      <c r="APS2" s="68"/>
      <c r="APT2" s="68"/>
      <c r="APU2" s="68"/>
      <c r="APV2" s="68"/>
      <c r="APW2" s="68"/>
      <c r="APX2" s="68"/>
      <c r="APY2" s="68"/>
      <c r="APZ2" s="68"/>
      <c r="AQA2" s="68"/>
      <c r="AQB2" s="68"/>
      <c r="AQC2" s="68"/>
      <c r="AQD2" s="68"/>
      <c r="AQE2" s="68"/>
      <c r="AQF2" s="68"/>
      <c r="AQG2" s="68"/>
      <c r="AQH2" s="68"/>
      <c r="AQI2" s="68"/>
      <c r="AQJ2" s="68"/>
      <c r="AQK2" s="68"/>
      <c r="AQL2" s="68"/>
      <c r="AQM2" s="68"/>
      <c r="AQN2" s="68"/>
      <c r="AQO2" s="68"/>
      <c r="AQP2" s="68"/>
      <c r="AQQ2" s="68"/>
      <c r="AQR2" s="68"/>
      <c r="AQS2" s="68"/>
      <c r="AQT2" s="68"/>
      <c r="AQU2" s="68"/>
      <c r="AQV2" s="68"/>
      <c r="AQW2" s="68"/>
      <c r="AQX2" s="68"/>
      <c r="AQY2" s="68"/>
      <c r="AQZ2" s="68"/>
      <c r="ARA2" s="68"/>
      <c r="ARB2" s="68"/>
      <c r="ARC2" s="68"/>
      <c r="ARD2" s="68"/>
      <c r="ARE2" s="68"/>
      <c r="ARF2" s="68"/>
      <c r="ARG2" s="68"/>
      <c r="ARH2" s="68"/>
      <c r="ARI2" s="68"/>
      <c r="ARJ2" s="68"/>
      <c r="ARK2" s="68"/>
      <c r="ARL2" s="68"/>
      <c r="ARM2" s="68"/>
      <c r="ARN2" s="68"/>
      <c r="ARO2" s="68"/>
      <c r="ARP2" s="68"/>
      <c r="ARQ2" s="68"/>
      <c r="ARR2" s="68"/>
      <c r="ARS2" s="68"/>
      <c r="ART2" s="68"/>
      <c r="ARU2" s="68"/>
      <c r="ARV2" s="68"/>
      <c r="ARW2" s="68"/>
      <c r="ARX2" s="68"/>
      <c r="ARY2" s="68"/>
      <c r="ARZ2" s="68"/>
      <c r="ASA2" s="68"/>
      <c r="ASB2" s="68"/>
      <c r="ASC2" s="68"/>
      <c r="ASD2" s="68"/>
      <c r="ASE2" s="68"/>
      <c r="ASF2" s="68"/>
      <c r="ASG2" s="68"/>
      <c r="ASH2" s="68"/>
      <c r="ASI2" s="68"/>
      <c r="ASJ2" s="68"/>
      <c r="ASK2" s="68"/>
      <c r="ASL2" s="68"/>
      <c r="ASM2" s="68"/>
      <c r="ASN2" s="68"/>
      <c r="ASO2" s="68"/>
      <c r="ASP2" s="68"/>
      <c r="ASQ2" s="68"/>
      <c r="ASR2" s="68"/>
      <c r="ASS2" s="68"/>
      <c r="AST2" s="68"/>
      <c r="ASU2" s="68"/>
      <c r="ASV2" s="68"/>
      <c r="ASW2" s="68"/>
      <c r="ASX2" s="68"/>
      <c r="ASY2" s="68"/>
      <c r="ASZ2" s="68"/>
      <c r="ATA2" s="68"/>
      <c r="ATB2" s="68"/>
      <c r="ATC2" s="68"/>
      <c r="ATD2" s="68"/>
      <c r="ATE2" s="68"/>
      <c r="ATF2" s="68"/>
      <c r="ATG2" s="68"/>
      <c r="ATH2" s="68"/>
      <c r="ATI2" s="68"/>
      <c r="ATJ2" s="68"/>
      <c r="ATK2" s="68"/>
      <c r="ATL2" s="68"/>
      <c r="ATM2" s="68"/>
      <c r="ATN2" s="68"/>
      <c r="ATO2" s="68"/>
      <c r="ATP2" s="68"/>
      <c r="ATQ2" s="68"/>
      <c r="ATR2" s="68"/>
      <c r="ATS2" s="68"/>
      <c r="ATT2" s="68"/>
      <c r="ATU2" s="68"/>
      <c r="ATV2" s="68"/>
      <c r="ATW2" s="68"/>
      <c r="ATX2" s="68"/>
      <c r="ATY2" s="68"/>
      <c r="ATZ2" s="68"/>
      <c r="AUA2" s="68"/>
      <c r="AUB2" s="68"/>
      <c r="AUC2" s="68"/>
      <c r="AUD2" s="68"/>
      <c r="AUE2" s="68"/>
      <c r="AUF2" s="68"/>
      <c r="AUG2" s="68"/>
      <c r="AUH2" s="68"/>
      <c r="AUI2" s="68"/>
      <c r="AUJ2" s="68"/>
      <c r="AUK2" s="68"/>
      <c r="AUL2" s="68"/>
      <c r="AUM2" s="68"/>
      <c r="AUN2" s="68"/>
      <c r="AUO2" s="68"/>
      <c r="AUP2" s="68"/>
      <c r="AUQ2" s="68"/>
      <c r="AUR2" s="68"/>
      <c r="AUS2" s="68"/>
      <c r="AUT2" s="68"/>
      <c r="AUU2" s="68"/>
      <c r="AUV2" s="68"/>
      <c r="AUW2" s="68"/>
      <c r="AUX2" s="68"/>
      <c r="AUY2" s="68"/>
      <c r="AUZ2" s="68"/>
      <c r="AVA2" s="68"/>
      <c r="AVB2" s="68"/>
      <c r="AVC2" s="68"/>
      <c r="AVD2" s="68"/>
      <c r="AVE2" s="68"/>
      <c r="AVF2" s="68"/>
      <c r="AVG2" s="68"/>
      <c r="AVH2" s="68"/>
      <c r="AVI2" s="68"/>
      <c r="AVJ2" s="68"/>
      <c r="AVK2" s="68"/>
      <c r="AVL2" s="68"/>
      <c r="AVM2" s="68"/>
      <c r="AVN2" s="68"/>
      <c r="AVO2" s="68"/>
      <c r="AVP2" s="68"/>
      <c r="AVQ2" s="68"/>
      <c r="AVR2" s="68"/>
      <c r="AVS2" s="68"/>
      <c r="AVT2" s="68"/>
      <c r="AVU2" s="68"/>
      <c r="AVV2" s="68"/>
      <c r="AVW2" s="68"/>
      <c r="AVX2" s="68"/>
      <c r="AVY2" s="68"/>
      <c r="AVZ2" s="68"/>
      <c r="AWA2" s="68"/>
      <c r="AWB2" s="68"/>
      <c r="AWC2" s="68"/>
      <c r="AWD2" s="68"/>
      <c r="AWE2" s="68"/>
      <c r="AWF2" s="68"/>
      <c r="AWG2" s="68"/>
      <c r="AWH2" s="68"/>
      <c r="AWI2" s="68"/>
      <c r="AWJ2" s="68"/>
      <c r="AWK2" s="68"/>
      <c r="AWL2" s="68"/>
      <c r="AWM2" s="68"/>
      <c r="AWN2" s="68"/>
      <c r="AWO2" s="68"/>
      <c r="AWP2" s="68"/>
      <c r="AWQ2" s="68"/>
      <c r="AWR2" s="68"/>
      <c r="AWS2" s="68"/>
      <c r="AWT2" s="68"/>
      <c r="AWU2" s="68"/>
      <c r="AWV2" s="68"/>
      <c r="AWW2" s="68"/>
      <c r="AWX2" s="68"/>
      <c r="AWY2" s="68"/>
      <c r="AWZ2" s="68"/>
      <c r="AXA2" s="68"/>
      <c r="AXB2" s="68"/>
      <c r="AXC2" s="68"/>
      <c r="AXD2" s="68"/>
      <c r="AXE2" s="68"/>
      <c r="AXF2" s="68"/>
      <c r="AXG2" s="68"/>
      <c r="AXH2" s="68"/>
      <c r="AXI2" s="68"/>
      <c r="AXJ2" s="68"/>
      <c r="AXK2" s="68"/>
      <c r="AXL2" s="68"/>
      <c r="AXM2" s="68"/>
      <c r="AXN2" s="68"/>
      <c r="AXO2" s="68"/>
      <c r="AXP2" s="68"/>
      <c r="AXQ2" s="68"/>
      <c r="AXR2" s="68"/>
      <c r="AXS2" s="68"/>
      <c r="AXT2" s="68"/>
      <c r="AXU2" s="68"/>
      <c r="AXV2" s="68"/>
      <c r="AXW2" s="68"/>
      <c r="AXX2" s="68"/>
      <c r="AXY2" s="68"/>
      <c r="AXZ2" s="68"/>
      <c r="AYA2" s="68"/>
      <c r="AYB2" s="68"/>
      <c r="AYC2" s="68"/>
      <c r="AYD2" s="68"/>
      <c r="AYE2" s="68"/>
      <c r="AYF2" s="68"/>
      <c r="AYG2" s="68"/>
      <c r="AYH2" s="68"/>
      <c r="AYI2" s="68"/>
      <c r="AYJ2" s="68"/>
      <c r="AYK2" s="68"/>
      <c r="AYL2" s="68"/>
      <c r="AYM2" s="68"/>
      <c r="AYN2" s="68"/>
      <c r="AYO2" s="68"/>
      <c r="AYP2" s="68"/>
      <c r="AYQ2" s="68"/>
      <c r="AYR2" s="68"/>
      <c r="AYS2" s="68"/>
      <c r="AYT2" s="68"/>
      <c r="AYU2" s="68"/>
      <c r="AYV2" s="68"/>
      <c r="AYW2" s="68"/>
      <c r="AYX2" s="68"/>
      <c r="AYY2" s="68"/>
      <c r="AYZ2" s="68"/>
      <c r="AZA2" s="68"/>
      <c r="AZB2" s="68"/>
      <c r="AZC2" s="68"/>
      <c r="AZD2" s="68"/>
      <c r="AZE2" s="68"/>
      <c r="AZF2" s="68"/>
      <c r="AZG2" s="68"/>
      <c r="AZH2" s="68"/>
      <c r="AZI2" s="68"/>
      <c r="AZJ2" s="68"/>
      <c r="AZK2" s="68"/>
      <c r="AZL2" s="68"/>
      <c r="AZM2" s="68"/>
      <c r="AZN2" s="68"/>
      <c r="AZO2" s="68"/>
      <c r="AZP2" s="68"/>
      <c r="AZQ2" s="68"/>
      <c r="AZR2" s="68"/>
      <c r="AZS2" s="68"/>
      <c r="AZT2" s="68"/>
      <c r="AZU2" s="68"/>
      <c r="AZV2" s="68"/>
      <c r="AZW2" s="68"/>
      <c r="AZX2" s="68"/>
      <c r="AZY2" s="68"/>
      <c r="AZZ2" s="68"/>
      <c r="BAA2" s="68"/>
      <c r="BAB2" s="68"/>
      <c r="BAC2" s="68"/>
      <c r="BAD2" s="68"/>
      <c r="BAE2" s="68"/>
      <c r="BAF2" s="68"/>
      <c r="BAG2" s="68"/>
      <c r="BAH2" s="68"/>
      <c r="BAI2" s="68"/>
      <c r="BAJ2" s="68"/>
      <c r="BAK2" s="68"/>
      <c r="BAL2" s="68"/>
      <c r="BAM2" s="68"/>
      <c r="BAN2" s="68"/>
      <c r="BAO2" s="68"/>
      <c r="BAP2" s="68"/>
      <c r="BAQ2" s="68"/>
      <c r="BAR2" s="68"/>
      <c r="BAS2" s="68"/>
      <c r="BAT2" s="68"/>
      <c r="BAU2" s="68"/>
      <c r="BAV2" s="68"/>
      <c r="BAW2" s="68"/>
      <c r="BAX2" s="68"/>
      <c r="BAY2" s="68"/>
      <c r="BAZ2" s="68"/>
      <c r="BBA2" s="68"/>
      <c r="BBB2" s="68"/>
      <c r="BBC2" s="68"/>
      <c r="BBD2" s="68"/>
      <c r="BBE2" s="68"/>
      <c r="BBF2" s="68"/>
      <c r="BBG2" s="68"/>
      <c r="BBH2" s="68"/>
      <c r="BBI2" s="68"/>
      <c r="BBJ2" s="68"/>
      <c r="BBK2" s="68"/>
      <c r="BBL2" s="68"/>
      <c r="BBM2" s="68"/>
      <c r="BBN2" s="68"/>
      <c r="BBO2" s="68"/>
      <c r="BBP2" s="68"/>
      <c r="BBQ2" s="68"/>
      <c r="BBR2" s="68"/>
      <c r="BBS2" s="68"/>
      <c r="BBT2" s="68"/>
      <c r="BBU2" s="68"/>
      <c r="BBV2" s="68"/>
      <c r="BBW2" s="68"/>
      <c r="BBX2" s="68"/>
      <c r="BBY2" s="68"/>
      <c r="BBZ2" s="68"/>
      <c r="BCA2" s="68"/>
      <c r="BCB2" s="68"/>
      <c r="BCC2" s="68"/>
      <c r="BCD2" s="68"/>
      <c r="BCE2" s="68"/>
      <c r="BCF2" s="68"/>
      <c r="BCG2" s="68"/>
      <c r="BCH2" s="68"/>
      <c r="BCI2" s="68"/>
      <c r="BCJ2" s="68"/>
      <c r="BCK2" s="68"/>
      <c r="BCL2" s="68"/>
      <c r="BCM2" s="68"/>
      <c r="BCN2" s="68"/>
      <c r="BCO2" s="68"/>
      <c r="BCP2" s="68"/>
      <c r="BCQ2" s="68"/>
      <c r="BCR2" s="68"/>
      <c r="BCS2" s="68"/>
      <c r="BCT2" s="68"/>
      <c r="BCU2" s="68"/>
      <c r="BCV2" s="68"/>
      <c r="BCW2" s="68"/>
      <c r="BCX2" s="68"/>
      <c r="BCY2" s="68"/>
      <c r="BCZ2" s="68"/>
      <c r="BDA2" s="68"/>
      <c r="BDB2" s="68"/>
      <c r="BDC2" s="68"/>
      <c r="BDD2" s="68"/>
      <c r="BDE2" s="68"/>
      <c r="BDF2" s="68"/>
      <c r="BDG2" s="68"/>
      <c r="BDH2" s="68"/>
      <c r="BDI2" s="68"/>
      <c r="BDJ2" s="68"/>
      <c r="BDK2" s="68"/>
      <c r="BDL2" s="68"/>
      <c r="BDM2" s="68"/>
      <c r="BDN2" s="68"/>
      <c r="BDO2" s="68"/>
      <c r="BDP2" s="68"/>
      <c r="BDQ2" s="68"/>
      <c r="BDR2" s="68"/>
      <c r="BDS2" s="68"/>
      <c r="BDT2" s="68"/>
      <c r="BDU2" s="68"/>
      <c r="BDV2" s="68"/>
      <c r="BDW2" s="68"/>
      <c r="BDX2" s="68"/>
      <c r="BDY2" s="68"/>
      <c r="BDZ2" s="68"/>
      <c r="BEA2" s="68"/>
      <c r="BEB2" s="68"/>
      <c r="BEC2" s="68"/>
      <c r="BED2" s="68"/>
      <c r="BEE2" s="68"/>
      <c r="BEF2" s="68"/>
      <c r="BEG2" s="68"/>
      <c r="BEH2" s="68"/>
      <c r="BEI2" s="68"/>
      <c r="BEJ2" s="68"/>
      <c r="BEK2" s="68"/>
      <c r="BEL2" s="68"/>
      <c r="BEM2" s="68"/>
      <c r="BEN2" s="68"/>
      <c r="BEO2" s="68"/>
      <c r="BEP2" s="68"/>
      <c r="BEQ2" s="68"/>
      <c r="BER2" s="68"/>
      <c r="BES2" s="68"/>
      <c r="BET2" s="68"/>
      <c r="BEU2" s="68"/>
      <c r="BEV2" s="68"/>
      <c r="BEW2" s="68"/>
      <c r="BEX2" s="68"/>
      <c r="BEY2" s="68"/>
      <c r="BEZ2" s="68"/>
      <c r="BFA2" s="68"/>
      <c r="BFB2" s="68"/>
      <c r="BFC2" s="68"/>
      <c r="BFD2" s="68"/>
      <c r="BFE2" s="68"/>
      <c r="BFF2" s="68"/>
      <c r="BFG2" s="68"/>
      <c r="BFH2" s="68"/>
      <c r="BFI2" s="68"/>
      <c r="BFJ2" s="68"/>
      <c r="BFK2" s="68"/>
      <c r="BFL2" s="68"/>
      <c r="BFM2" s="68"/>
      <c r="BFN2" s="68"/>
      <c r="BFO2" s="68"/>
      <c r="BFP2" s="68"/>
      <c r="BFQ2" s="68"/>
      <c r="BFR2" s="68"/>
      <c r="BFS2" s="68"/>
      <c r="BFT2" s="68"/>
      <c r="BFU2" s="68"/>
      <c r="BFV2" s="68"/>
      <c r="BFW2" s="68"/>
      <c r="BFX2" s="68"/>
      <c r="BFY2" s="68"/>
      <c r="BFZ2" s="68"/>
      <c r="BGA2" s="68"/>
      <c r="BGB2" s="68"/>
      <c r="BGC2" s="68"/>
      <c r="BGD2" s="68"/>
      <c r="BGE2" s="68"/>
      <c r="BGF2" s="68"/>
      <c r="BGG2" s="68"/>
      <c r="BGH2" s="68"/>
      <c r="BGI2" s="68"/>
      <c r="BGJ2" s="68"/>
      <c r="BGK2" s="68"/>
      <c r="BGL2" s="68"/>
      <c r="BGM2" s="68"/>
      <c r="BGN2" s="68"/>
      <c r="BGO2" s="68"/>
      <c r="BGP2" s="68"/>
      <c r="BGQ2" s="68"/>
      <c r="BGR2" s="68"/>
      <c r="BGS2" s="68"/>
      <c r="BGT2" s="68"/>
      <c r="BGU2" s="68"/>
      <c r="BGV2" s="68"/>
      <c r="BGW2" s="68"/>
      <c r="BGX2" s="68"/>
      <c r="BGY2" s="68"/>
      <c r="BGZ2" s="68"/>
      <c r="BHA2" s="68"/>
      <c r="BHB2" s="68"/>
      <c r="BHC2" s="68"/>
      <c r="BHD2" s="68"/>
      <c r="BHE2" s="68"/>
      <c r="BHF2" s="68"/>
      <c r="BHG2" s="68"/>
      <c r="BHH2" s="68"/>
      <c r="BHI2" s="68"/>
      <c r="BHJ2" s="68"/>
      <c r="BHK2" s="68"/>
      <c r="BHL2" s="68"/>
      <c r="BHM2" s="68"/>
      <c r="BHN2" s="68"/>
      <c r="BHO2" s="68"/>
      <c r="BHP2" s="68"/>
      <c r="BHQ2" s="68"/>
      <c r="BHR2" s="68"/>
      <c r="BHS2" s="68"/>
      <c r="BHT2" s="68"/>
      <c r="BHU2" s="68"/>
      <c r="BHV2" s="68"/>
      <c r="BHW2" s="68"/>
      <c r="BHX2" s="68"/>
      <c r="BHY2" s="68"/>
      <c r="BHZ2" s="68"/>
      <c r="BIA2" s="68"/>
      <c r="BIB2" s="68"/>
      <c r="BIC2" s="68"/>
      <c r="BID2" s="68"/>
      <c r="BIE2" s="68"/>
      <c r="BIF2" s="68"/>
      <c r="BIG2" s="68"/>
      <c r="BIH2" s="68"/>
      <c r="BII2" s="68"/>
      <c r="BIJ2" s="68"/>
      <c r="BIK2" s="68"/>
      <c r="BIL2" s="68"/>
      <c r="BIM2" s="68"/>
      <c r="BIN2" s="68"/>
      <c r="BIO2" s="68"/>
      <c r="BIP2" s="68"/>
      <c r="BIQ2" s="68"/>
      <c r="BIR2" s="68"/>
      <c r="BIS2" s="68"/>
      <c r="BIT2" s="68"/>
      <c r="BIU2" s="68"/>
      <c r="BIV2" s="68"/>
      <c r="BIW2" s="68"/>
      <c r="BIX2" s="68"/>
      <c r="BIY2" s="68"/>
      <c r="BIZ2" s="68"/>
      <c r="BJA2" s="68"/>
      <c r="BJB2" s="68"/>
      <c r="BJC2" s="68"/>
      <c r="BJD2" s="68"/>
      <c r="BJE2" s="68"/>
      <c r="BJF2" s="68"/>
      <c r="BJG2" s="68"/>
      <c r="BJH2" s="68"/>
      <c r="BJI2" s="68"/>
      <c r="BJJ2" s="68"/>
      <c r="BJK2" s="68"/>
      <c r="BJL2" s="68"/>
      <c r="BJM2" s="68"/>
      <c r="BJN2" s="68"/>
      <c r="BJO2" s="68"/>
      <c r="BJP2" s="68"/>
      <c r="BJQ2" s="68"/>
      <c r="BJR2" s="68"/>
      <c r="BJS2" s="68"/>
      <c r="BJT2" s="68"/>
      <c r="BJU2" s="68"/>
      <c r="BJV2" s="68"/>
      <c r="BJW2" s="68"/>
      <c r="BJX2" s="68"/>
      <c r="BJY2" s="68"/>
      <c r="BJZ2" s="68"/>
      <c r="BKA2" s="68"/>
      <c r="BKB2" s="68"/>
      <c r="BKC2" s="68"/>
      <c r="BKD2" s="68"/>
      <c r="BKE2" s="68"/>
      <c r="BKF2" s="68"/>
      <c r="BKG2" s="68"/>
      <c r="BKH2" s="68"/>
      <c r="BKI2" s="68"/>
      <c r="BKJ2" s="68"/>
      <c r="BKK2" s="68"/>
      <c r="BKL2" s="68"/>
      <c r="BKM2" s="68"/>
      <c r="BKN2" s="68"/>
      <c r="BKO2" s="68"/>
      <c r="BKP2" s="68"/>
      <c r="BKQ2" s="68"/>
      <c r="BKR2" s="68"/>
      <c r="BKS2" s="68"/>
      <c r="BKT2" s="68"/>
      <c r="BKU2" s="68"/>
      <c r="BKV2" s="68"/>
      <c r="BKW2" s="68"/>
      <c r="BKX2" s="68"/>
      <c r="BKY2" s="68"/>
      <c r="BKZ2" s="68"/>
      <c r="BLA2" s="68"/>
      <c r="BLB2" s="68"/>
      <c r="BLC2" s="68"/>
      <c r="BLD2" s="68"/>
      <c r="BLE2" s="68"/>
      <c r="BLF2" s="68"/>
      <c r="BLG2" s="68"/>
      <c r="BLH2" s="68"/>
      <c r="BLI2" s="68"/>
      <c r="BLJ2" s="68"/>
      <c r="BLK2" s="68"/>
      <c r="BLL2" s="68"/>
      <c r="BLM2" s="68"/>
      <c r="BLN2" s="68"/>
      <c r="BLO2" s="68"/>
      <c r="BLP2" s="68"/>
      <c r="BLQ2" s="68"/>
      <c r="BLR2" s="68"/>
      <c r="BLS2" s="68"/>
      <c r="BLT2" s="68"/>
      <c r="BLU2" s="68"/>
      <c r="BLV2" s="68"/>
      <c r="BLW2" s="68"/>
      <c r="BLX2" s="68"/>
      <c r="BLY2" s="68"/>
      <c r="BLZ2" s="68"/>
      <c r="BMA2" s="68"/>
      <c r="BMB2" s="68"/>
      <c r="BMC2" s="68"/>
      <c r="BMD2" s="68"/>
      <c r="BME2" s="68"/>
      <c r="BMF2" s="68"/>
      <c r="BMG2" s="68"/>
      <c r="BMH2" s="68"/>
      <c r="BMI2" s="68"/>
      <c r="BMJ2" s="68"/>
      <c r="BMK2" s="68"/>
      <c r="BML2" s="68"/>
      <c r="BMM2" s="68"/>
      <c r="BMN2" s="68"/>
      <c r="BMO2" s="68"/>
      <c r="BMP2" s="68"/>
      <c r="BMQ2" s="68"/>
      <c r="BMR2" s="68"/>
      <c r="BMS2" s="68"/>
      <c r="BMT2" s="68"/>
      <c r="BMU2" s="68"/>
      <c r="BMV2" s="68"/>
      <c r="BMW2" s="68"/>
      <c r="BMX2" s="68"/>
      <c r="BMY2" s="68"/>
      <c r="BMZ2" s="68"/>
      <c r="BNA2" s="68"/>
      <c r="BNB2" s="68"/>
      <c r="BNC2" s="68"/>
      <c r="BND2" s="68"/>
      <c r="BNE2" s="68"/>
      <c r="BNF2" s="68"/>
      <c r="BNG2" s="68"/>
      <c r="BNH2" s="68"/>
      <c r="BNI2" s="68"/>
      <c r="BNJ2" s="68"/>
      <c r="BNK2" s="68"/>
      <c r="BNL2" s="68"/>
      <c r="BNM2" s="68"/>
      <c r="BNN2" s="68"/>
      <c r="BNO2" s="68"/>
      <c r="BNP2" s="68"/>
      <c r="BNQ2" s="68"/>
      <c r="BNR2" s="68"/>
      <c r="BNS2" s="68"/>
      <c r="BNT2" s="68"/>
      <c r="BNU2" s="68"/>
      <c r="BNV2" s="68"/>
      <c r="BNW2" s="68"/>
      <c r="BNX2" s="68"/>
      <c r="BNY2" s="68"/>
      <c r="BNZ2" s="68"/>
      <c r="BOA2" s="68"/>
      <c r="BOB2" s="68"/>
      <c r="BOC2" s="68"/>
      <c r="BOD2" s="68"/>
      <c r="BOE2" s="68"/>
      <c r="BOF2" s="68"/>
      <c r="BOG2" s="68"/>
      <c r="BOH2" s="68"/>
      <c r="BOI2" s="68"/>
      <c r="BOJ2" s="68"/>
      <c r="BOK2" s="68"/>
      <c r="BOL2" s="68"/>
      <c r="BOM2" s="68"/>
      <c r="BON2" s="68"/>
      <c r="BOO2" s="68"/>
      <c r="BOP2" s="68"/>
      <c r="BOQ2" s="68"/>
      <c r="BOR2" s="68"/>
      <c r="BOS2" s="68"/>
      <c r="BOT2" s="68"/>
      <c r="BOU2" s="68"/>
      <c r="BOV2" s="68"/>
      <c r="BOW2" s="68"/>
      <c r="BOX2" s="68"/>
      <c r="BOY2" s="68"/>
      <c r="BOZ2" s="68"/>
      <c r="BPA2" s="68"/>
      <c r="BPB2" s="68"/>
      <c r="BPC2" s="68"/>
      <c r="BPD2" s="68"/>
      <c r="BPE2" s="68"/>
      <c r="BPF2" s="68"/>
      <c r="BPG2" s="68"/>
      <c r="BPH2" s="68"/>
      <c r="BPI2" s="68"/>
      <c r="BPJ2" s="68"/>
      <c r="BPK2" s="68"/>
      <c r="BPL2" s="68"/>
      <c r="BPM2" s="68"/>
      <c r="BPN2" s="68"/>
      <c r="BPO2" s="68"/>
      <c r="BPP2" s="68"/>
      <c r="BPQ2" s="68"/>
      <c r="BPR2" s="68"/>
      <c r="BPS2" s="68"/>
      <c r="BPT2" s="68"/>
      <c r="BPU2" s="68"/>
      <c r="BPV2" s="68"/>
      <c r="BPW2" s="68"/>
      <c r="BPX2" s="68"/>
      <c r="BPY2" s="68"/>
      <c r="BPZ2" s="68"/>
      <c r="BQA2" s="68"/>
      <c r="BQB2" s="68"/>
      <c r="BQC2" s="68"/>
      <c r="BQD2" s="68"/>
      <c r="BQE2" s="68"/>
      <c r="BQF2" s="68"/>
      <c r="BQG2" s="68"/>
      <c r="BQH2" s="68"/>
      <c r="BQI2" s="68"/>
      <c r="BQJ2" s="68"/>
      <c r="BQK2" s="68"/>
      <c r="BQL2" s="68"/>
      <c r="BQM2" s="68"/>
      <c r="BQN2" s="68"/>
      <c r="BQO2" s="68"/>
      <c r="BQP2" s="68"/>
      <c r="BQQ2" s="68"/>
      <c r="BQR2" s="68"/>
      <c r="BQS2" s="68"/>
      <c r="BQT2" s="68"/>
      <c r="BQU2" s="68"/>
      <c r="BQV2" s="68"/>
      <c r="BQW2" s="68"/>
      <c r="BQX2" s="68"/>
      <c r="BQY2" s="68"/>
      <c r="BQZ2" s="68"/>
      <c r="BRA2" s="68"/>
      <c r="BRB2" s="68"/>
      <c r="BRC2" s="68"/>
      <c r="BRD2" s="68"/>
      <c r="BRE2" s="68"/>
      <c r="BRF2" s="68"/>
      <c r="BRG2" s="68"/>
      <c r="BRH2" s="68"/>
      <c r="BRI2" s="68"/>
      <c r="BRJ2" s="68"/>
      <c r="BRK2" s="68"/>
      <c r="BRL2" s="68"/>
      <c r="BRM2" s="68"/>
      <c r="BRN2" s="68"/>
      <c r="BRO2" s="68"/>
      <c r="BRP2" s="68"/>
      <c r="BRQ2" s="68"/>
      <c r="BRR2" s="68"/>
      <c r="BRS2" s="68"/>
      <c r="BRT2" s="68"/>
      <c r="BRU2" s="68"/>
      <c r="BRV2" s="68"/>
      <c r="BRW2" s="68"/>
      <c r="BRX2" s="68"/>
      <c r="BRY2" s="68"/>
      <c r="BRZ2" s="68"/>
      <c r="BSA2" s="68"/>
      <c r="BSB2" s="68"/>
      <c r="BSC2" s="68"/>
      <c r="BSD2" s="68"/>
      <c r="BSE2" s="68"/>
      <c r="BSF2" s="68"/>
      <c r="BSG2" s="68"/>
      <c r="BSH2" s="68"/>
      <c r="BSI2" s="68"/>
      <c r="BSJ2" s="68"/>
      <c r="BSK2" s="68"/>
      <c r="BSL2" s="68"/>
      <c r="BSM2" s="68"/>
      <c r="BSN2" s="68"/>
      <c r="BSO2" s="68"/>
      <c r="BSP2" s="68"/>
      <c r="BSQ2" s="68"/>
      <c r="BSR2" s="68"/>
      <c r="BSS2" s="68"/>
      <c r="BST2" s="68"/>
      <c r="BSU2" s="68"/>
      <c r="BSV2" s="68"/>
      <c r="BSW2" s="68"/>
      <c r="BSX2" s="68"/>
      <c r="BSY2" s="68"/>
      <c r="BSZ2" s="68"/>
      <c r="BTA2" s="68"/>
      <c r="BTB2" s="68"/>
      <c r="BTC2" s="68"/>
      <c r="BTD2" s="68"/>
      <c r="BTE2" s="68"/>
      <c r="BTF2" s="68"/>
      <c r="BTG2" s="68"/>
      <c r="BTH2" s="68"/>
      <c r="BTI2" s="68"/>
      <c r="BTJ2" s="68"/>
      <c r="BTK2" s="68"/>
      <c r="BTL2" s="68"/>
      <c r="BTM2" s="68"/>
      <c r="BTN2" s="68"/>
      <c r="BTO2" s="68"/>
      <c r="BTP2" s="68"/>
      <c r="BTQ2" s="68"/>
      <c r="BTR2" s="68"/>
      <c r="BTS2" s="68"/>
      <c r="BTT2" s="68"/>
      <c r="BTU2" s="68"/>
      <c r="BTV2" s="68"/>
      <c r="BTW2" s="68"/>
      <c r="BTX2" s="68"/>
      <c r="BTY2" s="68"/>
      <c r="BTZ2" s="68"/>
      <c r="BUA2" s="68"/>
      <c r="BUB2" s="68"/>
      <c r="BUC2" s="68"/>
      <c r="BUD2" s="68"/>
      <c r="BUE2" s="68"/>
      <c r="BUF2" s="68"/>
      <c r="BUG2" s="68"/>
      <c r="BUH2" s="68"/>
      <c r="BUI2" s="68"/>
      <c r="BUJ2" s="68"/>
      <c r="BUK2" s="68"/>
      <c r="BUL2" s="68"/>
      <c r="BUM2" s="68"/>
      <c r="BUN2" s="68"/>
      <c r="BUO2" s="68"/>
      <c r="BUP2" s="68"/>
      <c r="BUQ2" s="68"/>
      <c r="BUR2" s="68"/>
      <c r="BUS2" s="68"/>
      <c r="BUT2" s="68"/>
      <c r="BUU2" s="68"/>
      <c r="BUV2" s="68"/>
      <c r="BUW2" s="68"/>
      <c r="BUX2" s="68"/>
      <c r="BUY2" s="68"/>
      <c r="BUZ2" s="68"/>
      <c r="BVA2" s="68"/>
      <c r="BVB2" s="68"/>
      <c r="BVC2" s="68"/>
      <c r="BVD2" s="68"/>
      <c r="BVE2" s="68"/>
      <c r="BVF2" s="68"/>
      <c r="BVG2" s="68"/>
      <c r="BVH2" s="68"/>
      <c r="BVI2" s="68"/>
      <c r="BVJ2" s="68"/>
      <c r="BVK2" s="68"/>
      <c r="BVL2" s="68"/>
      <c r="BVM2" s="68"/>
      <c r="BVN2" s="68"/>
      <c r="BVO2" s="68"/>
      <c r="BVP2" s="68"/>
      <c r="BVQ2" s="68"/>
      <c r="BVR2" s="68"/>
      <c r="BVS2" s="68"/>
      <c r="BVT2" s="68"/>
      <c r="BVU2" s="68"/>
      <c r="BVV2" s="68"/>
      <c r="BVW2" s="68"/>
      <c r="BVX2" s="68"/>
      <c r="BVY2" s="68"/>
      <c r="BVZ2" s="68"/>
      <c r="BWA2" s="68"/>
      <c r="BWB2" s="68"/>
      <c r="BWC2" s="68"/>
      <c r="BWD2" s="68"/>
      <c r="BWE2" s="68"/>
      <c r="BWF2" s="68"/>
      <c r="BWG2" s="68"/>
      <c r="BWH2" s="68"/>
      <c r="BWI2" s="68"/>
      <c r="BWJ2" s="68"/>
      <c r="BWK2" s="68"/>
      <c r="BWL2" s="68"/>
      <c r="BWM2" s="68"/>
      <c r="BWN2" s="68"/>
      <c r="BWO2" s="68"/>
      <c r="BWP2" s="68"/>
      <c r="BWQ2" s="68"/>
      <c r="BWR2" s="68"/>
      <c r="BWS2" s="68"/>
      <c r="BWT2" s="68"/>
      <c r="BWU2" s="68"/>
      <c r="BWV2" s="68"/>
      <c r="BWW2" s="68"/>
      <c r="BWX2" s="68"/>
      <c r="BWY2" s="68"/>
      <c r="BWZ2" s="68"/>
      <c r="BXA2" s="68"/>
      <c r="BXB2" s="68"/>
      <c r="BXC2" s="68"/>
      <c r="BXD2" s="68"/>
      <c r="BXE2" s="68"/>
      <c r="BXF2" s="68"/>
      <c r="BXG2" s="68"/>
      <c r="BXH2" s="68"/>
      <c r="BXI2" s="68"/>
      <c r="BXJ2" s="68"/>
      <c r="BXK2" s="68"/>
      <c r="BXL2" s="68"/>
      <c r="BXM2" s="68"/>
      <c r="BXN2" s="68"/>
      <c r="BXO2" s="68"/>
      <c r="BXP2" s="68"/>
      <c r="BXQ2" s="68"/>
      <c r="BXR2" s="68"/>
      <c r="BXS2" s="68"/>
      <c r="BXT2" s="68"/>
      <c r="BXU2" s="68"/>
      <c r="BXV2" s="68"/>
      <c r="BXW2" s="68"/>
      <c r="BXX2" s="68"/>
      <c r="BXY2" s="68"/>
      <c r="BXZ2" s="68"/>
      <c r="BYA2" s="68"/>
      <c r="BYB2" s="68"/>
      <c r="BYC2" s="68"/>
      <c r="BYD2" s="68"/>
      <c r="BYE2" s="68"/>
      <c r="BYF2" s="68"/>
      <c r="BYG2" s="68"/>
      <c r="BYH2" s="68"/>
      <c r="BYI2" s="68"/>
      <c r="BYJ2" s="68"/>
      <c r="BYK2" s="68"/>
      <c r="BYL2" s="68"/>
      <c r="BYM2" s="68"/>
      <c r="BYN2" s="68"/>
      <c r="BYO2" s="68"/>
      <c r="BYP2" s="68"/>
      <c r="BYQ2" s="68"/>
      <c r="BYR2" s="68"/>
      <c r="BYS2" s="68"/>
      <c r="BYT2" s="68"/>
      <c r="BYU2" s="68"/>
      <c r="BYV2" s="68"/>
      <c r="BYW2" s="68"/>
      <c r="BYX2" s="68"/>
      <c r="BYY2" s="68"/>
      <c r="BYZ2" s="68"/>
      <c r="BZA2" s="68"/>
      <c r="BZB2" s="68"/>
      <c r="BZC2" s="68"/>
      <c r="BZD2" s="68"/>
      <c r="BZE2" s="68"/>
      <c r="BZF2" s="68"/>
      <c r="BZG2" s="68"/>
      <c r="BZH2" s="68"/>
      <c r="BZI2" s="68"/>
      <c r="BZJ2" s="68"/>
      <c r="BZK2" s="68"/>
      <c r="BZL2" s="68"/>
      <c r="BZM2" s="68"/>
      <c r="BZN2" s="68"/>
      <c r="BZO2" s="68"/>
      <c r="BZP2" s="68"/>
      <c r="BZQ2" s="68"/>
      <c r="BZR2" s="68"/>
      <c r="BZS2" s="68"/>
      <c r="BZT2" s="68"/>
      <c r="BZU2" s="68"/>
      <c r="BZV2" s="68"/>
      <c r="BZW2" s="68"/>
      <c r="BZX2" s="68"/>
      <c r="BZY2" s="68"/>
      <c r="BZZ2" s="68"/>
      <c r="CAA2" s="68"/>
      <c r="CAB2" s="68"/>
      <c r="CAC2" s="68"/>
      <c r="CAD2" s="68"/>
      <c r="CAE2" s="68"/>
      <c r="CAF2" s="68"/>
      <c r="CAG2" s="68"/>
      <c r="CAH2" s="68"/>
      <c r="CAI2" s="68"/>
      <c r="CAJ2" s="68"/>
      <c r="CAK2" s="68"/>
      <c r="CAL2" s="68"/>
      <c r="CAM2" s="68"/>
      <c r="CAN2" s="68"/>
      <c r="CAO2" s="68"/>
      <c r="CAP2" s="68"/>
      <c r="CAQ2" s="68"/>
      <c r="CAR2" s="68"/>
      <c r="CAS2" s="68"/>
      <c r="CAT2" s="68"/>
      <c r="CAU2" s="68"/>
      <c r="CAV2" s="68"/>
      <c r="CAW2" s="68"/>
      <c r="CAX2" s="68"/>
      <c r="CAY2" s="68"/>
      <c r="CAZ2" s="68"/>
      <c r="CBA2" s="68"/>
      <c r="CBB2" s="68"/>
      <c r="CBC2" s="68"/>
      <c r="CBD2" s="68"/>
      <c r="CBE2" s="68"/>
      <c r="CBF2" s="68"/>
      <c r="CBG2" s="68"/>
      <c r="CBH2" s="68"/>
      <c r="CBI2" s="68"/>
      <c r="CBJ2" s="68"/>
      <c r="CBK2" s="68"/>
      <c r="CBL2" s="68"/>
      <c r="CBM2" s="68"/>
      <c r="CBN2" s="68"/>
      <c r="CBO2" s="68"/>
      <c r="CBP2" s="68"/>
      <c r="CBQ2" s="68"/>
      <c r="CBR2" s="68"/>
      <c r="CBS2" s="68"/>
      <c r="CBT2" s="68"/>
      <c r="CBU2" s="68"/>
      <c r="CBV2" s="68"/>
      <c r="CBW2" s="68"/>
      <c r="CBX2" s="68"/>
      <c r="CBY2" s="68"/>
      <c r="CBZ2" s="68"/>
      <c r="CCA2" s="68"/>
      <c r="CCB2" s="68"/>
      <c r="CCC2" s="68"/>
      <c r="CCD2" s="68"/>
      <c r="CCE2" s="68"/>
      <c r="CCF2" s="68"/>
      <c r="CCG2" s="68"/>
      <c r="CCH2" s="68"/>
      <c r="CCI2" s="68"/>
      <c r="CCJ2" s="68"/>
      <c r="CCK2" s="68"/>
      <c r="CCL2" s="68"/>
      <c r="CCM2" s="68"/>
      <c r="CCN2" s="68"/>
      <c r="CCO2" s="68"/>
      <c r="CCP2" s="68"/>
      <c r="CCQ2" s="68"/>
      <c r="CCR2" s="68"/>
      <c r="CCS2" s="68"/>
      <c r="CCT2" s="68"/>
      <c r="CCU2" s="68"/>
      <c r="CCV2" s="68"/>
      <c r="CCW2" s="68"/>
      <c r="CCX2" s="68"/>
      <c r="CCY2" s="68"/>
      <c r="CCZ2" s="68"/>
      <c r="CDA2" s="68"/>
      <c r="CDB2" s="68"/>
      <c r="CDC2" s="68"/>
      <c r="CDD2" s="68"/>
      <c r="CDE2" s="68"/>
      <c r="CDF2" s="68"/>
      <c r="CDG2" s="68"/>
      <c r="CDH2" s="68"/>
      <c r="CDI2" s="68"/>
      <c r="CDJ2" s="68"/>
      <c r="CDK2" s="68"/>
      <c r="CDL2" s="68"/>
      <c r="CDM2" s="68"/>
      <c r="CDN2" s="68"/>
      <c r="CDO2" s="68"/>
      <c r="CDP2" s="68"/>
      <c r="CDQ2" s="68"/>
      <c r="CDR2" s="68"/>
      <c r="CDS2" s="68"/>
      <c r="CDT2" s="68"/>
      <c r="CDU2" s="68"/>
      <c r="CDV2" s="68"/>
      <c r="CDW2" s="68"/>
      <c r="CDX2" s="68"/>
      <c r="CDY2" s="68"/>
      <c r="CDZ2" s="68"/>
      <c r="CEA2" s="68"/>
      <c r="CEB2" s="68"/>
      <c r="CEC2" s="68"/>
      <c r="CED2" s="68"/>
      <c r="CEE2" s="68"/>
      <c r="CEF2" s="68"/>
      <c r="CEG2" s="68"/>
      <c r="CEH2" s="68"/>
      <c r="CEI2" s="68"/>
      <c r="CEJ2" s="68"/>
      <c r="CEK2" s="68"/>
      <c r="CEL2" s="68"/>
      <c r="CEM2" s="68"/>
      <c r="CEN2" s="68"/>
      <c r="CEO2" s="68"/>
      <c r="CEP2" s="68"/>
      <c r="CEQ2" s="68"/>
      <c r="CER2" s="68"/>
      <c r="CES2" s="68"/>
      <c r="CET2" s="68"/>
      <c r="CEU2" s="68"/>
      <c r="CEV2" s="68"/>
      <c r="CEW2" s="68"/>
      <c r="CEX2" s="68"/>
      <c r="CEY2" s="68"/>
      <c r="CEZ2" s="68"/>
      <c r="CFA2" s="68"/>
      <c r="CFB2" s="68"/>
      <c r="CFC2" s="68"/>
      <c r="CFD2" s="68"/>
      <c r="CFE2" s="68"/>
      <c r="CFF2" s="68"/>
      <c r="CFG2" s="68"/>
      <c r="CFH2" s="68"/>
      <c r="CFI2" s="68"/>
      <c r="CFJ2" s="68"/>
      <c r="CFK2" s="68"/>
      <c r="CFL2" s="68"/>
      <c r="CFM2" s="68"/>
      <c r="CFN2" s="68"/>
      <c r="CFO2" s="68"/>
      <c r="CFP2" s="68"/>
      <c r="CFQ2" s="68"/>
      <c r="CFR2" s="68"/>
      <c r="CFS2" s="68"/>
      <c r="CFT2" s="68"/>
      <c r="CFU2" s="68"/>
      <c r="CFV2" s="68"/>
      <c r="CFW2" s="68"/>
      <c r="CFX2" s="68"/>
      <c r="CFY2" s="68"/>
      <c r="CFZ2" s="68"/>
      <c r="CGA2" s="68"/>
      <c r="CGB2" s="68"/>
      <c r="CGC2" s="68"/>
      <c r="CGD2" s="68"/>
      <c r="CGE2" s="68"/>
      <c r="CGF2" s="68"/>
      <c r="CGG2" s="68"/>
      <c r="CGH2" s="68"/>
      <c r="CGI2" s="68"/>
      <c r="CGJ2" s="68"/>
      <c r="CGK2" s="68"/>
      <c r="CGL2" s="68"/>
      <c r="CGM2" s="68"/>
      <c r="CGN2" s="68"/>
      <c r="CGO2" s="68"/>
      <c r="CGP2" s="68"/>
      <c r="CGQ2" s="68"/>
      <c r="CGR2" s="68"/>
      <c r="CGS2" s="68"/>
      <c r="CGT2" s="68"/>
      <c r="CGU2" s="68"/>
      <c r="CGV2" s="68"/>
      <c r="CGW2" s="68"/>
      <c r="CGX2" s="68"/>
      <c r="CGY2" s="68"/>
      <c r="CGZ2" s="68"/>
      <c r="CHA2" s="68"/>
      <c r="CHB2" s="68"/>
      <c r="CHC2" s="68"/>
      <c r="CHD2" s="68"/>
      <c r="CHE2" s="68"/>
      <c r="CHF2" s="68"/>
      <c r="CHG2" s="68"/>
      <c r="CHH2" s="68"/>
      <c r="CHI2" s="68"/>
      <c r="CHJ2" s="68"/>
      <c r="CHK2" s="68"/>
      <c r="CHL2" s="68"/>
      <c r="CHM2" s="68"/>
      <c r="CHN2" s="68"/>
      <c r="CHO2" s="68"/>
      <c r="CHP2" s="68"/>
      <c r="CHQ2" s="68"/>
      <c r="CHR2" s="68"/>
      <c r="CHS2" s="68"/>
      <c r="CHT2" s="68"/>
      <c r="CHU2" s="68"/>
      <c r="CHV2" s="68"/>
      <c r="CHW2" s="68"/>
      <c r="CHX2" s="68"/>
      <c r="CHY2" s="68"/>
      <c r="CHZ2" s="68"/>
      <c r="CIA2" s="68"/>
      <c r="CIB2" s="68"/>
      <c r="CIC2" s="68"/>
      <c r="CID2" s="68"/>
      <c r="CIE2" s="68"/>
      <c r="CIF2" s="68"/>
      <c r="CIG2" s="68"/>
      <c r="CIH2" s="68"/>
      <c r="CII2" s="68"/>
      <c r="CIJ2" s="68"/>
      <c r="CIK2" s="68"/>
      <c r="CIL2" s="68"/>
      <c r="CIM2" s="68"/>
      <c r="CIN2" s="68"/>
      <c r="CIO2" s="68"/>
      <c r="CIP2" s="68"/>
      <c r="CIQ2" s="68"/>
      <c r="CIR2" s="68"/>
      <c r="CIS2" s="68"/>
      <c r="CIT2" s="68"/>
      <c r="CIU2" s="68"/>
      <c r="CIV2" s="68"/>
      <c r="CIW2" s="68"/>
      <c r="CIX2" s="68"/>
      <c r="CIY2" s="68"/>
      <c r="CIZ2" s="68"/>
      <c r="CJA2" s="68"/>
      <c r="CJB2" s="68"/>
      <c r="CJC2" s="68"/>
      <c r="CJD2" s="68"/>
      <c r="CJE2" s="68"/>
      <c r="CJF2" s="68"/>
      <c r="CJG2" s="68"/>
      <c r="CJH2" s="68"/>
      <c r="CJI2" s="68"/>
      <c r="CJJ2" s="68"/>
      <c r="CJK2" s="68"/>
      <c r="CJL2" s="68"/>
      <c r="CJM2" s="68"/>
      <c r="CJN2" s="68"/>
      <c r="CJO2" s="68"/>
      <c r="CJP2" s="68"/>
      <c r="CJQ2" s="68"/>
      <c r="CJR2" s="68"/>
      <c r="CJS2" s="68"/>
      <c r="CJT2" s="68"/>
      <c r="CJU2" s="68"/>
      <c r="CJV2" s="68"/>
      <c r="CJW2" s="68"/>
      <c r="CJX2" s="68"/>
      <c r="CJY2" s="68"/>
      <c r="CJZ2" s="68"/>
      <c r="CKA2" s="68"/>
      <c r="CKB2" s="68"/>
      <c r="CKC2" s="68"/>
      <c r="CKD2" s="68"/>
      <c r="CKE2" s="68"/>
      <c r="CKF2" s="68"/>
      <c r="CKG2" s="68"/>
      <c r="CKH2" s="68"/>
      <c r="CKI2" s="68"/>
      <c r="CKJ2" s="68"/>
      <c r="CKK2" s="68"/>
      <c r="CKL2" s="68"/>
      <c r="CKM2" s="68"/>
      <c r="CKN2" s="68"/>
      <c r="CKO2" s="68"/>
      <c r="CKP2" s="68"/>
      <c r="CKQ2" s="68"/>
      <c r="CKR2" s="68"/>
      <c r="CKS2" s="68"/>
      <c r="CKT2" s="68"/>
      <c r="CKU2" s="68"/>
      <c r="CKV2" s="68"/>
      <c r="CKW2" s="68"/>
      <c r="CKX2" s="68"/>
      <c r="CKY2" s="68"/>
      <c r="CKZ2" s="68"/>
      <c r="CLA2" s="68"/>
      <c r="CLB2" s="68"/>
      <c r="CLC2" s="68"/>
      <c r="CLD2" s="68"/>
      <c r="CLE2" s="68"/>
      <c r="CLF2" s="68"/>
      <c r="CLG2" s="68"/>
      <c r="CLH2" s="68"/>
      <c r="CLI2" s="68"/>
      <c r="CLJ2" s="68"/>
      <c r="CLK2" s="68"/>
      <c r="CLL2" s="68"/>
      <c r="CLM2" s="68"/>
      <c r="CLN2" s="68"/>
      <c r="CLO2" s="68"/>
      <c r="CLP2" s="68"/>
      <c r="CLQ2" s="68"/>
      <c r="CLR2" s="68"/>
      <c r="CLS2" s="68"/>
      <c r="CLT2" s="68"/>
      <c r="CLU2" s="68"/>
      <c r="CLV2" s="68"/>
      <c r="CLW2" s="68"/>
      <c r="CLX2" s="68"/>
      <c r="CLY2" s="68"/>
      <c r="CLZ2" s="68"/>
      <c r="CMA2" s="68"/>
      <c r="CMB2" s="68"/>
      <c r="CMC2" s="68"/>
      <c r="CMD2" s="68"/>
      <c r="CME2" s="68"/>
      <c r="CMF2" s="68"/>
      <c r="CMG2" s="68"/>
      <c r="CMH2" s="68"/>
      <c r="CMI2" s="68"/>
      <c r="CMJ2" s="68"/>
      <c r="CMK2" s="68"/>
      <c r="CML2" s="68"/>
      <c r="CMM2" s="68"/>
      <c r="CMN2" s="68"/>
      <c r="CMO2" s="68"/>
      <c r="CMP2" s="68"/>
      <c r="CMQ2" s="68"/>
      <c r="CMR2" s="68"/>
      <c r="CMS2" s="68"/>
      <c r="CMT2" s="68"/>
      <c r="CMU2" s="68"/>
      <c r="CMV2" s="68"/>
      <c r="CMW2" s="68"/>
      <c r="CMX2" s="68"/>
      <c r="CMY2" s="68"/>
      <c r="CMZ2" s="68"/>
      <c r="CNA2" s="68"/>
      <c r="CNB2" s="68"/>
      <c r="CNC2" s="68"/>
      <c r="CND2" s="68"/>
      <c r="CNE2" s="68"/>
      <c r="CNF2" s="68"/>
      <c r="CNG2" s="68"/>
      <c r="CNH2" s="68"/>
      <c r="CNI2" s="68"/>
      <c r="CNJ2" s="68"/>
      <c r="CNK2" s="68"/>
      <c r="CNL2" s="68"/>
      <c r="CNM2" s="68"/>
      <c r="CNN2" s="68"/>
      <c r="CNO2" s="68"/>
      <c r="CNP2" s="68"/>
      <c r="CNQ2" s="68"/>
      <c r="CNR2" s="68"/>
      <c r="CNS2" s="68"/>
      <c r="CNT2" s="68"/>
      <c r="CNU2" s="68"/>
      <c r="CNV2" s="68"/>
      <c r="CNW2" s="68"/>
      <c r="CNX2" s="68"/>
      <c r="CNY2" s="68"/>
      <c r="CNZ2" s="68"/>
      <c r="COA2" s="68"/>
      <c r="COB2" s="68"/>
      <c r="COC2" s="68"/>
      <c r="COD2" s="68"/>
      <c r="COE2" s="68"/>
      <c r="COF2" s="68"/>
      <c r="COG2" s="68"/>
      <c r="COH2" s="68"/>
      <c r="COI2" s="68"/>
      <c r="COJ2" s="68"/>
      <c r="COK2" s="68"/>
      <c r="COL2" s="68"/>
      <c r="COM2" s="68"/>
      <c r="CON2" s="68"/>
      <c r="COO2" s="68"/>
      <c r="COP2" s="68"/>
      <c r="COQ2" s="68"/>
      <c r="COR2" s="68"/>
      <c r="COS2" s="68"/>
      <c r="COT2" s="68"/>
      <c r="COU2" s="68"/>
      <c r="COV2" s="68"/>
      <c r="COW2" s="68"/>
      <c r="COX2" s="68"/>
      <c r="COY2" s="68"/>
      <c r="COZ2" s="68"/>
      <c r="CPA2" s="68"/>
      <c r="CPB2" s="68"/>
      <c r="CPC2" s="68"/>
      <c r="CPD2" s="68"/>
      <c r="CPE2" s="68"/>
      <c r="CPF2" s="68"/>
      <c r="CPG2" s="68"/>
      <c r="CPH2" s="68"/>
      <c r="CPI2" s="68"/>
      <c r="CPJ2" s="68"/>
      <c r="CPK2" s="68"/>
      <c r="CPL2" s="68"/>
      <c r="CPM2" s="68"/>
      <c r="CPN2" s="68"/>
      <c r="CPO2" s="68"/>
      <c r="CPP2" s="68"/>
      <c r="CPQ2" s="68"/>
      <c r="CPR2" s="68"/>
      <c r="CPS2" s="68"/>
      <c r="CPT2" s="68"/>
      <c r="CPU2" s="68"/>
      <c r="CPV2" s="68"/>
      <c r="CPW2" s="68"/>
      <c r="CPX2" s="68"/>
      <c r="CPY2" s="68"/>
      <c r="CPZ2" s="68"/>
      <c r="CQA2" s="68"/>
      <c r="CQB2" s="68"/>
      <c r="CQC2" s="68"/>
      <c r="CQD2" s="68"/>
      <c r="CQE2" s="68"/>
      <c r="CQF2" s="68"/>
      <c r="CQG2" s="68"/>
      <c r="CQH2" s="68"/>
      <c r="CQI2" s="68"/>
      <c r="CQJ2" s="68"/>
      <c r="CQK2" s="68"/>
      <c r="CQL2" s="68"/>
      <c r="CQM2" s="68"/>
      <c r="CQN2" s="68"/>
      <c r="CQO2" s="68"/>
      <c r="CQP2" s="68"/>
      <c r="CQQ2" s="68"/>
      <c r="CQR2" s="68"/>
      <c r="CQS2" s="68"/>
      <c r="CQT2" s="68"/>
      <c r="CQU2" s="68"/>
      <c r="CQV2" s="68"/>
      <c r="CQW2" s="68"/>
      <c r="CQX2" s="68"/>
      <c r="CQY2" s="68"/>
      <c r="CQZ2" s="68"/>
      <c r="CRA2" s="68"/>
      <c r="CRB2" s="68"/>
      <c r="CRC2" s="68"/>
      <c r="CRD2" s="68"/>
      <c r="CRE2" s="68"/>
      <c r="CRF2" s="68"/>
      <c r="CRG2" s="68"/>
      <c r="CRH2" s="68"/>
      <c r="CRI2" s="68"/>
      <c r="CRJ2" s="68"/>
      <c r="CRK2" s="68"/>
      <c r="CRL2" s="68"/>
      <c r="CRM2" s="68"/>
      <c r="CRN2" s="68"/>
      <c r="CRO2" s="68"/>
      <c r="CRP2" s="68"/>
      <c r="CRQ2" s="68"/>
      <c r="CRR2" s="68"/>
      <c r="CRS2" s="68"/>
      <c r="CRT2" s="68"/>
      <c r="CRU2" s="68"/>
      <c r="CRV2" s="68"/>
      <c r="CRW2" s="68"/>
      <c r="CRX2" s="68"/>
      <c r="CRY2" s="68"/>
      <c r="CRZ2" s="68"/>
      <c r="CSA2" s="68"/>
      <c r="CSB2" s="68"/>
      <c r="CSC2" s="68"/>
      <c r="CSD2" s="68"/>
      <c r="CSE2" s="68"/>
      <c r="CSF2" s="68"/>
      <c r="CSG2" s="68"/>
      <c r="CSH2" s="68"/>
      <c r="CSI2" s="68"/>
      <c r="CSJ2" s="68"/>
      <c r="CSK2" s="68"/>
      <c r="CSL2" s="68"/>
      <c r="CSM2" s="68"/>
      <c r="CSN2" s="68"/>
      <c r="CSO2" s="68"/>
      <c r="CSP2" s="68"/>
      <c r="CSQ2" s="68"/>
      <c r="CSR2" s="68"/>
      <c r="CSS2" s="68"/>
      <c r="CST2" s="68"/>
      <c r="CSU2" s="68"/>
      <c r="CSV2" s="68"/>
      <c r="CSW2" s="68"/>
      <c r="CSX2" s="68"/>
      <c r="CSY2" s="68"/>
      <c r="CSZ2" s="68"/>
      <c r="CTA2" s="68"/>
      <c r="CTB2" s="68"/>
      <c r="CTC2" s="68"/>
      <c r="CTD2" s="68"/>
      <c r="CTE2" s="68"/>
      <c r="CTF2" s="68"/>
      <c r="CTG2" s="68"/>
      <c r="CTH2" s="68"/>
      <c r="CTI2" s="68"/>
      <c r="CTJ2" s="68"/>
      <c r="CTK2" s="68"/>
      <c r="CTL2" s="68"/>
      <c r="CTM2" s="68"/>
      <c r="CTN2" s="68"/>
      <c r="CTO2" s="68"/>
      <c r="CTP2" s="68"/>
      <c r="CTQ2" s="68"/>
      <c r="CTR2" s="68"/>
      <c r="CTS2" s="68"/>
      <c r="CTT2" s="68"/>
      <c r="CTU2" s="68"/>
      <c r="CTV2" s="68"/>
      <c r="CTW2" s="68"/>
      <c r="CTX2" s="68"/>
      <c r="CTY2" s="68"/>
      <c r="CTZ2" s="68"/>
      <c r="CUA2" s="68"/>
      <c r="CUB2" s="68"/>
      <c r="CUC2" s="68"/>
      <c r="CUD2" s="68"/>
      <c r="CUE2" s="68"/>
      <c r="CUF2" s="68"/>
      <c r="CUG2" s="68"/>
      <c r="CUH2" s="68"/>
      <c r="CUI2" s="68"/>
      <c r="CUJ2" s="68"/>
      <c r="CUK2" s="68"/>
      <c r="CUL2" s="68"/>
      <c r="CUM2" s="68"/>
      <c r="CUN2" s="68"/>
      <c r="CUO2" s="68"/>
      <c r="CUP2" s="68"/>
      <c r="CUQ2" s="68"/>
      <c r="CUR2" s="68"/>
      <c r="CUS2" s="68"/>
      <c r="CUT2" s="68"/>
      <c r="CUU2" s="68"/>
      <c r="CUV2" s="68"/>
      <c r="CUW2" s="68"/>
      <c r="CUX2" s="68"/>
      <c r="CUY2" s="68"/>
      <c r="CUZ2" s="68"/>
      <c r="CVA2" s="68"/>
      <c r="CVB2" s="68"/>
      <c r="CVC2" s="68"/>
      <c r="CVD2" s="68"/>
      <c r="CVE2" s="68"/>
      <c r="CVF2" s="68"/>
      <c r="CVG2" s="68"/>
      <c r="CVH2" s="68"/>
      <c r="CVI2" s="68"/>
      <c r="CVJ2" s="68"/>
      <c r="CVK2" s="68"/>
      <c r="CVL2" s="68"/>
      <c r="CVM2" s="68"/>
      <c r="CVN2" s="68"/>
      <c r="CVO2" s="68"/>
      <c r="CVP2" s="68"/>
      <c r="CVQ2" s="68"/>
      <c r="CVR2" s="68"/>
      <c r="CVS2" s="68"/>
      <c r="CVT2" s="68"/>
      <c r="CVU2" s="68"/>
      <c r="CVV2" s="68"/>
      <c r="CVW2" s="68"/>
      <c r="CVX2" s="68"/>
      <c r="CVY2" s="68"/>
      <c r="CVZ2" s="68"/>
      <c r="CWA2" s="68"/>
      <c r="CWB2" s="68"/>
      <c r="CWC2" s="68"/>
      <c r="CWD2" s="68"/>
      <c r="CWE2" s="68"/>
      <c r="CWF2" s="68"/>
      <c r="CWG2" s="68"/>
      <c r="CWH2" s="68"/>
      <c r="CWI2" s="68"/>
      <c r="CWJ2" s="68"/>
      <c r="CWK2" s="68"/>
      <c r="CWL2" s="68"/>
      <c r="CWM2" s="68"/>
      <c r="CWN2" s="68"/>
      <c r="CWO2" s="68"/>
      <c r="CWP2" s="68"/>
      <c r="CWQ2" s="68"/>
      <c r="CWR2" s="68"/>
      <c r="CWS2" s="68"/>
      <c r="CWT2" s="68"/>
      <c r="CWU2" s="68"/>
      <c r="CWV2" s="68"/>
      <c r="CWW2" s="68"/>
      <c r="CWX2" s="68"/>
      <c r="CWY2" s="68"/>
      <c r="CWZ2" s="68"/>
      <c r="CXA2" s="68"/>
      <c r="CXB2" s="68"/>
      <c r="CXC2" s="68"/>
      <c r="CXD2" s="68"/>
      <c r="CXE2" s="68"/>
      <c r="CXF2" s="68"/>
      <c r="CXG2" s="68"/>
      <c r="CXH2" s="68"/>
      <c r="CXI2" s="68"/>
      <c r="CXJ2" s="68"/>
      <c r="CXK2" s="68"/>
      <c r="CXL2" s="68"/>
      <c r="CXM2" s="68"/>
      <c r="CXN2" s="68"/>
      <c r="CXO2" s="68"/>
      <c r="CXP2" s="68"/>
      <c r="CXQ2" s="68"/>
      <c r="CXR2" s="68"/>
      <c r="CXS2" s="68"/>
      <c r="CXT2" s="68"/>
      <c r="CXU2" s="68"/>
      <c r="CXV2" s="68"/>
      <c r="CXW2" s="68"/>
      <c r="CXX2" s="68"/>
      <c r="CXY2" s="68"/>
      <c r="CXZ2" s="68"/>
      <c r="CYA2" s="68"/>
      <c r="CYB2" s="68"/>
      <c r="CYC2" s="68"/>
      <c r="CYD2" s="68"/>
      <c r="CYE2" s="68"/>
      <c r="CYF2" s="68"/>
      <c r="CYG2" s="68"/>
      <c r="CYH2" s="68"/>
      <c r="CYI2" s="68"/>
      <c r="CYJ2" s="68"/>
      <c r="CYK2" s="68"/>
      <c r="CYL2" s="68"/>
      <c r="CYM2" s="68"/>
      <c r="CYN2" s="68"/>
      <c r="CYO2" s="68"/>
      <c r="CYP2" s="68"/>
      <c r="CYQ2" s="68"/>
      <c r="CYR2" s="68"/>
      <c r="CYS2" s="68"/>
      <c r="CYT2" s="68"/>
      <c r="CYU2" s="68"/>
      <c r="CYV2" s="68"/>
      <c r="CYW2" s="68"/>
      <c r="CYX2" s="68"/>
      <c r="CYY2" s="68"/>
      <c r="CYZ2" s="68"/>
      <c r="CZA2" s="68"/>
      <c r="CZB2" s="68"/>
      <c r="CZC2" s="68"/>
      <c r="CZD2" s="68"/>
      <c r="CZE2" s="68"/>
      <c r="CZF2" s="68"/>
      <c r="CZG2" s="68"/>
      <c r="CZH2" s="68"/>
      <c r="CZI2" s="68"/>
      <c r="CZJ2" s="68"/>
      <c r="CZK2" s="68"/>
      <c r="CZL2" s="68"/>
      <c r="CZM2" s="68"/>
      <c r="CZN2" s="68"/>
      <c r="CZO2" s="68"/>
      <c r="CZP2" s="68"/>
      <c r="CZQ2" s="68"/>
      <c r="CZR2" s="68"/>
      <c r="CZS2" s="68"/>
      <c r="CZT2" s="68"/>
      <c r="CZU2" s="68"/>
      <c r="CZV2" s="68"/>
      <c r="CZW2" s="68"/>
      <c r="CZX2" s="68"/>
      <c r="CZY2" s="68"/>
      <c r="CZZ2" s="68"/>
      <c r="DAA2" s="68"/>
      <c r="DAB2" s="68"/>
      <c r="DAC2" s="68"/>
      <c r="DAD2" s="68"/>
      <c r="DAE2" s="68"/>
      <c r="DAF2" s="68"/>
      <c r="DAG2" s="68"/>
      <c r="DAH2" s="68"/>
      <c r="DAI2" s="68"/>
      <c r="DAJ2" s="68"/>
      <c r="DAK2" s="68"/>
      <c r="DAL2" s="68"/>
      <c r="DAM2" s="68"/>
      <c r="DAN2" s="68"/>
      <c r="DAO2" s="68"/>
      <c r="DAP2" s="68"/>
      <c r="DAQ2" s="68"/>
      <c r="DAR2" s="68"/>
      <c r="DAS2" s="68"/>
      <c r="DAT2" s="68"/>
      <c r="DAU2" s="68"/>
      <c r="DAV2" s="68"/>
      <c r="DAW2" s="68"/>
      <c r="DAX2" s="68"/>
      <c r="DAY2" s="68"/>
      <c r="DAZ2" s="68"/>
      <c r="DBA2" s="68"/>
      <c r="DBB2" s="68"/>
      <c r="DBC2" s="68"/>
      <c r="DBD2" s="68"/>
      <c r="DBE2" s="68"/>
      <c r="DBF2" s="68"/>
      <c r="DBG2" s="68"/>
      <c r="DBH2" s="68"/>
      <c r="DBI2" s="68"/>
      <c r="DBJ2" s="68"/>
      <c r="DBK2" s="68"/>
      <c r="DBL2" s="68"/>
      <c r="DBM2" s="68"/>
      <c r="DBN2" s="68"/>
      <c r="DBO2" s="68"/>
      <c r="DBP2" s="68"/>
      <c r="DBQ2" s="68"/>
      <c r="DBR2" s="68"/>
      <c r="DBS2" s="68"/>
      <c r="DBT2" s="68"/>
      <c r="DBU2" s="68"/>
      <c r="DBV2" s="68"/>
      <c r="DBW2" s="68"/>
      <c r="DBX2" s="68"/>
      <c r="DBY2" s="68"/>
      <c r="DBZ2" s="68"/>
      <c r="DCA2" s="68"/>
      <c r="DCB2" s="68"/>
      <c r="DCC2" s="68"/>
      <c r="DCD2" s="68"/>
      <c r="DCE2" s="68"/>
      <c r="DCF2" s="68"/>
      <c r="DCG2" s="68"/>
      <c r="DCH2" s="68"/>
      <c r="DCI2" s="68"/>
      <c r="DCJ2" s="68"/>
      <c r="DCK2" s="68"/>
      <c r="DCL2" s="68"/>
      <c r="DCM2" s="68"/>
      <c r="DCN2" s="68"/>
      <c r="DCO2" s="68"/>
      <c r="DCP2" s="68"/>
      <c r="DCQ2" s="68"/>
      <c r="DCR2" s="68"/>
      <c r="DCS2" s="68"/>
      <c r="DCT2" s="68"/>
      <c r="DCU2" s="68"/>
      <c r="DCV2" s="68"/>
      <c r="DCW2" s="68"/>
      <c r="DCX2" s="68"/>
      <c r="DCY2" s="68"/>
      <c r="DCZ2" s="68"/>
      <c r="DDA2" s="68"/>
      <c r="DDB2" s="68"/>
      <c r="DDC2" s="68"/>
      <c r="DDD2" s="68"/>
      <c r="DDE2" s="68"/>
      <c r="DDF2" s="68"/>
      <c r="DDG2" s="68"/>
      <c r="DDH2" s="68"/>
      <c r="DDI2" s="68"/>
      <c r="DDJ2" s="68"/>
      <c r="DDK2" s="68"/>
      <c r="DDL2" s="68"/>
      <c r="DDM2" s="68"/>
      <c r="DDN2" s="68"/>
      <c r="DDO2" s="68"/>
      <c r="DDP2" s="68"/>
      <c r="DDQ2" s="68"/>
      <c r="DDR2" s="68"/>
      <c r="DDS2" s="68"/>
      <c r="DDT2" s="68"/>
      <c r="DDU2" s="68"/>
      <c r="DDV2" s="68"/>
      <c r="DDW2" s="68"/>
      <c r="DDX2" s="68"/>
      <c r="DDY2" s="68"/>
      <c r="DDZ2" s="68"/>
      <c r="DEA2" s="68"/>
      <c r="DEB2" s="68"/>
      <c r="DEC2" s="68"/>
      <c r="DED2" s="68"/>
      <c r="DEE2" s="68"/>
      <c r="DEF2" s="68"/>
      <c r="DEG2" s="68"/>
      <c r="DEH2" s="68"/>
      <c r="DEI2" s="68"/>
      <c r="DEJ2" s="68"/>
      <c r="DEK2" s="68"/>
      <c r="DEL2" s="68"/>
      <c r="DEM2" s="68"/>
      <c r="DEN2" s="68"/>
      <c r="DEO2" s="68"/>
      <c r="DEP2" s="68"/>
      <c r="DEQ2" s="68"/>
      <c r="DER2" s="68"/>
      <c r="DES2" s="68"/>
      <c r="DET2" s="68"/>
      <c r="DEU2" s="68"/>
      <c r="DEV2" s="68"/>
      <c r="DEW2" s="68"/>
      <c r="DEX2" s="68"/>
      <c r="DEY2" s="68"/>
      <c r="DEZ2" s="68"/>
      <c r="DFA2" s="68"/>
      <c r="DFB2" s="68"/>
      <c r="DFC2" s="68"/>
      <c r="DFD2" s="68"/>
      <c r="DFE2" s="68"/>
      <c r="DFF2" s="68"/>
      <c r="DFG2" s="68"/>
      <c r="DFH2" s="68"/>
      <c r="DFI2" s="68"/>
      <c r="DFJ2" s="68"/>
      <c r="DFK2" s="68"/>
      <c r="DFL2" s="68"/>
      <c r="DFM2" s="68"/>
      <c r="DFN2" s="68"/>
      <c r="DFO2" s="68"/>
      <c r="DFP2" s="68"/>
      <c r="DFQ2" s="68"/>
      <c r="DFR2" s="68"/>
      <c r="DFS2" s="68"/>
      <c r="DFT2" s="68"/>
      <c r="DFU2" s="68"/>
      <c r="DFV2" s="68"/>
      <c r="DFW2" s="68"/>
      <c r="DFX2" s="68"/>
      <c r="DFY2" s="68"/>
      <c r="DFZ2" s="68"/>
      <c r="DGA2" s="68"/>
      <c r="DGB2" s="68"/>
      <c r="DGC2" s="68"/>
      <c r="DGD2" s="68"/>
      <c r="DGE2" s="68"/>
      <c r="DGF2" s="68"/>
      <c r="DGG2" s="68"/>
      <c r="DGH2" s="68"/>
      <c r="DGI2" s="68"/>
      <c r="DGJ2" s="68"/>
      <c r="DGK2" s="68"/>
      <c r="DGL2" s="68"/>
      <c r="DGM2" s="68"/>
      <c r="DGN2" s="68"/>
      <c r="DGO2" s="68"/>
      <c r="DGP2" s="68"/>
      <c r="DGQ2" s="68"/>
      <c r="DGR2" s="68"/>
      <c r="DGS2" s="68"/>
      <c r="DGT2" s="68"/>
      <c r="DGU2" s="68"/>
      <c r="DGV2" s="68"/>
      <c r="DGW2" s="68"/>
      <c r="DGX2" s="68"/>
      <c r="DGY2" s="68"/>
      <c r="DGZ2" s="68"/>
      <c r="DHA2" s="68"/>
      <c r="DHB2" s="68"/>
      <c r="DHC2" s="68"/>
      <c r="DHD2" s="68"/>
      <c r="DHE2" s="68"/>
      <c r="DHF2" s="68"/>
      <c r="DHG2" s="68"/>
      <c r="DHH2" s="68"/>
      <c r="DHI2" s="68"/>
      <c r="DHJ2" s="68"/>
      <c r="DHK2" s="68"/>
      <c r="DHL2" s="68"/>
      <c r="DHM2" s="68"/>
      <c r="DHN2" s="68"/>
      <c r="DHO2" s="68"/>
      <c r="DHP2" s="68"/>
      <c r="DHQ2" s="68"/>
      <c r="DHR2" s="68"/>
      <c r="DHS2" s="68"/>
      <c r="DHT2" s="68"/>
      <c r="DHU2" s="68"/>
      <c r="DHV2" s="68"/>
      <c r="DHW2" s="68"/>
      <c r="DHX2" s="68"/>
      <c r="DHY2" s="68"/>
      <c r="DHZ2" s="68"/>
      <c r="DIA2" s="68"/>
      <c r="DIB2" s="68"/>
      <c r="DIC2" s="68"/>
      <c r="DID2" s="68"/>
      <c r="DIE2" s="68"/>
      <c r="DIF2" s="68"/>
      <c r="DIG2" s="68"/>
      <c r="DIH2" s="68"/>
      <c r="DII2" s="68"/>
      <c r="DIJ2" s="68"/>
      <c r="DIK2" s="68"/>
      <c r="DIL2" s="68"/>
      <c r="DIM2" s="68"/>
      <c r="DIN2" s="68"/>
      <c r="DIO2" s="68"/>
      <c r="DIP2" s="68"/>
      <c r="DIQ2" s="68"/>
      <c r="DIR2" s="68"/>
      <c r="DIS2" s="68"/>
      <c r="DIT2" s="68"/>
      <c r="DIU2" s="68"/>
      <c r="DIV2" s="68"/>
      <c r="DIW2" s="68"/>
      <c r="DIX2" s="68"/>
      <c r="DIY2" s="68"/>
      <c r="DIZ2" s="68"/>
      <c r="DJA2" s="68"/>
      <c r="DJB2" s="68"/>
      <c r="DJC2" s="68"/>
      <c r="DJD2" s="68"/>
      <c r="DJE2" s="68"/>
      <c r="DJF2" s="68"/>
      <c r="DJG2" s="68"/>
      <c r="DJH2" s="68"/>
      <c r="DJI2" s="68"/>
      <c r="DJJ2" s="68"/>
      <c r="DJK2" s="68"/>
      <c r="DJL2" s="68"/>
      <c r="DJM2" s="68"/>
      <c r="DJN2" s="68"/>
      <c r="DJO2" s="68"/>
      <c r="DJP2" s="68"/>
      <c r="DJQ2" s="68"/>
      <c r="DJR2" s="68"/>
      <c r="DJS2" s="68"/>
      <c r="DJT2" s="68"/>
      <c r="DJU2" s="68"/>
      <c r="DJV2" s="68"/>
      <c r="DJW2" s="68"/>
      <c r="DJX2" s="68"/>
      <c r="DJY2" s="68"/>
      <c r="DJZ2" s="68"/>
      <c r="DKA2" s="68"/>
      <c r="DKB2" s="68"/>
      <c r="DKC2" s="68"/>
      <c r="DKD2" s="68"/>
      <c r="DKE2" s="68"/>
      <c r="DKF2" s="68"/>
      <c r="DKG2" s="68"/>
      <c r="DKH2" s="68"/>
      <c r="DKI2" s="68"/>
      <c r="DKJ2" s="68"/>
      <c r="DKK2" s="68"/>
      <c r="DKL2" s="68"/>
      <c r="DKM2" s="68"/>
      <c r="DKN2" s="68"/>
      <c r="DKO2" s="68"/>
      <c r="DKP2" s="68"/>
      <c r="DKQ2" s="68"/>
      <c r="DKR2" s="68"/>
      <c r="DKS2" s="68"/>
      <c r="DKT2" s="68"/>
      <c r="DKU2" s="68"/>
      <c r="DKV2" s="68"/>
      <c r="DKW2" s="68"/>
      <c r="DKX2" s="68"/>
      <c r="DKY2" s="68"/>
      <c r="DKZ2" s="68"/>
      <c r="DLA2" s="68"/>
      <c r="DLB2" s="68"/>
      <c r="DLC2" s="68"/>
      <c r="DLD2" s="68"/>
      <c r="DLE2" s="68"/>
      <c r="DLF2" s="68"/>
      <c r="DLG2" s="68"/>
      <c r="DLH2" s="68"/>
      <c r="DLI2" s="68"/>
      <c r="DLJ2" s="68"/>
      <c r="DLK2" s="68"/>
      <c r="DLL2" s="68"/>
      <c r="DLM2" s="68"/>
      <c r="DLN2" s="68"/>
      <c r="DLO2" s="68"/>
      <c r="DLP2" s="68"/>
      <c r="DLQ2" s="68"/>
      <c r="DLR2" s="68"/>
      <c r="DLS2" s="68"/>
      <c r="DLT2" s="68"/>
      <c r="DLU2" s="68"/>
      <c r="DLV2" s="68"/>
      <c r="DLW2" s="68"/>
      <c r="DLX2" s="68"/>
      <c r="DLY2" s="68"/>
      <c r="DLZ2" s="68"/>
      <c r="DMA2" s="68"/>
      <c r="DMB2" s="68"/>
      <c r="DMC2" s="68"/>
      <c r="DMD2" s="68"/>
      <c r="DME2" s="68"/>
      <c r="DMF2" s="68"/>
      <c r="DMG2" s="68"/>
      <c r="DMH2" s="68"/>
      <c r="DMI2" s="68"/>
      <c r="DMJ2" s="68"/>
      <c r="DMK2" s="68"/>
      <c r="DML2" s="68"/>
      <c r="DMM2" s="68"/>
      <c r="DMN2" s="68"/>
      <c r="DMO2" s="68"/>
      <c r="DMP2" s="68"/>
      <c r="DMQ2" s="68"/>
      <c r="DMR2" s="68"/>
      <c r="DMS2" s="68"/>
      <c r="DMT2" s="68"/>
      <c r="DMU2" s="68"/>
      <c r="DMV2" s="68"/>
      <c r="DMW2" s="68"/>
      <c r="DMX2" s="68"/>
      <c r="DMY2" s="68"/>
      <c r="DMZ2" s="68"/>
      <c r="DNA2" s="68"/>
      <c r="DNB2" s="68"/>
      <c r="DNC2" s="68"/>
      <c r="DND2" s="68"/>
      <c r="DNE2" s="68"/>
      <c r="DNF2" s="68"/>
      <c r="DNG2" s="68"/>
      <c r="DNH2" s="68"/>
      <c r="DNI2" s="68"/>
      <c r="DNJ2" s="68"/>
      <c r="DNK2" s="68"/>
      <c r="DNL2" s="68"/>
      <c r="DNM2" s="68"/>
      <c r="DNN2" s="68"/>
      <c r="DNO2" s="68"/>
      <c r="DNP2" s="68"/>
      <c r="DNQ2" s="68"/>
      <c r="DNR2" s="68"/>
      <c r="DNS2" s="68"/>
      <c r="DNT2" s="68"/>
      <c r="DNU2" s="68"/>
      <c r="DNV2" s="68"/>
      <c r="DNW2" s="68"/>
      <c r="DNX2" s="68"/>
      <c r="DNY2" s="68"/>
      <c r="DNZ2" s="68"/>
      <c r="DOA2" s="68"/>
      <c r="DOB2" s="68"/>
      <c r="DOC2" s="68"/>
      <c r="DOD2" s="68"/>
      <c r="DOE2" s="68"/>
      <c r="DOF2" s="68"/>
      <c r="DOG2" s="68"/>
      <c r="DOH2" s="68"/>
      <c r="DOI2" s="68"/>
      <c r="DOJ2" s="68"/>
      <c r="DOK2" s="68"/>
      <c r="DOL2" s="68"/>
      <c r="DOM2" s="68"/>
      <c r="DON2" s="68"/>
      <c r="DOO2" s="68"/>
      <c r="DOP2" s="68"/>
      <c r="DOQ2" s="68"/>
      <c r="DOR2" s="68"/>
      <c r="DOS2" s="68"/>
      <c r="DOT2" s="68"/>
      <c r="DOU2" s="68"/>
      <c r="DOV2" s="68"/>
      <c r="DOW2" s="68"/>
      <c r="DOX2" s="68"/>
      <c r="DOY2" s="68"/>
      <c r="DOZ2" s="68"/>
      <c r="DPA2" s="68"/>
      <c r="DPB2" s="68"/>
      <c r="DPC2" s="68"/>
      <c r="DPD2" s="68"/>
      <c r="DPE2" s="68"/>
      <c r="DPF2" s="68"/>
      <c r="DPG2" s="68"/>
      <c r="DPH2" s="68"/>
      <c r="DPI2" s="68"/>
      <c r="DPJ2" s="68"/>
      <c r="DPK2" s="68"/>
      <c r="DPL2" s="68"/>
      <c r="DPM2" s="68"/>
      <c r="DPN2" s="68"/>
      <c r="DPO2" s="68"/>
      <c r="DPP2" s="68"/>
      <c r="DPQ2" s="68"/>
      <c r="DPR2" s="68"/>
      <c r="DPS2" s="68"/>
      <c r="DPT2" s="68"/>
      <c r="DPU2" s="68"/>
      <c r="DPV2" s="68"/>
      <c r="DPW2" s="68"/>
      <c r="DPX2" s="68"/>
      <c r="DPY2" s="68"/>
      <c r="DPZ2" s="68"/>
      <c r="DQA2" s="68"/>
      <c r="DQB2" s="68"/>
      <c r="DQC2" s="68"/>
      <c r="DQD2" s="68"/>
      <c r="DQE2" s="68"/>
      <c r="DQF2" s="68"/>
      <c r="DQG2" s="68"/>
      <c r="DQH2" s="68"/>
      <c r="DQI2" s="68"/>
      <c r="DQJ2" s="68"/>
      <c r="DQK2" s="68"/>
      <c r="DQL2" s="68"/>
      <c r="DQM2" s="68"/>
      <c r="DQN2" s="68"/>
      <c r="DQO2" s="68"/>
      <c r="DQP2" s="68"/>
      <c r="DQQ2" s="68"/>
      <c r="DQR2" s="68"/>
      <c r="DQS2" s="68"/>
      <c r="DQT2" s="68"/>
      <c r="DQU2" s="68"/>
      <c r="DQV2" s="68"/>
      <c r="DQW2" s="68"/>
      <c r="DQX2" s="68"/>
      <c r="DQY2" s="68"/>
      <c r="DQZ2" s="68"/>
      <c r="DRA2" s="68"/>
      <c r="DRB2" s="68"/>
      <c r="DRC2" s="68"/>
      <c r="DRD2" s="68"/>
      <c r="DRE2" s="68"/>
      <c r="DRF2" s="68"/>
      <c r="DRG2" s="68"/>
      <c r="DRH2" s="68"/>
      <c r="DRI2" s="68"/>
      <c r="DRJ2" s="68"/>
      <c r="DRK2" s="68"/>
      <c r="DRL2" s="68"/>
      <c r="DRM2" s="68"/>
      <c r="DRN2" s="68"/>
      <c r="DRO2" s="68"/>
      <c r="DRP2" s="68"/>
      <c r="DRQ2" s="68"/>
      <c r="DRR2" s="68"/>
      <c r="DRS2" s="68"/>
      <c r="DRT2" s="68"/>
      <c r="DRU2" s="68"/>
      <c r="DRV2" s="68"/>
      <c r="DRW2" s="68"/>
      <c r="DRX2" s="68"/>
      <c r="DRY2" s="68"/>
      <c r="DRZ2" s="68"/>
      <c r="DSA2" s="68"/>
      <c r="DSB2" s="68"/>
      <c r="DSC2" s="68"/>
      <c r="DSD2" s="68"/>
      <c r="DSE2" s="68"/>
      <c r="DSF2" s="68"/>
      <c r="DSG2" s="68"/>
      <c r="DSH2" s="68"/>
      <c r="DSI2" s="68"/>
      <c r="DSJ2" s="68"/>
      <c r="DSK2" s="68"/>
      <c r="DSL2" s="68"/>
      <c r="DSM2" s="68"/>
      <c r="DSN2" s="68"/>
      <c r="DSO2" s="68"/>
      <c r="DSP2" s="68"/>
      <c r="DSQ2" s="68"/>
      <c r="DSR2" s="68"/>
      <c r="DSS2" s="68"/>
      <c r="DST2" s="68"/>
      <c r="DSU2" s="68"/>
      <c r="DSV2" s="68"/>
      <c r="DSW2" s="68"/>
      <c r="DSX2" s="68"/>
      <c r="DSY2" s="68"/>
      <c r="DSZ2" s="68"/>
      <c r="DTA2" s="68"/>
      <c r="DTB2" s="68"/>
      <c r="DTC2" s="68"/>
      <c r="DTD2" s="68"/>
      <c r="DTE2" s="68"/>
      <c r="DTF2" s="68"/>
      <c r="DTG2" s="68"/>
      <c r="DTH2" s="68"/>
      <c r="DTI2" s="68"/>
      <c r="DTJ2" s="68"/>
      <c r="DTK2" s="68"/>
      <c r="DTL2" s="68"/>
      <c r="DTM2" s="68"/>
      <c r="DTN2" s="68"/>
      <c r="DTO2" s="68"/>
      <c r="DTP2" s="68"/>
      <c r="DTQ2" s="68"/>
      <c r="DTR2" s="68"/>
      <c r="DTS2" s="68"/>
      <c r="DTT2" s="68"/>
      <c r="DTU2" s="68"/>
      <c r="DTV2" s="68"/>
      <c r="DTW2" s="68"/>
      <c r="DTX2" s="68"/>
      <c r="DTY2" s="68"/>
      <c r="DTZ2" s="68"/>
      <c r="DUA2" s="68"/>
      <c r="DUB2" s="68"/>
      <c r="DUC2" s="68"/>
      <c r="DUD2" s="68"/>
      <c r="DUE2" s="68"/>
      <c r="DUF2" s="68"/>
      <c r="DUG2" s="68"/>
      <c r="DUH2" s="68"/>
      <c r="DUI2" s="68"/>
      <c r="DUJ2" s="68"/>
      <c r="DUK2" s="68"/>
      <c r="DUL2" s="68"/>
      <c r="DUM2" s="68"/>
      <c r="DUN2" s="68"/>
      <c r="DUO2" s="68"/>
      <c r="DUP2" s="68"/>
      <c r="DUQ2" s="68"/>
      <c r="DUR2" s="68"/>
      <c r="DUS2" s="68"/>
      <c r="DUT2" s="68"/>
      <c r="DUU2" s="68"/>
      <c r="DUV2" s="68"/>
      <c r="DUW2" s="68"/>
      <c r="DUX2" s="68"/>
      <c r="DUY2" s="68"/>
      <c r="DUZ2" s="68"/>
      <c r="DVA2" s="68"/>
      <c r="DVB2" s="68"/>
      <c r="DVC2" s="68"/>
      <c r="DVD2" s="68"/>
      <c r="DVE2" s="68"/>
      <c r="DVF2" s="68"/>
      <c r="DVG2" s="68"/>
      <c r="DVH2" s="68"/>
      <c r="DVI2" s="68"/>
      <c r="DVJ2" s="68"/>
      <c r="DVK2" s="68"/>
      <c r="DVL2" s="68"/>
      <c r="DVM2" s="68"/>
      <c r="DVN2" s="68"/>
      <c r="DVO2" s="68"/>
      <c r="DVP2" s="68"/>
      <c r="DVQ2" s="68"/>
      <c r="DVR2" s="68"/>
      <c r="DVS2" s="68"/>
      <c r="DVT2" s="68"/>
      <c r="DVU2" s="68"/>
      <c r="DVV2" s="68"/>
      <c r="DVW2" s="68"/>
      <c r="DVX2" s="68"/>
      <c r="DVY2" s="68"/>
      <c r="DVZ2" s="68"/>
      <c r="DWA2" s="68"/>
      <c r="DWB2" s="68"/>
      <c r="DWC2" s="68"/>
      <c r="DWD2" s="68"/>
      <c r="DWE2" s="68"/>
      <c r="DWF2" s="68"/>
      <c r="DWG2" s="68"/>
      <c r="DWH2" s="68"/>
      <c r="DWI2" s="68"/>
      <c r="DWJ2" s="68"/>
      <c r="DWK2" s="68"/>
      <c r="DWL2" s="68"/>
      <c r="DWM2" s="68"/>
      <c r="DWN2" s="68"/>
      <c r="DWO2" s="68"/>
      <c r="DWP2" s="68"/>
      <c r="DWQ2" s="68"/>
      <c r="DWR2" s="68"/>
      <c r="DWS2" s="68"/>
      <c r="DWT2" s="68"/>
      <c r="DWU2" s="68"/>
      <c r="DWV2" s="68"/>
      <c r="DWW2" s="68"/>
      <c r="DWX2" s="68"/>
      <c r="DWY2" s="68"/>
      <c r="DWZ2" s="68"/>
      <c r="DXA2" s="68"/>
      <c r="DXB2" s="68"/>
      <c r="DXC2" s="68"/>
      <c r="DXD2" s="68"/>
      <c r="DXE2" s="68"/>
      <c r="DXF2" s="68"/>
      <c r="DXG2" s="68"/>
      <c r="DXH2" s="68"/>
      <c r="DXI2" s="68"/>
      <c r="DXJ2" s="68"/>
      <c r="DXK2" s="68"/>
      <c r="DXL2" s="68"/>
      <c r="DXM2" s="68"/>
      <c r="DXN2" s="68"/>
      <c r="DXO2" s="68"/>
      <c r="DXP2" s="68"/>
      <c r="DXQ2" s="68"/>
      <c r="DXR2" s="68"/>
      <c r="DXS2" s="68"/>
      <c r="DXT2" s="68"/>
      <c r="DXU2" s="68"/>
      <c r="DXV2" s="68"/>
      <c r="DXW2" s="68"/>
      <c r="DXX2" s="68"/>
      <c r="DXY2" s="68"/>
      <c r="DXZ2" s="68"/>
      <c r="DYA2" s="68"/>
      <c r="DYB2" s="68"/>
      <c r="DYC2" s="68"/>
      <c r="DYD2" s="68"/>
      <c r="DYE2" s="68"/>
      <c r="DYF2" s="68"/>
      <c r="DYG2" s="68"/>
      <c r="DYH2" s="68"/>
      <c r="DYI2" s="68"/>
      <c r="DYJ2" s="68"/>
      <c r="DYK2" s="68"/>
      <c r="DYL2" s="68"/>
      <c r="DYM2" s="68"/>
      <c r="DYN2" s="68"/>
      <c r="DYO2" s="68"/>
      <c r="DYP2" s="68"/>
      <c r="DYQ2" s="68"/>
      <c r="DYR2" s="68"/>
      <c r="DYS2" s="68"/>
      <c r="DYT2" s="68"/>
      <c r="DYU2" s="68"/>
      <c r="DYV2" s="68"/>
      <c r="DYW2" s="68"/>
      <c r="DYX2" s="68"/>
      <c r="DYY2" s="68"/>
      <c r="DYZ2" s="68"/>
      <c r="DZA2" s="68"/>
      <c r="DZB2" s="68"/>
      <c r="DZC2" s="68"/>
      <c r="DZD2" s="68"/>
      <c r="DZE2" s="68"/>
      <c r="DZF2" s="68"/>
      <c r="DZG2" s="68"/>
      <c r="DZH2" s="68"/>
      <c r="DZI2" s="68"/>
      <c r="DZJ2" s="68"/>
      <c r="DZK2" s="68"/>
      <c r="DZL2" s="68"/>
      <c r="DZM2" s="68"/>
      <c r="DZN2" s="68"/>
      <c r="DZO2" s="68"/>
      <c r="DZP2" s="68"/>
      <c r="DZQ2" s="68"/>
      <c r="DZR2" s="68"/>
      <c r="DZS2" s="68"/>
      <c r="DZT2" s="68"/>
      <c r="DZU2" s="68"/>
      <c r="DZV2" s="68"/>
      <c r="DZW2" s="68"/>
      <c r="DZX2" s="68"/>
      <c r="DZY2" s="68"/>
      <c r="DZZ2" s="68"/>
      <c r="EAA2" s="68"/>
      <c r="EAB2" s="68"/>
      <c r="EAC2" s="68"/>
      <c r="EAD2" s="68"/>
      <c r="EAE2" s="68"/>
      <c r="EAF2" s="68"/>
      <c r="EAG2" s="68"/>
      <c r="EAH2" s="68"/>
      <c r="EAI2" s="68"/>
      <c r="EAJ2" s="68"/>
      <c r="EAK2" s="68"/>
      <c r="EAL2" s="68"/>
      <c r="EAM2" s="68"/>
      <c r="EAN2" s="68"/>
      <c r="EAO2" s="68"/>
      <c r="EAP2" s="68"/>
      <c r="EAQ2" s="68"/>
      <c r="EAR2" s="68"/>
      <c r="EAS2" s="68"/>
      <c r="EAT2" s="68"/>
      <c r="EAU2" s="68"/>
      <c r="EAV2" s="68"/>
      <c r="EAW2" s="68"/>
      <c r="EAX2" s="68"/>
      <c r="EAY2" s="68"/>
      <c r="EAZ2" s="68"/>
      <c r="EBA2" s="68"/>
      <c r="EBB2" s="68"/>
      <c r="EBC2" s="68"/>
      <c r="EBD2" s="68"/>
      <c r="EBE2" s="68"/>
      <c r="EBF2" s="68"/>
      <c r="EBG2" s="68"/>
      <c r="EBH2" s="68"/>
      <c r="EBI2" s="68"/>
      <c r="EBJ2" s="68"/>
      <c r="EBK2" s="68"/>
      <c r="EBL2" s="68"/>
      <c r="EBM2" s="68"/>
      <c r="EBN2" s="68"/>
      <c r="EBO2" s="68"/>
      <c r="EBP2" s="68"/>
      <c r="EBQ2" s="68"/>
      <c r="EBR2" s="68"/>
      <c r="EBS2" s="68"/>
      <c r="EBT2" s="68"/>
      <c r="EBU2" s="68"/>
      <c r="EBV2" s="68"/>
      <c r="EBW2" s="68"/>
      <c r="EBX2" s="68"/>
      <c r="EBY2" s="68"/>
      <c r="EBZ2" s="68"/>
      <c r="ECA2" s="68"/>
      <c r="ECB2" s="68"/>
      <c r="ECC2" s="68"/>
      <c r="ECD2" s="68"/>
      <c r="ECE2" s="68"/>
      <c r="ECF2" s="68"/>
      <c r="ECG2" s="68"/>
      <c r="ECH2" s="68"/>
      <c r="ECI2" s="68"/>
      <c r="ECJ2" s="68"/>
      <c r="ECK2" s="68"/>
      <c r="ECL2" s="68"/>
      <c r="ECM2" s="68"/>
      <c r="ECN2" s="68"/>
      <c r="ECO2" s="68"/>
      <c r="ECP2" s="68"/>
      <c r="ECQ2" s="68"/>
      <c r="ECR2" s="68"/>
      <c r="ECS2" s="68"/>
      <c r="ECT2" s="68"/>
      <c r="ECU2" s="68"/>
      <c r="ECV2" s="68"/>
      <c r="ECW2" s="68"/>
      <c r="ECX2" s="68"/>
      <c r="ECY2" s="68"/>
      <c r="ECZ2" s="68"/>
      <c r="EDA2" s="68"/>
      <c r="EDB2" s="68"/>
      <c r="EDC2" s="68"/>
      <c r="EDD2" s="68"/>
      <c r="EDE2" s="68"/>
      <c r="EDF2" s="68"/>
      <c r="EDG2" s="68"/>
      <c r="EDH2" s="68"/>
      <c r="EDI2" s="68"/>
      <c r="EDJ2" s="68"/>
      <c r="EDK2" s="68"/>
      <c r="EDL2" s="68"/>
      <c r="EDM2" s="68"/>
      <c r="EDN2" s="68"/>
      <c r="EDO2" s="68"/>
      <c r="EDP2" s="68"/>
      <c r="EDQ2" s="68"/>
      <c r="EDR2" s="68"/>
      <c r="EDS2" s="68"/>
      <c r="EDT2" s="68"/>
      <c r="EDU2" s="68"/>
      <c r="EDV2" s="68"/>
      <c r="EDW2" s="68"/>
      <c r="EDX2" s="68"/>
      <c r="EDY2" s="68"/>
      <c r="EDZ2" s="68"/>
      <c r="EEA2" s="68"/>
      <c r="EEB2" s="68"/>
      <c r="EEC2" s="68"/>
      <c r="EED2" s="68"/>
      <c r="EEE2" s="68"/>
      <c r="EEF2" s="68"/>
      <c r="EEG2" s="68"/>
      <c r="EEH2" s="68"/>
      <c r="EEI2" s="68"/>
      <c r="EEJ2" s="68"/>
      <c r="EEK2" s="68"/>
      <c r="EEL2" s="68"/>
      <c r="EEM2" s="68"/>
      <c r="EEN2" s="68"/>
      <c r="EEO2" s="68"/>
      <c r="EEP2" s="68"/>
      <c r="EEQ2" s="68"/>
      <c r="EER2" s="68"/>
      <c r="EES2" s="68"/>
      <c r="EET2" s="68"/>
      <c r="EEU2" s="68"/>
      <c r="EEV2" s="68"/>
      <c r="EEW2" s="68"/>
      <c r="EEX2" s="68"/>
      <c r="EEY2" s="68"/>
      <c r="EEZ2" s="68"/>
      <c r="EFA2" s="68"/>
      <c r="EFB2" s="68"/>
      <c r="EFC2" s="68"/>
      <c r="EFD2" s="68"/>
      <c r="EFE2" s="68"/>
      <c r="EFF2" s="68"/>
      <c r="EFG2" s="68"/>
      <c r="EFH2" s="68"/>
      <c r="EFI2" s="68"/>
      <c r="EFJ2" s="68"/>
      <c r="EFK2" s="68"/>
      <c r="EFL2" s="68"/>
      <c r="EFM2" s="68"/>
      <c r="EFN2" s="68"/>
      <c r="EFO2" s="68"/>
      <c r="EFP2" s="68"/>
      <c r="EFQ2" s="68"/>
      <c r="EFR2" s="68"/>
      <c r="EFS2" s="68"/>
      <c r="EFT2" s="68"/>
      <c r="EFU2" s="68"/>
      <c r="EFV2" s="68"/>
      <c r="EFW2" s="68"/>
      <c r="EFX2" s="68"/>
      <c r="EFY2" s="68"/>
      <c r="EFZ2" s="68"/>
      <c r="EGA2" s="68"/>
      <c r="EGB2" s="68"/>
      <c r="EGC2" s="68"/>
      <c r="EGD2" s="68"/>
      <c r="EGE2" s="68"/>
      <c r="EGF2" s="68"/>
      <c r="EGG2" s="68"/>
      <c r="EGH2" s="68"/>
      <c r="EGI2" s="68"/>
      <c r="EGJ2" s="68"/>
      <c r="EGK2" s="68"/>
      <c r="EGL2" s="68"/>
      <c r="EGM2" s="68"/>
      <c r="EGN2" s="68"/>
      <c r="EGO2" s="68"/>
      <c r="EGP2" s="68"/>
      <c r="EGQ2" s="68"/>
      <c r="EGR2" s="68"/>
      <c r="EGS2" s="68"/>
      <c r="EGT2" s="68"/>
      <c r="EGU2" s="68"/>
      <c r="EGV2" s="68"/>
      <c r="EGW2" s="68"/>
      <c r="EGX2" s="68"/>
      <c r="EGY2" s="68"/>
      <c r="EGZ2" s="68"/>
      <c r="EHA2" s="68"/>
      <c r="EHB2" s="68"/>
      <c r="EHC2" s="68"/>
      <c r="EHD2" s="68"/>
      <c r="EHE2" s="68"/>
      <c r="EHF2" s="68"/>
      <c r="EHG2" s="68"/>
      <c r="EHH2" s="68"/>
      <c r="EHI2" s="68"/>
      <c r="EHJ2" s="68"/>
      <c r="EHK2" s="68"/>
      <c r="EHL2" s="68"/>
      <c r="EHM2" s="68"/>
      <c r="EHN2" s="68"/>
      <c r="EHO2" s="68"/>
      <c r="EHP2" s="68"/>
      <c r="EHQ2" s="68"/>
      <c r="EHR2" s="68"/>
      <c r="EHS2" s="68"/>
      <c r="EHT2" s="68"/>
      <c r="EHU2" s="68"/>
      <c r="EHV2" s="68"/>
      <c r="EHW2" s="68"/>
      <c r="EHX2" s="68"/>
      <c r="EHY2" s="68"/>
      <c r="EHZ2" s="68"/>
      <c r="EIA2" s="68"/>
      <c r="EIB2" s="68"/>
      <c r="EIC2" s="68"/>
      <c r="EID2" s="68"/>
      <c r="EIE2" s="68"/>
      <c r="EIF2" s="68"/>
      <c r="EIG2" s="68"/>
      <c r="EIH2" s="68"/>
      <c r="EII2" s="68"/>
      <c r="EIJ2" s="68"/>
      <c r="EIK2" s="68"/>
      <c r="EIL2" s="68"/>
      <c r="EIM2" s="68"/>
      <c r="EIN2" s="68"/>
      <c r="EIO2" s="68"/>
      <c r="EIP2" s="68"/>
      <c r="EIQ2" s="68"/>
      <c r="EIR2" s="68"/>
      <c r="EIS2" s="68"/>
      <c r="EIT2" s="68"/>
      <c r="EIU2" s="68"/>
      <c r="EIV2" s="68"/>
      <c r="EIW2" s="68"/>
      <c r="EIX2" s="68"/>
      <c r="EIY2" s="68"/>
      <c r="EIZ2" s="68"/>
      <c r="EJA2" s="68"/>
      <c r="EJB2" s="68"/>
      <c r="EJC2" s="68"/>
      <c r="EJD2" s="68"/>
      <c r="EJE2" s="68"/>
      <c r="EJF2" s="68"/>
      <c r="EJG2" s="68"/>
      <c r="EJH2" s="68"/>
      <c r="EJI2" s="68"/>
      <c r="EJJ2" s="68"/>
      <c r="EJK2" s="68"/>
      <c r="EJL2" s="68"/>
      <c r="EJM2" s="68"/>
      <c r="EJN2" s="68"/>
      <c r="EJO2" s="68"/>
      <c r="EJP2" s="68"/>
      <c r="EJQ2" s="68"/>
      <c r="EJR2" s="68"/>
      <c r="EJS2" s="68"/>
      <c r="EJT2" s="68"/>
      <c r="EJU2" s="68"/>
      <c r="EJV2" s="68"/>
      <c r="EJW2" s="68"/>
      <c r="EJX2" s="68"/>
      <c r="EJY2" s="68"/>
      <c r="EJZ2" s="68"/>
      <c r="EKA2" s="68"/>
      <c r="EKB2" s="68"/>
      <c r="EKC2" s="68"/>
      <c r="EKD2" s="68"/>
      <c r="EKE2" s="68"/>
      <c r="EKF2" s="68"/>
      <c r="EKG2" s="68"/>
      <c r="EKH2" s="68"/>
      <c r="EKI2" s="68"/>
      <c r="EKJ2" s="68"/>
      <c r="EKK2" s="68"/>
      <c r="EKL2" s="68"/>
      <c r="EKM2" s="68"/>
      <c r="EKN2" s="68"/>
      <c r="EKO2" s="68"/>
      <c r="EKP2" s="68"/>
      <c r="EKQ2" s="68"/>
      <c r="EKR2" s="68"/>
      <c r="EKS2" s="68"/>
      <c r="EKT2" s="68"/>
      <c r="EKU2" s="68"/>
      <c r="EKV2" s="68"/>
      <c r="EKW2" s="68"/>
      <c r="EKX2" s="68"/>
      <c r="EKY2" s="68"/>
      <c r="EKZ2" s="68"/>
      <c r="ELA2" s="68"/>
      <c r="ELB2" s="68"/>
      <c r="ELC2" s="68"/>
      <c r="ELD2" s="68"/>
      <c r="ELE2" s="68"/>
      <c r="ELF2" s="68"/>
      <c r="ELG2" s="68"/>
      <c r="ELH2" s="68"/>
      <c r="ELI2" s="68"/>
      <c r="ELJ2" s="68"/>
      <c r="ELK2" s="68"/>
      <c r="ELL2" s="68"/>
      <c r="ELM2" s="68"/>
      <c r="ELN2" s="68"/>
      <c r="ELO2" s="68"/>
      <c r="ELP2" s="68"/>
      <c r="ELQ2" s="68"/>
      <c r="ELR2" s="68"/>
      <c r="ELS2" s="68"/>
      <c r="ELT2" s="68"/>
      <c r="ELU2" s="68"/>
      <c r="ELV2" s="68"/>
      <c r="ELW2" s="68"/>
      <c r="ELX2" s="68"/>
      <c r="ELY2" s="68"/>
      <c r="ELZ2" s="68"/>
      <c r="EMA2" s="68"/>
      <c r="EMB2" s="68"/>
      <c r="EMC2" s="68"/>
      <c r="EMD2" s="68"/>
      <c r="EME2" s="68"/>
      <c r="EMF2" s="68"/>
      <c r="EMG2" s="68"/>
      <c r="EMH2" s="68"/>
      <c r="EMI2" s="68"/>
      <c r="EMJ2" s="68"/>
      <c r="EMK2" s="68"/>
      <c r="EML2" s="68"/>
      <c r="EMM2" s="68"/>
      <c r="EMN2" s="68"/>
      <c r="EMO2" s="68"/>
      <c r="EMP2" s="68"/>
      <c r="EMQ2" s="68"/>
      <c r="EMR2" s="68"/>
      <c r="EMS2" s="68"/>
      <c r="EMT2" s="68"/>
      <c r="EMU2" s="68"/>
      <c r="EMV2" s="68"/>
      <c r="EMW2" s="68"/>
      <c r="EMX2" s="68"/>
      <c r="EMY2" s="68"/>
      <c r="EMZ2" s="68"/>
      <c r="ENA2" s="68"/>
      <c r="ENB2" s="68"/>
      <c r="ENC2" s="68"/>
      <c r="END2" s="68"/>
      <c r="ENE2" s="68"/>
      <c r="ENF2" s="68"/>
      <c r="ENG2" s="68"/>
      <c r="ENH2" s="68"/>
      <c r="ENI2" s="68"/>
      <c r="ENJ2" s="68"/>
      <c r="ENK2" s="68"/>
      <c r="ENL2" s="68"/>
      <c r="ENM2" s="68"/>
      <c r="ENN2" s="68"/>
      <c r="ENO2" s="68"/>
      <c r="ENP2" s="68"/>
      <c r="ENQ2" s="68"/>
      <c r="ENR2" s="68"/>
      <c r="ENS2" s="68"/>
      <c r="ENT2" s="68"/>
      <c r="ENU2" s="68"/>
      <c r="ENV2" s="68"/>
      <c r="ENW2" s="68"/>
      <c r="ENX2" s="68"/>
      <c r="ENY2" s="68"/>
      <c r="ENZ2" s="68"/>
      <c r="EOA2" s="68"/>
      <c r="EOB2" s="68"/>
      <c r="EOC2" s="68"/>
      <c r="EOD2" s="68"/>
      <c r="EOE2" s="68"/>
      <c r="EOF2" s="68"/>
      <c r="EOG2" s="68"/>
      <c r="EOH2" s="68"/>
      <c r="EOI2" s="68"/>
      <c r="EOJ2" s="68"/>
      <c r="EOK2" s="68"/>
      <c r="EOL2" s="68"/>
      <c r="EOM2" s="68"/>
      <c r="EON2" s="68"/>
      <c r="EOO2" s="68"/>
      <c r="EOP2" s="68"/>
      <c r="EOQ2" s="68"/>
      <c r="EOR2" s="68"/>
      <c r="EOS2" s="68"/>
      <c r="EOT2" s="68"/>
      <c r="EOU2" s="68"/>
      <c r="EOV2" s="68"/>
      <c r="EOW2" s="68"/>
      <c r="EOX2" s="68"/>
      <c r="EOY2" s="68"/>
      <c r="EOZ2" s="68"/>
      <c r="EPA2" s="68"/>
      <c r="EPB2" s="68"/>
      <c r="EPC2" s="68"/>
      <c r="EPD2" s="68"/>
      <c r="EPE2" s="68"/>
      <c r="EPF2" s="68"/>
      <c r="EPG2" s="68"/>
      <c r="EPH2" s="68"/>
      <c r="EPI2" s="68"/>
      <c r="EPJ2" s="68"/>
      <c r="EPK2" s="68"/>
      <c r="EPL2" s="68"/>
      <c r="EPM2" s="68"/>
      <c r="EPN2" s="68"/>
      <c r="EPO2" s="68"/>
      <c r="EPP2" s="68"/>
      <c r="EPQ2" s="68"/>
      <c r="EPR2" s="68"/>
      <c r="EPS2" s="68"/>
      <c r="EPT2" s="68"/>
      <c r="EPU2" s="68"/>
      <c r="EPV2" s="68"/>
      <c r="EPW2" s="68"/>
      <c r="EPX2" s="68"/>
      <c r="EPY2" s="68"/>
      <c r="EPZ2" s="68"/>
      <c r="EQA2" s="68"/>
      <c r="EQB2" s="68"/>
      <c r="EQC2" s="68"/>
      <c r="EQD2" s="68"/>
      <c r="EQE2" s="68"/>
      <c r="EQF2" s="68"/>
      <c r="EQG2" s="68"/>
      <c r="EQH2" s="68"/>
      <c r="EQI2" s="68"/>
      <c r="EQJ2" s="68"/>
      <c r="EQK2" s="68"/>
      <c r="EQL2" s="68"/>
      <c r="EQM2" s="68"/>
      <c r="EQN2" s="68"/>
      <c r="EQO2" s="68"/>
      <c r="EQP2" s="68"/>
      <c r="EQQ2" s="68"/>
      <c r="EQR2" s="68"/>
      <c r="EQS2" s="68"/>
      <c r="EQT2" s="68"/>
      <c r="EQU2" s="68"/>
      <c r="EQV2" s="68"/>
      <c r="EQW2" s="68"/>
      <c r="EQX2" s="68"/>
      <c r="EQY2" s="68"/>
      <c r="EQZ2" s="68"/>
      <c r="ERA2" s="68"/>
      <c r="ERB2" s="68"/>
      <c r="ERC2" s="68"/>
      <c r="ERD2" s="68"/>
      <c r="ERE2" s="68"/>
      <c r="ERF2" s="68"/>
      <c r="ERG2" s="68"/>
      <c r="ERH2" s="68"/>
      <c r="ERI2" s="68"/>
      <c r="ERJ2" s="68"/>
      <c r="ERK2" s="68"/>
      <c r="ERL2" s="68"/>
      <c r="ERM2" s="68"/>
      <c r="ERN2" s="68"/>
      <c r="ERO2" s="68"/>
      <c r="ERP2" s="68"/>
      <c r="ERQ2" s="68"/>
      <c r="ERR2" s="68"/>
      <c r="ERS2" s="68"/>
      <c r="ERT2" s="68"/>
      <c r="ERU2" s="68"/>
      <c r="ERV2" s="68"/>
      <c r="ERW2" s="68"/>
      <c r="ERX2" s="68"/>
      <c r="ERY2" s="68"/>
      <c r="ERZ2" s="68"/>
      <c r="ESA2" s="68"/>
      <c r="ESB2" s="68"/>
      <c r="ESC2" s="68"/>
      <c r="ESD2" s="68"/>
      <c r="ESE2" s="68"/>
      <c r="ESF2" s="68"/>
      <c r="ESG2" s="68"/>
      <c r="ESH2" s="68"/>
      <c r="ESI2" s="68"/>
      <c r="ESJ2" s="68"/>
      <c r="ESK2" s="68"/>
      <c r="ESL2" s="68"/>
      <c r="ESM2" s="68"/>
      <c r="ESN2" s="68"/>
      <c r="ESO2" s="68"/>
      <c r="ESP2" s="68"/>
      <c r="ESQ2" s="68"/>
      <c r="ESR2" s="68"/>
      <c r="ESS2" s="68"/>
      <c r="EST2" s="68"/>
      <c r="ESU2" s="68"/>
      <c r="ESV2" s="68"/>
      <c r="ESW2" s="68"/>
      <c r="ESX2" s="68"/>
      <c r="ESY2" s="68"/>
      <c r="ESZ2" s="68"/>
      <c r="ETA2" s="68"/>
      <c r="ETB2" s="68"/>
      <c r="ETC2" s="68"/>
      <c r="ETD2" s="68"/>
      <c r="ETE2" s="68"/>
      <c r="ETF2" s="68"/>
      <c r="ETG2" s="68"/>
      <c r="ETH2" s="68"/>
      <c r="ETI2" s="68"/>
      <c r="ETJ2" s="68"/>
      <c r="ETK2" s="68"/>
      <c r="ETL2" s="68"/>
      <c r="ETM2" s="68"/>
      <c r="ETN2" s="68"/>
      <c r="ETO2" s="68"/>
      <c r="ETP2" s="68"/>
      <c r="ETQ2" s="68"/>
      <c r="ETR2" s="68"/>
      <c r="ETS2" s="68"/>
      <c r="ETT2" s="68"/>
      <c r="ETU2" s="68"/>
      <c r="ETV2" s="68"/>
      <c r="ETW2" s="68"/>
      <c r="ETX2" s="68"/>
      <c r="ETY2" s="68"/>
      <c r="ETZ2" s="68"/>
      <c r="EUA2" s="68"/>
      <c r="EUB2" s="68"/>
      <c r="EUC2" s="68"/>
      <c r="EUD2" s="68"/>
      <c r="EUE2" s="68"/>
      <c r="EUF2" s="68"/>
      <c r="EUG2" s="68"/>
      <c r="EUH2" s="68"/>
      <c r="EUI2" s="68"/>
      <c r="EUJ2" s="68"/>
      <c r="EUK2" s="68"/>
      <c r="EUL2" s="68"/>
      <c r="EUM2" s="68"/>
      <c r="EUN2" s="68"/>
      <c r="EUO2" s="68"/>
      <c r="EUP2" s="68"/>
      <c r="EUQ2" s="68"/>
      <c r="EUR2" s="68"/>
      <c r="EUS2" s="68"/>
      <c r="EUT2" s="68"/>
      <c r="EUU2" s="68"/>
      <c r="EUV2" s="68"/>
      <c r="EUW2" s="68"/>
      <c r="EUX2" s="68"/>
      <c r="EUY2" s="68"/>
      <c r="EUZ2" s="68"/>
      <c r="EVA2" s="68"/>
      <c r="EVB2" s="68"/>
      <c r="EVC2" s="68"/>
      <c r="EVD2" s="68"/>
      <c r="EVE2" s="68"/>
      <c r="EVF2" s="68"/>
      <c r="EVG2" s="68"/>
      <c r="EVH2" s="68"/>
      <c r="EVI2" s="68"/>
      <c r="EVJ2" s="68"/>
      <c r="EVK2" s="68"/>
      <c r="EVL2" s="68"/>
      <c r="EVM2" s="68"/>
      <c r="EVN2" s="68"/>
      <c r="EVO2" s="68"/>
      <c r="EVP2" s="68"/>
      <c r="EVQ2" s="68"/>
      <c r="EVR2" s="68"/>
      <c r="EVS2" s="68"/>
      <c r="EVT2" s="68"/>
      <c r="EVU2" s="68"/>
      <c r="EVV2" s="68"/>
      <c r="EVW2" s="68"/>
      <c r="EVX2" s="68"/>
      <c r="EVY2" s="68"/>
      <c r="EVZ2" s="68"/>
      <c r="EWA2" s="68"/>
      <c r="EWB2" s="68"/>
      <c r="EWC2" s="68"/>
      <c r="EWD2" s="68"/>
      <c r="EWE2" s="68"/>
      <c r="EWF2" s="68"/>
      <c r="EWG2" s="68"/>
      <c r="EWH2" s="68"/>
      <c r="EWI2" s="68"/>
      <c r="EWJ2" s="68"/>
      <c r="EWK2" s="68"/>
      <c r="EWL2" s="68"/>
      <c r="EWM2" s="68"/>
      <c r="EWN2" s="68"/>
      <c r="EWO2" s="68"/>
      <c r="EWP2" s="68"/>
      <c r="EWQ2" s="68"/>
      <c r="EWR2" s="68"/>
      <c r="EWS2" s="68"/>
      <c r="EWT2" s="68"/>
      <c r="EWU2" s="68"/>
      <c r="EWV2" s="68"/>
      <c r="EWW2" s="68"/>
      <c r="EWX2" s="68"/>
      <c r="EWY2" s="68"/>
      <c r="EWZ2" s="68"/>
      <c r="EXA2" s="68"/>
      <c r="EXB2" s="68"/>
      <c r="EXC2" s="68"/>
      <c r="EXD2" s="68"/>
      <c r="EXE2" s="68"/>
      <c r="EXF2" s="68"/>
      <c r="EXG2" s="68"/>
      <c r="EXH2" s="68"/>
      <c r="EXI2" s="68"/>
      <c r="EXJ2" s="68"/>
      <c r="EXK2" s="68"/>
      <c r="EXL2" s="68"/>
      <c r="EXM2" s="68"/>
      <c r="EXN2" s="68"/>
      <c r="EXO2" s="68"/>
      <c r="EXP2" s="68"/>
      <c r="EXQ2" s="68"/>
      <c r="EXR2" s="68"/>
      <c r="EXS2" s="68"/>
      <c r="EXT2" s="68"/>
      <c r="EXU2" s="68"/>
      <c r="EXV2" s="68"/>
      <c r="EXW2" s="68"/>
      <c r="EXX2" s="68"/>
      <c r="EXY2" s="68"/>
      <c r="EXZ2" s="68"/>
      <c r="EYA2" s="68"/>
      <c r="EYB2" s="68"/>
      <c r="EYC2" s="68"/>
      <c r="EYD2" s="68"/>
      <c r="EYE2" s="68"/>
      <c r="EYF2" s="68"/>
      <c r="EYG2" s="68"/>
      <c r="EYH2" s="68"/>
      <c r="EYI2" s="68"/>
      <c r="EYJ2" s="68"/>
      <c r="EYK2" s="68"/>
      <c r="EYL2" s="68"/>
      <c r="EYM2" s="68"/>
      <c r="EYN2" s="68"/>
      <c r="EYO2" s="68"/>
      <c r="EYP2" s="68"/>
      <c r="EYQ2" s="68"/>
      <c r="EYR2" s="68"/>
      <c r="EYS2" s="68"/>
      <c r="EYT2" s="68"/>
      <c r="EYU2" s="68"/>
      <c r="EYV2" s="68"/>
      <c r="EYW2" s="68"/>
      <c r="EYX2" s="68"/>
      <c r="EYY2" s="68"/>
      <c r="EYZ2" s="68"/>
      <c r="EZA2" s="68"/>
      <c r="EZB2" s="68"/>
      <c r="EZC2" s="68"/>
      <c r="EZD2" s="68"/>
      <c r="EZE2" s="68"/>
      <c r="EZF2" s="68"/>
      <c r="EZG2" s="68"/>
      <c r="EZH2" s="68"/>
      <c r="EZI2" s="68"/>
      <c r="EZJ2" s="68"/>
      <c r="EZK2" s="68"/>
      <c r="EZL2" s="68"/>
      <c r="EZM2" s="68"/>
      <c r="EZN2" s="68"/>
      <c r="EZO2" s="68"/>
      <c r="EZP2" s="68"/>
      <c r="EZQ2" s="68"/>
      <c r="EZR2" s="68"/>
      <c r="EZS2" s="68"/>
      <c r="EZT2" s="68"/>
      <c r="EZU2" s="68"/>
      <c r="EZV2" s="68"/>
      <c r="EZW2" s="68"/>
      <c r="EZX2" s="68"/>
      <c r="EZY2" s="68"/>
      <c r="EZZ2" s="68"/>
      <c r="FAA2" s="68"/>
      <c r="FAB2" s="68"/>
      <c r="FAC2" s="68"/>
      <c r="FAD2" s="68"/>
      <c r="FAE2" s="68"/>
      <c r="FAF2" s="68"/>
      <c r="FAG2" s="68"/>
      <c r="FAH2" s="68"/>
      <c r="FAI2" s="68"/>
      <c r="FAJ2" s="68"/>
      <c r="FAK2" s="68"/>
      <c r="FAL2" s="68"/>
      <c r="FAM2" s="68"/>
      <c r="FAN2" s="68"/>
      <c r="FAO2" s="68"/>
      <c r="FAP2" s="68"/>
      <c r="FAQ2" s="68"/>
      <c r="FAR2" s="68"/>
      <c r="FAS2" s="68"/>
      <c r="FAT2" s="68"/>
      <c r="FAU2" s="68"/>
      <c r="FAV2" s="68"/>
      <c r="FAW2" s="68"/>
      <c r="FAX2" s="68"/>
      <c r="FAY2" s="68"/>
      <c r="FAZ2" s="68"/>
      <c r="FBA2" s="68"/>
      <c r="FBB2" s="68"/>
      <c r="FBC2" s="68"/>
      <c r="FBD2" s="68"/>
      <c r="FBE2" s="68"/>
      <c r="FBF2" s="68"/>
      <c r="FBG2" s="68"/>
      <c r="FBH2" s="68"/>
      <c r="FBI2" s="68"/>
      <c r="FBJ2" s="68"/>
      <c r="FBK2" s="68"/>
      <c r="FBL2" s="68"/>
      <c r="FBM2" s="68"/>
      <c r="FBN2" s="68"/>
      <c r="FBO2" s="68"/>
      <c r="FBP2" s="68"/>
      <c r="FBQ2" s="68"/>
      <c r="FBR2" s="68"/>
      <c r="FBS2" s="68"/>
      <c r="FBT2" s="68"/>
      <c r="FBU2" s="68"/>
      <c r="FBV2" s="68"/>
      <c r="FBW2" s="68"/>
      <c r="FBX2" s="68"/>
      <c r="FBY2" s="68"/>
      <c r="FBZ2" s="68"/>
      <c r="FCA2" s="68"/>
      <c r="FCB2" s="68"/>
      <c r="FCC2" s="68"/>
      <c r="FCD2" s="68"/>
      <c r="FCE2" s="68"/>
      <c r="FCF2" s="68"/>
      <c r="FCG2" s="68"/>
      <c r="FCH2" s="68"/>
      <c r="FCI2" s="68"/>
      <c r="FCJ2" s="68"/>
      <c r="FCK2" s="68"/>
      <c r="FCL2" s="68"/>
      <c r="FCM2" s="68"/>
      <c r="FCN2" s="68"/>
      <c r="FCO2" s="68"/>
      <c r="FCP2" s="68"/>
      <c r="FCQ2" s="68"/>
      <c r="FCR2" s="68"/>
      <c r="FCS2" s="68"/>
      <c r="FCT2" s="68"/>
      <c r="FCU2" s="68"/>
      <c r="FCV2" s="68"/>
      <c r="FCW2" s="68"/>
      <c r="FCX2" s="68"/>
      <c r="FCY2" s="68"/>
      <c r="FCZ2" s="68"/>
      <c r="FDA2" s="68"/>
      <c r="FDB2" s="68"/>
      <c r="FDC2" s="68"/>
      <c r="FDD2" s="68"/>
      <c r="FDE2" s="68"/>
      <c r="FDF2" s="68"/>
      <c r="FDG2" s="68"/>
      <c r="FDH2" s="68"/>
      <c r="FDI2" s="68"/>
      <c r="FDJ2" s="68"/>
      <c r="FDK2" s="68"/>
      <c r="FDL2" s="68"/>
      <c r="FDM2" s="68"/>
      <c r="FDN2" s="68"/>
      <c r="FDO2" s="68"/>
      <c r="FDP2" s="68"/>
      <c r="FDQ2" s="68"/>
      <c r="FDR2" s="68"/>
      <c r="FDS2" s="68"/>
      <c r="FDT2" s="68"/>
      <c r="FDU2" s="68"/>
      <c r="FDV2" s="68"/>
      <c r="FDW2" s="68"/>
      <c r="FDX2" s="68"/>
      <c r="FDY2" s="68"/>
      <c r="FDZ2" s="68"/>
      <c r="FEA2" s="68"/>
      <c r="FEB2" s="68"/>
      <c r="FEC2" s="68"/>
      <c r="FED2" s="68"/>
      <c r="FEE2" s="68"/>
      <c r="FEF2" s="68"/>
      <c r="FEG2" s="68"/>
      <c r="FEH2" s="68"/>
      <c r="FEI2" s="68"/>
      <c r="FEJ2" s="68"/>
      <c r="FEK2" s="68"/>
      <c r="FEL2" s="68"/>
      <c r="FEM2" s="68"/>
      <c r="FEN2" s="68"/>
      <c r="FEO2" s="68"/>
      <c r="FEP2" s="68"/>
      <c r="FEQ2" s="68"/>
      <c r="FER2" s="68"/>
      <c r="FES2" s="68"/>
      <c r="FET2" s="68"/>
      <c r="FEU2" s="68"/>
      <c r="FEV2" s="68"/>
      <c r="FEW2" s="68"/>
      <c r="FEX2" s="68"/>
      <c r="FEY2" s="68"/>
      <c r="FEZ2" s="68"/>
      <c r="FFA2" s="68"/>
      <c r="FFB2" s="68"/>
      <c r="FFC2" s="68"/>
      <c r="FFD2" s="68"/>
      <c r="FFE2" s="68"/>
      <c r="FFF2" s="68"/>
      <c r="FFG2" s="68"/>
      <c r="FFH2" s="68"/>
      <c r="FFI2" s="68"/>
      <c r="FFJ2" s="68"/>
      <c r="FFK2" s="68"/>
      <c r="FFL2" s="68"/>
      <c r="FFM2" s="68"/>
      <c r="FFN2" s="68"/>
      <c r="FFO2" s="68"/>
      <c r="FFP2" s="68"/>
      <c r="FFQ2" s="68"/>
      <c r="FFR2" s="68"/>
      <c r="FFS2" s="68"/>
      <c r="FFT2" s="68"/>
      <c r="FFU2" s="68"/>
      <c r="FFV2" s="68"/>
      <c r="FFW2" s="68"/>
      <c r="FFX2" s="68"/>
      <c r="FFY2" s="68"/>
      <c r="FFZ2" s="68"/>
      <c r="FGA2" s="68"/>
      <c r="FGB2" s="68"/>
      <c r="FGC2" s="68"/>
      <c r="FGD2" s="68"/>
      <c r="FGE2" s="68"/>
      <c r="FGF2" s="68"/>
      <c r="FGG2" s="68"/>
      <c r="FGH2" s="68"/>
      <c r="FGI2" s="68"/>
      <c r="FGJ2" s="68"/>
      <c r="FGK2" s="68"/>
      <c r="FGL2" s="68"/>
      <c r="FGM2" s="68"/>
      <c r="FGN2" s="68"/>
      <c r="FGO2" s="68"/>
      <c r="FGP2" s="68"/>
      <c r="FGQ2" s="68"/>
      <c r="FGR2" s="68"/>
      <c r="FGS2" s="68"/>
      <c r="FGT2" s="68"/>
      <c r="FGU2" s="68"/>
      <c r="FGV2" s="68"/>
      <c r="FGW2" s="68"/>
      <c r="FGX2" s="68"/>
      <c r="FGY2" s="68"/>
      <c r="FGZ2" s="68"/>
      <c r="FHA2" s="68"/>
      <c r="FHB2" s="68"/>
      <c r="FHC2" s="68"/>
      <c r="FHD2" s="68"/>
      <c r="FHE2" s="68"/>
      <c r="FHF2" s="68"/>
      <c r="FHG2" s="68"/>
      <c r="FHH2" s="68"/>
      <c r="FHI2" s="68"/>
      <c r="FHJ2" s="68"/>
      <c r="FHK2" s="68"/>
      <c r="FHL2" s="68"/>
      <c r="FHM2" s="68"/>
      <c r="FHN2" s="68"/>
      <c r="FHO2" s="68"/>
      <c r="FHP2" s="68"/>
      <c r="FHQ2" s="68"/>
      <c r="FHR2" s="68"/>
      <c r="FHS2" s="68"/>
      <c r="FHT2" s="68"/>
      <c r="FHU2" s="68"/>
      <c r="FHV2" s="68"/>
      <c r="FHW2" s="68"/>
      <c r="FHX2" s="68"/>
      <c r="FHY2" s="68"/>
      <c r="FHZ2" s="68"/>
      <c r="FIA2" s="68"/>
      <c r="FIB2" s="68"/>
      <c r="FIC2" s="68"/>
      <c r="FID2" s="68"/>
      <c r="FIE2" s="68"/>
      <c r="FIF2" s="68"/>
      <c r="FIG2" s="68"/>
      <c r="FIH2" s="68"/>
      <c r="FII2" s="68"/>
      <c r="FIJ2" s="68"/>
      <c r="FIK2" s="68"/>
      <c r="FIL2" s="68"/>
      <c r="FIM2" s="68"/>
      <c r="FIN2" s="68"/>
      <c r="FIO2" s="68"/>
      <c r="FIP2" s="68"/>
      <c r="FIQ2" s="68"/>
      <c r="FIR2" s="68"/>
      <c r="FIS2" s="68"/>
      <c r="FIT2" s="68"/>
      <c r="FIU2" s="68"/>
      <c r="FIV2" s="68"/>
      <c r="FIW2" s="68"/>
      <c r="FIX2" s="68"/>
      <c r="FIY2" s="68"/>
      <c r="FIZ2" s="68"/>
      <c r="FJA2" s="68"/>
      <c r="FJB2" s="68"/>
      <c r="FJC2" s="68"/>
      <c r="FJD2" s="68"/>
      <c r="FJE2" s="68"/>
      <c r="FJF2" s="68"/>
      <c r="FJG2" s="68"/>
      <c r="FJH2" s="68"/>
      <c r="FJI2" s="68"/>
      <c r="FJJ2" s="68"/>
      <c r="FJK2" s="68"/>
      <c r="FJL2" s="68"/>
      <c r="FJM2" s="68"/>
      <c r="FJN2" s="68"/>
      <c r="FJO2" s="68"/>
      <c r="FJP2" s="68"/>
      <c r="FJQ2" s="68"/>
      <c r="FJR2" s="68"/>
      <c r="FJS2" s="68"/>
      <c r="FJT2" s="68"/>
      <c r="FJU2" s="68"/>
      <c r="FJV2" s="68"/>
      <c r="FJW2" s="68"/>
      <c r="FJX2" s="68"/>
      <c r="FJY2" s="68"/>
      <c r="FJZ2" s="68"/>
      <c r="FKA2" s="68"/>
      <c r="FKB2" s="68"/>
      <c r="FKC2" s="68"/>
      <c r="FKD2" s="68"/>
      <c r="FKE2" s="68"/>
      <c r="FKF2" s="68"/>
      <c r="FKG2" s="68"/>
      <c r="FKH2" s="68"/>
      <c r="FKI2" s="68"/>
      <c r="FKJ2" s="68"/>
      <c r="FKK2" s="68"/>
      <c r="FKL2" s="68"/>
      <c r="FKM2" s="68"/>
      <c r="FKN2" s="68"/>
      <c r="FKO2" s="68"/>
      <c r="FKP2" s="68"/>
      <c r="FKQ2" s="68"/>
      <c r="FKR2" s="68"/>
      <c r="FKS2" s="68"/>
      <c r="FKT2" s="68"/>
      <c r="FKU2" s="68"/>
      <c r="FKV2" s="68"/>
      <c r="FKW2" s="68"/>
      <c r="FKX2" s="68"/>
      <c r="FKY2" s="68"/>
      <c r="FKZ2" s="68"/>
      <c r="FLA2" s="68"/>
      <c r="FLB2" s="68"/>
      <c r="FLC2" s="68"/>
      <c r="FLD2" s="68"/>
      <c r="FLE2" s="68"/>
      <c r="FLF2" s="68"/>
      <c r="FLG2" s="68"/>
      <c r="FLH2" s="68"/>
      <c r="FLI2" s="68"/>
      <c r="FLJ2" s="68"/>
      <c r="FLK2" s="68"/>
      <c r="FLL2" s="68"/>
      <c r="FLM2" s="68"/>
      <c r="FLN2" s="68"/>
      <c r="FLO2" s="68"/>
      <c r="FLP2" s="68"/>
      <c r="FLQ2" s="68"/>
      <c r="FLR2" s="68"/>
      <c r="FLS2" s="68"/>
      <c r="FLT2" s="68"/>
      <c r="FLU2" s="68"/>
      <c r="FLV2" s="68"/>
      <c r="FLW2" s="68"/>
      <c r="FLX2" s="68"/>
      <c r="FLY2" s="68"/>
      <c r="FLZ2" s="68"/>
      <c r="FMA2" s="68"/>
      <c r="FMB2" s="68"/>
      <c r="FMC2" s="68"/>
      <c r="FMD2" s="68"/>
      <c r="FME2" s="68"/>
      <c r="FMF2" s="68"/>
      <c r="FMG2" s="68"/>
      <c r="FMH2" s="68"/>
      <c r="FMI2" s="68"/>
      <c r="FMJ2" s="68"/>
      <c r="FMK2" s="68"/>
      <c r="FML2" s="68"/>
      <c r="FMM2" s="68"/>
      <c r="FMN2" s="68"/>
      <c r="FMO2" s="68"/>
      <c r="FMP2" s="68"/>
      <c r="FMQ2" s="68"/>
      <c r="FMR2" s="68"/>
      <c r="FMS2" s="68"/>
      <c r="FMT2" s="68"/>
      <c r="FMU2" s="68"/>
      <c r="FMV2" s="68"/>
      <c r="FMW2" s="68"/>
      <c r="FMX2" s="68"/>
      <c r="FMY2" s="68"/>
      <c r="FMZ2" s="68"/>
      <c r="FNA2" s="68"/>
      <c r="FNB2" s="68"/>
      <c r="FNC2" s="68"/>
      <c r="FND2" s="68"/>
      <c r="FNE2" s="68"/>
      <c r="FNF2" s="68"/>
      <c r="FNG2" s="68"/>
      <c r="FNH2" s="68"/>
      <c r="FNI2" s="68"/>
      <c r="FNJ2" s="68"/>
      <c r="FNK2" s="68"/>
      <c r="FNL2" s="68"/>
      <c r="FNM2" s="68"/>
      <c r="FNN2" s="68"/>
      <c r="FNO2" s="68"/>
      <c r="FNP2" s="68"/>
      <c r="FNQ2" s="68"/>
      <c r="FNR2" s="68"/>
      <c r="FNS2" s="68"/>
      <c r="FNT2" s="68"/>
      <c r="FNU2" s="68"/>
      <c r="FNV2" s="68"/>
      <c r="FNW2" s="68"/>
      <c r="FNX2" s="68"/>
      <c r="FNY2" s="68"/>
      <c r="FNZ2" s="68"/>
      <c r="FOA2" s="68"/>
      <c r="FOB2" s="68"/>
      <c r="FOC2" s="68"/>
      <c r="FOD2" s="68"/>
      <c r="FOE2" s="68"/>
      <c r="FOF2" s="68"/>
      <c r="FOG2" s="68"/>
      <c r="FOH2" s="68"/>
      <c r="FOI2" s="68"/>
      <c r="FOJ2" s="68"/>
      <c r="FOK2" s="68"/>
      <c r="FOL2" s="68"/>
      <c r="FOM2" s="68"/>
      <c r="FON2" s="68"/>
      <c r="FOO2" s="68"/>
      <c r="FOP2" s="68"/>
      <c r="FOQ2" s="68"/>
      <c r="FOR2" s="68"/>
      <c r="FOS2" s="68"/>
      <c r="FOT2" s="68"/>
      <c r="FOU2" s="68"/>
      <c r="FOV2" s="68"/>
      <c r="FOW2" s="68"/>
      <c r="FOX2" s="68"/>
      <c r="FOY2" s="68"/>
      <c r="FOZ2" s="68"/>
      <c r="FPA2" s="68"/>
      <c r="FPB2" s="68"/>
      <c r="FPC2" s="68"/>
      <c r="FPD2" s="68"/>
      <c r="FPE2" s="68"/>
      <c r="FPF2" s="68"/>
      <c r="FPG2" s="68"/>
      <c r="FPH2" s="68"/>
      <c r="FPI2" s="68"/>
      <c r="FPJ2" s="68"/>
      <c r="FPK2" s="68"/>
      <c r="FPL2" s="68"/>
      <c r="FPM2" s="68"/>
      <c r="FPN2" s="68"/>
      <c r="FPO2" s="68"/>
      <c r="FPP2" s="68"/>
      <c r="FPQ2" s="68"/>
      <c r="FPR2" s="68"/>
      <c r="FPS2" s="68"/>
      <c r="FPT2" s="68"/>
      <c r="FPU2" s="68"/>
      <c r="FPV2" s="68"/>
      <c r="FPW2" s="68"/>
      <c r="FPX2" s="68"/>
      <c r="FPY2" s="68"/>
      <c r="FPZ2" s="68"/>
      <c r="FQA2" s="68"/>
      <c r="FQB2" s="68"/>
      <c r="FQC2" s="68"/>
      <c r="FQD2" s="68"/>
      <c r="FQE2" s="68"/>
      <c r="FQF2" s="68"/>
      <c r="FQG2" s="68"/>
      <c r="FQH2" s="68"/>
      <c r="FQI2" s="68"/>
      <c r="FQJ2" s="68"/>
      <c r="FQK2" s="68"/>
      <c r="FQL2" s="68"/>
      <c r="FQM2" s="68"/>
      <c r="FQN2" s="68"/>
      <c r="FQO2" s="68"/>
      <c r="FQP2" s="68"/>
      <c r="FQQ2" s="68"/>
      <c r="FQR2" s="68"/>
      <c r="FQS2" s="68"/>
      <c r="FQT2" s="68"/>
      <c r="FQU2" s="68"/>
      <c r="FQV2" s="68"/>
      <c r="FQW2" s="68"/>
      <c r="FQX2" s="68"/>
      <c r="FQY2" s="68"/>
      <c r="FQZ2" s="68"/>
      <c r="FRA2" s="68"/>
      <c r="FRB2" s="68"/>
      <c r="FRC2" s="68"/>
      <c r="FRD2" s="68"/>
      <c r="FRE2" s="68"/>
      <c r="FRF2" s="68"/>
      <c r="FRG2" s="68"/>
      <c r="FRH2" s="68"/>
      <c r="FRI2" s="68"/>
      <c r="FRJ2" s="68"/>
      <c r="FRK2" s="68"/>
      <c r="FRL2" s="68"/>
      <c r="FRM2" s="68"/>
      <c r="FRN2" s="68"/>
      <c r="FRO2" s="68"/>
      <c r="FRP2" s="68"/>
      <c r="FRQ2" s="68"/>
      <c r="FRR2" s="68"/>
      <c r="FRS2" s="68"/>
      <c r="FRT2" s="68"/>
      <c r="FRU2" s="68"/>
      <c r="FRV2" s="68"/>
      <c r="FRW2" s="68"/>
      <c r="FRX2" s="68"/>
      <c r="FRY2" s="68"/>
      <c r="FRZ2" s="68"/>
      <c r="FSA2" s="68"/>
      <c r="FSB2" s="68"/>
      <c r="FSC2" s="68"/>
      <c r="FSD2" s="68"/>
      <c r="FSE2" s="68"/>
      <c r="FSF2" s="68"/>
      <c r="FSG2" s="68"/>
      <c r="FSH2" s="68"/>
      <c r="FSI2" s="68"/>
      <c r="FSJ2" s="68"/>
      <c r="FSK2" s="68"/>
      <c r="FSL2" s="68"/>
      <c r="FSM2" s="68"/>
      <c r="FSN2" s="68"/>
      <c r="FSO2" s="68"/>
      <c r="FSP2" s="68"/>
      <c r="FSQ2" s="68"/>
      <c r="FSR2" s="68"/>
      <c r="FSS2" s="68"/>
      <c r="FST2" s="68"/>
      <c r="FSU2" s="68"/>
      <c r="FSV2" s="68"/>
      <c r="FSW2" s="68"/>
      <c r="FSX2" s="68"/>
      <c r="FSY2" s="68"/>
      <c r="FSZ2" s="68"/>
      <c r="FTA2" s="68"/>
      <c r="FTB2" s="68"/>
      <c r="FTC2" s="68"/>
      <c r="FTD2" s="68"/>
      <c r="FTE2" s="68"/>
      <c r="FTF2" s="68"/>
      <c r="FTG2" s="68"/>
      <c r="FTH2" s="68"/>
      <c r="FTI2" s="68"/>
      <c r="FTJ2" s="68"/>
      <c r="FTK2" s="68"/>
      <c r="FTL2" s="68"/>
      <c r="FTM2" s="68"/>
      <c r="FTN2" s="68"/>
      <c r="FTO2" s="68"/>
      <c r="FTP2" s="68"/>
      <c r="FTQ2" s="68"/>
      <c r="FTR2" s="68"/>
      <c r="FTS2" s="68"/>
      <c r="FTT2" s="68"/>
      <c r="FTU2" s="68"/>
      <c r="FTV2" s="68"/>
      <c r="FTW2" s="68"/>
      <c r="FTX2" s="68"/>
      <c r="FTY2" s="68"/>
      <c r="FTZ2" s="68"/>
      <c r="FUA2" s="68"/>
      <c r="FUB2" s="68"/>
      <c r="FUC2" s="68"/>
      <c r="FUD2" s="68"/>
      <c r="FUE2" s="68"/>
      <c r="FUF2" s="68"/>
      <c r="FUG2" s="68"/>
      <c r="FUH2" s="68"/>
      <c r="FUI2" s="68"/>
      <c r="FUJ2" s="68"/>
      <c r="FUK2" s="68"/>
      <c r="FUL2" s="68"/>
      <c r="FUM2" s="68"/>
      <c r="FUN2" s="68"/>
      <c r="FUO2" s="68"/>
      <c r="FUP2" s="68"/>
      <c r="FUQ2" s="68"/>
      <c r="FUR2" s="68"/>
      <c r="FUS2" s="68"/>
      <c r="FUT2" s="68"/>
      <c r="FUU2" s="68"/>
      <c r="FUV2" s="68"/>
      <c r="FUW2" s="68"/>
      <c r="FUX2" s="68"/>
      <c r="FUY2" s="68"/>
      <c r="FUZ2" s="68"/>
      <c r="FVA2" s="68"/>
      <c r="FVB2" s="68"/>
      <c r="FVC2" s="68"/>
      <c r="FVD2" s="68"/>
      <c r="FVE2" s="68"/>
      <c r="FVF2" s="68"/>
      <c r="FVG2" s="68"/>
      <c r="FVH2" s="68"/>
      <c r="FVI2" s="68"/>
      <c r="FVJ2" s="68"/>
      <c r="FVK2" s="68"/>
      <c r="FVL2" s="68"/>
      <c r="FVM2" s="68"/>
      <c r="FVN2" s="68"/>
      <c r="FVO2" s="68"/>
      <c r="FVP2" s="68"/>
      <c r="FVQ2" s="68"/>
      <c r="FVR2" s="68"/>
      <c r="FVS2" s="68"/>
      <c r="FVT2" s="68"/>
      <c r="FVU2" s="68"/>
      <c r="FVV2" s="68"/>
      <c r="FVW2" s="68"/>
      <c r="FVX2" s="68"/>
      <c r="FVY2" s="68"/>
      <c r="FVZ2" s="68"/>
      <c r="FWA2" s="68"/>
      <c r="FWB2" s="68"/>
      <c r="FWC2" s="68"/>
      <c r="FWD2" s="68"/>
      <c r="FWE2" s="68"/>
      <c r="FWF2" s="68"/>
      <c r="FWG2" s="68"/>
      <c r="FWH2" s="68"/>
      <c r="FWI2" s="68"/>
      <c r="FWJ2" s="68"/>
      <c r="FWK2" s="68"/>
      <c r="FWL2" s="68"/>
      <c r="FWM2" s="68"/>
      <c r="FWN2" s="68"/>
      <c r="FWO2" s="68"/>
      <c r="FWP2" s="68"/>
      <c r="FWQ2" s="68"/>
      <c r="FWR2" s="68"/>
      <c r="FWS2" s="68"/>
      <c r="FWT2" s="68"/>
      <c r="FWU2" s="68"/>
      <c r="FWV2" s="68"/>
      <c r="FWW2" s="68"/>
      <c r="FWX2" s="68"/>
      <c r="FWY2" s="68"/>
      <c r="FWZ2" s="68"/>
      <c r="FXA2" s="68"/>
      <c r="FXB2" s="68"/>
      <c r="FXC2" s="68"/>
      <c r="FXD2" s="68"/>
      <c r="FXE2" s="68"/>
      <c r="FXF2" s="68"/>
      <c r="FXG2" s="68"/>
      <c r="FXH2" s="68"/>
      <c r="FXI2" s="68"/>
      <c r="FXJ2" s="68"/>
      <c r="FXK2" s="68"/>
      <c r="FXL2" s="68"/>
      <c r="FXM2" s="68"/>
      <c r="FXN2" s="68"/>
      <c r="FXO2" s="68"/>
      <c r="FXP2" s="68"/>
      <c r="FXQ2" s="68"/>
      <c r="FXR2" s="68"/>
      <c r="FXS2" s="68"/>
      <c r="FXT2" s="68"/>
      <c r="FXU2" s="68"/>
      <c r="FXV2" s="68"/>
      <c r="FXW2" s="68"/>
      <c r="FXX2" s="68"/>
      <c r="FXY2" s="68"/>
      <c r="FXZ2" s="68"/>
      <c r="FYA2" s="68"/>
      <c r="FYB2" s="68"/>
      <c r="FYC2" s="68"/>
      <c r="FYD2" s="68"/>
      <c r="FYE2" s="68"/>
      <c r="FYF2" s="68"/>
      <c r="FYG2" s="68"/>
      <c r="FYH2" s="68"/>
      <c r="FYI2" s="68"/>
      <c r="FYJ2" s="68"/>
      <c r="FYK2" s="68"/>
      <c r="FYL2" s="68"/>
      <c r="FYM2" s="68"/>
      <c r="FYN2" s="68"/>
      <c r="FYO2" s="68"/>
      <c r="FYP2" s="68"/>
      <c r="FYQ2" s="68"/>
      <c r="FYR2" s="68"/>
      <c r="FYS2" s="68"/>
      <c r="FYT2" s="68"/>
      <c r="FYU2" s="68"/>
      <c r="FYV2" s="68"/>
      <c r="FYW2" s="68"/>
      <c r="FYX2" s="68"/>
      <c r="FYY2" s="68"/>
      <c r="FYZ2" s="68"/>
      <c r="FZA2" s="68"/>
      <c r="FZB2" s="68"/>
      <c r="FZC2" s="68"/>
      <c r="FZD2" s="68"/>
      <c r="FZE2" s="68"/>
      <c r="FZF2" s="68"/>
      <c r="FZG2" s="68"/>
      <c r="FZH2" s="68"/>
      <c r="FZI2" s="68"/>
      <c r="FZJ2" s="68"/>
      <c r="FZK2" s="68"/>
      <c r="FZL2" s="68"/>
      <c r="FZM2" s="68"/>
      <c r="FZN2" s="68"/>
      <c r="FZO2" s="68"/>
      <c r="FZP2" s="68"/>
      <c r="FZQ2" s="68"/>
      <c r="FZR2" s="68"/>
      <c r="FZS2" s="68"/>
      <c r="FZT2" s="68"/>
      <c r="FZU2" s="68"/>
      <c r="FZV2" s="68"/>
      <c r="FZW2" s="68"/>
      <c r="FZX2" s="68"/>
      <c r="FZY2" s="68"/>
      <c r="FZZ2" s="68"/>
      <c r="GAA2" s="68"/>
      <c r="GAB2" s="68"/>
      <c r="GAC2" s="68"/>
      <c r="GAD2" s="68"/>
      <c r="GAE2" s="68"/>
      <c r="GAF2" s="68"/>
      <c r="GAG2" s="68"/>
      <c r="GAH2" s="68"/>
      <c r="GAI2" s="68"/>
      <c r="GAJ2" s="68"/>
      <c r="GAK2" s="68"/>
      <c r="GAL2" s="68"/>
      <c r="GAM2" s="68"/>
      <c r="GAN2" s="68"/>
      <c r="GAO2" s="68"/>
      <c r="GAP2" s="68"/>
      <c r="GAQ2" s="68"/>
      <c r="GAR2" s="68"/>
      <c r="GAS2" s="68"/>
      <c r="GAT2" s="68"/>
      <c r="GAU2" s="68"/>
      <c r="GAV2" s="68"/>
      <c r="GAW2" s="68"/>
      <c r="GAX2" s="68"/>
      <c r="GAY2" s="68"/>
      <c r="GAZ2" s="68"/>
      <c r="GBA2" s="68"/>
      <c r="GBB2" s="68"/>
      <c r="GBC2" s="68"/>
      <c r="GBD2" s="68"/>
      <c r="GBE2" s="68"/>
      <c r="GBF2" s="68"/>
      <c r="GBG2" s="68"/>
      <c r="GBH2" s="68"/>
      <c r="GBI2" s="68"/>
      <c r="GBJ2" s="68"/>
      <c r="GBK2" s="68"/>
      <c r="GBL2" s="68"/>
      <c r="GBM2" s="68"/>
      <c r="GBN2" s="68"/>
      <c r="GBO2" s="68"/>
      <c r="GBP2" s="68"/>
      <c r="GBQ2" s="68"/>
      <c r="GBR2" s="68"/>
      <c r="GBS2" s="68"/>
      <c r="GBT2" s="68"/>
      <c r="GBU2" s="68"/>
      <c r="GBV2" s="68"/>
      <c r="GBW2" s="68"/>
      <c r="GBX2" s="68"/>
      <c r="GBY2" s="68"/>
      <c r="GBZ2" s="68"/>
      <c r="GCA2" s="68"/>
      <c r="GCB2" s="68"/>
      <c r="GCC2" s="68"/>
      <c r="GCD2" s="68"/>
      <c r="GCE2" s="68"/>
      <c r="GCF2" s="68"/>
      <c r="GCG2" s="68"/>
      <c r="GCH2" s="68"/>
      <c r="GCI2" s="68"/>
      <c r="GCJ2" s="68"/>
      <c r="GCK2" s="68"/>
      <c r="GCL2" s="68"/>
      <c r="GCM2" s="68"/>
      <c r="GCN2" s="68"/>
      <c r="GCO2" s="68"/>
      <c r="GCP2" s="68"/>
      <c r="GCQ2" s="68"/>
      <c r="GCR2" s="68"/>
      <c r="GCS2" s="68"/>
      <c r="GCT2" s="68"/>
      <c r="GCU2" s="68"/>
      <c r="GCV2" s="68"/>
      <c r="GCW2" s="68"/>
      <c r="GCX2" s="68"/>
      <c r="GCY2" s="68"/>
      <c r="GCZ2" s="68"/>
      <c r="GDA2" s="68"/>
      <c r="GDB2" s="68"/>
      <c r="GDC2" s="68"/>
      <c r="GDD2" s="68"/>
      <c r="GDE2" s="68"/>
      <c r="GDF2" s="68"/>
      <c r="GDG2" s="68"/>
      <c r="GDH2" s="68"/>
      <c r="GDI2" s="68"/>
      <c r="GDJ2" s="68"/>
      <c r="GDK2" s="68"/>
      <c r="GDL2" s="68"/>
      <c r="GDM2" s="68"/>
      <c r="GDN2" s="68"/>
      <c r="GDO2" s="68"/>
      <c r="GDP2" s="68"/>
      <c r="GDQ2" s="68"/>
      <c r="GDR2" s="68"/>
      <c r="GDS2" s="68"/>
      <c r="GDT2" s="68"/>
      <c r="GDU2" s="68"/>
      <c r="GDV2" s="68"/>
      <c r="GDW2" s="68"/>
      <c r="GDX2" s="68"/>
      <c r="GDY2" s="68"/>
      <c r="GDZ2" s="68"/>
      <c r="GEA2" s="68"/>
      <c r="GEB2" s="68"/>
      <c r="GEC2" s="68"/>
      <c r="GED2" s="68"/>
      <c r="GEE2" s="68"/>
      <c r="GEF2" s="68"/>
      <c r="GEG2" s="68"/>
      <c r="GEH2" s="68"/>
      <c r="GEI2" s="68"/>
      <c r="GEJ2" s="68"/>
      <c r="GEK2" s="68"/>
      <c r="GEL2" s="68"/>
      <c r="GEM2" s="68"/>
      <c r="GEN2" s="68"/>
      <c r="GEO2" s="68"/>
      <c r="GEP2" s="68"/>
      <c r="GEQ2" s="68"/>
      <c r="GER2" s="68"/>
      <c r="GES2" s="68"/>
      <c r="GET2" s="68"/>
      <c r="GEU2" s="68"/>
      <c r="GEV2" s="68"/>
      <c r="GEW2" s="68"/>
      <c r="GEX2" s="68"/>
      <c r="GEY2" s="68"/>
      <c r="GEZ2" s="68"/>
      <c r="GFA2" s="68"/>
      <c r="GFB2" s="68"/>
      <c r="GFC2" s="68"/>
      <c r="GFD2" s="68"/>
      <c r="GFE2" s="68"/>
      <c r="GFF2" s="68"/>
      <c r="GFG2" s="68"/>
      <c r="GFH2" s="68"/>
      <c r="GFI2" s="68"/>
      <c r="GFJ2" s="68"/>
      <c r="GFK2" s="68"/>
      <c r="GFL2" s="68"/>
      <c r="GFM2" s="68"/>
      <c r="GFN2" s="68"/>
      <c r="GFO2" s="68"/>
      <c r="GFP2" s="68"/>
      <c r="GFQ2" s="68"/>
      <c r="GFR2" s="68"/>
      <c r="GFS2" s="68"/>
      <c r="GFT2" s="68"/>
      <c r="GFU2" s="68"/>
      <c r="GFV2" s="68"/>
      <c r="GFW2" s="68"/>
      <c r="GFX2" s="68"/>
      <c r="GFY2" s="68"/>
      <c r="GFZ2" s="68"/>
      <c r="GGA2" s="68"/>
      <c r="GGB2" s="68"/>
      <c r="GGC2" s="68"/>
      <c r="GGD2" s="68"/>
      <c r="GGE2" s="68"/>
      <c r="GGF2" s="68"/>
      <c r="GGG2" s="68"/>
      <c r="GGH2" s="68"/>
      <c r="GGI2" s="68"/>
      <c r="GGJ2" s="68"/>
      <c r="GGK2" s="68"/>
      <c r="GGL2" s="68"/>
      <c r="GGM2" s="68"/>
      <c r="GGN2" s="68"/>
      <c r="GGO2" s="68"/>
      <c r="GGP2" s="68"/>
      <c r="GGQ2" s="68"/>
      <c r="GGR2" s="68"/>
      <c r="GGS2" s="68"/>
      <c r="GGT2" s="68"/>
      <c r="GGU2" s="68"/>
      <c r="GGV2" s="68"/>
      <c r="GGW2" s="68"/>
      <c r="GGX2" s="68"/>
      <c r="GGY2" s="68"/>
      <c r="GGZ2" s="68"/>
      <c r="GHA2" s="68"/>
      <c r="GHB2" s="68"/>
      <c r="GHC2" s="68"/>
      <c r="GHD2" s="68"/>
      <c r="GHE2" s="68"/>
      <c r="GHF2" s="68"/>
      <c r="GHG2" s="68"/>
      <c r="GHH2" s="68"/>
      <c r="GHI2" s="68"/>
      <c r="GHJ2" s="68"/>
      <c r="GHK2" s="68"/>
      <c r="GHL2" s="68"/>
      <c r="GHM2" s="68"/>
      <c r="GHN2" s="68"/>
      <c r="GHO2" s="68"/>
      <c r="GHP2" s="68"/>
      <c r="GHQ2" s="68"/>
      <c r="GHR2" s="68"/>
      <c r="GHS2" s="68"/>
      <c r="GHT2" s="68"/>
      <c r="GHU2" s="68"/>
      <c r="GHV2" s="68"/>
      <c r="GHW2" s="68"/>
      <c r="GHX2" s="68"/>
      <c r="GHY2" s="68"/>
      <c r="GHZ2" s="68"/>
      <c r="GIA2" s="68"/>
      <c r="GIB2" s="68"/>
      <c r="GIC2" s="68"/>
      <c r="GID2" s="68"/>
      <c r="GIE2" s="68"/>
      <c r="GIF2" s="68"/>
      <c r="GIG2" s="68"/>
      <c r="GIH2" s="68"/>
      <c r="GII2" s="68"/>
      <c r="GIJ2" s="68"/>
      <c r="GIK2" s="68"/>
      <c r="GIL2" s="68"/>
      <c r="GIM2" s="68"/>
      <c r="GIN2" s="68"/>
      <c r="GIO2" s="68"/>
      <c r="GIP2" s="68"/>
      <c r="GIQ2" s="68"/>
      <c r="GIR2" s="68"/>
      <c r="GIS2" s="68"/>
      <c r="GIT2" s="68"/>
      <c r="GIU2" s="68"/>
      <c r="GIV2" s="68"/>
      <c r="GIW2" s="68"/>
      <c r="GIX2" s="68"/>
      <c r="GIY2" s="68"/>
      <c r="GIZ2" s="68"/>
      <c r="GJA2" s="68"/>
      <c r="GJB2" s="68"/>
      <c r="GJC2" s="68"/>
      <c r="GJD2" s="68"/>
      <c r="GJE2" s="68"/>
      <c r="GJF2" s="68"/>
      <c r="GJG2" s="68"/>
      <c r="GJH2" s="68"/>
      <c r="GJI2" s="68"/>
      <c r="GJJ2" s="68"/>
      <c r="GJK2" s="68"/>
      <c r="GJL2" s="68"/>
      <c r="GJM2" s="68"/>
      <c r="GJN2" s="68"/>
      <c r="GJO2" s="68"/>
      <c r="GJP2" s="68"/>
      <c r="GJQ2" s="68"/>
      <c r="GJR2" s="68"/>
      <c r="GJS2" s="68"/>
      <c r="GJT2" s="68"/>
      <c r="GJU2" s="68"/>
      <c r="GJV2" s="68"/>
      <c r="GJW2" s="68"/>
      <c r="GJX2" s="68"/>
      <c r="GJY2" s="68"/>
      <c r="GJZ2" s="68"/>
      <c r="GKA2" s="68"/>
      <c r="GKB2" s="68"/>
      <c r="GKC2" s="68"/>
      <c r="GKD2" s="68"/>
      <c r="GKE2" s="68"/>
      <c r="GKF2" s="68"/>
      <c r="GKG2" s="68"/>
      <c r="GKH2" s="68"/>
      <c r="GKI2" s="68"/>
      <c r="GKJ2" s="68"/>
      <c r="GKK2" s="68"/>
      <c r="GKL2" s="68"/>
      <c r="GKM2" s="68"/>
      <c r="GKN2" s="68"/>
      <c r="GKO2" s="68"/>
      <c r="GKP2" s="68"/>
      <c r="GKQ2" s="68"/>
      <c r="GKR2" s="68"/>
      <c r="GKS2" s="68"/>
      <c r="GKT2" s="68"/>
      <c r="GKU2" s="68"/>
      <c r="GKV2" s="68"/>
      <c r="GKW2" s="68"/>
      <c r="GKX2" s="68"/>
      <c r="GKY2" s="68"/>
      <c r="GKZ2" s="68"/>
      <c r="GLA2" s="68"/>
      <c r="GLB2" s="68"/>
      <c r="GLC2" s="68"/>
      <c r="GLD2" s="68"/>
      <c r="GLE2" s="68"/>
      <c r="GLF2" s="68"/>
      <c r="GLG2" s="68"/>
      <c r="GLH2" s="68"/>
      <c r="GLI2" s="68"/>
      <c r="GLJ2" s="68"/>
      <c r="GLK2" s="68"/>
      <c r="GLL2" s="68"/>
      <c r="GLM2" s="68"/>
      <c r="GLN2" s="68"/>
      <c r="GLO2" s="68"/>
      <c r="GLP2" s="68"/>
      <c r="GLQ2" s="68"/>
      <c r="GLR2" s="68"/>
      <c r="GLS2" s="68"/>
      <c r="GLT2" s="68"/>
      <c r="GLU2" s="68"/>
      <c r="GLV2" s="68"/>
      <c r="GLW2" s="68"/>
      <c r="GLX2" s="68"/>
      <c r="GLY2" s="68"/>
      <c r="GLZ2" s="68"/>
      <c r="GMA2" s="68"/>
      <c r="GMB2" s="68"/>
      <c r="GMC2" s="68"/>
      <c r="GMD2" s="68"/>
      <c r="GME2" s="68"/>
      <c r="GMF2" s="68"/>
      <c r="GMG2" s="68"/>
      <c r="GMH2" s="68"/>
      <c r="GMI2" s="68"/>
      <c r="GMJ2" s="68"/>
      <c r="GMK2" s="68"/>
      <c r="GML2" s="68"/>
      <c r="GMM2" s="68"/>
      <c r="GMN2" s="68"/>
      <c r="GMO2" s="68"/>
      <c r="GMP2" s="68"/>
      <c r="GMQ2" s="68"/>
      <c r="GMR2" s="68"/>
      <c r="GMS2" s="68"/>
      <c r="GMT2" s="68"/>
      <c r="GMU2" s="68"/>
      <c r="GMV2" s="68"/>
      <c r="GMW2" s="68"/>
      <c r="GMX2" s="68"/>
      <c r="GMY2" s="68"/>
      <c r="GMZ2" s="68"/>
      <c r="GNA2" s="68"/>
      <c r="GNB2" s="68"/>
      <c r="GNC2" s="68"/>
      <c r="GND2" s="68"/>
      <c r="GNE2" s="68"/>
      <c r="GNF2" s="68"/>
      <c r="GNG2" s="68"/>
      <c r="GNH2" s="68"/>
      <c r="GNI2" s="68"/>
      <c r="GNJ2" s="68"/>
      <c r="GNK2" s="68"/>
      <c r="GNL2" s="68"/>
      <c r="GNM2" s="68"/>
      <c r="GNN2" s="68"/>
      <c r="GNO2" s="68"/>
      <c r="GNP2" s="68"/>
      <c r="GNQ2" s="68"/>
      <c r="GNR2" s="68"/>
      <c r="GNS2" s="68"/>
      <c r="GNT2" s="68"/>
      <c r="GNU2" s="68"/>
      <c r="GNV2" s="68"/>
      <c r="GNW2" s="68"/>
      <c r="GNX2" s="68"/>
      <c r="GNY2" s="68"/>
      <c r="GNZ2" s="68"/>
      <c r="GOA2" s="68"/>
      <c r="GOB2" s="68"/>
      <c r="GOC2" s="68"/>
      <c r="GOD2" s="68"/>
      <c r="GOE2" s="68"/>
      <c r="GOF2" s="68"/>
      <c r="GOG2" s="68"/>
      <c r="GOH2" s="68"/>
      <c r="GOI2" s="68"/>
      <c r="GOJ2" s="68"/>
      <c r="GOK2" s="68"/>
      <c r="GOL2" s="68"/>
      <c r="GOM2" s="68"/>
      <c r="GON2" s="68"/>
      <c r="GOO2" s="68"/>
      <c r="GOP2" s="68"/>
      <c r="GOQ2" s="68"/>
      <c r="GOR2" s="68"/>
      <c r="GOS2" s="68"/>
      <c r="GOT2" s="68"/>
      <c r="GOU2" s="68"/>
      <c r="GOV2" s="68"/>
      <c r="GOW2" s="68"/>
      <c r="GOX2" s="68"/>
      <c r="GOY2" s="68"/>
      <c r="GOZ2" s="68"/>
      <c r="GPA2" s="68"/>
      <c r="GPB2" s="68"/>
      <c r="GPC2" s="68"/>
      <c r="GPD2" s="68"/>
      <c r="GPE2" s="68"/>
      <c r="GPF2" s="68"/>
      <c r="GPG2" s="68"/>
      <c r="GPH2" s="68"/>
      <c r="GPI2" s="68"/>
      <c r="GPJ2" s="68"/>
      <c r="GPK2" s="68"/>
      <c r="GPL2" s="68"/>
      <c r="GPM2" s="68"/>
      <c r="GPN2" s="68"/>
      <c r="GPO2" s="68"/>
      <c r="GPP2" s="68"/>
      <c r="GPQ2" s="68"/>
      <c r="GPR2" s="68"/>
      <c r="GPS2" s="68"/>
      <c r="GPT2" s="68"/>
      <c r="GPU2" s="68"/>
      <c r="GPV2" s="68"/>
      <c r="GPW2" s="68"/>
      <c r="GPX2" s="68"/>
      <c r="GPY2" s="68"/>
      <c r="GPZ2" s="68"/>
      <c r="GQA2" s="68"/>
      <c r="GQB2" s="68"/>
      <c r="GQC2" s="68"/>
      <c r="GQD2" s="68"/>
      <c r="GQE2" s="68"/>
      <c r="GQF2" s="68"/>
      <c r="GQG2" s="68"/>
      <c r="GQH2" s="68"/>
      <c r="GQI2" s="68"/>
      <c r="GQJ2" s="68"/>
      <c r="GQK2" s="68"/>
      <c r="GQL2" s="68"/>
      <c r="GQM2" s="68"/>
      <c r="GQN2" s="68"/>
      <c r="GQO2" s="68"/>
      <c r="GQP2" s="68"/>
      <c r="GQQ2" s="68"/>
      <c r="GQR2" s="68"/>
      <c r="GQS2" s="68"/>
      <c r="GQT2" s="68"/>
      <c r="GQU2" s="68"/>
      <c r="GQV2" s="68"/>
      <c r="GQW2" s="68"/>
      <c r="GQX2" s="68"/>
      <c r="GQY2" s="68"/>
      <c r="GQZ2" s="68"/>
      <c r="GRA2" s="68"/>
      <c r="GRB2" s="68"/>
      <c r="GRC2" s="68"/>
      <c r="GRD2" s="68"/>
      <c r="GRE2" s="68"/>
      <c r="GRF2" s="68"/>
      <c r="GRG2" s="68"/>
      <c r="GRH2" s="68"/>
      <c r="GRI2" s="68"/>
      <c r="GRJ2" s="68"/>
      <c r="GRK2" s="68"/>
      <c r="GRL2" s="68"/>
      <c r="GRM2" s="68"/>
      <c r="GRN2" s="68"/>
      <c r="GRO2" s="68"/>
      <c r="GRP2" s="68"/>
      <c r="GRQ2" s="68"/>
      <c r="GRR2" s="68"/>
      <c r="GRS2" s="68"/>
      <c r="GRT2" s="68"/>
      <c r="GRU2" s="68"/>
      <c r="GRV2" s="68"/>
      <c r="GRW2" s="68"/>
      <c r="GRX2" s="68"/>
      <c r="GRY2" s="68"/>
      <c r="GRZ2" s="68"/>
      <c r="GSA2" s="68"/>
      <c r="GSB2" s="68"/>
      <c r="GSC2" s="68"/>
      <c r="GSD2" s="68"/>
      <c r="GSE2" s="68"/>
      <c r="GSF2" s="68"/>
      <c r="GSG2" s="68"/>
      <c r="GSH2" s="68"/>
      <c r="GSI2" s="68"/>
      <c r="GSJ2" s="68"/>
      <c r="GSK2" s="68"/>
      <c r="GSL2" s="68"/>
      <c r="GSM2" s="68"/>
      <c r="GSN2" s="68"/>
      <c r="GSO2" s="68"/>
      <c r="GSP2" s="68"/>
      <c r="GSQ2" s="68"/>
      <c r="GSR2" s="68"/>
      <c r="GSS2" s="68"/>
      <c r="GST2" s="68"/>
      <c r="GSU2" s="68"/>
      <c r="GSV2" s="68"/>
      <c r="GSW2" s="68"/>
      <c r="GSX2" s="68"/>
      <c r="GSY2" s="68"/>
      <c r="GSZ2" s="68"/>
      <c r="GTA2" s="68"/>
      <c r="GTB2" s="68"/>
      <c r="GTC2" s="68"/>
      <c r="GTD2" s="68"/>
      <c r="GTE2" s="68"/>
      <c r="GTF2" s="68"/>
      <c r="GTG2" s="68"/>
      <c r="GTH2" s="68"/>
      <c r="GTI2" s="68"/>
      <c r="GTJ2" s="68"/>
      <c r="GTK2" s="68"/>
      <c r="GTL2" s="68"/>
      <c r="GTM2" s="68"/>
      <c r="GTN2" s="68"/>
      <c r="GTO2" s="68"/>
      <c r="GTP2" s="68"/>
      <c r="GTQ2" s="68"/>
      <c r="GTR2" s="68"/>
      <c r="GTS2" s="68"/>
      <c r="GTT2" s="68"/>
      <c r="GTU2" s="68"/>
      <c r="GTV2" s="68"/>
      <c r="GTW2" s="68"/>
      <c r="GTX2" s="68"/>
      <c r="GTY2" s="68"/>
      <c r="GTZ2" s="68"/>
      <c r="GUA2" s="68"/>
      <c r="GUB2" s="68"/>
      <c r="GUC2" s="68"/>
      <c r="GUD2" s="68"/>
      <c r="GUE2" s="68"/>
      <c r="GUF2" s="68"/>
      <c r="GUG2" s="68"/>
      <c r="GUH2" s="68"/>
      <c r="GUI2" s="68"/>
      <c r="GUJ2" s="68"/>
      <c r="GUK2" s="68"/>
      <c r="GUL2" s="68"/>
      <c r="GUM2" s="68"/>
      <c r="GUN2" s="68"/>
      <c r="GUO2" s="68"/>
      <c r="GUP2" s="68"/>
      <c r="GUQ2" s="68"/>
      <c r="GUR2" s="68"/>
      <c r="GUS2" s="68"/>
      <c r="GUT2" s="68"/>
      <c r="GUU2" s="68"/>
      <c r="GUV2" s="68"/>
      <c r="GUW2" s="68"/>
      <c r="GUX2" s="68"/>
      <c r="GUY2" s="68"/>
      <c r="GUZ2" s="68"/>
      <c r="GVA2" s="68"/>
      <c r="GVB2" s="68"/>
      <c r="GVC2" s="68"/>
      <c r="GVD2" s="68"/>
      <c r="GVE2" s="68"/>
      <c r="GVF2" s="68"/>
      <c r="GVG2" s="68"/>
      <c r="GVH2" s="68"/>
      <c r="GVI2" s="68"/>
      <c r="GVJ2" s="68"/>
      <c r="GVK2" s="68"/>
      <c r="GVL2" s="68"/>
      <c r="GVM2" s="68"/>
      <c r="GVN2" s="68"/>
      <c r="GVO2" s="68"/>
      <c r="GVP2" s="68"/>
      <c r="GVQ2" s="68"/>
      <c r="GVR2" s="68"/>
      <c r="GVS2" s="68"/>
      <c r="GVT2" s="68"/>
      <c r="GVU2" s="68"/>
      <c r="GVV2" s="68"/>
      <c r="GVW2" s="68"/>
      <c r="GVX2" s="68"/>
      <c r="GVY2" s="68"/>
      <c r="GVZ2" s="68"/>
      <c r="GWA2" s="68"/>
      <c r="GWB2" s="68"/>
      <c r="GWC2" s="68"/>
      <c r="GWD2" s="68"/>
      <c r="GWE2" s="68"/>
      <c r="GWF2" s="68"/>
      <c r="GWG2" s="68"/>
      <c r="GWH2" s="68"/>
      <c r="GWI2" s="68"/>
      <c r="GWJ2" s="68"/>
      <c r="GWK2" s="68"/>
      <c r="GWL2" s="68"/>
      <c r="GWM2" s="68"/>
      <c r="GWN2" s="68"/>
      <c r="GWO2" s="68"/>
      <c r="GWP2" s="68"/>
      <c r="GWQ2" s="68"/>
      <c r="GWR2" s="68"/>
      <c r="GWS2" s="68"/>
      <c r="GWT2" s="68"/>
      <c r="GWU2" s="68"/>
      <c r="GWV2" s="68"/>
      <c r="GWW2" s="68"/>
      <c r="GWX2" s="68"/>
      <c r="GWY2" s="68"/>
      <c r="GWZ2" s="68"/>
      <c r="GXA2" s="68"/>
      <c r="GXB2" s="68"/>
      <c r="GXC2" s="68"/>
      <c r="GXD2" s="68"/>
      <c r="GXE2" s="68"/>
      <c r="GXF2" s="68"/>
      <c r="GXG2" s="68"/>
      <c r="GXH2" s="68"/>
      <c r="GXI2" s="68"/>
      <c r="GXJ2" s="68"/>
      <c r="GXK2" s="68"/>
      <c r="GXL2" s="68"/>
      <c r="GXM2" s="68"/>
      <c r="GXN2" s="68"/>
      <c r="GXO2" s="68"/>
      <c r="GXP2" s="68"/>
      <c r="GXQ2" s="68"/>
      <c r="GXR2" s="68"/>
      <c r="GXS2" s="68"/>
      <c r="GXT2" s="68"/>
      <c r="GXU2" s="68"/>
      <c r="GXV2" s="68"/>
      <c r="GXW2" s="68"/>
      <c r="GXX2" s="68"/>
      <c r="GXY2" s="68"/>
      <c r="GXZ2" s="68"/>
      <c r="GYA2" s="68"/>
      <c r="GYB2" s="68"/>
      <c r="GYC2" s="68"/>
      <c r="GYD2" s="68"/>
      <c r="GYE2" s="68"/>
      <c r="GYF2" s="68"/>
      <c r="GYG2" s="68"/>
      <c r="GYH2" s="68"/>
      <c r="GYI2" s="68"/>
      <c r="GYJ2" s="68"/>
      <c r="GYK2" s="68"/>
      <c r="GYL2" s="68"/>
      <c r="GYM2" s="68"/>
      <c r="GYN2" s="68"/>
      <c r="GYO2" s="68"/>
      <c r="GYP2" s="68"/>
      <c r="GYQ2" s="68"/>
      <c r="GYR2" s="68"/>
      <c r="GYS2" s="68"/>
      <c r="GYT2" s="68"/>
      <c r="GYU2" s="68"/>
      <c r="GYV2" s="68"/>
      <c r="GYW2" s="68"/>
      <c r="GYX2" s="68"/>
      <c r="GYY2" s="68"/>
      <c r="GYZ2" s="68"/>
      <c r="GZA2" s="68"/>
      <c r="GZB2" s="68"/>
      <c r="GZC2" s="68"/>
      <c r="GZD2" s="68"/>
      <c r="GZE2" s="68"/>
      <c r="GZF2" s="68"/>
      <c r="GZG2" s="68"/>
      <c r="GZH2" s="68"/>
      <c r="GZI2" s="68"/>
      <c r="GZJ2" s="68"/>
      <c r="GZK2" s="68"/>
      <c r="GZL2" s="68"/>
      <c r="GZM2" s="68"/>
      <c r="GZN2" s="68"/>
      <c r="GZO2" s="68"/>
      <c r="GZP2" s="68"/>
      <c r="GZQ2" s="68"/>
      <c r="GZR2" s="68"/>
      <c r="GZS2" s="68"/>
      <c r="GZT2" s="68"/>
      <c r="GZU2" s="68"/>
      <c r="GZV2" s="68"/>
      <c r="GZW2" s="68"/>
      <c r="GZX2" s="68"/>
      <c r="GZY2" s="68"/>
      <c r="GZZ2" s="68"/>
      <c r="HAA2" s="68"/>
      <c r="HAB2" s="68"/>
      <c r="HAC2" s="68"/>
      <c r="HAD2" s="68"/>
      <c r="HAE2" s="68"/>
      <c r="HAF2" s="68"/>
      <c r="HAG2" s="68"/>
      <c r="HAH2" s="68"/>
      <c r="HAI2" s="68"/>
      <c r="HAJ2" s="68"/>
      <c r="HAK2" s="68"/>
      <c r="HAL2" s="68"/>
      <c r="HAM2" s="68"/>
      <c r="HAN2" s="68"/>
      <c r="HAO2" s="68"/>
      <c r="HAP2" s="68"/>
      <c r="HAQ2" s="68"/>
      <c r="HAR2" s="68"/>
      <c r="HAS2" s="68"/>
      <c r="HAT2" s="68"/>
      <c r="HAU2" s="68"/>
      <c r="HAV2" s="68"/>
      <c r="HAW2" s="68"/>
      <c r="HAX2" s="68"/>
      <c r="HAY2" s="68"/>
      <c r="HAZ2" s="68"/>
      <c r="HBA2" s="68"/>
      <c r="HBB2" s="68"/>
      <c r="HBC2" s="68"/>
      <c r="HBD2" s="68"/>
      <c r="HBE2" s="68"/>
      <c r="HBF2" s="68"/>
      <c r="HBG2" s="68"/>
      <c r="HBH2" s="68"/>
      <c r="HBI2" s="68"/>
      <c r="HBJ2" s="68"/>
      <c r="HBK2" s="68"/>
      <c r="HBL2" s="68"/>
      <c r="HBM2" s="68"/>
      <c r="HBN2" s="68"/>
      <c r="HBO2" s="68"/>
      <c r="HBP2" s="68"/>
      <c r="HBQ2" s="68"/>
      <c r="HBR2" s="68"/>
      <c r="HBS2" s="68"/>
      <c r="HBT2" s="68"/>
      <c r="HBU2" s="68"/>
      <c r="HBV2" s="68"/>
      <c r="HBW2" s="68"/>
      <c r="HBX2" s="68"/>
      <c r="HBY2" s="68"/>
      <c r="HBZ2" s="68"/>
      <c r="HCA2" s="68"/>
      <c r="HCB2" s="68"/>
      <c r="HCC2" s="68"/>
      <c r="HCD2" s="68"/>
      <c r="HCE2" s="68"/>
      <c r="HCF2" s="68"/>
      <c r="HCG2" s="68"/>
      <c r="HCH2" s="68"/>
      <c r="HCI2" s="68"/>
      <c r="HCJ2" s="68"/>
      <c r="HCK2" s="68"/>
      <c r="HCL2" s="68"/>
      <c r="HCM2" s="68"/>
      <c r="HCN2" s="68"/>
      <c r="HCO2" s="68"/>
      <c r="HCP2" s="68"/>
      <c r="HCQ2" s="68"/>
      <c r="HCR2" s="68"/>
      <c r="HCS2" s="68"/>
      <c r="HCT2" s="68"/>
      <c r="HCU2" s="68"/>
      <c r="HCV2" s="68"/>
      <c r="HCW2" s="68"/>
      <c r="HCX2" s="68"/>
      <c r="HCY2" s="68"/>
      <c r="HCZ2" s="68"/>
      <c r="HDA2" s="68"/>
      <c r="HDB2" s="68"/>
      <c r="HDC2" s="68"/>
      <c r="HDD2" s="68"/>
      <c r="HDE2" s="68"/>
      <c r="HDF2" s="68"/>
      <c r="HDG2" s="68"/>
      <c r="HDH2" s="68"/>
      <c r="HDI2" s="68"/>
      <c r="HDJ2" s="68"/>
      <c r="HDK2" s="68"/>
      <c r="HDL2" s="68"/>
      <c r="HDM2" s="68"/>
      <c r="HDN2" s="68"/>
      <c r="HDO2" s="68"/>
      <c r="HDP2" s="68"/>
      <c r="HDQ2" s="68"/>
      <c r="HDR2" s="68"/>
      <c r="HDS2" s="68"/>
      <c r="HDT2" s="68"/>
      <c r="HDU2" s="68"/>
      <c r="HDV2" s="68"/>
      <c r="HDW2" s="68"/>
      <c r="HDX2" s="68"/>
      <c r="HDY2" s="68"/>
      <c r="HDZ2" s="68"/>
      <c r="HEA2" s="68"/>
      <c r="HEB2" s="68"/>
      <c r="HEC2" s="68"/>
      <c r="HED2" s="68"/>
      <c r="HEE2" s="68"/>
      <c r="HEF2" s="68"/>
      <c r="HEG2" s="68"/>
      <c r="HEH2" s="68"/>
      <c r="HEI2" s="68"/>
      <c r="HEJ2" s="68"/>
      <c r="HEK2" s="68"/>
      <c r="HEL2" s="68"/>
      <c r="HEM2" s="68"/>
      <c r="HEN2" s="68"/>
      <c r="HEO2" s="68"/>
      <c r="HEP2" s="68"/>
      <c r="HEQ2" s="68"/>
      <c r="HER2" s="68"/>
      <c r="HES2" s="68"/>
      <c r="HET2" s="68"/>
      <c r="HEU2" s="68"/>
      <c r="HEV2" s="68"/>
      <c r="HEW2" s="68"/>
      <c r="HEX2" s="68"/>
      <c r="HEY2" s="68"/>
      <c r="HEZ2" s="68"/>
      <c r="HFA2" s="68"/>
      <c r="HFB2" s="68"/>
      <c r="HFC2" s="68"/>
      <c r="HFD2" s="68"/>
      <c r="HFE2" s="68"/>
      <c r="HFF2" s="68"/>
      <c r="HFG2" s="68"/>
      <c r="HFH2" s="68"/>
      <c r="HFI2" s="68"/>
      <c r="HFJ2" s="68"/>
      <c r="HFK2" s="68"/>
      <c r="HFL2" s="68"/>
      <c r="HFM2" s="68"/>
      <c r="HFN2" s="68"/>
      <c r="HFO2" s="68"/>
      <c r="HFP2" s="68"/>
      <c r="HFQ2" s="68"/>
      <c r="HFR2" s="68"/>
      <c r="HFS2" s="68"/>
      <c r="HFT2" s="68"/>
      <c r="HFU2" s="68"/>
      <c r="HFV2" s="68"/>
      <c r="HFW2" s="68"/>
      <c r="HFX2" s="68"/>
      <c r="HFY2" s="68"/>
      <c r="HFZ2" s="68"/>
      <c r="HGA2" s="68"/>
      <c r="HGB2" s="68"/>
      <c r="HGC2" s="68"/>
      <c r="HGD2" s="68"/>
      <c r="HGE2" s="68"/>
      <c r="HGF2" s="68"/>
      <c r="HGG2" s="68"/>
      <c r="HGH2" s="68"/>
      <c r="HGI2" s="68"/>
      <c r="HGJ2" s="68"/>
      <c r="HGK2" s="68"/>
      <c r="HGL2" s="68"/>
      <c r="HGM2" s="68"/>
      <c r="HGN2" s="68"/>
      <c r="HGO2" s="68"/>
      <c r="HGP2" s="68"/>
      <c r="HGQ2" s="68"/>
      <c r="HGR2" s="68"/>
      <c r="HGS2" s="68"/>
      <c r="HGT2" s="68"/>
      <c r="HGU2" s="68"/>
      <c r="HGV2" s="68"/>
      <c r="HGW2" s="68"/>
      <c r="HGX2" s="68"/>
      <c r="HGY2" s="68"/>
      <c r="HGZ2" s="68"/>
      <c r="HHA2" s="68"/>
      <c r="HHB2" s="68"/>
      <c r="HHC2" s="68"/>
      <c r="HHD2" s="68"/>
      <c r="HHE2" s="68"/>
      <c r="HHF2" s="68"/>
      <c r="HHG2" s="68"/>
      <c r="HHH2" s="68"/>
      <c r="HHI2" s="68"/>
      <c r="HHJ2" s="68"/>
      <c r="HHK2" s="68"/>
      <c r="HHL2" s="68"/>
      <c r="HHM2" s="68"/>
      <c r="HHN2" s="68"/>
      <c r="HHO2" s="68"/>
      <c r="HHP2" s="68"/>
      <c r="HHQ2" s="68"/>
      <c r="HHR2" s="68"/>
      <c r="HHS2" s="68"/>
      <c r="HHT2" s="68"/>
      <c r="HHU2" s="68"/>
      <c r="HHV2" s="68"/>
      <c r="HHW2" s="68"/>
      <c r="HHX2" s="68"/>
      <c r="HHY2" s="68"/>
      <c r="HHZ2" s="68"/>
      <c r="HIA2" s="68"/>
      <c r="HIB2" s="68"/>
      <c r="HIC2" s="68"/>
      <c r="HID2" s="68"/>
      <c r="HIE2" s="68"/>
      <c r="HIF2" s="68"/>
      <c r="HIG2" s="68"/>
      <c r="HIH2" s="68"/>
      <c r="HII2" s="68"/>
      <c r="HIJ2" s="68"/>
      <c r="HIK2" s="68"/>
      <c r="HIL2" s="68"/>
      <c r="HIM2" s="68"/>
      <c r="HIN2" s="68"/>
      <c r="HIO2" s="68"/>
      <c r="HIP2" s="68"/>
      <c r="HIQ2" s="68"/>
      <c r="HIR2" s="68"/>
      <c r="HIS2" s="68"/>
      <c r="HIT2" s="68"/>
      <c r="HIU2" s="68"/>
      <c r="HIV2" s="68"/>
      <c r="HIW2" s="68"/>
      <c r="HIX2" s="68"/>
      <c r="HIY2" s="68"/>
      <c r="HIZ2" s="68"/>
      <c r="HJA2" s="68"/>
      <c r="HJB2" s="68"/>
      <c r="HJC2" s="68"/>
      <c r="HJD2" s="68"/>
      <c r="HJE2" s="68"/>
      <c r="HJF2" s="68"/>
      <c r="HJG2" s="68"/>
      <c r="HJH2" s="68"/>
      <c r="HJI2" s="68"/>
      <c r="HJJ2" s="68"/>
      <c r="HJK2" s="68"/>
      <c r="HJL2" s="68"/>
      <c r="HJM2" s="68"/>
      <c r="HJN2" s="68"/>
      <c r="HJO2" s="68"/>
      <c r="HJP2" s="68"/>
      <c r="HJQ2" s="68"/>
      <c r="HJR2" s="68"/>
      <c r="HJS2" s="68"/>
      <c r="HJT2" s="68"/>
      <c r="HJU2" s="68"/>
      <c r="HJV2" s="68"/>
      <c r="HJW2" s="68"/>
      <c r="HJX2" s="68"/>
      <c r="HJY2" s="68"/>
      <c r="HJZ2" s="68"/>
      <c r="HKA2" s="68"/>
      <c r="HKB2" s="68"/>
      <c r="HKC2" s="68"/>
      <c r="HKD2" s="68"/>
      <c r="HKE2" s="68"/>
      <c r="HKF2" s="68"/>
      <c r="HKG2" s="68"/>
      <c r="HKH2" s="68"/>
      <c r="HKI2" s="68"/>
      <c r="HKJ2" s="68"/>
      <c r="HKK2" s="68"/>
      <c r="HKL2" s="68"/>
      <c r="HKM2" s="68"/>
      <c r="HKN2" s="68"/>
      <c r="HKO2" s="68"/>
      <c r="HKP2" s="68"/>
      <c r="HKQ2" s="68"/>
      <c r="HKR2" s="68"/>
      <c r="HKS2" s="68"/>
      <c r="HKT2" s="68"/>
      <c r="HKU2" s="68"/>
      <c r="HKV2" s="68"/>
      <c r="HKW2" s="68"/>
      <c r="HKX2" s="68"/>
      <c r="HKY2" s="68"/>
      <c r="HKZ2" s="68"/>
      <c r="HLA2" s="68"/>
      <c r="HLB2" s="68"/>
      <c r="HLC2" s="68"/>
      <c r="HLD2" s="68"/>
      <c r="HLE2" s="68"/>
      <c r="HLF2" s="68"/>
      <c r="HLG2" s="68"/>
      <c r="HLH2" s="68"/>
      <c r="HLI2" s="68"/>
      <c r="HLJ2" s="68"/>
      <c r="HLK2" s="68"/>
      <c r="HLL2" s="68"/>
      <c r="HLM2" s="68"/>
      <c r="HLN2" s="68"/>
      <c r="HLO2" s="68"/>
      <c r="HLP2" s="68"/>
      <c r="HLQ2" s="68"/>
      <c r="HLR2" s="68"/>
      <c r="HLS2" s="68"/>
      <c r="HLT2" s="68"/>
      <c r="HLU2" s="68"/>
      <c r="HLV2" s="68"/>
      <c r="HLW2" s="68"/>
      <c r="HLX2" s="68"/>
      <c r="HLY2" s="68"/>
      <c r="HLZ2" s="68"/>
      <c r="HMA2" s="68"/>
      <c r="HMB2" s="68"/>
      <c r="HMC2" s="68"/>
      <c r="HMD2" s="68"/>
      <c r="HME2" s="68"/>
      <c r="HMF2" s="68"/>
      <c r="HMG2" s="68"/>
      <c r="HMH2" s="68"/>
      <c r="HMI2" s="68"/>
      <c r="HMJ2" s="68"/>
      <c r="HMK2" s="68"/>
      <c r="HML2" s="68"/>
      <c r="HMM2" s="68"/>
      <c r="HMN2" s="68"/>
      <c r="HMO2" s="68"/>
      <c r="HMP2" s="68"/>
      <c r="HMQ2" s="68"/>
      <c r="HMR2" s="68"/>
      <c r="HMS2" s="68"/>
      <c r="HMT2" s="68"/>
      <c r="HMU2" s="68"/>
      <c r="HMV2" s="68"/>
      <c r="HMW2" s="68"/>
      <c r="HMX2" s="68"/>
      <c r="HMY2" s="68"/>
      <c r="HMZ2" s="68"/>
      <c r="HNA2" s="68"/>
      <c r="HNB2" s="68"/>
      <c r="HNC2" s="68"/>
      <c r="HND2" s="68"/>
      <c r="HNE2" s="68"/>
      <c r="HNF2" s="68"/>
      <c r="HNG2" s="68"/>
      <c r="HNH2" s="68"/>
      <c r="HNI2" s="68"/>
      <c r="HNJ2" s="68"/>
      <c r="HNK2" s="68"/>
      <c r="HNL2" s="68"/>
      <c r="HNM2" s="68"/>
      <c r="HNN2" s="68"/>
      <c r="HNO2" s="68"/>
      <c r="HNP2" s="68"/>
      <c r="HNQ2" s="68"/>
      <c r="HNR2" s="68"/>
      <c r="HNS2" s="68"/>
      <c r="HNT2" s="68"/>
      <c r="HNU2" s="68"/>
      <c r="HNV2" s="68"/>
      <c r="HNW2" s="68"/>
      <c r="HNX2" s="68"/>
      <c r="HNY2" s="68"/>
      <c r="HNZ2" s="68"/>
      <c r="HOA2" s="68"/>
      <c r="HOB2" s="68"/>
      <c r="HOC2" s="68"/>
      <c r="HOD2" s="68"/>
      <c r="HOE2" s="68"/>
      <c r="HOF2" s="68"/>
      <c r="HOG2" s="68"/>
      <c r="HOH2" s="68"/>
      <c r="HOI2" s="68"/>
      <c r="HOJ2" s="68"/>
      <c r="HOK2" s="68"/>
      <c r="HOL2" s="68"/>
      <c r="HOM2" s="68"/>
      <c r="HON2" s="68"/>
      <c r="HOO2" s="68"/>
      <c r="HOP2" s="68"/>
      <c r="HOQ2" s="68"/>
      <c r="HOR2" s="68"/>
      <c r="HOS2" s="68"/>
      <c r="HOT2" s="68"/>
      <c r="HOU2" s="68"/>
      <c r="HOV2" s="68"/>
      <c r="HOW2" s="68"/>
      <c r="HOX2" s="68"/>
      <c r="HOY2" s="68"/>
      <c r="HOZ2" s="68"/>
      <c r="HPA2" s="68"/>
      <c r="HPB2" s="68"/>
      <c r="HPC2" s="68"/>
      <c r="HPD2" s="68"/>
      <c r="HPE2" s="68"/>
      <c r="HPF2" s="68"/>
      <c r="HPG2" s="68"/>
      <c r="HPH2" s="68"/>
      <c r="HPI2" s="68"/>
      <c r="HPJ2" s="68"/>
      <c r="HPK2" s="68"/>
      <c r="HPL2" s="68"/>
      <c r="HPM2" s="68"/>
      <c r="HPN2" s="68"/>
      <c r="HPO2" s="68"/>
      <c r="HPP2" s="68"/>
      <c r="HPQ2" s="68"/>
      <c r="HPR2" s="68"/>
      <c r="HPS2" s="68"/>
      <c r="HPT2" s="68"/>
      <c r="HPU2" s="68"/>
      <c r="HPV2" s="68"/>
      <c r="HPW2" s="68"/>
      <c r="HPX2" s="68"/>
      <c r="HPY2" s="68"/>
      <c r="HPZ2" s="68"/>
      <c r="HQA2" s="68"/>
      <c r="HQB2" s="68"/>
      <c r="HQC2" s="68"/>
      <c r="HQD2" s="68"/>
      <c r="HQE2" s="68"/>
      <c r="HQF2" s="68"/>
      <c r="HQG2" s="68"/>
      <c r="HQH2" s="68"/>
      <c r="HQI2" s="68"/>
      <c r="HQJ2" s="68"/>
      <c r="HQK2" s="68"/>
      <c r="HQL2" s="68"/>
      <c r="HQM2" s="68"/>
      <c r="HQN2" s="68"/>
      <c r="HQO2" s="68"/>
      <c r="HQP2" s="68"/>
      <c r="HQQ2" s="68"/>
      <c r="HQR2" s="68"/>
      <c r="HQS2" s="68"/>
      <c r="HQT2" s="68"/>
      <c r="HQU2" s="68"/>
      <c r="HQV2" s="68"/>
      <c r="HQW2" s="68"/>
      <c r="HQX2" s="68"/>
      <c r="HQY2" s="68"/>
      <c r="HQZ2" s="68"/>
      <c r="HRA2" s="68"/>
      <c r="HRB2" s="68"/>
      <c r="HRC2" s="68"/>
      <c r="HRD2" s="68"/>
      <c r="HRE2" s="68"/>
      <c r="HRF2" s="68"/>
      <c r="HRG2" s="68"/>
      <c r="HRH2" s="68"/>
      <c r="HRI2" s="68"/>
      <c r="HRJ2" s="68"/>
      <c r="HRK2" s="68"/>
      <c r="HRL2" s="68"/>
      <c r="HRM2" s="68"/>
      <c r="HRN2" s="68"/>
      <c r="HRO2" s="68"/>
      <c r="HRP2" s="68"/>
      <c r="HRQ2" s="68"/>
      <c r="HRR2" s="68"/>
      <c r="HRS2" s="68"/>
      <c r="HRT2" s="68"/>
      <c r="HRU2" s="68"/>
      <c r="HRV2" s="68"/>
      <c r="HRW2" s="68"/>
      <c r="HRX2" s="68"/>
      <c r="HRY2" s="68"/>
      <c r="HRZ2" s="68"/>
      <c r="HSA2" s="68"/>
      <c r="HSB2" s="68"/>
      <c r="HSC2" s="68"/>
      <c r="HSD2" s="68"/>
      <c r="HSE2" s="68"/>
      <c r="HSF2" s="68"/>
      <c r="HSG2" s="68"/>
      <c r="HSH2" s="68"/>
      <c r="HSI2" s="68"/>
      <c r="HSJ2" s="68"/>
      <c r="HSK2" s="68"/>
      <c r="HSL2" s="68"/>
      <c r="HSM2" s="68"/>
      <c r="HSN2" s="68"/>
      <c r="HSO2" s="68"/>
      <c r="HSP2" s="68"/>
      <c r="HSQ2" s="68"/>
      <c r="HSR2" s="68"/>
      <c r="HSS2" s="68"/>
      <c r="HST2" s="68"/>
      <c r="HSU2" s="68"/>
      <c r="HSV2" s="68"/>
      <c r="HSW2" s="68"/>
      <c r="HSX2" s="68"/>
      <c r="HSY2" s="68"/>
      <c r="HSZ2" s="68"/>
      <c r="HTA2" s="68"/>
      <c r="HTB2" s="68"/>
      <c r="HTC2" s="68"/>
      <c r="HTD2" s="68"/>
      <c r="HTE2" s="68"/>
      <c r="HTF2" s="68"/>
      <c r="HTG2" s="68"/>
      <c r="HTH2" s="68"/>
      <c r="HTI2" s="68"/>
      <c r="HTJ2" s="68"/>
      <c r="HTK2" s="68"/>
      <c r="HTL2" s="68"/>
      <c r="HTM2" s="68"/>
      <c r="HTN2" s="68"/>
      <c r="HTO2" s="68"/>
      <c r="HTP2" s="68"/>
      <c r="HTQ2" s="68"/>
      <c r="HTR2" s="68"/>
      <c r="HTS2" s="68"/>
      <c r="HTT2" s="68"/>
      <c r="HTU2" s="68"/>
      <c r="HTV2" s="68"/>
      <c r="HTW2" s="68"/>
      <c r="HTX2" s="68"/>
      <c r="HTY2" s="68"/>
      <c r="HTZ2" s="68"/>
      <c r="HUA2" s="68"/>
      <c r="HUB2" s="68"/>
      <c r="HUC2" s="68"/>
      <c r="HUD2" s="68"/>
      <c r="HUE2" s="68"/>
      <c r="HUF2" s="68"/>
      <c r="HUG2" s="68"/>
      <c r="HUH2" s="68"/>
      <c r="HUI2" s="68"/>
      <c r="HUJ2" s="68"/>
      <c r="HUK2" s="68"/>
      <c r="HUL2" s="68"/>
      <c r="HUM2" s="68"/>
      <c r="HUN2" s="68"/>
      <c r="HUO2" s="68"/>
      <c r="HUP2" s="68"/>
      <c r="HUQ2" s="68"/>
      <c r="HUR2" s="68"/>
      <c r="HUS2" s="68"/>
      <c r="HUT2" s="68"/>
      <c r="HUU2" s="68"/>
      <c r="HUV2" s="68"/>
      <c r="HUW2" s="68"/>
      <c r="HUX2" s="68"/>
      <c r="HUY2" s="68"/>
      <c r="HUZ2" s="68"/>
      <c r="HVA2" s="68"/>
      <c r="HVB2" s="68"/>
      <c r="HVC2" s="68"/>
      <c r="HVD2" s="68"/>
      <c r="HVE2" s="68"/>
      <c r="HVF2" s="68"/>
      <c r="HVG2" s="68"/>
      <c r="HVH2" s="68"/>
      <c r="HVI2" s="68"/>
      <c r="HVJ2" s="68"/>
      <c r="HVK2" s="68"/>
      <c r="HVL2" s="68"/>
      <c r="HVM2" s="68"/>
      <c r="HVN2" s="68"/>
      <c r="HVO2" s="68"/>
      <c r="HVP2" s="68"/>
      <c r="HVQ2" s="68"/>
      <c r="HVR2" s="68"/>
      <c r="HVS2" s="68"/>
      <c r="HVT2" s="68"/>
      <c r="HVU2" s="68"/>
      <c r="HVV2" s="68"/>
      <c r="HVW2" s="68"/>
      <c r="HVX2" s="68"/>
      <c r="HVY2" s="68"/>
      <c r="HVZ2" s="68"/>
      <c r="HWA2" s="68"/>
      <c r="HWB2" s="68"/>
      <c r="HWC2" s="68"/>
      <c r="HWD2" s="68"/>
      <c r="HWE2" s="68"/>
      <c r="HWF2" s="68"/>
      <c r="HWG2" s="68"/>
      <c r="HWH2" s="68"/>
      <c r="HWI2" s="68"/>
      <c r="HWJ2" s="68"/>
      <c r="HWK2" s="68"/>
      <c r="HWL2" s="68"/>
      <c r="HWM2" s="68"/>
      <c r="HWN2" s="68"/>
      <c r="HWO2" s="68"/>
      <c r="HWP2" s="68"/>
      <c r="HWQ2" s="68"/>
      <c r="HWR2" s="68"/>
      <c r="HWS2" s="68"/>
      <c r="HWT2" s="68"/>
      <c r="HWU2" s="68"/>
      <c r="HWV2" s="68"/>
      <c r="HWW2" s="68"/>
      <c r="HWX2" s="68"/>
      <c r="HWY2" s="68"/>
      <c r="HWZ2" s="68"/>
      <c r="HXA2" s="68"/>
      <c r="HXB2" s="68"/>
      <c r="HXC2" s="68"/>
      <c r="HXD2" s="68"/>
      <c r="HXE2" s="68"/>
      <c r="HXF2" s="68"/>
      <c r="HXG2" s="68"/>
      <c r="HXH2" s="68"/>
      <c r="HXI2" s="68"/>
      <c r="HXJ2" s="68"/>
      <c r="HXK2" s="68"/>
      <c r="HXL2" s="68"/>
      <c r="HXM2" s="68"/>
      <c r="HXN2" s="68"/>
      <c r="HXO2" s="68"/>
      <c r="HXP2" s="68"/>
      <c r="HXQ2" s="68"/>
      <c r="HXR2" s="68"/>
      <c r="HXS2" s="68"/>
      <c r="HXT2" s="68"/>
      <c r="HXU2" s="68"/>
      <c r="HXV2" s="68"/>
      <c r="HXW2" s="68"/>
      <c r="HXX2" s="68"/>
      <c r="HXY2" s="68"/>
      <c r="HXZ2" s="68"/>
      <c r="HYA2" s="68"/>
      <c r="HYB2" s="68"/>
      <c r="HYC2" s="68"/>
      <c r="HYD2" s="68"/>
      <c r="HYE2" s="68"/>
      <c r="HYF2" s="68"/>
      <c r="HYG2" s="68"/>
      <c r="HYH2" s="68"/>
      <c r="HYI2" s="68"/>
      <c r="HYJ2" s="68"/>
      <c r="HYK2" s="68"/>
      <c r="HYL2" s="68"/>
      <c r="HYM2" s="68"/>
      <c r="HYN2" s="68"/>
      <c r="HYO2" s="68"/>
      <c r="HYP2" s="68"/>
      <c r="HYQ2" s="68"/>
      <c r="HYR2" s="68"/>
      <c r="HYS2" s="68"/>
      <c r="HYT2" s="68"/>
      <c r="HYU2" s="68"/>
      <c r="HYV2" s="68"/>
      <c r="HYW2" s="68"/>
      <c r="HYX2" s="68"/>
      <c r="HYY2" s="68"/>
      <c r="HYZ2" s="68"/>
      <c r="HZA2" s="68"/>
      <c r="HZB2" s="68"/>
      <c r="HZC2" s="68"/>
      <c r="HZD2" s="68"/>
      <c r="HZE2" s="68"/>
      <c r="HZF2" s="68"/>
      <c r="HZG2" s="68"/>
      <c r="HZH2" s="68"/>
      <c r="HZI2" s="68"/>
      <c r="HZJ2" s="68"/>
      <c r="HZK2" s="68"/>
      <c r="HZL2" s="68"/>
      <c r="HZM2" s="68"/>
      <c r="HZN2" s="68"/>
      <c r="HZO2" s="68"/>
      <c r="HZP2" s="68"/>
      <c r="HZQ2" s="68"/>
      <c r="HZR2" s="68"/>
      <c r="HZS2" s="68"/>
      <c r="HZT2" s="68"/>
      <c r="HZU2" s="68"/>
      <c r="HZV2" s="68"/>
      <c r="HZW2" s="68"/>
      <c r="HZX2" s="68"/>
      <c r="HZY2" s="68"/>
      <c r="HZZ2" s="68"/>
      <c r="IAA2" s="68"/>
      <c r="IAB2" s="68"/>
      <c r="IAC2" s="68"/>
      <c r="IAD2" s="68"/>
      <c r="IAE2" s="68"/>
      <c r="IAF2" s="68"/>
      <c r="IAG2" s="68"/>
      <c r="IAH2" s="68"/>
      <c r="IAI2" s="68"/>
      <c r="IAJ2" s="68"/>
      <c r="IAK2" s="68"/>
      <c r="IAL2" s="68"/>
      <c r="IAM2" s="68"/>
      <c r="IAN2" s="68"/>
      <c r="IAO2" s="68"/>
      <c r="IAP2" s="68"/>
      <c r="IAQ2" s="68"/>
      <c r="IAR2" s="68"/>
      <c r="IAS2" s="68"/>
      <c r="IAT2" s="68"/>
      <c r="IAU2" s="68"/>
      <c r="IAV2" s="68"/>
      <c r="IAW2" s="68"/>
      <c r="IAX2" s="68"/>
      <c r="IAY2" s="68"/>
      <c r="IAZ2" s="68"/>
      <c r="IBA2" s="68"/>
      <c r="IBB2" s="68"/>
      <c r="IBC2" s="68"/>
      <c r="IBD2" s="68"/>
      <c r="IBE2" s="68"/>
      <c r="IBF2" s="68"/>
      <c r="IBG2" s="68"/>
      <c r="IBH2" s="68"/>
      <c r="IBI2" s="68"/>
      <c r="IBJ2" s="68"/>
      <c r="IBK2" s="68"/>
      <c r="IBL2" s="68"/>
      <c r="IBM2" s="68"/>
      <c r="IBN2" s="68"/>
      <c r="IBO2" s="68"/>
      <c r="IBP2" s="68"/>
      <c r="IBQ2" s="68"/>
      <c r="IBR2" s="68"/>
      <c r="IBS2" s="68"/>
      <c r="IBT2" s="68"/>
      <c r="IBU2" s="68"/>
      <c r="IBV2" s="68"/>
      <c r="IBW2" s="68"/>
      <c r="IBX2" s="68"/>
      <c r="IBY2" s="68"/>
      <c r="IBZ2" s="68"/>
      <c r="ICA2" s="68"/>
      <c r="ICB2" s="68"/>
      <c r="ICC2" s="68"/>
      <c r="ICD2" s="68"/>
      <c r="ICE2" s="68"/>
      <c r="ICF2" s="68"/>
      <c r="ICG2" s="68"/>
      <c r="ICH2" s="68"/>
      <c r="ICI2" s="68"/>
      <c r="ICJ2" s="68"/>
      <c r="ICK2" s="68"/>
      <c r="ICL2" s="68"/>
      <c r="ICM2" s="68"/>
      <c r="ICN2" s="68"/>
      <c r="ICO2" s="68"/>
      <c r="ICP2" s="68"/>
      <c r="ICQ2" s="68"/>
      <c r="ICR2" s="68"/>
      <c r="ICS2" s="68"/>
      <c r="ICT2" s="68"/>
      <c r="ICU2" s="68"/>
      <c r="ICV2" s="68"/>
      <c r="ICW2" s="68"/>
      <c r="ICX2" s="68"/>
      <c r="ICY2" s="68"/>
      <c r="ICZ2" s="68"/>
      <c r="IDA2" s="68"/>
      <c r="IDB2" s="68"/>
      <c r="IDC2" s="68"/>
      <c r="IDD2" s="68"/>
      <c r="IDE2" s="68"/>
      <c r="IDF2" s="68"/>
      <c r="IDG2" s="68"/>
      <c r="IDH2" s="68"/>
      <c r="IDI2" s="68"/>
      <c r="IDJ2" s="68"/>
      <c r="IDK2" s="68"/>
      <c r="IDL2" s="68"/>
      <c r="IDM2" s="68"/>
      <c r="IDN2" s="68"/>
      <c r="IDO2" s="68"/>
      <c r="IDP2" s="68"/>
      <c r="IDQ2" s="68"/>
      <c r="IDR2" s="68"/>
      <c r="IDS2" s="68"/>
      <c r="IDT2" s="68"/>
      <c r="IDU2" s="68"/>
      <c r="IDV2" s="68"/>
      <c r="IDW2" s="68"/>
      <c r="IDX2" s="68"/>
      <c r="IDY2" s="68"/>
      <c r="IDZ2" s="68"/>
      <c r="IEA2" s="68"/>
      <c r="IEB2" s="68"/>
      <c r="IEC2" s="68"/>
      <c r="IED2" s="68"/>
      <c r="IEE2" s="68"/>
      <c r="IEF2" s="68"/>
      <c r="IEG2" s="68"/>
      <c r="IEH2" s="68"/>
      <c r="IEI2" s="68"/>
      <c r="IEJ2" s="68"/>
      <c r="IEK2" s="68"/>
      <c r="IEL2" s="68"/>
      <c r="IEM2" s="68"/>
      <c r="IEN2" s="68"/>
      <c r="IEO2" s="68"/>
      <c r="IEP2" s="68"/>
      <c r="IEQ2" s="68"/>
      <c r="IER2" s="68"/>
      <c r="IES2" s="68"/>
      <c r="IET2" s="68"/>
      <c r="IEU2" s="68"/>
      <c r="IEV2" s="68"/>
      <c r="IEW2" s="68"/>
      <c r="IEX2" s="68"/>
      <c r="IEY2" s="68"/>
      <c r="IEZ2" s="68"/>
      <c r="IFA2" s="68"/>
      <c r="IFB2" s="68"/>
      <c r="IFC2" s="68"/>
      <c r="IFD2" s="68"/>
      <c r="IFE2" s="68"/>
      <c r="IFF2" s="68"/>
      <c r="IFG2" s="68"/>
      <c r="IFH2" s="68"/>
      <c r="IFI2" s="68"/>
      <c r="IFJ2" s="68"/>
      <c r="IFK2" s="68"/>
      <c r="IFL2" s="68"/>
      <c r="IFM2" s="68"/>
      <c r="IFN2" s="68"/>
      <c r="IFO2" s="68"/>
      <c r="IFP2" s="68"/>
      <c r="IFQ2" s="68"/>
      <c r="IFR2" s="68"/>
      <c r="IFS2" s="68"/>
      <c r="IFT2" s="68"/>
      <c r="IFU2" s="68"/>
      <c r="IFV2" s="68"/>
      <c r="IFW2" s="68"/>
      <c r="IFX2" s="68"/>
      <c r="IFY2" s="68"/>
      <c r="IFZ2" s="68"/>
      <c r="IGA2" s="68"/>
      <c r="IGB2" s="68"/>
      <c r="IGC2" s="68"/>
      <c r="IGD2" s="68"/>
      <c r="IGE2" s="68"/>
      <c r="IGF2" s="68"/>
      <c r="IGG2" s="68"/>
      <c r="IGH2" s="68"/>
      <c r="IGI2" s="68"/>
      <c r="IGJ2" s="68"/>
      <c r="IGK2" s="68"/>
      <c r="IGL2" s="68"/>
      <c r="IGM2" s="68"/>
      <c r="IGN2" s="68"/>
      <c r="IGO2" s="68"/>
      <c r="IGP2" s="68"/>
      <c r="IGQ2" s="68"/>
      <c r="IGR2" s="68"/>
      <c r="IGS2" s="68"/>
      <c r="IGT2" s="68"/>
      <c r="IGU2" s="68"/>
      <c r="IGV2" s="68"/>
      <c r="IGW2" s="68"/>
      <c r="IGX2" s="68"/>
      <c r="IGY2" s="68"/>
      <c r="IGZ2" s="68"/>
      <c r="IHA2" s="68"/>
      <c r="IHB2" s="68"/>
      <c r="IHC2" s="68"/>
      <c r="IHD2" s="68"/>
      <c r="IHE2" s="68"/>
      <c r="IHF2" s="68"/>
      <c r="IHG2" s="68"/>
      <c r="IHH2" s="68"/>
      <c r="IHI2" s="68"/>
      <c r="IHJ2" s="68"/>
      <c r="IHK2" s="68"/>
      <c r="IHL2" s="68"/>
      <c r="IHM2" s="68"/>
      <c r="IHN2" s="68"/>
      <c r="IHO2" s="68"/>
      <c r="IHP2" s="68"/>
      <c r="IHQ2" s="68"/>
      <c r="IHR2" s="68"/>
      <c r="IHS2" s="68"/>
      <c r="IHT2" s="68"/>
      <c r="IHU2" s="68"/>
      <c r="IHV2" s="68"/>
      <c r="IHW2" s="68"/>
      <c r="IHX2" s="68"/>
      <c r="IHY2" s="68"/>
      <c r="IHZ2" s="68"/>
      <c r="IIA2" s="68"/>
      <c r="IIB2" s="68"/>
      <c r="IIC2" s="68"/>
      <c r="IID2" s="68"/>
      <c r="IIE2" s="68"/>
      <c r="IIF2" s="68"/>
      <c r="IIG2" s="68"/>
      <c r="IIH2" s="68"/>
      <c r="III2" s="68"/>
      <c r="IIJ2" s="68"/>
      <c r="IIK2" s="68"/>
      <c r="IIL2" s="68"/>
      <c r="IIM2" s="68"/>
      <c r="IIN2" s="68"/>
      <c r="IIO2" s="68"/>
      <c r="IIP2" s="68"/>
      <c r="IIQ2" s="68"/>
      <c r="IIR2" s="68"/>
      <c r="IIS2" s="68"/>
      <c r="IIT2" s="68"/>
      <c r="IIU2" s="68"/>
      <c r="IIV2" s="68"/>
      <c r="IIW2" s="68"/>
      <c r="IIX2" s="68"/>
      <c r="IIY2" s="68"/>
      <c r="IIZ2" s="68"/>
      <c r="IJA2" s="68"/>
      <c r="IJB2" s="68"/>
      <c r="IJC2" s="68"/>
      <c r="IJD2" s="68"/>
      <c r="IJE2" s="68"/>
      <c r="IJF2" s="68"/>
      <c r="IJG2" s="68"/>
      <c r="IJH2" s="68"/>
      <c r="IJI2" s="68"/>
      <c r="IJJ2" s="68"/>
      <c r="IJK2" s="68"/>
      <c r="IJL2" s="68"/>
      <c r="IJM2" s="68"/>
      <c r="IJN2" s="68"/>
      <c r="IJO2" s="68"/>
      <c r="IJP2" s="68"/>
      <c r="IJQ2" s="68"/>
      <c r="IJR2" s="68"/>
      <c r="IJS2" s="68"/>
      <c r="IJT2" s="68"/>
      <c r="IJU2" s="68"/>
      <c r="IJV2" s="68"/>
      <c r="IJW2" s="68"/>
      <c r="IJX2" s="68"/>
      <c r="IJY2" s="68"/>
      <c r="IJZ2" s="68"/>
      <c r="IKA2" s="68"/>
      <c r="IKB2" s="68"/>
      <c r="IKC2" s="68"/>
      <c r="IKD2" s="68"/>
      <c r="IKE2" s="68"/>
      <c r="IKF2" s="68"/>
      <c r="IKG2" s="68"/>
      <c r="IKH2" s="68"/>
      <c r="IKI2" s="68"/>
      <c r="IKJ2" s="68"/>
      <c r="IKK2" s="68"/>
      <c r="IKL2" s="68"/>
      <c r="IKM2" s="68"/>
      <c r="IKN2" s="68"/>
      <c r="IKO2" s="68"/>
      <c r="IKP2" s="68"/>
      <c r="IKQ2" s="68"/>
      <c r="IKR2" s="68"/>
      <c r="IKS2" s="68"/>
      <c r="IKT2" s="68"/>
      <c r="IKU2" s="68"/>
      <c r="IKV2" s="68"/>
      <c r="IKW2" s="68"/>
      <c r="IKX2" s="68"/>
      <c r="IKY2" s="68"/>
      <c r="IKZ2" s="68"/>
      <c r="ILA2" s="68"/>
      <c r="ILB2" s="68"/>
      <c r="ILC2" s="68"/>
      <c r="ILD2" s="68"/>
      <c r="ILE2" s="68"/>
      <c r="ILF2" s="68"/>
      <c r="ILG2" s="68"/>
      <c r="ILH2" s="68"/>
      <c r="ILI2" s="68"/>
      <c r="ILJ2" s="68"/>
      <c r="ILK2" s="68"/>
      <c r="ILL2" s="68"/>
      <c r="ILM2" s="68"/>
      <c r="ILN2" s="68"/>
      <c r="ILO2" s="68"/>
      <c r="ILP2" s="68"/>
      <c r="ILQ2" s="68"/>
      <c r="ILR2" s="68"/>
      <c r="ILS2" s="68"/>
      <c r="ILT2" s="68"/>
      <c r="ILU2" s="68"/>
      <c r="ILV2" s="68"/>
      <c r="ILW2" s="68"/>
      <c r="ILX2" s="68"/>
      <c r="ILY2" s="68"/>
      <c r="ILZ2" s="68"/>
      <c r="IMA2" s="68"/>
      <c r="IMB2" s="68"/>
      <c r="IMC2" s="68"/>
      <c r="IMD2" s="68"/>
      <c r="IME2" s="68"/>
      <c r="IMF2" s="68"/>
      <c r="IMG2" s="68"/>
      <c r="IMH2" s="68"/>
      <c r="IMI2" s="68"/>
      <c r="IMJ2" s="68"/>
      <c r="IMK2" s="68"/>
      <c r="IML2" s="68"/>
      <c r="IMM2" s="68"/>
      <c r="IMN2" s="68"/>
      <c r="IMO2" s="68"/>
      <c r="IMP2" s="68"/>
      <c r="IMQ2" s="68"/>
      <c r="IMR2" s="68"/>
      <c r="IMS2" s="68"/>
      <c r="IMT2" s="68"/>
      <c r="IMU2" s="68"/>
      <c r="IMV2" s="68"/>
      <c r="IMW2" s="68"/>
      <c r="IMX2" s="68"/>
      <c r="IMY2" s="68"/>
      <c r="IMZ2" s="68"/>
      <c r="INA2" s="68"/>
      <c r="INB2" s="68"/>
      <c r="INC2" s="68"/>
      <c r="IND2" s="68"/>
      <c r="INE2" s="68"/>
      <c r="INF2" s="68"/>
      <c r="ING2" s="68"/>
      <c r="INH2" s="68"/>
      <c r="INI2" s="68"/>
      <c r="INJ2" s="68"/>
      <c r="INK2" s="68"/>
      <c r="INL2" s="68"/>
      <c r="INM2" s="68"/>
      <c r="INN2" s="68"/>
      <c r="INO2" s="68"/>
      <c r="INP2" s="68"/>
      <c r="INQ2" s="68"/>
      <c r="INR2" s="68"/>
      <c r="INS2" s="68"/>
      <c r="INT2" s="68"/>
      <c r="INU2" s="68"/>
      <c r="INV2" s="68"/>
      <c r="INW2" s="68"/>
      <c r="INX2" s="68"/>
      <c r="INY2" s="68"/>
      <c r="INZ2" s="68"/>
      <c r="IOA2" s="68"/>
      <c r="IOB2" s="68"/>
      <c r="IOC2" s="68"/>
      <c r="IOD2" s="68"/>
      <c r="IOE2" s="68"/>
      <c r="IOF2" s="68"/>
      <c r="IOG2" s="68"/>
      <c r="IOH2" s="68"/>
      <c r="IOI2" s="68"/>
      <c r="IOJ2" s="68"/>
      <c r="IOK2" s="68"/>
      <c r="IOL2" s="68"/>
      <c r="IOM2" s="68"/>
      <c r="ION2" s="68"/>
      <c r="IOO2" s="68"/>
      <c r="IOP2" s="68"/>
      <c r="IOQ2" s="68"/>
      <c r="IOR2" s="68"/>
      <c r="IOS2" s="68"/>
      <c r="IOT2" s="68"/>
      <c r="IOU2" s="68"/>
      <c r="IOV2" s="68"/>
      <c r="IOW2" s="68"/>
      <c r="IOX2" s="68"/>
      <c r="IOY2" s="68"/>
      <c r="IOZ2" s="68"/>
      <c r="IPA2" s="68"/>
      <c r="IPB2" s="68"/>
      <c r="IPC2" s="68"/>
      <c r="IPD2" s="68"/>
      <c r="IPE2" s="68"/>
      <c r="IPF2" s="68"/>
      <c r="IPG2" s="68"/>
      <c r="IPH2" s="68"/>
      <c r="IPI2" s="68"/>
      <c r="IPJ2" s="68"/>
      <c r="IPK2" s="68"/>
      <c r="IPL2" s="68"/>
      <c r="IPM2" s="68"/>
      <c r="IPN2" s="68"/>
      <c r="IPO2" s="68"/>
      <c r="IPP2" s="68"/>
      <c r="IPQ2" s="68"/>
      <c r="IPR2" s="68"/>
      <c r="IPS2" s="68"/>
      <c r="IPT2" s="68"/>
      <c r="IPU2" s="68"/>
      <c r="IPV2" s="68"/>
      <c r="IPW2" s="68"/>
      <c r="IPX2" s="68"/>
      <c r="IPY2" s="68"/>
      <c r="IPZ2" s="68"/>
      <c r="IQA2" s="68"/>
      <c r="IQB2" s="68"/>
      <c r="IQC2" s="68"/>
      <c r="IQD2" s="68"/>
      <c r="IQE2" s="68"/>
      <c r="IQF2" s="68"/>
      <c r="IQG2" s="68"/>
      <c r="IQH2" s="68"/>
      <c r="IQI2" s="68"/>
      <c r="IQJ2" s="68"/>
      <c r="IQK2" s="68"/>
      <c r="IQL2" s="68"/>
      <c r="IQM2" s="68"/>
      <c r="IQN2" s="68"/>
      <c r="IQO2" s="68"/>
      <c r="IQP2" s="68"/>
      <c r="IQQ2" s="68"/>
      <c r="IQR2" s="68"/>
      <c r="IQS2" s="68"/>
      <c r="IQT2" s="68"/>
      <c r="IQU2" s="68"/>
      <c r="IQV2" s="68"/>
      <c r="IQW2" s="68"/>
      <c r="IQX2" s="68"/>
      <c r="IQY2" s="68"/>
      <c r="IQZ2" s="68"/>
      <c r="IRA2" s="68"/>
      <c r="IRB2" s="68"/>
      <c r="IRC2" s="68"/>
      <c r="IRD2" s="68"/>
      <c r="IRE2" s="68"/>
      <c r="IRF2" s="68"/>
      <c r="IRG2" s="68"/>
      <c r="IRH2" s="68"/>
      <c r="IRI2" s="68"/>
      <c r="IRJ2" s="68"/>
      <c r="IRK2" s="68"/>
      <c r="IRL2" s="68"/>
      <c r="IRM2" s="68"/>
      <c r="IRN2" s="68"/>
      <c r="IRO2" s="68"/>
      <c r="IRP2" s="68"/>
      <c r="IRQ2" s="68"/>
      <c r="IRR2" s="68"/>
      <c r="IRS2" s="68"/>
      <c r="IRT2" s="68"/>
      <c r="IRU2" s="68"/>
      <c r="IRV2" s="68"/>
      <c r="IRW2" s="68"/>
      <c r="IRX2" s="68"/>
      <c r="IRY2" s="68"/>
      <c r="IRZ2" s="68"/>
      <c r="ISA2" s="68"/>
      <c r="ISB2" s="68"/>
      <c r="ISC2" s="68"/>
      <c r="ISD2" s="68"/>
      <c r="ISE2" s="68"/>
      <c r="ISF2" s="68"/>
      <c r="ISG2" s="68"/>
      <c r="ISH2" s="68"/>
      <c r="ISI2" s="68"/>
      <c r="ISJ2" s="68"/>
      <c r="ISK2" s="68"/>
      <c r="ISL2" s="68"/>
      <c r="ISM2" s="68"/>
      <c r="ISN2" s="68"/>
      <c r="ISO2" s="68"/>
      <c r="ISP2" s="68"/>
      <c r="ISQ2" s="68"/>
      <c r="ISR2" s="68"/>
      <c r="ISS2" s="68"/>
      <c r="IST2" s="68"/>
      <c r="ISU2" s="68"/>
      <c r="ISV2" s="68"/>
      <c r="ISW2" s="68"/>
      <c r="ISX2" s="68"/>
      <c r="ISY2" s="68"/>
      <c r="ISZ2" s="68"/>
      <c r="ITA2" s="68"/>
      <c r="ITB2" s="68"/>
      <c r="ITC2" s="68"/>
      <c r="ITD2" s="68"/>
      <c r="ITE2" s="68"/>
      <c r="ITF2" s="68"/>
      <c r="ITG2" s="68"/>
      <c r="ITH2" s="68"/>
      <c r="ITI2" s="68"/>
      <c r="ITJ2" s="68"/>
      <c r="ITK2" s="68"/>
      <c r="ITL2" s="68"/>
      <c r="ITM2" s="68"/>
      <c r="ITN2" s="68"/>
      <c r="ITO2" s="68"/>
      <c r="ITP2" s="68"/>
      <c r="ITQ2" s="68"/>
      <c r="ITR2" s="68"/>
      <c r="ITS2" s="68"/>
      <c r="ITT2" s="68"/>
      <c r="ITU2" s="68"/>
      <c r="ITV2" s="68"/>
      <c r="ITW2" s="68"/>
      <c r="ITX2" s="68"/>
      <c r="ITY2" s="68"/>
      <c r="ITZ2" s="68"/>
      <c r="IUA2" s="68"/>
      <c r="IUB2" s="68"/>
      <c r="IUC2" s="68"/>
      <c r="IUD2" s="68"/>
      <c r="IUE2" s="68"/>
      <c r="IUF2" s="68"/>
      <c r="IUG2" s="68"/>
      <c r="IUH2" s="68"/>
      <c r="IUI2" s="68"/>
      <c r="IUJ2" s="68"/>
      <c r="IUK2" s="68"/>
      <c r="IUL2" s="68"/>
      <c r="IUM2" s="68"/>
      <c r="IUN2" s="68"/>
      <c r="IUO2" s="68"/>
      <c r="IUP2" s="68"/>
      <c r="IUQ2" s="68"/>
      <c r="IUR2" s="68"/>
      <c r="IUS2" s="68"/>
      <c r="IUT2" s="68"/>
      <c r="IUU2" s="68"/>
      <c r="IUV2" s="68"/>
      <c r="IUW2" s="68"/>
      <c r="IUX2" s="68"/>
      <c r="IUY2" s="68"/>
      <c r="IUZ2" s="68"/>
      <c r="IVA2" s="68"/>
      <c r="IVB2" s="68"/>
      <c r="IVC2" s="68"/>
      <c r="IVD2" s="68"/>
      <c r="IVE2" s="68"/>
      <c r="IVF2" s="68"/>
      <c r="IVG2" s="68"/>
      <c r="IVH2" s="68"/>
      <c r="IVI2" s="68"/>
      <c r="IVJ2" s="68"/>
      <c r="IVK2" s="68"/>
      <c r="IVL2" s="68"/>
      <c r="IVM2" s="68"/>
      <c r="IVN2" s="68"/>
      <c r="IVO2" s="68"/>
      <c r="IVP2" s="68"/>
      <c r="IVQ2" s="68"/>
      <c r="IVR2" s="68"/>
      <c r="IVS2" s="68"/>
      <c r="IVT2" s="68"/>
      <c r="IVU2" s="68"/>
      <c r="IVV2" s="68"/>
      <c r="IVW2" s="68"/>
      <c r="IVX2" s="68"/>
      <c r="IVY2" s="68"/>
      <c r="IVZ2" s="68"/>
      <c r="IWA2" s="68"/>
      <c r="IWB2" s="68"/>
      <c r="IWC2" s="68"/>
      <c r="IWD2" s="68"/>
      <c r="IWE2" s="68"/>
      <c r="IWF2" s="68"/>
      <c r="IWG2" s="68"/>
      <c r="IWH2" s="68"/>
      <c r="IWI2" s="68"/>
      <c r="IWJ2" s="68"/>
      <c r="IWK2" s="68"/>
      <c r="IWL2" s="68"/>
      <c r="IWM2" s="68"/>
      <c r="IWN2" s="68"/>
      <c r="IWO2" s="68"/>
      <c r="IWP2" s="68"/>
      <c r="IWQ2" s="68"/>
      <c r="IWR2" s="68"/>
      <c r="IWS2" s="68"/>
      <c r="IWT2" s="68"/>
      <c r="IWU2" s="68"/>
      <c r="IWV2" s="68"/>
      <c r="IWW2" s="68"/>
      <c r="IWX2" s="68"/>
      <c r="IWY2" s="68"/>
      <c r="IWZ2" s="68"/>
      <c r="IXA2" s="68"/>
      <c r="IXB2" s="68"/>
      <c r="IXC2" s="68"/>
      <c r="IXD2" s="68"/>
      <c r="IXE2" s="68"/>
      <c r="IXF2" s="68"/>
      <c r="IXG2" s="68"/>
      <c r="IXH2" s="68"/>
      <c r="IXI2" s="68"/>
      <c r="IXJ2" s="68"/>
      <c r="IXK2" s="68"/>
      <c r="IXL2" s="68"/>
      <c r="IXM2" s="68"/>
      <c r="IXN2" s="68"/>
      <c r="IXO2" s="68"/>
      <c r="IXP2" s="68"/>
      <c r="IXQ2" s="68"/>
      <c r="IXR2" s="68"/>
      <c r="IXS2" s="68"/>
      <c r="IXT2" s="68"/>
      <c r="IXU2" s="68"/>
      <c r="IXV2" s="68"/>
      <c r="IXW2" s="68"/>
      <c r="IXX2" s="68"/>
      <c r="IXY2" s="68"/>
      <c r="IXZ2" s="68"/>
      <c r="IYA2" s="68"/>
      <c r="IYB2" s="68"/>
      <c r="IYC2" s="68"/>
      <c r="IYD2" s="68"/>
      <c r="IYE2" s="68"/>
      <c r="IYF2" s="68"/>
      <c r="IYG2" s="68"/>
      <c r="IYH2" s="68"/>
      <c r="IYI2" s="68"/>
      <c r="IYJ2" s="68"/>
      <c r="IYK2" s="68"/>
      <c r="IYL2" s="68"/>
      <c r="IYM2" s="68"/>
      <c r="IYN2" s="68"/>
      <c r="IYO2" s="68"/>
      <c r="IYP2" s="68"/>
      <c r="IYQ2" s="68"/>
      <c r="IYR2" s="68"/>
      <c r="IYS2" s="68"/>
      <c r="IYT2" s="68"/>
      <c r="IYU2" s="68"/>
      <c r="IYV2" s="68"/>
      <c r="IYW2" s="68"/>
      <c r="IYX2" s="68"/>
      <c r="IYY2" s="68"/>
      <c r="IYZ2" s="68"/>
      <c r="IZA2" s="68"/>
      <c r="IZB2" s="68"/>
      <c r="IZC2" s="68"/>
      <c r="IZD2" s="68"/>
      <c r="IZE2" s="68"/>
      <c r="IZF2" s="68"/>
      <c r="IZG2" s="68"/>
      <c r="IZH2" s="68"/>
      <c r="IZI2" s="68"/>
      <c r="IZJ2" s="68"/>
      <c r="IZK2" s="68"/>
      <c r="IZL2" s="68"/>
      <c r="IZM2" s="68"/>
      <c r="IZN2" s="68"/>
      <c r="IZO2" s="68"/>
      <c r="IZP2" s="68"/>
      <c r="IZQ2" s="68"/>
      <c r="IZR2" s="68"/>
      <c r="IZS2" s="68"/>
      <c r="IZT2" s="68"/>
      <c r="IZU2" s="68"/>
      <c r="IZV2" s="68"/>
      <c r="IZW2" s="68"/>
      <c r="IZX2" s="68"/>
      <c r="IZY2" s="68"/>
      <c r="IZZ2" s="68"/>
      <c r="JAA2" s="68"/>
      <c r="JAB2" s="68"/>
      <c r="JAC2" s="68"/>
      <c r="JAD2" s="68"/>
      <c r="JAE2" s="68"/>
      <c r="JAF2" s="68"/>
      <c r="JAG2" s="68"/>
      <c r="JAH2" s="68"/>
      <c r="JAI2" s="68"/>
      <c r="JAJ2" s="68"/>
      <c r="JAK2" s="68"/>
      <c r="JAL2" s="68"/>
      <c r="JAM2" s="68"/>
      <c r="JAN2" s="68"/>
      <c r="JAO2" s="68"/>
      <c r="JAP2" s="68"/>
      <c r="JAQ2" s="68"/>
      <c r="JAR2" s="68"/>
      <c r="JAS2" s="68"/>
      <c r="JAT2" s="68"/>
      <c r="JAU2" s="68"/>
      <c r="JAV2" s="68"/>
      <c r="JAW2" s="68"/>
      <c r="JAX2" s="68"/>
      <c r="JAY2" s="68"/>
      <c r="JAZ2" s="68"/>
      <c r="JBA2" s="68"/>
      <c r="JBB2" s="68"/>
      <c r="JBC2" s="68"/>
      <c r="JBD2" s="68"/>
      <c r="JBE2" s="68"/>
      <c r="JBF2" s="68"/>
      <c r="JBG2" s="68"/>
      <c r="JBH2" s="68"/>
      <c r="JBI2" s="68"/>
      <c r="JBJ2" s="68"/>
      <c r="JBK2" s="68"/>
      <c r="JBL2" s="68"/>
      <c r="JBM2" s="68"/>
      <c r="JBN2" s="68"/>
      <c r="JBO2" s="68"/>
      <c r="JBP2" s="68"/>
      <c r="JBQ2" s="68"/>
      <c r="JBR2" s="68"/>
      <c r="JBS2" s="68"/>
      <c r="JBT2" s="68"/>
      <c r="JBU2" s="68"/>
      <c r="JBV2" s="68"/>
      <c r="JBW2" s="68"/>
      <c r="JBX2" s="68"/>
      <c r="JBY2" s="68"/>
      <c r="JBZ2" s="68"/>
      <c r="JCA2" s="68"/>
      <c r="JCB2" s="68"/>
      <c r="JCC2" s="68"/>
      <c r="JCD2" s="68"/>
      <c r="JCE2" s="68"/>
      <c r="JCF2" s="68"/>
      <c r="JCG2" s="68"/>
      <c r="JCH2" s="68"/>
      <c r="JCI2" s="68"/>
      <c r="JCJ2" s="68"/>
      <c r="JCK2" s="68"/>
      <c r="JCL2" s="68"/>
      <c r="JCM2" s="68"/>
      <c r="JCN2" s="68"/>
      <c r="JCO2" s="68"/>
      <c r="JCP2" s="68"/>
      <c r="JCQ2" s="68"/>
      <c r="JCR2" s="68"/>
      <c r="JCS2" s="68"/>
      <c r="JCT2" s="68"/>
      <c r="JCU2" s="68"/>
      <c r="JCV2" s="68"/>
      <c r="JCW2" s="68"/>
      <c r="JCX2" s="68"/>
      <c r="JCY2" s="68"/>
      <c r="JCZ2" s="68"/>
      <c r="JDA2" s="68"/>
      <c r="JDB2" s="68"/>
      <c r="JDC2" s="68"/>
      <c r="JDD2" s="68"/>
      <c r="JDE2" s="68"/>
      <c r="JDF2" s="68"/>
      <c r="JDG2" s="68"/>
      <c r="JDH2" s="68"/>
      <c r="JDI2" s="68"/>
      <c r="JDJ2" s="68"/>
      <c r="JDK2" s="68"/>
      <c r="JDL2" s="68"/>
      <c r="JDM2" s="68"/>
      <c r="JDN2" s="68"/>
      <c r="JDO2" s="68"/>
      <c r="JDP2" s="68"/>
      <c r="JDQ2" s="68"/>
      <c r="JDR2" s="68"/>
      <c r="JDS2" s="68"/>
      <c r="JDT2" s="68"/>
      <c r="JDU2" s="68"/>
      <c r="JDV2" s="68"/>
      <c r="JDW2" s="68"/>
      <c r="JDX2" s="68"/>
      <c r="JDY2" s="68"/>
      <c r="JDZ2" s="68"/>
      <c r="JEA2" s="68"/>
      <c r="JEB2" s="68"/>
      <c r="JEC2" s="68"/>
      <c r="JED2" s="68"/>
      <c r="JEE2" s="68"/>
      <c r="JEF2" s="68"/>
      <c r="JEG2" s="68"/>
      <c r="JEH2" s="68"/>
      <c r="JEI2" s="68"/>
      <c r="JEJ2" s="68"/>
      <c r="JEK2" s="68"/>
      <c r="JEL2" s="68"/>
      <c r="JEM2" s="68"/>
      <c r="JEN2" s="68"/>
      <c r="JEO2" s="68"/>
      <c r="JEP2" s="68"/>
      <c r="JEQ2" s="68"/>
      <c r="JER2" s="68"/>
      <c r="JES2" s="68"/>
      <c r="JET2" s="68"/>
      <c r="JEU2" s="68"/>
      <c r="JEV2" s="68"/>
      <c r="JEW2" s="68"/>
      <c r="JEX2" s="68"/>
      <c r="JEY2" s="68"/>
      <c r="JEZ2" s="68"/>
      <c r="JFA2" s="68"/>
      <c r="JFB2" s="68"/>
      <c r="JFC2" s="68"/>
      <c r="JFD2" s="68"/>
      <c r="JFE2" s="68"/>
      <c r="JFF2" s="68"/>
      <c r="JFG2" s="68"/>
      <c r="JFH2" s="68"/>
      <c r="JFI2" s="68"/>
      <c r="JFJ2" s="68"/>
      <c r="JFK2" s="68"/>
      <c r="JFL2" s="68"/>
      <c r="JFM2" s="68"/>
      <c r="JFN2" s="68"/>
      <c r="JFO2" s="68"/>
      <c r="JFP2" s="68"/>
      <c r="JFQ2" s="68"/>
      <c r="JFR2" s="68"/>
      <c r="JFS2" s="68"/>
      <c r="JFT2" s="68"/>
      <c r="JFU2" s="68"/>
      <c r="JFV2" s="68"/>
      <c r="JFW2" s="68"/>
      <c r="JFX2" s="68"/>
      <c r="JFY2" s="68"/>
      <c r="JFZ2" s="68"/>
      <c r="JGA2" s="68"/>
      <c r="JGB2" s="68"/>
      <c r="JGC2" s="68"/>
      <c r="JGD2" s="68"/>
      <c r="JGE2" s="68"/>
      <c r="JGF2" s="68"/>
      <c r="JGG2" s="68"/>
      <c r="JGH2" s="68"/>
      <c r="JGI2" s="68"/>
      <c r="JGJ2" s="68"/>
      <c r="JGK2" s="68"/>
      <c r="JGL2" s="68"/>
      <c r="JGM2" s="68"/>
      <c r="JGN2" s="68"/>
      <c r="JGO2" s="68"/>
      <c r="JGP2" s="68"/>
      <c r="JGQ2" s="68"/>
      <c r="JGR2" s="68"/>
      <c r="JGS2" s="68"/>
      <c r="JGT2" s="68"/>
      <c r="JGU2" s="68"/>
      <c r="JGV2" s="68"/>
      <c r="JGW2" s="68"/>
      <c r="JGX2" s="68"/>
      <c r="JGY2" s="68"/>
      <c r="JGZ2" s="68"/>
      <c r="JHA2" s="68"/>
      <c r="JHB2" s="68"/>
      <c r="JHC2" s="68"/>
      <c r="JHD2" s="68"/>
      <c r="JHE2" s="68"/>
      <c r="JHF2" s="68"/>
      <c r="JHG2" s="68"/>
      <c r="JHH2" s="68"/>
      <c r="JHI2" s="68"/>
      <c r="JHJ2" s="68"/>
      <c r="JHK2" s="68"/>
      <c r="JHL2" s="68"/>
      <c r="JHM2" s="68"/>
      <c r="JHN2" s="68"/>
      <c r="JHO2" s="68"/>
      <c r="JHP2" s="68"/>
      <c r="JHQ2" s="68"/>
      <c r="JHR2" s="68"/>
      <c r="JHS2" s="68"/>
      <c r="JHT2" s="68"/>
      <c r="JHU2" s="68"/>
      <c r="JHV2" s="68"/>
      <c r="JHW2" s="68"/>
      <c r="JHX2" s="68"/>
      <c r="JHY2" s="68"/>
      <c r="JHZ2" s="68"/>
      <c r="JIA2" s="68"/>
      <c r="JIB2" s="68"/>
      <c r="JIC2" s="68"/>
      <c r="JID2" s="68"/>
      <c r="JIE2" s="68"/>
      <c r="JIF2" s="68"/>
      <c r="JIG2" s="68"/>
      <c r="JIH2" s="68"/>
      <c r="JII2" s="68"/>
      <c r="JIJ2" s="68"/>
      <c r="JIK2" s="68"/>
      <c r="JIL2" s="68"/>
      <c r="JIM2" s="68"/>
      <c r="JIN2" s="68"/>
      <c r="JIO2" s="68"/>
      <c r="JIP2" s="68"/>
      <c r="JIQ2" s="68"/>
      <c r="JIR2" s="68"/>
      <c r="JIS2" s="68"/>
      <c r="JIT2" s="68"/>
      <c r="JIU2" s="68"/>
      <c r="JIV2" s="68"/>
      <c r="JIW2" s="68"/>
      <c r="JIX2" s="68"/>
      <c r="JIY2" s="68"/>
      <c r="JIZ2" s="68"/>
      <c r="JJA2" s="68"/>
      <c r="JJB2" s="68"/>
      <c r="JJC2" s="68"/>
      <c r="JJD2" s="68"/>
      <c r="JJE2" s="68"/>
      <c r="JJF2" s="68"/>
      <c r="JJG2" s="68"/>
      <c r="JJH2" s="68"/>
      <c r="JJI2" s="68"/>
      <c r="JJJ2" s="68"/>
      <c r="JJK2" s="68"/>
      <c r="JJL2" s="68"/>
      <c r="JJM2" s="68"/>
      <c r="JJN2" s="68"/>
      <c r="JJO2" s="68"/>
      <c r="JJP2" s="68"/>
      <c r="JJQ2" s="68"/>
      <c r="JJR2" s="68"/>
      <c r="JJS2" s="68"/>
      <c r="JJT2" s="68"/>
      <c r="JJU2" s="68"/>
      <c r="JJV2" s="68"/>
      <c r="JJW2" s="68"/>
      <c r="JJX2" s="68"/>
      <c r="JJY2" s="68"/>
      <c r="JJZ2" s="68"/>
      <c r="JKA2" s="68"/>
      <c r="JKB2" s="68"/>
      <c r="JKC2" s="68"/>
      <c r="JKD2" s="68"/>
      <c r="JKE2" s="68"/>
      <c r="JKF2" s="68"/>
      <c r="JKG2" s="68"/>
      <c r="JKH2" s="68"/>
      <c r="JKI2" s="68"/>
      <c r="JKJ2" s="68"/>
      <c r="JKK2" s="68"/>
      <c r="JKL2" s="68"/>
      <c r="JKM2" s="68"/>
      <c r="JKN2" s="68"/>
      <c r="JKO2" s="68"/>
      <c r="JKP2" s="68"/>
      <c r="JKQ2" s="68"/>
      <c r="JKR2" s="68"/>
      <c r="JKS2" s="68"/>
      <c r="JKT2" s="68"/>
      <c r="JKU2" s="68"/>
      <c r="JKV2" s="68"/>
      <c r="JKW2" s="68"/>
      <c r="JKX2" s="68"/>
      <c r="JKY2" s="68"/>
      <c r="JKZ2" s="68"/>
      <c r="JLA2" s="68"/>
      <c r="JLB2" s="68"/>
      <c r="JLC2" s="68"/>
      <c r="JLD2" s="68"/>
      <c r="JLE2" s="68"/>
      <c r="JLF2" s="68"/>
      <c r="JLG2" s="68"/>
      <c r="JLH2" s="68"/>
      <c r="JLI2" s="68"/>
      <c r="JLJ2" s="68"/>
      <c r="JLK2" s="68"/>
      <c r="JLL2" s="68"/>
      <c r="JLM2" s="68"/>
      <c r="JLN2" s="68"/>
      <c r="JLO2" s="68"/>
      <c r="JLP2" s="68"/>
      <c r="JLQ2" s="68"/>
      <c r="JLR2" s="68"/>
      <c r="JLS2" s="68"/>
      <c r="JLT2" s="68"/>
      <c r="JLU2" s="68"/>
      <c r="JLV2" s="68"/>
      <c r="JLW2" s="68"/>
      <c r="JLX2" s="68"/>
      <c r="JLY2" s="68"/>
      <c r="JLZ2" s="68"/>
      <c r="JMA2" s="68"/>
      <c r="JMB2" s="68"/>
      <c r="JMC2" s="68"/>
      <c r="JMD2" s="68"/>
      <c r="JME2" s="68"/>
      <c r="JMF2" s="68"/>
      <c r="JMG2" s="68"/>
      <c r="JMH2" s="68"/>
      <c r="JMI2" s="68"/>
      <c r="JMJ2" s="68"/>
      <c r="JMK2" s="68"/>
      <c r="JML2" s="68"/>
      <c r="JMM2" s="68"/>
      <c r="JMN2" s="68"/>
      <c r="JMO2" s="68"/>
      <c r="JMP2" s="68"/>
      <c r="JMQ2" s="68"/>
      <c r="JMR2" s="68"/>
      <c r="JMS2" s="68"/>
      <c r="JMT2" s="68"/>
      <c r="JMU2" s="68"/>
      <c r="JMV2" s="68"/>
      <c r="JMW2" s="68"/>
      <c r="JMX2" s="68"/>
      <c r="JMY2" s="68"/>
      <c r="JMZ2" s="68"/>
      <c r="JNA2" s="68"/>
      <c r="JNB2" s="68"/>
      <c r="JNC2" s="68"/>
      <c r="JND2" s="68"/>
      <c r="JNE2" s="68"/>
      <c r="JNF2" s="68"/>
      <c r="JNG2" s="68"/>
      <c r="JNH2" s="68"/>
      <c r="JNI2" s="68"/>
      <c r="JNJ2" s="68"/>
      <c r="JNK2" s="68"/>
      <c r="JNL2" s="68"/>
      <c r="JNM2" s="68"/>
      <c r="JNN2" s="68"/>
      <c r="JNO2" s="68"/>
      <c r="JNP2" s="68"/>
      <c r="JNQ2" s="68"/>
      <c r="JNR2" s="68"/>
      <c r="JNS2" s="68"/>
      <c r="JNT2" s="68"/>
      <c r="JNU2" s="68"/>
      <c r="JNV2" s="68"/>
      <c r="JNW2" s="68"/>
      <c r="JNX2" s="68"/>
      <c r="JNY2" s="68"/>
      <c r="JNZ2" s="68"/>
      <c r="JOA2" s="68"/>
      <c r="JOB2" s="68"/>
      <c r="JOC2" s="68"/>
      <c r="JOD2" s="68"/>
      <c r="JOE2" s="68"/>
      <c r="JOF2" s="68"/>
      <c r="JOG2" s="68"/>
      <c r="JOH2" s="68"/>
      <c r="JOI2" s="68"/>
      <c r="JOJ2" s="68"/>
      <c r="JOK2" s="68"/>
      <c r="JOL2" s="68"/>
      <c r="JOM2" s="68"/>
      <c r="JON2" s="68"/>
      <c r="JOO2" s="68"/>
      <c r="JOP2" s="68"/>
      <c r="JOQ2" s="68"/>
      <c r="JOR2" s="68"/>
      <c r="JOS2" s="68"/>
      <c r="JOT2" s="68"/>
      <c r="JOU2" s="68"/>
      <c r="JOV2" s="68"/>
      <c r="JOW2" s="68"/>
      <c r="JOX2" s="68"/>
      <c r="JOY2" s="68"/>
      <c r="JOZ2" s="68"/>
      <c r="JPA2" s="68"/>
      <c r="JPB2" s="68"/>
      <c r="JPC2" s="68"/>
      <c r="JPD2" s="68"/>
      <c r="JPE2" s="68"/>
      <c r="JPF2" s="68"/>
      <c r="JPG2" s="68"/>
      <c r="JPH2" s="68"/>
      <c r="JPI2" s="68"/>
      <c r="JPJ2" s="68"/>
      <c r="JPK2" s="68"/>
      <c r="JPL2" s="68"/>
      <c r="JPM2" s="68"/>
      <c r="JPN2" s="68"/>
      <c r="JPO2" s="68"/>
      <c r="JPP2" s="68"/>
      <c r="JPQ2" s="68"/>
      <c r="JPR2" s="68"/>
      <c r="JPS2" s="68"/>
      <c r="JPT2" s="68"/>
      <c r="JPU2" s="68"/>
      <c r="JPV2" s="68"/>
      <c r="JPW2" s="68"/>
      <c r="JPX2" s="68"/>
      <c r="JPY2" s="68"/>
      <c r="JPZ2" s="68"/>
      <c r="JQA2" s="68"/>
      <c r="JQB2" s="68"/>
      <c r="JQC2" s="68"/>
      <c r="JQD2" s="68"/>
      <c r="JQE2" s="68"/>
      <c r="JQF2" s="68"/>
      <c r="JQG2" s="68"/>
      <c r="JQH2" s="68"/>
      <c r="JQI2" s="68"/>
      <c r="JQJ2" s="68"/>
      <c r="JQK2" s="68"/>
      <c r="JQL2" s="68"/>
      <c r="JQM2" s="68"/>
      <c r="JQN2" s="68"/>
      <c r="JQO2" s="68"/>
      <c r="JQP2" s="68"/>
      <c r="JQQ2" s="68"/>
      <c r="JQR2" s="68"/>
      <c r="JQS2" s="68"/>
      <c r="JQT2" s="68"/>
      <c r="JQU2" s="68"/>
      <c r="JQV2" s="68"/>
      <c r="JQW2" s="68"/>
      <c r="JQX2" s="68"/>
      <c r="JQY2" s="68"/>
      <c r="JQZ2" s="68"/>
      <c r="JRA2" s="68"/>
      <c r="JRB2" s="68"/>
      <c r="JRC2" s="68"/>
      <c r="JRD2" s="68"/>
      <c r="JRE2" s="68"/>
      <c r="JRF2" s="68"/>
      <c r="JRG2" s="68"/>
      <c r="JRH2" s="68"/>
      <c r="JRI2" s="68"/>
      <c r="JRJ2" s="68"/>
      <c r="JRK2" s="68"/>
      <c r="JRL2" s="68"/>
      <c r="JRM2" s="68"/>
      <c r="JRN2" s="68"/>
      <c r="JRO2" s="68"/>
      <c r="JRP2" s="68"/>
      <c r="JRQ2" s="68"/>
      <c r="JRR2" s="68"/>
      <c r="JRS2" s="68"/>
      <c r="JRT2" s="68"/>
      <c r="JRU2" s="68"/>
      <c r="JRV2" s="68"/>
      <c r="JRW2" s="68"/>
      <c r="JRX2" s="68"/>
      <c r="JRY2" s="68"/>
      <c r="JRZ2" s="68"/>
      <c r="JSA2" s="68"/>
      <c r="JSB2" s="68"/>
      <c r="JSC2" s="68"/>
      <c r="JSD2" s="68"/>
      <c r="JSE2" s="68"/>
      <c r="JSF2" s="68"/>
      <c r="JSG2" s="68"/>
      <c r="JSH2" s="68"/>
      <c r="JSI2" s="68"/>
      <c r="JSJ2" s="68"/>
      <c r="JSK2" s="68"/>
      <c r="JSL2" s="68"/>
      <c r="JSM2" s="68"/>
      <c r="JSN2" s="68"/>
      <c r="JSO2" s="68"/>
      <c r="JSP2" s="68"/>
      <c r="JSQ2" s="68"/>
      <c r="JSR2" s="68"/>
      <c r="JSS2" s="68"/>
      <c r="JST2" s="68"/>
      <c r="JSU2" s="68"/>
      <c r="JSV2" s="68"/>
      <c r="JSW2" s="68"/>
      <c r="JSX2" s="68"/>
      <c r="JSY2" s="68"/>
      <c r="JSZ2" s="68"/>
      <c r="JTA2" s="68"/>
      <c r="JTB2" s="68"/>
      <c r="JTC2" s="68"/>
      <c r="JTD2" s="68"/>
      <c r="JTE2" s="68"/>
      <c r="JTF2" s="68"/>
      <c r="JTG2" s="68"/>
      <c r="JTH2" s="68"/>
      <c r="JTI2" s="68"/>
      <c r="JTJ2" s="68"/>
      <c r="JTK2" s="68"/>
      <c r="JTL2" s="68"/>
      <c r="JTM2" s="68"/>
      <c r="JTN2" s="68"/>
      <c r="JTO2" s="68"/>
      <c r="JTP2" s="68"/>
      <c r="JTQ2" s="68"/>
      <c r="JTR2" s="68"/>
      <c r="JTS2" s="68"/>
      <c r="JTT2" s="68"/>
      <c r="JTU2" s="68"/>
      <c r="JTV2" s="68"/>
      <c r="JTW2" s="68"/>
      <c r="JTX2" s="68"/>
      <c r="JTY2" s="68"/>
      <c r="JTZ2" s="68"/>
      <c r="JUA2" s="68"/>
      <c r="JUB2" s="68"/>
      <c r="JUC2" s="68"/>
      <c r="JUD2" s="68"/>
      <c r="JUE2" s="68"/>
      <c r="JUF2" s="68"/>
      <c r="JUG2" s="68"/>
      <c r="JUH2" s="68"/>
      <c r="JUI2" s="68"/>
      <c r="JUJ2" s="68"/>
      <c r="JUK2" s="68"/>
      <c r="JUL2" s="68"/>
      <c r="JUM2" s="68"/>
      <c r="JUN2" s="68"/>
      <c r="JUO2" s="68"/>
      <c r="JUP2" s="68"/>
      <c r="JUQ2" s="68"/>
      <c r="JUR2" s="68"/>
      <c r="JUS2" s="68"/>
      <c r="JUT2" s="68"/>
      <c r="JUU2" s="68"/>
      <c r="JUV2" s="68"/>
      <c r="JUW2" s="68"/>
      <c r="JUX2" s="68"/>
      <c r="JUY2" s="68"/>
      <c r="JUZ2" s="68"/>
      <c r="JVA2" s="68"/>
      <c r="JVB2" s="68"/>
      <c r="JVC2" s="68"/>
      <c r="JVD2" s="68"/>
      <c r="JVE2" s="68"/>
      <c r="JVF2" s="68"/>
      <c r="JVG2" s="68"/>
      <c r="JVH2" s="68"/>
      <c r="JVI2" s="68"/>
      <c r="JVJ2" s="68"/>
      <c r="JVK2" s="68"/>
      <c r="JVL2" s="68"/>
      <c r="JVM2" s="68"/>
      <c r="JVN2" s="68"/>
      <c r="JVO2" s="68"/>
      <c r="JVP2" s="68"/>
      <c r="JVQ2" s="68"/>
      <c r="JVR2" s="68"/>
      <c r="JVS2" s="68"/>
      <c r="JVT2" s="68"/>
      <c r="JVU2" s="68"/>
      <c r="JVV2" s="68"/>
      <c r="JVW2" s="68"/>
      <c r="JVX2" s="68"/>
      <c r="JVY2" s="68"/>
      <c r="JVZ2" s="68"/>
      <c r="JWA2" s="68"/>
      <c r="JWB2" s="68"/>
      <c r="JWC2" s="68"/>
      <c r="JWD2" s="68"/>
      <c r="JWE2" s="68"/>
      <c r="JWF2" s="68"/>
      <c r="JWG2" s="68"/>
      <c r="JWH2" s="68"/>
      <c r="JWI2" s="68"/>
      <c r="JWJ2" s="68"/>
      <c r="JWK2" s="68"/>
      <c r="JWL2" s="68"/>
      <c r="JWM2" s="68"/>
      <c r="JWN2" s="68"/>
      <c r="JWO2" s="68"/>
      <c r="JWP2" s="68"/>
      <c r="JWQ2" s="68"/>
      <c r="JWR2" s="68"/>
      <c r="JWS2" s="68"/>
      <c r="JWT2" s="68"/>
      <c r="JWU2" s="68"/>
      <c r="JWV2" s="68"/>
      <c r="JWW2" s="68"/>
      <c r="JWX2" s="68"/>
      <c r="JWY2" s="68"/>
      <c r="JWZ2" s="68"/>
      <c r="JXA2" s="68"/>
      <c r="JXB2" s="68"/>
      <c r="JXC2" s="68"/>
      <c r="JXD2" s="68"/>
      <c r="JXE2" s="68"/>
      <c r="JXF2" s="68"/>
      <c r="JXG2" s="68"/>
      <c r="JXH2" s="68"/>
      <c r="JXI2" s="68"/>
      <c r="JXJ2" s="68"/>
      <c r="JXK2" s="68"/>
      <c r="JXL2" s="68"/>
      <c r="JXM2" s="68"/>
      <c r="JXN2" s="68"/>
      <c r="JXO2" s="68"/>
      <c r="JXP2" s="68"/>
      <c r="JXQ2" s="68"/>
      <c r="JXR2" s="68"/>
      <c r="JXS2" s="68"/>
      <c r="JXT2" s="68"/>
      <c r="JXU2" s="68"/>
      <c r="JXV2" s="68"/>
      <c r="JXW2" s="68"/>
      <c r="JXX2" s="68"/>
      <c r="JXY2" s="68"/>
      <c r="JXZ2" s="68"/>
      <c r="JYA2" s="68"/>
      <c r="JYB2" s="68"/>
      <c r="JYC2" s="68"/>
      <c r="JYD2" s="68"/>
      <c r="JYE2" s="68"/>
      <c r="JYF2" s="68"/>
      <c r="JYG2" s="68"/>
      <c r="JYH2" s="68"/>
      <c r="JYI2" s="68"/>
      <c r="JYJ2" s="68"/>
      <c r="JYK2" s="68"/>
      <c r="JYL2" s="68"/>
      <c r="JYM2" s="68"/>
      <c r="JYN2" s="68"/>
      <c r="JYO2" s="68"/>
      <c r="JYP2" s="68"/>
      <c r="JYQ2" s="68"/>
      <c r="JYR2" s="68"/>
      <c r="JYS2" s="68"/>
      <c r="JYT2" s="68"/>
      <c r="JYU2" s="68"/>
      <c r="JYV2" s="68"/>
      <c r="JYW2" s="68"/>
      <c r="JYX2" s="68"/>
      <c r="JYY2" s="68"/>
      <c r="JYZ2" s="68"/>
      <c r="JZA2" s="68"/>
      <c r="JZB2" s="68"/>
      <c r="JZC2" s="68"/>
      <c r="JZD2" s="68"/>
      <c r="JZE2" s="68"/>
      <c r="JZF2" s="68"/>
      <c r="JZG2" s="68"/>
      <c r="JZH2" s="68"/>
      <c r="JZI2" s="68"/>
      <c r="JZJ2" s="68"/>
      <c r="JZK2" s="68"/>
      <c r="JZL2" s="68"/>
      <c r="JZM2" s="68"/>
      <c r="JZN2" s="68"/>
      <c r="JZO2" s="68"/>
      <c r="JZP2" s="68"/>
      <c r="JZQ2" s="68"/>
      <c r="JZR2" s="68"/>
      <c r="JZS2" s="68"/>
      <c r="JZT2" s="68"/>
      <c r="JZU2" s="68"/>
      <c r="JZV2" s="68"/>
      <c r="JZW2" s="68"/>
      <c r="JZX2" s="68"/>
      <c r="JZY2" s="68"/>
      <c r="JZZ2" s="68"/>
      <c r="KAA2" s="68"/>
      <c r="KAB2" s="68"/>
      <c r="KAC2" s="68"/>
      <c r="KAD2" s="68"/>
      <c r="KAE2" s="68"/>
      <c r="KAF2" s="68"/>
      <c r="KAG2" s="68"/>
      <c r="KAH2" s="68"/>
      <c r="KAI2" s="68"/>
      <c r="KAJ2" s="68"/>
      <c r="KAK2" s="68"/>
      <c r="KAL2" s="68"/>
      <c r="KAM2" s="68"/>
      <c r="KAN2" s="68"/>
      <c r="KAO2" s="68"/>
      <c r="KAP2" s="68"/>
      <c r="KAQ2" s="68"/>
      <c r="KAR2" s="68"/>
      <c r="KAS2" s="68"/>
      <c r="KAT2" s="68"/>
      <c r="KAU2" s="68"/>
      <c r="KAV2" s="68"/>
      <c r="KAW2" s="68"/>
      <c r="KAX2" s="68"/>
      <c r="KAY2" s="68"/>
      <c r="KAZ2" s="68"/>
      <c r="KBA2" s="68"/>
      <c r="KBB2" s="68"/>
      <c r="KBC2" s="68"/>
      <c r="KBD2" s="68"/>
      <c r="KBE2" s="68"/>
      <c r="KBF2" s="68"/>
      <c r="KBG2" s="68"/>
      <c r="KBH2" s="68"/>
      <c r="KBI2" s="68"/>
      <c r="KBJ2" s="68"/>
      <c r="KBK2" s="68"/>
      <c r="KBL2" s="68"/>
      <c r="KBM2" s="68"/>
      <c r="KBN2" s="68"/>
      <c r="KBO2" s="68"/>
      <c r="KBP2" s="68"/>
      <c r="KBQ2" s="68"/>
      <c r="KBR2" s="68"/>
      <c r="KBS2" s="68"/>
      <c r="KBT2" s="68"/>
      <c r="KBU2" s="68"/>
      <c r="KBV2" s="68"/>
      <c r="KBW2" s="68"/>
      <c r="KBX2" s="68"/>
      <c r="KBY2" s="68"/>
      <c r="KBZ2" s="68"/>
      <c r="KCA2" s="68"/>
      <c r="KCB2" s="68"/>
      <c r="KCC2" s="68"/>
      <c r="KCD2" s="68"/>
      <c r="KCE2" s="68"/>
      <c r="KCF2" s="68"/>
      <c r="KCG2" s="68"/>
      <c r="KCH2" s="68"/>
      <c r="KCI2" s="68"/>
      <c r="KCJ2" s="68"/>
      <c r="KCK2" s="68"/>
      <c r="KCL2" s="68"/>
      <c r="KCM2" s="68"/>
      <c r="KCN2" s="68"/>
      <c r="KCO2" s="68"/>
      <c r="KCP2" s="68"/>
      <c r="KCQ2" s="68"/>
      <c r="KCR2" s="68"/>
      <c r="KCS2" s="68"/>
      <c r="KCT2" s="68"/>
      <c r="KCU2" s="68"/>
      <c r="KCV2" s="68"/>
      <c r="KCW2" s="68"/>
      <c r="KCX2" s="68"/>
      <c r="KCY2" s="68"/>
      <c r="KCZ2" s="68"/>
      <c r="KDA2" s="68"/>
      <c r="KDB2" s="68"/>
      <c r="KDC2" s="68"/>
      <c r="KDD2" s="68"/>
      <c r="KDE2" s="68"/>
      <c r="KDF2" s="68"/>
      <c r="KDG2" s="68"/>
      <c r="KDH2" s="68"/>
      <c r="KDI2" s="68"/>
      <c r="KDJ2" s="68"/>
      <c r="KDK2" s="68"/>
      <c r="KDL2" s="68"/>
      <c r="KDM2" s="68"/>
      <c r="KDN2" s="68"/>
      <c r="KDO2" s="68"/>
      <c r="KDP2" s="68"/>
      <c r="KDQ2" s="68"/>
      <c r="KDR2" s="68"/>
      <c r="KDS2" s="68"/>
      <c r="KDT2" s="68"/>
      <c r="KDU2" s="68"/>
      <c r="KDV2" s="68"/>
      <c r="KDW2" s="68"/>
      <c r="KDX2" s="68"/>
      <c r="KDY2" s="68"/>
      <c r="KDZ2" s="68"/>
      <c r="KEA2" s="68"/>
      <c r="KEB2" s="68"/>
      <c r="KEC2" s="68"/>
      <c r="KED2" s="68"/>
      <c r="KEE2" s="68"/>
      <c r="KEF2" s="68"/>
      <c r="KEG2" s="68"/>
      <c r="KEH2" s="68"/>
      <c r="KEI2" s="68"/>
      <c r="KEJ2" s="68"/>
      <c r="KEK2" s="68"/>
      <c r="KEL2" s="68"/>
      <c r="KEM2" s="68"/>
      <c r="KEN2" s="68"/>
      <c r="KEO2" s="68"/>
      <c r="KEP2" s="68"/>
      <c r="KEQ2" s="68"/>
      <c r="KER2" s="68"/>
      <c r="KES2" s="68"/>
      <c r="KET2" s="68"/>
      <c r="KEU2" s="68"/>
      <c r="KEV2" s="68"/>
      <c r="KEW2" s="68"/>
      <c r="KEX2" s="68"/>
      <c r="KEY2" s="68"/>
      <c r="KEZ2" s="68"/>
      <c r="KFA2" s="68"/>
      <c r="KFB2" s="68"/>
      <c r="KFC2" s="68"/>
      <c r="KFD2" s="68"/>
      <c r="KFE2" s="68"/>
      <c r="KFF2" s="68"/>
      <c r="KFG2" s="68"/>
      <c r="KFH2" s="68"/>
      <c r="KFI2" s="68"/>
      <c r="KFJ2" s="68"/>
      <c r="KFK2" s="68"/>
      <c r="KFL2" s="68"/>
      <c r="KFM2" s="68"/>
      <c r="KFN2" s="68"/>
      <c r="KFO2" s="68"/>
      <c r="KFP2" s="68"/>
      <c r="KFQ2" s="68"/>
      <c r="KFR2" s="68"/>
      <c r="KFS2" s="68"/>
      <c r="KFT2" s="68"/>
      <c r="KFU2" s="68"/>
      <c r="KFV2" s="68"/>
      <c r="KFW2" s="68"/>
      <c r="KFX2" s="68"/>
      <c r="KFY2" s="68"/>
      <c r="KFZ2" s="68"/>
      <c r="KGA2" s="68"/>
      <c r="KGB2" s="68"/>
      <c r="KGC2" s="68"/>
      <c r="KGD2" s="68"/>
      <c r="KGE2" s="68"/>
      <c r="KGF2" s="68"/>
      <c r="KGG2" s="68"/>
      <c r="KGH2" s="68"/>
      <c r="KGI2" s="68"/>
      <c r="KGJ2" s="68"/>
      <c r="KGK2" s="68"/>
      <c r="KGL2" s="68"/>
      <c r="KGM2" s="68"/>
      <c r="KGN2" s="68"/>
      <c r="KGO2" s="68"/>
      <c r="KGP2" s="68"/>
      <c r="KGQ2" s="68"/>
      <c r="KGR2" s="68"/>
      <c r="KGS2" s="68"/>
      <c r="KGT2" s="68"/>
      <c r="KGU2" s="68"/>
      <c r="KGV2" s="68"/>
      <c r="KGW2" s="68"/>
      <c r="KGX2" s="68"/>
      <c r="KGY2" s="68"/>
      <c r="KGZ2" s="68"/>
      <c r="KHA2" s="68"/>
      <c r="KHB2" s="68"/>
      <c r="KHC2" s="68"/>
      <c r="KHD2" s="68"/>
      <c r="KHE2" s="68"/>
      <c r="KHF2" s="68"/>
      <c r="KHG2" s="68"/>
      <c r="KHH2" s="68"/>
      <c r="KHI2" s="68"/>
      <c r="KHJ2" s="68"/>
      <c r="KHK2" s="68"/>
      <c r="KHL2" s="68"/>
      <c r="KHM2" s="68"/>
      <c r="KHN2" s="68"/>
      <c r="KHO2" s="68"/>
      <c r="KHP2" s="68"/>
      <c r="KHQ2" s="68"/>
      <c r="KHR2" s="68"/>
      <c r="KHS2" s="68"/>
      <c r="KHT2" s="68"/>
      <c r="KHU2" s="68"/>
      <c r="KHV2" s="68"/>
      <c r="KHW2" s="68"/>
      <c r="KHX2" s="68"/>
      <c r="KHY2" s="68"/>
      <c r="KHZ2" s="68"/>
      <c r="KIA2" s="68"/>
      <c r="KIB2" s="68"/>
      <c r="KIC2" s="68"/>
      <c r="KID2" s="68"/>
      <c r="KIE2" s="68"/>
      <c r="KIF2" s="68"/>
      <c r="KIG2" s="68"/>
      <c r="KIH2" s="68"/>
      <c r="KII2" s="68"/>
      <c r="KIJ2" s="68"/>
      <c r="KIK2" s="68"/>
      <c r="KIL2" s="68"/>
      <c r="KIM2" s="68"/>
      <c r="KIN2" s="68"/>
      <c r="KIO2" s="68"/>
      <c r="KIP2" s="68"/>
      <c r="KIQ2" s="68"/>
      <c r="KIR2" s="68"/>
      <c r="KIS2" s="68"/>
      <c r="KIT2" s="68"/>
      <c r="KIU2" s="68"/>
      <c r="KIV2" s="68"/>
      <c r="KIW2" s="68"/>
      <c r="KIX2" s="68"/>
      <c r="KIY2" s="68"/>
      <c r="KIZ2" s="68"/>
      <c r="KJA2" s="68"/>
      <c r="KJB2" s="68"/>
      <c r="KJC2" s="68"/>
      <c r="KJD2" s="68"/>
      <c r="KJE2" s="68"/>
      <c r="KJF2" s="68"/>
      <c r="KJG2" s="68"/>
      <c r="KJH2" s="68"/>
      <c r="KJI2" s="68"/>
      <c r="KJJ2" s="68"/>
      <c r="KJK2" s="68"/>
      <c r="KJL2" s="68"/>
      <c r="KJM2" s="68"/>
      <c r="KJN2" s="68"/>
      <c r="KJO2" s="68"/>
      <c r="KJP2" s="68"/>
      <c r="KJQ2" s="68"/>
      <c r="KJR2" s="68"/>
      <c r="KJS2" s="68"/>
      <c r="KJT2" s="68"/>
      <c r="KJU2" s="68"/>
      <c r="KJV2" s="68"/>
      <c r="KJW2" s="68"/>
      <c r="KJX2" s="68"/>
      <c r="KJY2" s="68"/>
      <c r="KJZ2" s="68"/>
      <c r="KKA2" s="68"/>
      <c r="KKB2" s="68"/>
      <c r="KKC2" s="68"/>
      <c r="KKD2" s="68"/>
      <c r="KKE2" s="68"/>
      <c r="KKF2" s="68"/>
      <c r="KKG2" s="68"/>
      <c r="KKH2" s="68"/>
      <c r="KKI2" s="68"/>
      <c r="KKJ2" s="68"/>
      <c r="KKK2" s="68"/>
      <c r="KKL2" s="68"/>
      <c r="KKM2" s="68"/>
      <c r="KKN2" s="68"/>
      <c r="KKO2" s="68"/>
      <c r="KKP2" s="68"/>
      <c r="KKQ2" s="68"/>
      <c r="KKR2" s="68"/>
      <c r="KKS2" s="68"/>
      <c r="KKT2" s="68"/>
      <c r="KKU2" s="68"/>
      <c r="KKV2" s="68"/>
      <c r="KKW2" s="68"/>
      <c r="KKX2" s="68"/>
      <c r="KKY2" s="68"/>
      <c r="KKZ2" s="68"/>
      <c r="KLA2" s="68"/>
      <c r="KLB2" s="68"/>
      <c r="KLC2" s="68"/>
      <c r="KLD2" s="68"/>
      <c r="KLE2" s="68"/>
      <c r="KLF2" s="68"/>
      <c r="KLG2" s="68"/>
      <c r="KLH2" s="68"/>
      <c r="KLI2" s="68"/>
      <c r="KLJ2" s="68"/>
      <c r="KLK2" s="68"/>
      <c r="KLL2" s="68"/>
      <c r="KLM2" s="68"/>
      <c r="KLN2" s="68"/>
      <c r="KLO2" s="68"/>
      <c r="KLP2" s="68"/>
      <c r="KLQ2" s="68"/>
      <c r="KLR2" s="68"/>
      <c r="KLS2" s="68"/>
      <c r="KLT2" s="68"/>
      <c r="KLU2" s="68"/>
      <c r="KLV2" s="68"/>
      <c r="KLW2" s="68"/>
      <c r="KLX2" s="68"/>
      <c r="KLY2" s="68"/>
      <c r="KLZ2" s="68"/>
      <c r="KMA2" s="68"/>
      <c r="KMB2" s="68"/>
      <c r="KMC2" s="68"/>
      <c r="KMD2" s="68"/>
      <c r="KME2" s="68"/>
      <c r="KMF2" s="68"/>
      <c r="KMG2" s="68"/>
      <c r="KMH2" s="68"/>
      <c r="KMI2" s="68"/>
      <c r="KMJ2" s="68"/>
      <c r="KMK2" s="68"/>
      <c r="KML2" s="68"/>
      <c r="KMM2" s="68"/>
      <c r="KMN2" s="68"/>
      <c r="KMO2" s="68"/>
      <c r="KMP2" s="68"/>
      <c r="KMQ2" s="68"/>
      <c r="KMR2" s="68"/>
      <c r="KMS2" s="68"/>
      <c r="KMT2" s="68"/>
      <c r="KMU2" s="68"/>
      <c r="KMV2" s="68"/>
      <c r="KMW2" s="68"/>
      <c r="KMX2" s="68"/>
      <c r="KMY2" s="68"/>
      <c r="KMZ2" s="68"/>
      <c r="KNA2" s="68"/>
      <c r="KNB2" s="68"/>
      <c r="KNC2" s="68"/>
      <c r="KND2" s="68"/>
      <c r="KNE2" s="68"/>
      <c r="KNF2" s="68"/>
      <c r="KNG2" s="68"/>
      <c r="KNH2" s="68"/>
      <c r="KNI2" s="68"/>
      <c r="KNJ2" s="68"/>
      <c r="KNK2" s="68"/>
      <c r="KNL2" s="68"/>
      <c r="KNM2" s="68"/>
      <c r="KNN2" s="68"/>
      <c r="KNO2" s="68"/>
      <c r="KNP2" s="68"/>
      <c r="KNQ2" s="68"/>
      <c r="KNR2" s="68"/>
      <c r="KNS2" s="68"/>
      <c r="KNT2" s="68"/>
      <c r="KNU2" s="68"/>
      <c r="KNV2" s="68"/>
      <c r="KNW2" s="68"/>
      <c r="KNX2" s="68"/>
      <c r="KNY2" s="68"/>
      <c r="KNZ2" s="68"/>
      <c r="KOA2" s="68"/>
      <c r="KOB2" s="68"/>
      <c r="KOC2" s="68"/>
      <c r="KOD2" s="68"/>
      <c r="KOE2" s="68"/>
      <c r="KOF2" s="68"/>
      <c r="KOG2" s="68"/>
      <c r="KOH2" s="68"/>
      <c r="KOI2" s="68"/>
      <c r="KOJ2" s="68"/>
      <c r="KOK2" s="68"/>
      <c r="KOL2" s="68"/>
      <c r="KOM2" s="68"/>
      <c r="KON2" s="68"/>
      <c r="KOO2" s="68"/>
      <c r="KOP2" s="68"/>
      <c r="KOQ2" s="68"/>
      <c r="KOR2" s="68"/>
      <c r="KOS2" s="68"/>
      <c r="KOT2" s="68"/>
      <c r="KOU2" s="68"/>
      <c r="KOV2" s="68"/>
      <c r="KOW2" s="68"/>
      <c r="KOX2" s="68"/>
      <c r="KOY2" s="68"/>
      <c r="KOZ2" s="68"/>
      <c r="KPA2" s="68"/>
      <c r="KPB2" s="68"/>
      <c r="KPC2" s="68"/>
      <c r="KPD2" s="68"/>
      <c r="KPE2" s="68"/>
      <c r="KPF2" s="68"/>
      <c r="KPG2" s="68"/>
      <c r="KPH2" s="68"/>
      <c r="KPI2" s="68"/>
      <c r="KPJ2" s="68"/>
      <c r="KPK2" s="68"/>
      <c r="KPL2" s="68"/>
      <c r="KPM2" s="68"/>
      <c r="KPN2" s="68"/>
      <c r="KPO2" s="68"/>
      <c r="KPP2" s="68"/>
      <c r="KPQ2" s="68"/>
      <c r="KPR2" s="68"/>
      <c r="KPS2" s="68"/>
      <c r="KPT2" s="68"/>
      <c r="KPU2" s="68"/>
      <c r="KPV2" s="68"/>
      <c r="KPW2" s="68"/>
      <c r="KPX2" s="68"/>
      <c r="KPY2" s="68"/>
      <c r="KPZ2" s="68"/>
      <c r="KQA2" s="68"/>
      <c r="KQB2" s="68"/>
      <c r="KQC2" s="68"/>
      <c r="KQD2" s="68"/>
      <c r="KQE2" s="68"/>
      <c r="KQF2" s="68"/>
      <c r="KQG2" s="68"/>
      <c r="KQH2" s="68"/>
      <c r="KQI2" s="68"/>
      <c r="KQJ2" s="68"/>
      <c r="KQK2" s="68"/>
      <c r="KQL2" s="68"/>
      <c r="KQM2" s="68"/>
      <c r="KQN2" s="68"/>
      <c r="KQO2" s="68"/>
      <c r="KQP2" s="68"/>
      <c r="KQQ2" s="68"/>
      <c r="KQR2" s="68"/>
      <c r="KQS2" s="68"/>
      <c r="KQT2" s="68"/>
      <c r="KQU2" s="68"/>
      <c r="KQV2" s="68"/>
      <c r="KQW2" s="68"/>
      <c r="KQX2" s="68"/>
      <c r="KQY2" s="68"/>
      <c r="KQZ2" s="68"/>
      <c r="KRA2" s="68"/>
      <c r="KRB2" s="68"/>
      <c r="KRC2" s="68"/>
      <c r="KRD2" s="68"/>
      <c r="KRE2" s="68"/>
      <c r="KRF2" s="68"/>
      <c r="KRG2" s="68"/>
      <c r="KRH2" s="68"/>
      <c r="KRI2" s="68"/>
      <c r="KRJ2" s="68"/>
      <c r="KRK2" s="68"/>
      <c r="KRL2" s="68"/>
      <c r="KRM2" s="68"/>
      <c r="KRN2" s="68"/>
      <c r="KRO2" s="68"/>
      <c r="KRP2" s="68"/>
      <c r="KRQ2" s="68"/>
      <c r="KRR2" s="68"/>
      <c r="KRS2" s="68"/>
      <c r="KRT2" s="68"/>
      <c r="KRU2" s="68"/>
      <c r="KRV2" s="68"/>
      <c r="KRW2" s="68"/>
      <c r="KRX2" s="68"/>
      <c r="KRY2" s="68"/>
      <c r="KRZ2" s="68"/>
      <c r="KSA2" s="68"/>
      <c r="KSB2" s="68"/>
      <c r="KSC2" s="68"/>
      <c r="KSD2" s="68"/>
      <c r="KSE2" s="68"/>
      <c r="KSF2" s="68"/>
      <c r="KSG2" s="68"/>
      <c r="KSH2" s="68"/>
      <c r="KSI2" s="68"/>
      <c r="KSJ2" s="68"/>
      <c r="KSK2" s="68"/>
      <c r="KSL2" s="68"/>
      <c r="KSM2" s="68"/>
      <c r="KSN2" s="68"/>
      <c r="KSO2" s="68"/>
      <c r="KSP2" s="68"/>
      <c r="KSQ2" s="68"/>
      <c r="KSR2" s="68"/>
      <c r="KSS2" s="68"/>
      <c r="KST2" s="68"/>
      <c r="KSU2" s="68"/>
      <c r="KSV2" s="68"/>
      <c r="KSW2" s="68"/>
      <c r="KSX2" s="68"/>
      <c r="KSY2" s="68"/>
      <c r="KSZ2" s="68"/>
      <c r="KTA2" s="68"/>
      <c r="KTB2" s="68"/>
      <c r="KTC2" s="68"/>
      <c r="KTD2" s="68"/>
      <c r="KTE2" s="68"/>
      <c r="KTF2" s="68"/>
      <c r="KTG2" s="68"/>
      <c r="KTH2" s="68"/>
      <c r="KTI2" s="68"/>
      <c r="KTJ2" s="68"/>
      <c r="KTK2" s="68"/>
      <c r="KTL2" s="68"/>
      <c r="KTM2" s="68"/>
      <c r="KTN2" s="68"/>
      <c r="KTO2" s="68"/>
      <c r="KTP2" s="68"/>
      <c r="KTQ2" s="68"/>
      <c r="KTR2" s="68"/>
      <c r="KTS2" s="68"/>
      <c r="KTT2" s="68"/>
      <c r="KTU2" s="68"/>
      <c r="KTV2" s="68"/>
      <c r="KTW2" s="68"/>
      <c r="KTX2" s="68"/>
      <c r="KTY2" s="68"/>
      <c r="KTZ2" s="68"/>
      <c r="KUA2" s="68"/>
      <c r="KUB2" s="68"/>
      <c r="KUC2" s="68"/>
      <c r="KUD2" s="68"/>
      <c r="KUE2" s="68"/>
      <c r="KUF2" s="68"/>
      <c r="KUG2" s="68"/>
      <c r="KUH2" s="68"/>
      <c r="KUI2" s="68"/>
      <c r="KUJ2" s="68"/>
      <c r="KUK2" s="68"/>
      <c r="KUL2" s="68"/>
      <c r="KUM2" s="68"/>
      <c r="KUN2" s="68"/>
      <c r="KUO2" s="68"/>
      <c r="KUP2" s="68"/>
      <c r="KUQ2" s="68"/>
      <c r="KUR2" s="68"/>
      <c r="KUS2" s="68"/>
      <c r="KUT2" s="68"/>
      <c r="KUU2" s="68"/>
      <c r="KUV2" s="68"/>
      <c r="KUW2" s="68"/>
      <c r="KUX2" s="68"/>
      <c r="KUY2" s="68"/>
      <c r="KUZ2" s="68"/>
      <c r="KVA2" s="68"/>
      <c r="KVB2" s="68"/>
      <c r="KVC2" s="68"/>
      <c r="KVD2" s="68"/>
      <c r="KVE2" s="68"/>
      <c r="KVF2" s="68"/>
      <c r="KVG2" s="68"/>
      <c r="KVH2" s="68"/>
      <c r="KVI2" s="68"/>
      <c r="KVJ2" s="68"/>
      <c r="KVK2" s="68"/>
      <c r="KVL2" s="68"/>
      <c r="KVM2" s="68"/>
      <c r="KVN2" s="68"/>
      <c r="KVO2" s="68"/>
      <c r="KVP2" s="68"/>
      <c r="KVQ2" s="68"/>
      <c r="KVR2" s="68"/>
      <c r="KVS2" s="68"/>
      <c r="KVT2" s="68"/>
      <c r="KVU2" s="68"/>
      <c r="KVV2" s="68"/>
      <c r="KVW2" s="68"/>
      <c r="KVX2" s="68"/>
      <c r="KVY2" s="68"/>
      <c r="KVZ2" s="68"/>
      <c r="KWA2" s="68"/>
      <c r="KWB2" s="68"/>
      <c r="KWC2" s="68"/>
      <c r="KWD2" s="68"/>
      <c r="KWE2" s="68"/>
      <c r="KWF2" s="68"/>
      <c r="KWG2" s="68"/>
      <c r="KWH2" s="68"/>
      <c r="KWI2" s="68"/>
      <c r="KWJ2" s="68"/>
      <c r="KWK2" s="68"/>
      <c r="KWL2" s="68"/>
      <c r="KWM2" s="68"/>
      <c r="KWN2" s="68"/>
      <c r="KWO2" s="68"/>
      <c r="KWP2" s="68"/>
      <c r="KWQ2" s="68"/>
      <c r="KWR2" s="68"/>
      <c r="KWS2" s="68"/>
      <c r="KWT2" s="68"/>
      <c r="KWU2" s="68"/>
      <c r="KWV2" s="68"/>
      <c r="KWW2" s="68"/>
      <c r="KWX2" s="68"/>
      <c r="KWY2" s="68"/>
      <c r="KWZ2" s="68"/>
      <c r="KXA2" s="68"/>
      <c r="KXB2" s="68"/>
      <c r="KXC2" s="68"/>
      <c r="KXD2" s="68"/>
      <c r="KXE2" s="68"/>
      <c r="KXF2" s="68"/>
      <c r="KXG2" s="68"/>
      <c r="KXH2" s="68"/>
      <c r="KXI2" s="68"/>
      <c r="KXJ2" s="68"/>
      <c r="KXK2" s="68"/>
      <c r="KXL2" s="68"/>
      <c r="KXM2" s="68"/>
      <c r="KXN2" s="68"/>
      <c r="KXO2" s="68"/>
      <c r="KXP2" s="68"/>
      <c r="KXQ2" s="68"/>
      <c r="KXR2" s="68"/>
      <c r="KXS2" s="68"/>
      <c r="KXT2" s="68"/>
      <c r="KXU2" s="68"/>
      <c r="KXV2" s="68"/>
      <c r="KXW2" s="68"/>
      <c r="KXX2" s="68"/>
      <c r="KXY2" s="68"/>
      <c r="KXZ2" s="68"/>
      <c r="KYA2" s="68"/>
      <c r="KYB2" s="68"/>
      <c r="KYC2" s="68"/>
      <c r="KYD2" s="68"/>
      <c r="KYE2" s="68"/>
      <c r="KYF2" s="68"/>
      <c r="KYG2" s="68"/>
      <c r="KYH2" s="68"/>
      <c r="KYI2" s="68"/>
      <c r="KYJ2" s="68"/>
      <c r="KYK2" s="68"/>
      <c r="KYL2" s="68"/>
      <c r="KYM2" s="68"/>
      <c r="KYN2" s="68"/>
      <c r="KYO2" s="68"/>
      <c r="KYP2" s="68"/>
      <c r="KYQ2" s="68"/>
      <c r="KYR2" s="68"/>
      <c r="KYS2" s="68"/>
      <c r="KYT2" s="68"/>
      <c r="KYU2" s="68"/>
      <c r="KYV2" s="68"/>
      <c r="KYW2" s="68"/>
      <c r="KYX2" s="68"/>
      <c r="KYY2" s="68"/>
      <c r="KYZ2" s="68"/>
      <c r="KZA2" s="68"/>
      <c r="KZB2" s="68"/>
      <c r="KZC2" s="68"/>
      <c r="KZD2" s="68"/>
      <c r="KZE2" s="68"/>
      <c r="KZF2" s="68"/>
      <c r="KZG2" s="68"/>
      <c r="KZH2" s="68"/>
      <c r="KZI2" s="68"/>
      <c r="KZJ2" s="68"/>
      <c r="KZK2" s="68"/>
      <c r="KZL2" s="68"/>
      <c r="KZM2" s="68"/>
      <c r="KZN2" s="68"/>
      <c r="KZO2" s="68"/>
      <c r="KZP2" s="68"/>
      <c r="KZQ2" s="68"/>
      <c r="KZR2" s="68"/>
      <c r="KZS2" s="68"/>
      <c r="KZT2" s="68"/>
      <c r="KZU2" s="68"/>
      <c r="KZV2" s="68"/>
      <c r="KZW2" s="68"/>
      <c r="KZX2" s="68"/>
      <c r="KZY2" s="68"/>
      <c r="KZZ2" s="68"/>
      <c r="LAA2" s="68"/>
      <c r="LAB2" s="68"/>
      <c r="LAC2" s="68"/>
      <c r="LAD2" s="68"/>
      <c r="LAE2" s="68"/>
      <c r="LAF2" s="68"/>
      <c r="LAG2" s="68"/>
      <c r="LAH2" s="68"/>
      <c r="LAI2" s="68"/>
      <c r="LAJ2" s="68"/>
      <c r="LAK2" s="68"/>
      <c r="LAL2" s="68"/>
      <c r="LAM2" s="68"/>
      <c r="LAN2" s="68"/>
      <c r="LAO2" s="68"/>
      <c r="LAP2" s="68"/>
      <c r="LAQ2" s="68"/>
      <c r="LAR2" s="68"/>
      <c r="LAS2" s="68"/>
      <c r="LAT2" s="68"/>
      <c r="LAU2" s="68"/>
      <c r="LAV2" s="68"/>
      <c r="LAW2" s="68"/>
      <c r="LAX2" s="68"/>
      <c r="LAY2" s="68"/>
      <c r="LAZ2" s="68"/>
      <c r="LBA2" s="68"/>
      <c r="LBB2" s="68"/>
      <c r="LBC2" s="68"/>
      <c r="LBD2" s="68"/>
      <c r="LBE2" s="68"/>
      <c r="LBF2" s="68"/>
      <c r="LBG2" s="68"/>
      <c r="LBH2" s="68"/>
      <c r="LBI2" s="68"/>
      <c r="LBJ2" s="68"/>
      <c r="LBK2" s="68"/>
      <c r="LBL2" s="68"/>
      <c r="LBM2" s="68"/>
      <c r="LBN2" s="68"/>
      <c r="LBO2" s="68"/>
      <c r="LBP2" s="68"/>
      <c r="LBQ2" s="68"/>
      <c r="LBR2" s="68"/>
      <c r="LBS2" s="68"/>
      <c r="LBT2" s="68"/>
      <c r="LBU2" s="68"/>
      <c r="LBV2" s="68"/>
      <c r="LBW2" s="68"/>
      <c r="LBX2" s="68"/>
      <c r="LBY2" s="68"/>
      <c r="LBZ2" s="68"/>
      <c r="LCA2" s="68"/>
      <c r="LCB2" s="68"/>
      <c r="LCC2" s="68"/>
      <c r="LCD2" s="68"/>
      <c r="LCE2" s="68"/>
      <c r="LCF2" s="68"/>
      <c r="LCG2" s="68"/>
      <c r="LCH2" s="68"/>
      <c r="LCI2" s="68"/>
      <c r="LCJ2" s="68"/>
      <c r="LCK2" s="68"/>
      <c r="LCL2" s="68"/>
      <c r="LCM2" s="68"/>
      <c r="LCN2" s="68"/>
      <c r="LCO2" s="68"/>
      <c r="LCP2" s="68"/>
      <c r="LCQ2" s="68"/>
      <c r="LCR2" s="68"/>
      <c r="LCS2" s="68"/>
      <c r="LCT2" s="68"/>
      <c r="LCU2" s="68"/>
      <c r="LCV2" s="68"/>
      <c r="LCW2" s="68"/>
      <c r="LCX2" s="68"/>
      <c r="LCY2" s="68"/>
      <c r="LCZ2" s="68"/>
      <c r="LDA2" s="68"/>
      <c r="LDB2" s="68"/>
      <c r="LDC2" s="68"/>
      <c r="LDD2" s="68"/>
      <c r="LDE2" s="68"/>
      <c r="LDF2" s="68"/>
      <c r="LDG2" s="68"/>
      <c r="LDH2" s="68"/>
      <c r="LDI2" s="68"/>
      <c r="LDJ2" s="68"/>
      <c r="LDK2" s="68"/>
      <c r="LDL2" s="68"/>
      <c r="LDM2" s="68"/>
      <c r="LDN2" s="68"/>
      <c r="LDO2" s="68"/>
      <c r="LDP2" s="68"/>
      <c r="LDQ2" s="68"/>
      <c r="LDR2" s="68"/>
      <c r="LDS2" s="68"/>
      <c r="LDT2" s="68"/>
      <c r="LDU2" s="68"/>
      <c r="LDV2" s="68"/>
      <c r="LDW2" s="68"/>
      <c r="LDX2" s="68"/>
      <c r="LDY2" s="68"/>
      <c r="LDZ2" s="68"/>
      <c r="LEA2" s="68"/>
      <c r="LEB2" s="68"/>
      <c r="LEC2" s="68"/>
      <c r="LED2" s="68"/>
      <c r="LEE2" s="68"/>
      <c r="LEF2" s="68"/>
      <c r="LEG2" s="68"/>
      <c r="LEH2" s="68"/>
      <c r="LEI2" s="68"/>
      <c r="LEJ2" s="68"/>
      <c r="LEK2" s="68"/>
      <c r="LEL2" s="68"/>
      <c r="LEM2" s="68"/>
      <c r="LEN2" s="68"/>
      <c r="LEO2" s="68"/>
      <c r="LEP2" s="68"/>
      <c r="LEQ2" s="68"/>
      <c r="LER2" s="68"/>
      <c r="LES2" s="68"/>
      <c r="LET2" s="68"/>
      <c r="LEU2" s="68"/>
      <c r="LEV2" s="68"/>
      <c r="LEW2" s="68"/>
      <c r="LEX2" s="68"/>
      <c r="LEY2" s="68"/>
      <c r="LEZ2" s="68"/>
      <c r="LFA2" s="68"/>
      <c r="LFB2" s="68"/>
      <c r="LFC2" s="68"/>
      <c r="LFD2" s="68"/>
      <c r="LFE2" s="68"/>
      <c r="LFF2" s="68"/>
      <c r="LFG2" s="68"/>
      <c r="LFH2" s="68"/>
      <c r="LFI2" s="68"/>
      <c r="LFJ2" s="68"/>
      <c r="LFK2" s="68"/>
      <c r="LFL2" s="68"/>
      <c r="LFM2" s="68"/>
      <c r="LFN2" s="68"/>
      <c r="LFO2" s="68"/>
      <c r="LFP2" s="68"/>
      <c r="LFQ2" s="68"/>
      <c r="LFR2" s="68"/>
      <c r="LFS2" s="68"/>
      <c r="LFT2" s="68"/>
      <c r="LFU2" s="68"/>
      <c r="LFV2" s="68"/>
      <c r="LFW2" s="68"/>
      <c r="LFX2" s="68"/>
      <c r="LFY2" s="68"/>
      <c r="LFZ2" s="68"/>
      <c r="LGA2" s="68"/>
      <c r="LGB2" s="68"/>
      <c r="LGC2" s="68"/>
      <c r="LGD2" s="68"/>
      <c r="LGE2" s="68"/>
      <c r="LGF2" s="68"/>
      <c r="LGG2" s="68"/>
      <c r="LGH2" s="68"/>
      <c r="LGI2" s="68"/>
      <c r="LGJ2" s="68"/>
      <c r="LGK2" s="68"/>
      <c r="LGL2" s="68"/>
      <c r="LGM2" s="68"/>
      <c r="LGN2" s="68"/>
      <c r="LGO2" s="68"/>
      <c r="LGP2" s="68"/>
      <c r="LGQ2" s="68"/>
      <c r="LGR2" s="68"/>
      <c r="LGS2" s="68"/>
      <c r="LGT2" s="68"/>
      <c r="LGU2" s="68"/>
      <c r="LGV2" s="68"/>
      <c r="LGW2" s="68"/>
      <c r="LGX2" s="68"/>
      <c r="LGY2" s="68"/>
      <c r="LGZ2" s="68"/>
      <c r="LHA2" s="68"/>
      <c r="LHB2" s="68"/>
      <c r="LHC2" s="68"/>
      <c r="LHD2" s="68"/>
      <c r="LHE2" s="68"/>
      <c r="LHF2" s="68"/>
      <c r="LHG2" s="68"/>
      <c r="LHH2" s="68"/>
      <c r="LHI2" s="68"/>
      <c r="LHJ2" s="68"/>
      <c r="LHK2" s="68"/>
      <c r="LHL2" s="68"/>
      <c r="LHM2" s="68"/>
      <c r="LHN2" s="68"/>
      <c r="LHO2" s="68"/>
      <c r="LHP2" s="68"/>
      <c r="LHQ2" s="68"/>
      <c r="LHR2" s="68"/>
      <c r="LHS2" s="68"/>
      <c r="LHT2" s="68"/>
      <c r="LHU2" s="68"/>
      <c r="LHV2" s="68"/>
      <c r="LHW2" s="68"/>
      <c r="LHX2" s="68"/>
      <c r="LHY2" s="68"/>
      <c r="LHZ2" s="68"/>
      <c r="LIA2" s="68"/>
      <c r="LIB2" s="68"/>
      <c r="LIC2" s="68"/>
      <c r="LID2" s="68"/>
      <c r="LIE2" s="68"/>
      <c r="LIF2" s="68"/>
      <c r="LIG2" s="68"/>
      <c r="LIH2" s="68"/>
      <c r="LII2" s="68"/>
      <c r="LIJ2" s="68"/>
      <c r="LIK2" s="68"/>
      <c r="LIL2" s="68"/>
      <c r="LIM2" s="68"/>
      <c r="LIN2" s="68"/>
      <c r="LIO2" s="68"/>
      <c r="LIP2" s="68"/>
      <c r="LIQ2" s="68"/>
      <c r="LIR2" s="68"/>
      <c r="LIS2" s="68"/>
      <c r="LIT2" s="68"/>
      <c r="LIU2" s="68"/>
      <c r="LIV2" s="68"/>
      <c r="LIW2" s="68"/>
      <c r="LIX2" s="68"/>
      <c r="LIY2" s="68"/>
      <c r="LIZ2" s="68"/>
      <c r="LJA2" s="68"/>
      <c r="LJB2" s="68"/>
      <c r="LJC2" s="68"/>
      <c r="LJD2" s="68"/>
      <c r="LJE2" s="68"/>
      <c r="LJF2" s="68"/>
      <c r="LJG2" s="68"/>
      <c r="LJH2" s="68"/>
      <c r="LJI2" s="68"/>
      <c r="LJJ2" s="68"/>
      <c r="LJK2" s="68"/>
      <c r="LJL2" s="68"/>
      <c r="LJM2" s="68"/>
      <c r="LJN2" s="68"/>
      <c r="LJO2" s="68"/>
      <c r="LJP2" s="68"/>
      <c r="LJQ2" s="68"/>
      <c r="LJR2" s="68"/>
      <c r="LJS2" s="68"/>
      <c r="LJT2" s="68"/>
      <c r="LJU2" s="68"/>
      <c r="LJV2" s="68"/>
      <c r="LJW2" s="68"/>
      <c r="LJX2" s="68"/>
      <c r="LJY2" s="68"/>
      <c r="LJZ2" s="68"/>
      <c r="LKA2" s="68"/>
      <c r="LKB2" s="68"/>
      <c r="LKC2" s="68"/>
      <c r="LKD2" s="68"/>
      <c r="LKE2" s="68"/>
      <c r="LKF2" s="68"/>
      <c r="LKG2" s="68"/>
      <c r="LKH2" s="68"/>
      <c r="LKI2" s="68"/>
      <c r="LKJ2" s="68"/>
      <c r="LKK2" s="68"/>
      <c r="LKL2" s="68"/>
      <c r="LKM2" s="68"/>
      <c r="LKN2" s="68"/>
      <c r="LKO2" s="68"/>
      <c r="LKP2" s="68"/>
      <c r="LKQ2" s="68"/>
      <c r="LKR2" s="68"/>
      <c r="LKS2" s="68"/>
      <c r="LKT2" s="68"/>
      <c r="LKU2" s="68"/>
      <c r="LKV2" s="68"/>
      <c r="LKW2" s="68"/>
      <c r="LKX2" s="68"/>
      <c r="LKY2" s="68"/>
      <c r="LKZ2" s="68"/>
      <c r="LLA2" s="68"/>
      <c r="LLB2" s="68"/>
      <c r="LLC2" s="68"/>
      <c r="LLD2" s="68"/>
      <c r="LLE2" s="68"/>
      <c r="LLF2" s="68"/>
      <c r="LLG2" s="68"/>
      <c r="LLH2" s="68"/>
      <c r="LLI2" s="68"/>
      <c r="LLJ2" s="68"/>
      <c r="LLK2" s="68"/>
      <c r="LLL2" s="68"/>
      <c r="LLM2" s="68"/>
      <c r="LLN2" s="68"/>
      <c r="LLO2" s="68"/>
      <c r="LLP2" s="68"/>
      <c r="LLQ2" s="68"/>
      <c r="LLR2" s="68"/>
      <c r="LLS2" s="68"/>
      <c r="LLT2" s="68"/>
      <c r="LLU2" s="68"/>
      <c r="LLV2" s="68"/>
      <c r="LLW2" s="68"/>
      <c r="LLX2" s="68"/>
      <c r="LLY2" s="68"/>
      <c r="LLZ2" s="68"/>
      <c r="LMA2" s="68"/>
      <c r="LMB2" s="68"/>
      <c r="LMC2" s="68"/>
      <c r="LMD2" s="68"/>
      <c r="LME2" s="68"/>
      <c r="LMF2" s="68"/>
      <c r="LMG2" s="68"/>
      <c r="LMH2" s="68"/>
      <c r="LMI2" s="68"/>
      <c r="LMJ2" s="68"/>
      <c r="LMK2" s="68"/>
      <c r="LML2" s="68"/>
      <c r="LMM2" s="68"/>
      <c r="LMN2" s="68"/>
      <c r="LMO2" s="68"/>
      <c r="LMP2" s="68"/>
      <c r="LMQ2" s="68"/>
      <c r="LMR2" s="68"/>
      <c r="LMS2" s="68"/>
      <c r="LMT2" s="68"/>
      <c r="LMU2" s="68"/>
      <c r="LMV2" s="68"/>
      <c r="LMW2" s="68"/>
      <c r="LMX2" s="68"/>
      <c r="LMY2" s="68"/>
      <c r="LMZ2" s="68"/>
      <c r="LNA2" s="68"/>
      <c r="LNB2" s="68"/>
      <c r="LNC2" s="68"/>
      <c r="LND2" s="68"/>
      <c r="LNE2" s="68"/>
      <c r="LNF2" s="68"/>
      <c r="LNG2" s="68"/>
      <c r="LNH2" s="68"/>
      <c r="LNI2" s="68"/>
      <c r="LNJ2" s="68"/>
      <c r="LNK2" s="68"/>
      <c r="LNL2" s="68"/>
      <c r="LNM2" s="68"/>
      <c r="LNN2" s="68"/>
      <c r="LNO2" s="68"/>
      <c r="LNP2" s="68"/>
      <c r="LNQ2" s="68"/>
      <c r="LNR2" s="68"/>
      <c r="LNS2" s="68"/>
      <c r="LNT2" s="68"/>
      <c r="LNU2" s="68"/>
      <c r="LNV2" s="68"/>
      <c r="LNW2" s="68"/>
      <c r="LNX2" s="68"/>
      <c r="LNY2" s="68"/>
      <c r="LNZ2" s="68"/>
      <c r="LOA2" s="68"/>
      <c r="LOB2" s="68"/>
      <c r="LOC2" s="68"/>
      <c r="LOD2" s="68"/>
      <c r="LOE2" s="68"/>
      <c r="LOF2" s="68"/>
      <c r="LOG2" s="68"/>
      <c r="LOH2" s="68"/>
      <c r="LOI2" s="68"/>
      <c r="LOJ2" s="68"/>
      <c r="LOK2" s="68"/>
      <c r="LOL2" s="68"/>
      <c r="LOM2" s="68"/>
      <c r="LON2" s="68"/>
      <c r="LOO2" s="68"/>
      <c r="LOP2" s="68"/>
      <c r="LOQ2" s="68"/>
      <c r="LOR2" s="68"/>
      <c r="LOS2" s="68"/>
      <c r="LOT2" s="68"/>
      <c r="LOU2" s="68"/>
      <c r="LOV2" s="68"/>
      <c r="LOW2" s="68"/>
      <c r="LOX2" s="68"/>
      <c r="LOY2" s="68"/>
      <c r="LOZ2" s="68"/>
      <c r="LPA2" s="68"/>
      <c r="LPB2" s="68"/>
      <c r="LPC2" s="68"/>
      <c r="LPD2" s="68"/>
      <c r="LPE2" s="68"/>
      <c r="LPF2" s="68"/>
      <c r="LPG2" s="68"/>
      <c r="LPH2" s="68"/>
      <c r="LPI2" s="68"/>
      <c r="LPJ2" s="68"/>
      <c r="LPK2" s="68"/>
      <c r="LPL2" s="68"/>
      <c r="LPM2" s="68"/>
      <c r="LPN2" s="68"/>
      <c r="LPO2" s="68"/>
      <c r="LPP2" s="68"/>
      <c r="LPQ2" s="68"/>
      <c r="LPR2" s="68"/>
      <c r="LPS2" s="68"/>
      <c r="LPT2" s="68"/>
      <c r="LPU2" s="68"/>
      <c r="LPV2" s="68"/>
      <c r="LPW2" s="68"/>
      <c r="LPX2" s="68"/>
      <c r="LPY2" s="68"/>
      <c r="LPZ2" s="68"/>
      <c r="LQA2" s="68"/>
      <c r="LQB2" s="68"/>
      <c r="LQC2" s="68"/>
      <c r="LQD2" s="68"/>
      <c r="LQE2" s="68"/>
      <c r="LQF2" s="68"/>
      <c r="LQG2" s="68"/>
      <c r="LQH2" s="68"/>
      <c r="LQI2" s="68"/>
      <c r="LQJ2" s="68"/>
      <c r="LQK2" s="68"/>
      <c r="LQL2" s="68"/>
      <c r="LQM2" s="68"/>
      <c r="LQN2" s="68"/>
      <c r="LQO2" s="68"/>
      <c r="LQP2" s="68"/>
      <c r="LQQ2" s="68"/>
      <c r="LQR2" s="68"/>
      <c r="LQS2" s="68"/>
      <c r="LQT2" s="68"/>
      <c r="LQU2" s="68"/>
      <c r="LQV2" s="68"/>
      <c r="LQW2" s="68"/>
      <c r="LQX2" s="68"/>
      <c r="LQY2" s="68"/>
      <c r="LQZ2" s="68"/>
      <c r="LRA2" s="68"/>
      <c r="LRB2" s="68"/>
      <c r="LRC2" s="68"/>
      <c r="LRD2" s="68"/>
      <c r="LRE2" s="68"/>
      <c r="LRF2" s="68"/>
      <c r="LRG2" s="68"/>
      <c r="LRH2" s="68"/>
      <c r="LRI2" s="68"/>
      <c r="LRJ2" s="68"/>
      <c r="LRK2" s="68"/>
      <c r="LRL2" s="68"/>
      <c r="LRM2" s="68"/>
      <c r="LRN2" s="68"/>
      <c r="LRO2" s="68"/>
      <c r="LRP2" s="68"/>
      <c r="LRQ2" s="68"/>
      <c r="LRR2" s="68"/>
      <c r="LRS2" s="68"/>
      <c r="LRT2" s="68"/>
      <c r="LRU2" s="68"/>
      <c r="LRV2" s="68"/>
      <c r="LRW2" s="68"/>
      <c r="LRX2" s="68"/>
      <c r="LRY2" s="68"/>
      <c r="LRZ2" s="68"/>
      <c r="LSA2" s="68"/>
      <c r="LSB2" s="68"/>
      <c r="LSC2" s="68"/>
      <c r="LSD2" s="68"/>
      <c r="LSE2" s="68"/>
      <c r="LSF2" s="68"/>
      <c r="LSG2" s="68"/>
      <c r="LSH2" s="68"/>
      <c r="LSI2" s="68"/>
      <c r="LSJ2" s="68"/>
      <c r="LSK2" s="68"/>
      <c r="LSL2" s="68"/>
      <c r="LSM2" s="68"/>
      <c r="LSN2" s="68"/>
      <c r="LSO2" s="68"/>
      <c r="LSP2" s="68"/>
      <c r="LSQ2" s="68"/>
      <c r="LSR2" s="68"/>
      <c r="LSS2" s="68"/>
      <c r="LST2" s="68"/>
      <c r="LSU2" s="68"/>
      <c r="LSV2" s="68"/>
      <c r="LSW2" s="68"/>
      <c r="LSX2" s="68"/>
      <c r="LSY2" s="68"/>
      <c r="LSZ2" s="68"/>
      <c r="LTA2" s="68"/>
      <c r="LTB2" s="68"/>
      <c r="LTC2" s="68"/>
      <c r="LTD2" s="68"/>
      <c r="LTE2" s="68"/>
      <c r="LTF2" s="68"/>
      <c r="LTG2" s="68"/>
      <c r="LTH2" s="68"/>
      <c r="LTI2" s="68"/>
      <c r="LTJ2" s="68"/>
      <c r="LTK2" s="68"/>
      <c r="LTL2" s="68"/>
      <c r="LTM2" s="68"/>
      <c r="LTN2" s="68"/>
      <c r="LTO2" s="68"/>
      <c r="LTP2" s="68"/>
      <c r="LTQ2" s="68"/>
      <c r="LTR2" s="68"/>
      <c r="LTS2" s="68"/>
      <c r="LTT2" s="68"/>
      <c r="LTU2" s="68"/>
      <c r="LTV2" s="68"/>
      <c r="LTW2" s="68"/>
      <c r="LTX2" s="68"/>
      <c r="LTY2" s="68"/>
      <c r="LTZ2" s="68"/>
      <c r="LUA2" s="68"/>
      <c r="LUB2" s="68"/>
      <c r="LUC2" s="68"/>
      <c r="LUD2" s="68"/>
      <c r="LUE2" s="68"/>
      <c r="LUF2" s="68"/>
      <c r="LUG2" s="68"/>
      <c r="LUH2" s="68"/>
      <c r="LUI2" s="68"/>
      <c r="LUJ2" s="68"/>
      <c r="LUK2" s="68"/>
      <c r="LUL2" s="68"/>
      <c r="LUM2" s="68"/>
      <c r="LUN2" s="68"/>
      <c r="LUO2" s="68"/>
      <c r="LUP2" s="68"/>
      <c r="LUQ2" s="68"/>
      <c r="LUR2" s="68"/>
      <c r="LUS2" s="68"/>
      <c r="LUT2" s="68"/>
      <c r="LUU2" s="68"/>
      <c r="LUV2" s="68"/>
      <c r="LUW2" s="68"/>
      <c r="LUX2" s="68"/>
      <c r="LUY2" s="68"/>
      <c r="LUZ2" s="68"/>
      <c r="LVA2" s="68"/>
      <c r="LVB2" s="68"/>
      <c r="LVC2" s="68"/>
      <c r="LVD2" s="68"/>
      <c r="LVE2" s="68"/>
      <c r="LVF2" s="68"/>
      <c r="LVG2" s="68"/>
      <c r="LVH2" s="68"/>
      <c r="LVI2" s="68"/>
      <c r="LVJ2" s="68"/>
      <c r="LVK2" s="68"/>
      <c r="LVL2" s="68"/>
      <c r="LVM2" s="68"/>
      <c r="LVN2" s="68"/>
      <c r="LVO2" s="68"/>
      <c r="LVP2" s="68"/>
      <c r="LVQ2" s="68"/>
      <c r="LVR2" s="68"/>
      <c r="LVS2" s="68"/>
      <c r="LVT2" s="68"/>
      <c r="LVU2" s="68"/>
      <c r="LVV2" s="68"/>
      <c r="LVW2" s="68"/>
      <c r="LVX2" s="68"/>
      <c r="LVY2" s="68"/>
      <c r="LVZ2" s="68"/>
      <c r="LWA2" s="68"/>
      <c r="LWB2" s="68"/>
      <c r="LWC2" s="68"/>
      <c r="LWD2" s="68"/>
      <c r="LWE2" s="68"/>
      <c r="LWF2" s="68"/>
      <c r="LWG2" s="68"/>
      <c r="LWH2" s="68"/>
      <c r="LWI2" s="68"/>
      <c r="LWJ2" s="68"/>
      <c r="LWK2" s="68"/>
      <c r="LWL2" s="68"/>
      <c r="LWM2" s="68"/>
      <c r="LWN2" s="68"/>
      <c r="LWO2" s="68"/>
      <c r="LWP2" s="68"/>
      <c r="LWQ2" s="68"/>
      <c r="LWR2" s="68"/>
      <c r="LWS2" s="68"/>
      <c r="LWT2" s="68"/>
      <c r="LWU2" s="68"/>
      <c r="LWV2" s="68"/>
      <c r="LWW2" s="68"/>
      <c r="LWX2" s="68"/>
      <c r="LWY2" s="68"/>
      <c r="LWZ2" s="68"/>
      <c r="LXA2" s="68"/>
      <c r="LXB2" s="68"/>
      <c r="LXC2" s="68"/>
      <c r="LXD2" s="68"/>
      <c r="LXE2" s="68"/>
      <c r="LXF2" s="68"/>
      <c r="LXG2" s="68"/>
      <c r="LXH2" s="68"/>
      <c r="LXI2" s="68"/>
      <c r="LXJ2" s="68"/>
      <c r="LXK2" s="68"/>
      <c r="LXL2" s="68"/>
      <c r="LXM2" s="68"/>
      <c r="LXN2" s="68"/>
      <c r="LXO2" s="68"/>
      <c r="LXP2" s="68"/>
      <c r="LXQ2" s="68"/>
      <c r="LXR2" s="68"/>
      <c r="LXS2" s="68"/>
      <c r="LXT2" s="68"/>
      <c r="LXU2" s="68"/>
      <c r="LXV2" s="68"/>
      <c r="LXW2" s="68"/>
      <c r="LXX2" s="68"/>
      <c r="LXY2" s="68"/>
      <c r="LXZ2" s="68"/>
      <c r="LYA2" s="68"/>
      <c r="LYB2" s="68"/>
      <c r="LYC2" s="68"/>
      <c r="LYD2" s="68"/>
      <c r="LYE2" s="68"/>
      <c r="LYF2" s="68"/>
      <c r="LYG2" s="68"/>
      <c r="LYH2" s="68"/>
      <c r="LYI2" s="68"/>
      <c r="LYJ2" s="68"/>
      <c r="LYK2" s="68"/>
      <c r="LYL2" s="68"/>
      <c r="LYM2" s="68"/>
      <c r="LYN2" s="68"/>
      <c r="LYO2" s="68"/>
      <c r="LYP2" s="68"/>
      <c r="LYQ2" s="68"/>
      <c r="LYR2" s="68"/>
      <c r="LYS2" s="68"/>
      <c r="LYT2" s="68"/>
      <c r="LYU2" s="68"/>
      <c r="LYV2" s="68"/>
      <c r="LYW2" s="68"/>
      <c r="LYX2" s="68"/>
      <c r="LYY2" s="68"/>
      <c r="LYZ2" s="68"/>
      <c r="LZA2" s="68"/>
      <c r="LZB2" s="68"/>
      <c r="LZC2" s="68"/>
      <c r="LZD2" s="68"/>
      <c r="LZE2" s="68"/>
      <c r="LZF2" s="68"/>
      <c r="LZG2" s="68"/>
      <c r="LZH2" s="68"/>
      <c r="LZI2" s="68"/>
      <c r="LZJ2" s="68"/>
      <c r="LZK2" s="68"/>
      <c r="LZL2" s="68"/>
      <c r="LZM2" s="68"/>
      <c r="LZN2" s="68"/>
      <c r="LZO2" s="68"/>
      <c r="LZP2" s="68"/>
      <c r="LZQ2" s="68"/>
      <c r="LZR2" s="68"/>
      <c r="LZS2" s="68"/>
      <c r="LZT2" s="68"/>
      <c r="LZU2" s="68"/>
      <c r="LZV2" s="68"/>
      <c r="LZW2" s="68"/>
      <c r="LZX2" s="68"/>
      <c r="LZY2" s="68"/>
      <c r="LZZ2" s="68"/>
      <c r="MAA2" s="68"/>
      <c r="MAB2" s="68"/>
      <c r="MAC2" s="68"/>
      <c r="MAD2" s="68"/>
      <c r="MAE2" s="68"/>
      <c r="MAF2" s="68"/>
      <c r="MAG2" s="68"/>
      <c r="MAH2" s="68"/>
      <c r="MAI2" s="68"/>
      <c r="MAJ2" s="68"/>
      <c r="MAK2" s="68"/>
      <c r="MAL2" s="68"/>
      <c r="MAM2" s="68"/>
      <c r="MAN2" s="68"/>
      <c r="MAO2" s="68"/>
      <c r="MAP2" s="68"/>
      <c r="MAQ2" s="68"/>
      <c r="MAR2" s="68"/>
      <c r="MAS2" s="68"/>
      <c r="MAT2" s="68"/>
      <c r="MAU2" s="68"/>
      <c r="MAV2" s="68"/>
      <c r="MAW2" s="68"/>
      <c r="MAX2" s="68"/>
      <c r="MAY2" s="68"/>
      <c r="MAZ2" s="68"/>
      <c r="MBA2" s="68"/>
      <c r="MBB2" s="68"/>
      <c r="MBC2" s="68"/>
      <c r="MBD2" s="68"/>
      <c r="MBE2" s="68"/>
      <c r="MBF2" s="68"/>
      <c r="MBG2" s="68"/>
      <c r="MBH2" s="68"/>
      <c r="MBI2" s="68"/>
      <c r="MBJ2" s="68"/>
      <c r="MBK2" s="68"/>
      <c r="MBL2" s="68"/>
      <c r="MBM2" s="68"/>
      <c r="MBN2" s="68"/>
      <c r="MBO2" s="68"/>
      <c r="MBP2" s="68"/>
      <c r="MBQ2" s="68"/>
      <c r="MBR2" s="68"/>
      <c r="MBS2" s="68"/>
      <c r="MBT2" s="68"/>
      <c r="MBU2" s="68"/>
      <c r="MBV2" s="68"/>
      <c r="MBW2" s="68"/>
      <c r="MBX2" s="68"/>
      <c r="MBY2" s="68"/>
      <c r="MBZ2" s="68"/>
      <c r="MCA2" s="68"/>
      <c r="MCB2" s="68"/>
      <c r="MCC2" s="68"/>
      <c r="MCD2" s="68"/>
      <c r="MCE2" s="68"/>
      <c r="MCF2" s="68"/>
      <c r="MCG2" s="68"/>
      <c r="MCH2" s="68"/>
      <c r="MCI2" s="68"/>
      <c r="MCJ2" s="68"/>
      <c r="MCK2" s="68"/>
      <c r="MCL2" s="68"/>
      <c r="MCM2" s="68"/>
      <c r="MCN2" s="68"/>
      <c r="MCO2" s="68"/>
      <c r="MCP2" s="68"/>
      <c r="MCQ2" s="68"/>
      <c r="MCR2" s="68"/>
      <c r="MCS2" s="68"/>
      <c r="MCT2" s="68"/>
      <c r="MCU2" s="68"/>
      <c r="MCV2" s="68"/>
      <c r="MCW2" s="68"/>
      <c r="MCX2" s="68"/>
      <c r="MCY2" s="68"/>
      <c r="MCZ2" s="68"/>
      <c r="MDA2" s="68"/>
      <c r="MDB2" s="68"/>
      <c r="MDC2" s="68"/>
      <c r="MDD2" s="68"/>
      <c r="MDE2" s="68"/>
      <c r="MDF2" s="68"/>
      <c r="MDG2" s="68"/>
      <c r="MDH2" s="68"/>
      <c r="MDI2" s="68"/>
      <c r="MDJ2" s="68"/>
      <c r="MDK2" s="68"/>
      <c r="MDL2" s="68"/>
      <c r="MDM2" s="68"/>
      <c r="MDN2" s="68"/>
      <c r="MDO2" s="68"/>
      <c r="MDP2" s="68"/>
      <c r="MDQ2" s="68"/>
      <c r="MDR2" s="68"/>
      <c r="MDS2" s="68"/>
      <c r="MDT2" s="68"/>
      <c r="MDU2" s="68"/>
      <c r="MDV2" s="68"/>
      <c r="MDW2" s="68"/>
      <c r="MDX2" s="68"/>
      <c r="MDY2" s="68"/>
      <c r="MDZ2" s="68"/>
      <c r="MEA2" s="68"/>
      <c r="MEB2" s="68"/>
      <c r="MEC2" s="68"/>
      <c r="MED2" s="68"/>
      <c r="MEE2" s="68"/>
      <c r="MEF2" s="68"/>
      <c r="MEG2" s="68"/>
      <c r="MEH2" s="68"/>
      <c r="MEI2" s="68"/>
      <c r="MEJ2" s="68"/>
      <c r="MEK2" s="68"/>
      <c r="MEL2" s="68"/>
      <c r="MEM2" s="68"/>
      <c r="MEN2" s="68"/>
      <c r="MEO2" s="68"/>
      <c r="MEP2" s="68"/>
      <c r="MEQ2" s="68"/>
      <c r="MER2" s="68"/>
      <c r="MES2" s="68"/>
      <c r="MET2" s="68"/>
      <c r="MEU2" s="68"/>
      <c r="MEV2" s="68"/>
      <c r="MEW2" s="68"/>
      <c r="MEX2" s="68"/>
      <c r="MEY2" s="68"/>
      <c r="MEZ2" s="68"/>
      <c r="MFA2" s="68"/>
      <c r="MFB2" s="68"/>
      <c r="MFC2" s="68"/>
      <c r="MFD2" s="68"/>
      <c r="MFE2" s="68"/>
      <c r="MFF2" s="68"/>
      <c r="MFG2" s="68"/>
      <c r="MFH2" s="68"/>
      <c r="MFI2" s="68"/>
      <c r="MFJ2" s="68"/>
      <c r="MFK2" s="68"/>
      <c r="MFL2" s="68"/>
      <c r="MFM2" s="68"/>
      <c r="MFN2" s="68"/>
      <c r="MFO2" s="68"/>
      <c r="MFP2" s="68"/>
      <c r="MFQ2" s="68"/>
      <c r="MFR2" s="68"/>
      <c r="MFS2" s="68"/>
      <c r="MFT2" s="68"/>
      <c r="MFU2" s="68"/>
      <c r="MFV2" s="68"/>
      <c r="MFW2" s="68"/>
      <c r="MFX2" s="68"/>
      <c r="MFY2" s="68"/>
      <c r="MFZ2" s="68"/>
      <c r="MGA2" s="68"/>
      <c r="MGB2" s="68"/>
      <c r="MGC2" s="68"/>
      <c r="MGD2" s="68"/>
      <c r="MGE2" s="68"/>
      <c r="MGF2" s="68"/>
      <c r="MGG2" s="68"/>
      <c r="MGH2" s="68"/>
      <c r="MGI2" s="68"/>
      <c r="MGJ2" s="68"/>
      <c r="MGK2" s="68"/>
      <c r="MGL2" s="68"/>
      <c r="MGM2" s="68"/>
      <c r="MGN2" s="68"/>
      <c r="MGO2" s="68"/>
      <c r="MGP2" s="68"/>
      <c r="MGQ2" s="68"/>
      <c r="MGR2" s="68"/>
      <c r="MGS2" s="68"/>
      <c r="MGT2" s="68"/>
      <c r="MGU2" s="68"/>
      <c r="MGV2" s="68"/>
      <c r="MGW2" s="68"/>
      <c r="MGX2" s="68"/>
      <c r="MGY2" s="68"/>
      <c r="MGZ2" s="68"/>
      <c r="MHA2" s="68"/>
      <c r="MHB2" s="68"/>
      <c r="MHC2" s="68"/>
      <c r="MHD2" s="68"/>
      <c r="MHE2" s="68"/>
      <c r="MHF2" s="68"/>
      <c r="MHG2" s="68"/>
      <c r="MHH2" s="68"/>
      <c r="MHI2" s="68"/>
      <c r="MHJ2" s="68"/>
      <c r="MHK2" s="68"/>
      <c r="MHL2" s="68"/>
      <c r="MHM2" s="68"/>
      <c r="MHN2" s="68"/>
      <c r="MHO2" s="68"/>
      <c r="MHP2" s="68"/>
      <c r="MHQ2" s="68"/>
      <c r="MHR2" s="68"/>
      <c r="MHS2" s="68"/>
      <c r="MHT2" s="68"/>
      <c r="MHU2" s="68"/>
      <c r="MHV2" s="68"/>
      <c r="MHW2" s="68"/>
      <c r="MHX2" s="68"/>
      <c r="MHY2" s="68"/>
      <c r="MHZ2" s="68"/>
      <c r="MIA2" s="68"/>
      <c r="MIB2" s="68"/>
      <c r="MIC2" s="68"/>
      <c r="MID2" s="68"/>
      <c r="MIE2" s="68"/>
      <c r="MIF2" s="68"/>
      <c r="MIG2" s="68"/>
      <c r="MIH2" s="68"/>
      <c r="MII2" s="68"/>
      <c r="MIJ2" s="68"/>
      <c r="MIK2" s="68"/>
      <c r="MIL2" s="68"/>
      <c r="MIM2" s="68"/>
      <c r="MIN2" s="68"/>
      <c r="MIO2" s="68"/>
      <c r="MIP2" s="68"/>
      <c r="MIQ2" s="68"/>
      <c r="MIR2" s="68"/>
      <c r="MIS2" s="68"/>
      <c r="MIT2" s="68"/>
      <c r="MIU2" s="68"/>
      <c r="MIV2" s="68"/>
      <c r="MIW2" s="68"/>
      <c r="MIX2" s="68"/>
      <c r="MIY2" s="68"/>
      <c r="MIZ2" s="68"/>
      <c r="MJA2" s="68"/>
      <c r="MJB2" s="68"/>
      <c r="MJC2" s="68"/>
      <c r="MJD2" s="68"/>
      <c r="MJE2" s="68"/>
      <c r="MJF2" s="68"/>
      <c r="MJG2" s="68"/>
      <c r="MJH2" s="68"/>
      <c r="MJI2" s="68"/>
      <c r="MJJ2" s="68"/>
      <c r="MJK2" s="68"/>
      <c r="MJL2" s="68"/>
      <c r="MJM2" s="68"/>
      <c r="MJN2" s="68"/>
      <c r="MJO2" s="68"/>
      <c r="MJP2" s="68"/>
      <c r="MJQ2" s="68"/>
      <c r="MJR2" s="68"/>
      <c r="MJS2" s="68"/>
      <c r="MJT2" s="68"/>
      <c r="MJU2" s="68"/>
      <c r="MJV2" s="68"/>
      <c r="MJW2" s="68"/>
      <c r="MJX2" s="68"/>
      <c r="MJY2" s="68"/>
      <c r="MJZ2" s="68"/>
      <c r="MKA2" s="68"/>
      <c r="MKB2" s="68"/>
      <c r="MKC2" s="68"/>
      <c r="MKD2" s="68"/>
      <c r="MKE2" s="68"/>
      <c r="MKF2" s="68"/>
      <c r="MKG2" s="68"/>
      <c r="MKH2" s="68"/>
      <c r="MKI2" s="68"/>
      <c r="MKJ2" s="68"/>
      <c r="MKK2" s="68"/>
      <c r="MKL2" s="68"/>
      <c r="MKM2" s="68"/>
      <c r="MKN2" s="68"/>
      <c r="MKO2" s="68"/>
      <c r="MKP2" s="68"/>
      <c r="MKQ2" s="68"/>
      <c r="MKR2" s="68"/>
      <c r="MKS2" s="68"/>
      <c r="MKT2" s="68"/>
      <c r="MKU2" s="68"/>
      <c r="MKV2" s="68"/>
      <c r="MKW2" s="68"/>
      <c r="MKX2" s="68"/>
      <c r="MKY2" s="68"/>
      <c r="MKZ2" s="68"/>
      <c r="MLA2" s="68"/>
      <c r="MLB2" s="68"/>
      <c r="MLC2" s="68"/>
      <c r="MLD2" s="68"/>
      <c r="MLE2" s="68"/>
      <c r="MLF2" s="68"/>
      <c r="MLG2" s="68"/>
      <c r="MLH2" s="68"/>
      <c r="MLI2" s="68"/>
      <c r="MLJ2" s="68"/>
      <c r="MLK2" s="68"/>
      <c r="MLL2" s="68"/>
      <c r="MLM2" s="68"/>
      <c r="MLN2" s="68"/>
      <c r="MLO2" s="68"/>
      <c r="MLP2" s="68"/>
      <c r="MLQ2" s="68"/>
      <c r="MLR2" s="68"/>
      <c r="MLS2" s="68"/>
      <c r="MLT2" s="68"/>
      <c r="MLU2" s="68"/>
      <c r="MLV2" s="68"/>
      <c r="MLW2" s="68"/>
      <c r="MLX2" s="68"/>
      <c r="MLY2" s="68"/>
      <c r="MLZ2" s="68"/>
      <c r="MMA2" s="68"/>
      <c r="MMB2" s="68"/>
      <c r="MMC2" s="68"/>
      <c r="MMD2" s="68"/>
      <c r="MME2" s="68"/>
      <c r="MMF2" s="68"/>
      <c r="MMG2" s="68"/>
      <c r="MMH2" s="68"/>
      <c r="MMI2" s="68"/>
      <c r="MMJ2" s="68"/>
      <c r="MMK2" s="68"/>
      <c r="MML2" s="68"/>
      <c r="MMM2" s="68"/>
      <c r="MMN2" s="68"/>
      <c r="MMO2" s="68"/>
      <c r="MMP2" s="68"/>
      <c r="MMQ2" s="68"/>
      <c r="MMR2" s="68"/>
      <c r="MMS2" s="68"/>
      <c r="MMT2" s="68"/>
      <c r="MMU2" s="68"/>
      <c r="MMV2" s="68"/>
      <c r="MMW2" s="68"/>
      <c r="MMX2" s="68"/>
      <c r="MMY2" s="68"/>
      <c r="MMZ2" s="68"/>
      <c r="MNA2" s="68"/>
      <c r="MNB2" s="68"/>
      <c r="MNC2" s="68"/>
      <c r="MND2" s="68"/>
      <c r="MNE2" s="68"/>
      <c r="MNF2" s="68"/>
      <c r="MNG2" s="68"/>
      <c r="MNH2" s="68"/>
      <c r="MNI2" s="68"/>
      <c r="MNJ2" s="68"/>
      <c r="MNK2" s="68"/>
      <c r="MNL2" s="68"/>
      <c r="MNM2" s="68"/>
      <c r="MNN2" s="68"/>
      <c r="MNO2" s="68"/>
      <c r="MNP2" s="68"/>
      <c r="MNQ2" s="68"/>
      <c r="MNR2" s="68"/>
      <c r="MNS2" s="68"/>
      <c r="MNT2" s="68"/>
      <c r="MNU2" s="68"/>
      <c r="MNV2" s="68"/>
      <c r="MNW2" s="68"/>
      <c r="MNX2" s="68"/>
      <c r="MNY2" s="68"/>
      <c r="MNZ2" s="68"/>
      <c r="MOA2" s="68"/>
      <c r="MOB2" s="68"/>
      <c r="MOC2" s="68"/>
      <c r="MOD2" s="68"/>
      <c r="MOE2" s="68"/>
      <c r="MOF2" s="68"/>
      <c r="MOG2" s="68"/>
      <c r="MOH2" s="68"/>
      <c r="MOI2" s="68"/>
      <c r="MOJ2" s="68"/>
      <c r="MOK2" s="68"/>
      <c r="MOL2" s="68"/>
      <c r="MOM2" s="68"/>
      <c r="MON2" s="68"/>
      <c r="MOO2" s="68"/>
      <c r="MOP2" s="68"/>
      <c r="MOQ2" s="68"/>
      <c r="MOR2" s="68"/>
      <c r="MOS2" s="68"/>
      <c r="MOT2" s="68"/>
      <c r="MOU2" s="68"/>
      <c r="MOV2" s="68"/>
      <c r="MOW2" s="68"/>
      <c r="MOX2" s="68"/>
      <c r="MOY2" s="68"/>
      <c r="MOZ2" s="68"/>
      <c r="MPA2" s="68"/>
      <c r="MPB2" s="68"/>
      <c r="MPC2" s="68"/>
      <c r="MPD2" s="68"/>
      <c r="MPE2" s="68"/>
      <c r="MPF2" s="68"/>
      <c r="MPG2" s="68"/>
      <c r="MPH2" s="68"/>
      <c r="MPI2" s="68"/>
      <c r="MPJ2" s="68"/>
      <c r="MPK2" s="68"/>
      <c r="MPL2" s="68"/>
      <c r="MPM2" s="68"/>
      <c r="MPN2" s="68"/>
      <c r="MPO2" s="68"/>
      <c r="MPP2" s="68"/>
      <c r="MPQ2" s="68"/>
      <c r="MPR2" s="68"/>
      <c r="MPS2" s="68"/>
      <c r="MPT2" s="68"/>
      <c r="MPU2" s="68"/>
      <c r="MPV2" s="68"/>
      <c r="MPW2" s="68"/>
      <c r="MPX2" s="68"/>
      <c r="MPY2" s="68"/>
      <c r="MPZ2" s="68"/>
      <c r="MQA2" s="68"/>
      <c r="MQB2" s="68"/>
      <c r="MQC2" s="68"/>
      <c r="MQD2" s="68"/>
      <c r="MQE2" s="68"/>
      <c r="MQF2" s="68"/>
      <c r="MQG2" s="68"/>
      <c r="MQH2" s="68"/>
      <c r="MQI2" s="68"/>
      <c r="MQJ2" s="68"/>
      <c r="MQK2" s="68"/>
      <c r="MQL2" s="68"/>
      <c r="MQM2" s="68"/>
      <c r="MQN2" s="68"/>
      <c r="MQO2" s="68"/>
      <c r="MQP2" s="68"/>
      <c r="MQQ2" s="68"/>
      <c r="MQR2" s="68"/>
      <c r="MQS2" s="68"/>
      <c r="MQT2" s="68"/>
      <c r="MQU2" s="68"/>
      <c r="MQV2" s="68"/>
      <c r="MQW2" s="68"/>
      <c r="MQX2" s="68"/>
      <c r="MQY2" s="68"/>
      <c r="MQZ2" s="68"/>
      <c r="MRA2" s="68"/>
      <c r="MRB2" s="68"/>
      <c r="MRC2" s="68"/>
      <c r="MRD2" s="68"/>
      <c r="MRE2" s="68"/>
      <c r="MRF2" s="68"/>
      <c r="MRG2" s="68"/>
      <c r="MRH2" s="68"/>
      <c r="MRI2" s="68"/>
      <c r="MRJ2" s="68"/>
      <c r="MRK2" s="68"/>
      <c r="MRL2" s="68"/>
      <c r="MRM2" s="68"/>
      <c r="MRN2" s="68"/>
      <c r="MRO2" s="68"/>
      <c r="MRP2" s="68"/>
      <c r="MRQ2" s="68"/>
      <c r="MRR2" s="68"/>
      <c r="MRS2" s="68"/>
      <c r="MRT2" s="68"/>
      <c r="MRU2" s="68"/>
      <c r="MRV2" s="68"/>
      <c r="MRW2" s="68"/>
      <c r="MRX2" s="68"/>
      <c r="MRY2" s="68"/>
      <c r="MRZ2" s="68"/>
      <c r="MSA2" s="68"/>
      <c r="MSB2" s="68"/>
      <c r="MSC2" s="68"/>
      <c r="MSD2" s="68"/>
      <c r="MSE2" s="68"/>
      <c r="MSF2" s="68"/>
      <c r="MSG2" s="68"/>
      <c r="MSH2" s="68"/>
      <c r="MSI2" s="68"/>
      <c r="MSJ2" s="68"/>
      <c r="MSK2" s="68"/>
      <c r="MSL2" s="68"/>
      <c r="MSM2" s="68"/>
      <c r="MSN2" s="68"/>
      <c r="MSO2" s="68"/>
      <c r="MSP2" s="68"/>
      <c r="MSQ2" s="68"/>
      <c r="MSR2" s="68"/>
      <c r="MSS2" s="68"/>
      <c r="MST2" s="68"/>
      <c r="MSU2" s="68"/>
      <c r="MSV2" s="68"/>
      <c r="MSW2" s="68"/>
      <c r="MSX2" s="68"/>
      <c r="MSY2" s="68"/>
      <c r="MSZ2" s="68"/>
      <c r="MTA2" s="68"/>
      <c r="MTB2" s="68"/>
      <c r="MTC2" s="68"/>
      <c r="MTD2" s="68"/>
      <c r="MTE2" s="68"/>
      <c r="MTF2" s="68"/>
      <c r="MTG2" s="68"/>
      <c r="MTH2" s="68"/>
      <c r="MTI2" s="68"/>
      <c r="MTJ2" s="68"/>
      <c r="MTK2" s="68"/>
      <c r="MTL2" s="68"/>
      <c r="MTM2" s="68"/>
      <c r="MTN2" s="68"/>
      <c r="MTO2" s="68"/>
      <c r="MTP2" s="68"/>
      <c r="MTQ2" s="68"/>
      <c r="MTR2" s="68"/>
      <c r="MTS2" s="68"/>
      <c r="MTT2" s="68"/>
      <c r="MTU2" s="68"/>
      <c r="MTV2" s="68"/>
      <c r="MTW2" s="68"/>
      <c r="MTX2" s="68"/>
      <c r="MTY2" s="68"/>
      <c r="MTZ2" s="68"/>
      <c r="MUA2" s="68"/>
      <c r="MUB2" s="68"/>
      <c r="MUC2" s="68"/>
      <c r="MUD2" s="68"/>
      <c r="MUE2" s="68"/>
      <c r="MUF2" s="68"/>
      <c r="MUG2" s="68"/>
      <c r="MUH2" s="68"/>
      <c r="MUI2" s="68"/>
      <c r="MUJ2" s="68"/>
      <c r="MUK2" s="68"/>
      <c r="MUL2" s="68"/>
      <c r="MUM2" s="68"/>
      <c r="MUN2" s="68"/>
      <c r="MUO2" s="68"/>
      <c r="MUP2" s="68"/>
      <c r="MUQ2" s="68"/>
      <c r="MUR2" s="68"/>
      <c r="MUS2" s="68"/>
      <c r="MUT2" s="68"/>
      <c r="MUU2" s="68"/>
      <c r="MUV2" s="68"/>
      <c r="MUW2" s="68"/>
      <c r="MUX2" s="68"/>
      <c r="MUY2" s="68"/>
      <c r="MUZ2" s="68"/>
      <c r="MVA2" s="68"/>
      <c r="MVB2" s="68"/>
      <c r="MVC2" s="68"/>
      <c r="MVD2" s="68"/>
      <c r="MVE2" s="68"/>
      <c r="MVF2" s="68"/>
      <c r="MVG2" s="68"/>
      <c r="MVH2" s="68"/>
      <c r="MVI2" s="68"/>
      <c r="MVJ2" s="68"/>
      <c r="MVK2" s="68"/>
      <c r="MVL2" s="68"/>
      <c r="MVM2" s="68"/>
      <c r="MVN2" s="68"/>
      <c r="MVO2" s="68"/>
      <c r="MVP2" s="68"/>
      <c r="MVQ2" s="68"/>
      <c r="MVR2" s="68"/>
      <c r="MVS2" s="68"/>
      <c r="MVT2" s="68"/>
      <c r="MVU2" s="68"/>
      <c r="MVV2" s="68"/>
      <c r="MVW2" s="68"/>
      <c r="MVX2" s="68"/>
      <c r="MVY2" s="68"/>
      <c r="MVZ2" s="68"/>
      <c r="MWA2" s="68"/>
      <c r="MWB2" s="68"/>
      <c r="MWC2" s="68"/>
      <c r="MWD2" s="68"/>
      <c r="MWE2" s="68"/>
      <c r="MWF2" s="68"/>
      <c r="MWG2" s="68"/>
      <c r="MWH2" s="68"/>
      <c r="MWI2" s="68"/>
      <c r="MWJ2" s="68"/>
      <c r="MWK2" s="68"/>
      <c r="MWL2" s="68"/>
      <c r="MWM2" s="68"/>
      <c r="MWN2" s="68"/>
      <c r="MWO2" s="68"/>
      <c r="MWP2" s="68"/>
      <c r="MWQ2" s="68"/>
      <c r="MWR2" s="68"/>
      <c r="MWS2" s="68"/>
      <c r="MWT2" s="68"/>
      <c r="MWU2" s="68"/>
      <c r="MWV2" s="68"/>
      <c r="MWW2" s="68"/>
      <c r="MWX2" s="68"/>
      <c r="MWY2" s="68"/>
      <c r="MWZ2" s="68"/>
      <c r="MXA2" s="68"/>
      <c r="MXB2" s="68"/>
      <c r="MXC2" s="68"/>
      <c r="MXD2" s="68"/>
      <c r="MXE2" s="68"/>
      <c r="MXF2" s="68"/>
      <c r="MXG2" s="68"/>
      <c r="MXH2" s="68"/>
      <c r="MXI2" s="68"/>
      <c r="MXJ2" s="68"/>
      <c r="MXK2" s="68"/>
      <c r="MXL2" s="68"/>
      <c r="MXM2" s="68"/>
      <c r="MXN2" s="68"/>
      <c r="MXO2" s="68"/>
      <c r="MXP2" s="68"/>
      <c r="MXQ2" s="68"/>
      <c r="MXR2" s="68"/>
      <c r="MXS2" s="68"/>
      <c r="MXT2" s="68"/>
      <c r="MXU2" s="68"/>
      <c r="MXV2" s="68"/>
      <c r="MXW2" s="68"/>
      <c r="MXX2" s="68"/>
      <c r="MXY2" s="68"/>
      <c r="MXZ2" s="68"/>
      <c r="MYA2" s="68"/>
      <c r="MYB2" s="68"/>
      <c r="MYC2" s="68"/>
      <c r="MYD2" s="68"/>
      <c r="MYE2" s="68"/>
      <c r="MYF2" s="68"/>
      <c r="MYG2" s="68"/>
      <c r="MYH2" s="68"/>
      <c r="MYI2" s="68"/>
      <c r="MYJ2" s="68"/>
      <c r="MYK2" s="68"/>
      <c r="MYL2" s="68"/>
      <c r="MYM2" s="68"/>
      <c r="MYN2" s="68"/>
      <c r="MYO2" s="68"/>
      <c r="MYP2" s="68"/>
      <c r="MYQ2" s="68"/>
      <c r="MYR2" s="68"/>
      <c r="MYS2" s="68"/>
      <c r="MYT2" s="68"/>
      <c r="MYU2" s="68"/>
      <c r="MYV2" s="68"/>
      <c r="MYW2" s="68"/>
      <c r="MYX2" s="68"/>
      <c r="MYY2" s="68"/>
      <c r="MYZ2" s="68"/>
      <c r="MZA2" s="68"/>
      <c r="MZB2" s="68"/>
      <c r="MZC2" s="68"/>
      <c r="MZD2" s="68"/>
      <c r="MZE2" s="68"/>
      <c r="MZF2" s="68"/>
      <c r="MZG2" s="68"/>
      <c r="MZH2" s="68"/>
      <c r="MZI2" s="68"/>
      <c r="MZJ2" s="68"/>
      <c r="MZK2" s="68"/>
      <c r="MZL2" s="68"/>
      <c r="MZM2" s="68"/>
      <c r="MZN2" s="68"/>
      <c r="MZO2" s="68"/>
      <c r="MZP2" s="68"/>
      <c r="MZQ2" s="68"/>
      <c r="MZR2" s="68"/>
      <c r="MZS2" s="68"/>
      <c r="MZT2" s="68"/>
      <c r="MZU2" s="68"/>
      <c r="MZV2" s="68"/>
      <c r="MZW2" s="68"/>
      <c r="MZX2" s="68"/>
      <c r="MZY2" s="68"/>
      <c r="MZZ2" s="68"/>
      <c r="NAA2" s="68"/>
      <c r="NAB2" s="68"/>
      <c r="NAC2" s="68"/>
      <c r="NAD2" s="68"/>
      <c r="NAE2" s="68"/>
      <c r="NAF2" s="68"/>
      <c r="NAG2" s="68"/>
      <c r="NAH2" s="68"/>
      <c r="NAI2" s="68"/>
      <c r="NAJ2" s="68"/>
      <c r="NAK2" s="68"/>
      <c r="NAL2" s="68"/>
      <c r="NAM2" s="68"/>
      <c r="NAN2" s="68"/>
      <c r="NAO2" s="68"/>
      <c r="NAP2" s="68"/>
      <c r="NAQ2" s="68"/>
      <c r="NAR2" s="68"/>
      <c r="NAS2" s="68"/>
      <c r="NAT2" s="68"/>
      <c r="NAU2" s="68"/>
      <c r="NAV2" s="68"/>
      <c r="NAW2" s="68"/>
      <c r="NAX2" s="68"/>
      <c r="NAY2" s="68"/>
      <c r="NAZ2" s="68"/>
      <c r="NBA2" s="68"/>
      <c r="NBB2" s="68"/>
      <c r="NBC2" s="68"/>
      <c r="NBD2" s="68"/>
      <c r="NBE2" s="68"/>
      <c r="NBF2" s="68"/>
      <c r="NBG2" s="68"/>
      <c r="NBH2" s="68"/>
      <c r="NBI2" s="68"/>
      <c r="NBJ2" s="68"/>
      <c r="NBK2" s="68"/>
      <c r="NBL2" s="68"/>
      <c r="NBM2" s="68"/>
      <c r="NBN2" s="68"/>
      <c r="NBO2" s="68"/>
      <c r="NBP2" s="68"/>
      <c r="NBQ2" s="68"/>
      <c r="NBR2" s="68"/>
      <c r="NBS2" s="68"/>
      <c r="NBT2" s="68"/>
      <c r="NBU2" s="68"/>
      <c r="NBV2" s="68"/>
      <c r="NBW2" s="68"/>
      <c r="NBX2" s="68"/>
      <c r="NBY2" s="68"/>
      <c r="NBZ2" s="68"/>
      <c r="NCA2" s="68"/>
      <c r="NCB2" s="68"/>
      <c r="NCC2" s="68"/>
      <c r="NCD2" s="68"/>
      <c r="NCE2" s="68"/>
      <c r="NCF2" s="68"/>
      <c r="NCG2" s="68"/>
      <c r="NCH2" s="68"/>
      <c r="NCI2" s="68"/>
      <c r="NCJ2" s="68"/>
      <c r="NCK2" s="68"/>
      <c r="NCL2" s="68"/>
      <c r="NCM2" s="68"/>
      <c r="NCN2" s="68"/>
      <c r="NCO2" s="68"/>
      <c r="NCP2" s="68"/>
      <c r="NCQ2" s="68"/>
      <c r="NCR2" s="68"/>
      <c r="NCS2" s="68"/>
      <c r="NCT2" s="68"/>
      <c r="NCU2" s="68"/>
      <c r="NCV2" s="68"/>
      <c r="NCW2" s="68"/>
      <c r="NCX2" s="68"/>
      <c r="NCY2" s="68"/>
      <c r="NCZ2" s="68"/>
      <c r="NDA2" s="68"/>
      <c r="NDB2" s="68"/>
      <c r="NDC2" s="68"/>
      <c r="NDD2" s="68"/>
      <c r="NDE2" s="68"/>
      <c r="NDF2" s="68"/>
      <c r="NDG2" s="68"/>
      <c r="NDH2" s="68"/>
      <c r="NDI2" s="68"/>
      <c r="NDJ2" s="68"/>
      <c r="NDK2" s="68"/>
      <c r="NDL2" s="68"/>
      <c r="NDM2" s="68"/>
      <c r="NDN2" s="68"/>
      <c r="NDO2" s="68"/>
      <c r="NDP2" s="68"/>
      <c r="NDQ2" s="68"/>
      <c r="NDR2" s="68"/>
      <c r="NDS2" s="68"/>
      <c r="NDT2" s="68"/>
      <c r="NDU2" s="68"/>
      <c r="NDV2" s="68"/>
      <c r="NDW2" s="68"/>
      <c r="NDX2" s="68"/>
      <c r="NDY2" s="68"/>
      <c r="NDZ2" s="68"/>
      <c r="NEA2" s="68"/>
      <c r="NEB2" s="68"/>
      <c r="NEC2" s="68"/>
      <c r="NED2" s="68"/>
      <c r="NEE2" s="68"/>
      <c r="NEF2" s="68"/>
      <c r="NEG2" s="68"/>
      <c r="NEH2" s="68"/>
      <c r="NEI2" s="68"/>
      <c r="NEJ2" s="68"/>
      <c r="NEK2" s="68"/>
      <c r="NEL2" s="68"/>
      <c r="NEM2" s="68"/>
      <c r="NEN2" s="68"/>
      <c r="NEO2" s="68"/>
      <c r="NEP2" s="68"/>
      <c r="NEQ2" s="68"/>
      <c r="NER2" s="68"/>
      <c r="NES2" s="68"/>
      <c r="NET2" s="68"/>
      <c r="NEU2" s="68"/>
      <c r="NEV2" s="68"/>
      <c r="NEW2" s="68"/>
      <c r="NEX2" s="68"/>
      <c r="NEY2" s="68"/>
      <c r="NEZ2" s="68"/>
      <c r="NFA2" s="68"/>
      <c r="NFB2" s="68"/>
      <c r="NFC2" s="68"/>
      <c r="NFD2" s="68"/>
      <c r="NFE2" s="68"/>
      <c r="NFF2" s="68"/>
      <c r="NFG2" s="68"/>
      <c r="NFH2" s="68"/>
      <c r="NFI2" s="68"/>
      <c r="NFJ2" s="68"/>
      <c r="NFK2" s="68"/>
      <c r="NFL2" s="68"/>
      <c r="NFM2" s="68"/>
      <c r="NFN2" s="68"/>
      <c r="NFO2" s="68"/>
      <c r="NFP2" s="68"/>
      <c r="NFQ2" s="68"/>
      <c r="NFR2" s="68"/>
      <c r="NFS2" s="68"/>
      <c r="NFT2" s="68"/>
      <c r="NFU2" s="68"/>
      <c r="NFV2" s="68"/>
      <c r="NFW2" s="68"/>
      <c r="NFX2" s="68"/>
      <c r="NFY2" s="68"/>
      <c r="NFZ2" s="68"/>
      <c r="NGA2" s="68"/>
      <c r="NGB2" s="68"/>
      <c r="NGC2" s="68"/>
      <c r="NGD2" s="68"/>
      <c r="NGE2" s="68"/>
      <c r="NGF2" s="68"/>
      <c r="NGG2" s="68"/>
      <c r="NGH2" s="68"/>
      <c r="NGI2" s="68"/>
      <c r="NGJ2" s="68"/>
      <c r="NGK2" s="68"/>
      <c r="NGL2" s="68"/>
      <c r="NGM2" s="68"/>
      <c r="NGN2" s="68"/>
      <c r="NGO2" s="68"/>
      <c r="NGP2" s="68"/>
      <c r="NGQ2" s="68"/>
      <c r="NGR2" s="68"/>
      <c r="NGS2" s="68"/>
      <c r="NGT2" s="68"/>
      <c r="NGU2" s="68"/>
      <c r="NGV2" s="68"/>
      <c r="NGW2" s="68"/>
      <c r="NGX2" s="68"/>
      <c r="NGY2" s="68"/>
      <c r="NGZ2" s="68"/>
      <c r="NHA2" s="68"/>
      <c r="NHB2" s="68"/>
      <c r="NHC2" s="68"/>
      <c r="NHD2" s="68"/>
      <c r="NHE2" s="68"/>
      <c r="NHF2" s="68"/>
      <c r="NHG2" s="68"/>
      <c r="NHH2" s="68"/>
      <c r="NHI2" s="68"/>
      <c r="NHJ2" s="68"/>
      <c r="NHK2" s="68"/>
      <c r="NHL2" s="68"/>
      <c r="NHM2" s="68"/>
      <c r="NHN2" s="68"/>
      <c r="NHO2" s="68"/>
      <c r="NHP2" s="68"/>
      <c r="NHQ2" s="68"/>
      <c r="NHR2" s="68"/>
      <c r="NHS2" s="68"/>
      <c r="NHT2" s="68"/>
      <c r="NHU2" s="68"/>
      <c r="NHV2" s="68"/>
      <c r="NHW2" s="68"/>
      <c r="NHX2" s="68"/>
      <c r="NHY2" s="68"/>
      <c r="NHZ2" s="68"/>
      <c r="NIA2" s="68"/>
      <c r="NIB2" s="68"/>
      <c r="NIC2" s="68"/>
      <c r="NID2" s="68"/>
      <c r="NIE2" s="68"/>
      <c r="NIF2" s="68"/>
      <c r="NIG2" s="68"/>
      <c r="NIH2" s="68"/>
      <c r="NII2" s="68"/>
      <c r="NIJ2" s="68"/>
      <c r="NIK2" s="68"/>
      <c r="NIL2" s="68"/>
      <c r="NIM2" s="68"/>
      <c r="NIN2" s="68"/>
      <c r="NIO2" s="68"/>
      <c r="NIP2" s="68"/>
      <c r="NIQ2" s="68"/>
      <c r="NIR2" s="68"/>
      <c r="NIS2" s="68"/>
      <c r="NIT2" s="68"/>
      <c r="NIU2" s="68"/>
      <c r="NIV2" s="68"/>
      <c r="NIW2" s="68"/>
      <c r="NIX2" s="68"/>
      <c r="NIY2" s="68"/>
      <c r="NIZ2" s="68"/>
      <c r="NJA2" s="68"/>
      <c r="NJB2" s="68"/>
      <c r="NJC2" s="68"/>
      <c r="NJD2" s="68"/>
      <c r="NJE2" s="68"/>
      <c r="NJF2" s="68"/>
      <c r="NJG2" s="68"/>
      <c r="NJH2" s="68"/>
      <c r="NJI2" s="68"/>
      <c r="NJJ2" s="68"/>
      <c r="NJK2" s="68"/>
      <c r="NJL2" s="68"/>
      <c r="NJM2" s="68"/>
      <c r="NJN2" s="68"/>
      <c r="NJO2" s="68"/>
      <c r="NJP2" s="68"/>
      <c r="NJQ2" s="68"/>
      <c r="NJR2" s="68"/>
      <c r="NJS2" s="68"/>
      <c r="NJT2" s="68"/>
      <c r="NJU2" s="68"/>
      <c r="NJV2" s="68"/>
      <c r="NJW2" s="68"/>
      <c r="NJX2" s="68"/>
      <c r="NJY2" s="68"/>
      <c r="NJZ2" s="68"/>
      <c r="NKA2" s="68"/>
      <c r="NKB2" s="68"/>
      <c r="NKC2" s="68"/>
      <c r="NKD2" s="68"/>
      <c r="NKE2" s="68"/>
      <c r="NKF2" s="68"/>
      <c r="NKG2" s="68"/>
      <c r="NKH2" s="68"/>
      <c r="NKI2" s="68"/>
      <c r="NKJ2" s="68"/>
      <c r="NKK2" s="68"/>
      <c r="NKL2" s="68"/>
      <c r="NKM2" s="68"/>
      <c r="NKN2" s="68"/>
      <c r="NKO2" s="68"/>
      <c r="NKP2" s="68"/>
      <c r="NKQ2" s="68"/>
      <c r="NKR2" s="68"/>
      <c r="NKS2" s="68"/>
      <c r="NKT2" s="68"/>
      <c r="NKU2" s="68"/>
      <c r="NKV2" s="68"/>
      <c r="NKW2" s="68"/>
      <c r="NKX2" s="68"/>
      <c r="NKY2" s="68"/>
      <c r="NKZ2" s="68"/>
      <c r="NLA2" s="68"/>
      <c r="NLB2" s="68"/>
      <c r="NLC2" s="68"/>
      <c r="NLD2" s="68"/>
      <c r="NLE2" s="68"/>
      <c r="NLF2" s="68"/>
      <c r="NLG2" s="68"/>
      <c r="NLH2" s="68"/>
      <c r="NLI2" s="68"/>
      <c r="NLJ2" s="68"/>
      <c r="NLK2" s="68"/>
      <c r="NLL2" s="68"/>
      <c r="NLM2" s="68"/>
      <c r="NLN2" s="68"/>
      <c r="NLO2" s="68"/>
      <c r="NLP2" s="68"/>
      <c r="NLQ2" s="68"/>
      <c r="NLR2" s="68"/>
      <c r="NLS2" s="68"/>
      <c r="NLT2" s="68"/>
      <c r="NLU2" s="68"/>
      <c r="NLV2" s="68"/>
      <c r="NLW2" s="68"/>
      <c r="NLX2" s="68"/>
      <c r="NLY2" s="68"/>
      <c r="NLZ2" s="68"/>
      <c r="NMA2" s="68"/>
      <c r="NMB2" s="68"/>
      <c r="NMC2" s="68"/>
      <c r="NMD2" s="68"/>
      <c r="NME2" s="68"/>
      <c r="NMF2" s="68"/>
      <c r="NMG2" s="68"/>
      <c r="NMH2" s="68"/>
      <c r="NMI2" s="68"/>
      <c r="NMJ2" s="68"/>
      <c r="NMK2" s="68"/>
      <c r="NML2" s="68"/>
      <c r="NMM2" s="68"/>
      <c r="NMN2" s="68"/>
      <c r="NMO2" s="68"/>
      <c r="NMP2" s="68"/>
      <c r="NMQ2" s="68"/>
      <c r="NMR2" s="68"/>
      <c r="NMS2" s="68"/>
      <c r="NMT2" s="68"/>
      <c r="NMU2" s="68"/>
      <c r="NMV2" s="68"/>
      <c r="NMW2" s="68"/>
      <c r="NMX2" s="68"/>
      <c r="NMY2" s="68"/>
      <c r="NMZ2" s="68"/>
      <c r="NNA2" s="68"/>
      <c r="NNB2" s="68"/>
      <c r="NNC2" s="68"/>
      <c r="NND2" s="68"/>
      <c r="NNE2" s="68"/>
      <c r="NNF2" s="68"/>
      <c r="NNG2" s="68"/>
      <c r="NNH2" s="68"/>
      <c r="NNI2" s="68"/>
      <c r="NNJ2" s="68"/>
      <c r="NNK2" s="68"/>
      <c r="NNL2" s="68"/>
      <c r="NNM2" s="68"/>
      <c r="NNN2" s="68"/>
      <c r="NNO2" s="68"/>
      <c r="NNP2" s="68"/>
      <c r="NNQ2" s="68"/>
      <c r="NNR2" s="68"/>
      <c r="NNS2" s="68"/>
      <c r="NNT2" s="68"/>
      <c r="NNU2" s="68"/>
      <c r="NNV2" s="68"/>
      <c r="NNW2" s="68"/>
      <c r="NNX2" s="68"/>
      <c r="NNY2" s="68"/>
      <c r="NNZ2" s="68"/>
      <c r="NOA2" s="68"/>
      <c r="NOB2" s="68"/>
      <c r="NOC2" s="68"/>
      <c r="NOD2" s="68"/>
      <c r="NOE2" s="68"/>
      <c r="NOF2" s="68"/>
      <c r="NOG2" s="68"/>
      <c r="NOH2" s="68"/>
      <c r="NOI2" s="68"/>
      <c r="NOJ2" s="68"/>
      <c r="NOK2" s="68"/>
      <c r="NOL2" s="68"/>
      <c r="NOM2" s="68"/>
      <c r="NON2" s="68"/>
      <c r="NOO2" s="68"/>
      <c r="NOP2" s="68"/>
      <c r="NOQ2" s="68"/>
      <c r="NOR2" s="68"/>
      <c r="NOS2" s="68"/>
      <c r="NOT2" s="68"/>
      <c r="NOU2" s="68"/>
      <c r="NOV2" s="68"/>
      <c r="NOW2" s="68"/>
      <c r="NOX2" s="68"/>
      <c r="NOY2" s="68"/>
      <c r="NOZ2" s="68"/>
      <c r="NPA2" s="68"/>
      <c r="NPB2" s="68"/>
      <c r="NPC2" s="68"/>
      <c r="NPD2" s="68"/>
      <c r="NPE2" s="68"/>
      <c r="NPF2" s="68"/>
      <c r="NPG2" s="68"/>
      <c r="NPH2" s="68"/>
      <c r="NPI2" s="68"/>
      <c r="NPJ2" s="68"/>
      <c r="NPK2" s="68"/>
      <c r="NPL2" s="68"/>
      <c r="NPM2" s="68"/>
      <c r="NPN2" s="68"/>
      <c r="NPO2" s="68"/>
      <c r="NPP2" s="68"/>
      <c r="NPQ2" s="68"/>
      <c r="NPR2" s="68"/>
      <c r="NPS2" s="68"/>
      <c r="NPT2" s="68"/>
      <c r="NPU2" s="68"/>
      <c r="NPV2" s="68"/>
      <c r="NPW2" s="68"/>
      <c r="NPX2" s="68"/>
      <c r="NPY2" s="68"/>
      <c r="NPZ2" s="68"/>
      <c r="NQA2" s="68"/>
      <c r="NQB2" s="68"/>
      <c r="NQC2" s="68"/>
      <c r="NQD2" s="68"/>
      <c r="NQE2" s="68"/>
      <c r="NQF2" s="68"/>
      <c r="NQG2" s="68"/>
      <c r="NQH2" s="68"/>
      <c r="NQI2" s="68"/>
      <c r="NQJ2" s="68"/>
      <c r="NQK2" s="68"/>
      <c r="NQL2" s="68"/>
      <c r="NQM2" s="68"/>
      <c r="NQN2" s="68"/>
      <c r="NQO2" s="68"/>
      <c r="NQP2" s="68"/>
      <c r="NQQ2" s="68"/>
      <c r="NQR2" s="68"/>
      <c r="NQS2" s="68"/>
      <c r="NQT2" s="68"/>
      <c r="NQU2" s="68"/>
      <c r="NQV2" s="68"/>
      <c r="NQW2" s="68"/>
      <c r="NQX2" s="68"/>
      <c r="NQY2" s="68"/>
      <c r="NQZ2" s="68"/>
      <c r="NRA2" s="68"/>
      <c r="NRB2" s="68"/>
      <c r="NRC2" s="68"/>
      <c r="NRD2" s="68"/>
      <c r="NRE2" s="68"/>
      <c r="NRF2" s="68"/>
      <c r="NRG2" s="68"/>
      <c r="NRH2" s="68"/>
      <c r="NRI2" s="68"/>
      <c r="NRJ2" s="68"/>
      <c r="NRK2" s="68"/>
      <c r="NRL2" s="68"/>
      <c r="NRM2" s="68"/>
      <c r="NRN2" s="68"/>
      <c r="NRO2" s="68"/>
      <c r="NRP2" s="68"/>
      <c r="NRQ2" s="68"/>
      <c r="NRR2" s="68"/>
      <c r="NRS2" s="68"/>
      <c r="NRT2" s="68"/>
      <c r="NRU2" s="68"/>
      <c r="NRV2" s="68"/>
      <c r="NRW2" s="68"/>
      <c r="NRX2" s="68"/>
      <c r="NRY2" s="68"/>
      <c r="NRZ2" s="68"/>
      <c r="NSA2" s="68"/>
      <c r="NSB2" s="68"/>
      <c r="NSC2" s="68"/>
      <c r="NSD2" s="68"/>
      <c r="NSE2" s="68"/>
      <c r="NSF2" s="68"/>
      <c r="NSG2" s="68"/>
      <c r="NSH2" s="68"/>
      <c r="NSI2" s="68"/>
      <c r="NSJ2" s="68"/>
      <c r="NSK2" s="68"/>
      <c r="NSL2" s="68"/>
      <c r="NSM2" s="68"/>
      <c r="NSN2" s="68"/>
      <c r="NSO2" s="68"/>
      <c r="NSP2" s="68"/>
      <c r="NSQ2" s="68"/>
      <c r="NSR2" s="68"/>
      <c r="NSS2" s="68"/>
      <c r="NST2" s="68"/>
      <c r="NSU2" s="68"/>
      <c r="NSV2" s="68"/>
      <c r="NSW2" s="68"/>
      <c r="NSX2" s="68"/>
      <c r="NSY2" s="68"/>
      <c r="NSZ2" s="68"/>
      <c r="NTA2" s="68"/>
      <c r="NTB2" s="68"/>
      <c r="NTC2" s="68"/>
      <c r="NTD2" s="68"/>
      <c r="NTE2" s="68"/>
      <c r="NTF2" s="68"/>
      <c r="NTG2" s="68"/>
      <c r="NTH2" s="68"/>
      <c r="NTI2" s="68"/>
      <c r="NTJ2" s="68"/>
      <c r="NTK2" s="68"/>
      <c r="NTL2" s="68"/>
      <c r="NTM2" s="68"/>
      <c r="NTN2" s="68"/>
      <c r="NTO2" s="68"/>
      <c r="NTP2" s="68"/>
      <c r="NTQ2" s="68"/>
      <c r="NTR2" s="68"/>
      <c r="NTS2" s="68"/>
      <c r="NTT2" s="68"/>
      <c r="NTU2" s="68"/>
      <c r="NTV2" s="68"/>
      <c r="NTW2" s="68"/>
      <c r="NTX2" s="68"/>
      <c r="NTY2" s="68"/>
      <c r="NTZ2" s="68"/>
      <c r="NUA2" s="68"/>
      <c r="NUB2" s="68"/>
      <c r="NUC2" s="68"/>
      <c r="NUD2" s="68"/>
      <c r="NUE2" s="68"/>
      <c r="NUF2" s="68"/>
      <c r="NUG2" s="68"/>
      <c r="NUH2" s="68"/>
      <c r="NUI2" s="68"/>
      <c r="NUJ2" s="68"/>
      <c r="NUK2" s="68"/>
      <c r="NUL2" s="68"/>
      <c r="NUM2" s="68"/>
      <c r="NUN2" s="68"/>
      <c r="NUO2" s="68"/>
      <c r="NUP2" s="68"/>
      <c r="NUQ2" s="68"/>
      <c r="NUR2" s="68"/>
      <c r="NUS2" s="68"/>
      <c r="NUT2" s="68"/>
      <c r="NUU2" s="68"/>
      <c r="NUV2" s="68"/>
      <c r="NUW2" s="68"/>
      <c r="NUX2" s="68"/>
      <c r="NUY2" s="68"/>
      <c r="NUZ2" s="68"/>
      <c r="NVA2" s="68"/>
      <c r="NVB2" s="68"/>
      <c r="NVC2" s="68"/>
      <c r="NVD2" s="68"/>
      <c r="NVE2" s="68"/>
      <c r="NVF2" s="68"/>
      <c r="NVG2" s="68"/>
      <c r="NVH2" s="68"/>
      <c r="NVI2" s="68"/>
      <c r="NVJ2" s="68"/>
      <c r="NVK2" s="68"/>
      <c r="NVL2" s="68"/>
      <c r="NVM2" s="68"/>
      <c r="NVN2" s="68"/>
      <c r="NVO2" s="68"/>
      <c r="NVP2" s="68"/>
      <c r="NVQ2" s="68"/>
      <c r="NVR2" s="68"/>
      <c r="NVS2" s="68"/>
      <c r="NVT2" s="68"/>
      <c r="NVU2" s="68"/>
      <c r="NVV2" s="68"/>
      <c r="NVW2" s="68"/>
      <c r="NVX2" s="68"/>
      <c r="NVY2" s="68"/>
      <c r="NVZ2" s="68"/>
      <c r="NWA2" s="68"/>
      <c r="NWB2" s="68"/>
      <c r="NWC2" s="68"/>
      <c r="NWD2" s="68"/>
      <c r="NWE2" s="68"/>
      <c r="NWF2" s="68"/>
      <c r="NWG2" s="68"/>
      <c r="NWH2" s="68"/>
      <c r="NWI2" s="68"/>
      <c r="NWJ2" s="68"/>
      <c r="NWK2" s="68"/>
      <c r="NWL2" s="68"/>
      <c r="NWM2" s="68"/>
      <c r="NWN2" s="68"/>
      <c r="NWO2" s="68"/>
      <c r="NWP2" s="68"/>
      <c r="NWQ2" s="68"/>
      <c r="NWR2" s="68"/>
      <c r="NWS2" s="68"/>
      <c r="NWT2" s="68"/>
      <c r="NWU2" s="68"/>
      <c r="NWV2" s="68"/>
      <c r="NWW2" s="68"/>
      <c r="NWX2" s="68"/>
      <c r="NWY2" s="68"/>
      <c r="NWZ2" s="68"/>
      <c r="NXA2" s="68"/>
      <c r="NXB2" s="68"/>
      <c r="NXC2" s="68"/>
      <c r="NXD2" s="68"/>
      <c r="NXE2" s="68"/>
      <c r="NXF2" s="68"/>
      <c r="NXG2" s="68"/>
      <c r="NXH2" s="68"/>
      <c r="NXI2" s="68"/>
      <c r="NXJ2" s="68"/>
      <c r="NXK2" s="68"/>
      <c r="NXL2" s="68"/>
      <c r="NXM2" s="68"/>
      <c r="NXN2" s="68"/>
      <c r="NXO2" s="68"/>
      <c r="NXP2" s="68"/>
      <c r="NXQ2" s="68"/>
      <c r="NXR2" s="68"/>
      <c r="NXS2" s="68"/>
      <c r="NXT2" s="68"/>
      <c r="NXU2" s="68"/>
      <c r="NXV2" s="68"/>
      <c r="NXW2" s="68"/>
      <c r="NXX2" s="68"/>
      <c r="NXY2" s="68"/>
      <c r="NXZ2" s="68"/>
      <c r="NYA2" s="68"/>
      <c r="NYB2" s="68"/>
      <c r="NYC2" s="68"/>
      <c r="NYD2" s="68"/>
      <c r="NYE2" s="68"/>
      <c r="NYF2" s="68"/>
      <c r="NYG2" s="68"/>
      <c r="NYH2" s="68"/>
      <c r="NYI2" s="68"/>
      <c r="NYJ2" s="68"/>
      <c r="NYK2" s="68"/>
      <c r="NYL2" s="68"/>
      <c r="NYM2" s="68"/>
      <c r="NYN2" s="68"/>
      <c r="NYO2" s="68"/>
      <c r="NYP2" s="68"/>
      <c r="NYQ2" s="68"/>
      <c r="NYR2" s="68"/>
      <c r="NYS2" s="68"/>
      <c r="NYT2" s="68"/>
      <c r="NYU2" s="68"/>
      <c r="NYV2" s="68"/>
      <c r="NYW2" s="68"/>
      <c r="NYX2" s="68"/>
      <c r="NYY2" s="68"/>
      <c r="NYZ2" s="68"/>
      <c r="NZA2" s="68"/>
      <c r="NZB2" s="68"/>
      <c r="NZC2" s="68"/>
      <c r="NZD2" s="68"/>
      <c r="NZE2" s="68"/>
      <c r="NZF2" s="68"/>
      <c r="NZG2" s="68"/>
      <c r="NZH2" s="68"/>
      <c r="NZI2" s="68"/>
      <c r="NZJ2" s="68"/>
      <c r="NZK2" s="68"/>
      <c r="NZL2" s="68"/>
      <c r="NZM2" s="68"/>
      <c r="NZN2" s="68"/>
      <c r="NZO2" s="68"/>
      <c r="NZP2" s="68"/>
      <c r="NZQ2" s="68"/>
      <c r="NZR2" s="68"/>
      <c r="NZS2" s="68"/>
      <c r="NZT2" s="68"/>
      <c r="NZU2" s="68"/>
      <c r="NZV2" s="68"/>
      <c r="NZW2" s="68"/>
      <c r="NZX2" s="68"/>
      <c r="NZY2" s="68"/>
      <c r="NZZ2" s="68"/>
      <c r="OAA2" s="68"/>
      <c r="OAB2" s="68"/>
      <c r="OAC2" s="68"/>
      <c r="OAD2" s="68"/>
      <c r="OAE2" s="68"/>
      <c r="OAF2" s="68"/>
      <c r="OAG2" s="68"/>
      <c r="OAH2" s="68"/>
      <c r="OAI2" s="68"/>
      <c r="OAJ2" s="68"/>
      <c r="OAK2" s="68"/>
      <c r="OAL2" s="68"/>
      <c r="OAM2" s="68"/>
      <c r="OAN2" s="68"/>
      <c r="OAO2" s="68"/>
      <c r="OAP2" s="68"/>
      <c r="OAQ2" s="68"/>
      <c r="OAR2" s="68"/>
      <c r="OAS2" s="68"/>
      <c r="OAT2" s="68"/>
      <c r="OAU2" s="68"/>
      <c r="OAV2" s="68"/>
      <c r="OAW2" s="68"/>
      <c r="OAX2" s="68"/>
      <c r="OAY2" s="68"/>
      <c r="OAZ2" s="68"/>
      <c r="OBA2" s="68"/>
      <c r="OBB2" s="68"/>
      <c r="OBC2" s="68"/>
      <c r="OBD2" s="68"/>
      <c r="OBE2" s="68"/>
      <c r="OBF2" s="68"/>
      <c r="OBG2" s="68"/>
      <c r="OBH2" s="68"/>
      <c r="OBI2" s="68"/>
      <c r="OBJ2" s="68"/>
      <c r="OBK2" s="68"/>
      <c r="OBL2" s="68"/>
      <c r="OBM2" s="68"/>
      <c r="OBN2" s="68"/>
      <c r="OBO2" s="68"/>
      <c r="OBP2" s="68"/>
      <c r="OBQ2" s="68"/>
      <c r="OBR2" s="68"/>
      <c r="OBS2" s="68"/>
      <c r="OBT2" s="68"/>
      <c r="OBU2" s="68"/>
      <c r="OBV2" s="68"/>
      <c r="OBW2" s="68"/>
      <c r="OBX2" s="68"/>
      <c r="OBY2" s="68"/>
      <c r="OBZ2" s="68"/>
      <c r="OCA2" s="68"/>
      <c r="OCB2" s="68"/>
      <c r="OCC2" s="68"/>
      <c r="OCD2" s="68"/>
      <c r="OCE2" s="68"/>
      <c r="OCF2" s="68"/>
      <c r="OCG2" s="68"/>
      <c r="OCH2" s="68"/>
      <c r="OCI2" s="68"/>
      <c r="OCJ2" s="68"/>
      <c r="OCK2" s="68"/>
      <c r="OCL2" s="68"/>
      <c r="OCM2" s="68"/>
      <c r="OCN2" s="68"/>
      <c r="OCO2" s="68"/>
      <c r="OCP2" s="68"/>
      <c r="OCQ2" s="68"/>
      <c r="OCR2" s="68"/>
      <c r="OCS2" s="68"/>
      <c r="OCT2" s="68"/>
      <c r="OCU2" s="68"/>
      <c r="OCV2" s="68"/>
      <c r="OCW2" s="68"/>
      <c r="OCX2" s="68"/>
      <c r="OCY2" s="68"/>
      <c r="OCZ2" s="68"/>
      <c r="ODA2" s="68"/>
      <c r="ODB2" s="68"/>
      <c r="ODC2" s="68"/>
      <c r="ODD2" s="68"/>
      <c r="ODE2" s="68"/>
      <c r="ODF2" s="68"/>
      <c r="ODG2" s="68"/>
      <c r="ODH2" s="68"/>
      <c r="ODI2" s="68"/>
      <c r="ODJ2" s="68"/>
      <c r="ODK2" s="68"/>
      <c r="ODL2" s="68"/>
      <c r="ODM2" s="68"/>
      <c r="ODN2" s="68"/>
      <c r="ODO2" s="68"/>
      <c r="ODP2" s="68"/>
      <c r="ODQ2" s="68"/>
      <c r="ODR2" s="68"/>
      <c r="ODS2" s="68"/>
      <c r="ODT2" s="68"/>
      <c r="ODU2" s="68"/>
      <c r="ODV2" s="68"/>
      <c r="ODW2" s="68"/>
      <c r="ODX2" s="68"/>
      <c r="ODY2" s="68"/>
      <c r="ODZ2" s="68"/>
      <c r="OEA2" s="68"/>
      <c r="OEB2" s="68"/>
      <c r="OEC2" s="68"/>
      <c r="OED2" s="68"/>
      <c r="OEE2" s="68"/>
      <c r="OEF2" s="68"/>
      <c r="OEG2" s="68"/>
      <c r="OEH2" s="68"/>
      <c r="OEI2" s="68"/>
      <c r="OEJ2" s="68"/>
      <c r="OEK2" s="68"/>
      <c r="OEL2" s="68"/>
      <c r="OEM2" s="68"/>
      <c r="OEN2" s="68"/>
      <c r="OEO2" s="68"/>
      <c r="OEP2" s="68"/>
      <c r="OEQ2" s="68"/>
      <c r="OER2" s="68"/>
      <c r="OES2" s="68"/>
      <c r="OET2" s="68"/>
      <c r="OEU2" s="68"/>
      <c r="OEV2" s="68"/>
      <c r="OEW2" s="68"/>
      <c r="OEX2" s="68"/>
      <c r="OEY2" s="68"/>
      <c r="OEZ2" s="68"/>
      <c r="OFA2" s="68"/>
      <c r="OFB2" s="68"/>
      <c r="OFC2" s="68"/>
      <c r="OFD2" s="68"/>
      <c r="OFE2" s="68"/>
      <c r="OFF2" s="68"/>
      <c r="OFG2" s="68"/>
      <c r="OFH2" s="68"/>
      <c r="OFI2" s="68"/>
      <c r="OFJ2" s="68"/>
      <c r="OFK2" s="68"/>
      <c r="OFL2" s="68"/>
      <c r="OFM2" s="68"/>
      <c r="OFN2" s="68"/>
      <c r="OFO2" s="68"/>
      <c r="OFP2" s="68"/>
      <c r="OFQ2" s="68"/>
      <c r="OFR2" s="68"/>
      <c r="OFS2" s="68"/>
      <c r="OFT2" s="68"/>
      <c r="OFU2" s="68"/>
      <c r="OFV2" s="68"/>
      <c r="OFW2" s="68"/>
      <c r="OFX2" s="68"/>
      <c r="OFY2" s="68"/>
      <c r="OFZ2" s="68"/>
      <c r="OGA2" s="68"/>
      <c r="OGB2" s="68"/>
      <c r="OGC2" s="68"/>
      <c r="OGD2" s="68"/>
      <c r="OGE2" s="68"/>
      <c r="OGF2" s="68"/>
      <c r="OGG2" s="68"/>
      <c r="OGH2" s="68"/>
      <c r="OGI2" s="68"/>
      <c r="OGJ2" s="68"/>
      <c r="OGK2" s="68"/>
      <c r="OGL2" s="68"/>
      <c r="OGM2" s="68"/>
      <c r="OGN2" s="68"/>
      <c r="OGO2" s="68"/>
      <c r="OGP2" s="68"/>
      <c r="OGQ2" s="68"/>
      <c r="OGR2" s="68"/>
      <c r="OGS2" s="68"/>
      <c r="OGT2" s="68"/>
      <c r="OGU2" s="68"/>
      <c r="OGV2" s="68"/>
      <c r="OGW2" s="68"/>
      <c r="OGX2" s="68"/>
      <c r="OGY2" s="68"/>
      <c r="OGZ2" s="68"/>
      <c r="OHA2" s="68"/>
      <c r="OHB2" s="68"/>
      <c r="OHC2" s="68"/>
      <c r="OHD2" s="68"/>
      <c r="OHE2" s="68"/>
      <c r="OHF2" s="68"/>
      <c r="OHG2" s="68"/>
      <c r="OHH2" s="68"/>
      <c r="OHI2" s="68"/>
      <c r="OHJ2" s="68"/>
      <c r="OHK2" s="68"/>
      <c r="OHL2" s="68"/>
      <c r="OHM2" s="68"/>
      <c r="OHN2" s="68"/>
      <c r="OHO2" s="68"/>
      <c r="OHP2" s="68"/>
      <c r="OHQ2" s="68"/>
      <c r="OHR2" s="68"/>
      <c r="OHS2" s="68"/>
      <c r="OHT2" s="68"/>
      <c r="OHU2" s="68"/>
      <c r="OHV2" s="68"/>
      <c r="OHW2" s="68"/>
      <c r="OHX2" s="68"/>
      <c r="OHY2" s="68"/>
      <c r="OHZ2" s="68"/>
      <c r="OIA2" s="68"/>
      <c r="OIB2" s="68"/>
      <c r="OIC2" s="68"/>
      <c r="OID2" s="68"/>
      <c r="OIE2" s="68"/>
      <c r="OIF2" s="68"/>
      <c r="OIG2" s="68"/>
      <c r="OIH2" s="68"/>
      <c r="OII2" s="68"/>
      <c r="OIJ2" s="68"/>
      <c r="OIK2" s="68"/>
      <c r="OIL2" s="68"/>
      <c r="OIM2" s="68"/>
      <c r="OIN2" s="68"/>
      <c r="OIO2" s="68"/>
      <c r="OIP2" s="68"/>
      <c r="OIQ2" s="68"/>
      <c r="OIR2" s="68"/>
      <c r="OIS2" s="68"/>
      <c r="OIT2" s="68"/>
      <c r="OIU2" s="68"/>
      <c r="OIV2" s="68"/>
      <c r="OIW2" s="68"/>
      <c r="OIX2" s="68"/>
      <c r="OIY2" s="68"/>
      <c r="OIZ2" s="68"/>
      <c r="OJA2" s="68"/>
      <c r="OJB2" s="68"/>
      <c r="OJC2" s="68"/>
      <c r="OJD2" s="68"/>
      <c r="OJE2" s="68"/>
      <c r="OJF2" s="68"/>
      <c r="OJG2" s="68"/>
      <c r="OJH2" s="68"/>
      <c r="OJI2" s="68"/>
      <c r="OJJ2" s="68"/>
      <c r="OJK2" s="68"/>
      <c r="OJL2" s="68"/>
      <c r="OJM2" s="68"/>
      <c r="OJN2" s="68"/>
      <c r="OJO2" s="68"/>
      <c r="OJP2" s="68"/>
      <c r="OJQ2" s="68"/>
      <c r="OJR2" s="68"/>
      <c r="OJS2" s="68"/>
      <c r="OJT2" s="68"/>
      <c r="OJU2" s="68"/>
      <c r="OJV2" s="68"/>
      <c r="OJW2" s="68"/>
      <c r="OJX2" s="68"/>
      <c r="OJY2" s="68"/>
      <c r="OJZ2" s="68"/>
      <c r="OKA2" s="68"/>
      <c r="OKB2" s="68"/>
      <c r="OKC2" s="68"/>
      <c r="OKD2" s="68"/>
      <c r="OKE2" s="68"/>
      <c r="OKF2" s="68"/>
      <c r="OKG2" s="68"/>
      <c r="OKH2" s="68"/>
      <c r="OKI2" s="68"/>
      <c r="OKJ2" s="68"/>
      <c r="OKK2" s="68"/>
      <c r="OKL2" s="68"/>
      <c r="OKM2" s="68"/>
      <c r="OKN2" s="68"/>
      <c r="OKO2" s="68"/>
      <c r="OKP2" s="68"/>
      <c r="OKQ2" s="68"/>
      <c r="OKR2" s="68"/>
      <c r="OKS2" s="68"/>
      <c r="OKT2" s="68"/>
      <c r="OKU2" s="68"/>
      <c r="OKV2" s="68"/>
      <c r="OKW2" s="68"/>
      <c r="OKX2" s="68"/>
      <c r="OKY2" s="68"/>
      <c r="OKZ2" s="68"/>
      <c r="OLA2" s="68"/>
      <c r="OLB2" s="68"/>
      <c r="OLC2" s="68"/>
      <c r="OLD2" s="68"/>
      <c r="OLE2" s="68"/>
      <c r="OLF2" s="68"/>
      <c r="OLG2" s="68"/>
      <c r="OLH2" s="68"/>
      <c r="OLI2" s="68"/>
      <c r="OLJ2" s="68"/>
      <c r="OLK2" s="68"/>
      <c r="OLL2" s="68"/>
      <c r="OLM2" s="68"/>
      <c r="OLN2" s="68"/>
      <c r="OLO2" s="68"/>
      <c r="OLP2" s="68"/>
      <c r="OLQ2" s="68"/>
      <c r="OLR2" s="68"/>
      <c r="OLS2" s="68"/>
      <c r="OLT2" s="68"/>
      <c r="OLU2" s="68"/>
      <c r="OLV2" s="68"/>
      <c r="OLW2" s="68"/>
      <c r="OLX2" s="68"/>
      <c r="OLY2" s="68"/>
      <c r="OLZ2" s="68"/>
      <c r="OMA2" s="68"/>
      <c r="OMB2" s="68"/>
      <c r="OMC2" s="68"/>
      <c r="OMD2" s="68"/>
      <c r="OME2" s="68"/>
      <c r="OMF2" s="68"/>
      <c r="OMG2" s="68"/>
      <c r="OMH2" s="68"/>
      <c r="OMI2" s="68"/>
      <c r="OMJ2" s="68"/>
      <c r="OMK2" s="68"/>
      <c r="OML2" s="68"/>
      <c r="OMM2" s="68"/>
      <c r="OMN2" s="68"/>
      <c r="OMO2" s="68"/>
      <c r="OMP2" s="68"/>
      <c r="OMQ2" s="68"/>
      <c r="OMR2" s="68"/>
      <c r="OMS2" s="68"/>
      <c r="OMT2" s="68"/>
      <c r="OMU2" s="68"/>
      <c r="OMV2" s="68"/>
      <c r="OMW2" s="68"/>
      <c r="OMX2" s="68"/>
      <c r="OMY2" s="68"/>
      <c r="OMZ2" s="68"/>
      <c r="ONA2" s="68"/>
      <c r="ONB2" s="68"/>
      <c r="ONC2" s="68"/>
      <c r="OND2" s="68"/>
      <c r="ONE2" s="68"/>
      <c r="ONF2" s="68"/>
      <c r="ONG2" s="68"/>
      <c r="ONH2" s="68"/>
      <c r="ONI2" s="68"/>
      <c r="ONJ2" s="68"/>
      <c r="ONK2" s="68"/>
      <c r="ONL2" s="68"/>
      <c r="ONM2" s="68"/>
      <c r="ONN2" s="68"/>
      <c r="ONO2" s="68"/>
      <c r="ONP2" s="68"/>
      <c r="ONQ2" s="68"/>
      <c r="ONR2" s="68"/>
      <c r="ONS2" s="68"/>
      <c r="ONT2" s="68"/>
      <c r="ONU2" s="68"/>
      <c r="ONV2" s="68"/>
      <c r="ONW2" s="68"/>
      <c r="ONX2" s="68"/>
      <c r="ONY2" s="68"/>
      <c r="ONZ2" s="68"/>
      <c r="OOA2" s="68"/>
      <c r="OOB2" s="68"/>
      <c r="OOC2" s="68"/>
      <c r="OOD2" s="68"/>
      <c r="OOE2" s="68"/>
      <c r="OOF2" s="68"/>
      <c r="OOG2" s="68"/>
      <c r="OOH2" s="68"/>
      <c r="OOI2" s="68"/>
      <c r="OOJ2" s="68"/>
      <c r="OOK2" s="68"/>
      <c r="OOL2" s="68"/>
      <c r="OOM2" s="68"/>
      <c r="OON2" s="68"/>
      <c r="OOO2" s="68"/>
      <c r="OOP2" s="68"/>
      <c r="OOQ2" s="68"/>
      <c r="OOR2" s="68"/>
      <c r="OOS2" s="68"/>
      <c r="OOT2" s="68"/>
      <c r="OOU2" s="68"/>
      <c r="OOV2" s="68"/>
      <c r="OOW2" s="68"/>
      <c r="OOX2" s="68"/>
      <c r="OOY2" s="68"/>
      <c r="OOZ2" s="68"/>
      <c r="OPA2" s="68"/>
      <c r="OPB2" s="68"/>
      <c r="OPC2" s="68"/>
      <c r="OPD2" s="68"/>
      <c r="OPE2" s="68"/>
      <c r="OPF2" s="68"/>
      <c r="OPG2" s="68"/>
      <c r="OPH2" s="68"/>
      <c r="OPI2" s="68"/>
      <c r="OPJ2" s="68"/>
      <c r="OPK2" s="68"/>
      <c r="OPL2" s="68"/>
      <c r="OPM2" s="68"/>
      <c r="OPN2" s="68"/>
      <c r="OPO2" s="68"/>
      <c r="OPP2" s="68"/>
      <c r="OPQ2" s="68"/>
      <c r="OPR2" s="68"/>
      <c r="OPS2" s="68"/>
      <c r="OPT2" s="68"/>
      <c r="OPU2" s="68"/>
      <c r="OPV2" s="68"/>
      <c r="OPW2" s="68"/>
      <c r="OPX2" s="68"/>
      <c r="OPY2" s="68"/>
      <c r="OPZ2" s="68"/>
      <c r="OQA2" s="68"/>
      <c r="OQB2" s="68"/>
      <c r="OQC2" s="68"/>
      <c r="OQD2" s="68"/>
      <c r="OQE2" s="68"/>
      <c r="OQF2" s="68"/>
      <c r="OQG2" s="68"/>
      <c r="OQH2" s="68"/>
      <c r="OQI2" s="68"/>
      <c r="OQJ2" s="68"/>
      <c r="OQK2" s="68"/>
      <c r="OQL2" s="68"/>
      <c r="OQM2" s="68"/>
      <c r="OQN2" s="68"/>
      <c r="OQO2" s="68"/>
      <c r="OQP2" s="68"/>
      <c r="OQQ2" s="68"/>
      <c r="OQR2" s="68"/>
      <c r="OQS2" s="68"/>
      <c r="OQT2" s="68"/>
      <c r="OQU2" s="68"/>
      <c r="OQV2" s="68"/>
      <c r="OQW2" s="68"/>
      <c r="OQX2" s="68"/>
      <c r="OQY2" s="68"/>
      <c r="OQZ2" s="68"/>
      <c r="ORA2" s="68"/>
      <c r="ORB2" s="68"/>
      <c r="ORC2" s="68"/>
      <c r="ORD2" s="68"/>
      <c r="ORE2" s="68"/>
      <c r="ORF2" s="68"/>
      <c r="ORG2" s="68"/>
      <c r="ORH2" s="68"/>
      <c r="ORI2" s="68"/>
      <c r="ORJ2" s="68"/>
      <c r="ORK2" s="68"/>
      <c r="ORL2" s="68"/>
      <c r="ORM2" s="68"/>
      <c r="ORN2" s="68"/>
      <c r="ORO2" s="68"/>
      <c r="ORP2" s="68"/>
      <c r="ORQ2" s="68"/>
      <c r="ORR2" s="68"/>
      <c r="ORS2" s="68"/>
      <c r="ORT2" s="68"/>
      <c r="ORU2" s="68"/>
      <c r="ORV2" s="68"/>
      <c r="ORW2" s="68"/>
      <c r="ORX2" s="68"/>
      <c r="ORY2" s="68"/>
      <c r="ORZ2" s="68"/>
      <c r="OSA2" s="68"/>
      <c r="OSB2" s="68"/>
      <c r="OSC2" s="68"/>
      <c r="OSD2" s="68"/>
      <c r="OSE2" s="68"/>
      <c r="OSF2" s="68"/>
      <c r="OSG2" s="68"/>
      <c r="OSH2" s="68"/>
      <c r="OSI2" s="68"/>
      <c r="OSJ2" s="68"/>
      <c r="OSK2" s="68"/>
      <c r="OSL2" s="68"/>
      <c r="OSM2" s="68"/>
      <c r="OSN2" s="68"/>
      <c r="OSO2" s="68"/>
      <c r="OSP2" s="68"/>
      <c r="OSQ2" s="68"/>
      <c r="OSR2" s="68"/>
      <c r="OSS2" s="68"/>
      <c r="OST2" s="68"/>
      <c r="OSU2" s="68"/>
      <c r="OSV2" s="68"/>
      <c r="OSW2" s="68"/>
      <c r="OSX2" s="68"/>
      <c r="OSY2" s="68"/>
      <c r="OSZ2" s="68"/>
      <c r="OTA2" s="68"/>
      <c r="OTB2" s="68"/>
      <c r="OTC2" s="68"/>
      <c r="OTD2" s="68"/>
      <c r="OTE2" s="68"/>
      <c r="OTF2" s="68"/>
      <c r="OTG2" s="68"/>
      <c r="OTH2" s="68"/>
      <c r="OTI2" s="68"/>
      <c r="OTJ2" s="68"/>
      <c r="OTK2" s="68"/>
      <c r="OTL2" s="68"/>
      <c r="OTM2" s="68"/>
      <c r="OTN2" s="68"/>
      <c r="OTO2" s="68"/>
      <c r="OTP2" s="68"/>
      <c r="OTQ2" s="68"/>
      <c r="OTR2" s="68"/>
      <c r="OTS2" s="68"/>
      <c r="OTT2" s="68"/>
      <c r="OTU2" s="68"/>
      <c r="OTV2" s="68"/>
      <c r="OTW2" s="68"/>
      <c r="OTX2" s="68"/>
      <c r="OTY2" s="68"/>
      <c r="OTZ2" s="68"/>
      <c r="OUA2" s="68"/>
      <c r="OUB2" s="68"/>
      <c r="OUC2" s="68"/>
      <c r="OUD2" s="68"/>
      <c r="OUE2" s="68"/>
      <c r="OUF2" s="68"/>
      <c r="OUG2" s="68"/>
      <c r="OUH2" s="68"/>
      <c r="OUI2" s="68"/>
      <c r="OUJ2" s="68"/>
      <c r="OUK2" s="68"/>
      <c r="OUL2" s="68"/>
      <c r="OUM2" s="68"/>
      <c r="OUN2" s="68"/>
      <c r="OUO2" s="68"/>
      <c r="OUP2" s="68"/>
      <c r="OUQ2" s="68"/>
      <c r="OUR2" s="68"/>
      <c r="OUS2" s="68"/>
      <c r="OUT2" s="68"/>
      <c r="OUU2" s="68"/>
      <c r="OUV2" s="68"/>
      <c r="OUW2" s="68"/>
      <c r="OUX2" s="68"/>
      <c r="OUY2" s="68"/>
      <c r="OUZ2" s="68"/>
      <c r="OVA2" s="68"/>
      <c r="OVB2" s="68"/>
      <c r="OVC2" s="68"/>
      <c r="OVD2" s="68"/>
      <c r="OVE2" s="68"/>
      <c r="OVF2" s="68"/>
      <c r="OVG2" s="68"/>
      <c r="OVH2" s="68"/>
      <c r="OVI2" s="68"/>
      <c r="OVJ2" s="68"/>
      <c r="OVK2" s="68"/>
      <c r="OVL2" s="68"/>
      <c r="OVM2" s="68"/>
      <c r="OVN2" s="68"/>
      <c r="OVO2" s="68"/>
      <c r="OVP2" s="68"/>
      <c r="OVQ2" s="68"/>
      <c r="OVR2" s="68"/>
      <c r="OVS2" s="68"/>
      <c r="OVT2" s="68"/>
      <c r="OVU2" s="68"/>
      <c r="OVV2" s="68"/>
      <c r="OVW2" s="68"/>
      <c r="OVX2" s="68"/>
      <c r="OVY2" s="68"/>
      <c r="OVZ2" s="68"/>
      <c r="OWA2" s="68"/>
      <c r="OWB2" s="68"/>
      <c r="OWC2" s="68"/>
      <c r="OWD2" s="68"/>
      <c r="OWE2" s="68"/>
      <c r="OWF2" s="68"/>
      <c r="OWG2" s="68"/>
      <c r="OWH2" s="68"/>
      <c r="OWI2" s="68"/>
      <c r="OWJ2" s="68"/>
      <c r="OWK2" s="68"/>
      <c r="OWL2" s="68"/>
      <c r="OWM2" s="68"/>
      <c r="OWN2" s="68"/>
      <c r="OWO2" s="68"/>
      <c r="OWP2" s="68"/>
      <c r="OWQ2" s="68"/>
      <c r="OWR2" s="68"/>
      <c r="OWS2" s="68"/>
      <c r="OWT2" s="68"/>
      <c r="OWU2" s="68"/>
      <c r="OWV2" s="68"/>
      <c r="OWW2" s="68"/>
      <c r="OWX2" s="68"/>
      <c r="OWY2" s="68"/>
      <c r="OWZ2" s="68"/>
      <c r="OXA2" s="68"/>
      <c r="OXB2" s="68"/>
      <c r="OXC2" s="68"/>
      <c r="OXD2" s="68"/>
      <c r="OXE2" s="68"/>
      <c r="OXF2" s="68"/>
      <c r="OXG2" s="68"/>
      <c r="OXH2" s="68"/>
      <c r="OXI2" s="68"/>
      <c r="OXJ2" s="68"/>
      <c r="OXK2" s="68"/>
      <c r="OXL2" s="68"/>
      <c r="OXM2" s="68"/>
      <c r="OXN2" s="68"/>
      <c r="OXO2" s="68"/>
      <c r="OXP2" s="68"/>
      <c r="OXQ2" s="68"/>
      <c r="OXR2" s="68"/>
      <c r="OXS2" s="68"/>
      <c r="OXT2" s="68"/>
      <c r="OXU2" s="68"/>
      <c r="OXV2" s="68"/>
      <c r="OXW2" s="68"/>
      <c r="OXX2" s="68"/>
      <c r="OXY2" s="68"/>
      <c r="OXZ2" s="68"/>
      <c r="OYA2" s="68"/>
      <c r="OYB2" s="68"/>
      <c r="OYC2" s="68"/>
      <c r="OYD2" s="68"/>
      <c r="OYE2" s="68"/>
      <c r="OYF2" s="68"/>
      <c r="OYG2" s="68"/>
      <c r="OYH2" s="68"/>
      <c r="OYI2" s="68"/>
      <c r="OYJ2" s="68"/>
      <c r="OYK2" s="68"/>
      <c r="OYL2" s="68"/>
      <c r="OYM2" s="68"/>
      <c r="OYN2" s="68"/>
      <c r="OYO2" s="68"/>
      <c r="OYP2" s="68"/>
      <c r="OYQ2" s="68"/>
      <c r="OYR2" s="68"/>
      <c r="OYS2" s="68"/>
      <c r="OYT2" s="68"/>
      <c r="OYU2" s="68"/>
      <c r="OYV2" s="68"/>
      <c r="OYW2" s="68"/>
      <c r="OYX2" s="68"/>
      <c r="OYY2" s="68"/>
      <c r="OYZ2" s="68"/>
      <c r="OZA2" s="68"/>
      <c r="OZB2" s="68"/>
      <c r="OZC2" s="68"/>
      <c r="OZD2" s="68"/>
      <c r="OZE2" s="68"/>
      <c r="OZF2" s="68"/>
      <c r="OZG2" s="68"/>
      <c r="OZH2" s="68"/>
      <c r="OZI2" s="68"/>
      <c r="OZJ2" s="68"/>
      <c r="OZK2" s="68"/>
      <c r="OZL2" s="68"/>
      <c r="OZM2" s="68"/>
      <c r="OZN2" s="68"/>
      <c r="OZO2" s="68"/>
      <c r="OZP2" s="68"/>
      <c r="OZQ2" s="68"/>
      <c r="OZR2" s="68"/>
      <c r="OZS2" s="68"/>
      <c r="OZT2" s="68"/>
      <c r="OZU2" s="68"/>
      <c r="OZV2" s="68"/>
      <c r="OZW2" s="68"/>
      <c r="OZX2" s="68"/>
      <c r="OZY2" s="68"/>
      <c r="OZZ2" s="68"/>
      <c r="PAA2" s="68"/>
      <c r="PAB2" s="68"/>
      <c r="PAC2" s="68"/>
      <c r="PAD2" s="68"/>
      <c r="PAE2" s="68"/>
      <c r="PAF2" s="68"/>
      <c r="PAG2" s="68"/>
      <c r="PAH2" s="68"/>
      <c r="PAI2" s="68"/>
      <c r="PAJ2" s="68"/>
      <c r="PAK2" s="68"/>
      <c r="PAL2" s="68"/>
      <c r="PAM2" s="68"/>
      <c r="PAN2" s="68"/>
      <c r="PAO2" s="68"/>
      <c r="PAP2" s="68"/>
      <c r="PAQ2" s="68"/>
      <c r="PAR2" s="68"/>
      <c r="PAS2" s="68"/>
      <c r="PAT2" s="68"/>
      <c r="PAU2" s="68"/>
      <c r="PAV2" s="68"/>
      <c r="PAW2" s="68"/>
      <c r="PAX2" s="68"/>
      <c r="PAY2" s="68"/>
      <c r="PAZ2" s="68"/>
      <c r="PBA2" s="68"/>
      <c r="PBB2" s="68"/>
      <c r="PBC2" s="68"/>
      <c r="PBD2" s="68"/>
      <c r="PBE2" s="68"/>
      <c r="PBF2" s="68"/>
      <c r="PBG2" s="68"/>
      <c r="PBH2" s="68"/>
      <c r="PBI2" s="68"/>
      <c r="PBJ2" s="68"/>
      <c r="PBK2" s="68"/>
      <c r="PBL2" s="68"/>
      <c r="PBM2" s="68"/>
      <c r="PBN2" s="68"/>
      <c r="PBO2" s="68"/>
      <c r="PBP2" s="68"/>
      <c r="PBQ2" s="68"/>
      <c r="PBR2" s="68"/>
      <c r="PBS2" s="68"/>
      <c r="PBT2" s="68"/>
      <c r="PBU2" s="68"/>
      <c r="PBV2" s="68"/>
      <c r="PBW2" s="68"/>
      <c r="PBX2" s="68"/>
      <c r="PBY2" s="68"/>
      <c r="PBZ2" s="68"/>
      <c r="PCA2" s="68"/>
      <c r="PCB2" s="68"/>
      <c r="PCC2" s="68"/>
      <c r="PCD2" s="68"/>
      <c r="PCE2" s="68"/>
      <c r="PCF2" s="68"/>
      <c r="PCG2" s="68"/>
      <c r="PCH2" s="68"/>
      <c r="PCI2" s="68"/>
      <c r="PCJ2" s="68"/>
      <c r="PCK2" s="68"/>
      <c r="PCL2" s="68"/>
      <c r="PCM2" s="68"/>
      <c r="PCN2" s="68"/>
      <c r="PCO2" s="68"/>
      <c r="PCP2" s="68"/>
      <c r="PCQ2" s="68"/>
      <c r="PCR2" s="68"/>
      <c r="PCS2" s="68"/>
      <c r="PCT2" s="68"/>
      <c r="PCU2" s="68"/>
      <c r="PCV2" s="68"/>
      <c r="PCW2" s="68"/>
      <c r="PCX2" s="68"/>
      <c r="PCY2" s="68"/>
      <c r="PCZ2" s="68"/>
      <c r="PDA2" s="68"/>
      <c r="PDB2" s="68"/>
      <c r="PDC2" s="68"/>
      <c r="PDD2" s="68"/>
      <c r="PDE2" s="68"/>
      <c r="PDF2" s="68"/>
      <c r="PDG2" s="68"/>
      <c r="PDH2" s="68"/>
      <c r="PDI2" s="68"/>
      <c r="PDJ2" s="68"/>
      <c r="PDK2" s="68"/>
      <c r="PDL2" s="68"/>
      <c r="PDM2" s="68"/>
      <c r="PDN2" s="68"/>
      <c r="PDO2" s="68"/>
      <c r="PDP2" s="68"/>
      <c r="PDQ2" s="68"/>
      <c r="PDR2" s="68"/>
      <c r="PDS2" s="68"/>
      <c r="PDT2" s="68"/>
      <c r="PDU2" s="68"/>
      <c r="PDV2" s="68"/>
      <c r="PDW2" s="68"/>
      <c r="PDX2" s="68"/>
      <c r="PDY2" s="68"/>
      <c r="PDZ2" s="68"/>
      <c r="PEA2" s="68"/>
      <c r="PEB2" s="68"/>
      <c r="PEC2" s="68"/>
      <c r="PED2" s="68"/>
      <c r="PEE2" s="68"/>
      <c r="PEF2" s="68"/>
      <c r="PEG2" s="68"/>
      <c r="PEH2" s="68"/>
      <c r="PEI2" s="68"/>
      <c r="PEJ2" s="68"/>
      <c r="PEK2" s="68"/>
      <c r="PEL2" s="68"/>
      <c r="PEM2" s="68"/>
      <c r="PEN2" s="68"/>
      <c r="PEO2" s="68"/>
      <c r="PEP2" s="68"/>
      <c r="PEQ2" s="68"/>
      <c r="PER2" s="68"/>
      <c r="PES2" s="68"/>
      <c r="PET2" s="68"/>
      <c r="PEU2" s="68"/>
      <c r="PEV2" s="68"/>
      <c r="PEW2" s="68"/>
      <c r="PEX2" s="68"/>
      <c r="PEY2" s="68"/>
      <c r="PEZ2" s="68"/>
      <c r="PFA2" s="68"/>
      <c r="PFB2" s="68"/>
      <c r="PFC2" s="68"/>
      <c r="PFD2" s="68"/>
      <c r="PFE2" s="68"/>
      <c r="PFF2" s="68"/>
      <c r="PFG2" s="68"/>
      <c r="PFH2" s="68"/>
      <c r="PFI2" s="68"/>
      <c r="PFJ2" s="68"/>
      <c r="PFK2" s="68"/>
      <c r="PFL2" s="68"/>
      <c r="PFM2" s="68"/>
      <c r="PFN2" s="68"/>
      <c r="PFO2" s="68"/>
      <c r="PFP2" s="68"/>
      <c r="PFQ2" s="68"/>
      <c r="PFR2" s="68"/>
      <c r="PFS2" s="68"/>
      <c r="PFT2" s="68"/>
      <c r="PFU2" s="68"/>
      <c r="PFV2" s="68"/>
      <c r="PFW2" s="68"/>
      <c r="PFX2" s="68"/>
      <c r="PFY2" s="68"/>
      <c r="PFZ2" s="68"/>
      <c r="PGA2" s="68"/>
      <c r="PGB2" s="68"/>
      <c r="PGC2" s="68"/>
      <c r="PGD2" s="68"/>
      <c r="PGE2" s="68"/>
      <c r="PGF2" s="68"/>
      <c r="PGG2" s="68"/>
      <c r="PGH2" s="68"/>
      <c r="PGI2" s="68"/>
      <c r="PGJ2" s="68"/>
      <c r="PGK2" s="68"/>
      <c r="PGL2" s="68"/>
      <c r="PGM2" s="68"/>
      <c r="PGN2" s="68"/>
      <c r="PGO2" s="68"/>
      <c r="PGP2" s="68"/>
      <c r="PGQ2" s="68"/>
      <c r="PGR2" s="68"/>
      <c r="PGS2" s="68"/>
      <c r="PGT2" s="68"/>
      <c r="PGU2" s="68"/>
      <c r="PGV2" s="68"/>
      <c r="PGW2" s="68"/>
      <c r="PGX2" s="68"/>
      <c r="PGY2" s="68"/>
      <c r="PGZ2" s="68"/>
      <c r="PHA2" s="68"/>
      <c r="PHB2" s="68"/>
      <c r="PHC2" s="68"/>
      <c r="PHD2" s="68"/>
      <c r="PHE2" s="68"/>
      <c r="PHF2" s="68"/>
      <c r="PHG2" s="68"/>
      <c r="PHH2" s="68"/>
      <c r="PHI2" s="68"/>
      <c r="PHJ2" s="68"/>
      <c r="PHK2" s="68"/>
      <c r="PHL2" s="68"/>
      <c r="PHM2" s="68"/>
      <c r="PHN2" s="68"/>
      <c r="PHO2" s="68"/>
      <c r="PHP2" s="68"/>
      <c r="PHQ2" s="68"/>
      <c r="PHR2" s="68"/>
      <c r="PHS2" s="68"/>
      <c r="PHT2" s="68"/>
      <c r="PHU2" s="68"/>
      <c r="PHV2" s="68"/>
      <c r="PHW2" s="68"/>
      <c r="PHX2" s="68"/>
      <c r="PHY2" s="68"/>
      <c r="PHZ2" s="68"/>
      <c r="PIA2" s="68"/>
      <c r="PIB2" s="68"/>
      <c r="PIC2" s="68"/>
      <c r="PID2" s="68"/>
      <c r="PIE2" s="68"/>
      <c r="PIF2" s="68"/>
      <c r="PIG2" s="68"/>
      <c r="PIH2" s="68"/>
      <c r="PII2" s="68"/>
      <c r="PIJ2" s="68"/>
      <c r="PIK2" s="68"/>
      <c r="PIL2" s="68"/>
      <c r="PIM2" s="68"/>
      <c r="PIN2" s="68"/>
      <c r="PIO2" s="68"/>
      <c r="PIP2" s="68"/>
      <c r="PIQ2" s="68"/>
      <c r="PIR2" s="68"/>
      <c r="PIS2" s="68"/>
      <c r="PIT2" s="68"/>
      <c r="PIU2" s="68"/>
      <c r="PIV2" s="68"/>
      <c r="PIW2" s="68"/>
      <c r="PIX2" s="68"/>
      <c r="PIY2" s="68"/>
      <c r="PIZ2" s="68"/>
      <c r="PJA2" s="68"/>
      <c r="PJB2" s="68"/>
      <c r="PJC2" s="68"/>
      <c r="PJD2" s="68"/>
      <c r="PJE2" s="68"/>
      <c r="PJF2" s="68"/>
      <c r="PJG2" s="68"/>
      <c r="PJH2" s="68"/>
      <c r="PJI2" s="68"/>
      <c r="PJJ2" s="68"/>
      <c r="PJK2" s="68"/>
      <c r="PJL2" s="68"/>
      <c r="PJM2" s="68"/>
      <c r="PJN2" s="68"/>
      <c r="PJO2" s="68"/>
      <c r="PJP2" s="68"/>
      <c r="PJQ2" s="68"/>
      <c r="PJR2" s="68"/>
      <c r="PJS2" s="68"/>
      <c r="PJT2" s="68"/>
      <c r="PJU2" s="68"/>
      <c r="PJV2" s="68"/>
      <c r="PJW2" s="68"/>
      <c r="PJX2" s="68"/>
      <c r="PJY2" s="68"/>
      <c r="PJZ2" s="68"/>
      <c r="PKA2" s="68"/>
      <c r="PKB2" s="68"/>
      <c r="PKC2" s="68"/>
      <c r="PKD2" s="68"/>
      <c r="PKE2" s="68"/>
      <c r="PKF2" s="68"/>
      <c r="PKG2" s="68"/>
      <c r="PKH2" s="68"/>
      <c r="PKI2" s="68"/>
      <c r="PKJ2" s="68"/>
      <c r="PKK2" s="68"/>
      <c r="PKL2" s="68"/>
      <c r="PKM2" s="68"/>
      <c r="PKN2" s="68"/>
      <c r="PKO2" s="68"/>
      <c r="PKP2" s="68"/>
      <c r="PKQ2" s="68"/>
      <c r="PKR2" s="68"/>
      <c r="PKS2" s="68"/>
      <c r="PKT2" s="68"/>
      <c r="PKU2" s="68"/>
      <c r="PKV2" s="68"/>
      <c r="PKW2" s="68"/>
      <c r="PKX2" s="68"/>
      <c r="PKY2" s="68"/>
      <c r="PKZ2" s="68"/>
      <c r="PLA2" s="68"/>
      <c r="PLB2" s="68"/>
      <c r="PLC2" s="68"/>
      <c r="PLD2" s="68"/>
      <c r="PLE2" s="68"/>
      <c r="PLF2" s="68"/>
      <c r="PLG2" s="68"/>
      <c r="PLH2" s="68"/>
      <c r="PLI2" s="68"/>
      <c r="PLJ2" s="68"/>
      <c r="PLK2" s="68"/>
      <c r="PLL2" s="68"/>
      <c r="PLM2" s="68"/>
      <c r="PLN2" s="68"/>
      <c r="PLO2" s="68"/>
      <c r="PLP2" s="68"/>
      <c r="PLQ2" s="68"/>
      <c r="PLR2" s="68"/>
      <c r="PLS2" s="68"/>
      <c r="PLT2" s="68"/>
      <c r="PLU2" s="68"/>
      <c r="PLV2" s="68"/>
      <c r="PLW2" s="68"/>
      <c r="PLX2" s="68"/>
      <c r="PLY2" s="68"/>
      <c r="PLZ2" s="68"/>
      <c r="PMA2" s="68"/>
      <c r="PMB2" s="68"/>
      <c r="PMC2" s="68"/>
      <c r="PMD2" s="68"/>
      <c r="PME2" s="68"/>
      <c r="PMF2" s="68"/>
      <c r="PMG2" s="68"/>
      <c r="PMH2" s="68"/>
      <c r="PMI2" s="68"/>
      <c r="PMJ2" s="68"/>
      <c r="PMK2" s="68"/>
      <c r="PML2" s="68"/>
      <c r="PMM2" s="68"/>
      <c r="PMN2" s="68"/>
      <c r="PMO2" s="68"/>
      <c r="PMP2" s="68"/>
      <c r="PMQ2" s="68"/>
      <c r="PMR2" s="68"/>
      <c r="PMS2" s="68"/>
      <c r="PMT2" s="68"/>
      <c r="PMU2" s="68"/>
      <c r="PMV2" s="68"/>
      <c r="PMW2" s="68"/>
      <c r="PMX2" s="68"/>
      <c r="PMY2" s="68"/>
      <c r="PMZ2" s="68"/>
      <c r="PNA2" s="68"/>
      <c r="PNB2" s="68"/>
      <c r="PNC2" s="68"/>
      <c r="PND2" s="68"/>
      <c r="PNE2" s="68"/>
      <c r="PNF2" s="68"/>
      <c r="PNG2" s="68"/>
      <c r="PNH2" s="68"/>
      <c r="PNI2" s="68"/>
      <c r="PNJ2" s="68"/>
      <c r="PNK2" s="68"/>
      <c r="PNL2" s="68"/>
      <c r="PNM2" s="68"/>
      <c r="PNN2" s="68"/>
      <c r="PNO2" s="68"/>
      <c r="PNP2" s="68"/>
      <c r="PNQ2" s="68"/>
      <c r="PNR2" s="68"/>
      <c r="PNS2" s="68"/>
      <c r="PNT2" s="68"/>
      <c r="PNU2" s="68"/>
      <c r="PNV2" s="68"/>
      <c r="PNW2" s="68"/>
      <c r="PNX2" s="68"/>
      <c r="PNY2" s="68"/>
      <c r="PNZ2" s="68"/>
      <c r="POA2" s="68"/>
      <c r="POB2" s="68"/>
      <c r="POC2" s="68"/>
      <c r="POD2" s="68"/>
      <c r="POE2" s="68"/>
      <c r="POF2" s="68"/>
      <c r="POG2" s="68"/>
      <c r="POH2" s="68"/>
      <c r="POI2" s="68"/>
      <c r="POJ2" s="68"/>
      <c r="POK2" s="68"/>
      <c r="POL2" s="68"/>
      <c r="POM2" s="68"/>
      <c r="PON2" s="68"/>
      <c r="POO2" s="68"/>
      <c r="POP2" s="68"/>
      <c r="POQ2" s="68"/>
      <c r="POR2" s="68"/>
      <c r="POS2" s="68"/>
      <c r="POT2" s="68"/>
      <c r="POU2" s="68"/>
      <c r="POV2" s="68"/>
      <c r="POW2" s="68"/>
      <c r="POX2" s="68"/>
      <c r="POY2" s="68"/>
      <c r="POZ2" s="68"/>
      <c r="PPA2" s="68"/>
      <c r="PPB2" s="68"/>
      <c r="PPC2" s="68"/>
      <c r="PPD2" s="68"/>
      <c r="PPE2" s="68"/>
      <c r="PPF2" s="68"/>
      <c r="PPG2" s="68"/>
      <c r="PPH2" s="68"/>
      <c r="PPI2" s="68"/>
      <c r="PPJ2" s="68"/>
      <c r="PPK2" s="68"/>
      <c r="PPL2" s="68"/>
      <c r="PPM2" s="68"/>
      <c r="PPN2" s="68"/>
      <c r="PPO2" s="68"/>
      <c r="PPP2" s="68"/>
      <c r="PPQ2" s="68"/>
      <c r="PPR2" s="68"/>
      <c r="PPS2" s="68"/>
      <c r="PPT2" s="68"/>
      <c r="PPU2" s="68"/>
      <c r="PPV2" s="68"/>
      <c r="PPW2" s="68"/>
      <c r="PPX2" s="68"/>
      <c r="PPY2" s="68"/>
      <c r="PPZ2" s="68"/>
      <c r="PQA2" s="68"/>
      <c r="PQB2" s="68"/>
      <c r="PQC2" s="68"/>
      <c r="PQD2" s="68"/>
      <c r="PQE2" s="68"/>
      <c r="PQF2" s="68"/>
      <c r="PQG2" s="68"/>
      <c r="PQH2" s="68"/>
      <c r="PQI2" s="68"/>
      <c r="PQJ2" s="68"/>
      <c r="PQK2" s="68"/>
      <c r="PQL2" s="68"/>
      <c r="PQM2" s="68"/>
      <c r="PQN2" s="68"/>
      <c r="PQO2" s="68"/>
      <c r="PQP2" s="68"/>
      <c r="PQQ2" s="68"/>
      <c r="PQR2" s="68"/>
      <c r="PQS2" s="68"/>
      <c r="PQT2" s="68"/>
      <c r="PQU2" s="68"/>
      <c r="PQV2" s="68"/>
      <c r="PQW2" s="68"/>
      <c r="PQX2" s="68"/>
      <c r="PQY2" s="68"/>
      <c r="PQZ2" s="68"/>
      <c r="PRA2" s="68"/>
      <c r="PRB2" s="68"/>
      <c r="PRC2" s="68"/>
      <c r="PRD2" s="68"/>
      <c r="PRE2" s="68"/>
      <c r="PRF2" s="68"/>
      <c r="PRG2" s="68"/>
      <c r="PRH2" s="68"/>
      <c r="PRI2" s="68"/>
      <c r="PRJ2" s="68"/>
      <c r="PRK2" s="68"/>
      <c r="PRL2" s="68"/>
      <c r="PRM2" s="68"/>
      <c r="PRN2" s="68"/>
      <c r="PRO2" s="68"/>
      <c r="PRP2" s="68"/>
      <c r="PRQ2" s="68"/>
      <c r="PRR2" s="68"/>
      <c r="PRS2" s="68"/>
      <c r="PRT2" s="68"/>
      <c r="PRU2" s="68"/>
      <c r="PRV2" s="68"/>
      <c r="PRW2" s="68"/>
      <c r="PRX2" s="68"/>
      <c r="PRY2" s="68"/>
      <c r="PRZ2" s="68"/>
      <c r="PSA2" s="68"/>
      <c r="PSB2" s="68"/>
      <c r="PSC2" s="68"/>
      <c r="PSD2" s="68"/>
      <c r="PSE2" s="68"/>
      <c r="PSF2" s="68"/>
      <c r="PSG2" s="68"/>
      <c r="PSH2" s="68"/>
      <c r="PSI2" s="68"/>
      <c r="PSJ2" s="68"/>
      <c r="PSK2" s="68"/>
      <c r="PSL2" s="68"/>
      <c r="PSM2" s="68"/>
      <c r="PSN2" s="68"/>
      <c r="PSO2" s="68"/>
      <c r="PSP2" s="68"/>
      <c r="PSQ2" s="68"/>
      <c r="PSR2" s="68"/>
      <c r="PSS2" s="68"/>
      <c r="PST2" s="68"/>
      <c r="PSU2" s="68"/>
      <c r="PSV2" s="68"/>
      <c r="PSW2" s="68"/>
      <c r="PSX2" s="68"/>
      <c r="PSY2" s="68"/>
      <c r="PSZ2" s="68"/>
      <c r="PTA2" s="68"/>
      <c r="PTB2" s="68"/>
      <c r="PTC2" s="68"/>
      <c r="PTD2" s="68"/>
      <c r="PTE2" s="68"/>
      <c r="PTF2" s="68"/>
      <c r="PTG2" s="68"/>
      <c r="PTH2" s="68"/>
      <c r="PTI2" s="68"/>
      <c r="PTJ2" s="68"/>
      <c r="PTK2" s="68"/>
      <c r="PTL2" s="68"/>
      <c r="PTM2" s="68"/>
      <c r="PTN2" s="68"/>
      <c r="PTO2" s="68"/>
      <c r="PTP2" s="68"/>
      <c r="PTQ2" s="68"/>
      <c r="PTR2" s="68"/>
      <c r="PTS2" s="68"/>
      <c r="PTT2" s="68"/>
      <c r="PTU2" s="68"/>
      <c r="PTV2" s="68"/>
      <c r="PTW2" s="68"/>
      <c r="PTX2" s="68"/>
      <c r="PTY2" s="68"/>
      <c r="PTZ2" s="68"/>
      <c r="PUA2" s="68"/>
      <c r="PUB2" s="68"/>
      <c r="PUC2" s="68"/>
      <c r="PUD2" s="68"/>
      <c r="PUE2" s="68"/>
      <c r="PUF2" s="68"/>
      <c r="PUG2" s="68"/>
      <c r="PUH2" s="68"/>
      <c r="PUI2" s="68"/>
      <c r="PUJ2" s="68"/>
      <c r="PUK2" s="68"/>
      <c r="PUL2" s="68"/>
      <c r="PUM2" s="68"/>
      <c r="PUN2" s="68"/>
      <c r="PUO2" s="68"/>
      <c r="PUP2" s="68"/>
      <c r="PUQ2" s="68"/>
      <c r="PUR2" s="68"/>
      <c r="PUS2" s="68"/>
      <c r="PUT2" s="68"/>
      <c r="PUU2" s="68"/>
      <c r="PUV2" s="68"/>
      <c r="PUW2" s="68"/>
      <c r="PUX2" s="68"/>
      <c r="PUY2" s="68"/>
      <c r="PUZ2" s="68"/>
      <c r="PVA2" s="68"/>
      <c r="PVB2" s="68"/>
      <c r="PVC2" s="68"/>
      <c r="PVD2" s="68"/>
      <c r="PVE2" s="68"/>
      <c r="PVF2" s="68"/>
      <c r="PVG2" s="68"/>
      <c r="PVH2" s="68"/>
      <c r="PVI2" s="68"/>
      <c r="PVJ2" s="68"/>
      <c r="PVK2" s="68"/>
      <c r="PVL2" s="68"/>
      <c r="PVM2" s="68"/>
      <c r="PVN2" s="68"/>
      <c r="PVO2" s="68"/>
      <c r="PVP2" s="68"/>
      <c r="PVQ2" s="68"/>
      <c r="PVR2" s="68"/>
      <c r="PVS2" s="68"/>
      <c r="PVT2" s="68"/>
      <c r="PVU2" s="68"/>
      <c r="PVV2" s="68"/>
      <c r="PVW2" s="68"/>
      <c r="PVX2" s="68"/>
      <c r="PVY2" s="68"/>
      <c r="PVZ2" s="68"/>
      <c r="PWA2" s="68"/>
      <c r="PWB2" s="68"/>
      <c r="PWC2" s="68"/>
      <c r="PWD2" s="68"/>
      <c r="PWE2" s="68"/>
      <c r="PWF2" s="68"/>
      <c r="PWG2" s="68"/>
      <c r="PWH2" s="68"/>
      <c r="PWI2" s="68"/>
      <c r="PWJ2" s="68"/>
      <c r="PWK2" s="68"/>
      <c r="PWL2" s="68"/>
      <c r="PWM2" s="68"/>
      <c r="PWN2" s="68"/>
      <c r="PWO2" s="68"/>
      <c r="PWP2" s="68"/>
      <c r="PWQ2" s="68"/>
      <c r="PWR2" s="68"/>
      <c r="PWS2" s="68"/>
      <c r="PWT2" s="68"/>
      <c r="PWU2" s="68"/>
      <c r="PWV2" s="68"/>
      <c r="PWW2" s="68"/>
      <c r="PWX2" s="68"/>
      <c r="PWY2" s="68"/>
      <c r="PWZ2" s="68"/>
      <c r="PXA2" s="68"/>
      <c r="PXB2" s="68"/>
      <c r="PXC2" s="68"/>
      <c r="PXD2" s="68"/>
      <c r="PXE2" s="68"/>
      <c r="PXF2" s="68"/>
      <c r="PXG2" s="68"/>
      <c r="PXH2" s="68"/>
      <c r="PXI2" s="68"/>
      <c r="PXJ2" s="68"/>
      <c r="PXK2" s="68"/>
      <c r="PXL2" s="68"/>
      <c r="PXM2" s="68"/>
      <c r="PXN2" s="68"/>
      <c r="PXO2" s="68"/>
      <c r="PXP2" s="68"/>
      <c r="PXQ2" s="68"/>
      <c r="PXR2" s="68"/>
      <c r="PXS2" s="68"/>
      <c r="PXT2" s="68"/>
      <c r="PXU2" s="68"/>
      <c r="PXV2" s="68"/>
      <c r="PXW2" s="68"/>
      <c r="PXX2" s="68"/>
      <c r="PXY2" s="68"/>
      <c r="PXZ2" s="68"/>
      <c r="PYA2" s="68"/>
      <c r="PYB2" s="68"/>
      <c r="PYC2" s="68"/>
      <c r="PYD2" s="68"/>
      <c r="PYE2" s="68"/>
      <c r="PYF2" s="68"/>
      <c r="PYG2" s="68"/>
      <c r="PYH2" s="68"/>
      <c r="PYI2" s="68"/>
      <c r="PYJ2" s="68"/>
      <c r="PYK2" s="68"/>
      <c r="PYL2" s="68"/>
      <c r="PYM2" s="68"/>
      <c r="PYN2" s="68"/>
      <c r="PYO2" s="68"/>
      <c r="PYP2" s="68"/>
      <c r="PYQ2" s="68"/>
      <c r="PYR2" s="68"/>
      <c r="PYS2" s="68"/>
      <c r="PYT2" s="68"/>
      <c r="PYU2" s="68"/>
      <c r="PYV2" s="68"/>
      <c r="PYW2" s="68"/>
      <c r="PYX2" s="68"/>
      <c r="PYY2" s="68"/>
      <c r="PYZ2" s="68"/>
      <c r="PZA2" s="68"/>
      <c r="PZB2" s="68"/>
      <c r="PZC2" s="68"/>
      <c r="PZD2" s="68"/>
      <c r="PZE2" s="68"/>
      <c r="PZF2" s="68"/>
      <c r="PZG2" s="68"/>
      <c r="PZH2" s="68"/>
      <c r="PZI2" s="68"/>
      <c r="PZJ2" s="68"/>
      <c r="PZK2" s="68"/>
      <c r="PZL2" s="68"/>
      <c r="PZM2" s="68"/>
      <c r="PZN2" s="68"/>
      <c r="PZO2" s="68"/>
      <c r="PZP2" s="68"/>
      <c r="PZQ2" s="68"/>
      <c r="PZR2" s="68"/>
      <c r="PZS2" s="68"/>
      <c r="PZT2" s="68"/>
      <c r="PZU2" s="68"/>
      <c r="PZV2" s="68"/>
      <c r="PZW2" s="68"/>
      <c r="PZX2" s="68"/>
      <c r="PZY2" s="68"/>
      <c r="PZZ2" s="68"/>
      <c r="QAA2" s="68"/>
      <c r="QAB2" s="68"/>
      <c r="QAC2" s="68"/>
      <c r="QAD2" s="68"/>
      <c r="QAE2" s="68"/>
      <c r="QAF2" s="68"/>
      <c r="QAG2" s="68"/>
      <c r="QAH2" s="68"/>
      <c r="QAI2" s="68"/>
      <c r="QAJ2" s="68"/>
      <c r="QAK2" s="68"/>
      <c r="QAL2" s="68"/>
      <c r="QAM2" s="68"/>
      <c r="QAN2" s="68"/>
      <c r="QAO2" s="68"/>
      <c r="QAP2" s="68"/>
      <c r="QAQ2" s="68"/>
      <c r="QAR2" s="68"/>
      <c r="QAS2" s="68"/>
      <c r="QAT2" s="68"/>
      <c r="QAU2" s="68"/>
      <c r="QAV2" s="68"/>
      <c r="QAW2" s="68"/>
      <c r="QAX2" s="68"/>
      <c r="QAY2" s="68"/>
      <c r="QAZ2" s="68"/>
      <c r="QBA2" s="68"/>
      <c r="QBB2" s="68"/>
      <c r="QBC2" s="68"/>
      <c r="QBD2" s="68"/>
      <c r="QBE2" s="68"/>
      <c r="QBF2" s="68"/>
      <c r="QBG2" s="68"/>
      <c r="QBH2" s="68"/>
      <c r="QBI2" s="68"/>
      <c r="QBJ2" s="68"/>
      <c r="QBK2" s="68"/>
      <c r="QBL2" s="68"/>
      <c r="QBM2" s="68"/>
      <c r="QBN2" s="68"/>
      <c r="QBO2" s="68"/>
      <c r="QBP2" s="68"/>
      <c r="QBQ2" s="68"/>
      <c r="QBR2" s="68"/>
      <c r="QBS2" s="68"/>
      <c r="QBT2" s="68"/>
      <c r="QBU2" s="68"/>
      <c r="QBV2" s="68"/>
      <c r="QBW2" s="68"/>
      <c r="QBX2" s="68"/>
      <c r="QBY2" s="68"/>
      <c r="QBZ2" s="68"/>
      <c r="QCA2" s="68"/>
      <c r="QCB2" s="68"/>
      <c r="QCC2" s="68"/>
      <c r="QCD2" s="68"/>
      <c r="QCE2" s="68"/>
      <c r="QCF2" s="68"/>
      <c r="QCG2" s="68"/>
      <c r="QCH2" s="68"/>
      <c r="QCI2" s="68"/>
      <c r="QCJ2" s="68"/>
      <c r="QCK2" s="68"/>
      <c r="QCL2" s="68"/>
      <c r="QCM2" s="68"/>
      <c r="QCN2" s="68"/>
      <c r="QCO2" s="68"/>
      <c r="QCP2" s="68"/>
      <c r="QCQ2" s="68"/>
      <c r="QCR2" s="68"/>
      <c r="QCS2" s="68"/>
      <c r="QCT2" s="68"/>
      <c r="QCU2" s="68"/>
      <c r="QCV2" s="68"/>
      <c r="QCW2" s="68"/>
      <c r="QCX2" s="68"/>
      <c r="QCY2" s="68"/>
      <c r="QCZ2" s="68"/>
      <c r="QDA2" s="68"/>
      <c r="QDB2" s="68"/>
      <c r="QDC2" s="68"/>
      <c r="QDD2" s="68"/>
      <c r="QDE2" s="68"/>
      <c r="QDF2" s="68"/>
      <c r="QDG2" s="68"/>
      <c r="QDH2" s="68"/>
      <c r="QDI2" s="68"/>
      <c r="QDJ2" s="68"/>
      <c r="QDK2" s="68"/>
      <c r="QDL2" s="68"/>
      <c r="QDM2" s="68"/>
      <c r="QDN2" s="68"/>
      <c r="QDO2" s="68"/>
      <c r="QDP2" s="68"/>
      <c r="QDQ2" s="68"/>
      <c r="QDR2" s="68"/>
      <c r="QDS2" s="68"/>
      <c r="QDT2" s="68"/>
      <c r="QDU2" s="68"/>
      <c r="QDV2" s="68"/>
      <c r="QDW2" s="68"/>
      <c r="QDX2" s="68"/>
      <c r="QDY2" s="68"/>
      <c r="QDZ2" s="68"/>
      <c r="QEA2" s="68"/>
      <c r="QEB2" s="68"/>
      <c r="QEC2" s="68"/>
      <c r="QED2" s="68"/>
      <c r="QEE2" s="68"/>
      <c r="QEF2" s="68"/>
      <c r="QEG2" s="68"/>
      <c r="QEH2" s="68"/>
      <c r="QEI2" s="68"/>
      <c r="QEJ2" s="68"/>
      <c r="QEK2" s="68"/>
      <c r="QEL2" s="68"/>
      <c r="QEM2" s="68"/>
      <c r="QEN2" s="68"/>
      <c r="QEO2" s="68"/>
      <c r="QEP2" s="68"/>
      <c r="QEQ2" s="68"/>
      <c r="QER2" s="68"/>
      <c r="QES2" s="68"/>
      <c r="QET2" s="68"/>
      <c r="QEU2" s="68"/>
      <c r="QEV2" s="68"/>
      <c r="QEW2" s="68"/>
      <c r="QEX2" s="68"/>
      <c r="QEY2" s="68"/>
      <c r="QEZ2" s="68"/>
      <c r="QFA2" s="68"/>
      <c r="QFB2" s="68"/>
      <c r="QFC2" s="68"/>
      <c r="QFD2" s="68"/>
      <c r="QFE2" s="68"/>
      <c r="QFF2" s="68"/>
      <c r="QFG2" s="68"/>
      <c r="QFH2" s="68"/>
      <c r="QFI2" s="68"/>
      <c r="QFJ2" s="68"/>
      <c r="QFK2" s="68"/>
      <c r="QFL2" s="68"/>
      <c r="QFM2" s="68"/>
      <c r="QFN2" s="68"/>
      <c r="QFO2" s="68"/>
      <c r="QFP2" s="68"/>
      <c r="QFQ2" s="68"/>
      <c r="QFR2" s="68"/>
      <c r="QFS2" s="68"/>
      <c r="QFT2" s="68"/>
      <c r="QFU2" s="68"/>
      <c r="QFV2" s="68"/>
      <c r="QFW2" s="68"/>
      <c r="QFX2" s="68"/>
      <c r="QFY2" s="68"/>
      <c r="QFZ2" s="68"/>
      <c r="QGA2" s="68"/>
      <c r="QGB2" s="68"/>
      <c r="QGC2" s="68"/>
      <c r="QGD2" s="68"/>
      <c r="QGE2" s="68"/>
      <c r="QGF2" s="68"/>
      <c r="QGG2" s="68"/>
      <c r="QGH2" s="68"/>
      <c r="QGI2" s="68"/>
      <c r="QGJ2" s="68"/>
      <c r="QGK2" s="68"/>
      <c r="QGL2" s="68"/>
      <c r="QGM2" s="68"/>
      <c r="QGN2" s="68"/>
      <c r="QGO2" s="68"/>
      <c r="QGP2" s="68"/>
      <c r="QGQ2" s="68"/>
      <c r="QGR2" s="68"/>
      <c r="QGS2" s="68"/>
      <c r="QGT2" s="68"/>
      <c r="QGU2" s="68"/>
      <c r="QGV2" s="68"/>
      <c r="QGW2" s="68"/>
      <c r="QGX2" s="68"/>
      <c r="QGY2" s="68"/>
      <c r="QGZ2" s="68"/>
      <c r="QHA2" s="68"/>
      <c r="QHB2" s="68"/>
      <c r="QHC2" s="68"/>
      <c r="QHD2" s="68"/>
      <c r="QHE2" s="68"/>
      <c r="QHF2" s="68"/>
      <c r="QHG2" s="68"/>
      <c r="QHH2" s="68"/>
      <c r="QHI2" s="68"/>
      <c r="QHJ2" s="68"/>
      <c r="QHK2" s="68"/>
      <c r="QHL2" s="68"/>
      <c r="QHM2" s="68"/>
      <c r="QHN2" s="68"/>
      <c r="QHO2" s="68"/>
      <c r="QHP2" s="68"/>
      <c r="QHQ2" s="68"/>
      <c r="QHR2" s="68"/>
      <c r="QHS2" s="68"/>
      <c r="QHT2" s="68"/>
      <c r="QHU2" s="68"/>
      <c r="QHV2" s="68"/>
      <c r="QHW2" s="68"/>
      <c r="QHX2" s="68"/>
      <c r="QHY2" s="68"/>
      <c r="QHZ2" s="68"/>
      <c r="QIA2" s="68"/>
      <c r="QIB2" s="68"/>
      <c r="QIC2" s="68"/>
      <c r="QID2" s="68"/>
      <c r="QIE2" s="68"/>
      <c r="QIF2" s="68"/>
      <c r="QIG2" s="68"/>
      <c r="QIH2" s="68"/>
      <c r="QII2" s="68"/>
      <c r="QIJ2" s="68"/>
      <c r="QIK2" s="68"/>
      <c r="QIL2" s="68"/>
      <c r="QIM2" s="68"/>
      <c r="QIN2" s="68"/>
      <c r="QIO2" s="68"/>
      <c r="QIP2" s="68"/>
      <c r="QIQ2" s="68"/>
      <c r="QIR2" s="68"/>
      <c r="QIS2" s="68"/>
      <c r="QIT2" s="68"/>
      <c r="QIU2" s="68"/>
      <c r="QIV2" s="68"/>
      <c r="QIW2" s="68"/>
      <c r="QIX2" s="68"/>
      <c r="QIY2" s="68"/>
      <c r="QIZ2" s="68"/>
      <c r="QJA2" s="68"/>
      <c r="QJB2" s="68"/>
      <c r="QJC2" s="68"/>
      <c r="QJD2" s="68"/>
      <c r="QJE2" s="68"/>
      <c r="QJF2" s="68"/>
      <c r="QJG2" s="68"/>
      <c r="QJH2" s="68"/>
      <c r="QJI2" s="68"/>
      <c r="QJJ2" s="68"/>
      <c r="QJK2" s="68"/>
      <c r="QJL2" s="68"/>
      <c r="QJM2" s="68"/>
      <c r="QJN2" s="68"/>
      <c r="QJO2" s="68"/>
      <c r="QJP2" s="68"/>
      <c r="QJQ2" s="68"/>
      <c r="QJR2" s="68"/>
      <c r="QJS2" s="68"/>
      <c r="QJT2" s="68"/>
      <c r="QJU2" s="68"/>
      <c r="QJV2" s="68"/>
      <c r="QJW2" s="68"/>
      <c r="QJX2" s="68"/>
      <c r="QJY2" s="68"/>
      <c r="QJZ2" s="68"/>
      <c r="QKA2" s="68"/>
      <c r="QKB2" s="68"/>
      <c r="QKC2" s="68"/>
      <c r="QKD2" s="68"/>
      <c r="QKE2" s="68"/>
      <c r="QKF2" s="68"/>
      <c r="QKG2" s="68"/>
      <c r="QKH2" s="68"/>
      <c r="QKI2" s="68"/>
      <c r="QKJ2" s="68"/>
      <c r="QKK2" s="68"/>
      <c r="QKL2" s="68"/>
      <c r="QKM2" s="68"/>
      <c r="QKN2" s="68"/>
      <c r="QKO2" s="68"/>
      <c r="QKP2" s="68"/>
      <c r="QKQ2" s="68"/>
      <c r="QKR2" s="68"/>
      <c r="QKS2" s="68"/>
      <c r="QKT2" s="68"/>
      <c r="QKU2" s="68"/>
      <c r="QKV2" s="68"/>
      <c r="QKW2" s="68"/>
      <c r="QKX2" s="68"/>
      <c r="QKY2" s="68"/>
      <c r="QKZ2" s="68"/>
      <c r="QLA2" s="68"/>
      <c r="QLB2" s="68"/>
      <c r="QLC2" s="68"/>
      <c r="QLD2" s="68"/>
      <c r="QLE2" s="68"/>
      <c r="QLF2" s="68"/>
      <c r="QLG2" s="68"/>
      <c r="QLH2" s="68"/>
      <c r="QLI2" s="68"/>
      <c r="QLJ2" s="68"/>
      <c r="QLK2" s="68"/>
      <c r="QLL2" s="68"/>
      <c r="QLM2" s="68"/>
      <c r="QLN2" s="68"/>
      <c r="QLO2" s="68"/>
      <c r="QLP2" s="68"/>
      <c r="QLQ2" s="68"/>
      <c r="QLR2" s="68"/>
      <c r="QLS2" s="68"/>
      <c r="QLT2" s="68"/>
      <c r="QLU2" s="68"/>
      <c r="QLV2" s="68"/>
      <c r="QLW2" s="68"/>
      <c r="QLX2" s="68"/>
      <c r="QLY2" s="68"/>
      <c r="QLZ2" s="68"/>
      <c r="QMA2" s="68"/>
      <c r="QMB2" s="68"/>
      <c r="QMC2" s="68"/>
      <c r="QMD2" s="68"/>
      <c r="QME2" s="68"/>
      <c r="QMF2" s="68"/>
      <c r="QMG2" s="68"/>
      <c r="QMH2" s="68"/>
      <c r="QMI2" s="68"/>
      <c r="QMJ2" s="68"/>
      <c r="QMK2" s="68"/>
      <c r="QML2" s="68"/>
      <c r="QMM2" s="68"/>
      <c r="QMN2" s="68"/>
      <c r="QMO2" s="68"/>
      <c r="QMP2" s="68"/>
      <c r="QMQ2" s="68"/>
      <c r="QMR2" s="68"/>
      <c r="QMS2" s="68"/>
      <c r="QMT2" s="68"/>
      <c r="QMU2" s="68"/>
      <c r="QMV2" s="68"/>
      <c r="QMW2" s="68"/>
      <c r="QMX2" s="68"/>
      <c r="QMY2" s="68"/>
      <c r="QMZ2" s="68"/>
      <c r="QNA2" s="68"/>
      <c r="QNB2" s="68"/>
      <c r="QNC2" s="68"/>
      <c r="QND2" s="68"/>
      <c r="QNE2" s="68"/>
      <c r="QNF2" s="68"/>
      <c r="QNG2" s="68"/>
      <c r="QNH2" s="68"/>
      <c r="QNI2" s="68"/>
      <c r="QNJ2" s="68"/>
      <c r="QNK2" s="68"/>
      <c r="QNL2" s="68"/>
      <c r="QNM2" s="68"/>
      <c r="QNN2" s="68"/>
      <c r="QNO2" s="68"/>
      <c r="QNP2" s="68"/>
      <c r="QNQ2" s="68"/>
      <c r="QNR2" s="68"/>
      <c r="QNS2" s="68"/>
      <c r="QNT2" s="68"/>
      <c r="QNU2" s="68"/>
      <c r="QNV2" s="68"/>
      <c r="QNW2" s="68"/>
      <c r="QNX2" s="68"/>
      <c r="QNY2" s="68"/>
      <c r="QNZ2" s="68"/>
      <c r="QOA2" s="68"/>
      <c r="QOB2" s="68"/>
      <c r="QOC2" s="68"/>
      <c r="QOD2" s="68"/>
      <c r="QOE2" s="68"/>
      <c r="QOF2" s="68"/>
      <c r="QOG2" s="68"/>
      <c r="QOH2" s="68"/>
      <c r="QOI2" s="68"/>
      <c r="QOJ2" s="68"/>
      <c r="QOK2" s="68"/>
      <c r="QOL2" s="68"/>
      <c r="QOM2" s="68"/>
      <c r="QON2" s="68"/>
      <c r="QOO2" s="68"/>
      <c r="QOP2" s="68"/>
      <c r="QOQ2" s="68"/>
      <c r="QOR2" s="68"/>
      <c r="QOS2" s="68"/>
      <c r="QOT2" s="68"/>
      <c r="QOU2" s="68"/>
      <c r="QOV2" s="68"/>
      <c r="QOW2" s="68"/>
      <c r="QOX2" s="68"/>
      <c r="QOY2" s="68"/>
      <c r="QOZ2" s="68"/>
      <c r="QPA2" s="68"/>
      <c r="QPB2" s="68"/>
      <c r="QPC2" s="68"/>
      <c r="QPD2" s="68"/>
      <c r="QPE2" s="68"/>
      <c r="QPF2" s="68"/>
      <c r="QPG2" s="68"/>
      <c r="QPH2" s="68"/>
      <c r="QPI2" s="68"/>
      <c r="QPJ2" s="68"/>
      <c r="QPK2" s="68"/>
      <c r="QPL2" s="68"/>
      <c r="QPM2" s="68"/>
      <c r="QPN2" s="68"/>
      <c r="QPO2" s="68"/>
      <c r="QPP2" s="68"/>
      <c r="QPQ2" s="68"/>
      <c r="QPR2" s="68"/>
      <c r="QPS2" s="68"/>
      <c r="QPT2" s="68"/>
      <c r="QPU2" s="68"/>
      <c r="QPV2" s="68"/>
      <c r="QPW2" s="68"/>
      <c r="QPX2" s="68"/>
      <c r="QPY2" s="68"/>
      <c r="QPZ2" s="68"/>
      <c r="QQA2" s="68"/>
      <c r="QQB2" s="68"/>
      <c r="QQC2" s="68"/>
      <c r="QQD2" s="68"/>
      <c r="QQE2" s="68"/>
      <c r="QQF2" s="68"/>
      <c r="QQG2" s="68"/>
      <c r="QQH2" s="68"/>
      <c r="QQI2" s="68"/>
      <c r="QQJ2" s="68"/>
      <c r="QQK2" s="68"/>
      <c r="QQL2" s="68"/>
      <c r="QQM2" s="68"/>
      <c r="QQN2" s="68"/>
      <c r="QQO2" s="68"/>
      <c r="QQP2" s="68"/>
      <c r="QQQ2" s="68"/>
      <c r="QQR2" s="68"/>
      <c r="QQS2" s="68"/>
      <c r="QQT2" s="68"/>
      <c r="QQU2" s="68"/>
      <c r="QQV2" s="68"/>
      <c r="QQW2" s="68"/>
      <c r="QQX2" s="68"/>
      <c r="QQY2" s="68"/>
      <c r="QQZ2" s="68"/>
      <c r="QRA2" s="68"/>
      <c r="QRB2" s="68"/>
      <c r="QRC2" s="68"/>
      <c r="QRD2" s="68"/>
      <c r="QRE2" s="68"/>
      <c r="QRF2" s="68"/>
      <c r="QRG2" s="68"/>
      <c r="QRH2" s="68"/>
      <c r="QRI2" s="68"/>
      <c r="QRJ2" s="68"/>
      <c r="QRK2" s="68"/>
      <c r="QRL2" s="68"/>
      <c r="QRM2" s="68"/>
      <c r="QRN2" s="68"/>
      <c r="QRO2" s="68"/>
      <c r="QRP2" s="68"/>
      <c r="QRQ2" s="68"/>
      <c r="QRR2" s="68"/>
      <c r="QRS2" s="68"/>
      <c r="QRT2" s="68"/>
      <c r="QRU2" s="68"/>
      <c r="QRV2" s="68"/>
      <c r="QRW2" s="68"/>
      <c r="QRX2" s="68"/>
      <c r="QRY2" s="68"/>
      <c r="QRZ2" s="68"/>
      <c r="QSA2" s="68"/>
      <c r="QSB2" s="68"/>
      <c r="QSC2" s="68"/>
      <c r="QSD2" s="68"/>
      <c r="QSE2" s="68"/>
      <c r="QSF2" s="68"/>
      <c r="QSG2" s="68"/>
      <c r="QSH2" s="68"/>
      <c r="QSI2" s="68"/>
      <c r="QSJ2" s="68"/>
      <c r="QSK2" s="68"/>
      <c r="QSL2" s="68"/>
      <c r="QSM2" s="68"/>
      <c r="QSN2" s="68"/>
      <c r="QSO2" s="68"/>
      <c r="QSP2" s="68"/>
      <c r="QSQ2" s="68"/>
      <c r="QSR2" s="68"/>
      <c r="QSS2" s="68"/>
      <c r="QST2" s="68"/>
      <c r="QSU2" s="68"/>
      <c r="QSV2" s="68"/>
      <c r="QSW2" s="68"/>
      <c r="QSX2" s="68"/>
      <c r="QSY2" s="68"/>
      <c r="QSZ2" s="68"/>
      <c r="QTA2" s="68"/>
      <c r="QTB2" s="68"/>
      <c r="QTC2" s="68"/>
      <c r="QTD2" s="68"/>
      <c r="QTE2" s="68"/>
      <c r="QTF2" s="68"/>
      <c r="QTG2" s="68"/>
      <c r="QTH2" s="68"/>
      <c r="QTI2" s="68"/>
      <c r="QTJ2" s="68"/>
      <c r="QTK2" s="68"/>
      <c r="QTL2" s="68"/>
      <c r="QTM2" s="68"/>
      <c r="QTN2" s="68"/>
      <c r="QTO2" s="68"/>
      <c r="QTP2" s="68"/>
      <c r="QTQ2" s="68"/>
      <c r="QTR2" s="68"/>
      <c r="QTS2" s="68"/>
      <c r="QTT2" s="68"/>
      <c r="QTU2" s="68"/>
      <c r="QTV2" s="68"/>
      <c r="QTW2" s="68"/>
      <c r="QTX2" s="68"/>
      <c r="QTY2" s="68"/>
      <c r="QTZ2" s="68"/>
      <c r="QUA2" s="68"/>
      <c r="QUB2" s="68"/>
      <c r="QUC2" s="68"/>
      <c r="QUD2" s="68"/>
      <c r="QUE2" s="68"/>
      <c r="QUF2" s="68"/>
      <c r="QUG2" s="68"/>
      <c r="QUH2" s="68"/>
      <c r="QUI2" s="68"/>
      <c r="QUJ2" s="68"/>
      <c r="QUK2" s="68"/>
      <c r="QUL2" s="68"/>
      <c r="QUM2" s="68"/>
      <c r="QUN2" s="68"/>
      <c r="QUO2" s="68"/>
      <c r="QUP2" s="68"/>
      <c r="QUQ2" s="68"/>
      <c r="QUR2" s="68"/>
      <c r="QUS2" s="68"/>
      <c r="QUT2" s="68"/>
      <c r="QUU2" s="68"/>
      <c r="QUV2" s="68"/>
      <c r="QUW2" s="68"/>
      <c r="QUX2" s="68"/>
      <c r="QUY2" s="68"/>
      <c r="QUZ2" s="68"/>
      <c r="QVA2" s="68"/>
      <c r="QVB2" s="68"/>
      <c r="QVC2" s="68"/>
      <c r="QVD2" s="68"/>
      <c r="QVE2" s="68"/>
      <c r="QVF2" s="68"/>
      <c r="QVG2" s="68"/>
      <c r="QVH2" s="68"/>
      <c r="QVI2" s="68"/>
      <c r="QVJ2" s="68"/>
      <c r="QVK2" s="68"/>
      <c r="QVL2" s="68"/>
      <c r="QVM2" s="68"/>
      <c r="QVN2" s="68"/>
      <c r="QVO2" s="68"/>
      <c r="QVP2" s="68"/>
      <c r="QVQ2" s="68"/>
      <c r="QVR2" s="68"/>
      <c r="QVS2" s="68"/>
      <c r="QVT2" s="68"/>
      <c r="QVU2" s="68"/>
      <c r="QVV2" s="68"/>
      <c r="QVW2" s="68"/>
      <c r="QVX2" s="68"/>
      <c r="QVY2" s="68"/>
      <c r="QVZ2" s="68"/>
      <c r="QWA2" s="68"/>
      <c r="QWB2" s="68"/>
      <c r="QWC2" s="68"/>
      <c r="QWD2" s="68"/>
      <c r="QWE2" s="68"/>
      <c r="QWF2" s="68"/>
      <c r="QWG2" s="68"/>
      <c r="QWH2" s="68"/>
      <c r="QWI2" s="68"/>
      <c r="QWJ2" s="68"/>
      <c r="QWK2" s="68"/>
      <c r="QWL2" s="68"/>
      <c r="QWM2" s="68"/>
      <c r="QWN2" s="68"/>
      <c r="QWO2" s="68"/>
      <c r="QWP2" s="68"/>
      <c r="QWQ2" s="68"/>
      <c r="QWR2" s="68"/>
      <c r="QWS2" s="68"/>
      <c r="QWT2" s="68"/>
      <c r="QWU2" s="68"/>
      <c r="QWV2" s="68"/>
      <c r="QWW2" s="68"/>
      <c r="QWX2" s="68"/>
      <c r="QWY2" s="68"/>
      <c r="QWZ2" s="68"/>
      <c r="QXA2" s="68"/>
      <c r="QXB2" s="68"/>
      <c r="QXC2" s="68"/>
      <c r="QXD2" s="68"/>
      <c r="QXE2" s="68"/>
      <c r="QXF2" s="68"/>
      <c r="QXG2" s="68"/>
      <c r="QXH2" s="68"/>
      <c r="QXI2" s="68"/>
      <c r="QXJ2" s="68"/>
      <c r="QXK2" s="68"/>
      <c r="QXL2" s="68"/>
      <c r="QXM2" s="68"/>
      <c r="QXN2" s="68"/>
      <c r="QXO2" s="68"/>
      <c r="QXP2" s="68"/>
      <c r="QXQ2" s="68"/>
      <c r="QXR2" s="68"/>
      <c r="QXS2" s="68"/>
      <c r="QXT2" s="68"/>
      <c r="QXU2" s="68"/>
      <c r="QXV2" s="68"/>
      <c r="QXW2" s="68"/>
      <c r="QXX2" s="68"/>
      <c r="QXY2" s="68"/>
      <c r="QXZ2" s="68"/>
      <c r="QYA2" s="68"/>
      <c r="QYB2" s="68"/>
      <c r="QYC2" s="68"/>
      <c r="QYD2" s="68"/>
      <c r="QYE2" s="68"/>
      <c r="QYF2" s="68"/>
      <c r="QYG2" s="68"/>
      <c r="QYH2" s="68"/>
      <c r="QYI2" s="68"/>
      <c r="QYJ2" s="68"/>
      <c r="QYK2" s="68"/>
      <c r="QYL2" s="68"/>
      <c r="QYM2" s="68"/>
      <c r="QYN2" s="68"/>
      <c r="QYO2" s="68"/>
      <c r="QYP2" s="68"/>
      <c r="QYQ2" s="68"/>
      <c r="QYR2" s="68"/>
      <c r="QYS2" s="68"/>
      <c r="QYT2" s="68"/>
      <c r="QYU2" s="68"/>
      <c r="QYV2" s="68"/>
      <c r="QYW2" s="68"/>
      <c r="QYX2" s="68"/>
      <c r="QYY2" s="68"/>
      <c r="QYZ2" s="68"/>
      <c r="QZA2" s="68"/>
      <c r="QZB2" s="68"/>
      <c r="QZC2" s="68"/>
      <c r="QZD2" s="68"/>
      <c r="QZE2" s="68"/>
      <c r="QZF2" s="68"/>
      <c r="QZG2" s="68"/>
      <c r="QZH2" s="68"/>
      <c r="QZI2" s="68"/>
      <c r="QZJ2" s="68"/>
      <c r="QZK2" s="68"/>
      <c r="QZL2" s="68"/>
      <c r="QZM2" s="68"/>
      <c r="QZN2" s="68"/>
      <c r="QZO2" s="68"/>
      <c r="QZP2" s="68"/>
      <c r="QZQ2" s="68"/>
      <c r="QZR2" s="68"/>
      <c r="QZS2" s="68"/>
      <c r="QZT2" s="68"/>
      <c r="QZU2" s="68"/>
      <c r="QZV2" s="68"/>
      <c r="QZW2" s="68"/>
      <c r="QZX2" s="68"/>
      <c r="QZY2" s="68"/>
      <c r="QZZ2" s="68"/>
      <c r="RAA2" s="68"/>
      <c r="RAB2" s="68"/>
      <c r="RAC2" s="68"/>
      <c r="RAD2" s="68"/>
      <c r="RAE2" s="68"/>
      <c r="RAF2" s="68"/>
      <c r="RAG2" s="68"/>
      <c r="RAH2" s="68"/>
      <c r="RAI2" s="68"/>
      <c r="RAJ2" s="68"/>
      <c r="RAK2" s="68"/>
      <c r="RAL2" s="68"/>
      <c r="RAM2" s="68"/>
      <c r="RAN2" s="68"/>
      <c r="RAO2" s="68"/>
      <c r="RAP2" s="68"/>
      <c r="RAQ2" s="68"/>
      <c r="RAR2" s="68"/>
      <c r="RAS2" s="68"/>
      <c r="RAT2" s="68"/>
      <c r="RAU2" s="68"/>
      <c r="RAV2" s="68"/>
      <c r="RAW2" s="68"/>
      <c r="RAX2" s="68"/>
      <c r="RAY2" s="68"/>
      <c r="RAZ2" s="68"/>
      <c r="RBA2" s="68"/>
      <c r="RBB2" s="68"/>
      <c r="RBC2" s="68"/>
      <c r="RBD2" s="68"/>
      <c r="RBE2" s="68"/>
      <c r="RBF2" s="68"/>
      <c r="RBG2" s="68"/>
      <c r="RBH2" s="68"/>
      <c r="RBI2" s="68"/>
      <c r="RBJ2" s="68"/>
      <c r="RBK2" s="68"/>
      <c r="RBL2" s="68"/>
      <c r="RBM2" s="68"/>
      <c r="RBN2" s="68"/>
      <c r="RBO2" s="68"/>
      <c r="RBP2" s="68"/>
      <c r="RBQ2" s="68"/>
      <c r="RBR2" s="68"/>
      <c r="RBS2" s="68"/>
      <c r="RBT2" s="68"/>
      <c r="RBU2" s="68"/>
      <c r="RBV2" s="68"/>
      <c r="RBW2" s="68"/>
      <c r="RBX2" s="68"/>
      <c r="RBY2" s="68"/>
      <c r="RBZ2" s="68"/>
      <c r="RCA2" s="68"/>
      <c r="RCB2" s="68"/>
      <c r="RCC2" s="68"/>
      <c r="RCD2" s="68"/>
      <c r="RCE2" s="68"/>
      <c r="RCF2" s="68"/>
      <c r="RCG2" s="68"/>
      <c r="RCH2" s="68"/>
      <c r="RCI2" s="68"/>
      <c r="RCJ2" s="68"/>
      <c r="RCK2" s="68"/>
      <c r="RCL2" s="68"/>
      <c r="RCM2" s="68"/>
      <c r="RCN2" s="68"/>
      <c r="RCO2" s="68"/>
      <c r="RCP2" s="68"/>
      <c r="RCQ2" s="68"/>
      <c r="RCR2" s="68"/>
      <c r="RCS2" s="68"/>
      <c r="RCT2" s="68"/>
      <c r="RCU2" s="68"/>
      <c r="RCV2" s="68"/>
      <c r="RCW2" s="68"/>
      <c r="RCX2" s="68"/>
      <c r="RCY2" s="68"/>
      <c r="RCZ2" s="68"/>
      <c r="RDA2" s="68"/>
      <c r="RDB2" s="68"/>
      <c r="RDC2" s="68"/>
      <c r="RDD2" s="68"/>
      <c r="RDE2" s="68"/>
      <c r="RDF2" s="68"/>
      <c r="RDG2" s="68"/>
      <c r="RDH2" s="68"/>
      <c r="RDI2" s="68"/>
      <c r="RDJ2" s="68"/>
      <c r="RDK2" s="68"/>
      <c r="RDL2" s="68"/>
      <c r="RDM2" s="68"/>
      <c r="RDN2" s="68"/>
      <c r="RDO2" s="68"/>
      <c r="RDP2" s="68"/>
      <c r="RDQ2" s="68"/>
      <c r="RDR2" s="68"/>
      <c r="RDS2" s="68"/>
      <c r="RDT2" s="68"/>
      <c r="RDU2" s="68"/>
      <c r="RDV2" s="68"/>
      <c r="RDW2" s="68"/>
      <c r="RDX2" s="68"/>
      <c r="RDY2" s="68"/>
      <c r="RDZ2" s="68"/>
      <c r="REA2" s="68"/>
      <c r="REB2" s="68"/>
      <c r="REC2" s="68"/>
      <c r="RED2" s="68"/>
      <c r="REE2" s="68"/>
      <c r="REF2" s="68"/>
      <c r="REG2" s="68"/>
      <c r="REH2" s="68"/>
      <c r="REI2" s="68"/>
      <c r="REJ2" s="68"/>
      <c r="REK2" s="68"/>
      <c r="REL2" s="68"/>
      <c r="REM2" s="68"/>
      <c r="REN2" s="68"/>
      <c r="REO2" s="68"/>
      <c r="REP2" s="68"/>
      <c r="REQ2" s="68"/>
      <c r="RER2" s="68"/>
      <c r="RES2" s="68"/>
      <c r="RET2" s="68"/>
      <c r="REU2" s="68"/>
      <c r="REV2" s="68"/>
      <c r="REW2" s="68"/>
      <c r="REX2" s="68"/>
      <c r="REY2" s="68"/>
      <c r="REZ2" s="68"/>
      <c r="RFA2" s="68"/>
      <c r="RFB2" s="68"/>
      <c r="RFC2" s="68"/>
      <c r="RFD2" s="68"/>
      <c r="RFE2" s="68"/>
      <c r="RFF2" s="68"/>
      <c r="RFG2" s="68"/>
      <c r="RFH2" s="68"/>
      <c r="RFI2" s="68"/>
      <c r="RFJ2" s="68"/>
      <c r="RFK2" s="68"/>
      <c r="RFL2" s="68"/>
      <c r="RFM2" s="68"/>
      <c r="RFN2" s="68"/>
      <c r="RFO2" s="68"/>
      <c r="RFP2" s="68"/>
      <c r="RFQ2" s="68"/>
      <c r="RFR2" s="68"/>
      <c r="RFS2" s="68"/>
      <c r="RFT2" s="68"/>
      <c r="RFU2" s="68"/>
      <c r="RFV2" s="68"/>
      <c r="RFW2" s="68"/>
      <c r="RFX2" s="68"/>
      <c r="RFY2" s="68"/>
      <c r="RFZ2" s="68"/>
      <c r="RGA2" s="68"/>
      <c r="RGB2" s="68"/>
      <c r="RGC2" s="68"/>
      <c r="RGD2" s="68"/>
      <c r="RGE2" s="68"/>
      <c r="RGF2" s="68"/>
      <c r="RGG2" s="68"/>
      <c r="RGH2" s="68"/>
      <c r="RGI2" s="68"/>
      <c r="RGJ2" s="68"/>
      <c r="RGK2" s="68"/>
      <c r="RGL2" s="68"/>
      <c r="RGM2" s="68"/>
      <c r="RGN2" s="68"/>
      <c r="RGO2" s="68"/>
      <c r="RGP2" s="68"/>
      <c r="RGQ2" s="68"/>
      <c r="RGR2" s="68"/>
      <c r="RGS2" s="68"/>
      <c r="RGT2" s="68"/>
      <c r="RGU2" s="68"/>
      <c r="RGV2" s="68"/>
      <c r="RGW2" s="68"/>
      <c r="RGX2" s="68"/>
      <c r="RGY2" s="68"/>
      <c r="RGZ2" s="68"/>
      <c r="RHA2" s="68"/>
      <c r="RHB2" s="68"/>
      <c r="RHC2" s="68"/>
      <c r="RHD2" s="68"/>
      <c r="RHE2" s="68"/>
      <c r="RHF2" s="68"/>
      <c r="RHG2" s="68"/>
      <c r="RHH2" s="68"/>
      <c r="RHI2" s="68"/>
      <c r="RHJ2" s="68"/>
      <c r="RHK2" s="68"/>
      <c r="RHL2" s="68"/>
      <c r="RHM2" s="68"/>
      <c r="RHN2" s="68"/>
      <c r="RHO2" s="68"/>
      <c r="RHP2" s="68"/>
      <c r="RHQ2" s="68"/>
      <c r="RHR2" s="68"/>
      <c r="RHS2" s="68"/>
      <c r="RHT2" s="68"/>
      <c r="RHU2" s="68"/>
      <c r="RHV2" s="68"/>
      <c r="RHW2" s="68"/>
      <c r="RHX2" s="68"/>
      <c r="RHY2" s="68"/>
      <c r="RHZ2" s="68"/>
      <c r="RIA2" s="68"/>
      <c r="RIB2" s="68"/>
      <c r="RIC2" s="68"/>
      <c r="RID2" s="68"/>
      <c r="RIE2" s="68"/>
      <c r="RIF2" s="68"/>
      <c r="RIG2" s="68"/>
      <c r="RIH2" s="68"/>
      <c r="RII2" s="68"/>
      <c r="RIJ2" s="68"/>
      <c r="RIK2" s="68"/>
      <c r="RIL2" s="68"/>
      <c r="RIM2" s="68"/>
      <c r="RIN2" s="68"/>
      <c r="RIO2" s="68"/>
      <c r="RIP2" s="68"/>
      <c r="RIQ2" s="68"/>
      <c r="RIR2" s="68"/>
      <c r="RIS2" s="68"/>
      <c r="RIT2" s="68"/>
      <c r="RIU2" s="68"/>
      <c r="RIV2" s="68"/>
      <c r="RIW2" s="68"/>
      <c r="RIX2" s="68"/>
      <c r="RIY2" s="68"/>
      <c r="RIZ2" s="68"/>
      <c r="RJA2" s="68"/>
      <c r="RJB2" s="68"/>
      <c r="RJC2" s="68"/>
      <c r="RJD2" s="68"/>
      <c r="RJE2" s="68"/>
      <c r="RJF2" s="68"/>
      <c r="RJG2" s="68"/>
      <c r="RJH2" s="68"/>
      <c r="RJI2" s="68"/>
      <c r="RJJ2" s="68"/>
      <c r="RJK2" s="68"/>
      <c r="RJL2" s="68"/>
      <c r="RJM2" s="68"/>
      <c r="RJN2" s="68"/>
      <c r="RJO2" s="68"/>
      <c r="RJP2" s="68"/>
      <c r="RJQ2" s="68"/>
      <c r="RJR2" s="68"/>
      <c r="RJS2" s="68"/>
      <c r="RJT2" s="68"/>
      <c r="RJU2" s="68"/>
      <c r="RJV2" s="68"/>
      <c r="RJW2" s="68"/>
      <c r="RJX2" s="68"/>
      <c r="RJY2" s="68"/>
      <c r="RJZ2" s="68"/>
      <c r="RKA2" s="68"/>
      <c r="RKB2" s="68"/>
      <c r="RKC2" s="68"/>
      <c r="RKD2" s="68"/>
      <c r="RKE2" s="68"/>
      <c r="RKF2" s="68"/>
      <c r="RKG2" s="68"/>
      <c r="RKH2" s="68"/>
      <c r="RKI2" s="68"/>
      <c r="RKJ2" s="68"/>
      <c r="RKK2" s="68"/>
      <c r="RKL2" s="68"/>
      <c r="RKM2" s="68"/>
      <c r="RKN2" s="68"/>
      <c r="RKO2" s="68"/>
      <c r="RKP2" s="68"/>
      <c r="RKQ2" s="68"/>
      <c r="RKR2" s="68"/>
      <c r="RKS2" s="68"/>
      <c r="RKT2" s="68"/>
      <c r="RKU2" s="68"/>
      <c r="RKV2" s="68"/>
      <c r="RKW2" s="68"/>
      <c r="RKX2" s="68"/>
      <c r="RKY2" s="68"/>
      <c r="RKZ2" s="68"/>
      <c r="RLA2" s="68"/>
      <c r="RLB2" s="68"/>
      <c r="RLC2" s="68"/>
      <c r="RLD2" s="68"/>
      <c r="RLE2" s="68"/>
      <c r="RLF2" s="68"/>
      <c r="RLG2" s="68"/>
      <c r="RLH2" s="68"/>
      <c r="RLI2" s="68"/>
      <c r="RLJ2" s="68"/>
      <c r="RLK2" s="68"/>
      <c r="RLL2" s="68"/>
      <c r="RLM2" s="68"/>
      <c r="RLN2" s="68"/>
      <c r="RLO2" s="68"/>
      <c r="RLP2" s="68"/>
      <c r="RLQ2" s="68"/>
      <c r="RLR2" s="68"/>
      <c r="RLS2" s="68"/>
      <c r="RLT2" s="68"/>
      <c r="RLU2" s="68"/>
      <c r="RLV2" s="68"/>
      <c r="RLW2" s="68"/>
      <c r="RLX2" s="68"/>
      <c r="RLY2" s="68"/>
      <c r="RLZ2" s="68"/>
      <c r="RMA2" s="68"/>
      <c r="RMB2" s="68"/>
      <c r="RMC2" s="68"/>
      <c r="RMD2" s="68"/>
      <c r="RME2" s="68"/>
      <c r="RMF2" s="68"/>
      <c r="RMG2" s="68"/>
      <c r="RMH2" s="68"/>
      <c r="RMI2" s="68"/>
      <c r="RMJ2" s="68"/>
      <c r="RMK2" s="68"/>
      <c r="RML2" s="68"/>
      <c r="RMM2" s="68"/>
      <c r="RMN2" s="68"/>
      <c r="RMO2" s="68"/>
      <c r="RMP2" s="68"/>
      <c r="RMQ2" s="68"/>
      <c r="RMR2" s="68"/>
      <c r="RMS2" s="68"/>
      <c r="RMT2" s="68"/>
      <c r="RMU2" s="68"/>
      <c r="RMV2" s="68"/>
      <c r="RMW2" s="68"/>
      <c r="RMX2" s="68"/>
      <c r="RMY2" s="68"/>
      <c r="RMZ2" s="68"/>
      <c r="RNA2" s="68"/>
      <c r="RNB2" s="68"/>
      <c r="RNC2" s="68"/>
      <c r="RND2" s="68"/>
      <c r="RNE2" s="68"/>
      <c r="RNF2" s="68"/>
      <c r="RNG2" s="68"/>
      <c r="RNH2" s="68"/>
      <c r="RNI2" s="68"/>
      <c r="RNJ2" s="68"/>
      <c r="RNK2" s="68"/>
      <c r="RNL2" s="68"/>
      <c r="RNM2" s="68"/>
      <c r="RNN2" s="68"/>
      <c r="RNO2" s="68"/>
      <c r="RNP2" s="68"/>
      <c r="RNQ2" s="68"/>
      <c r="RNR2" s="68"/>
      <c r="RNS2" s="68"/>
      <c r="RNT2" s="68"/>
      <c r="RNU2" s="68"/>
      <c r="RNV2" s="68"/>
      <c r="RNW2" s="68"/>
      <c r="RNX2" s="68"/>
      <c r="RNY2" s="68"/>
      <c r="RNZ2" s="68"/>
      <c r="ROA2" s="68"/>
      <c r="ROB2" s="68"/>
      <c r="ROC2" s="68"/>
      <c r="ROD2" s="68"/>
      <c r="ROE2" s="68"/>
      <c r="ROF2" s="68"/>
      <c r="ROG2" s="68"/>
      <c r="ROH2" s="68"/>
      <c r="ROI2" s="68"/>
      <c r="ROJ2" s="68"/>
      <c r="ROK2" s="68"/>
      <c r="ROL2" s="68"/>
      <c r="ROM2" s="68"/>
      <c r="RON2" s="68"/>
      <c r="ROO2" s="68"/>
      <c r="ROP2" s="68"/>
      <c r="ROQ2" s="68"/>
      <c r="ROR2" s="68"/>
      <c r="ROS2" s="68"/>
      <c r="ROT2" s="68"/>
      <c r="ROU2" s="68"/>
      <c r="ROV2" s="68"/>
      <c r="ROW2" s="68"/>
      <c r="ROX2" s="68"/>
      <c r="ROY2" s="68"/>
      <c r="ROZ2" s="68"/>
      <c r="RPA2" s="68"/>
      <c r="RPB2" s="68"/>
      <c r="RPC2" s="68"/>
      <c r="RPD2" s="68"/>
      <c r="RPE2" s="68"/>
      <c r="RPF2" s="68"/>
      <c r="RPG2" s="68"/>
      <c r="RPH2" s="68"/>
      <c r="RPI2" s="68"/>
      <c r="RPJ2" s="68"/>
      <c r="RPK2" s="68"/>
      <c r="RPL2" s="68"/>
      <c r="RPM2" s="68"/>
      <c r="RPN2" s="68"/>
      <c r="RPO2" s="68"/>
      <c r="RPP2" s="68"/>
      <c r="RPQ2" s="68"/>
      <c r="RPR2" s="68"/>
      <c r="RPS2" s="68"/>
      <c r="RPT2" s="68"/>
      <c r="RPU2" s="68"/>
      <c r="RPV2" s="68"/>
      <c r="RPW2" s="68"/>
      <c r="RPX2" s="68"/>
      <c r="RPY2" s="68"/>
      <c r="RPZ2" s="68"/>
      <c r="RQA2" s="68"/>
      <c r="RQB2" s="68"/>
      <c r="RQC2" s="68"/>
      <c r="RQD2" s="68"/>
      <c r="RQE2" s="68"/>
      <c r="RQF2" s="68"/>
      <c r="RQG2" s="68"/>
      <c r="RQH2" s="68"/>
      <c r="RQI2" s="68"/>
      <c r="RQJ2" s="68"/>
      <c r="RQK2" s="68"/>
      <c r="RQL2" s="68"/>
      <c r="RQM2" s="68"/>
      <c r="RQN2" s="68"/>
      <c r="RQO2" s="68"/>
      <c r="RQP2" s="68"/>
      <c r="RQQ2" s="68"/>
      <c r="RQR2" s="68"/>
      <c r="RQS2" s="68"/>
      <c r="RQT2" s="68"/>
      <c r="RQU2" s="68"/>
      <c r="RQV2" s="68"/>
      <c r="RQW2" s="68"/>
      <c r="RQX2" s="68"/>
      <c r="RQY2" s="68"/>
      <c r="RQZ2" s="68"/>
      <c r="RRA2" s="68"/>
      <c r="RRB2" s="68"/>
      <c r="RRC2" s="68"/>
      <c r="RRD2" s="68"/>
      <c r="RRE2" s="68"/>
      <c r="RRF2" s="68"/>
      <c r="RRG2" s="68"/>
      <c r="RRH2" s="68"/>
      <c r="RRI2" s="68"/>
      <c r="RRJ2" s="68"/>
      <c r="RRK2" s="68"/>
      <c r="RRL2" s="68"/>
      <c r="RRM2" s="68"/>
      <c r="RRN2" s="68"/>
      <c r="RRO2" s="68"/>
      <c r="RRP2" s="68"/>
      <c r="RRQ2" s="68"/>
      <c r="RRR2" s="68"/>
      <c r="RRS2" s="68"/>
      <c r="RRT2" s="68"/>
      <c r="RRU2" s="68"/>
      <c r="RRV2" s="68"/>
      <c r="RRW2" s="68"/>
      <c r="RRX2" s="68"/>
      <c r="RRY2" s="68"/>
      <c r="RRZ2" s="68"/>
      <c r="RSA2" s="68"/>
      <c r="RSB2" s="68"/>
      <c r="RSC2" s="68"/>
      <c r="RSD2" s="68"/>
      <c r="RSE2" s="68"/>
      <c r="RSF2" s="68"/>
      <c r="RSG2" s="68"/>
      <c r="RSH2" s="68"/>
      <c r="RSI2" s="68"/>
      <c r="RSJ2" s="68"/>
      <c r="RSK2" s="68"/>
      <c r="RSL2" s="68"/>
      <c r="RSM2" s="68"/>
      <c r="RSN2" s="68"/>
      <c r="RSO2" s="68"/>
      <c r="RSP2" s="68"/>
      <c r="RSQ2" s="68"/>
      <c r="RSR2" s="68"/>
      <c r="RSS2" s="68"/>
      <c r="RST2" s="68"/>
      <c r="RSU2" s="68"/>
      <c r="RSV2" s="68"/>
      <c r="RSW2" s="68"/>
      <c r="RSX2" s="68"/>
      <c r="RSY2" s="68"/>
      <c r="RSZ2" s="68"/>
      <c r="RTA2" s="68"/>
      <c r="RTB2" s="68"/>
      <c r="RTC2" s="68"/>
      <c r="RTD2" s="68"/>
      <c r="RTE2" s="68"/>
      <c r="RTF2" s="68"/>
      <c r="RTG2" s="68"/>
      <c r="RTH2" s="68"/>
      <c r="RTI2" s="68"/>
      <c r="RTJ2" s="68"/>
      <c r="RTK2" s="68"/>
      <c r="RTL2" s="68"/>
      <c r="RTM2" s="68"/>
      <c r="RTN2" s="68"/>
      <c r="RTO2" s="68"/>
      <c r="RTP2" s="68"/>
      <c r="RTQ2" s="68"/>
      <c r="RTR2" s="68"/>
      <c r="RTS2" s="68"/>
      <c r="RTT2" s="68"/>
      <c r="RTU2" s="68"/>
      <c r="RTV2" s="68"/>
      <c r="RTW2" s="68"/>
      <c r="RTX2" s="68"/>
      <c r="RTY2" s="68"/>
      <c r="RTZ2" s="68"/>
      <c r="RUA2" s="68"/>
      <c r="RUB2" s="68"/>
      <c r="RUC2" s="68"/>
      <c r="RUD2" s="68"/>
      <c r="RUE2" s="68"/>
      <c r="RUF2" s="68"/>
      <c r="RUG2" s="68"/>
      <c r="RUH2" s="68"/>
      <c r="RUI2" s="68"/>
      <c r="RUJ2" s="68"/>
      <c r="RUK2" s="68"/>
      <c r="RUL2" s="68"/>
      <c r="RUM2" s="68"/>
      <c r="RUN2" s="68"/>
      <c r="RUO2" s="68"/>
      <c r="RUP2" s="68"/>
      <c r="RUQ2" s="68"/>
      <c r="RUR2" s="68"/>
      <c r="RUS2" s="68"/>
      <c r="RUT2" s="68"/>
      <c r="RUU2" s="68"/>
      <c r="RUV2" s="68"/>
      <c r="RUW2" s="68"/>
      <c r="RUX2" s="68"/>
      <c r="RUY2" s="68"/>
      <c r="RUZ2" s="68"/>
      <c r="RVA2" s="68"/>
      <c r="RVB2" s="68"/>
      <c r="RVC2" s="68"/>
      <c r="RVD2" s="68"/>
      <c r="RVE2" s="68"/>
      <c r="RVF2" s="68"/>
      <c r="RVG2" s="68"/>
      <c r="RVH2" s="68"/>
      <c r="RVI2" s="68"/>
      <c r="RVJ2" s="68"/>
      <c r="RVK2" s="68"/>
      <c r="RVL2" s="68"/>
      <c r="RVM2" s="68"/>
      <c r="RVN2" s="68"/>
      <c r="RVO2" s="68"/>
      <c r="RVP2" s="68"/>
      <c r="RVQ2" s="68"/>
      <c r="RVR2" s="68"/>
      <c r="RVS2" s="68"/>
      <c r="RVT2" s="68"/>
      <c r="RVU2" s="68"/>
      <c r="RVV2" s="68"/>
      <c r="RVW2" s="68"/>
      <c r="RVX2" s="68"/>
      <c r="RVY2" s="68"/>
      <c r="RVZ2" s="68"/>
      <c r="RWA2" s="68"/>
      <c r="RWB2" s="68"/>
      <c r="RWC2" s="68"/>
      <c r="RWD2" s="68"/>
      <c r="RWE2" s="68"/>
      <c r="RWF2" s="68"/>
      <c r="RWG2" s="68"/>
      <c r="RWH2" s="68"/>
      <c r="RWI2" s="68"/>
      <c r="RWJ2" s="68"/>
      <c r="RWK2" s="68"/>
      <c r="RWL2" s="68"/>
      <c r="RWM2" s="68"/>
      <c r="RWN2" s="68"/>
      <c r="RWO2" s="68"/>
      <c r="RWP2" s="68"/>
      <c r="RWQ2" s="68"/>
      <c r="RWR2" s="68"/>
      <c r="RWS2" s="68"/>
      <c r="RWT2" s="68"/>
      <c r="RWU2" s="68"/>
      <c r="RWV2" s="68"/>
      <c r="RWW2" s="68"/>
      <c r="RWX2" s="68"/>
      <c r="RWY2" s="68"/>
      <c r="RWZ2" s="68"/>
      <c r="RXA2" s="68"/>
      <c r="RXB2" s="68"/>
      <c r="RXC2" s="68"/>
      <c r="RXD2" s="68"/>
      <c r="RXE2" s="68"/>
      <c r="RXF2" s="68"/>
      <c r="RXG2" s="68"/>
      <c r="RXH2" s="68"/>
      <c r="RXI2" s="68"/>
      <c r="RXJ2" s="68"/>
      <c r="RXK2" s="68"/>
      <c r="RXL2" s="68"/>
      <c r="RXM2" s="68"/>
      <c r="RXN2" s="68"/>
      <c r="RXO2" s="68"/>
      <c r="RXP2" s="68"/>
      <c r="RXQ2" s="68"/>
      <c r="RXR2" s="68"/>
      <c r="RXS2" s="68"/>
      <c r="RXT2" s="68"/>
      <c r="RXU2" s="68"/>
      <c r="RXV2" s="68"/>
      <c r="RXW2" s="68"/>
      <c r="RXX2" s="68"/>
      <c r="RXY2" s="68"/>
      <c r="RXZ2" s="68"/>
      <c r="RYA2" s="68"/>
      <c r="RYB2" s="68"/>
      <c r="RYC2" s="68"/>
      <c r="RYD2" s="68"/>
      <c r="RYE2" s="68"/>
      <c r="RYF2" s="68"/>
      <c r="RYG2" s="68"/>
      <c r="RYH2" s="68"/>
      <c r="RYI2" s="68"/>
      <c r="RYJ2" s="68"/>
      <c r="RYK2" s="68"/>
      <c r="RYL2" s="68"/>
      <c r="RYM2" s="68"/>
      <c r="RYN2" s="68"/>
      <c r="RYO2" s="68"/>
      <c r="RYP2" s="68"/>
      <c r="RYQ2" s="68"/>
      <c r="RYR2" s="68"/>
      <c r="RYS2" s="68"/>
      <c r="RYT2" s="68"/>
      <c r="RYU2" s="68"/>
      <c r="RYV2" s="68"/>
      <c r="RYW2" s="68"/>
      <c r="RYX2" s="68"/>
      <c r="RYY2" s="68"/>
      <c r="RYZ2" s="68"/>
      <c r="RZA2" s="68"/>
      <c r="RZB2" s="68"/>
      <c r="RZC2" s="68"/>
      <c r="RZD2" s="68"/>
      <c r="RZE2" s="68"/>
      <c r="RZF2" s="68"/>
      <c r="RZG2" s="68"/>
      <c r="RZH2" s="68"/>
      <c r="RZI2" s="68"/>
      <c r="RZJ2" s="68"/>
      <c r="RZK2" s="68"/>
      <c r="RZL2" s="68"/>
      <c r="RZM2" s="68"/>
      <c r="RZN2" s="68"/>
      <c r="RZO2" s="68"/>
      <c r="RZP2" s="68"/>
      <c r="RZQ2" s="68"/>
      <c r="RZR2" s="68"/>
      <c r="RZS2" s="68"/>
      <c r="RZT2" s="68"/>
      <c r="RZU2" s="68"/>
      <c r="RZV2" s="68"/>
      <c r="RZW2" s="68"/>
      <c r="RZX2" s="68"/>
      <c r="RZY2" s="68"/>
      <c r="RZZ2" s="68"/>
      <c r="SAA2" s="68"/>
      <c r="SAB2" s="68"/>
      <c r="SAC2" s="68"/>
      <c r="SAD2" s="68"/>
      <c r="SAE2" s="68"/>
      <c r="SAF2" s="68"/>
      <c r="SAG2" s="68"/>
      <c r="SAH2" s="68"/>
      <c r="SAI2" s="68"/>
      <c r="SAJ2" s="68"/>
      <c r="SAK2" s="68"/>
      <c r="SAL2" s="68"/>
      <c r="SAM2" s="68"/>
      <c r="SAN2" s="68"/>
      <c r="SAO2" s="68"/>
      <c r="SAP2" s="68"/>
      <c r="SAQ2" s="68"/>
      <c r="SAR2" s="68"/>
      <c r="SAS2" s="68"/>
      <c r="SAT2" s="68"/>
      <c r="SAU2" s="68"/>
      <c r="SAV2" s="68"/>
      <c r="SAW2" s="68"/>
      <c r="SAX2" s="68"/>
      <c r="SAY2" s="68"/>
      <c r="SAZ2" s="68"/>
      <c r="SBA2" s="68"/>
      <c r="SBB2" s="68"/>
      <c r="SBC2" s="68"/>
      <c r="SBD2" s="68"/>
      <c r="SBE2" s="68"/>
      <c r="SBF2" s="68"/>
      <c r="SBG2" s="68"/>
      <c r="SBH2" s="68"/>
      <c r="SBI2" s="68"/>
      <c r="SBJ2" s="68"/>
      <c r="SBK2" s="68"/>
      <c r="SBL2" s="68"/>
      <c r="SBM2" s="68"/>
      <c r="SBN2" s="68"/>
      <c r="SBO2" s="68"/>
      <c r="SBP2" s="68"/>
      <c r="SBQ2" s="68"/>
      <c r="SBR2" s="68"/>
      <c r="SBS2" s="68"/>
      <c r="SBT2" s="68"/>
      <c r="SBU2" s="68"/>
      <c r="SBV2" s="68"/>
      <c r="SBW2" s="68"/>
      <c r="SBX2" s="68"/>
      <c r="SBY2" s="68"/>
      <c r="SBZ2" s="68"/>
      <c r="SCA2" s="68"/>
      <c r="SCB2" s="68"/>
      <c r="SCC2" s="68"/>
      <c r="SCD2" s="68"/>
      <c r="SCE2" s="68"/>
      <c r="SCF2" s="68"/>
      <c r="SCG2" s="68"/>
      <c r="SCH2" s="68"/>
      <c r="SCI2" s="68"/>
      <c r="SCJ2" s="68"/>
      <c r="SCK2" s="68"/>
      <c r="SCL2" s="68"/>
      <c r="SCM2" s="68"/>
      <c r="SCN2" s="68"/>
      <c r="SCO2" s="68"/>
      <c r="SCP2" s="68"/>
      <c r="SCQ2" s="68"/>
      <c r="SCR2" s="68"/>
      <c r="SCS2" s="68"/>
      <c r="SCT2" s="68"/>
      <c r="SCU2" s="68"/>
      <c r="SCV2" s="68"/>
      <c r="SCW2" s="68"/>
      <c r="SCX2" s="68"/>
      <c r="SCY2" s="68"/>
      <c r="SCZ2" s="68"/>
      <c r="SDA2" s="68"/>
      <c r="SDB2" s="68"/>
      <c r="SDC2" s="68"/>
      <c r="SDD2" s="68"/>
      <c r="SDE2" s="68"/>
      <c r="SDF2" s="68"/>
      <c r="SDG2" s="68"/>
      <c r="SDH2" s="68"/>
      <c r="SDI2" s="68"/>
      <c r="SDJ2" s="68"/>
      <c r="SDK2" s="68"/>
      <c r="SDL2" s="68"/>
      <c r="SDM2" s="68"/>
      <c r="SDN2" s="68"/>
      <c r="SDO2" s="68"/>
      <c r="SDP2" s="68"/>
      <c r="SDQ2" s="68"/>
      <c r="SDR2" s="68"/>
      <c r="SDS2" s="68"/>
      <c r="SDT2" s="68"/>
      <c r="SDU2" s="68"/>
      <c r="SDV2" s="68"/>
      <c r="SDW2" s="68"/>
      <c r="SDX2" s="68"/>
      <c r="SDY2" s="68"/>
      <c r="SDZ2" s="68"/>
      <c r="SEA2" s="68"/>
      <c r="SEB2" s="68"/>
      <c r="SEC2" s="68"/>
      <c r="SED2" s="68"/>
      <c r="SEE2" s="68"/>
      <c r="SEF2" s="68"/>
      <c r="SEG2" s="68"/>
      <c r="SEH2" s="68"/>
      <c r="SEI2" s="68"/>
      <c r="SEJ2" s="68"/>
      <c r="SEK2" s="68"/>
      <c r="SEL2" s="68"/>
      <c r="SEM2" s="68"/>
      <c r="SEN2" s="68"/>
      <c r="SEO2" s="68"/>
      <c r="SEP2" s="68"/>
      <c r="SEQ2" s="68"/>
      <c r="SER2" s="68"/>
      <c r="SES2" s="68"/>
      <c r="SET2" s="68"/>
      <c r="SEU2" s="68"/>
      <c r="SEV2" s="68"/>
      <c r="SEW2" s="68"/>
      <c r="SEX2" s="68"/>
      <c r="SEY2" s="68"/>
      <c r="SEZ2" s="68"/>
      <c r="SFA2" s="68"/>
      <c r="SFB2" s="68"/>
      <c r="SFC2" s="68"/>
      <c r="SFD2" s="68"/>
      <c r="SFE2" s="68"/>
      <c r="SFF2" s="68"/>
      <c r="SFG2" s="68"/>
      <c r="SFH2" s="68"/>
      <c r="SFI2" s="68"/>
      <c r="SFJ2" s="68"/>
      <c r="SFK2" s="68"/>
      <c r="SFL2" s="68"/>
      <c r="SFM2" s="68"/>
      <c r="SFN2" s="68"/>
      <c r="SFO2" s="68"/>
      <c r="SFP2" s="68"/>
      <c r="SFQ2" s="68"/>
      <c r="SFR2" s="68"/>
      <c r="SFS2" s="68"/>
      <c r="SFT2" s="68"/>
      <c r="SFU2" s="68"/>
      <c r="SFV2" s="68"/>
      <c r="SFW2" s="68"/>
      <c r="SFX2" s="68"/>
      <c r="SFY2" s="68"/>
      <c r="SFZ2" s="68"/>
      <c r="SGA2" s="68"/>
      <c r="SGB2" s="68"/>
      <c r="SGC2" s="68"/>
      <c r="SGD2" s="68"/>
      <c r="SGE2" s="68"/>
      <c r="SGF2" s="68"/>
      <c r="SGG2" s="68"/>
      <c r="SGH2" s="68"/>
      <c r="SGI2" s="68"/>
      <c r="SGJ2" s="68"/>
      <c r="SGK2" s="68"/>
      <c r="SGL2" s="68"/>
      <c r="SGM2" s="68"/>
      <c r="SGN2" s="68"/>
      <c r="SGO2" s="68"/>
      <c r="SGP2" s="68"/>
      <c r="SGQ2" s="68"/>
      <c r="SGR2" s="68"/>
      <c r="SGS2" s="68"/>
      <c r="SGT2" s="68"/>
      <c r="SGU2" s="68"/>
      <c r="SGV2" s="68"/>
      <c r="SGW2" s="68"/>
      <c r="SGX2" s="68"/>
      <c r="SGY2" s="68"/>
      <c r="SGZ2" s="68"/>
      <c r="SHA2" s="68"/>
      <c r="SHB2" s="68"/>
      <c r="SHC2" s="68"/>
      <c r="SHD2" s="68"/>
      <c r="SHE2" s="68"/>
      <c r="SHF2" s="68"/>
      <c r="SHG2" s="68"/>
      <c r="SHH2" s="68"/>
      <c r="SHI2" s="68"/>
      <c r="SHJ2" s="68"/>
      <c r="SHK2" s="68"/>
      <c r="SHL2" s="68"/>
      <c r="SHM2" s="68"/>
      <c r="SHN2" s="68"/>
      <c r="SHO2" s="68"/>
      <c r="SHP2" s="68"/>
      <c r="SHQ2" s="68"/>
      <c r="SHR2" s="68"/>
      <c r="SHS2" s="68"/>
      <c r="SHT2" s="68"/>
      <c r="SHU2" s="68"/>
      <c r="SHV2" s="68"/>
      <c r="SHW2" s="68"/>
      <c r="SHX2" s="68"/>
      <c r="SHY2" s="68"/>
      <c r="SHZ2" s="68"/>
      <c r="SIA2" s="68"/>
      <c r="SIB2" s="68"/>
      <c r="SIC2" s="68"/>
      <c r="SID2" s="68"/>
      <c r="SIE2" s="68"/>
      <c r="SIF2" s="68"/>
      <c r="SIG2" s="68"/>
      <c r="SIH2" s="68"/>
      <c r="SII2" s="68"/>
      <c r="SIJ2" s="68"/>
      <c r="SIK2" s="68"/>
      <c r="SIL2" s="68"/>
      <c r="SIM2" s="68"/>
      <c r="SIN2" s="68"/>
      <c r="SIO2" s="68"/>
      <c r="SIP2" s="68"/>
      <c r="SIQ2" s="68"/>
      <c r="SIR2" s="68"/>
      <c r="SIS2" s="68"/>
      <c r="SIT2" s="68"/>
      <c r="SIU2" s="68"/>
      <c r="SIV2" s="68"/>
      <c r="SIW2" s="68"/>
      <c r="SIX2" s="68"/>
      <c r="SIY2" s="68"/>
      <c r="SIZ2" s="68"/>
      <c r="SJA2" s="68"/>
      <c r="SJB2" s="68"/>
      <c r="SJC2" s="68"/>
      <c r="SJD2" s="68"/>
      <c r="SJE2" s="68"/>
      <c r="SJF2" s="68"/>
      <c r="SJG2" s="68"/>
      <c r="SJH2" s="68"/>
      <c r="SJI2" s="68"/>
      <c r="SJJ2" s="68"/>
      <c r="SJK2" s="68"/>
      <c r="SJL2" s="68"/>
      <c r="SJM2" s="68"/>
      <c r="SJN2" s="68"/>
      <c r="SJO2" s="68"/>
      <c r="SJP2" s="68"/>
      <c r="SJQ2" s="68"/>
      <c r="SJR2" s="68"/>
      <c r="SJS2" s="68"/>
      <c r="SJT2" s="68"/>
      <c r="SJU2" s="68"/>
      <c r="SJV2" s="68"/>
      <c r="SJW2" s="68"/>
      <c r="SJX2" s="68"/>
      <c r="SJY2" s="68"/>
      <c r="SJZ2" s="68"/>
      <c r="SKA2" s="68"/>
      <c r="SKB2" s="68"/>
      <c r="SKC2" s="68"/>
      <c r="SKD2" s="68"/>
      <c r="SKE2" s="68"/>
      <c r="SKF2" s="68"/>
      <c r="SKG2" s="68"/>
      <c r="SKH2" s="68"/>
      <c r="SKI2" s="68"/>
      <c r="SKJ2" s="68"/>
      <c r="SKK2" s="68"/>
      <c r="SKL2" s="68"/>
      <c r="SKM2" s="68"/>
      <c r="SKN2" s="68"/>
      <c r="SKO2" s="68"/>
      <c r="SKP2" s="68"/>
      <c r="SKQ2" s="68"/>
      <c r="SKR2" s="68"/>
      <c r="SKS2" s="68"/>
      <c r="SKT2" s="68"/>
      <c r="SKU2" s="68"/>
      <c r="SKV2" s="68"/>
      <c r="SKW2" s="68"/>
      <c r="SKX2" s="68"/>
      <c r="SKY2" s="68"/>
      <c r="SKZ2" s="68"/>
      <c r="SLA2" s="68"/>
      <c r="SLB2" s="68"/>
      <c r="SLC2" s="68"/>
      <c r="SLD2" s="68"/>
      <c r="SLE2" s="68"/>
      <c r="SLF2" s="68"/>
      <c r="SLG2" s="68"/>
      <c r="SLH2" s="68"/>
      <c r="SLI2" s="68"/>
      <c r="SLJ2" s="68"/>
      <c r="SLK2" s="68"/>
      <c r="SLL2" s="68"/>
      <c r="SLM2" s="68"/>
      <c r="SLN2" s="68"/>
      <c r="SLO2" s="68"/>
      <c r="SLP2" s="68"/>
      <c r="SLQ2" s="68"/>
      <c r="SLR2" s="68"/>
      <c r="SLS2" s="68"/>
      <c r="SLT2" s="68"/>
      <c r="SLU2" s="68"/>
      <c r="SLV2" s="68"/>
      <c r="SLW2" s="68"/>
      <c r="SLX2" s="68"/>
      <c r="SLY2" s="68"/>
      <c r="SLZ2" s="68"/>
      <c r="SMA2" s="68"/>
      <c r="SMB2" s="68"/>
      <c r="SMC2" s="68"/>
      <c r="SMD2" s="68"/>
      <c r="SME2" s="68"/>
      <c r="SMF2" s="68"/>
      <c r="SMG2" s="68"/>
      <c r="SMH2" s="68"/>
      <c r="SMI2" s="68"/>
      <c r="SMJ2" s="68"/>
      <c r="SMK2" s="68"/>
      <c r="SML2" s="68"/>
      <c r="SMM2" s="68"/>
      <c r="SMN2" s="68"/>
      <c r="SMO2" s="68"/>
      <c r="SMP2" s="68"/>
      <c r="SMQ2" s="68"/>
      <c r="SMR2" s="68"/>
      <c r="SMS2" s="68"/>
      <c r="SMT2" s="68"/>
      <c r="SMU2" s="68"/>
      <c r="SMV2" s="68"/>
      <c r="SMW2" s="68"/>
      <c r="SMX2" s="68"/>
      <c r="SMY2" s="68"/>
      <c r="SMZ2" s="68"/>
      <c r="SNA2" s="68"/>
      <c r="SNB2" s="68"/>
      <c r="SNC2" s="68"/>
      <c r="SND2" s="68"/>
      <c r="SNE2" s="68"/>
      <c r="SNF2" s="68"/>
      <c r="SNG2" s="68"/>
      <c r="SNH2" s="68"/>
      <c r="SNI2" s="68"/>
      <c r="SNJ2" s="68"/>
      <c r="SNK2" s="68"/>
      <c r="SNL2" s="68"/>
      <c r="SNM2" s="68"/>
      <c r="SNN2" s="68"/>
      <c r="SNO2" s="68"/>
      <c r="SNP2" s="68"/>
      <c r="SNQ2" s="68"/>
      <c r="SNR2" s="68"/>
      <c r="SNS2" s="68"/>
      <c r="SNT2" s="68"/>
      <c r="SNU2" s="68"/>
      <c r="SNV2" s="68"/>
      <c r="SNW2" s="68"/>
      <c r="SNX2" s="68"/>
      <c r="SNY2" s="68"/>
      <c r="SNZ2" s="68"/>
      <c r="SOA2" s="68"/>
      <c r="SOB2" s="68"/>
      <c r="SOC2" s="68"/>
      <c r="SOD2" s="68"/>
      <c r="SOE2" s="68"/>
      <c r="SOF2" s="68"/>
      <c r="SOG2" s="68"/>
      <c r="SOH2" s="68"/>
      <c r="SOI2" s="68"/>
      <c r="SOJ2" s="68"/>
      <c r="SOK2" s="68"/>
      <c r="SOL2" s="68"/>
      <c r="SOM2" s="68"/>
      <c r="SON2" s="68"/>
      <c r="SOO2" s="68"/>
      <c r="SOP2" s="68"/>
      <c r="SOQ2" s="68"/>
      <c r="SOR2" s="68"/>
      <c r="SOS2" s="68"/>
      <c r="SOT2" s="68"/>
      <c r="SOU2" s="68"/>
      <c r="SOV2" s="68"/>
      <c r="SOW2" s="68"/>
      <c r="SOX2" s="68"/>
      <c r="SOY2" s="68"/>
      <c r="SOZ2" s="68"/>
      <c r="SPA2" s="68"/>
      <c r="SPB2" s="68"/>
      <c r="SPC2" s="68"/>
      <c r="SPD2" s="68"/>
      <c r="SPE2" s="68"/>
      <c r="SPF2" s="68"/>
      <c r="SPG2" s="68"/>
      <c r="SPH2" s="68"/>
      <c r="SPI2" s="68"/>
      <c r="SPJ2" s="68"/>
      <c r="SPK2" s="68"/>
      <c r="SPL2" s="68"/>
      <c r="SPM2" s="68"/>
      <c r="SPN2" s="68"/>
      <c r="SPO2" s="68"/>
      <c r="SPP2" s="68"/>
      <c r="SPQ2" s="68"/>
      <c r="SPR2" s="68"/>
      <c r="SPS2" s="68"/>
      <c r="SPT2" s="68"/>
      <c r="SPU2" s="68"/>
      <c r="SPV2" s="68"/>
      <c r="SPW2" s="68"/>
      <c r="SPX2" s="68"/>
      <c r="SPY2" s="68"/>
      <c r="SPZ2" s="68"/>
      <c r="SQA2" s="68"/>
      <c r="SQB2" s="68"/>
      <c r="SQC2" s="68"/>
      <c r="SQD2" s="68"/>
      <c r="SQE2" s="68"/>
      <c r="SQF2" s="68"/>
      <c r="SQG2" s="68"/>
      <c r="SQH2" s="68"/>
      <c r="SQI2" s="68"/>
      <c r="SQJ2" s="68"/>
      <c r="SQK2" s="68"/>
      <c r="SQL2" s="68"/>
      <c r="SQM2" s="68"/>
      <c r="SQN2" s="68"/>
      <c r="SQO2" s="68"/>
      <c r="SQP2" s="68"/>
      <c r="SQQ2" s="68"/>
      <c r="SQR2" s="68"/>
      <c r="SQS2" s="68"/>
      <c r="SQT2" s="68"/>
      <c r="SQU2" s="68"/>
      <c r="SQV2" s="68"/>
      <c r="SQW2" s="68"/>
      <c r="SQX2" s="68"/>
      <c r="SQY2" s="68"/>
      <c r="SQZ2" s="68"/>
      <c r="SRA2" s="68"/>
      <c r="SRB2" s="68"/>
      <c r="SRC2" s="68"/>
      <c r="SRD2" s="68"/>
      <c r="SRE2" s="68"/>
      <c r="SRF2" s="68"/>
      <c r="SRG2" s="68"/>
      <c r="SRH2" s="68"/>
      <c r="SRI2" s="68"/>
      <c r="SRJ2" s="68"/>
      <c r="SRK2" s="68"/>
      <c r="SRL2" s="68"/>
      <c r="SRM2" s="68"/>
      <c r="SRN2" s="68"/>
      <c r="SRO2" s="68"/>
      <c r="SRP2" s="68"/>
      <c r="SRQ2" s="68"/>
      <c r="SRR2" s="68"/>
      <c r="SRS2" s="68"/>
      <c r="SRT2" s="68"/>
      <c r="SRU2" s="68"/>
      <c r="SRV2" s="68"/>
      <c r="SRW2" s="68"/>
      <c r="SRX2" s="68"/>
      <c r="SRY2" s="68"/>
      <c r="SRZ2" s="68"/>
      <c r="SSA2" s="68"/>
      <c r="SSB2" s="68"/>
      <c r="SSC2" s="68"/>
      <c r="SSD2" s="68"/>
      <c r="SSE2" s="68"/>
      <c r="SSF2" s="68"/>
      <c r="SSG2" s="68"/>
      <c r="SSH2" s="68"/>
      <c r="SSI2" s="68"/>
      <c r="SSJ2" s="68"/>
      <c r="SSK2" s="68"/>
      <c r="SSL2" s="68"/>
      <c r="SSM2" s="68"/>
      <c r="SSN2" s="68"/>
      <c r="SSO2" s="68"/>
      <c r="SSP2" s="68"/>
      <c r="SSQ2" s="68"/>
      <c r="SSR2" s="68"/>
      <c r="SSS2" s="68"/>
      <c r="SST2" s="68"/>
      <c r="SSU2" s="68"/>
      <c r="SSV2" s="68"/>
      <c r="SSW2" s="68"/>
      <c r="SSX2" s="68"/>
      <c r="SSY2" s="68"/>
      <c r="SSZ2" s="68"/>
      <c r="STA2" s="68"/>
      <c r="STB2" s="68"/>
      <c r="STC2" s="68"/>
      <c r="STD2" s="68"/>
      <c r="STE2" s="68"/>
      <c r="STF2" s="68"/>
      <c r="STG2" s="68"/>
      <c r="STH2" s="68"/>
      <c r="STI2" s="68"/>
      <c r="STJ2" s="68"/>
      <c r="STK2" s="68"/>
      <c r="STL2" s="68"/>
      <c r="STM2" s="68"/>
      <c r="STN2" s="68"/>
      <c r="STO2" s="68"/>
      <c r="STP2" s="68"/>
      <c r="STQ2" s="68"/>
      <c r="STR2" s="68"/>
      <c r="STS2" s="68"/>
      <c r="STT2" s="68"/>
      <c r="STU2" s="68"/>
      <c r="STV2" s="68"/>
      <c r="STW2" s="68"/>
      <c r="STX2" s="68"/>
      <c r="STY2" s="68"/>
      <c r="STZ2" s="68"/>
      <c r="SUA2" s="68"/>
      <c r="SUB2" s="68"/>
      <c r="SUC2" s="68"/>
      <c r="SUD2" s="68"/>
      <c r="SUE2" s="68"/>
      <c r="SUF2" s="68"/>
      <c r="SUG2" s="68"/>
      <c r="SUH2" s="68"/>
      <c r="SUI2" s="68"/>
      <c r="SUJ2" s="68"/>
      <c r="SUK2" s="68"/>
      <c r="SUL2" s="68"/>
      <c r="SUM2" s="68"/>
      <c r="SUN2" s="68"/>
      <c r="SUO2" s="68"/>
      <c r="SUP2" s="68"/>
      <c r="SUQ2" s="68"/>
      <c r="SUR2" s="68"/>
      <c r="SUS2" s="68"/>
      <c r="SUT2" s="68"/>
      <c r="SUU2" s="68"/>
      <c r="SUV2" s="68"/>
      <c r="SUW2" s="68"/>
      <c r="SUX2" s="68"/>
      <c r="SUY2" s="68"/>
      <c r="SUZ2" s="68"/>
      <c r="SVA2" s="68"/>
      <c r="SVB2" s="68"/>
      <c r="SVC2" s="68"/>
      <c r="SVD2" s="68"/>
      <c r="SVE2" s="68"/>
      <c r="SVF2" s="68"/>
      <c r="SVG2" s="68"/>
      <c r="SVH2" s="68"/>
      <c r="SVI2" s="68"/>
      <c r="SVJ2" s="68"/>
      <c r="SVK2" s="68"/>
      <c r="SVL2" s="68"/>
      <c r="SVM2" s="68"/>
      <c r="SVN2" s="68"/>
      <c r="SVO2" s="68"/>
      <c r="SVP2" s="68"/>
      <c r="SVQ2" s="68"/>
      <c r="SVR2" s="68"/>
      <c r="SVS2" s="68"/>
      <c r="SVT2" s="68"/>
      <c r="SVU2" s="68"/>
      <c r="SVV2" s="68"/>
      <c r="SVW2" s="68"/>
      <c r="SVX2" s="68"/>
      <c r="SVY2" s="68"/>
      <c r="SVZ2" s="68"/>
      <c r="SWA2" s="68"/>
      <c r="SWB2" s="68"/>
      <c r="SWC2" s="68"/>
      <c r="SWD2" s="68"/>
      <c r="SWE2" s="68"/>
      <c r="SWF2" s="68"/>
      <c r="SWG2" s="68"/>
      <c r="SWH2" s="68"/>
      <c r="SWI2" s="68"/>
      <c r="SWJ2" s="68"/>
      <c r="SWK2" s="68"/>
      <c r="SWL2" s="68"/>
      <c r="SWM2" s="68"/>
      <c r="SWN2" s="68"/>
      <c r="SWO2" s="68"/>
      <c r="SWP2" s="68"/>
      <c r="SWQ2" s="68"/>
      <c r="SWR2" s="68"/>
      <c r="SWS2" s="68"/>
      <c r="SWT2" s="68"/>
      <c r="SWU2" s="68"/>
      <c r="SWV2" s="68"/>
      <c r="SWW2" s="68"/>
      <c r="SWX2" s="68"/>
      <c r="SWY2" s="68"/>
      <c r="SWZ2" s="68"/>
      <c r="SXA2" s="68"/>
      <c r="SXB2" s="68"/>
      <c r="SXC2" s="68"/>
      <c r="SXD2" s="68"/>
      <c r="SXE2" s="68"/>
      <c r="SXF2" s="68"/>
      <c r="SXG2" s="68"/>
      <c r="SXH2" s="68"/>
      <c r="SXI2" s="68"/>
      <c r="SXJ2" s="68"/>
      <c r="SXK2" s="68"/>
      <c r="SXL2" s="68"/>
      <c r="SXM2" s="68"/>
      <c r="SXN2" s="68"/>
      <c r="SXO2" s="68"/>
      <c r="SXP2" s="68"/>
      <c r="SXQ2" s="68"/>
      <c r="SXR2" s="68"/>
      <c r="SXS2" s="68"/>
      <c r="SXT2" s="68"/>
      <c r="SXU2" s="68"/>
      <c r="SXV2" s="68"/>
      <c r="SXW2" s="68"/>
      <c r="SXX2" s="68"/>
      <c r="SXY2" s="68"/>
      <c r="SXZ2" s="68"/>
      <c r="SYA2" s="68"/>
      <c r="SYB2" s="68"/>
      <c r="SYC2" s="68"/>
      <c r="SYD2" s="68"/>
      <c r="SYE2" s="68"/>
      <c r="SYF2" s="68"/>
      <c r="SYG2" s="68"/>
      <c r="SYH2" s="68"/>
      <c r="SYI2" s="68"/>
      <c r="SYJ2" s="68"/>
      <c r="SYK2" s="68"/>
      <c r="SYL2" s="68"/>
      <c r="SYM2" s="68"/>
      <c r="SYN2" s="68"/>
      <c r="SYO2" s="68"/>
      <c r="SYP2" s="68"/>
      <c r="SYQ2" s="68"/>
      <c r="SYR2" s="68"/>
      <c r="SYS2" s="68"/>
      <c r="SYT2" s="68"/>
      <c r="SYU2" s="68"/>
      <c r="SYV2" s="68"/>
      <c r="SYW2" s="68"/>
      <c r="SYX2" s="68"/>
      <c r="SYY2" s="68"/>
      <c r="SYZ2" s="68"/>
      <c r="SZA2" s="68"/>
      <c r="SZB2" s="68"/>
      <c r="SZC2" s="68"/>
      <c r="SZD2" s="68"/>
      <c r="SZE2" s="68"/>
      <c r="SZF2" s="68"/>
      <c r="SZG2" s="68"/>
      <c r="SZH2" s="68"/>
      <c r="SZI2" s="68"/>
      <c r="SZJ2" s="68"/>
      <c r="SZK2" s="68"/>
      <c r="SZL2" s="68"/>
      <c r="SZM2" s="68"/>
      <c r="SZN2" s="68"/>
      <c r="SZO2" s="68"/>
      <c r="SZP2" s="68"/>
      <c r="SZQ2" s="68"/>
      <c r="SZR2" s="68"/>
      <c r="SZS2" s="68"/>
      <c r="SZT2" s="68"/>
      <c r="SZU2" s="68"/>
      <c r="SZV2" s="68"/>
      <c r="SZW2" s="68"/>
      <c r="SZX2" s="68"/>
      <c r="SZY2" s="68"/>
      <c r="SZZ2" s="68"/>
      <c r="TAA2" s="68"/>
      <c r="TAB2" s="68"/>
      <c r="TAC2" s="68"/>
      <c r="TAD2" s="68"/>
      <c r="TAE2" s="68"/>
      <c r="TAF2" s="68"/>
      <c r="TAG2" s="68"/>
      <c r="TAH2" s="68"/>
      <c r="TAI2" s="68"/>
      <c r="TAJ2" s="68"/>
      <c r="TAK2" s="68"/>
      <c r="TAL2" s="68"/>
      <c r="TAM2" s="68"/>
      <c r="TAN2" s="68"/>
      <c r="TAO2" s="68"/>
      <c r="TAP2" s="68"/>
      <c r="TAQ2" s="68"/>
      <c r="TAR2" s="68"/>
      <c r="TAS2" s="68"/>
      <c r="TAT2" s="68"/>
      <c r="TAU2" s="68"/>
      <c r="TAV2" s="68"/>
      <c r="TAW2" s="68"/>
      <c r="TAX2" s="68"/>
      <c r="TAY2" s="68"/>
      <c r="TAZ2" s="68"/>
      <c r="TBA2" s="68"/>
      <c r="TBB2" s="68"/>
      <c r="TBC2" s="68"/>
      <c r="TBD2" s="68"/>
      <c r="TBE2" s="68"/>
      <c r="TBF2" s="68"/>
      <c r="TBG2" s="68"/>
      <c r="TBH2" s="68"/>
      <c r="TBI2" s="68"/>
      <c r="TBJ2" s="68"/>
      <c r="TBK2" s="68"/>
      <c r="TBL2" s="68"/>
      <c r="TBM2" s="68"/>
      <c r="TBN2" s="68"/>
      <c r="TBO2" s="68"/>
      <c r="TBP2" s="68"/>
      <c r="TBQ2" s="68"/>
      <c r="TBR2" s="68"/>
      <c r="TBS2" s="68"/>
      <c r="TBT2" s="68"/>
      <c r="TBU2" s="68"/>
      <c r="TBV2" s="68"/>
      <c r="TBW2" s="68"/>
      <c r="TBX2" s="68"/>
      <c r="TBY2" s="68"/>
      <c r="TBZ2" s="68"/>
      <c r="TCA2" s="68"/>
      <c r="TCB2" s="68"/>
      <c r="TCC2" s="68"/>
      <c r="TCD2" s="68"/>
      <c r="TCE2" s="68"/>
      <c r="TCF2" s="68"/>
      <c r="TCG2" s="68"/>
      <c r="TCH2" s="68"/>
      <c r="TCI2" s="68"/>
      <c r="TCJ2" s="68"/>
      <c r="TCK2" s="68"/>
      <c r="TCL2" s="68"/>
      <c r="TCM2" s="68"/>
      <c r="TCN2" s="68"/>
      <c r="TCO2" s="68"/>
      <c r="TCP2" s="68"/>
      <c r="TCQ2" s="68"/>
      <c r="TCR2" s="68"/>
      <c r="TCS2" s="68"/>
      <c r="TCT2" s="68"/>
      <c r="TCU2" s="68"/>
      <c r="TCV2" s="68"/>
      <c r="TCW2" s="68"/>
      <c r="TCX2" s="68"/>
      <c r="TCY2" s="68"/>
      <c r="TCZ2" s="68"/>
      <c r="TDA2" s="68"/>
      <c r="TDB2" s="68"/>
      <c r="TDC2" s="68"/>
      <c r="TDD2" s="68"/>
      <c r="TDE2" s="68"/>
      <c r="TDF2" s="68"/>
      <c r="TDG2" s="68"/>
      <c r="TDH2" s="68"/>
      <c r="TDI2" s="68"/>
      <c r="TDJ2" s="68"/>
      <c r="TDK2" s="68"/>
      <c r="TDL2" s="68"/>
      <c r="TDM2" s="68"/>
      <c r="TDN2" s="68"/>
      <c r="TDO2" s="68"/>
      <c r="TDP2" s="68"/>
      <c r="TDQ2" s="68"/>
      <c r="TDR2" s="68"/>
      <c r="TDS2" s="68"/>
      <c r="TDT2" s="68"/>
      <c r="TDU2" s="68"/>
      <c r="TDV2" s="68"/>
      <c r="TDW2" s="68"/>
      <c r="TDX2" s="68"/>
      <c r="TDY2" s="68"/>
      <c r="TDZ2" s="68"/>
      <c r="TEA2" s="68"/>
      <c r="TEB2" s="68"/>
      <c r="TEC2" s="68"/>
      <c r="TED2" s="68"/>
      <c r="TEE2" s="68"/>
      <c r="TEF2" s="68"/>
      <c r="TEG2" s="68"/>
      <c r="TEH2" s="68"/>
      <c r="TEI2" s="68"/>
      <c r="TEJ2" s="68"/>
      <c r="TEK2" s="68"/>
      <c r="TEL2" s="68"/>
      <c r="TEM2" s="68"/>
      <c r="TEN2" s="68"/>
      <c r="TEO2" s="68"/>
      <c r="TEP2" s="68"/>
      <c r="TEQ2" s="68"/>
      <c r="TER2" s="68"/>
      <c r="TES2" s="68"/>
      <c r="TET2" s="68"/>
      <c r="TEU2" s="68"/>
      <c r="TEV2" s="68"/>
      <c r="TEW2" s="68"/>
      <c r="TEX2" s="68"/>
      <c r="TEY2" s="68"/>
      <c r="TEZ2" s="68"/>
      <c r="TFA2" s="68"/>
      <c r="TFB2" s="68"/>
      <c r="TFC2" s="68"/>
      <c r="TFD2" s="68"/>
      <c r="TFE2" s="68"/>
      <c r="TFF2" s="68"/>
      <c r="TFG2" s="68"/>
      <c r="TFH2" s="68"/>
      <c r="TFI2" s="68"/>
      <c r="TFJ2" s="68"/>
      <c r="TFK2" s="68"/>
      <c r="TFL2" s="68"/>
      <c r="TFM2" s="68"/>
      <c r="TFN2" s="68"/>
      <c r="TFO2" s="68"/>
      <c r="TFP2" s="68"/>
      <c r="TFQ2" s="68"/>
      <c r="TFR2" s="68"/>
      <c r="TFS2" s="68"/>
      <c r="TFT2" s="68"/>
      <c r="TFU2" s="68"/>
      <c r="TFV2" s="68"/>
      <c r="TFW2" s="68"/>
      <c r="TFX2" s="68"/>
      <c r="TFY2" s="68"/>
      <c r="TFZ2" s="68"/>
      <c r="TGA2" s="68"/>
      <c r="TGB2" s="68"/>
      <c r="TGC2" s="68"/>
      <c r="TGD2" s="68"/>
      <c r="TGE2" s="68"/>
      <c r="TGF2" s="68"/>
      <c r="TGG2" s="68"/>
      <c r="TGH2" s="68"/>
      <c r="TGI2" s="68"/>
      <c r="TGJ2" s="68"/>
      <c r="TGK2" s="68"/>
      <c r="TGL2" s="68"/>
      <c r="TGM2" s="68"/>
      <c r="TGN2" s="68"/>
      <c r="TGO2" s="68"/>
      <c r="TGP2" s="68"/>
      <c r="TGQ2" s="68"/>
      <c r="TGR2" s="68"/>
      <c r="TGS2" s="68"/>
      <c r="TGT2" s="68"/>
      <c r="TGU2" s="68"/>
      <c r="TGV2" s="68"/>
      <c r="TGW2" s="68"/>
      <c r="TGX2" s="68"/>
      <c r="TGY2" s="68"/>
      <c r="TGZ2" s="68"/>
      <c r="THA2" s="68"/>
      <c r="THB2" s="68"/>
      <c r="THC2" s="68"/>
      <c r="THD2" s="68"/>
      <c r="THE2" s="68"/>
      <c r="THF2" s="68"/>
      <c r="THG2" s="68"/>
      <c r="THH2" s="68"/>
      <c r="THI2" s="68"/>
      <c r="THJ2" s="68"/>
      <c r="THK2" s="68"/>
      <c r="THL2" s="68"/>
      <c r="THM2" s="68"/>
      <c r="THN2" s="68"/>
      <c r="THO2" s="68"/>
      <c r="THP2" s="68"/>
      <c r="THQ2" s="68"/>
      <c r="THR2" s="68"/>
      <c r="THS2" s="68"/>
      <c r="THT2" s="68"/>
      <c r="THU2" s="68"/>
      <c r="THV2" s="68"/>
      <c r="THW2" s="68"/>
      <c r="THX2" s="68"/>
      <c r="THY2" s="68"/>
      <c r="THZ2" s="68"/>
      <c r="TIA2" s="68"/>
      <c r="TIB2" s="68"/>
      <c r="TIC2" s="68"/>
      <c r="TID2" s="68"/>
      <c r="TIE2" s="68"/>
      <c r="TIF2" s="68"/>
      <c r="TIG2" s="68"/>
      <c r="TIH2" s="68"/>
      <c r="TII2" s="68"/>
      <c r="TIJ2" s="68"/>
      <c r="TIK2" s="68"/>
      <c r="TIL2" s="68"/>
      <c r="TIM2" s="68"/>
      <c r="TIN2" s="68"/>
      <c r="TIO2" s="68"/>
      <c r="TIP2" s="68"/>
      <c r="TIQ2" s="68"/>
      <c r="TIR2" s="68"/>
      <c r="TIS2" s="68"/>
      <c r="TIT2" s="68"/>
      <c r="TIU2" s="68"/>
      <c r="TIV2" s="68"/>
      <c r="TIW2" s="68"/>
      <c r="TIX2" s="68"/>
      <c r="TIY2" s="68"/>
      <c r="TIZ2" s="68"/>
      <c r="TJA2" s="68"/>
      <c r="TJB2" s="68"/>
      <c r="TJC2" s="68"/>
      <c r="TJD2" s="68"/>
      <c r="TJE2" s="68"/>
      <c r="TJF2" s="68"/>
      <c r="TJG2" s="68"/>
      <c r="TJH2" s="68"/>
      <c r="TJI2" s="68"/>
      <c r="TJJ2" s="68"/>
      <c r="TJK2" s="68"/>
      <c r="TJL2" s="68"/>
      <c r="TJM2" s="68"/>
      <c r="TJN2" s="68"/>
      <c r="TJO2" s="68"/>
      <c r="TJP2" s="68"/>
      <c r="TJQ2" s="68"/>
      <c r="TJR2" s="68"/>
      <c r="TJS2" s="68"/>
      <c r="TJT2" s="68"/>
      <c r="TJU2" s="68"/>
      <c r="TJV2" s="68"/>
      <c r="TJW2" s="68"/>
      <c r="TJX2" s="68"/>
      <c r="TJY2" s="68"/>
      <c r="TJZ2" s="68"/>
      <c r="TKA2" s="68"/>
      <c r="TKB2" s="68"/>
      <c r="TKC2" s="68"/>
      <c r="TKD2" s="68"/>
      <c r="TKE2" s="68"/>
      <c r="TKF2" s="68"/>
      <c r="TKG2" s="68"/>
      <c r="TKH2" s="68"/>
      <c r="TKI2" s="68"/>
      <c r="TKJ2" s="68"/>
      <c r="TKK2" s="68"/>
      <c r="TKL2" s="68"/>
      <c r="TKM2" s="68"/>
      <c r="TKN2" s="68"/>
      <c r="TKO2" s="68"/>
      <c r="TKP2" s="68"/>
      <c r="TKQ2" s="68"/>
      <c r="TKR2" s="68"/>
      <c r="TKS2" s="68"/>
      <c r="TKT2" s="68"/>
      <c r="TKU2" s="68"/>
      <c r="TKV2" s="68"/>
      <c r="TKW2" s="68"/>
      <c r="TKX2" s="68"/>
      <c r="TKY2" s="68"/>
      <c r="TKZ2" s="68"/>
      <c r="TLA2" s="68"/>
      <c r="TLB2" s="68"/>
      <c r="TLC2" s="68"/>
      <c r="TLD2" s="68"/>
      <c r="TLE2" s="68"/>
      <c r="TLF2" s="68"/>
      <c r="TLG2" s="68"/>
      <c r="TLH2" s="68"/>
      <c r="TLI2" s="68"/>
      <c r="TLJ2" s="68"/>
      <c r="TLK2" s="68"/>
      <c r="TLL2" s="68"/>
      <c r="TLM2" s="68"/>
      <c r="TLN2" s="68"/>
      <c r="TLO2" s="68"/>
      <c r="TLP2" s="68"/>
      <c r="TLQ2" s="68"/>
      <c r="TLR2" s="68"/>
      <c r="TLS2" s="68"/>
      <c r="TLT2" s="68"/>
      <c r="TLU2" s="68"/>
      <c r="TLV2" s="68"/>
      <c r="TLW2" s="68"/>
      <c r="TLX2" s="68"/>
      <c r="TLY2" s="68"/>
      <c r="TLZ2" s="68"/>
      <c r="TMA2" s="68"/>
      <c r="TMB2" s="68"/>
      <c r="TMC2" s="68"/>
      <c r="TMD2" s="68"/>
      <c r="TME2" s="68"/>
      <c r="TMF2" s="68"/>
      <c r="TMG2" s="68"/>
      <c r="TMH2" s="68"/>
      <c r="TMI2" s="68"/>
      <c r="TMJ2" s="68"/>
      <c r="TMK2" s="68"/>
      <c r="TML2" s="68"/>
      <c r="TMM2" s="68"/>
      <c r="TMN2" s="68"/>
      <c r="TMO2" s="68"/>
      <c r="TMP2" s="68"/>
      <c r="TMQ2" s="68"/>
      <c r="TMR2" s="68"/>
      <c r="TMS2" s="68"/>
      <c r="TMT2" s="68"/>
      <c r="TMU2" s="68"/>
      <c r="TMV2" s="68"/>
      <c r="TMW2" s="68"/>
      <c r="TMX2" s="68"/>
      <c r="TMY2" s="68"/>
      <c r="TMZ2" s="68"/>
      <c r="TNA2" s="68"/>
      <c r="TNB2" s="68"/>
      <c r="TNC2" s="68"/>
      <c r="TND2" s="68"/>
      <c r="TNE2" s="68"/>
      <c r="TNF2" s="68"/>
      <c r="TNG2" s="68"/>
      <c r="TNH2" s="68"/>
      <c r="TNI2" s="68"/>
      <c r="TNJ2" s="68"/>
      <c r="TNK2" s="68"/>
      <c r="TNL2" s="68"/>
      <c r="TNM2" s="68"/>
      <c r="TNN2" s="68"/>
      <c r="TNO2" s="68"/>
      <c r="TNP2" s="68"/>
      <c r="TNQ2" s="68"/>
      <c r="TNR2" s="68"/>
      <c r="TNS2" s="68"/>
      <c r="TNT2" s="68"/>
      <c r="TNU2" s="68"/>
      <c r="TNV2" s="68"/>
      <c r="TNW2" s="68"/>
      <c r="TNX2" s="68"/>
      <c r="TNY2" s="68"/>
      <c r="TNZ2" s="68"/>
      <c r="TOA2" s="68"/>
      <c r="TOB2" s="68"/>
      <c r="TOC2" s="68"/>
      <c r="TOD2" s="68"/>
      <c r="TOE2" s="68"/>
      <c r="TOF2" s="68"/>
      <c r="TOG2" s="68"/>
      <c r="TOH2" s="68"/>
      <c r="TOI2" s="68"/>
      <c r="TOJ2" s="68"/>
      <c r="TOK2" s="68"/>
      <c r="TOL2" s="68"/>
      <c r="TOM2" s="68"/>
      <c r="TON2" s="68"/>
      <c r="TOO2" s="68"/>
      <c r="TOP2" s="68"/>
      <c r="TOQ2" s="68"/>
      <c r="TOR2" s="68"/>
      <c r="TOS2" s="68"/>
      <c r="TOT2" s="68"/>
      <c r="TOU2" s="68"/>
      <c r="TOV2" s="68"/>
      <c r="TOW2" s="68"/>
      <c r="TOX2" s="68"/>
      <c r="TOY2" s="68"/>
      <c r="TOZ2" s="68"/>
      <c r="TPA2" s="68"/>
      <c r="TPB2" s="68"/>
      <c r="TPC2" s="68"/>
      <c r="TPD2" s="68"/>
      <c r="TPE2" s="68"/>
      <c r="TPF2" s="68"/>
      <c r="TPG2" s="68"/>
      <c r="TPH2" s="68"/>
      <c r="TPI2" s="68"/>
      <c r="TPJ2" s="68"/>
      <c r="TPK2" s="68"/>
      <c r="TPL2" s="68"/>
      <c r="TPM2" s="68"/>
      <c r="TPN2" s="68"/>
      <c r="TPO2" s="68"/>
      <c r="TPP2" s="68"/>
      <c r="TPQ2" s="68"/>
      <c r="TPR2" s="68"/>
      <c r="TPS2" s="68"/>
      <c r="TPT2" s="68"/>
      <c r="TPU2" s="68"/>
      <c r="TPV2" s="68"/>
      <c r="TPW2" s="68"/>
      <c r="TPX2" s="68"/>
      <c r="TPY2" s="68"/>
      <c r="TPZ2" s="68"/>
      <c r="TQA2" s="68"/>
      <c r="TQB2" s="68"/>
      <c r="TQC2" s="68"/>
      <c r="TQD2" s="68"/>
      <c r="TQE2" s="68"/>
      <c r="TQF2" s="68"/>
      <c r="TQG2" s="68"/>
      <c r="TQH2" s="68"/>
      <c r="TQI2" s="68"/>
      <c r="TQJ2" s="68"/>
      <c r="TQK2" s="68"/>
      <c r="TQL2" s="68"/>
      <c r="TQM2" s="68"/>
      <c r="TQN2" s="68"/>
      <c r="TQO2" s="68"/>
      <c r="TQP2" s="68"/>
      <c r="TQQ2" s="68"/>
      <c r="TQR2" s="68"/>
      <c r="TQS2" s="68"/>
      <c r="TQT2" s="68"/>
      <c r="TQU2" s="68"/>
      <c r="TQV2" s="68"/>
      <c r="TQW2" s="68"/>
      <c r="TQX2" s="68"/>
      <c r="TQY2" s="68"/>
      <c r="TQZ2" s="68"/>
      <c r="TRA2" s="68"/>
      <c r="TRB2" s="68"/>
      <c r="TRC2" s="68"/>
      <c r="TRD2" s="68"/>
      <c r="TRE2" s="68"/>
      <c r="TRF2" s="68"/>
      <c r="TRG2" s="68"/>
      <c r="TRH2" s="68"/>
      <c r="TRI2" s="68"/>
      <c r="TRJ2" s="68"/>
      <c r="TRK2" s="68"/>
      <c r="TRL2" s="68"/>
      <c r="TRM2" s="68"/>
      <c r="TRN2" s="68"/>
      <c r="TRO2" s="68"/>
      <c r="TRP2" s="68"/>
      <c r="TRQ2" s="68"/>
      <c r="TRR2" s="68"/>
      <c r="TRS2" s="68"/>
      <c r="TRT2" s="68"/>
      <c r="TRU2" s="68"/>
      <c r="TRV2" s="68"/>
      <c r="TRW2" s="68"/>
      <c r="TRX2" s="68"/>
      <c r="TRY2" s="68"/>
      <c r="TRZ2" s="68"/>
      <c r="TSA2" s="68"/>
      <c r="TSB2" s="68"/>
      <c r="TSC2" s="68"/>
      <c r="TSD2" s="68"/>
      <c r="TSE2" s="68"/>
      <c r="TSF2" s="68"/>
      <c r="TSG2" s="68"/>
      <c r="TSH2" s="68"/>
      <c r="TSI2" s="68"/>
      <c r="TSJ2" s="68"/>
      <c r="TSK2" s="68"/>
      <c r="TSL2" s="68"/>
      <c r="TSM2" s="68"/>
      <c r="TSN2" s="68"/>
      <c r="TSO2" s="68"/>
      <c r="TSP2" s="68"/>
      <c r="TSQ2" s="68"/>
      <c r="TSR2" s="68"/>
      <c r="TSS2" s="68"/>
      <c r="TST2" s="68"/>
      <c r="TSU2" s="68"/>
      <c r="TSV2" s="68"/>
      <c r="TSW2" s="68"/>
      <c r="TSX2" s="68"/>
      <c r="TSY2" s="68"/>
      <c r="TSZ2" s="68"/>
      <c r="TTA2" s="68"/>
      <c r="TTB2" s="68"/>
      <c r="TTC2" s="68"/>
      <c r="TTD2" s="68"/>
      <c r="TTE2" s="68"/>
      <c r="TTF2" s="68"/>
      <c r="TTG2" s="68"/>
      <c r="TTH2" s="68"/>
      <c r="TTI2" s="68"/>
      <c r="TTJ2" s="68"/>
      <c r="TTK2" s="68"/>
      <c r="TTL2" s="68"/>
      <c r="TTM2" s="68"/>
      <c r="TTN2" s="68"/>
      <c r="TTO2" s="68"/>
      <c r="TTP2" s="68"/>
      <c r="TTQ2" s="68"/>
      <c r="TTR2" s="68"/>
      <c r="TTS2" s="68"/>
      <c r="TTT2" s="68"/>
      <c r="TTU2" s="68"/>
      <c r="TTV2" s="68"/>
      <c r="TTW2" s="68"/>
      <c r="TTX2" s="68"/>
      <c r="TTY2" s="68"/>
      <c r="TTZ2" s="68"/>
      <c r="TUA2" s="68"/>
      <c r="TUB2" s="68"/>
      <c r="TUC2" s="68"/>
      <c r="TUD2" s="68"/>
      <c r="TUE2" s="68"/>
      <c r="TUF2" s="68"/>
      <c r="TUG2" s="68"/>
      <c r="TUH2" s="68"/>
      <c r="TUI2" s="68"/>
      <c r="TUJ2" s="68"/>
      <c r="TUK2" s="68"/>
      <c r="TUL2" s="68"/>
      <c r="TUM2" s="68"/>
      <c r="TUN2" s="68"/>
      <c r="TUO2" s="68"/>
      <c r="TUP2" s="68"/>
      <c r="TUQ2" s="68"/>
      <c r="TUR2" s="68"/>
      <c r="TUS2" s="68"/>
      <c r="TUT2" s="68"/>
      <c r="TUU2" s="68"/>
      <c r="TUV2" s="68"/>
      <c r="TUW2" s="68"/>
      <c r="TUX2" s="68"/>
      <c r="TUY2" s="68"/>
      <c r="TUZ2" s="68"/>
      <c r="TVA2" s="68"/>
      <c r="TVB2" s="68"/>
      <c r="TVC2" s="68"/>
      <c r="TVD2" s="68"/>
      <c r="TVE2" s="68"/>
      <c r="TVF2" s="68"/>
      <c r="TVG2" s="68"/>
      <c r="TVH2" s="68"/>
      <c r="TVI2" s="68"/>
      <c r="TVJ2" s="68"/>
      <c r="TVK2" s="68"/>
      <c r="TVL2" s="68"/>
      <c r="TVM2" s="68"/>
      <c r="TVN2" s="68"/>
      <c r="TVO2" s="68"/>
      <c r="TVP2" s="68"/>
      <c r="TVQ2" s="68"/>
      <c r="TVR2" s="68"/>
      <c r="TVS2" s="68"/>
      <c r="TVT2" s="68"/>
      <c r="TVU2" s="68"/>
      <c r="TVV2" s="68"/>
      <c r="TVW2" s="68"/>
      <c r="TVX2" s="68"/>
      <c r="TVY2" s="68"/>
      <c r="TVZ2" s="68"/>
      <c r="TWA2" s="68"/>
      <c r="TWB2" s="68"/>
      <c r="TWC2" s="68"/>
      <c r="TWD2" s="68"/>
      <c r="TWE2" s="68"/>
      <c r="TWF2" s="68"/>
      <c r="TWG2" s="68"/>
      <c r="TWH2" s="68"/>
      <c r="TWI2" s="68"/>
      <c r="TWJ2" s="68"/>
      <c r="TWK2" s="68"/>
      <c r="TWL2" s="68"/>
      <c r="TWM2" s="68"/>
      <c r="TWN2" s="68"/>
      <c r="TWO2" s="68"/>
      <c r="TWP2" s="68"/>
      <c r="TWQ2" s="68"/>
      <c r="TWR2" s="68"/>
      <c r="TWS2" s="68"/>
      <c r="TWT2" s="68"/>
      <c r="TWU2" s="68"/>
      <c r="TWV2" s="68"/>
      <c r="TWW2" s="68"/>
      <c r="TWX2" s="68"/>
      <c r="TWY2" s="68"/>
      <c r="TWZ2" s="68"/>
      <c r="TXA2" s="68"/>
      <c r="TXB2" s="68"/>
      <c r="TXC2" s="68"/>
      <c r="TXD2" s="68"/>
      <c r="TXE2" s="68"/>
      <c r="TXF2" s="68"/>
      <c r="TXG2" s="68"/>
      <c r="TXH2" s="68"/>
      <c r="TXI2" s="68"/>
      <c r="TXJ2" s="68"/>
      <c r="TXK2" s="68"/>
      <c r="TXL2" s="68"/>
      <c r="TXM2" s="68"/>
      <c r="TXN2" s="68"/>
      <c r="TXO2" s="68"/>
      <c r="TXP2" s="68"/>
      <c r="TXQ2" s="68"/>
      <c r="TXR2" s="68"/>
      <c r="TXS2" s="68"/>
      <c r="TXT2" s="68"/>
      <c r="TXU2" s="68"/>
      <c r="TXV2" s="68"/>
      <c r="TXW2" s="68"/>
      <c r="TXX2" s="68"/>
      <c r="TXY2" s="68"/>
      <c r="TXZ2" s="68"/>
      <c r="TYA2" s="68"/>
      <c r="TYB2" s="68"/>
      <c r="TYC2" s="68"/>
      <c r="TYD2" s="68"/>
      <c r="TYE2" s="68"/>
      <c r="TYF2" s="68"/>
      <c r="TYG2" s="68"/>
      <c r="TYH2" s="68"/>
      <c r="TYI2" s="68"/>
      <c r="TYJ2" s="68"/>
      <c r="TYK2" s="68"/>
      <c r="TYL2" s="68"/>
      <c r="TYM2" s="68"/>
      <c r="TYN2" s="68"/>
      <c r="TYO2" s="68"/>
      <c r="TYP2" s="68"/>
      <c r="TYQ2" s="68"/>
      <c r="TYR2" s="68"/>
      <c r="TYS2" s="68"/>
      <c r="TYT2" s="68"/>
      <c r="TYU2" s="68"/>
      <c r="TYV2" s="68"/>
      <c r="TYW2" s="68"/>
      <c r="TYX2" s="68"/>
      <c r="TYY2" s="68"/>
      <c r="TYZ2" s="68"/>
      <c r="TZA2" s="68"/>
      <c r="TZB2" s="68"/>
      <c r="TZC2" s="68"/>
      <c r="TZD2" s="68"/>
      <c r="TZE2" s="68"/>
      <c r="TZF2" s="68"/>
      <c r="TZG2" s="68"/>
      <c r="TZH2" s="68"/>
      <c r="TZI2" s="68"/>
      <c r="TZJ2" s="68"/>
      <c r="TZK2" s="68"/>
      <c r="TZL2" s="68"/>
      <c r="TZM2" s="68"/>
      <c r="TZN2" s="68"/>
      <c r="TZO2" s="68"/>
      <c r="TZP2" s="68"/>
      <c r="TZQ2" s="68"/>
      <c r="TZR2" s="68"/>
      <c r="TZS2" s="68"/>
      <c r="TZT2" s="68"/>
      <c r="TZU2" s="68"/>
      <c r="TZV2" s="68"/>
      <c r="TZW2" s="68"/>
      <c r="TZX2" s="68"/>
      <c r="TZY2" s="68"/>
      <c r="TZZ2" s="68"/>
      <c r="UAA2" s="68"/>
      <c r="UAB2" s="68"/>
      <c r="UAC2" s="68"/>
      <c r="UAD2" s="68"/>
      <c r="UAE2" s="68"/>
      <c r="UAF2" s="68"/>
      <c r="UAG2" s="68"/>
      <c r="UAH2" s="68"/>
      <c r="UAI2" s="68"/>
      <c r="UAJ2" s="68"/>
      <c r="UAK2" s="68"/>
      <c r="UAL2" s="68"/>
      <c r="UAM2" s="68"/>
      <c r="UAN2" s="68"/>
      <c r="UAO2" s="68"/>
      <c r="UAP2" s="68"/>
      <c r="UAQ2" s="68"/>
      <c r="UAR2" s="68"/>
      <c r="UAS2" s="68"/>
      <c r="UAT2" s="68"/>
      <c r="UAU2" s="68"/>
      <c r="UAV2" s="68"/>
      <c r="UAW2" s="68"/>
      <c r="UAX2" s="68"/>
      <c r="UAY2" s="68"/>
      <c r="UAZ2" s="68"/>
      <c r="UBA2" s="68"/>
      <c r="UBB2" s="68"/>
      <c r="UBC2" s="68"/>
      <c r="UBD2" s="68"/>
      <c r="UBE2" s="68"/>
      <c r="UBF2" s="68"/>
      <c r="UBG2" s="68"/>
      <c r="UBH2" s="68"/>
      <c r="UBI2" s="68"/>
      <c r="UBJ2" s="68"/>
      <c r="UBK2" s="68"/>
      <c r="UBL2" s="68"/>
      <c r="UBM2" s="68"/>
      <c r="UBN2" s="68"/>
      <c r="UBO2" s="68"/>
      <c r="UBP2" s="68"/>
      <c r="UBQ2" s="68"/>
      <c r="UBR2" s="68"/>
      <c r="UBS2" s="68"/>
      <c r="UBT2" s="68"/>
      <c r="UBU2" s="68"/>
      <c r="UBV2" s="68"/>
      <c r="UBW2" s="68"/>
      <c r="UBX2" s="68"/>
      <c r="UBY2" s="68"/>
      <c r="UBZ2" s="68"/>
      <c r="UCA2" s="68"/>
      <c r="UCB2" s="68"/>
      <c r="UCC2" s="68"/>
      <c r="UCD2" s="68"/>
      <c r="UCE2" s="68"/>
      <c r="UCF2" s="68"/>
      <c r="UCG2" s="68"/>
      <c r="UCH2" s="68"/>
      <c r="UCI2" s="68"/>
      <c r="UCJ2" s="68"/>
      <c r="UCK2" s="68"/>
      <c r="UCL2" s="68"/>
      <c r="UCM2" s="68"/>
      <c r="UCN2" s="68"/>
      <c r="UCO2" s="68"/>
      <c r="UCP2" s="68"/>
      <c r="UCQ2" s="68"/>
      <c r="UCR2" s="68"/>
      <c r="UCS2" s="68"/>
      <c r="UCT2" s="68"/>
      <c r="UCU2" s="68"/>
      <c r="UCV2" s="68"/>
      <c r="UCW2" s="68"/>
      <c r="UCX2" s="68"/>
      <c r="UCY2" s="68"/>
      <c r="UCZ2" s="68"/>
      <c r="UDA2" s="68"/>
      <c r="UDB2" s="68"/>
      <c r="UDC2" s="68"/>
      <c r="UDD2" s="68"/>
      <c r="UDE2" s="68"/>
      <c r="UDF2" s="68"/>
      <c r="UDG2" s="68"/>
      <c r="UDH2" s="68"/>
      <c r="UDI2" s="68"/>
      <c r="UDJ2" s="68"/>
      <c r="UDK2" s="68"/>
      <c r="UDL2" s="68"/>
      <c r="UDM2" s="68"/>
      <c r="UDN2" s="68"/>
      <c r="UDO2" s="68"/>
      <c r="UDP2" s="68"/>
      <c r="UDQ2" s="68"/>
      <c r="UDR2" s="68"/>
      <c r="UDS2" s="68"/>
      <c r="UDT2" s="68"/>
      <c r="UDU2" s="68"/>
      <c r="UDV2" s="68"/>
      <c r="UDW2" s="68"/>
      <c r="UDX2" s="68"/>
      <c r="UDY2" s="68"/>
      <c r="UDZ2" s="68"/>
      <c r="UEA2" s="68"/>
      <c r="UEB2" s="68"/>
      <c r="UEC2" s="68"/>
      <c r="UED2" s="68"/>
      <c r="UEE2" s="68"/>
      <c r="UEF2" s="68"/>
      <c r="UEG2" s="68"/>
      <c r="UEH2" s="68"/>
      <c r="UEI2" s="68"/>
      <c r="UEJ2" s="68"/>
      <c r="UEK2" s="68"/>
      <c r="UEL2" s="68"/>
      <c r="UEM2" s="68"/>
      <c r="UEN2" s="68"/>
      <c r="UEO2" s="68"/>
      <c r="UEP2" s="68"/>
      <c r="UEQ2" s="68"/>
      <c r="UER2" s="68"/>
      <c r="UES2" s="68"/>
      <c r="UET2" s="68"/>
      <c r="UEU2" s="68"/>
      <c r="UEV2" s="68"/>
      <c r="UEW2" s="68"/>
      <c r="UEX2" s="68"/>
      <c r="UEY2" s="68"/>
      <c r="UEZ2" s="68"/>
      <c r="UFA2" s="68"/>
      <c r="UFB2" s="68"/>
      <c r="UFC2" s="68"/>
      <c r="UFD2" s="68"/>
      <c r="UFE2" s="68"/>
      <c r="UFF2" s="68"/>
      <c r="UFG2" s="68"/>
      <c r="UFH2" s="68"/>
      <c r="UFI2" s="68"/>
      <c r="UFJ2" s="68"/>
      <c r="UFK2" s="68"/>
      <c r="UFL2" s="68"/>
      <c r="UFM2" s="68"/>
      <c r="UFN2" s="68"/>
      <c r="UFO2" s="68"/>
      <c r="UFP2" s="68"/>
      <c r="UFQ2" s="68"/>
      <c r="UFR2" s="68"/>
      <c r="UFS2" s="68"/>
      <c r="UFT2" s="68"/>
      <c r="UFU2" s="68"/>
      <c r="UFV2" s="68"/>
      <c r="UFW2" s="68"/>
      <c r="UFX2" s="68"/>
      <c r="UFY2" s="68"/>
      <c r="UFZ2" s="68"/>
      <c r="UGA2" s="68"/>
      <c r="UGB2" s="68"/>
      <c r="UGC2" s="68"/>
      <c r="UGD2" s="68"/>
      <c r="UGE2" s="68"/>
      <c r="UGF2" s="68"/>
      <c r="UGG2" s="68"/>
      <c r="UGH2" s="68"/>
      <c r="UGI2" s="68"/>
      <c r="UGJ2" s="68"/>
      <c r="UGK2" s="68"/>
      <c r="UGL2" s="68"/>
      <c r="UGM2" s="68"/>
      <c r="UGN2" s="68"/>
      <c r="UGO2" s="68"/>
      <c r="UGP2" s="68"/>
      <c r="UGQ2" s="68"/>
      <c r="UGR2" s="68"/>
      <c r="UGS2" s="68"/>
      <c r="UGT2" s="68"/>
      <c r="UGU2" s="68"/>
      <c r="UGV2" s="68"/>
      <c r="UGW2" s="68"/>
      <c r="UGX2" s="68"/>
      <c r="UGY2" s="68"/>
      <c r="UGZ2" s="68"/>
      <c r="UHA2" s="68"/>
      <c r="UHB2" s="68"/>
      <c r="UHC2" s="68"/>
      <c r="UHD2" s="68"/>
      <c r="UHE2" s="68"/>
      <c r="UHF2" s="68"/>
      <c r="UHG2" s="68"/>
      <c r="UHH2" s="68"/>
      <c r="UHI2" s="68"/>
      <c r="UHJ2" s="68"/>
      <c r="UHK2" s="68"/>
      <c r="UHL2" s="68"/>
      <c r="UHM2" s="68"/>
      <c r="UHN2" s="68"/>
      <c r="UHO2" s="68"/>
      <c r="UHP2" s="68"/>
      <c r="UHQ2" s="68"/>
      <c r="UHR2" s="68"/>
      <c r="UHS2" s="68"/>
      <c r="UHT2" s="68"/>
      <c r="UHU2" s="68"/>
      <c r="UHV2" s="68"/>
      <c r="UHW2" s="68"/>
      <c r="UHX2" s="68"/>
      <c r="UHY2" s="68"/>
      <c r="UHZ2" s="68"/>
      <c r="UIA2" s="68"/>
      <c r="UIB2" s="68"/>
      <c r="UIC2" s="68"/>
      <c r="UID2" s="68"/>
      <c r="UIE2" s="68"/>
      <c r="UIF2" s="68"/>
      <c r="UIG2" s="68"/>
      <c r="UIH2" s="68"/>
      <c r="UII2" s="68"/>
      <c r="UIJ2" s="68"/>
      <c r="UIK2" s="68"/>
      <c r="UIL2" s="68"/>
      <c r="UIM2" s="68"/>
      <c r="UIN2" s="68"/>
      <c r="UIO2" s="68"/>
      <c r="UIP2" s="68"/>
      <c r="UIQ2" s="68"/>
      <c r="UIR2" s="68"/>
      <c r="UIS2" s="68"/>
      <c r="UIT2" s="68"/>
      <c r="UIU2" s="68"/>
      <c r="UIV2" s="68"/>
      <c r="UIW2" s="68"/>
      <c r="UIX2" s="68"/>
      <c r="UIY2" s="68"/>
      <c r="UIZ2" s="68"/>
      <c r="UJA2" s="68"/>
      <c r="UJB2" s="68"/>
      <c r="UJC2" s="68"/>
      <c r="UJD2" s="68"/>
      <c r="UJE2" s="68"/>
      <c r="UJF2" s="68"/>
      <c r="UJG2" s="68"/>
      <c r="UJH2" s="68"/>
      <c r="UJI2" s="68"/>
      <c r="UJJ2" s="68"/>
      <c r="UJK2" s="68"/>
      <c r="UJL2" s="68"/>
      <c r="UJM2" s="68"/>
      <c r="UJN2" s="68"/>
      <c r="UJO2" s="68"/>
      <c r="UJP2" s="68"/>
      <c r="UJQ2" s="68"/>
      <c r="UJR2" s="68"/>
      <c r="UJS2" s="68"/>
      <c r="UJT2" s="68"/>
      <c r="UJU2" s="68"/>
      <c r="UJV2" s="68"/>
      <c r="UJW2" s="68"/>
      <c r="UJX2" s="68"/>
      <c r="UJY2" s="68"/>
      <c r="UJZ2" s="68"/>
      <c r="UKA2" s="68"/>
      <c r="UKB2" s="68"/>
      <c r="UKC2" s="68"/>
      <c r="UKD2" s="68"/>
      <c r="UKE2" s="68"/>
      <c r="UKF2" s="68"/>
      <c r="UKG2" s="68"/>
      <c r="UKH2" s="68"/>
      <c r="UKI2" s="68"/>
      <c r="UKJ2" s="68"/>
      <c r="UKK2" s="68"/>
      <c r="UKL2" s="68"/>
      <c r="UKM2" s="68"/>
      <c r="UKN2" s="68"/>
      <c r="UKO2" s="68"/>
      <c r="UKP2" s="68"/>
      <c r="UKQ2" s="68"/>
      <c r="UKR2" s="68"/>
      <c r="UKS2" s="68"/>
      <c r="UKT2" s="68"/>
      <c r="UKU2" s="68"/>
      <c r="UKV2" s="68"/>
      <c r="UKW2" s="68"/>
      <c r="UKX2" s="68"/>
      <c r="UKY2" s="68"/>
      <c r="UKZ2" s="68"/>
      <c r="ULA2" s="68"/>
      <c r="ULB2" s="68"/>
      <c r="ULC2" s="68"/>
      <c r="ULD2" s="68"/>
      <c r="ULE2" s="68"/>
      <c r="ULF2" s="68"/>
      <c r="ULG2" s="68"/>
      <c r="ULH2" s="68"/>
      <c r="ULI2" s="68"/>
      <c r="ULJ2" s="68"/>
      <c r="ULK2" s="68"/>
      <c r="ULL2" s="68"/>
      <c r="ULM2" s="68"/>
      <c r="ULN2" s="68"/>
      <c r="ULO2" s="68"/>
      <c r="ULP2" s="68"/>
      <c r="ULQ2" s="68"/>
      <c r="ULR2" s="68"/>
      <c r="ULS2" s="68"/>
      <c r="ULT2" s="68"/>
      <c r="ULU2" s="68"/>
      <c r="ULV2" s="68"/>
      <c r="ULW2" s="68"/>
      <c r="ULX2" s="68"/>
      <c r="ULY2" s="68"/>
      <c r="ULZ2" s="68"/>
      <c r="UMA2" s="68"/>
      <c r="UMB2" s="68"/>
      <c r="UMC2" s="68"/>
      <c r="UMD2" s="68"/>
      <c r="UME2" s="68"/>
      <c r="UMF2" s="68"/>
      <c r="UMG2" s="68"/>
      <c r="UMH2" s="68"/>
      <c r="UMI2" s="68"/>
      <c r="UMJ2" s="68"/>
      <c r="UMK2" s="68"/>
      <c r="UML2" s="68"/>
      <c r="UMM2" s="68"/>
      <c r="UMN2" s="68"/>
      <c r="UMO2" s="68"/>
      <c r="UMP2" s="68"/>
      <c r="UMQ2" s="68"/>
      <c r="UMR2" s="68"/>
      <c r="UMS2" s="68"/>
      <c r="UMT2" s="68"/>
      <c r="UMU2" s="68"/>
      <c r="UMV2" s="68"/>
      <c r="UMW2" s="68"/>
      <c r="UMX2" s="68"/>
      <c r="UMY2" s="68"/>
      <c r="UMZ2" s="68"/>
      <c r="UNA2" s="68"/>
      <c r="UNB2" s="68"/>
      <c r="UNC2" s="68"/>
      <c r="UND2" s="68"/>
      <c r="UNE2" s="68"/>
      <c r="UNF2" s="68"/>
      <c r="UNG2" s="68"/>
      <c r="UNH2" s="68"/>
      <c r="UNI2" s="68"/>
      <c r="UNJ2" s="68"/>
      <c r="UNK2" s="68"/>
      <c r="UNL2" s="68"/>
      <c r="UNM2" s="68"/>
      <c r="UNN2" s="68"/>
      <c r="UNO2" s="68"/>
      <c r="UNP2" s="68"/>
      <c r="UNQ2" s="68"/>
      <c r="UNR2" s="68"/>
      <c r="UNS2" s="68"/>
      <c r="UNT2" s="68"/>
      <c r="UNU2" s="68"/>
      <c r="UNV2" s="68"/>
      <c r="UNW2" s="68"/>
      <c r="UNX2" s="68"/>
      <c r="UNY2" s="68"/>
      <c r="UNZ2" s="68"/>
      <c r="UOA2" s="68"/>
      <c r="UOB2" s="68"/>
      <c r="UOC2" s="68"/>
      <c r="UOD2" s="68"/>
      <c r="UOE2" s="68"/>
      <c r="UOF2" s="68"/>
      <c r="UOG2" s="68"/>
      <c r="UOH2" s="68"/>
      <c r="UOI2" s="68"/>
      <c r="UOJ2" s="68"/>
      <c r="UOK2" s="68"/>
      <c r="UOL2" s="68"/>
      <c r="UOM2" s="68"/>
      <c r="UON2" s="68"/>
      <c r="UOO2" s="68"/>
      <c r="UOP2" s="68"/>
      <c r="UOQ2" s="68"/>
      <c r="UOR2" s="68"/>
      <c r="UOS2" s="68"/>
      <c r="UOT2" s="68"/>
      <c r="UOU2" s="68"/>
      <c r="UOV2" s="68"/>
      <c r="UOW2" s="68"/>
      <c r="UOX2" s="68"/>
      <c r="UOY2" s="68"/>
      <c r="UOZ2" s="68"/>
      <c r="UPA2" s="68"/>
      <c r="UPB2" s="68"/>
      <c r="UPC2" s="68"/>
      <c r="UPD2" s="68"/>
      <c r="UPE2" s="68"/>
      <c r="UPF2" s="68"/>
      <c r="UPG2" s="68"/>
      <c r="UPH2" s="68"/>
      <c r="UPI2" s="68"/>
      <c r="UPJ2" s="68"/>
      <c r="UPK2" s="68"/>
      <c r="UPL2" s="68"/>
      <c r="UPM2" s="68"/>
      <c r="UPN2" s="68"/>
      <c r="UPO2" s="68"/>
      <c r="UPP2" s="68"/>
      <c r="UPQ2" s="68"/>
      <c r="UPR2" s="68"/>
      <c r="UPS2" s="68"/>
      <c r="UPT2" s="68"/>
      <c r="UPU2" s="68"/>
      <c r="UPV2" s="68"/>
      <c r="UPW2" s="68"/>
      <c r="UPX2" s="68"/>
      <c r="UPY2" s="68"/>
      <c r="UPZ2" s="68"/>
      <c r="UQA2" s="68"/>
      <c r="UQB2" s="68"/>
      <c r="UQC2" s="68"/>
      <c r="UQD2" s="68"/>
      <c r="UQE2" s="68"/>
      <c r="UQF2" s="68"/>
      <c r="UQG2" s="68"/>
      <c r="UQH2" s="68"/>
      <c r="UQI2" s="68"/>
      <c r="UQJ2" s="68"/>
      <c r="UQK2" s="68"/>
      <c r="UQL2" s="68"/>
      <c r="UQM2" s="68"/>
      <c r="UQN2" s="68"/>
      <c r="UQO2" s="68"/>
      <c r="UQP2" s="68"/>
      <c r="UQQ2" s="68"/>
      <c r="UQR2" s="68"/>
      <c r="UQS2" s="68"/>
      <c r="UQT2" s="68"/>
      <c r="UQU2" s="68"/>
      <c r="UQV2" s="68"/>
      <c r="UQW2" s="68"/>
      <c r="UQX2" s="68"/>
      <c r="UQY2" s="68"/>
      <c r="UQZ2" s="68"/>
      <c r="URA2" s="68"/>
      <c r="URB2" s="68"/>
      <c r="URC2" s="68"/>
      <c r="URD2" s="68"/>
      <c r="URE2" s="68"/>
      <c r="URF2" s="68"/>
      <c r="URG2" s="68"/>
      <c r="URH2" s="68"/>
      <c r="URI2" s="68"/>
      <c r="URJ2" s="68"/>
      <c r="URK2" s="68"/>
      <c r="URL2" s="68"/>
      <c r="URM2" s="68"/>
      <c r="URN2" s="68"/>
      <c r="URO2" s="68"/>
      <c r="URP2" s="68"/>
      <c r="URQ2" s="68"/>
      <c r="URR2" s="68"/>
      <c r="URS2" s="68"/>
      <c r="URT2" s="68"/>
      <c r="URU2" s="68"/>
      <c r="URV2" s="68"/>
      <c r="URW2" s="68"/>
      <c r="URX2" s="68"/>
      <c r="URY2" s="68"/>
      <c r="URZ2" s="68"/>
      <c r="USA2" s="68"/>
      <c r="USB2" s="68"/>
      <c r="USC2" s="68"/>
      <c r="USD2" s="68"/>
      <c r="USE2" s="68"/>
      <c r="USF2" s="68"/>
      <c r="USG2" s="68"/>
      <c r="USH2" s="68"/>
      <c r="USI2" s="68"/>
      <c r="USJ2" s="68"/>
      <c r="USK2" s="68"/>
      <c r="USL2" s="68"/>
      <c r="USM2" s="68"/>
      <c r="USN2" s="68"/>
      <c r="USO2" s="68"/>
      <c r="USP2" s="68"/>
      <c r="USQ2" s="68"/>
      <c r="USR2" s="68"/>
      <c r="USS2" s="68"/>
      <c r="UST2" s="68"/>
      <c r="USU2" s="68"/>
      <c r="USV2" s="68"/>
      <c r="USW2" s="68"/>
      <c r="USX2" s="68"/>
      <c r="USY2" s="68"/>
      <c r="USZ2" s="68"/>
      <c r="UTA2" s="68"/>
      <c r="UTB2" s="68"/>
      <c r="UTC2" s="68"/>
      <c r="UTD2" s="68"/>
      <c r="UTE2" s="68"/>
      <c r="UTF2" s="68"/>
      <c r="UTG2" s="68"/>
      <c r="UTH2" s="68"/>
      <c r="UTI2" s="68"/>
      <c r="UTJ2" s="68"/>
      <c r="UTK2" s="68"/>
      <c r="UTL2" s="68"/>
      <c r="UTM2" s="68"/>
      <c r="UTN2" s="68"/>
      <c r="UTO2" s="68"/>
      <c r="UTP2" s="68"/>
      <c r="UTQ2" s="68"/>
      <c r="UTR2" s="68"/>
      <c r="UTS2" s="68"/>
      <c r="UTT2" s="68"/>
      <c r="UTU2" s="68"/>
      <c r="UTV2" s="68"/>
      <c r="UTW2" s="68"/>
      <c r="UTX2" s="68"/>
      <c r="UTY2" s="68"/>
      <c r="UTZ2" s="68"/>
      <c r="UUA2" s="68"/>
      <c r="UUB2" s="68"/>
      <c r="UUC2" s="68"/>
      <c r="UUD2" s="68"/>
      <c r="UUE2" s="68"/>
      <c r="UUF2" s="68"/>
      <c r="UUG2" s="68"/>
      <c r="UUH2" s="68"/>
      <c r="UUI2" s="68"/>
      <c r="UUJ2" s="68"/>
      <c r="UUK2" s="68"/>
      <c r="UUL2" s="68"/>
      <c r="UUM2" s="68"/>
      <c r="UUN2" s="68"/>
      <c r="UUO2" s="68"/>
      <c r="UUP2" s="68"/>
      <c r="UUQ2" s="68"/>
      <c r="UUR2" s="68"/>
      <c r="UUS2" s="68"/>
      <c r="UUT2" s="68"/>
      <c r="UUU2" s="68"/>
      <c r="UUV2" s="68"/>
      <c r="UUW2" s="68"/>
      <c r="UUX2" s="68"/>
      <c r="UUY2" s="68"/>
      <c r="UUZ2" s="68"/>
      <c r="UVA2" s="68"/>
      <c r="UVB2" s="68"/>
      <c r="UVC2" s="68"/>
      <c r="UVD2" s="68"/>
      <c r="UVE2" s="68"/>
      <c r="UVF2" s="68"/>
      <c r="UVG2" s="68"/>
      <c r="UVH2" s="68"/>
      <c r="UVI2" s="68"/>
      <c r="UVJ2" s="68"/>
      <c r="UVK2" s="68"/>
      <c r="UVL2" s="68"/>
      <c r="UVM2" s="68"/>
      <c r="UVN2" s="68"/>
      <c r="UVO2" s="68"/>
      <c r="UVP2" s="68"/>
      <c r="UVQ2" s="68"/>
      <c r="UVR2" s="68"/>
      <c r="UVS2" s="68"/>
      <c r="UVT2" s="68"/>
      <c r="UVU2" s="68"/>
      <c r="UVV2" s="68"/>
      <c r="UVW2" s="68"/>
      <c r="UVX2" s="68"/>
      <c r="UVY2" s="68"/>
      <c r="UVZ2" s="68"/>
      <c r="UWA2" s="68"/>
      <c r="UWB2" s="68"/>
      <c r="UWC2" s="68"/>
      <c r="UWD2" s="68"/>
      <c r="UWE2" s="68"/>
      <c r="UWF2" s="68"/>
      <c r="UWG2" s="68"/>
      <c r="UWH2" s="68"/>
      <c r="UWI2" s="68"/>
      <c r="UWJ2" s="68"/>
      <c r="UWK2" s="68"/>
      <c r="UWL2" s="68"/>
      <c r="UWM2" s="68"/>
      <c r="UWN2" s="68"/>
      <c r="UWO2" s="68"/>
      <c r="UWP2" s="68"/>
      <c r="UWQ2" s="68"/>
      <c r="UWR2" s="68"/>
      <c r="UWS2" s="68"/>
      <c r="UWT2" s="68"/>
      <c r="UWU2" s="68"/>
      <c r="UWV2" s="68"/>
      <c r="UWW2" s="68"/>
      <c r="UWX2" s="68"/>
      <c r="UWY2" s="68"/>
      <c r="UWZ2" s="68"/>
      <c r="UXA2" s="68"/>
      <c r="UXB2" s="68"/>
      <c r="UXC2" s="68"/>
      <c r="UXD2" s="68"/>
      <c r="UXE2" s="68"/>
      <c r="UXF2" s="68"/>
      <c r="UXG2" s="68"/>
      <c r="UXH2" s="68"/>
      <c r="UXI2" s="68"/>
      <c r="UXJ2" s="68"/>
      <c r="UXK2" s="68"/>
      <c r="UXL2" s="68"/>
      <c r="UXM2" s="68"/>
      <c r="UXN2" s="68"/>
      <c r="UXO2" s="68"/>
      <c r="UXP2" s="68"/>
      <c r="UXQ2" s="68"/>
      <c r="UXR2" s="68"/>
      <c r="UXS2" s="68"/>
      <c r="UXT2" s="68"/>
      <c r="UXU2" s="68"/>
      <c r="UXV2" s="68"/>
      <c r="UXW2" s="68"/>
      <c r="UXX2" s="68"/>
      <c r="UXY2" s="68"/>
      <c r="UXZ2" s="68"/>
      <c r="UYA2" s="68"/>
      <c r="UYB2" s="68"/>
      <c r="UYC2" s="68"/>
      <c r="UYD2" s="68"/>
      <c r="UYE2" s="68"/>
      <c r="UYF2" s="68"/>
      <c r="UYG2" s="68"/>
      <c r="UYH2" s="68"/>
      <c r="UYI2" s="68"/>
      <c r="UYJ2" s="68"/>
      <c r="UYK2" s="68"/>
      <c r="UYL2" s="68"/>
      <c r="UYM2" s="68"/>
      <c r="UYN2" s="68"/>
      <c r="UYO2" s="68"/>
      <c r="UYP2" s="68"/>
      <c r="UYQ2" s="68"/>
      <c r="UYR2" s="68"/>
      <c r="UYS2" s="68"/>
      <c r="UYT2" s="68"/>
      <c r="UYU2" s="68"/>
      <c r="UYV2" s="68"/>
      <c r="UYW2" s="68"/>
      <c r="UYX2" s="68"/>
      <c r="UYY2" s="68"/>
      <c r="UYZ2" s="68"/>
      <c r="UZA2" s="68"/>
      <c r="UZB2" s="68"/>
      <c r="UZC2" s="68"/>
      <c r="UZD2" s="68"/>
      <c r="UZE2" s="68"/>
      <c r="UZF2" s="68"/>
      <c r="UZG2" s="68"/>
      <c r="UZH2" s="68"/>
      <c r="UZI2" s="68"/>
      <c r="UZJ2" s="68"/>
      <c r="UZK2" s="68"/>
      <c r="UZL2" s="68"/>
      <c r="UZM2" s="68"/>
      <c r="UZN2" s="68"/>
      <c r="UZO2" s="68"/>
      <c r="UZP2" s="68"/>
      <c r="UZQ2" s="68"/>
      <c r="UZR2" s="68"/>
      <c r="UZS2" s="68"/>
      <c r="UZT2" s="68"/>
      <c r="UZU2" s="68"/>
      <c r="UZV2" s="68"/>
      <c r="UZW2" s="68"/>
      <c r="UZX2" s="68"/>
      <c r="UZY2" s="68"/>
      <c r="UZZ2" s="68"/>
      <c r="VAA2" s="68"/>
      <c r="VAB2" s="68"/>
      <c r="VAC2" s="68"/>
      <c r="VAD2" s="68"/>
      <c r="VAE2" s="68"/>
      <c r="VAF2" s="68"/>
      <c r="VAG2" s="68"/>
      <c r="VAH2" s="68"/>
      <c r="VAI2" s="68"/>
      <c r="VAJ2" s="68"/>
      <c r="VAK2" s="68"/>
      <c r="VAL2" s="68"/>
      <c r="VAM2" s="68"/>
      <c r="VAN2" s="68"/>
      <c r="VAO2" s="68"/>
      <c r="VAP2" s="68"/>
      <c r="VAQ2" s="68"/>
      <c r="VAR2" s="68"/>
      <c r="VAS2" s="68"/>
      <c r="VAT2" s="68"/>
      <c r="VAU2" s="68"/>
      <c r="VAV2" s="68"/>
      <c r="VAW2" s="68"/>
      <c r="VAX2" s="68"/>
      <c r="VAY2" s="68"/>
      <c r="VAZ2" s="68"/>
      <c r="VBA2" s="68"/>
      <c r="VBB2" s="68"/>
      <c r="VBC2" s="68"/>
      <c r="VBD2" s="68"/>
      <c r="VBE2" s="68"/>
      <c r="VBF2" s="68"/>
      <c r="VBG2" s="68"/>
      <c r="VBH2" s="68"/>
      <c r="VBI2" s="68"/>
      <c r="VBJ2" s="68"/>
      <c r="VBK2" s="68"/>
      <c r="VBL2" s="68"/>
      <c r="VBM2" s="68"/>
      <c r="VBN2" s="68"/>
      <c r="VBO2" s="68"/>
      <c r="VBP2" s="68"/>
      <c r="VBQ2" s="68"/>
      <c r="VBR2" s="68"/>
      <c r="VBS2" s="68"/>
      <c r="VBT2" s="68"/>
      <c r="VBU2" s="68"/>
      <c r="VBV2" s="68"/>
      <c r="VBW2" s="68"/>
      <c r="VBX2" s="68"/>
      <c r="VBY2" s="68"/>
      <c r="VBZ2" s="68"/>
      <c r="VCA2" s="68"/>
      <c r="VCB2" s="68"/>
      <c r="VCC2" s="68"/>
      <c r="VCD2" s="68"/>
      <c r="VCE2" s="68"/>
      <c r="VCF2" s="68"/>
      <c r="VCG2" s="68"/>
      <c r="VCH2" s="68"/>
      <c r="VCI2" s="68"/>
      <c r="VCJ2" s="68"/>
      <c r="VCK2" s="68"/>
      <c r="VCL2" s="68"/>
      <c r="VCM2" s="68"/>
      <c r="VCN2" s="68"/>
      <c r="VCO2" s="68"/>
      <c r="VCP2" s="68"/>
      <c r="VCQ2" s="68"/>
      <c r="VCR2" s="68"/>
      <c r="VCS2" s="68"/>
      <c r="VCT2" s="68"/>
      <c r="VCU2" s="68"/>
      <c r="VCV2" s="68"/>
      <c r="VCW2" s="68"/>
      <c r="VCX2" s="68"/>
      <c r="VCY2" s="68"/>
      <c r="VCZ2" s="68"/>
      <c r="VDA2" s="68"/>
      <c r="VDB2" s="68"/>
      <c r="VDC2" s="68"/>
      <c r="VDD2" s="68"/>
      <c r="VDE2" s="68"/>
      <c r="VDF2" s="68"/>
      <c r="VDG2" s="68"/>
      <c r="VDH2" s="68"/>
      <c r="VDI2" s="68"/>
      <c r="VDJ2" s="68"/>
      <c r="VDK2" s="68"/>
      <c r="VDL2" s="68"/>
      <c r="VDM2" s="68"/>
      <c r="VDN2" s="68"/>
      <c r="VDO2" s="68"/>
      <c r="VDP2" s="68"/>
      <c r="VDQ2" s="68"/>
      <c r="VDR2" s="68"/>
      <c r="VDS2" s="68"/>
      <c r="VDT2" s="68"/>
      <c r="VDU2" s="68"/>
      <c r="VDV2" s="68"/>
      <c r="VDW2" s="68"/>
      <c r="VDX2" s="68"/>
      <c r="VDY2" s="68"/>
      <c r="VDZ2" s="68"/>
      <c r="VEA2" s="68"/>
      <c r="VEB2" s="68"/>
      <c r="VEC2" s="68"/>
      <c r="VED2" s="68"/>
      <c r="VEE2" s="68"/>
      <c r="VEF2" s="68"/>
      <c r="VEG2" s="68"/>
      <c r="VEH2" s="68"/>
      <c r="VEI2" s="68"/>
      <c r="VEJ2" s="68"/>
      <c r="VEK2" s="68"/>
      <c r="VEL2" s="68"/>
      <c r="VEM2" s="68"/>
      <c r="VEN2" s="68"/>
      <c r="VEO2" s="68"/>
      <c r="VEP2" s="68"/>
      <c r="VEQ2" s="68"/>
      <c r="VER2" s="68"/>
      <c r="VES2" s="68"/>
      <c r="VET2" s="68"/>
      <c r="VEU2" s="68"/>
      <c r="VEV2" s="68"/>
      <c r="VEW2" s="68"/>
      <c r="VEX2" s="68"/>
      <c r="VEY2" s="68"/>
      <c r="VEZ2" s="68"/>
      <c r="VFA2" s="68"/>
      <c r="VFB2" s="68"/>
      <c r="VFC2" s="68"/>
      <c r="VFD2" s="68"/>
      <c r="VFE2" s="68"/>
      <c r="VFF2" s="68"/>
      <c r="VFG2" s="68"/>
      <c r="VFH2" s="68"/>
      <c r="VFI2" s="68"/>
      <c r="VFJ2" s="68"/>
      <c r="VFK2" s="68"/>
      <c r="VFL2" s="68"/>
      <c r="VFM2" s="68"/>
      <c r="VFN2" s="68"/>
      <c r="VFO2" s="68"/>
      <c r="VFP2" s="68"/>
      <c r="VFQ2" s="68"/>
      <c r="VFR2" s="68"/>
      <c r="VFS2" s="68"/>
      <c r="VFT2" s="68"/>
      <c r="VFU2" s="68"/>
      <c r="VFV2" s="68"/>
      <c r="VFW2" s="68"/>
      <c r="VFX2" s="68"/>
      <c r="VFY2" s="68"/>
      <c r="VFZ2" s="68"/>
      <c r="VGA2" s="68"/>
      <c r="VGB2" s="68"/>
      <c r="VGC2" s="68"/>
      <c r="VGD2" s="68"/>
      <c r="VGE2" s="68"/>
      <c r="VGF2" s="68"/>
      <c r="VGG2" s="68"/>
      <c r="VGH2" s="68"/>
      <c r="VGI2" s="68"/>
      <c r="VGJ2" s="68"/>
      <c r="VGK2" s="68"/>
      <c r="VGL2" s="68"/>
      <c r="VGM2" s="68"/>
      <c r="VGN2" s="68"/>
      <c r="VGO2" s="68"/>
      <c r="VGP2" s="68"/>
      <c r="VGQ2" s="68"/>
      <c r="VGR2" s="68"/>
      <c r="VGS2" s="68"/>
      <c r="VGT2" s="68"/>
      <c r="VGU2" s="68"/>
      <c r="VGV2" s="68"/>
      <c r="VGW2" s="68"/>
      <c r="VGX2" s="68"/>
      <c r="VGY2" s="68"/>
      <c r="VGZ2" s="68"/>
      <c r="VHA2" s="68"/>
      <c r="VHB2" s="68"/>
      <c r="VHC2" s="68"/>
      <c r="VHD2" s="68"/>
      <c r="VHE2" s="68"/>
      <c r="VHF2" s="68"/>
      <c r="VHG2" s="68"/>
      <c r="VHH2" s="68"/>
      <c r="VHI2" s="68"/>
      <c r="VHJ2" s="68"/>
      <c r="VHK2" s="68"/>
      <c r="VHL2" s="68"/>
      <c r="VHM2" s="68"/>
      <c r="VHN2" s="68"/>
      <c r="VHO2" s="68"/>
      <c r="VHP2" s="68"/>
      <c r="VHQ2" s="68"/>
      <c r="VHR2" s="68"/>
      <c r="VHS2" s="68"/>
      <c r="VHT2" s="68"/>
      <c r="VHU2" s="68"/>
      <c r="VHV2" s="68"/>
      <c r="VHW2" s="68"/>
      <c r="VHX2" s="68"/>
      <c r="VHY2" s="68"/>
      <c r="VHZ2" s="68"/>
      <c r="VIA2" s="68"/>
      <c r="VIB2" s="68"/>
      <c r="VIC2" s="68"/>
      <c r="VID2" s="68"/>
      <c r="VIE2" s="68"/>
      <c r="VIF2" s="68"/>
      <c r="VIG2" s="68"/>
      <c r="VIH2" s="68"/>
      <c r="VII2" s="68"/>
      <c r="VIJ2" s="68"/>
      <c r="VIK2" s="68"/>
      <c r="VIL2" s="68"/>
      <c r="VIM2" s="68"/>
      <c r="VIN2" s="68"/>
      <c r="VIO2" s="68"/>
      <c r="VIP2" s="68"/>
      <c r="VIQ2" s="68"/>
      <c r="VIR2" s="68"/>
      <c r="VIS2" s="68"/>
      <c r="VIT2" s="68"/>
      <c r="VIU2" s="68"/>
      <c r="VIV2" s="68"/>
      <c r="VIW2" s="68"/>
      <c r="VIX2" s="68"/>
      <c r="VIY2" s="68"/>
      <c r="VIZ2" s="68"/>
      <c r="VJA2" s="68"/>
      <c r="VJB2" s="68"/>
      <c r="VJC2" s="68"/>
      <c r="VJD2" s="68"/>
      <c r="VJE2" s="68"/>
      <c r="VJF2" s="68"/>
      <c r="VJG2" s="68"/>
      <c r="VJH2" s="68"/>
      <c r="VJI2" s="68"/>
      <c r="VJJ2" s="68"/>
      <c r="VJK2" s="68"/>
      <c r="VJL2" s="68"/>
      <c r="VJM2" s="68"/>
      <c r="VJN2" s="68"/>
      <c r="VJO2" s="68"/>
      <c r="VJP2" s="68"/>
      <c r="VJQ2" s="68"/>
      <c r="VJR2" s="68"/>
      <c r="VJS2" s="68"/>
      <c r="VJT2" s="68"/>
      <c r="VJU2" s="68"/>
      <c r="VJV2" s="68"/>
      <c r="VJW2" s="68"/>
      <c r="VJX2" s="68"/>
      <c r="VJY2" s="68"/>
      <c r="VJZ2" s="68"/>
      <c r="VKA2" s="68"/>
      <c r="VKB2" s="68"/>
      <c r="VKC2" s="68"/>
      <c r="VKD2" s="68"/>
      <c r="VKE2" s="68"/>
      <c r="VKF2" s="68"/>
      <c r="VKG2" s="68"/>
      <c r="VKH2" s="68"/>
      <c r="VKI2" s="68"/>
      <c r="VKJ2" s="68"/>
      <c r="VKK2" s="68"/>
      <c r="VKL2" s="68"/>
      <c r="VKM2" s="68"/>
      <c r="VKN2" s="68"/>
      <c r="VKO2" s="68"/>
      <c r="VKP2" s="68"/>
      <c r="VKQ2" s="68"/>
      <c r="VKR2" s="68"/>
      <c r="VKS2" s="68"/>
      <c r="VKT2" s="68"/>
      <c r="VKU2" s="68"/>
      <c r="VKV2" s="68"/>
      <c r="VKW2" s="68"/>
      <c r="VKX2" s="68"/>
      <c r="VKY2" s="68"/>
      <c r="VKZ2" s="68"/>
      <c r="VLA2" s="68"/>
      <c r="VLB2" s="68"/>
      <c r="VLC2" s="68"/>
      <c r="VLD2" s="68"/>
      <c r="VLE2" s="68"/>
      <c r="VLF2" s="68"/>
      <c r="VLG2" s="68"/>
      <c r="VLH2" s="68"/>
      <c r="VLI2" s="68"/>
      <c r="VLJ2" s="68"/>
      <c r="VLK2" s="68"/>
      <c r="VLL2" s="68"/>
      <c r="VLM2" s="68"/>
      <c r="VLN2" s="68"/>
      <c r="VLO2" s="68"/>
      <c r="VLP2" s="68"/>
      <c r="VLQ2" s="68"/>
      <c r="VLR2" s="68"/>
      <c r="VLS2" s="68"/>
      <c r="VLT2" s="68"/>
      <c r="VLU2" s="68"/>
      <c r="VLV2" s="68"/>
      <c r="VLW2" s="68"/>
      <c r="VLX2" s="68"/>
      <c r="VLY2" s="68"/>
      <c r="VLZ2" s="68"/>
      <c r="VMA2" s="68"/>
      <c r="VMB2" s="68"/>
      <c r="VMC2" s="68"/>
      <c r="VMD2" s="68"/>
      <c r="VME2" s="68"/>
      <c r="VMF2" s="68"/>
      <c r="VMG2" s="68"/>
      <c r="VMH2" s="68"/>
      <c r="VMI2" s="68"/>
      <c r="VMJ2" s="68"/>
      <c r="VMK2" s="68"/>
      <c r="VML2" s="68"/>
      <c r="VMM2" s="68"/>
      <c r="VMN2" s="68"/>
      <c r="VMO2" s="68"/>
      <c r="VMP2" s="68"/>
      <c r="VMQ2" s="68"/>
      <c r="VMR2" s="68"/>
      <c r="VMS2" s="68"/>
      <c r="VMT2" s="68"/>
      <c r="VMU2" s="68"/>
      <c r="VMV2" s="68"/>
      <c r="VMW2" s="68"/>
      <c r="VMX2" s="68"/>
      <c r="VMY2" s="68"/>
      <c r="VMZ2" s="68"/>
      <c r="VNA2" s="68"/>
      <c r="VNB2" s="68"/>
      <c r="VNC2" s="68"/>
      <c r="VND2" s="68"/>
      <c r="VNE2" s="68"/>
      <c r="VNF2" s="68"/>
      <c r="VNG2" s="68"/>
      <c r="VNH2" s="68"/>
      <c r="VNI2" s="68"/>
      <c r="VNJ2" s="68"/>
      <c r="VNK2" s="68"/>
      <c r="VNL2" s="68"/>
      <c r="VNM2" s="68"/>
      <c r="VNN2" s="68"/>
      <c r="VNO2" s="68"/>
      <c r="VNP2" s="68"/>
      <c r="VNQ2" s="68"/>
      <c r="VNR2" s="68"/>
      <c r="VNS2" s="68"/>
      <c r="VNT2" s="68"/>
      <c r="VNU2" s="68"/>
      <c r="VNV2" s="68"/>
      <c r="VNW2" s="68"/>
      <c r="VNX2" s="68"/>
      <c r="VNY2" s="68"/>
      <c r="VNZ2" s="68"/>
      <c r="VOA2" s="68"/>
      <c r="VOB2" s="68"/>
      <c r="VOC2" s="68"/>
      <c r="VOD2" s="68"/>
      <c r="VOE2" s="68"/>
      <c r="VOF2" s="68"/>
      <c r="VOG2" s="68"/>
      <c r="VOH2" s="68"/>
      <c r="VOI2" s="68"/>
      <c r="VOJ2" s="68"/>
      <c r="VOK2" s="68"/>
      <c r="VOL2" s="68"/>
      <c r="VOM2" s="68"/>
      <c r="VON2" s="68"/>
      <c r="VOO2" s="68"/>
      <c r="VOP2" s="68"/>
      <c r="VOQ2" s="68"/>
      <c r="VOR2" s="68"/>
      <c r="VOS2" s="68"/>
      <c r="VOT2" s="68"/>
      <c r="VOU2" s="68"/>
      <c r="VOV2" s="68"/>
      <c r="VOW2" s="68"/>
      <c r="VOX2" s="68"/>
      <c r="VOY2" s="68"/>
      <c r="VOZ2" s="68"/>
      <c r="VPA2" s="68"/>
      <c r="VPB2" s="68"/>
      <c r="VPC2" s="68"/>
      <c r="VPD2" s="68"/>
      <c r="VPE2" s="68"/>
      <c r="VPF2" s="68"/>
      <c r="VPG2" s="68"/>
      <c r="VPH2" s="68"/>
      <c r="VPI2" s="68"/>
      <c r="VPJ2" s="68"/>
      <c r="VPK2" s="68"/>
      <c r="VPL2" s="68"/>
      <c r="VPM2" s="68"/>
      <c r="VPN2" s="68"/>
      <c r="VPO2" s="68"/>
      <c r="VPP2" s="68"/>
      <c r="VPQ2" s="68"/>
      <c r="VPR2" s="68"/>
      <c r="VPS2" s="68"/>
      <c r="VPT2" s="68"/>
      <c r="VPU2" s="68"/>
      <c r="VPV2" s="68"/>
      <c r="VPW2" s="68"/>
      <c r="VPX2" s="68"/>
      <c r="VPY2" s="68"/>
      <c r="VPZ2" s="68"/>
      <c r="VQA2" s="68"/>
      <c r="VQB2" s="68"/>
      <c r="VQC2" s="68"/>
      <c r="VQD2" s="68"/>
      <c r="VQE2" s="68"/>
      <c r="VQF2" s="68"/>
      <c r="VQG2" s="68"/>
      <c r="VQH2" s="68"/>
      <c r="VQI2" s="68"/>
      <c r="VQJ2" s="68"/>
      <c r="VQK2" s="68"/>
      <c r="VQL2" s="68"/>
      <c r="VQM2" s="68"/>
      <c r="VQN2" s="68"/>
      <c r="VQO2" s="68"/>
      <c r="VQP2" s="68"/>
      <c r="VQQ2" s="68"/>
      <c r="VQR2" s="68"/>
      <c r="VQS2" s="68"/>
      <c r="VQT2" s="68"/>
      <c r="VQU2" s="68"/>
      <c r="VQV2" s="68"/>
      <c r="VQW2" s="68"/>
      <c r="VQX2" s="68"/>
      <c r="VQY2" s="68"/>
      <c r="VQZ2" s="68"/>
      <c r="VRA2" s="68"/>
      <c r="VRB2" s="68"/>
      <c r="VRC2" s="68"/>
      <c r="VRD2" s="68"/>
      <c r="VRE2" s="68"/>
      <c r="VRF2" s="68"/>
      <c r="VRG2" s="68"/>
      <c r="VRH2" s="68"/>
      <c r="VRI2" s="68"/>
      <c r="VRJ2" s="68"/>
      <c r="VRK2" s="68"/>
      <c r="VRL2" s="68"/>
      <c r="VRM2" s="68"/>
      <c r="VRN2" s="68"/>
      <c r="VRO2" s="68"/>
      <c r="VRP2" s="68"/>
      <c r="VRQ2" s="68"/>
      <c r="VRR2" s="68"/>
      <c r="VRS2" s="68"/>
      <c r="VRT2" s="68"/>
      <c r="VRU2" s="68"/>
      <c r="VRV2" s="68"/>
      <c r="VRW2" s="68"/>
      <c r="VRX2" s="68"/>
      <c r="VRY2" s="68"/>
      <c r="VRZ2" s="68"/>
      <c r="VSA2" s="68"/>
      <c r="VSB2" s="68"/>
      <c r="VSC2" s="68"/>
      <c r="VSD2" s="68"/>
      <c r="VSE2" s="68"/>
      <c r="VSF2" s="68"/>
      <c r="VSG2" s="68"/>
      <c r="VSH2" s="68"/>
      <c r="VSI2" s="68"/>
      <c r="VSJ2" s="68"/>
      <c r="VSK2" s="68"/>
      <c r="VSL2" s="68"/>
      <c r="VSM2" s="68"/>
      <c r="VSN2" s="68"/>
      <c r="VSO2" s="68"/>
      <c r="VSP2" s="68"/>
      <c r="VSQ2" s="68"/>
      <c r="VSR2" s="68"/>
      <c r="VSS2" s="68"/>
      <c r="VST2" s="68"/>
      <c r="VSU2" s="68"/>
      <c r="VSV2" s="68"/>
      <c r="VSW2" s="68"/>
      <c r="VSX2" s="68"/>
      <c r="VSY2" s="68"/>
      <c r="VSZ2" s="68"/>
      <c r="VTA2" s="68"/>
      <c r="VTB2" s="68"/>
      <c r="VTC2" s="68"/>
      <c r="VTD2" s="68"/>
      <c r="VTE2" s="68"/>
      <c r="VTF2" s="68"/>
      <c r="VTG2" s="68"/>
      <c r="VTH2" s="68"/>
      <c r="VTI2" s="68"/>
      <c r="VTJ2" s="68"/>
      <c r="VTK2" s="68"/>
      <c r="VTL2" s="68"/>
      <c r="VTM2" s="68"/>
      <c r="VTN2" s="68"/>
      <c r="VTO2" s="68"/>
      <c r="VTP2" s="68"/>
      <c r="VTQ2" s="68"/>
      <c r="VTR2" s="68"/>
      <c r="VTS2" s="68"/>
      <c r="VTT2" s="68"/>
      <c r="VTU2" s="68"/>
      <c r="VTV2" s="68"/>
      <c r="VTW2" s="68"/>
      <c r="VTX2" s="68"/>
      <c r="VTY2" s="68"/>
      <c r="VTZ2" s="68"/>
      <c r="VUA2" s="68"/>
      <c r="VUB2" s="68"/>
      <c r="VUC2" s="68"/>
      <c r="VUD2" s="68"/>
      <c r="VUE2" s="68"/>
      <c r="VUF2" s="68"/>
      <c r="VUG2" s="68"/>
      <c r="VUH2" s="68"/>
      <c r="VUI2" s="68"/>
      <c r="VUJ2" s="68"/>
      <c r="VUK2" s="68"/>
      <c r="VUL2" s="68"/>
      <c r="VUM2" s="68"/>
      <c r="VUN2" s="68"/>
      <c r="VUO2" s="68"/>
      <c r="VUP2" s="68"/>
      <c r="VUQ2" s="68"/>
      <c r="VUR2" s="68"/>
      <c r="VUS2" s="68"/>
      <c r="VUT2" s="68"/>
      <c r="VUU2" s="68"/>
      <c r="VUV2" s="68"/>
      <c r="VUW2" s="68"/>
      <c r="VUX2" s="68"/>
      <c r="VUY2" s="68"/>
      <c r="VUZ2" s="68"/>
      <c r="VVA2" s="68"/>
      <c r="VVB2" s="68"/>
      <c r="VVC2" s="68"/>
      <c r="VVD2" s="68"/>
      <c r="VVE2" s="68"/>
      <c r="VVF2" s="68"/>
      <c r="VVG2" s="68"/>
      <c r="VVH2" s="68"/>
      <c r="VVI2" s="68"/>
      <c r="VVJ2" s="68"/>
      <c r="VVK2" s="68"/>
      <c r="VVL2" s="68"/>
      <c r="VVM2" s="68"/>
      <c r="VVN2" s="68"/>
      <c r="VVO2" s="68"/>
      <c r="VVP2" s="68"/>
      <c r="VVQ2" s="68"/>
      <c r="VVR2" s="68"/>
      <c r="VVS2" s="68"/>
      <c r="VVT2" s="68"/>
      <c r="VVU2" s="68"/>
      <c r="VVV2" s="68"/>
      <c r="VVW2" s="68"/>
      <c r="VVX2" s="68"/>
      <c r="VVY2" s="68"/>
      <c r="VVZ2" s="68"/>
      <c r="VWA2" s="68"/>
      <c r="VWB2" s="68"/>
      <c r="VWC2" s="68"/>
      <c r="VWD2" s="68"/>
      <c r="VWE2" s="68"/>
      <c r="VWF2" s="68"/>
      <c r="VWG2" s="68"/>
      <c r="VWH2" s="68"/>
      <c r="VWI2" s="68"/>
      <c r="VWJ2" s="68"/>
      <c r="VWK2" s="68"/>
      <c r="VWL2" s="68"/>
      <c r="VWM2" s="68"/>
      <c r="VWN2" s="68"/>
      <c r="VWO2" s="68"/>
      <c r="VWP2" s="68"/>
      <c r="VWQ2" s="68"/>
      <c r="VWR2" s="68"/>
      <c r="VWS2" s="68"/>
      <c r="VWT2" s="68"/>
      <c r="VWU2" s="68"/>
      <c r="VWV2" s="68"/>
      <c r="VWW2" s="68"/>
      <c r="VWX2" s="68"/>
      <c r="VWY2" s="68"/>
      <c r="VWZ2" s="68"/>
      <c r="VXA2" s="68"/>
      <c r="VXB2" s="68"/>
      <c r="VXC2" s="68"/>
      <c r="VXD2" s="68"/>
      <c r="VXE2" s="68"/>
      <c r="VXF2" s="68"/>
      <c r="VXG2" s="68"/>
      <c r="VXH2" s="68"/>
      <c r="VXI2" s="68"/>
      <c r="VXJ2" s="68"/>
      <c r="VXK2" s="68"/>
      <c r="VXL2" s="68"/>
      <c r="VXM2" s="68"/>
      <c r="VXN2" s="68"/>
      <c r="VXO2" s="68"/>
      <c r="VXP2" s="68"/>
      <c r="VXQ2" s="68"/>
      <c r="VXR2" s="68"/>
      <c r="VXS2" s="68"/>
      <c r="VXT2" s="68"/>
      <c r="VXU2" s="68"/>
      <c r="VXV2" s="68"/>
      <c r="VXW2" s="68"/>
      <c r="VXX2" s="68"/>
      <c r="VXY2" s="68"/>
      <c r="VXZ2" s="68"/>
      <c r="VYA2" s="68"/>
      <c r="VYB2" s="68"/>
      <c r="VYC2" s="68"/>
      <c r="VYD2" s="68"/>
      <c r="VYE2" s="68"/>
      <c r="VYF2" s="68"/>
      <c r="VYG2" s="68"/>
      <c r="VYH2" s="68"/>
      <c r="VYI2" s="68"/>
      <c r="VYJ2" s="68"/>
      <c r="VYK2" s="68"/>
      <c r="VYL2" s="68"/>
      <c r="VYM2" s="68"/>
      <c r="VYN2" s="68"/>
      <c r="VYO2" s="68"/>
      <c r="VYP2" s="68"/>
      <c r="VYQ2" s="68"/>
      <c r="VYR2" s="68"/>
      <c r="VYS2" s="68"/>
      <c r="VYT2" s="68"/>
      <c r="VYU2" s="68"/>
      <c r="VYV2" s="68"/>
      <c r="VYW2" s="68"/>
      <c r="VYX2" s="68"/>
      <c r="VYY2" s="68"/>
      <c r="VYZ2" s="68"/>
      <c r="VZA2" s="68"/>
      <c r="VZB2" s="68"/>
      <c r="VZC2" s="68"/>
      <c r="VZD2" s="68"/>
      <c r="VZE2" s="68"/>
      <c r="VZF2" s="68"/>
      <c r="VZG2" s="68"/>
      <c r="VZH2" s="68"/>
      <c r="VZI2" s="68"/>
      <c r="VZJ2" s="68"/>
      <c r="VZK2" s="68"/>
      <c r="VZL2" s="68"/>
      <c r="VZM2" s="68"/>
      <c r="VZN2" s="68"/>
      <c r="VZO2" s="68"/>
      <c r="VZP2" s="68"/>
      <c r="VZQ2" s="68"/>
      <c r="VZR2" s="68"/>
      <c r="VZS2" s="68"/>
      <c r="VZT2" s="68"/>
      <c r="VZU2" s="68"/>
      <c r="VZV2" s="68"/>
      <c r="VZW2" s="68"/>
      <c r="VZX2" s="68"/>
      <c r="VZY2" s="68"/>
      <c r="VZZ2" s="68"/>
      <c r="WAA2" s="68"/>
      <c r="WAB2" s="68"/>
      <c r="WAC2" s="68"/>
      <c r="WAD2" s="68"/>
      <c r="WAE2" s="68"/>
      <c r="WAF2" s="68"/>
      <c r="WAG2" s="68"/>
      <c r="WAH2" s="68"/>
      <c r="WAI2" s="68"/>
      <c r="WAJ2" s="68"/>
      <c r="WAK2" s="68"/>
      <c r="WAL2" s="68"/>
      <c r="WAM2" s="68"/>
      <c r="WAN2" s="68"/>
      <c r="WAO2" s="68"/>
      <c r="WAP2" s="68"/>
      <c r="WAQ2" s="68"/>
      <c r="WAR2" s="68"/>
      <c r="WAS2" s="68"/>
      <c r="WAT2" s="68"/>
      <c r="WAU2" s="68"/>
      <c r="WAV2" s="68"/>
      <c r="WAW2" s="68"/>
      <c r="WAX2" s="68"/>
      <c r="WAY2" s="68"/>
      <c r="WAZ2" s="68"/>
      <c r="WBA2" s="68"/>
      <c r="WBB2" s="68"/>
      <c r="WBC2" s="68"/>
      <c r="WBD2" s="68"/>
      <c r="WBE2" s="68"/>
      <c r="WBF2" s="68"/>
      <c r="WBG2" s="68"/>
      <c r="WBH2" s="68"/>
      <c r="WBI2" s="68"/>
      <c r="WBJ2" s="68"/>
      <c r="WBK2" s="68"/>
      <c r="WBL2" s="68"/>
      <c r="WBM2" s="68"/>
      <c r="WBN2" s="68"/>
      <c r="WBO2" s="68"/>
      <c r="WBP2" s="68"/>
      <c r="WBQ2" s="68"/>
      <c r="WBR2" s="68"/>
      <c r="WBS2" s="68"/>
      <c r="WBT2" s="68"/>
      <c r="WBU2" s="68"/>
      <c r="WBV2" s="68"/>
      <c r="WBW2" s="68"/>
      <c r="WBX2" s="68"/>
      <c r="WBY2" s="68"/>
      <c r="WBZ2" s="68"/>
      <c r="WCA2" s="68"/>
      <c r="WCB2" s="68"/>
      <c r="WCC2" s="68"/>
      <c r="WCD2" s="68"/>
      <c r="WCE2" s="68"/>
      <c r="WCF2" s="68"/>
      <c r="WCG2" s="68"/>
      <c r="WCH2" s="68"/>
      <c r="WCI2" s="68"/>
      <c r="WCJ2" s="68"/>
      <c r="WCK2" s="68"/>
      <c r="WCL2" s="68"/>
      <c r="WCM2" s="68"/>
      <c r="WCN2" s="68"/>
      <c r="WCO2" s="68"/>
      <c r="WCP2" s="68"/>
      <c r="WCQ2" s="68"/>
      <c r="WCR2" s="68"/>
      <c r="WCS2" s="68"/>
      <c r="WCT2" s="68"/>
      <c r="WCU2" s="68"/>
      <c r="WCV2" s="68"/>
      <c r="WCW2" s="68"/>
      <c r="WCX2" s="68"/>
      <c r="WCY2" s="68"/>
      <c r="WCZ2" s="68"/>
      <c r="WDA2" s="68"/>
      <c r="WDB2" s="68"/>
      <c r="WDC2" s="68"/>
      <c r="WDD2" s="68"/>
      <c r="WDE2" s="68"/>
      <c r="WDF2" s="68"/>
      <c r="WDG2" s="68"/>
      <c r="WDH2" s="68"/>
      <c r="WDI2" s="68"/>
      <c r="WDJ2" s="68"/>
      <c r="WDK2" s="68"/>
      <c r="WDL2" s="68"/>
      <c r="WDM2" s="68"/>
      <c r="WDN2" s="68"/>
      <c r="WDO2" s="68"/>
      <c r="WDP2" s="68"/>
      <c r="WDQ2" s="68"/>
      <c r="WDR2" s="68"/>
      <c r="WDS2" s="68"/>
      <c r="WDT2" s="68"/>
      <c r="WDU2" s="68"/>
      <c r="WDV2" s="68"/>
      <c r="WDW2" s="68"/>
      <c r="WDX2" s="68"/>
      <c r="WDY2" s="68"/>
      <c r="WDZ2" s="68"/>
      <c r="WEA2" s="68"/>
      <c r="WEB2" s="68"/>
      <c r="WEC2" s="68"/>
      <c r="WED2" s="68"/>
      <c r="WEE2" s="68"/>
      <c r="WEF2" s="68"/>
      <c r="WEG2" s="68"/>
      <c r="WEH2" s="68"/>
      <c r="WEI2" s="68"/>
      <c r="WEJ2" s="68"/>
      <c r="WEK2" s="68"/>
      <c r="WEL2" s="68"/>
      <c r="WEM2" s="68"/>
      <c r="WEN2" s="68"/>
      <c r="WEO2" s="68"/>
      <c r="WEP2" s="68"/>
      <c r="WEQ2" s="68"/>
      <c r="WER2" s="68"/>
      <c r="WES2" s="68"/>
      <c r="WET2" s="68"/>
      <c r="WEU2" s="68"/>
      <c r="WEV2" s="68"/>
      <c r="WEW2" s="68"/>
      <c r="WEX2" s="68"/>
      <c r="WEY2" s="68"/>
      <c r="WEZ2" s="68"/>
      <c r="WFA2" s="68"/>
      <c r="WFB2" s="68"/>
      <c r="WFC2" s="68"/>
      <c r="WFD2" s="68"/>
      <c r="WFE2" s="68"/>
      <c r="WFF2" s="68"/>
      <c r="WFG2" s="68"/>
      <c r="WFH2" s="68"/>
      <c r="WFI2" s="68"/>
      <c r="WFJ2" s="68"/>
      <c r="WFK2" s="68"/>
      <c r="WFL2" s="68"/>
      <c r="WFM2" s="68"/>
      <c r="WFN2" s="68"/>
      <c r="WFO2" s="68"/>
      <c r="WFP2" s="68"/>
      <c r="WFQ2" s="68"/>
      <c r="WFR2" s="68"/>
      <c r="WFS2" s="68"/>
      <c r="WFT2" s="68"/>
      <c r="WFU2" s="68"/>
      <c r="WFV2" s="68"/>
      <c r="WFW2" s="68"/>
      <c r="WFX2" s="68"/>
      <c r="WFY2" s="68"/>
      <c r="WFZ2" s="68"/>
      <c r="WGA2" s="68"/>
      <c r="WGB2" s="68"/>
      <c r="WGC2" s="68"/>
      <c r="WGD2" s="68"/>
      <c r="WGE2" s="68"/>
      <c r="WGF2" s="68"/>
      <c r="WGG2" s="68"/>
      <c r="WGH2" s="68"/>
      <c r="WGI2" s="68"/>
      <c r="WGJ2" s="68"/>
      <c r="WGK2" s="68"/>
      <c r="WGL2" s="68"/>
      <c r="WGM2" s="68"/>
      <c r="WGN2" s="68"/>
      <c r="WGO2" s="68"/>
      <c r="WGP2" s="68"/>
      <c r="WGQ2" s="68"/>
      <c r="WGR2" s="68"/>
      <c r="WGS2" s="68"/>
      <c r="WGT2" s="68"/>
      <c r="WGU2" s="68"/>
      <c r="WGV2" s="68"/>
      <c r="WGW2" s="68"/>
      <c r="WGX2" s="68"/>
      <c r="WGY2" s="68"/>
      <c r="WGZ2" s="68"/>
      <c r="WHA2" s="68"/>
      <c r="WHB2" s="68"/>
      <c r="WHC2" s="68"/>
      <c r="WHD2" s="68"/>
      <c r="WHE2" s="68"/>
      <c r="WHF2" s="68"/>
      <c r="WHG2" s="68"/>
      <c r="WHH2" s="68"/>
      <c r="WHI2" s="68"/>
      <c r="WHJ2" s="68"/>
      <c r="WHK2" s="68"/>
      <c r="WHL2" s="68"/>
      <c r="WHM2" s="68"/>
      <c r="WHN2" s="68"/>
      <c r="WHO2" s="68"/>
      <c r="WHP2" s="68"/>
      <c r="WHQ2" s="68"/>
      <c r="WHR2" s="68"/>
      <c r="WHS2" s="68"/>
      <c r="WHT2" s="68"/>
      <c r="WHU2" s="68"/>
      <c r="WHV2" s="68"/>
      <c r="WHW2" s="68"/>
      <c r="WHX2" s="68"/>
      <c r="WHY2" s="68"/>
      <c r="WHZ2" s="68"/>
      <c r="WIA2" s="68"/>
      <c r="WIB2" s="68"/>
      <c r="WIC2" s="68"/>
      <c r="WID2" s="68"/>
      <c r="WIE2" s="68"/>
      <c r="WIF2" s="68"/>
      <c r="WIG2" s="68"/>
      <c r="WIH2" s="68"/>
      <c r="WII2" s="68"/>
      <c r="WIJ2" s="68"/>
      <c r="WIK2" s="68"/>
      <c r="WIL2" s="68"/>
      <c r="WIM2" s="68"/>
      <c r="WIN2" s="68"/>
      <c r="WIO2" s="68"/>
      <c r="WIP2" s="68"/>
      <c r="WIQ2" s="68"/>
      <c r="WIR2" s="68"/>
      <c r="WIS2" s="68"/>
      <c r="WIT2" s="68"/>
      <c r="WIU2" s="68"/>
      <c r="WIV2" s="68"/>
      <c r="WIW2" s="68"/>
      <c r="WIX2" s="68"/>
      <c r="WIY2" s="68"/>
      <c r="WIZ2" s="68"/>
      <c r="WJA2" s="68"/>
      <c r="WJB2" s="68"/>
      <c r="WJC2" s="68"/>
      <c r="WJD2" s="68"/>
      <c r="WJE2" s="68"/>
      <c r="WJF2" s="68"/>
      <c r="WJG2" s="68"/>
      <c r="WJH2" s="68"/>
      <c r="WJI2" s="68"/>
      <c r="WJJ2" s="68"/>
      <c r="WJK2" s="68"/>
      <c r="WJL2" s="68"/>
      <c r="WJM2" s="68"/>
      <c r="WJN2" s="68"/>
      <c r="WJO2" s="68"/>
      <c r="WJP2" s="68"/>
      <c r="WJQ2" s="68"/>
      <c r="WJR2" s="68"/>
      <c r="WJS2" s="68"/>
      <c r="WJT2" s="68"/>
      <c r="WJU2" s="68"/>
      <c r="WJV2" s="68"/>
      <c r="WJW2" s="68"/>
      <c r="WJX2" s="68"/>
      <c r="WJY2" s="68"/>
      <c r="WJZ2" s="68"/>
      <c r="WKA2" s="68"/>
      <c r="WKB2" s="68"/>
      <c r="WKC2" s="68"/>
      <c r="WKD2" s="68"/>
      <c r="WKE2" s="68"/>
      <c r="WKF2" s="68"/>
      <c r="WKG2" s="68"/>
      <c r="WKH2" s="68"/>
      <c r="WKI2" s="68"/>
      <c r="WKJ2" s="68"/>
      <c r="WKK2" s="68"/>
      <c r="WKL2" s="68"/>
      <c r="WKM2" s="68"/>
      <c r="WKN2" s="68"/>
      <c r="WKO2" s="68"/>
      <c r="WKP2" s="68"/>
      <c r="WKQ2" s="68"/>
      <c r="WKR2" s="68"/>
      <c r="WKS2" s="68"/>
      <c r="WKT2" s="68"/>
      <c r="WKU2" s="68"/>
      <c r="WKV2" s="68"/>
      <c r="WKW2" s="68"/>
      <c r="WKX2" s="68"/>
      <c r="WKY2" s="68"/>
      <c r="WKZ2" s="68"/>
      <c r="WLA2" s="68"/>
      <c r="WLB2" s="68"/>
      <c r="WLC2" s="68"/>
      <c r="WLD2" s="68"/>
      <c r="WLE2" s="68"/>
      <c r="WLF2" s="68"/>
      <c r="WLG2" s="68"/>
      <c r="WLH2" s="68"/>
      <c r="WLI2" s="68"/>
      <c r="WLJ2" s="68"/>
      <c r="WLK2" s="68"/>
      <c r="WLL2" s="68"/>
      <c r="WLM2" s="68"/>
      <c r="WLN2" s="68"/>
      <c r="WLO2" s="68"/>
      <c r="WLP2" s="68"/>
      <c r="WLQ2" s="68"/>
      <c r="WLR2" s="68"/>
      <c r="WLS2" s="68"/>
      <c r="WLT2" s="68"/>
      <c r="WLU2" s="68"/>
      <c r="WLV2" s="68"/>
      <c r="WLW2" s="68"/>
      <c r="WLX2" s="68"/>
      <c r="WLY2" s="68"/>
      <c r="WLZ2" s="68"/>
      <c r="WMA2" s="68"/>
      <c r="WMB2" s="68"/>
      <c r="WMC2" s="68"/>
      <c r="WMD2" s="68"/>
      <c r="WME2" s="68"/>
      <c r="WMF2" s="68"/>
      <c r="WMG2" s="68"/>
      <c r="WMH2" s="68"/>
      <c r="WMI2" s="68"/>
      <c r="WMJ2" s="68"/>
      <c r="WMK2" s="68"/>
      <c r="WML2" s="68"/>
      <c r="WMM2" s="68"/>
      <c r="WMN2" s="68"/>
      <c r="WMO2" s="68"/>
      <c r="WMP2" s="68"/>
      <c r="WMQ2" s="68"/>
      <c r="WMR2" s="68"/>
      <c r="WMS2" s="68"/>
      <c r="WMT2" s="68"/>
      <c r="WMU2" s="68"/>
      <c r="WMV2" s="68"/>
      <c r="WMW2" s="68"/>
      <c r="WMX2" s="68"/>
      <c r="WMY2" s="68"/>
      <c r="WMZ2" s="68"/>
      <c r="WNA2" s="68"/>
      <c r="WNB2" s="68"/>
      <c r="WNC2" s="68"/>
      <c r="WND2" s="68"/>
      <c r="WNE2" s="68"/>
      <c r="WNF2" s="68"/>
      <c r="WNG2" s="68"/>
      <c r="WNH2" s="68"/>
      <c r="WNI2" s="68"/>
      <c r="WNJ2" s="68"/>
      <c r="WNK2" s="68"/>
      <c r="WNL2" s="68"/>
      <c r="WNM2" s="68"/>
      <c r="WNN2" s="68"/>
      <c r="WNO2" s="68"/>
      <c r="WNP2" s="68"/>
      <c r="WNQ2" s="68"/>
      <c r="WNR2" s="68"/>
      <c r="WNS2" s="68"/>
      <c r="WNT2" s="68"/>
      <c r="WNU2" s="68"/>
      <c r="WNV2" s="68"/>
      <c r="WNW2" s="68"/>
      <c r="WNX2" s="68"/>
      <c r="WNY2" s="68"/>
      <c r="WNZ2" s="68"/>
      <c r="WOA2" s="68"/>
      <c r="WOB2" s="68"/>
      <c r="WOC2" s="68"/>
      <c r="WOD2" s="68"/>
      <c r="WOE2" s="68"/>
      <c r="WOF2" s="68"/>
      <c r="WOG2" s="68"/>
      <c r="WOH2" s="68"/>
      <c r="WOI2" s="68"/>
      <c r="WOJ2" s="68"/>
      <c r="WOK2" s="68"/>
      <c r="WOL2" s="68"/>
      <c r="WOM2" s="68"/>
      <c r="WON2" s="68"/>
      <c r="WOO2" s="68"/>
      <c r="WOP2" s="68"/>
      <c r="WOQ2" s="68"/>
      <c r="WOR2" s="68"/>
      <c r="WOS2" s="68"/>
      <c r="WOT2" s="68"/>
      <c r="WOU2" s="68"/>
      <c r="WOV2" s="68"/>
      <c r="WOW2" s="68"/>
      <c r="WOX2" s="68"/>
      <c r="WOY2" s="68"/>
      <c r="WOZ2" s="68"/>
      <c r="WPA2" s="68"/>
      <c r="WPB2" s="68"/>
      <c r="WPC2" s="68"/>
      <c r="WPD2" s="68"/>
      <c r="WPE2" s="68"/>
      <c r="WPF2" s="68"/>
      <c r="WPG2" s="68"/>
      <c r="WPH2" s="68"/>
      <c r="WPI2" s="68"/>
      <c r="WPJ2" s="68"/>
      <c r="WPK2" s="68"/>
      <c r="WPL2" s="68"/>
      <c r="WPM2" s="68"/>
      <c r="WPN2" s="68"/>
      <c r="WPO2" s="68"/>
      <c r="WPP2" s="68"/>
      <c r="WPQ2" s="68"/>
      <c r="WPR2" s="68"/>
      <c r="WPS2" s="68"/>
      <c r="WPT2" s="68"/>
      <c r="WPU2" s="68"/>
      <c r="WPV2" s="68"/>
      <c r="WPW2" s="68"/>
      <c r="WPX2" s="68"/>
      <c r="WPY2" s="68"/>
      <c r="WPZ2" s="68"/>
      <c r="WQA2" s="68"/>
      <c r="WQB2" s="68"/>
      <c r="WQC2" s="68"/>
      <c r="WQD2" s="68"/>
      <c r="WQE2" s="68"/>
      <c r="WQF2" s="68"/>
      <c r="WQG2" s="68"/>
      <c r="WQH2" s="68"/>
      <c r="WQI2" s="68"/>
      <c r="WQJ2" s="68"/>
      <c r="WQK2" s="68"/>
      <c r="WQL2" s="68"/>
      <c r="WQM2" s="68"/>
      <c r="WQN2" s="68"/>
      <c r="WQO2" s="68"/>
      <c r="WQP2" s="68"/>
      <c r="WQQ2" s="68"/>
      <c r="WQR2" s="68"/>
      <c r="WQS2" s="68"/>
      <c r="WQT2" s="68"/>
      <c r="WQU2" s="68"/>
      <c r="WQV2" s="68"/>
      <c r="WQW2" s="68"/>
      <c r="WQX2" s="68"/>
      <c r="WQY2" s="68"/>
      <c r="WQZ2" s="68"/>
      <c r="WRA2" s="68"/>
      <c r="WRB2" s="68"/>
      <c r="WRC2" s="68"/>
      <c r="WRD2" s="68"/>
      <c r="WRE2" s="68"/>
      <c r="WRF2" s="68"/>
      <c r="WRG2" s="68"/>
      <c r="WRH2" s="68"/>
      <c r="WRI2" s="68"/>
      <c r="WRJ2" s="68"/>
      <c r="WRK2" s="68"/>
      <c r="WRL2" s="68"/>
      <c r="WRM2" s="68"/>
      <c r="WRN2" s="68"/>
      <c r="WRO2" s="68"/>
      <c r="WRP2" s="68"/>
      <c r="WRQ2" s="68"/>
      <c r="WRR2" s="68"/>
      <c r="WRS2" s="68"/>
      <c r="WRT2" s="68"/>
      <c r="WRU2" s="68"/>
      <c r="WRV2" s="68"/>
      <c r="WRW2" s="68"/>
      <c r="WRX2" s="68"/>
      <c r="WRY2" s="68"/>
      <c r="WRZ2" s="68"/>
      <c r="WSA2" s="68"/>
      <c r="WSB2" s="68"/>
      <c r="WSC2" s="68"/>
      <c r="WSD2" s="68"/>
      <c r="WSE2" s="68"/>
      <c r="WSF2" s="68"/>
      <c r="WSG2" s="68"/>
      <c r="WSH2" s="68"/>
      <c r="WSI2" s="68"/>
      <c r="WSJ2" s="68"/>
      <c r="WSK2" s="68"/>
      <c r="WSL2" s="68"/>
      <c r="WSM2" s="68"/>
      <c r="WSN2" s="68"/>
      <c r="WSO2" s="68"/>
      <c r="WSP2" s="68"/>
      <c r="WSQ2" s="68"/>
      <c r="WSR2" s="68"/>
      <c r="WSS2" s="68"/>
      <c r="WST2" s="68"/>
      <c r="WSU2" s="68"/>
      <c r="WSV2" s="68"/>
      <c r="WSW2" s="68"/>
      <c r="WSX2" s="68"/>
      <c r="WSY2" s="68"/>
      <c r="WSZ2" s="68"/>
      <c r="WTA2" s="68"/>
      <c r="WTB2" s="68"/>
      <c r="WTC2" s="68"/>
      <c r="WTD2" s="68"/>
      <c r="WTE2" s="68"/>
      <c r="WTF2" s="68"/>
      <c r="WTG2" s="68"/>
      <c r="WTH2" s="68"/>
      <c r="WTI2" s="68"/>
      <c r="WTJ2" s="68"/>
      <c r="WTK2" s="68"/>
      <c r="WTL2" s="68"/>
      <c r="WTM2" s="68"/>
      <c r="WTN2" s="68"/>
      <c r="WTO2" s="68"/>
      <c r="WTP2" s="68"/>
      <c r="WTQ2" s="68"/>
      <c r="WTR2" s="68"/>
      <c r="WTS2" s="68"/>
      <c r="WTT2" s="68"/>
      <c r="WTU2" s="68"/>
      <c r="WTV2" s="68"/>
      <c r="WTW2" s="68"/>
      <c r="WTX2" s="68"/>
      <c r="WTY2" s="68"/>
      <c r="WTZ2" s="68"/>
      <c r="WUA2" s="68"/>
      <c r="WUB2" s="68"/>
      <c r="WUC2" s="68"/>
      <c r="WUD2" s="68"/>
      <c r="WUE2" s="68"/>
      <c r="WUF2" s="68"/>
      <c r="WUG2" s="68"/>
      <c r="WUH2" s="68"/>
      <c r="WUI2" s="68"/>
      <c r="WUJ2" s="68"/>
      <c r="WUK2" s="68"/>
      <c r="WUL2" s="68"/>
      <c r="WUM2" s="68"/>
      <c r="WUN2" s="68"/>
      <c r="WUO2" s="68"/>
      <c r="WUP2" s="68"/>
      <c r="WUQ2" s="68"/>
      <c r="WUR2" s="68"/>
      <c r="WUS2" s="68"/>
      <c r="WUT2" s="68"/>
      <c r="WUU2" s="68"/>
      <c r="WUV2" s="68"/>
      <c r="WUW2" s="68"/>
      <c r="WUX2" s="68"/>
      <c r="WUY2" s="68"/>
      <c r="WUZ2" s="68"/>
      <c r="WVA2" s="68"/>
      <c r="WVB2" s="68"/>
      <c r="WVC2" s="68"/>
      <c r="WVD2" s="68"/>
      <c r="WVE2" s="68"/>
      <c r="WVF2" s="68"/>
      <c r="WVG2" s="68"/>
      <c r="WVH2" s="68"/>
      <c r="WVI2" s="68"/>
      <c r="WVJ2" s="68"/>
      <c r="WVK2" s="68"/>
      <c r="WVL2" s="68"/>
      <c r="WVM2" s="68"/>
      <c r="WVN2" s="68"/>
      <c r="WVO2" s="68"/>
      <c r="WVP2" s="68"/>
      <c r="WVQ2" s="68"/>
      <c r="WVR2" s="68"/>
      <c r="WVS2" s="68"/>
      <c r="WVT2" s="68"/>
      <c r="WVU2" s="68"/>
      <c r="WVV2" s="68"/>
      <c r="WVW2" s="68"/>
      <c r="WVX2" s="68"/>
      <c r="WVY2" s="68"/>
      <c r="WVZ2" s="68"/>
      <c r="WWA2" s="68"/>
      <c r="WWB2" s="68"/>
      <c r="WWC2" s="68"/>
      <c r="WWD2" s="68"/>
      <c r="WWE2" s="68"/>
      <c r="WWF2" s="68"/>
      <c r="WWG2" s="68"/>
      <c r="WWH2" s="68"/>
      <c r="WWI2" s="68"/>
      <c r="WWJ2" s="68"/>
      <c r="WWK2" s="68"/>
      <c r="WWL2" s="68"/>
      <c r="WWM2" s="68"/>
      <c r="WWN2" s="68"/>
      <c r="WWO2" s="68"/>
      <c r="WWP2" s="68"/>
      <c r="WWQ2" s="68"/>
      <c r="WWR2" s="68"/>
      <c r="WWS2" s="68"/>
      <c r="WWT2" s="68"/>
      <c r="WWU2" s="68"/>
      <c r="WWV2" s="68"/>
      <c r="WWW2" s="68"/>
      <c r="WWX2" s="68"/>
      <c r="WWY2" s="68"/>
      <c r="WWZ2" s="68"/>
      <c r="WXA2" s="68"/>
      <c r="WXB2" s="68"/>
      <c r="WXC2" s="68"/>
      <c r="WXD2" s="68"/>
      <c r="WXE2" s="68"/>
      <c r="WXF2" s="68"/>
      <c r="WXG2" s="68"/>
      <c r="WXH2" s="68"/>
      <c r="WXI2" s="68"/>
      <c r="WXJ2" s="68"/>
      <c r="WXK2" s="68"/>
      <c r="WXL2" s="68"/>
      <c r="WXM2" s="68"/>
      <c r="WXN2" s="68"/>
      <c r="WXO2" s="68"/>
      <c r="WXP2" s="68"/>
      <c r="WXQ2" s="68"/>
      <c r="WXR2" s="68"/>
      <c r="WXS2" s="68"/>
      <c r="WXT2" s="68"/>
      <c r="WXU2" s="68"/>
      <c r="WXV2" s="68"/>
      <c r="WXW2" s="68"/>
      <c r="WXX2" s="68"/>
      <c r="WXY2" s="68"/>
      <c r="WXZ2" s="68"/>
      <c r="WYA2" s="68"/>
      <c r="WYB2" s="68"/>
      <c r="WYC2" s="68"/>
      <c r="WYD2" s="68"/>
      <c r="WYE2" s="68"/>
      <c r="WYF2" s="68"/>
      <c r="WYG2" s="68"/>
      <c r="WYH2" s="68"/>
      <c r="WYI2" s="68"/>
      <c r="WYJ2" s="68"/>
      <c r="WYK2" s="68"/>
      <c r="WYL2" s="68"/>
      <c r="WYM2" s="68"/>
      <c r="WYN2" s="68"/>
      <c r="WYO2" s="68"/>
      <c r="WYP2" s="68"/>
      <c r="WYQ2" s="68"/>
      <c r="WYR2" s="68"/>
      <c r="WYS2" s="68"/>
      <c r="WYT2" s="68"/>
      <c r="WYU2" s="68"/>
      <c r="WYV2" s="68"/>
      <c r="WYW2" s="68"/>
      <c r="WYX2" s="68"/>
      <c r="WYY2" s="68"/>
      <c r="WYZ2" s="68"/>
      <c r="WZA2" s="68"/>
      <c r="WZB2" s="68"/>
      <c r="WZC2" s="68"/>
      <c r="WZD2" s="68"/>
      <c r="WZE2" s="68"/>
      <c r="WZF2" s="68"/>
      <c r="WZG2" s="68"/>
      <c r="WZH2" s="68"/>
      <c r="WZI2" s="68"/>
      <c r="WZJ2" s="68"/>
      <c r="WZK2" s="68"/>
      <c r="WZL2" s="68"/>
      <c r="WZM2" s="68"/>
      <c r="WZN2" s="68"/>
      <c r="WZO2" s="68"/>
      <c r="WZP2" s="68"/>
      <c r="WZQ2" s="68"/>
      <c r="WZR2" s="68"/>
      <c r="WZS2" s="68"/>
      <c r="WZT2" s="68"/>
      <c r="WZU2" s="68"/>
      <c r="WZV2" s="68"/>
      <c r="WZW2" s="68"/>
      <c r="WZX2" s="68"/>
      <c r="WZY2" s="68"/>
      <c r="WZZ2" s="68"/>
      <c r="XAA2" s="68"/>
      <c r="XAB2" s="68"/>
      <c r="XAC2" s="68"/>
      <c r="XAD2" s="68"/>
      <c r="XAE2" s="68"/>
      <c r="XAF2" s="68"/>
      <c r="XAG2" s="68"/>
      <c r="XAH2" s="68"/>
      <c r="XAI2" s="68"/>
      <c r="XAJ2" s="68"/>
      <c r="XAK2" s="68"/>
      <c r="XAL2" s="68"/>
      <c r="XAM2" s="68"/>
      <c r="XAN2" s="68"/>
      <c r="XAO2" s="68"/>
      <c r="XAP2" s="68"/>
      <c r="XAQ2" s="68"/>
      <c r="XAR2" s="68"/>
      <c r="XAS2" s="68"/>
      <c r="XAT2" s="68"/>
      <c r="XAU2" s="68"/>
      <c r="XAV2" s="68"/>
      <c r="XAW2" s="68"/>
      <c r="XAX2" s="68"/>
      <c r="XAY2" s="68"/>
      <c r="XAZ2" s="68"/>
      <c r="XBA2" s="68"/>
      <c r="XBB2" s="68"/>
      <c r="XBC2" s="68"/>
      <c r="XBD2" s="68"/>
      <c r="XBE2" s="68"/>
      <c r="XBF2" s="68"/>
      <c r="XBG2" s="68"/>
      <c r="XBH2" s="68"/>
      <c r="XBI2" s="68"/>
      <c r="XBJ2" s="68"/>
      <c r="XBK2" s="68"/>
      <c r="XBL2" s="68"/>
      <c r="XBM2" s="68"/>
      <c r="XBN2" s="68"/>
      <c r="XBO2" s="68"/>
      <c r="XBP2" s="68"/>
      <c r="XBQ2" s="68"/>
      <c r="XBR2" s="68"/>
      <c r="XBS2" s="68"/>
      <c r="XBT2" s="68"/>
      <c r="XBU2" s="68"/>
      <c r="XBV2" s="68"/>
      <c r="XBW2" s="68"/>
      <c r="XBX2" s="68"/>
      <c r="XBY2" s="68"/>
      <c r="XBZ2" s="68"/>
      <c r="XCA2" s="68"/>
      <c r="XCB2" s="68"/>
      <c r="XCC2" s="68"/>
      <c r="XCD2" s="68"/>
      <c r="XCE2" s="68"/>
      <c r="XCF2" s="68"/>
      <c r="XCG2" s="68"/>
      <c r="XCH2" s="68"/>
      <c r="XCI2" s="68"/>
      <c r="XCJ2" s="68"/>
      <c r="XCK2" s="68"/>
      <c r="XCL2" s="68"/>
      <c r="XCM2" s="68"/>
      <c r="XCN2" s="68"/>
      <c r="XCO2" s="68"/>
      <c r="XCP2" s="68"/>
      <c r="XCQ2" s="68"/>
      <c r="XCR2" s="68"/>
      <c r="XCS2" s="68"/>
      <c r="XCT2" s="68"/>
      <c r="XCU2" s="68"/>
      <c r="XCV2" s="68"/>
      <c r="XCW2" s="68"/>
      <c r="XCX2" s="68"/>
      <c r="XCY2" s="68"/>
      <c r="XCZ2" s="68"/>
      <c r="XDA2" s="68"/>
      <c r="XDB2" s="68"/>
      <c r="XDC2" s="68"/>
      <c r="XDD2" s="68"/>
      <c r="XDE2" s="68"/>
      <c r="XDF2" s="68"/>
      <c r="XDG2" s="68"/>
      <c r="XDH2" s="68"/>
      <c r="XDI2" s="68"/>
      <c r="XDJ2" s="68"/>
      <c r="XDK2" s="68"/>
      <c r="XDL2" s="68"/>
      <c r="XDM2" s="68"/>
      <c r="XDN2" s="68"/>
      <c r="XDO2" s="68"/>
      <c r="XDP2" s="68"/>
      <c r="XDQ2" s="68"/>
      <c r="XDR2" s="68"/>
      <c r="XDS2" s="68"/>
      <c r="XDT2" s="68"/>
      <c r="XDU2" s="68"/>
      <c r="XDV2" s="68"/>
      <c r="XDW2" s="68"/>
      <c r="XDX2" s="68"/>
      <c r="XDY2" s="68"/>
      <c r="XDZ2" s="68"/>
      <c r="XEA2" s="68"/>
      <c r="XEB2" s="68"/>
      <c r="XEC2" s="68"/>
      <c r="XED2" s="68"/>
      <c r="XEE2" s="68"/>
      <c r="XEF2" s="68"/>
      <c r="XEG2" s="68"/>
      <c r="XEH2" s="68"/>
      <c r="XEI2" s="68"/>
      <c r="XEJ2" s="68"/>
      <c r="XEK2" s="68"/>
      <c r="XEL2" s="68"/>
      <c r="XEM2" s="68"/>
      <c r="XEN2" s="68"/>
      <c r="XEO2" s="68"/>
      <c r="XEP2" s="68"/>
      <c r="XEQ2" s="68"/>
      <c r="XER2" s="68"/>
      <c r="XES2" s="68"/>
      <c r="XET2" s="68"/>
      <c r="XEU2" s="68"/>
      <c r="XEV2" s="68"/>
      <c r="XEW2" s="68"/>
      <c r="XEX2" s="68"/>
      <c r="XEY2" s="68"/>
      <c r="XEZ2" s="68"/>
      <c r="XFA2" s="68"/>
    </row>
    <row r="3" spans="1:16381" s="68" customFormat="1" ht="15" customHeight="1" thickBot="1" x14ac:dyDescent="0.9">
      <c r="A3" s="64"/>
      <c r="B3" s="65" t="s">
        <v>166</v>
      </c>
      <c r="C3" s="72"/>
    </row>
    <row r="4" spans="1:16381" s="68" customFormat="1" ht="15" customHeight="1" thickTop="1" thickBot="1" x14ac:dyDescent="0.9">
      <c r="A4" s="64"/>
      <c r="B4" s="73" t="s">
        <v>167</v>
      </c>
      <c r="C4" s="72"/>
      <c r="D4" s="74" t="s">
        <v>168</v>
      </c>
    </row>
    <row r="5" spans="1:16381" s="77" customFormat="1" ht="17.25" customHeight="1" thickTop="1" thickBot="1" x14ac:dyDescent="0.9">
      <c r="A5" s="69"/>
      <c r="B5" s="75" t="s">
        <v>169</v>
      </c>
      <c r="C5" s="76" t="s">
        <v>170</v>
      </c>
      <c r="D5" s="74">
        <f>QGDP_KP!$D$5</f>
        <v>2024</v>
      </c>
      <c r="E5" s="74" t="s">
        <v>116</v>
      </c>
      <c r="F5" s="74" t="s">
        <v>117</v>
      </c>
      <c r="G5" s="74" t="s">
        <v>118</v>
      </c>
      <c r="H5" s="74" t="s">
        <v>119</v>
      </c>
      <c r="I5" s="74" t="s">
        <v>120</v>
      </c>
      <c r="J5" s="74" t="s">
        <v>121</v>
      </c>
      <c r="K5" s="74" t="s">
        <v>122</v>
      </c>
      <c r="L5" s="74" t="s">
        <v>123</v>
      </c>
      <c r="M5" s="74" t="s">
        <v>124</v>
      </c>
      <c r="N5" s="74" t="s">
        <v>125</v>
      </c>
      <c r="O5" s="74" t="s">
        <v>126</v>
      </c>
      <c r="P5" s="74" t="s">
        <v>127</v>
      </c>
      <c r="Q5" s="74" t="s">
        <v>128</v>
      </c>
      <c r="R5" s="74" t="s">
        <v>129</v>
      </c>
      <c r="S5" s="74" t="s">
        <v>130</v>
      </c>
      <c r="T5" s="74" t="s">
        <v>131</v>
      </c>
      <c r="U5" s="74" t="s">
        <v>132</v>
      </c>
      <c r="V5" s="74" t="s">
        <v>133</v>
      </c>
      <c r="W5" s="74" t="s">
        <v>134</v>
      </c>
      <c r="X5" s="74" t="s">
        <v>135</v>
      </c>
      <c r="Y5" s="74" t="s">
        <v>136</v>
      </c>
      <c r="Z5" s="74" t="s">
        <v>137</v>
      </c>
      <c r="AA5" s="74" t="s">
        <v>138</v>
      </c>
      <c r="AB5" s="74" t="s">
        <v>139</v>
      </c>
      <c r="AC5" s="74" t="s">
        <v>140</v>
      </c>
      <c r="AD5" s="74" t="s">
        <v>141</v>
      </c>
      <c r="AE5" s="74" t="s">
        <v>142</v>
      </c>
      <c r="AF5" s="74" t="s">
        <v>143</v>
      </c>
      <c r="AG5" s="74" t="s">
        <v>144</v>
      </c>
      <c r="AH5" s="74" t="s">
        <v>145</v>
      </c>
      <c r="AI5" s="74" t="s">
        <v>146</v>
      </c>
      <c r="AJ5" s="74" t="s">
        <v>147</v>
      </c>
      <c r="AK5" s="74" t="s">
        <v>171</v>
      </c>
      <c r="AL5" s="74" t="s">
        <v>172</v>
      </c>
      <c r="AM5" s="74" t="s">
        <v>173</v>
      </c>
      <c r="AN5" s="74" t="s">
        <v>174</v>
      </c>
      <c r="AO5" s="74" t="s">
        <v>175</v>
      </c>
      <c r="AP5" s="74" t="s">
        <v>176</v>
      </c>
      <c r="AQ5" s="74" t="s">
        <v>177</v>
      </c>
      <c r="AR5" s="74" t="s">
        <v>178</v>
      </c>
      <c r="AS5" s="74" t="s">
        <v>179</v>
      </c>
      <c r="AT5" s="74" t="s">
        <v>180</v>
      </c>
      <c r="AU5" s="74" t="s">
        <v>181</v>
      </c>
      <c r="AV5" s="74" t="s">
        <v>182</v>
      </c>
      <c r="AW5" s="74" t="s">
        <v>183</v>
      </c>
      <c r="AX5" s="74" t="s">
        <v>184</v>
      </c>
      <c r="AY5" s="74" t="s">
        <v>185</v>
      </c>
      <c r="AZ5" s="74" t="s">
        <v>186</v>
      </c>
      <c r="BA5" s="74" t="s">
        <v>187</v>
      </c>
      <c r="BB5" s="74" t="s">
        <v>188</v>
      </c>
      <c r="BC5" s="74" t="s">
        <v>189</v>
      </c>
      <c r="BD5" s="74" t="s">
        <v>190</v>
      </c>
      <c r="BE5" s="74" t="s">
        <v>191</v>
      </c>
      <c r="BF5" s="74" t="s">
        <v>192</v>
      </c>
      <c r="BG5" s="74" t="s">
        <v>193</v>
      </c>
      <c r="BH5" s="74" t="s">
        <v>194</v>
      </c>
      <c r="BI5" s="74" t="s">
        <v>195</v>
      </c>
      <c r="BJ5" s="74" t="s">
        <v>196</v>
      </c>
      <c r="BK5" s="74" t="s">
        <v>197</v>
      </c>
      <c r="BL5" s="74" t="s">
        <v>198</v>
      </c>
      <c r="BM5" s="74" t="s">
        <v>199</v>
      </c>
      <c r="BN5" s="74" t="s">
        <v>200</v>
      </c>
      <c r="BO5" s="74" t="s">
        <v>201</v>
      </c>
      <c r="BP5" s="74" t="s">
        <v>202</v>
      </c>
      <c r="BQ5" s="74" t="s">
        <v>203</v>
      </c>
      <c r="BR5" s="74" t="s">
        <v>204</v>
      </c>
      <c r="BS5" s="74" t="s">
        <v>205</v>
      </c>
      <c r="BT5" s="74" t="s">
        <v>206</v>
      </c>
      <c r="BU5" s="74" t="s">
        <v>207</v>
      </c>
      <c r="BV5" s="74" t="s">
        <v>208</v>
      </c>
      <c r="BW5" s="74" t="s">
        <v>209</v>
      </c>
      <c r="BX5" s="74" t="s">
        <v>210</v>
      </c>
      <c r="BY5" s="74" t="s">
        <v>211</v>
      </c>
      <c r="BZ5" s="74" t="s">
        <v>212</v>
      </c>
      <c r="CA5" s="74" t="s">
        <v>213</v>
      </c>
      <c r="CB5" s="74" t="s">
        <v>214</v>
      </c>
      <c r="CC5" s="74" t="s">
        <v>215</v>
      </c>
      <c r="CD5" s="74" t="s">
        <v>216</v>
      </c>
      <c r="CE5" s="74" t="s">
        <v>217</v>
      </c>
      <c r="CF5" s="68"/>
      <c r="DD5" s="77" t="s">
        <v>218</v>
      </c>
      <c r="DE5" s="78"/>
    </row>
    <row r="6" spans="1:16381" s="77" customFormat="1" ht="7.5" customHeight="1" thickTop="1" x14ac:dyDescent="0.75">
      <c r="A6" s="64"/>
      <c r="B6" s="79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68"/>
      <c r="DE6" s="78"/>
    </row>
    <row r="7" spans="1:16381" ht="14.25" customHeight="1" x14ac:dyDescent="0.75">
      <c r="A7" s="64"/>
      <c r="B7" s="81" t="s">
        <v>219</v>
      </c>
      <c r="C7" s="82"/>
      <c r="D7" s="83">
        <v>19918</v>
      </c>
      <c r="E7" s="83">
        <v>396</v>
      </c>
      <c r="F7" s="83">
        <v>446</v>
      </c>
      <c r="G7" s="83">
        <v>472</v>
      </c>
      <c r="H7" s="83">
        <v>492</v>
      </c>
      <c r="I7" s="83">
        <v>499</v>
      </c>
      <c r="J7" s="83">
        <v>540</v>
      </c>
      <c r="K7" s="83">
        <v>566</v>
      </c>
      <c r="L7" s="83">
        <v>592</v>
      </c>
      <c r="M7" s="83">
        <v>600</v>
      </c>
      <c r="N7" s="83">
        <v>679</v>
      </c>
      <c r="O7" s="83">
        <v>741</v>
      </c>
      <c r="P7" s="83">
        <v>779</v>
      </c>
      <c r="Q7" s="83">
        <v>777</v>
      </c>
      <c r="R7" s="83">
        <v>765</v>
      </c>
      <c r="S7" s="83">
        <v>799</v>
      </c>
      <c r="T7" s="83">
        <v>844</v>
      </c>
      <c r="U7" s="83">
        <v>842</v>
      </c>
      <c r="V7" s="83">
        <v>848</v>
      </c>
      <c r="W7" s="83">
        <v>895</v>
      </c>
      <c r="X7" s="83">
        <v>944</v>
      </c>
      <c r="Y7" s="83">
        <v>952</v>
      </c>
      <c r="Z7" s="83">
        <v>987</v>
      </c>
      <c r="AA7" s="83">
        <v>1062</v>
      </c>
      <c r="AB7" s="83">
        <v>1083</v>
      </c>
      <c r="AC7" s="83">
        <v>1100</v>
      </c>
      <c r="AD7" s="83">
        <v>1128</v>
      </c>
      <c r="AE7" s="83">
        <v>1195</v>
      </c>
      <c r="AF7" s="83">
        <v>1219</v>
      </c>
      <c r="AG7" s="83">
        <v>1196</v>
      </c>
      <c r="AH7" s="83">
        <v>1235</v>
      </c>
      <c r="AI7" s="83">
        <v>1245</v>
      </c>
      <c r="AJ7" s="83">
        <v>1312</v>
      </c>
      <c r="AK7" s="83">
        <v>1336</v>
      </c>
      <c r="AL7" s="83">
        <v>1403</v>
      </c>
      <c r="AM7" s="83">
        <v>1296</v>
      </c>
      <c r="AN7" s="83">
        <v>1513</v>
      </c>
      <c r="AO7" s="83">
        <v>1451</v>
      </c>
      <c r="AP7" s="83">
        <v>1511</v>
      </c>
      <c r="AQ7" s="83">
        <v>1418</v>
      </c>
      <c r="AR7" s="83">
        <v>1701</v>
      </c>
      <c r="AS7" s="83">
        <v>1617</v>
      </c>
      <c r="AT7" s="83">
        <v>1707</v>
      </c>
      <c r="AU7" s="83">
        <v>1538</v>
      </c>
      <c r="AV7" s="83">
        <v>1906</v>
      </c>
      <c r="AW7" s="83">
        <v>1830</v>
      </c>
      <c r="AX7" s="83">
        <v>1964</v>
      </c>
      <c r="AY7" s="83">
        <v>1722</v>
      </c>
      <c r="AZ7" s="83">
        <v>2105</v>
      </c>
      <c r="BA7" s="83">
        <v>2016</v>
      </c>
      <c r="BB7" s="83">
        <v>2132</v>
      </c>
      <c r="BC7" s="83">
        <v>1884</v>
      </c>
      <c r="BD7" s="83">
        <v>2277</v>
      </c>
      <c r="BE7" s="83">
        <v>2160</v>
      </c>
      <c r="BF7" s="83">
        <v>2468</v>
      </c>
      <c r="BG7" s="83">
        <v>2195</v>
      </c>
      <c r="BH7" s="83">
        <v>2637</v>
      </c>
      <c r="BI7" s="83">
        <v>2395</v>
      </c>
      <c r="BJ7" s="83">
        <v>2413</v>
      </c>
      <c r="BK7" s="83">
        <v>2221</v>
      </c>
      <c r="BL7" s="83">
        <v>2862</v>
      </c>
      <c r="BM7" s="83">
        <v>2574</v>
      </c>
      <c r="BN7" s="83">
        <v>2841</v>
      </c>
      <c r="BO7" s="83">
        <v>2598</v>
      </c>
      <c r="BP7" s="83">
        <v>3112</v>
      </c>
      <c r="BQ7" s="83">
        <v>3101</v>
      </c>
      <c r="BR7" s="83">
        <v>3549</v>
      </c>
      <c r="BS7" s="83">
        <v>3304</v>
      </c>
      <c r="BT7" s="83">
        <v>4210</v>
      </c>
      <c r="BU7" s="83">
        <v>4031</v>
      </c>
      <c r="BV7" s="83">
        <v>4255</v>
      </c>
      <c r="BW7" s="83">
        <v>3875</v>
      </c>
      <c r="BX7" s="83">
        <v>5016</v>
      </c>
      <c r="BY7" s="83">
        <v>4514</v>
      </c>
      <c r="BZ7" s="83">
        <v>4965</v>
      </c>
      <c r="CA7" s="83">
        <v>4659</v>
      </c>
      <c r="CB7" s="83">
        <v>5780</v>
      </c>
      <c r="CC7" s="83">
        <v>5276</v>
      </c>
      <c r="CD7" s="83">
        <v>5799</v>
      </c>
      <c r="CE7" s="83">
        <v>5525</v>
      </c>
      <c r="CF7" s="68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4"/>
      <c r="DD7" s="84" t="s">
        <v>220</v>
      </c>
      <c r="DE7" s="78" t="s">
        <v>221</v>
      </c>
      <c r="DF7" s="84"/>
      <c r="DG7" s="84"/>
      <c r="DH7" s="84"/>
      <c r="DI7" s="84"/>
      <c r="DJ7" s="84"/>
      <c r="DK7" s="84"/>
      <c r="DL7" s="84"/>
      <c r="DM7" s="84"/>
      <c r="DN7" s="84"/>
      <c r="DO7" s="84"/>
    </row>
    <row r="8" spans="1:16381" s="77" customFormat="1" ht="7.5" customHeight="1" x14ac:dyDescent="0.75">
      <c r="A8" s="64"/>
      <c r="B8" s="79"/>
      <c r="C8" s="80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68"/>
    </row>
    <row r="9" spans="1:16381" ht="14.25" customHeight="1" x14ac:dyDescent="0.75">
      <c r="A9" s="64"/>
      <c r="B9" s="81" t="s">
        <v>222</v>
      </c>
      <c r="C9" s="82" t="s">
        <v>223</v>
      </c>
      <c r="D9" s="83">
        <v>4142</v>
      </c>
      <c r="E9" s="83">
        <v>113</v>
      </c>
      <c r="F9" s="83">
        <v>129</v>
      </c>
      <c r="G9" s="83">
        <v>136</v>
      </c>
      <c r="H9" s="83">
        <v>147</v>
      </c>
      <c r="I9" s="83">
        <v>133</v>
      </c>
      <c r="J9" s="83">
        <v>133</v>
      </c>
      <c r="K9" s="83">
        <v>142</v>
      </c>
      <c r="L9" s="83">
        <v>143</v>
      </c>
      <c r="M9" s="83">
        <v>148</v>
      </c>
      <c r="N9" s="83">
        <v>164</v>
      </c>
      <c r="O9" s="83">
        <v>175</v>
      </c>
      <c r="P9" s="83">
        <v>183</v>
      </c>
      <c r="Q9" s="83">
        <v>184</v>
      </c>
      <c r="R9" s="83">
        <v>189</v>
      </c>
      <c r="S9" s="83">
        <v>194</v>
      </c>
      <c r="T9" s="83">
        <v>210</v>
      </c>
      <c r="U9" s="83">
        <v>200</v>
      </c>
      <c r="V9" s="83">
        <v>203</v>
      </c>
      <c r="W9" s="83">
        <v>210</v>
      </c>
      <c r="X9" s="83">
        <v>214</v>
      </c>
      <c r="Y9" s="83">
        <v>207</v>
      </c>
      <c r="Z9" s="83">
        <v>233</v>
      </c>
      <c r="AA9" s="83">
        <v>248</v>
      </c>
      <c r="AB9" s="83">
        <v>248</v>
      </c>
      <c r="AC9" s="83">
        <v>251</v>
      </c>
      <c r="AD9" s="83">
        <v>271</v>
      </c>
      <c r="AE9" s="83">
        <v>287</v>
      </c>
      <c r="AF9" s="83">
        <v>296</v>
      </c>
      <c r="AG9" s="83">
        <v>289</v>
      </c>
      <c r="AH9" s="83">
        <v>302</v>
      </c>
      <c r="AI9" s="83">
        <v>292</v>
      </c>
      <c r="AJ9" s="83">
        <v>308</v>
      </c>
      <c r="AK9" s="83">
        <v>323</v>
      </c>
      <c r="AL9" s="83">
        <v>356</v>
      </c>
      <c r="AM9" s="83">
        <v>209</v>
      </c>
      <c r="AN9" s="83">
        <v>426</v>
      </c>
      <c r="AO9" s="83">
        <v>339</v>
      </c>
      <c r="AP9" s="83">
        <v>376</v>
      </c>
      <c r="AQ9" s="83">
        <v>223</v>
      </c>
      <c r="AR9" s="83">
        <v>467</v>
      </c>
      <c r="AS9" s="83">
        <v>371</v>
      </c>
      <c r="AT9" s="83">
        <v>417</v>
      </c>
      <c r="AU9" s="83">
        <v>260</v>
      </c>
      <c r="AV9" s="83">
        <v>596</v>
      </c>
      <c r="AW9" s="83">
        <v>490</v>
      </c>
      <c r="AX9" s="83">
        <v>558</v>
      </c>
      <c r="AY9" s="83">
        <v>273</v>
      </c>
      <c r="AZ9" s="83">
        <v>633</v>
      </c>
      <c r="BA9" s="83">
        <v>477</v>
      </c>
      <c r="BB9" s="83">
        <v>554</v>
      </c>
      <c r="BC9" s="83">
        <v>300</v>
      </c>
      <c r="BD9" s="83">
        <v>603</v>
      </c>
      <c r="BE9" s="83">
        <v>456</v>
      </c>
      <c r="BF9" s="83">
        <v>583</v>
      </c>
      <c r="BG9" s="83">
        <v>319</v>
      </c>
      <c r="BH9" s="83">
        <v>682</v>
      </c>
      <c r="BI9" s="83">
        <v>558</v>
      </c>
      <c r="BJ9" s="83">
        <v>673</v>
      </c>
      <c r="BK9" s="83">
        <v>369</v>
      </c>
      <c r="BL9" s="83">
        <v>792</v>
      </c>
      <c r="BM9" s="83">
        <v>597</v>
      </c>
      <c r="BN9" s="83">
        <v>693</v>
      </c>
      <c r="BO9" s="83">
        <v>398</v>
      </c>
      <c r="BP9" s="83">
        <v>697</v>
      </c>
      <c r="BQ9" s="83">
        <v>614</v>
      </c>
      <c r="BR9" s="83">
        <v>846</v>
      </c>
      <c r="BS9" s="83">
        <v>514</v>
      </c>
      <c r="BT9" s="83">
        <v>1132</v>
      </c>
      <c r="BU9" s="83">
        <v>900</v>
      </c>
      <c r="BV9" s="83">
        <v>1150</v>
      </c>
      <c r="BW9" s="83">
        <v>629</v>
      </c>
      <c r="BX9" s="83">
        <v>1295</v>
      </c>
      <c r="BY9" s="83">
        <v>987</v>
      </c>
      <c r="BZ9" s="83">
        <v>1131</v>
      </c>
      <c r="CA9" s="83">
        <v>699</v>
      </c>
      <c r="CB9" s="83">
        <v>1324</v>
      </c>
      <c r="CC9" s="83">
        <v>1080</v>
      </c>
      <c r="CD9" s="83">
        <v>1341</v>
      </c>
      <c r="CE9" s="83">
        <v>812</v>
      </c>
      <c r="CF9" s="68"/>
      <c r="CG9" s="77"/>
      <c r="CH9" s="77"/>
      <c r="CI9" s="77"/>
      <c r="CJ9" s="77"/>
      <c r="CK9" s="77"/>
      <c r="CL9" s="77"/>
      <c r="CM9" s="77"/>
      <c r="CN9" s="77"/>
      <c r="CO9" s="77"/>
      <c r="CP9" s="77"/>
      <c r="CQ9" s="77"/>
      <c r="CR9" s="77"/>
      <c r="CS9" s="77"/>
      <c r="CT9" s="77"/>
      <c r="CU9" s="77"/>
      <c r="CV9" s="77"/>
      <c r="CW9" s="77"/>
      <c r="CX9" s="77"/>
      <c r="CY9" s="77"/>
      <c r="CZ9" s="77"/>
      <c r="DA9" s="77"/>
      <c r="DB9" s="77"/>
      <c r="DC9" s="77"/>
      <c r="DD9" s="77"/>
      <c r="DE9" s="77"/>
      <c r="DF9" s="77"/>
      <c r="DG9" s="77"/>
      <c r="DH9" s="77"/>
      <c r="DI9" s="77"/>
      <c r="DJ9" s="77"/>
      <c r="DK9" s="77"/>
      <c r="DL9" s="77"/>
      <c r="DM9" s="77"/>
      <c r="DN9" s="77"/>
      <c r="DO9" s="77"/>
      <c r="DP9" s="77"/>
    </row>
    <row r="10" spans="1:16381" ht="13.5" customHeight="1" x14ac:dyDescent="0.75">
      <c r="A10" s="68"/>
      <c r="B10" s="67" t="s">
        <v>224</v>
      </c>
      <c r="C10" s="66" t="s">
        <v>225</v>
      </c>
      <c r="D10" s="87">
        <v>2373</v>
      </c>
      <c r="E10" s="87">
        <v>49</v>
      </c>
      <c r="F10" s="87">
        <v>55</v>
      </c>
      <c r="G10" s="87">
        <v>68</v>
      </c>
      <c r="H10" s="87">
        <v>75</v>
      </c>
      <c r="I10" s="87">
        <v>70</v>
      </c>
      <c r="J10" s="87">
        <v>68</v>
      </c>
      <c r="K10" s="87">
        <v>72</v>
      </c>
      <c r="L10" s="87">
        <v>73</v>
      </c>
      <c r="M10" s="87">
        <v>72</v>
      </c>
      <c r="N10" s="87">
        <v>75</v>
      </c>
      <c r="O10" s="87">
        <v>81</v>
      </c>
      <c r="P10" s="87">
        <v>89</v>
      </c>
      <c r="Q10" s="87">
        <v>93</v>
      </c>
      <c r="R10" s="87">
        <v>93</v>
      </c>
      <c r="S10" s="87">
        <v>98</v>
      </c>
      <c r="T10" s="87">
        <v>113</v>
      </c>
      <c r="U10" s="87">
        <v>105</v>
      </c>
      <c r="V10" s="87">
        <v>99</v>
      </c>
      <c r="W10" s="87">
        <v>103</v>
      </c>
      <c r="X10" s="87">
        <v>107</v>
      </c>
      <c r="Y10" s="87">
        <v>110</v>
      </c>
      <c r="Z10" s="87">
        <v>125</v>
      </c>
      <c r="AA10" s="87">
        <v>121</v>
      </c>
      <c r="AB10" s="87">
        <v>129</v>
      </c>
      <c r="AC10" s="87">
        <v>139</v>
      </c>
      <c r="AD10" s="87">
        <v>153</v>
      </c>
      <c r="AE10" s="87">
        <v>150</v>
      </c>
      <c r="AF10" s="87">
        <v>150</v>
      </c>
      <c r="AG10" s="87">
        <v>168</v>
      </c>
      <c r="AH10" s="87">
        <v>175</v>
      </c>
      <c r="AI10" s="87">
        <v>158</v>
      </c>
      <c r="AJ10" s="87">
        <v>170</v>
      </c>
      <c r="AK10" s="87">
        <v>192</v>
      </c>
      <c r="AL10" s="87">
        <v>221</v>
      </c>
      <c r="AM10" s="87">
        <v>61</v>
      </c>
      <c r="AN10" s="87">
        <v>275</v>
      </c>
      <c r="AO10" s="87">
        <v>200</v>
      </c>
      <c r="AP10" s="87">
        <v>227</v>
      </c>
      <c r="AQ10" s="87">
        <v>64</v>
      </c>
      <c r="AR10" s="87">
        <v>313</v>
      </c>
      <c r="AS10" s="87">
        <v>211</v>
      </c>
      <c r="AT10" s="87">
        <v>262</v>
      </c>
      <c r="AU10" s="87">
        <v>93</v>
      </c>
      <c r="AV10" s="87">
        <v>422</v>
      </c>
      <c r="AW10" s="87">
        <v>330</v>
      </c>
      <c r="AX10" s="87">
        <v>389</v>
      </c>
      <c r="AY10" s="87">
        <v>81</v>
      </c>
      <c r="AZ10" s="87">
        <v>423</v>
      </c>
      <c r="BA10" s="87">
        <v>273</v>
      </c>
      <c r="BB10" s="87">
        <v>343</v>
      </c>
      <c r="BC10" s="87">
        <v>76</v>
      </c>
      <c r="BD10" s="87">
        <v>369</v>
      </c>
      <c r="BE10" s="87">
        <v>245</v>
      </c>
      <c r="BF10" s="87">
        <v>358</v>
      </c>
      <c r="BG10" s="87">
        <v>84</v>
      </c>
      <c r="BH10" s="87">
        <v>440</v>
      </c>
      <c r="BI10" s="87">
        <v>319</v>
      </c>
      <c r="BJ10" s="87">
        <v>434</v>
      </c>
      <c r="BK10" s="87">
        <v>116</v>
      </c>
      <c r="BL10" s="87">
        <v>535</v>
      </c>
      <c r="BM10" s="87">
        <v>333</v>
      </c>
      <c r="BN10" s="87">
        <v>431</v>
      </c>
      <c r="BO10" s="87">
        <v>108</v>
      </c>
      <c r="BP10" s="87">
        <v>413</v>
      </c>
      <c r="BQ10" s="87">
        <v>305</v>
      </c>
      <c r="BR10" s="87">
        <v>507</v>
      </c>
      <c r="BS10" s="87">
        <v>149</v>
      </c>
      <c r="BT10" s="87">
        <v>734</v>
      </c>
      <c r="BU10" s="87">
        <v>545</v>
      </c>
      <c r="BV10" s="87">
        <v>786</v>
      </c>
      <c r="BW10" s="87">
        <v>239</v>
      </c>
      <c r="BX10" s="87">
        <v>884</v>
      </c>
      <c r="BY10" s="87">
        <v>583</v>
      </c>
      <c r="BZ10" s="87">
        <v>722</v>
      </c>
      <c r="CA10" s="87">
        <v>205</v>
      </c>
      <c r="CB10" s="87">
        <v>863</v>
      </c>
      <c r="CC10" s="87">
        <v>600</v>
      </c>
      <c r="CD10" s="87">
        <v>814</v>
      </c>
      <c r="CE10" s="87">
        <v>223</v>
      </c>
      <c r="CF10" s="68"/>
      <c r="CG10" s="77"/>
      <c r="CH10" s="77"/>
      <c r="CI10" s="77"/>
      <c r="CJ10" s="77"/>
      <c r="CK10" s="77"/>
      <c r="CL10" s="77"/>
      <c r="CM10" s="77"/>
      <c r="CN10" s="77"/>
      <c r="CO10" s="77"/>
      <c r="CP10" s="77"/>
      <c r="CQ10" s="77"/>
      <c r="CR10" s="77"/>
      <c r="CS10" s="77"/>
      <c r="CT10" s="77"/>
      <c r="CU10" s="77"/>
      <c r="CV10" s="77"/>
      <c r="CW10" s="77"/>
      <c r="CX10" s="77"/>
      <c r="CY10" s="77"/>
      <c r="CZ10" s="77"/>
      <c r="DA10" s="77"/>
      <c r="DB10" s="77"/>
      <c r="DC10" s="77"/>
      <c r="DD10" s="77"/>
      <c r="DE10" s="77"/>
      <c r="DF10" s="77"/>
      <c r="DG10" s="77"/>
      <c r="DH10" s="77"/>
      <c r="DI10" s="77"/>
      <c r="DJ10" s="77"/>
      <c r="DK10" s="77"/>
      <c r="DL10" s="77"/>
      <c r="DM10" s="77"/>
      <c r="DN10" s="77"/>
      <c r="DO10" s="77"/>
      <c r="DP10" s="77"/>
    </row>
    <row r="11" spans="1:16381" ht="13.5" customHeight="1" x14ac:dyDescent="0.75">
      <c r="A11" s="68"/>
      <c r="B11" s="67" t="s">
        <v>226</v>
      </c>
      <c r="C11" s="66" t="s">
        <v>227</v>
      </c>
      <c r="D11" s="87">
        <v>351</v>
      </c>
      <c r="E11" s="87">
        <v>12</v>
      </c>
      <c r="F11" s="87">
        <v>15</v>
      </c>
      <c r="G11" s="87">
        <v>14</v>
      </c>
      <c r="H11" s="87">
        <v>16</v>
      </c>
      <c r="I11" s="87">
        <v>9</v>
      </c>
      <c r="J11" s="87">
        <v>9</v>
      </c>
      <c r="K11" s="87">
        <v>12</v>
      </c>
      <c r="L11" s="87">
        <v>11</v>
      </c>
      <c r="M11" s="87">
        <v>11</v>
      </c>
      <c r="N11" s="87">
        <v>16</v>
      </c>
      <c r="O11" s="87">
        <v>15</v>
      </c>
      <c r="P11" s="87">
        <v>13</v>
      </c>
      <c r="Q11" s="87">
        <v>11</v>
      </c>
      <c r="R11" s="87">
        <v>14</v>
      </c>
      <c r="S11" s="87">
        <v>14</v>
      </c>
      <c r="T11" s="87">
        <v>13</v>
      </c>
      <c r="U11" s="87">
        <v>13</v>
      </c>
      <c r="V11" s="87">
        <v>17</v>
      </c>
      <c r="W11" s="87">
        <v>19</v>
      </c>
      <c r="X11" s="87">
        <v>16</v>
      </c>
      <c r="Y11" s="87">
        <v>10</v>
      </c>
      <c r="Z11" s="87">
        <v>11</v>
      </c>
      <c r="AA11" s="87">
        <v>28</v>
      </c>
      <c r="AB11" s="87">
        <v>18</v>
      </c>
      <c r="AC11" s="87">
        <v>9</v>
      </c>
      <c r="AD11" s="87">
        <v>12</v>
      </c>
      <c r="AE11" s="87">
        <v>29</v>
      </c>
      <c r="AF11" s="87">
        <v>36</v>
      </c>
      <c r="AG11" s="87">
        <v>11</v>
      </c>
      <c r="AH11" s="87">
        <v>15</v>
      </c>
      <c r="AI11" s="87">
        <v>20</v>
      </c>
      <c r="AJ11" s="87">
        <v>22</v>
      </c>
      <c r="AK11" s="87">
        <v>13</v>
      </c>
      <c r="AL11" s="87">
        <v>17</v>
      </c>
      <c r="AM11" s="87">
        <v>28</v>
      </c>
      <c r="AN11" s="87">
        <v>29</v>
      </c>
      <c r="AO11" s="87">
        <v>14</v>
      </c>
      <c r="AP11" s="87">
        <v>22</v>
      </c>
      <c r="AQ11" s="87">
        <v>30</v>
      </c>
      <c r="AR11" s="87">
        <v>23</v>
      </c>
      <c r="AS11" s="87">
        <v>26</v>
      </c>
      <c r="AT11" s="87">
        <v>18</v>
      </c>
      <c r="AU11" s="87">
        <v>27</v>
      </c>
      <c r="AV11" s="87">
        <v>33</v>
      </c>
      <c r="AW11" s="87">
        <v>24</v>
      </c>
      <c r="AX11" s="87">
        <v>29</v>
      </c>
      <c r="AY11" s="87">
        <v>37</v>
      </c>
      <c r="AZ11" s="87">
        <v>48</v>
      </c>
      <c r="BA11" s="87">
        <v>31</v>
      </c>
      <c r="BB11" s="87">
        <v>28</v>
      </c>
      <c r="BC11" s="87">
        <v>38</v>
      </c>
      <c r="BD11" s="87">
        <v>47</v>
      </c>
      <c r="BE11" s="87">
        <v>25</v>
      </c>
      <c r="BF11" s="87">
        <v>28</v>
      </c>
      <c r="BG11" s="87">
        <v>36</v>
      </c>
      <c r="BH11" s="87">
        <v>36</v>
      </c>
      <c r="BI11" s="87">
        <v>29</v>
      </c>
      <c r="BJ11" s="87">
        <v>28</v>
      </c>
      <c r="BK11" s="87">
        <v>40</v>
      </c>
      <c r="BL11" s="87">
        <v>46</v>
      </c>
      <c r="BM11" s="87">
        <v>34</v>
      </c>
      <c r="BN11" s="87">
        <v>30</v>
      </c>
      <c r="BO11" s="87">
        <v>49</v>
      </c>
      <c r="BP11" s="87">
        <v>46</v>
      </c>
      <c r="BQ11" s="87">
        <v>39</v>
      </c>
      <c r="BR11" s="87">
        <v>52</v>
      </c>
      <c r="BS11" s="87">
        <v>82</v>
      </c>
      <c r="BT11" s="87">
        <v>88</v>
      </c>
      <c r="BU11" s="87">
        <v>53</v>
      </c>
      <c r="BV11" s="87">
        <v>52</v>
      </c>
      <c r="BW11" s="87">
        <v>71</v>
      </c>
      <c r="BX11" s="87">
        <v>83</v>
      </c>
      <c r="BY11" s="87">
        <v>70</v>
      </c>
      <c r="BZ11" s="87">
        <v>66</v>
      </c>
      <c r="CA11" s="87">
        <v>134</v>
      </c>
      <c r="CB11" s="87">
        <v>82</v>
      </c>
      <c r="CC11" s="87">
        <v>88</v>
      </c>
      <c r="CD11" s="87">
        <v>119</v>
      </c>
      <c r="CE11" s="87">
        <v>170</v>
      </c>
      <c r="CF11" s="68"/>
      <c r="CG11" s="77"/>
      <c r="CH11" s="77"/>
      <c r="CI11" s="77"/>
      <c r="CJ11" s="77"/>
      <c r="CK11" s="77"/>
      <c r="CL11" s="77"/>
      <c r="CM11" s="77"/>
      <c r="CN11" s="77"/>
      <c r="CO11" s="77"/>
      <c r="CP11" s="77"/>
      <c r="CQ11" s="77"/>
      <c r="CR11" s="77"/>
      <c r="CS11" s="77"/>
      <c r="CT11" s="77"/>
      <c r="CU11" s="77"/>
      <c r="CV11" s="77"/>
      <c r="CW11" s="77"/>
      <c r="CX11" s="77"/>
      <c r="CY11" s="77"/>
      <c r="CZ11" s="77"/>
      <c r="DA11" s="77"/>
      <c r="DB11" s="77"/>
      <c r="DC11" s="77"/>
      <c r="DD11" s="77"/>
      <c r="DE11" s="77"/>
      <c r="DF11" s="77"/>
      <c r="DG11" s="77"/>
      <c r="DH11" s="77"/>
      <c r="DI11" s="77"/>
      <c r="DJ11" s="77"/>
      <c r="DK11" s="77"/>
      <c r="DL11" s="77"/>
      <c r="DM11" s="77"/>
      <c r="DN11" s="77"/>
      <c r="DO11" s="77"/>
      <c r="DP11" s="77"/>
    </row>
    <row r="12" spans="1:16381" ht="13.5" customHeight="1" x14ac:dyDescent="0.75">
      <c r="A12" s="68"/>
      <c r="B12" s="67" t="s">
        <v>228</v>
      </c>
      <c r="C12" s="66" t="s">
        <v>229</v>
      </c>
      <c r="D12" s="87">
        <v>581</v>
      </c>
      <c r="E12" s="87">
        <v>12</v>
      </c>
      <c r="F12" s="87">
        <v>12</v>
      </c>
      <c r="G12" s="87">
        <v>13</v>
      </c>
      <c r="H12" s="87">
        <v>13</v>
      </c>
      <c r="I12" s="87">
        <v>13</v>
      </c>
      <c r="J12" s="87">
        <v>13</v>
      </c>
      <c r="K12" s="87">
        <v>13</v>
      </c>
      <c r="L12" s="87">
        <v>14</v>
      </c>
      <c r="M12" s="87">
        <v>15</v>
      </c>
      <c r="N12" s="87">
        <v>16</v>
      </c>
      <c r="O12" s="87">
        <v>18</v>
      </c>
      <c r="P12" s="87">
        <v>19</v>
      </c>
      <c r="Q12" s="87">
        <v>20</v>
      </c>
      <c r="R12" s="87">
        <v>20</v>
      </c>
      <c r="S12" s="87">
        <v>20</v>
      </c>
      <c r="T12" s="87">
        <v>20</v>
      </c>
      <c r="U12" s="87">
        <v>20</v>
      </c>
      <c r="V12" s="87">
        <v>21</v>
      </c>
      <c r="W12" s="87">
        <v>21</v>
      </c>
      <c r="X12" s="87">
        <v>22</v>
      </c>
      <c r="Y12" s="87">
        <v>22</v>
      </c>
      <c r="Z12" s="87">
        <v>23</v>
      </c>
      <c r="AA12" s="87">
        <v>24</v>
      </c>
      <c r="AB12" s="87">
        <v>25</v>
      </c>
      <c r="AC12" s="87">
        <v>25</v>
      </c>
      <c r="AD12" s="87">
        <v>26</v>
      </c>
      <c r="AE12" s="87">
        <v>27</v>
      </c>
      <c r="AF12" s="87">
        <v>28</v>
      </c>
      <c r="AG12" s="87">
        <v>28</v>
      </c>
      <c r="AH12" s="87">
        <v>29</v>
      </c>
      <c r="AI12" s="87">
        <v>30</v>
      </c>
      <c r="AJ12" s="87">
        <v>30</v>
      </c>
      <c r="AK12" s="87">
        <v>31</v>
      </c>
      <c r="AL12" s="87">
        <v>32</v>
      </c>
      <c r="AM12" s="87">
        <v>33</v>
      </c>
      <c r="AN12" s="87">
        <v>34</v>
      </c>
      <c r="AO12" s="87">
        <v>34</v>
      </c>
      <c r="AP12" s="87">
        <v>35</v>
      </c>
      <c r="AQ12" s="87">
        <v>37</v>
      </c>
      <c r="AR12" s="87">
        <v>38</v>
      </c>
      <c r="AS12" s="87">
        <v>40</v>
      </c>
      <c r="AT12" s="87">
        <v>41</v>
      </c>
      <c r="AU12" s="87">
        <v>42</v>
      </c>
      <c r="AV12" s="87">
        <v>43</v>
      </c>
      <c r="AW12" s="87">
        <v>45</v>
      </c>
      <c r="AX12" s="87">
        <v>46</v>
      </c>
      <c r="AY12" s="87">
        <v>47</v>
      </c>
      <c r="AZ12" s="87">
        <v>48</v>
      </c>
      <c r="BA12" s="87">
        <v>51</v>
      </c>
      <c r="BB12" s="87">
        <v>51</v>
      </c>
      <c r="BC12" s="87">
        <v>52</v>
      </c>
      <c r="BD12" s="87">
        <v>52</v>
      </c>
      <c r="BE12" s="87">
        <v>53</v>
      </c>
      <c r="BF12" s="87">
        <v>58</v>
      </c>
      <c r="BG12" s="87">
        <v>61</v>
      </c>
      <c r="BH12" s="87">
        <v>69</v>
      </c>
      <c r="BI12" s="87">
        <v>68</v>
      </c>
      <c r="BJ12" s="87">
        <v>72</v>
      </c>
      <c r="BK12" s="87">
        <v>71</v>
      </c>
      <c r="BL12" s="87">
        <v>77</v>
      </c>
      <c r="BM12" s="87">
        <v>80</v>
      </c>
      <c r="BN12" s="87">
        <v>78</v>
      </c>
      <c r="BO12" s="87">
        <v>86</v>
      </c>
      <c r="BP12" s="87">
        <v>80</v>
      </c>
      <c r="BQ12" s="87">
        <v>91</v>
      </c>
      <c r="BR12" s="87">
        <v>99</v>
      </c>
      <c r="BS12" s="87">
        <v>100</v>
      </c>
      <c r="BT12" s="87">
        <v>110</v>
      </c>
      <c r="BU12" s="87">
        <v>108</v>
      </c>
      <c r="BV12" s="87">
        <v>114</v>
      </c>
      <c r="BW12" s="87">
        <v>123</v>
      </c>
      <c r="BX12" s="87">
        <v>132</v>
      </c>
      <c r="BY12" s="87">
        <v>132</v>
      </c>
      <c r="BZ12" s="87">
        <v>135</v>
      </c>
      <c r="CA12" s="87">
        <v>149</v>
      </c>
      <c r="CB12" s="87">
        <v>165</v>
      </c>
      <c r="CC12" s="87">
        <v>176</v>
      </c>
      <c r="CD12" s="87">
        <v>187</v>
      </c>
      <c r="CE12" s="87">
        <v>190</v>
      </c>
      <c r="CF12" s="68"/>
      <c r="CG12" s="77"/>
      <c r="CH12" s="77"/>
      <c r="CI12" s="77"/>
      <c r="CJ12" s="77"/>
      <c r="CK12" s="77"/>
      <c r="CL12" s="77"/>
      <c r="CM12" s="77"/>
      <c r="CN12" s="77"/>
      <c r="CO12" s="77"/>
      <c r="CP12" s="77"/>
      <c r="CQ12" s="77"/>
      <c r="CR12" s="77"/>
      <c r="CS12" s="77"/>
      <c r="CT12" s="77"/>
      <c r="CU12" s="77"/>
      <c r="CV12" s="77"/>
      <c r="CW12" s="77"/>
      <c r="CX12" s="77"/>
      <c r="CY12" s="77"/>
      <c r="CZ12" s="77"/>
      <c r="DA12" s="77"/>
      <c r="DB12" s="77"/>
      <c r="DC12" s="77"/>
      <c r="DD12" s="77"/>
      <c r="DE12" s="77"/>
      <c r="DF12" s="77"/>
      <c r="DG12" s="77"/>
      <c r="DH12" s="77"/>
      <c r="DI12" s="77"/>
      <c r="DJ12" s="77"/>
      <c r="DK12" s="77"/>
      <c r="DL12" s="77"/>
      <c r="DM12" s="77"/>
      <c r="DN12" s="77"/>
      <c r="DO12" s="77"/>
      <c r="DP12" s="77"/>
    </row>
    <row r="13" spans="1:16381" ht="13.5" customHeight="1" x14ac:dyDescent="0.75">
      <c r="A13" s="68"/>
      <c r="B13" s="67" t="s">
        <v>230</v>
      </c>
      <c r="C13" s="66" t="s">
        <v>231</v>
      </c>
      <c r="D13" s="87">
        <v>782</v>
      </c>
      <c r="E13" s="87">
        <v>38</v>
      </c>
      <c r="F13" s="87">
        <v>45</v>
      </c>
      <c r="G13" s="87">
        <v>40</v>
      </c>
      <c r="H13" s="87">
        <v>42</v>
      </c>
      <c r="I13" s="87">
        <v>40</v>
      </c>
      <c r="J13" s="87">
        <v>42</v>
      </c>
      <c r="K13" s="87">
        <v>43</v>
      </c>
      <c r="L13" s="87">
        <v>44</v>
      </c>
      <c r="M13" s="87">
        <v>48</v>
      </c>
      <c r="N13" s="87">
        <v>55</v>
      </c>
      <c r="O13" s="87">
        <v>58</v>
      </c>
      <c r="P13" s="87">
        <v>59</v>
      </c>
      <c r="Q13" s="87">
        <v>57</v>
      </c>
      <c r="R13" s="87">
        <v>60</v>
      </c>
      <c r="S13" s="87">
        <v>59</v>
      </c>
      <c r="T13" s="87">
        <v>61</v>
      </c>
      <c r="U13" s="87">
        <v>57</v>
      </c>
      <c r="V13" s="87">
        <v>63</v>
      </c>
      <c r="W13" s="87">
        <v>64</v>
      </c>
      <c r="X13" s="87">
        <v>66</v>
      </c>
      <c r="Y13" s="87">
        <v>61</v>
      </c>
      <c r="Z13" s="87">
        <v>70</v>
      </c>
      <c r="AA13" s="87">
        <v>71</v>
      </c>
      <c r="AB13" s="87">
        <v>72</v>
      </c>
      <c r="AC13" s="87">
        <v>73</v>
      </c>
      <c r="AD13" s="87">
        <v>75</v>
      </c>
      <c r="AE13" s="87">
        <v>77</v>
      </c>
      <c r="AF13" s="87">
        <v>78</v>
      </c>
      <c r="AG13" s="87">
        <v>77</v>
      </c>
      <c r="AH13" s="87">
        <v>79</v>
      </c>
      <c r="AI13" s="87">
        <v>79</v>
      </c>
      <c r="AJ13" s="87">
        <v>80</v>
      </c>
      <c r="AK13" s="87">
        <v>81</v>
      </c>
      <c r="AL13" s="87">
        <v>81</v>
      </c>
      <c r="AM13" s="87">
        <v>82</v>
      </c>
      <c r="AN13" s="87">
        <v>83</v>
      </c>
      <c r="AO13" s="87">
        <v>84</v>
      </c>
      <c r="AP13" s="87">
        <v>86</v>
      </c>
      <c r="AQ13" s="87">
        <v>86</v>
      </c>
      <c r="AR13" s="87">
        <v>87</v>
      </c>
      <c r="AS13" s="87">
        <v>88</v>
      </c>
      <c r="AT13" s="87">
        <v>90</v>
      </c>
      <c r="AU13" s="87">
        <v>91</v>
      </c>
      <c r="AV13" s="87">
        <v>91</v>
      </c>
      <c r="AW13" s="87">
        <v>84</v>
      </c>
      <c r="AX13" s="87">
        <v>87</v>
      </c>
      <c r="AY13" s="87">
        <v>101</v>
      </c>
      <c r="AZ13" s="87">
        <v>107</v>
      </c>
      <c r="BA13" s="87">
        <v>113</v>
      </c>
      <c r="BB13" s="87">
        <v>124</v>
      </c>
      <c r="BC13" s="87">
        <v>126</v>
      </c>
      <c r="BD13" s="87">
        <v>127</v>
      </c>
      <c r="BE13" s="87">
        <v>125</v>
      </c>
      <c r="BF13" s="87">
        <v>131</v>
      </c>
      <c r="BG13" s="87">
        <v>130</v>
      </c>
      <c r="BH13" s="87">
        <v>129</v>
      </c>
      <c r="BI13" s="87">
        <v>135</v>
      </c>
      <c r="BJ13" s="87">
        <v>132</v>
      </c>
      <c r="BK13" s="87">
        <v>135</v>
      </c>
      <c r="BL13" s="87">
        <v>127</v>
      </c>
      <c r="BM13" s="87">
        <v>143</v>
      </c>
      <c r="BN13" s="87">
        <v>146</v>
      </c>
      <c r="BO13" s="87">
        <v>145</v>
      </c>
      <c r="BP13" s="87">
        <v>149</v>
      </c>
      <c r="BQ13" s="87">
        <v>170</v>
      </c>
      <c r="BR13" s="87">
        <v>179</v>
      </c>
      <c r="BS13" s="87">
        <v>171</v>
      </c>
      <c r="BT13" s="87">
        <v>189</v>
      </c>
      <c r="BU13" s="87">
        <v>184</v>
      </c>
      <c r="BV13" s="87">
        <v>187</v>
      </c>
      <c r="BW13" s="87">
        <v>183</v>
      </c>
      <c r="BX13" s="87">
        <v>186</v>
      </c>
      <c r="BY13" s="87">
        <v>192</v>
      </c>
      <c r="BZ13" s="87">
        <v>194</v>
      </c>
      <c r="CA13" s="87">
        <v>196</v>
      </c>
      <c r="CB13" s="87">
        <v>201</v>
      </c>
      <c r="CC13" s="87">
        <v>203</v>
      </c>
      <c r="CD13" s="87">
        <v>207</v>
      </c>
      <c r="CE13" s="87">
        <v>214</v>
      </c>
      <c r="CF13" s="68"/>
      <c r="CG13" s="77"/>
      <c r="CH13" s="77"/>
      <c r="CI13" s="77"/>
      <c r="CJ13" s="77"/>
      <c r="CK13" s="77"/>
      <c r="CL13" s="77"/>
      <c r="CM13" s="77"/>
      <c r="CN13" s="77"/>
      <c r="CO13" s="77"/>
      <c r="CP13" s="77"/>
      <c r="CQ13" s="77"/>
      <c r="CR13" s="77"/>
      <c r="CS13" s="77"/>
      <c r="CT13" s="77"/>
      <c r="CU13" s="77"/>
      <c r="CV13" s="77"/>
      <c r="CW13" s="77"/>
      <c r="CX13" s="77"/>
      <c r="CY13" s="77"/>
      <c r="CZ13" s="77"/>
      <c r="DA13" s="77"/>
      <c r="DB13" s="77"/>
      <c r="DC13" s="77"/>
      <c r="DD13" s="77"/>
      <c r="DE13" s="77"/>
      <c r="DF13" s="77"/>
      <c r="DG13" s="77"/>
      <c r="DH13" s="77"/>
      <c r="DI13" s="77"/>
      <c r="DJ13" s="77"/>
      <c r="DK13" s="77"/>
      <c r="DL13" s="77"/>
      <c r="DM13" s="77"/>
      <c r="DN13" s="77"/>
      <c r="DO13" s="77"/>
      <c r="DP13" s="77"/>
    </row>
    <row r="14" spans="1:16381" ht="13.5" customHeight="1" x14ac:dyDescent="0.75">
      <c r="A14" s="68"/>
      <c r="B14" s="67" t="s">
        <v>232</v>
      </c>
      <c r="C14" s="66" t="s">
        <v>233</v>
      </c>
      <c r="D14" s="87">
        <v>54</v>
      </c>
      <c r="E14" s="87">
        <v>2</v>
      </c>
      <c r="F14" s="87">
        <v>2</v>
      </c>
      <c r="G14" s="87">
        <v>2</v>
      </c>
      <c r="H14" s="87">
        <v>2</v>
      </c>
      <c r="I14" s="87">
        <v>2</v>
      </c>
      <c r="J14" s="87">
        <v>2</v>
      </c>
      <c r="K14" s="87">
        <v>2</v>
      </c>
      <c r="L14" s="87">
        <v>2</v>
      </c>
      <c r="M14" s="87">
        <v>2</v>
      </c>
      <c r="N14" s="87">
        <v>2</v>
      </c>
      <c r="O14" s="87">
        <v>3</v>
      </c>
      <c r="P14" s="87">
        <v>3</v>
      </c>
      <c r="Q14" s="87">
        <v>3</v>
      </c>
      <c r="R14" s="87">
        <v>3</v>
      </c>
      <c r="S14" s="87">
        <v>3</v>
      </c>
      <c r="T14" s="87">
        <v>3</v>
      </c>
      <c r="U14" s="87">
        <v>3</v>
      </c>
      <c r="V14" s="87">
        <v>3</v>
      </c>
      <c r="W14" s="87">
        <v>3</v>
      </c>
      <c r="X14" s="87">
        <v>3</v>
      </c>
      <c r="Y14" s="87">
        <v>3</v>
      </c>
      <c r="Z14" s="87">
        <v>4</v>
      </c>
      <c r="AA14" s="87">
        <v>4</v>
      </c>
      <c r="AB14" s="87">
        <v>4</v>
      </c>
      <c r="AC14" s="87">
        <v>4</v>
      </c>
      <c r="AD14" s="87">
        <v>5</v>
      </c>
      <c r="AE14" s="87">
        <v>4</v>
      </c>
      <c r="AF14" s="87">
        <v>4</v>
      </c>
      <c r="AG14" s="87">
        <v>4</v>
      </c>
      <c r="AH14" s="87">
        <v>5</v>
      </c>
      <c r="AI14" s="87">
        <v>5</v>
      </c>
      <c r="AJ14" s="87">
        <v>6</v>
      </c>
      <c r="AK14" s="87">
        <v>5</v>
      </c>
      <c r="AL14" s="87">
        <v>5</v>
      </c>
      <c r="AM14" s="87">
        <v>6</v>
      </c>
      <c r="AN14" s="87">
        <v>6</v>
      </c>
      <c r="AO14" s="87">
        <v>6</v>
      </c>
      <c r="AP14" s="87">
        <v>6</v>
      </c>
      <c r="AQ14" s="87">
        <v>6</v>
      </c>
      <c r="AR14" s="87">
        <v>7</v>
      </c>
      <c r="AS14" s="87">
        <v>6</v>
      </c>
      <c r="AT14" s="87">
        <v>6</v>
      </c>
      <c r="AU14" s="87">
        <v>7</v>
      </c>
      <c r="AV14" s="87">
        <v>7</v>
      </c>
      <c r="AW14" s="87">
        <v>7</v>
      </c>
      <c r="AX14" s="87">
        <v>7</v>
      </c>
      <c r="AY14" s="87">
        <v>7</v>
      </c>
      <c r="AZ14" s="87">
        <v>8</v>
      </c>
      <c r="BA14" s="87">
        <v>8</v>
      </c>
      <c r="BB14" s="87">
        <v>8</v>
      </c>
      <c r="BC14" s="87">
        <v>8</v>
      </c>
      <c r="BD14" s="87">
        <v>7</v>
      </c>
      <c r="BE14" s="87">
        <v>7</v>
      </c>
      <c r="BF14" s="87">
        <v>8</v>
      </c>
      <c r="BG14" s="87">
        <v>8</v>
      </c>
      <c r="BH14" s="87">
        <v>8</v>
      </c>
      <c r="BI14" s="87">
        <v>6</v>
      </c>
      <c r="BJ14" s="87">
        <v>6</v>
      </c>
      <c r="BK14" s="87">
        <v>7</v>
      </c>
      <c r="BL14" s="87">
        <v>7</v>
      </c>
      <c r="BM14" s="87">
        <v>7</v>
      </c>
      <c r="BN14" s="87">
        <v>9</v>
      </c>
      <c r="BO14" s="87">
        <v>9</v>
      </c>
      <c r="BP14" s="87">
        <v>9</v>
      </c>
      <c r="BQ14" s="87">
        <v>9</v>
      </c>
      <c r="BR14" s="87">
        <v>10</v>
      </c>
      <c r="BS14" s="87">
        <v>11</v>
      </c>
      <c r="BT14" s="87">
        <v>12</v>
      </c>
      <c r="BU14" s="87">
        <v>10</v>
      </c>
      <c r="BV14" s="87">
        <v>11</v>
      </c>
      <c r="BW14" s="87">
        <v>11</v>
      </c>
      <c r="BX14" s="87">
        <v>11</v>
      </c>
      <c r="BY14" s="87">
        <v>11</v>
      </c>
      <c r="BZ14" s="87">
        <v>13</v>
      </c>
      <c r="CA14" s="87">
        <v>16</v>
      </c>
      <c r="CB14" s="87">
        <v>14</v>
      </c>
      <c r="CC14" s="87">
        <v>13</v>
      </c>
      <c r="CD14" s="87">
        <v>14</v>
      </c>
      <c r="CE14" s="87">
        <v>15</v>
      </c>
      <c r="CF14" s="68"/>
      <c r="CG14" s="77"/>
      <c r="CH14" s="77"/>
      <c r="CI14" s="77"/>
      <c r="CJ14" s="77"/>
      <c r="CK14" s="77"/>
      <c r="CL14" s="77"/>
      <c r="CM14" s="77"/>
      <c r="CN14" s="77"/>
      <c r="CO14" s="77"/>
      <c r="CP14" s="77"/>
      <c r="CQ14" s="77"/>
      <c r="CR14" s="77"/>
      <c r="CS14" s="77"/>
      <c r="CT14" s="77"/>
      <c r="CU14" s="77"/>
      <c r="CV14" s="77"/>
      <c r="CW14" s="77"/>
      <c r="CX14" s="77"/>
      <c r="CY14" s="77"/>
      <c r="CZ14" s="77"/>
      <c r="DA14" s="77"/>
      <c r="DB14" s="77"/>
      <c r="DC14" s="77"/>
      <c r="DD14" s="77"/>
      <c r="DE14" s="77"/>
      <c r="DF14" s="77"/>
      <c r="DG14" s="77"/>
      <c r="DH14" s="77"/>
      <c r="DI14" s="77"/>
      <c r="DJ14" s="77"/>
      <c r="DK14" s="77"/>
      <c r="DL14" s="77"/>
      <c r="DM14" s="77"/>
      <c r="DN14" s="77"/>
      <c r="DO14" s="77"/>
      <c r="DP14" s="77"/>
    </row>
    <row r="15" spans="1:16381" ht="14.25" customHeight="1" x14ac:dyDescent="0.75">
      <c r="A15" s="64"/>
      <c r="B15" s="81" t="s">
        <v>234</v>
      </c>
      <c r="C15" s="82" t="s">
        <v>235</v>
      </c>
      <c r="D15" s="83">
        <v>4396</v>
      </c>
      <c r="E15" s="83">
        <v>61</v>
      </c>
      <c r="F15" s="83">
        <v>70</v>
      </c>
      <c r="G15" s="83">
        <v>77</v>
      </c>
      <c r="H15" s="83">
        <v>82</v>
      </c>
      <c r="I15" s="83">
        <v>84</v>
      </c>
      <c r="J15" s="83">
        <v>89</v>
      </c>
      <c r="K15" s="83">
        <v>97</v>
      </c>
      <c r="L15" s="83">
        <v>102</v>
      </c>
      <c r="M15" s="83">
        <v>99</v>
      </c>
      <c r="N15" s="83">
        <v>112</v>
      </c>
      <c r="O15" s="83">
        <v>123</v>
      </c>
      <c r="P15" s="83">
        <v>127</v>
      </c>
      <c r="Q15" s="83">
        <v>126</v>
      </c>
      <c r="R15" s="83">
        <v>118</v>
      </c>
      <c r="S15" s="83">
        <v>125</v>
      </c>
      <c r="T15" s="83">
        <v>137</v>
      </c>
      <c r="U15" s="83">
        <v>139</v>
      </c>
      <c r="V15" s="83">
        <v>133</v>
      </c>
      <c r="W15" s="83">
        <v>146</v>
      </c>
      <c r="X15" s="83">
        <v>165</v>
      </c>
      <c r="Y15" s="83">
        <v>178</v>
      </c>
      <c r="Z15" s="83">
        <v>169</v>
      </c>
      <c r="AA15" s="83">
        <v>193</v>
      </c>
      <c r="AB15" s="83">
        <v>210</v>
      </c>
      <c r="AC15" s="83">
        <v>196</v>
      </c>
      <c r="AD15" s="83">
        <v>197</v>
      </c>
      <c r="AE15" s="83">
        <v>223</v>
      </c>
      <c r="AF15" s="83">
        <v>241</v>
      </c>
      <c r="AG15" s="83">
        <v>221</v>
      </c>
      <c r="AH15" s="83">
        <v>219</v>
      </c>
      <c r="AI15" s="83">
        <v>223</v>
      </c>
      <c r="AJ15" s="83">
        <v>228</v>
      </c>
      <c r="AK15" s="83">
        <v>236</v>
      </c>
      <c r="AL15" s="83">
        <v>238</v>
      </c>
      <c r="AM15" s="83">
        <v>259</v>
      </c>
      <c r="AN15" s="83">
        <v>254</v>
      </c>
      <c r="AO15" s="83">
        <v>254</v>
      </c>
      <c r="AP15" s="83">
        <v>256</v>
      </c>
      <c r="AQ15" s="83">
        <v>275</v>
      </c>
      <c r="AR15" s="83">
        <v>288</v>
      </c>
      <c r="AS15" s="83">
        <v>290</v>
      </c>
      <c r="AT15" s="83">
        <v>285</v>
      </c>
      <c r="AU15" s="83">
        <v>278</v>
      </c>
      <c r="AV15" s="83">
        <v>299</v>
      </c>
      <c r="AW15" s="83">
        <v>314</v>
      </c>
      <c r="AX15" s="83">
        <v>328</v>
      </c>
      <c r="AY15" s="83">
        <v>337</v>
      </c>
      <c r="AZ15" s="83">
        <v>351</v>
      </c>
      <c r="BA15" s="83">
        <v>372</v>
      </c>
      <c r="BB15" s="83">
        <v>370</v>
      </c>
      <c r="BC15" s="83">
        <v>339</v>
      </c>
      <c r="BD15" s="83">
        <v>379</v>
      </c>
      <c r="BE15" s="83">
        <v>400</v>
      </c>
      <c r="BF15" s="83">
        <v>463</v>
      </c>
      <c r="BG15" s="83">
        <v>464</v>
      </c>
      <c r="BH15" s="83">
        <v>492</v>
      </c>
      <c r="BI15" s="83">
        <v>476</v>
      </c>
      <c r="BJ15" s="83">
        <v>448</v>
      </c>
      <c r="BK15" s="83">
        <v>427</v>
      </c>
      <c r="BL15" s="83">
        <v>543</v>
      </c>
      <c r="BM15" s="83">
        <v>541</v>
      </c>
      <c r="BN15" s="83">
        <v>545</v>
      </c>
      <c r="BO15" s="83">
        <v>588</v>
      </c>
      <c r="BP15" s="83">
        <v>683</v>
      </c>
      <c r="BQ15" s="83">
        <v>730</v>
      </c>
      <c r="BR15" s="83">
        <v>779</v>
      </c>
      <c r="BS15" s="83">
        <v>719</v>
      </c>
      <c r="BT15" s="83">
        <v>853</v>
      </c>
      <c r="BU15" s="83">
        <v>910</v>
      </c>
      <c r="BV15" s="83">
        <v>836</v>
      </c>
      <c r="BW15" s="83">
        <v>874</v>
      </c>
      <c r="BX15" s="83">
        <v>1069</v>
      </c>
      <c r="BY15" s="83">
        <v>1087</v>
      </c>
      <c r="BZ15" s="83">
        <v>1069</v>
      </c>
      <c r="CA15" s="83">
        <v>1033</v>
      </c>
      <c r="CB15" s="83">
        <v>1206</v>
      </c>
      <c r="CC15" s="83">
        <v>1247</v>
      </c>
      <c r="CD15" s="83">
        <v>1242</v>
      </c>
      <c r="CE15" s="83">
        <v>1232</v>
      </c>
      <c r="CF15" s="68"/>
      <c r="CG15" s="77"/>
      <c r="CH15" s="77"/>
      <c r="CI15" s="77"/>
      <c r="CJ15" s="77"/>
      <c r="CK15" s="77"/>
      <c r="CL15" s="77"/>
      <c r="CM15" s="77"/>
      <c r="CN15" s="77"/>
      <c r="CO15" s="77"/>
      <c r="CP15" s="77"/>
      <c r="CQ15" s="77"/>
      <c r="CR15" s="77"/>
      <c r="CS15" s="77"/>
      <c r="CT15" s="77"/>
      <c r="CU15" s="77"/>
      <c r="CV15" s="77"/>
      <c r="CW15" s="77"/>
      <c r="CX15" s="77"/>
      <c r="CY15" s="77"/>
      <c r="CZ15" s="77"/>
      <c r="DA15" s="77"/>
      <c r="DB15" s="77"/>
      <c r="DC15" s="77"/>
      <c r="DD15" s="77"/>
      <c r="DE15" s="77"/>
      <c r="DF15" s="77"/>
      <c r="DG15" s="77"/>
      <c r="DH15" s="77"/>
      <c r="DI15" s="77"/>
      <c r="DJ15" s="77"/>
      <c r="DK15" s="77"/>
      <c r="DL15" s="77"/>
      <c r="DM15" s="77"/>
      <c r="DN15" s="77"/>
      <c r="DO15" s="77"/>
      <c r="DP15" s="77"/>
    </row>
    <row r="16" spans="1:16381" ht="13.5" customHeight="1" x14ac:dyDescent="0.75">
      <c r="A16" s="68"/>
      <c r="B16" s="67" t="s">
        <v>236</v>
      </c>
      <c r="C16" s="66" t="s">
        <v>237</v>
      </c>
      <c r="D16" s="87">
        <v>354</v>
      </c>
      <c r="E16" s="87">
        <v>3</v>
      </c>
      <c r="F16" s="87">
        <v>5</v>
      </c>
      <c r="G16" s="87">
        <v>5</v>
      </c>
      <c r="H16" s="87">
        <v>6</v>
      </c>
      <c r="I16" s="87">
        <v>7</v>
      </c>
      <c r="J16" s="87">
        <v>9</v>
      </c>
      <c r="K16" s="87">
        <v>8</v>
      </c>
      <c r="L16" s="87">
        <v>10</v>
      </c>
      <c r="M16" s="87">
        <v>9</v>
      </c>
      <c r="N16" s="87">
        <v>13</v>
      </c>
      <c r="O16" s="87">
        <v>10</v>
      </c>
      <c r="P16" s="87">
        <v>9</v>
      </c>
      <c r="Q16" s="87">
        <v>7</v>
      </c>
      <c r="R16" s="87">
        <v>6</v>
      </c>
      <c r="S16" s="87">
        <v>7</v>
      </c>
      <c r="T16" s="87">
        <v>7</v>
      </c>
      <c r="U16" s="87">
        <v>5</v>
      </c>
      <c r="V16" s="87">
        <v>8</v>
      </c>
      <c r="W16" s="87">
        <v>10</v>
      </c>
      <c r="X16" s="87">
        <v>13</v>
      </c>
      <c r="Y16" s="87">
        <v>20</v>
      </c>
      <c r="Z16" s="87">
        <v>19</v>
      </c>
      <c r="AA16" s="87">
        <v>21</v>
      </c>
      <c r="AB16" s="87">
        <v>22</v>
      </c>
      <c r="AC16" s="87">
        <v>19</v>
      </c>
      <c r="AD16" s="87">
        <v>17</v>
      </c>
      <c r="AE16" s="87">
        <v>20</v>
      </c>
      <c r="AF16" s="87">
        <v>21</v>
      </c>
      <c r="AG16" s="87">
        <v>24</v>
      </c>
      <c r="AH16" s="87">
        <v>26</v>
      </c>
      <c r="AI16" s="87">
        <v>25</v>
      </c>
      <c r="AJ16" s="87">
        <v>26</v>
      </c>
      <c r="AK16" s="87">
        <v>27</v>
      </c>
      <c r="AL16" s="87">
        <v>26</v>
      </c>
      <c r="AM16" s="87">
        <v>38</v>
      </c>
      <c r="AN16" s="87">
        <v>28</v>
      </c>
      <c r="AO16" s="87">
        <v>26</v>
      </c>
      <c r="AP16" s="87">
        <v>24</v>
      </c>
      <c r="AQ16" s="87">
        <v>29</v>
      </c>
      <c r="AR16" s="87">
        <v>26</v>
      </c>
      <c r="AS16" s="87">
        <v>22</v>
      </c>
      <c r="AT16" s="87">
        <v>27</v>
      </c>
      <c r="AU16" s="87">
        <v>28</v>
      </c>
      <c r="AV16" s="87">
        <v>34</v>
      </c>
      <c r="AW16" s="87">
        <v>34</v>
      </c>
      <c r="AX16" s="87">
        <v>35</v>
      </c>
      <c r="AY16" s="87">
        <v>44</v>
      </c>
      <c r="AZ16" s="87">
        <v>53</v>
      </c>
      <c r="BA16" s="87">
        <v>47</v>
      </c>
      <c r="BB16" s="87">
        <v>48</v>
      </c>
      <c r="BC16" s="87">
        <v>43</v>
      </c>
      <c r="BD16" s="87">
        <v>39</v>
      </c>
      <c r="BE16" s="87">
        <v>35</v>
      </c>
      <c r="BF16" s="87">
        <v>33</v>
      </c>
      <c r="BG16" s="87">
        <v>30</v>
      </c>
      <c r="BH16" s="87">
        <v>24</v>
      </c>
      <c r="BI16" s="87">
        <v>28</v>
      </c>
      <c r="BJ16" s="87">
        <v>21</v>
      </c>
      <c r="BK16" s="87">
        <v>22</v>
      </c>
      <c r="BL16" s="87">
        <v>34</v>
      </c>
      <c r="BM16" s="87">
        <v>46</v>
      </c>
      <c r="BN16" s="87">
        <v>45</v>
      </c>
      <c r="BO16" s="87">
        <v>76</v>
      </c>
      <c r="BP16" s="87">
        <v>88</v>
      </c>
      <c r="BQ16" s="87">
        <v>88</v>
      </c>
      <c r="BR16" s="87">
        <v>86</v>
      </c>
      <c r="BS16" s="87">
        <v>68</v>
      </c>
      <c r="BT16" s="87">
        <v>67</v>
      </c>
      <c r="BU16" s="87">
        <v>63</v>
      </c>
      <c r="BV16" s="87">
        <v>67</v>
      </c>
      <c r="BW16" s="87">
        <v>72</v>
      </c>
      <c r="BX16" s="87">
        <v>81</v>
      </c>
      <c r="BY16" s="87">
        <v>89</v>
      </c>
      <c r="BZ16" s="87">
        <v>87</v>
      </c>
      <c r="CA16" s="87">
        <v>88</v>
      </c>
      <c r="CB16" s="87">
        <v>91</v>
      </c>
      <c r="CC16" s="87">
        <v>98</v>
      </c>
      <c r="CD16" s="87">
        <v>104</v>
      </c>
      <c r="CE16" s="87">
        <v>106</v>
      </c>
      <c r="CF16" s="68"/>
      <c r="CG16" s="77"/>
      <c r="CH16" s="77"/>
      <c r="CI16" s="77"/>
      <c r="CJ16" s="77"/>
      <c r="CK16" s="77"/>
      <c r="CL16" s="77"/>
      <c r="CM16" s="77"/>
      <c r="CN16" s="77"/>
      <c r="CO16" s="77"/>
      <c r="CP16" s="77"/>
      <c r="CQ16" s="77"/>
      <c r="CR16" s="77"/>
      <c r="CS16" s="77"/>
      <c r="CT16" s="77"/>
      <c r="CU16" s="77"/>
      <c r="CV16" s="77"/>
      <c r="CW16" s="77"/>
      <c r="CX16" s="77"/>
      <c r="CY16" s="77"/>
      <c r="CZ16" s="77"/>
      <c r="DA16" s="77"/>
      <c r="DB16" s="77"/>
      <c r="DC16" s="77"/>
      <c r="DD16" s="77"/>
      <c r="DE16" s="77"/>
      <c r="DF16" s="77"/>
      <c r="DG16" s="77"/>
      <c r="DH16" s="77"/>
      <c r="DI16" s="77"/>
      <c r="DJ16" s="77"/>
      <c r="DK16" s="77"/>
      <c r="DL16" s="77"/>
      <c r="DM16" s="77"/>
      <c r="DN16" s="77"/>
      <c r="DO16" s="77"/>
      <c r="DP16" s="77"/>
    </row>
    <row r="17" spans="1:120" ht="14.25" customHeight="1" x14ac:dyDescent="0.75">
      <c r="A17" s="64"/>
      <c r="B17" s="88" t="s">
        <v>238</v>
      </c>
      <c r="C17" s="89" t="s">
        <v>239</v>
      </c>
      <c r="D17" s="90">
        <v>1618</v>
      </c>
      <c r="E17" s="90">
        <v>35</v>
      </c>
      <c r="F17" s="90">
        <v>39</v>
      </c>
      <c r="G17" s="90">
        <v>45</v>
      </c>
      <c r="H17" s="90">
        <v>46</v>
      </c>
      <c r="I17" s="90">
        <v>40</v>
      </c>
      <c r="J17" s="90">
        <v>41</v>
      </c>
      <c r="K17" s="90">
        <v>49</v>
      </c>
      <c r="L17" s="90">
        <v>51</v>
      </c>
      <c r="M17" s="90">
        <v>47</v>
      </c>
      <c r="N17" s="90">
        <v>54</v>
      </c>
      <c r="O17" s="90">
        <v>61</v>
      </c>
      <c r="P17" s="90">
        <v>63</v>
      </c>
      <c r="Q17" s="90">
        <v>59</v>
      </c>
      <c r="R17" s="90">
        <v>60</v>
      </c>
      <c r="S17" s="90">
        <v>66</v>
      </c>
      <c r="T17" s="90">
        <v>72</v>
      </c>
      <c r="U17" s="90">
        <v>69</v>
      </c>
      <c r="V17" s="90">
        <v>67</v>
      </c>
      <c r="W17" s="90">
        <v>77</v>
      </c>
      <c r="X17" s="90">
        <v>82</v>
      </c>
      <c r="Y17" s="90">
        <v>75</v>
      </c>
      <c r="Z17" s="90">
        <v>79</v>
      </c>
      <c r="AA17" s="90">
        <v>95</v>
      </c>
      <c r="AB17" s="90">
        <v>96</v>
      </c>
      <c r="AC17" s="90">
        <v>88</v>
      </c>
      <c r="AD17" s="90">
        <v>93</v>
      </c>
      <c r="AE17" s="90">
        <v>103</v>
      </c>
      <c r="AF17" s="90">
        <v>105</v>
      </c>
      <c r="AG17" s="90">
        <v>83</v>
      </c>
      <c r="AH17" s="90">
        <v>85</v>
      </c>
      <c r="AI17" s="90">
        <v>89</v>
      </c>
      <c r="AJ17" s="90">
        <v>87</v>
      </c>
      <c r="AK17" s="90">
        <v>90</v>
      </c>
      <c r="AL17" s="90">
        <v>93</v>
      </c>
      <c r="AM17" s="90">
        <v>100</v>
      </c>
      <c r="AN17" s="90">
        <v>100</v>
      </c>
      <c r="AO17" s="90">
        <v>100</v>
      </c>
      <c r="AP17" s="90">
        <v>101</v>
      </c>
      <c r="AQ17" s="90">
        <v>108</v>
      </c>
      <c r="AR17" s="90">
        <v>110</v>
      </c>
      <c r="AS17" s="90">
        <v>114</v>
      </c>
      <c r="AT17" s="90">
        <v>114</v>
      </c>
      <c r="AU17" s="90">
        <v>111</v>
      </c>
      <c r="AV17" s="90">
        <v>120</v>
      </c>
      <c r="AW17" s="90">
        <v>142</v>
      </c>
      <c r="AX17" s="90">
        <v>153</v>
      </c>
      <c r="AY17" s="90">
        <v>146</v>
      </c>
      <c r="AZ17" s="90">
        <v>149</v>
      </c>
      <c r="BA17" s="90">
        <v>153</v>
      </c>
      <c r="BB17" s="90">
        <v>158</v>
      </c>
      <c r="BC17" s="90">
        <v>140</v>
      </c>
      <c r="BD17" s="90">
        <v>178</v>
      </c>
      <c r="BE17" s="90">
        <v>174</v>
      </c>
      <c r="BF17" s="90">
        <v>204</v>
      </c>
      <c r="BG17" s="90">
        <v>170</v>
      </c>
      <c r="BH17" s="90">
        <v>219</v>
      </c>
      <c r="BI17" s="90">
        <v>198</v>
      </c>
      <c r="BJ17" s="90">
        <v>203</v>
      </c>
      <c r="BK17" s="90">
        <v>182</v>
      </c>
      <c r="BL17" s="90">
        <v>247</v>
      </c>
      <c r="BM17" s="90">
        <v>229</v>
      </c>
      <c r="BN17" s="90">
        <v>255</v>
      </c>
      <c r="BO17" s="90">
        <v>220</v>
      </c>
      <c r="BP17" s="90">
        <v>290</v>
      </c>
      <c r="BQ17" s="90">
        <v>284</v>
      </c>
      <c r="BR17" s="90">
        <v>345</v>
      </c>
      <c r="BS17" s="90">
        <v>284</v>
      </c>
      <c r="BT17" s="90">
        <v>389</v>
      </c>
      <c r="BU17" s="90">
        <v>382</v>
      </c>
      <c r="BV17" s="90">
        <v>362</v>
      </c>
      <c r="BW17" s="90">
        <v>313</v>
      </c>
      <c r="BX17" s="90">
        <v>416</v>
      </c>
      <c r="BY17" s="90">
        <v>390</v>
      </c>
      <c r="BZ17" s="90">
        <v>396</v>
      </c>
      <c r="CA17" s="90">
        <v>361</v>
      </c>
      <c r="CB17" s="90">
        <v>471</v>
      </c>
      <c r="CC17" s="90">
        <v>470</v>
      </c>
      <c r="CD17" s="90">
        <v>479</v>
      </c>
      <c r="CE17" s="90">
        <v>442</v>
      </c>
      <c r="CF17" s="68"/>
      <c r="CG17" s="77"/>
      <c r="CH17" s="77"/>
      <c r="CI17" s="77"/>
      <c r="CJ17" s="77"/>
      <c r="CK17" s="77"/>
      <c r="CL17" s="77"/>
      <c r="CM17" s="77"/>
      <c r="CN17" s="77"/>
      <c r="CO17" s="77"/>
      <c r="CP17" s="77"/>
      <c r="CQ17" s="77"/>
      <c r="CR17" s="77"/>
      <c r="CS17" s="77"/>
      <c r="CT17" s="77"/>
      <c r="CU17" s="77"/>
      <c r="CV17" s="77"/>
      <c r="CW17" s="77"/>
      <c r="CX17" s="77"/>
      <c r="CY17" s="77"/>
      <c r="CZ17" s="77"/>
      <c r="DA17" s="77"/>
      <c r="DB17" s="77"/>
      <c r="DC17" s="77"/>
      <c r="DD17" s="77"/>
      <c r="DE17" s="77"/>
      <c r="DF17" s="77"/>
      <c r="DG17" s="77"/>
      <c r="DH17" s="77"/>
      <c r="DI17" s="77"/>
      <c r="DJ17" s="77"/>
      <c r="DK17" s="77"/>
      <c r="DL17" s="77"/>
      <c r="DM17" s="77"/>
      <c r="DN17" s="77"/>
      <c r="DO17" s="77"/>
      <c r="DP17" s="77"/>
    </row>
    <row r="18" spans="1:120" s="94" customFormat="1" ht="13.5" customHeight="1" x14ac:dyDescent="0.75">
      <c r="A18" s="91"/>
      <c r="B18" s="92" t="s">
        <v>240</v>
      </c>
      <c r="C18" s="93" t="s">
        <v>241</v>
      </c>
      <c r="D18" s="87">
        <v>383</v>
      </c>
      <c r="E18" s="87">
        <v>6</v>
      </c>
      <c r="F18" s="87">
        <v>8</v>
      </c>
      <c r="G18" s="87">
        <v>11</v>
      </c>
      <c r="H18" s="87">
        <v>11</v>
      </c>
      <c r="I18" s="87">
        <v>7</v>
      </c>
      <c r="J18" s="87">
        <v>7</v>
      </c>
      <c r="K18" s="87">
        <v>11</v>
      </c>
      <c r="L18" s="87">
        <v>10</v>
      </c>
      <c r="M18" s="87">
        <v>10</v>
      </c>
      <c r="N18" s="87">
        <v>11</v>
      </c>
      <c r="O18" s="87">
        <v>14</v>
      </c>
      <c r="P18" s="87">
        <v>13</v>
      </c>
      <c r="Q18" s="87">
        <v>13</v>
      </c>
      <c r="R18" s="87">
        <v>14</v>
      </c>
      <c r="S18" s="87">
        <v>17</v>
      </c>
      <c r="T18" s="87">
        <v>15</v>
      </c>
      <c r="U18" s="87">
        <v>16</v>
      </c>
      <c r="V18" s="87">
        <v>16</v>
      </c>
      <c r="W18" s="87">
        <v>19</v>
      </c>
      <c r="X18" s="87">
        <v>18</v>
      </c>
      <c r="Y18" s="87">
        <v>14</v>
      </c>
      <c r="Z18" s="87">
        <v>17</v>
      </c>
      <c r="AA18" s="87">
        <v>25</v>
      </c>
      <c r="AB18" s="87">
        <v>26</v>
      </c>
      <c r="AC18" s="87">
        <v>17</v>
      </c>
      <c r="AD18" s="87">
        <v>18</v>
      </c>
      <c r="AE18" s="87">
        <v>26</v>
      </c>
      <c r="AF18" s="87">
        <v>28</v>
      </c>
      <c r="AG18" s="87">
        <v>25</v>
      </c>
      <c r="AH18" s="87">
        <v>23</v>
      </c>
      <c r="AI18" s="87">
        <v>23</v>
      </c>
      <c r="AJ18" s="87">
        <v>24</v>
      </c>
      <c r="AK18" s="87">
        <v>24</v>
      </c>
      <c r="AL18" s="87">
        <v>25</v>
      </c>
      <c r="AM18" s="87">
        <v>27</v>
      </c>
      <c r="AN18" s="87">
        <v>28</v>
      </c>
      <c r="AO18" s="87">
        <v>27</v>
      </c>
      <c r="AP18" s="87">
        <v>26</v>
      </c>
      <c r="AQ18" s="87">
        <v>26</v>
      </c>
      <c r="AR18" s="87">
        <v>29</v>
      </c>
      <c r="AS18" s="87">
        <v>33</v>
      </c>
      <c r="AT18" s="87">
        <v>30</v>
      </c>
      <c r="AU18" s="87">
        <v>26</v>
      </c>
      <c r="AV18" s="87">
        <v>35</v>
      </c>
      <c r="AW18" s="87">
        <v>51</v>
      </c>
      <c r="AX18" s="87">
        <v>58</v>
      </c>
      <c r="AY18" s="87">
        <v>50</v>
      </c>
      <c r="AZ18" s="87">
        <v>52</v>
      </c>
      <c r="BA18" s="87">
        <v>36</v>
      </c>
      <c r="BB18" s="87">
        <v>52</v>
      </c>
      <c r="BC18" s="87">
        <v>28</v>
      </c>
      <c r="BD18" s="87">
        <v>57</v>
      </c>
      <c r="BE18" s="87">
        <v>41</v>
      </c>
      <c r="BF18" s="87">
        <v>69</v>
      </c>
      <c r="BG18" s="87">
        <v>37</v>
      </c>
      <c r="BH18" s="87">
        <v>76</v>
      </c>
      <c r="BI18" s="87">
        <v>51</v>
      </c>
      <c r="BJ18" s="87">
        <v>71</v>
      </c>
      <c r="BK18" s="87">
        <v>36</v>
      </c>
      <c r="BL18" s="87">
        <v>76</v>
      </c>
      <c r="BM18" s="87">
        <v>53</v>
      </c>
      <c r="BN18" s="87">
        <v>77</v>
      </c>
      <c r="BO18" s="87">
        <v>48</v>
      </c>
      <c r="BP18" s="87">
        <v>93</v>
      </c>
      <c r="BQ18" s="87">
        <v>69</v>
      </c>
      <c r="BR18" s="87">
        <v>126</v>
      </c>
      <c r="BS18" s="87">
        <v>73</v>
      </c>
      <c r="BT18" s="87">
        <v>149</v>
      </c>
      <c r="BU18" s="87">
        <v>104</v>
      </c>
      <c r="BV18" s="87">
        <v>136</v>
      </c>
      <c r="BW18" s="87">
        <v>74</v>
      </c>
      <c r="BX18" s="87">
        <v>148</v>
      </c>
      <c r="BY18" s="87">
        <v>87</v>
      </c>
      <c r="BZ18" s="87">
        <v>110</v>
      </c>
      <c r="CA18" s="87">
        <v>63</v>
      </c>
      <c r="CB18" s="87">
        <v>123</v>
      </c>
      <c r="CC18" s="87">
        <v>96</v>
      </c>
      <c r="CD18" s="87">
        <v>143</v>
      </c>
      <c r="CE18" s="87">
        <v>85</v>
      </c>
      <c r="CF18" s="68"/>
      <c r="CG18" s="77"/>
      <c r="CH18" s="77"/>
      <c r="CI18" s="77"/>
      <c r="CJ18" s="77"/>
      <c r="CK18" s="77"/>
      <c r="CL18" s="77"/>
      <c r="CM18" s="77"/>
      <c r="CN18" s="77"/>
      <c r="CO18" s="77"/>
      <c r="CP18" s="77"/>
      <c r="CQ18" s="77"/>
      <c r="CR18" s="77"/>
      <c r="CS18" s="77"/>
      <c r="CT18" s="77"/>
      <c r="CU18" s="77"/>
      <c r="CV18" s="77"/>
      <c r="CW18" s="77"/>
      <c r="CX18" s="77"/>
      <c r="CY18" s="77"/>
      <c r="CZ18" s="77"/>
      <c r="DA18" s="77"/>
      <c r="DB18" s="77"/>
      <c r="DC18" s="77"/>
      <c r="DD18" s="77"/>
      <c r="DE18" s="77"/>
      <c r="DF18" s="77"/>
      <c r="DG18" s="77"/>
      <c r="DH18" s="77"/>
      <c r="DI18" s="77"/>
      <c r="DJ18" s="77"/>
      <c r="DK18" s="77"/>
      <c r="DL18" s="77"/>
      <c r="DM18" s="77"/>
      <c r="DN18" s="77"/>
      <c r="DO18" s="77"/>
      <c r="DP18" s="77"/>
    </row>
    <row r="19" spans="1:120" s="94" customFormat="1" ht="13.5" customHeight="1" x14ac:dyDescent="0.75">
      <c r="A19" s="91"/>
      <c r="B19" s="92" t="s">
        <v>242</v>
      </c>
      <c r="C19" s="93" t="s">
        <v>243</v>
      </c>
      <c r="D19" s="87">
        <v>486</v>
      </c>
      <c r="E19" s="87">
        <v>7</v>
      </c>
      <c r="F19" s="87">
        <v>7</v>
      </c>
      <c r="G19" s="87">
        <v>10</v>
      </c>
      <c r="H19" s="87">
        <v>11</v>
      </c>
      <c r="I19" s="87">
        <v>8</v>
      </c>
      <c r="J19" s="87">
        <v>9</v>
      </c>
      <c r="K19" s="87">
        <v>11</v>
      </c>
      <c r="L19" s="87">
        <v>11</v>
      </c>
      <c r="M19" s="87">
        <v>10</v>
      </c>
      <c r="N19" s="87">
        <v>11</v>
      </c>
      <c r="O19" s="87">
        <v>15</v>
      </c>
      <c r="P19" s="87">
        <v>16</v>
      </c>
      <c r="Q19" s="87">
        <v>15</v>
      </c>
      <c r="R19" s="87">
        <v>16</v>
      </c>
      <c r="S19" s="87">
        <v>19</v>
      </c>
      <c r="T19" s="87">
        <v>22</v>
      </c>
      <c r="U19" s="87">
        <v>16</v>
      </c>
      <c r="V19" s="87">
        <v>17</v>
      </c>
      <c r="W19" s="87">
        <v>23</v>
      </c>
      <c r="X19" s="87">
        <v>22</v>
      </c>
      <c r="Y19" s="87">
        <v>18</v>
      </c>
      <c r="Z19" s="87">
        <v>19</v>
      </c>
      <c r="AA19" s="87">
        <v>24</v>
      </c>
      <c r="AB19" s="87">
        <v>22</v>
      </c>
      <c r="AC19" s="87">
        <v>22</v>
      </c>
      <c r="AD19" s="87">
        <v>23</v>
      </c>
      <c r="AE19" s="87">
        <v>27</v>
      </c>
      <c r="AF19" s="87">
        <v>27</v>
      </c>
      <c r="AG19" s="87">
        <v>25</v>
      </c>
      <c r="AH19" s="87">
        <v>27</v>
      </c>
      <c r="AI19" s="87">
        <v>29</v>
      </c>
      <c r="AJ19" s="87">
        <v>28</v>
      </c>
      <c r="AK19" s="87">
        <v>29</v>
      </c>
      <c r="AL19" s="87">
        <v>29</v>
      </c>
      <c r="AM19" s="87">
        <v>32</v>
      </c>
      <c r="AN19" s="87">
        <v>32</v>
      </c>
      <c r="AO19" s="87">
        <v>32</v>
      </c>
      <c r="AP19" s="87">
        <v>31</v>
      </c>
      <c r="AQ19" s="87">
        <v>35</v>
      </c>
      <c r="AR19" s="87">
        <v>33</v>
      </c>
      <c r="AS19" s="87">
        <v>34</v>
      </c>
      <c r="AT19" s="87">
        <v>34</v>
      </c>
      <c r="AU19" s="87">
        <v>37</v>
      </c>
      <c r="AV19" s="87">
        <v>35</v>
      </c>
      <c r="AW19" s="87">
        <v>39</v>
      </c>
      <c r="AX19" s="87">
        <v>39</v>
      </c>
      <c r="AY19" s="87">
        <v>40</v>
      </c>
      <c r="AZ19" s="87">
        <v>41</v>
      </c>
      <c r="BA19" s="87">
        <v>53</v>
      </c>
      <c r="BB19" s="87">
        <v>40</v>
      </c>
      <c r="BC19" s="87">
        <v>38</v>
      </c>
      <c r="BD19" s="87">
        <v>45</v>
      </c>
      <c r="BE19" s="87">
        <v>53</v>
      </c>
      <c r="BF19" s="87">
        <v>45</v>
      </c>
      <c r="BG19" s="87">
        <v>41</v>
      </c>
      <c r="BH19" s="87">
        <v>53</v>
      </c>
      <c r="BI19" s="87">
        <v>63</v>
      </c>
      <c r="BJ19" s="87">
        <v>40</v>
      </c>
      <c r="BK19" s="87">
        <v>44</v>
      </c>
      <c r="BL19" s="87">
        <v>62</v>
      </c>
      <c r="BM19" s="87">
        <v>77</v>
      </c>
      <c r="BN19" s="87">
        <v>49</v>
      </c>
      <c r="BO19" s="87">
        <v>51</v>
      </c>
      <c r="BP19" s="87">
        <v>73</v>
      </c>
      <c r="BQ19" s="87">
        <v>87</v>
      </c>
      <c r="BR19" s="87">
        <v>65</v>
      </c>
      <c r="BS19" s="87">
        <v>62</v>
      </c>
      <c r="BT19" s="87">
        <v>88</v>
      </c>
      <c r="BU19" s="87">
        <v>109</v>
      </c>
      <c r="BV19" s="87">
        <v>76</v>
      </c>
      <c r="BW19" s="87">
        <v>76</v>
      </c>
      <c r="BX19" s="87">
        <v>106</v>
      </c>
      <c r="BY19" s="87">
        <v>145</v>
      </c>
      <c r="BZ19" s="87">
        <v>99</v>
      </c>
      <c r="CA19" s="87">
        <v>99</v>
      </c>
      <c r="CB19" s="87">
        <v>143</v>
      </c>
      <c r="CC19" s="87">
        <v>180</v>
      </c>
      <c r="CD19" s="87">
        <v>119</v>
      </c>
      <c r="CE19" s="87">
        <v>120</v>
      </c>
      <c r="CF19" s="68"/>
      <c r="CG19" s="77"/>
      <c r="CH19" s="77"/>
      <c r="CI19" s="77"/>
      <c r="CJ19" s="77"/>
      <c r="CK19" s="77"/>
      <c r="CL19" s="77"/>
      <c r="CM19" s="77"/>
      <c r="CN19" s="77"/>
      <c r="CO19" s="77"/>
      <c r="CP19" s="77"/>
      <c r="CQ19" s="77"/>
      <c r="CR19" s="77"/>
      <c r="CS19" s="77"/>
      <c r="CT19" s="77"/>
      <c r="CU19" s="77"/>
      <c r="CV19" s="77"/>
      <c r="CW19" s="77"/>
      <c r="CX19" s="77"/>
      <c r="CY19" s="77"/>
      <c r="CZ19" s="77"/>
      <c r="DA19" s="77"/>
      <c r="DB19" s="77"/>
      <c r="DC19" s="77"/>
      <c r="DD19" s="77"/>
      <c r="DE19" s="77"/>
      <c r="DF19" s="77"/>
      <c r="DG19" s="77"/>
      <c r="DH19" s="77"/>
      <c r="DI19" s="77"/>
      <c r="DJ19" s="77"/>
      <c r="DK19" s="77"/>
      <c r="DL19" s="77"/>
      <c r="DM19" s="77"/>
      <c r="DN19" s="77"/>
      <c r="DO19" s="77"/>
      <c r="DP19" s="77"/>
    </row>
    <row r="20" spans="1:120" s="94" customFormat="1" ht="13.5" customHeight="1" x14ac:dyDescent="0.75">
      <c r="A20" s="91"/>
      <c r="B20" s="92" t="s">
        <v>244</v>
      </c>
      <c r="C20" s="93" t="s">
        <v>245</v>
      </c>
      <c r="D20" s="87">
        <v>135</v>
      </c>
      <c r="E20" s="87">
        <v>12</v>
      </c>
      <c r="F20" s="87">
        <v>13</v>
      </c>
      <c r="G20" s="87">
        <v>12</v>
      </c>
      <c r="H20" s="87">
        <v>12</v>
      </c>
      <c r="I20" s="87">
        <v>12</v>
      </c>
      <c r="J20" s="87">
        <v>13</v>
      </c>
      <c r="K20" s="87">
        <v>14</v>
      </c>
      <c r="L20" s="87">
        <v>15</v>
      </c>
      <c r="M20" s="87">
        <v>15</v>
      </c>
      <c r="N20" s="87">
        <v>17</v>
      </c>
      <c r="O20" s="87">
        <v>16</v>
      </c>
      <c r="P20" s="87">
        <v>15</v>
      </c>
      <c r="Q20" s="87">
        <v>17</v>
      </c>
      <c r="R20" s="87">
        <v>15</v>
      </c>
      <c r="S20" s="87">
        <v>15</v>
      </c>
      <c r="T20" s="87">
        <v>15</v>
      </c>
      <c r="U20" s="87">
        <v>16</v>
      </c>
      <c r="V20" s="87">
        <v>16</v>
      </c>
      <c r="W20" s="87">
        <v>16</v>
      </c>
      <c r="X20" s="87">
        <v>19</v>
      </c>
      <c r="Y20" s="87">
        <v>21</v>
      </c>
      <c r="Z20" s="87">
        <v>19</v>
      </c>
      <c r="AA20" s="87">
        <v>20</v>
      </c>
      <c r="AB20" s="87">
        <v>21</v>
      </c>
      <c r="AC20" s="87">
        <v>22</v>
      </c>
      <c r="AD20" s="87">
        <v>24</v>
      </c>
      <c r="AE20" s="87">
        <v>21</v>
      </c>
      <c r="AF20" s="87">
        <v>21</v>
      </c>
      <c r="AG20" s="87">
        <v>5</v>
      </c>
      <c r="AH20" s="87">
        <v>5</v>
      </c>
      <c r="AI20" s="87">
        <v>5</v>
      </c>
      <c r="AJ20" s="87">
        <v>5</v>
      </c>
      <c r="AK20" s="87">
        <v>5</v>
      </c>
      <c r="AL20" s="87">
        <v>6</v>
      </c>
      <c r="AM20" s="87">
        <v>6</v>
      </c>
      <c r="AN20" s="87">
        <v>6</v>
      </c>
      <c r="AO20" s="87">
        <v>5</v>
      </c>
      <c r="AP20" s="87">
        <v>6</v>
      </c>
      <c r="AQ20" s="87">
        <v>6</v>
      </c>
      <c r="AR20" s="87">
        <v>6</v>
      </c>
      <c r="AS20" s="87">
        <v>6</v>
      </c>
      <c r="AT20" s="87">
        <v>6</v>
      </c>
      <c r="AU20" s="87">
        <v>6</v>
      </c>
      <c r="AV20" s="87">
        <v>7</v>
      </c>
      <c r="AW20" s="87">
        <v>8</v>
      </c>
      <c r="AX20" s="87">
        <v>9</v>
      </c>
      <c r="AY20" s="87">
        <v>8</v>
      </c>
      <c r="AZ20" s="87">
        <v>8</v>
      </c>
      <c r="BA20" s="87">
        <v>14</v>
      </c>
      <c r="BB20" s="87">
        <v>14</v>
      </c>
      <c r="BC20" s="87">
        <v>15</v>
      </c>
      <c r="BD20" s="87">
        <v>15</v>
      </c>
      <c r="BE20" s="87">
        <v>15</v>
      </c>
      <c r="BF20" s="87">
        <v>17</v>
      </c>
      <c r="BG20" s="87">
        <v>18</v>
      </c>
      <c r="BH20" s="87">
        <v>19</v>
      </c>
      <c r="BI20" s="87">
        <v>19</v>
      </c>
      <c r="BJ20" s="87">
        <v>18</v>
      </c>
      <c r="BK20" s="87">
        <v>20</v>
      </c>
      <c r="BL20" s="87">
        <v>21</v>
      </c>
      <c r="BM20" s="87">
        <v>20</v>
      </c>
      <c r="BN20" s="87">
        <v>22</v>
      </c>
      <c r="BO20" s="87">
        <v>22</v>
      </c>
      <c r="BP20" s="87">
        <v>24</v>
      </c>
      <c r="BQ20" s="87">
        <v>22</v>
      </c>
      <c r="BR20" s="87">
        <v>24</v>
      </c>
      <c r="BS20" s="87">
        <v>24</v>
      </c>
      <c r="BT20" s="87">
        <v>26</v>
      </c>
      <c r="BU20" s="87">
        <v>25</v>
      </c>
      <c r="BV20" s="87">
        <v>27</v>
      </c>
      <c r="BW20" s="87">
        <v>30</v>
      </c>
      <c r="BX20" s="87">
        <v>32</v>
      </c>
      <c r="BY20" s="87">
        <v>30</v>
      </c>
      <c r="BZ20" s="87">
        <v>35</v>
      </c>
      <c r="CA20" s="87">
        <v>36</v>
      </c>
      <c r="CB20" s="87">
        <v>33</v>
      </c>
      <c r="CC20" s="87">
        <v>31</v>
      </c>
      <c r="CD20" s="87">
        <v>32</v>
      </c>
      <c r="CE20" s="87">
        <v>34</v>
      </c>
      <c r="CF20" s="68"/>
      <c r="CG20" s="77"/>
      <c r="CH20" s="77"/>
      <c r="CI20" s="77"/>
      <c r="CJ20" s="77"/>
      <c r="CK20" s="77"/>
      <c r="CL20" s="77"/>
      <c r="CM20" s="77"/>
      <c r="CN20" s="77"/>
      <c r="CO20" s="77"/>
      <c r="CP20" s="77"/>
      <c r="CQ20" s="77"/>
      <c r="CR20" s="77"/>
      <c r="CS20" s="77"/>
      <c r="CT20" s="77"/>
      <c r="CU20" s="77"/>
      <c r="CV20" s="77"/>
      <c r="CW20" s="77"/>
      <c r="CX20" s="77"/>
      <c r="CY20" s="77"/>
      <c r="CZ20" s="77"/>
      <c r="DA20" s="77"/>
      <c r="DB20" s="77"/>
      <c r="DC20" s="77"/>
      <c r="DD20" s="77"/>
      <c r="DE20" s="77"/>
      <c r="DF20" s="77"/>
      <c r="DG20" s="77"/>
      <c r="DH20" s="77"/>
      <c r="DI20" s="77"/>
      <c r="DJ20" s="77"/>
      <c r="DK20" s="77"/>
      <c r="DL20" s="77"/>
      <c r="DM20" s="77"/>
      <c r="DN20" s="77"/>
      <c r="DO20" s="77"/>
      <c r="DP20" s="77"/>
    </row>
    <row r="21" spans="1:120" s="94" customFormat="1" ht="13.5" customHeight="1" x14ac:dyDescent="0.75">
      <c r="A21" s="91"/>
      <c r="B21" s="92" t="s">
        <v>246</v>
      </c>
      <c r="C21" s="93" t="s">
        <v>247</v>
      </c>
      <c r="D21" s="87">
        <v>79</v>
      </c>
      <c r="E21" s="87">
        <v>2</v>
      </c>
      <c r="F21" s="87">
        <v>2</v>
      </c>
      <c r="G21" s="87">
        <v>2</v>
      </c>
      <c r="H21" s="87">
        <v>3</v>
      </c>
      <c r="I21" s="87">
        <v>2</v>
      </c>
      <c r="J21" s="87">
        <v>3</v>
      </c>
      <c r="K21" s="87">
        <v>3</v>
      </c>
      <c r="L21" s="87">
        <v>4</v>
      </c>
      <c r="M21" s="87">
        <v>3</v>
      </c>
      <c r="N21" s="87">
        <v>3</v>
      </c>
      <c r="O21" s="87">
        <v>3</v>
      </c>
      <c r="P21" s="87">
        <v>3</v>
      </c>
      <c r="Q21" s="87">
        <v>3</v>
      </c>
      <c r="R21" s="87">
        <v>3</v>
      </c>
      <c r="S21" s="87">
        <v>3</v>
      </c>
      <c r="T21" s="87">
        <v>4</v>
      </c>
      <c r="U21" s="87">
        <v>3</v>
      </c>
      <c r="V21" s="87">
        <v>4</v>
      </c>
      <c r="W21" s="87">
        <v>4</v>
      </c>
      <c r="X21" s="87">
        <v>4</v>
      </c>
      <c r="Y21" s="87">
        <v>4</v>
      </c>
      <c r="Z21" s="87">
        <v>3</v>
      </c>
      <c r="AA21" s="87">
        <v>4</v>
      </c>
      <c r="AB21" s="87">
        <v>4</v>
      </c>
      <c r="AC21" s="87">
        <v>4</v>
      </c>
      <c r="AD21" s="87">
        <v>4</v>
      </c>
      <c r="AE21" s="87">
        <v>4</v>
      </c>
      <c r="AF21" s="87">
        <v>5</v>
      </c>
      <c r="AG21" s="87">
        <v>5</v>
      </c>
      <c r="AH21" s="87">
        <v>4</v>
      </c>
      <c r="AI21" s="87">
        <v>6</v>
      </c>
      <c r="AJ21" s="87">
        <v>5</v>
      </c>
      <c r="AK21" s="87">
        <v>5</v>
      </c>
      <c r="AL21" s="87">
        <v>5</v>
      </c>
      <c r="AM21" s="87">
        <v>5</v>
      </c>
      <c r="AN21" s="87">
        <v>5</v>
      </c>
      <c r="AO21" s="87">
        <v>6</v>
      </c>
      <c r="AP21" s="87">
        <v>6</v>
      </c>
      <c r="AQ21" s="87">
        <v>6</v>
      </c>
      <c r="AR21" s="87">
        <v>7</v>
      </c>
      <c r="AS21" s="87">
        <v>7</v>
      </c>
      <c r="AT21" s="87">
        <v>7</v>
      </c>
      <c r="AU21" s="87">
        <v>8</v>
      </c>
      <c r="AV21" s="87">
        <v>6</v>
      </c>
      <c r="AW21" s="87">
        <v>6</v>
      </c>
      <c r="AX21" s="87">
        <v>7</v>
      </c>
      <c r="AY21" s="87">
        <v>6</v>
      </c>
      <c r="AZ21" s="87">
        <v>7</v>
      </c>
      <c r="BA21" s="87">
        <v>7</v>
      </c>
      <c r="BB21" s="87">
        <v>7</v>
      </c>
      <c r="BC21" s="87">
        <v>7</v>
      </c>
      <c r="BD21" s="87">
        <v>9</v>
      </c>
      <c r="BE21" s="87">
        <v>9</v>
      </c>
      <c r="BF21" s="87">
        <v>11</v>
      </c>
      <c r="BG21" s="87">
        <v>10</v>
      </c>
      <c r="BH21" s="87">
        <v>10</v>
      </c>
      <c r="BI21" s="87">
        <v>8</v>
      </c>
      <c r="BJ21" s="87">
        <v>9</v>
      </c>
      <c r="BK21" s="87">
        <v>10</v>
      </c>
      <c r="BL21" s="87">
        <v>11</v>
      </c>
      <c r="BM21" s="87">
        <v>11</v>
      </c>
      <c r="BN21" s="87">
        <v>13</v>
      </c>
      <c r="BO21" s="87">
        <v>14</v>
      </c>
      <c r="BP21" s="87">
        <v>14</v>
      </c>
      <c r="BQ21" s="87">
        <v>12</v>
      </c>
      <c r="BR21" s="87">
        <v>13</v>
      </c>
      <c r="BS21" s="87">
        <v>13</v>
      </c>
      <c r="BT21" s="87">
        <v>15</v>
      </c>
      <c r="BU21" s="87">
        <v>14</v>
      </c>
      <c r="BV21" s="87">
        <v>16</v>
      </c>
      <c r="BW21" s="87">
        <v>18</v>
      </c>
      <c r="BX21" s="87">
        <v>18</v>
      </c>
      <c r="BY21" s="87">
        <v>18</v>
      </c>
      <c r="BZ21" s="87">
        <v>19</v>
      </c>
      <c r="CA21" s="87">
        <v>21</v>
      </c>
      <c r="CB21" s="87">
        <v>21</v>
      </c>
      <c r="CC21" s="87">
        <v>19</v>
      </c>
      <c r="CD21" s="87">
        <v>21</v>
      </c>
      <c r="CE21" s="87">
        <v>24</v>
      </c>
      <c r="CF21" s="68"/>
      <c r="CG21" s="77"/>
      <c r="CH21" s="77"/>
      <c r="CI21" s="77"/>
      <c r="CJ21" s="77"/>
      <c r="CK21" s="77"/>
      <c r="CL21" s="77"/>
      <c r="CM21" s="77"/>
      <c r="CN21" s="77"/>
      <c r="CO21" s="77"/>
      <c r="CP21" s="77"/>
      <c r="CQ21" s="77"/>
      <c r="CR21" s="77"/>
      <c r="CS21" s="77"/>
      <c r="CT21" s="77"/>
      <c r="CU21" s="77"/>
      <c r="CV21" s="77"/>
      <c r="CW21" s="77"/>
      <c r="CX21" s="77"/>
      <c r="CY21" s="77"/>
      <c r="CZ21" s="77"/>
      <c r="DA21" s="77"/>
      <c r="DB21" s="77"/>
      <c r="DC21" s="77"/>
      <c r="DD21" s="77"/>
      <c r="DE21" s="77"/>
      <c r="DF21" s="77"/>
      <c r="DG21" s="77"/>
      <c r="DH21" s="77"/>
      <c r="DI21" s="77"/>
      <c r="DJ21" s="77"/>
      <c r="DK21" s="77"/>
      <c r="DL21" s="77"/>
      <c r="DM21" s="77"/>
      <c r="DN21" s="77"/>
      <c r="DO21" s="77"/>
      <c r="DP21" s="77"/>
    </row>
    <row r="22" spans="1:120" s="94" customFormat="1" ht="13.5" customHeight="1" x14ac:dyDescent="0.75">
      <c r="A22" s="91"/>
      <c r="B22" s="92" t="s">
        <v>248</v>
      </c>
      <c r="C22" s="93" t="s">
        <v>249</v>
      </c>
      <c r="D22" s="87">
        <v>187</v>
      </c>
      <c r="E22" s="87">
        <v>3</v>
      </c>
      <c r="F22" s="87">
        <v>3</v>
      </c>
      <c r="G22" s="87">
        <v>4</v>
      </c>
      <c r="H22" s="87">
        <v>4</v>
      </c>
      <c r="I22" s="87">
        <v>3</v>
      </c>
      <c r="J22" s="87">
        <v>4</v>
      </c>
      <c r="K22" s="87">
        <v>4</v>
      </c>
      <c r="L22" s="87">
        <v>4</v>
      </c>
      <c r="M22" s="87">
        <v>4</v>
      </c>
      <c r="N22" s="87">
        <v>4</v>
      </c>
      <c r="O22" s="87">
        <v>4</v>
      </c>
      <c r="P22" s="87">
        <v>5</v>
      </c>
      <c r="Q22" s="87">
        <v>4</v>
      </c>
      <c r="R22" s="87">
        <v>4</v>
      </c>
      <c r="S22" s="87">
        <v>4</v>
      </c>
      <c r="T22" s="87">
        <v>5</v>
      </c>
      <c r="U22" s="87">
        <v>4</v>
      </c>
      <c r="V22" s="87">
        <v>4</v>
      </c>
      <c r="W22" s="87">
        <v>5</v>
      </c>
      <c r="X22" s="87">
        <v>6</v>
      </c>
      <c r="Y22" s="87">
        <v>5</v>
      </c>
      <c r="Z22" s="87">
        <v>6</v>
      </c>
      <c r="AA22" s="87">
        <v>6</v>
      </c>
      <c r="AB22" s="87">
        <v>6</v>
      </c>
      <c r="AC22" s="87">
        <v>7</v>
      </c>
      <c r="AD22" s="87">
        <v>7</v>
      </c>
      <c r="AE22" s="87">
        <v>6</v>
      </c>
      <c r="AF22" s="87">
        <v>6</v>
      </c>
      <c r="AG22" s="87">
        <v>7</v>
      </c>
      <c r="AH22" s="87">
        <v>7</v>
      </c>
      <c r="AI22" s="87">
        <v>7</v>
      </c>
      <c r="AJ22" s="87">
        <v>6</v>
      </c>
      <c r="AK22" s="87">
        <v>6</v>
      </c>
      <c r="AL22" s="87">
        <v>7</v>
      </c>
      <c r="AM22" s="87">
        <v>7</v>
      </c>
      <c r="AN22" s="87">
        <v>7</v>
      </c>
      <c r="AO22" s="87">
        <v>7</v>
      </c>
      <c r="AP22" s="87">
        <v>7</v>
      </c>
      <c r="AQ22" s="87">
        <v>8</v>
      </c>
      <c r="AR22" s="87">
        <v>7</v>
      </c>
      <c r="AS22" s="87">
        <v>7</v>
      </c>
      <c r="AT22" s="87">
        <v>8</v>
      </c>
      <c r="AU22" s="87">
        <v>7</v>
      </c>
      <c r="AV22" s="87">
        <v>8</v>
      </c>
      <c r="AW22" s="87">
        <v>9</v>
      </c>
      <c r="AX22" s="87">
        <v>8</v>
      </c>
      <c r="AY22" s="87">
        <v>9</v>
      </c>
      <c r="AZ22" s="87">
        <v>8</v>
      </c>
      <c r="BA22" s="87">
        <v>9</v>
      </c>
      <c r="BB22" s="87">
        <v>9</v>
      </c>
      <c r="BC22" s="87">
        <v>11</v>
      </c>
      <c r="BD22" s="87">
        <v>12</v>
      </c>
      <c r="BE22" s="87">
        <v>13</v>
      </c>
      <c r="BF22" s="87">
        <v>16</v>
      </c>
      <c r="BG22" s="87">
        <v>17</v>
      </c>
      <c r="BH22" s="87">
        <v>18</v>
      </c>
      <c r="BI22" s="87">
        <v>16</v>
      </c>
      <c r="BJ22" s="87">
        <v>24</v>
      </c>
      <c r="BK22" s="87">
        <v>20</v>
      </c>
      <c r="BL22" s="87">
        <v>23</v>
      </c>
      <c r="BM22" s="87">
        <v>19</v>
      </c>
      <c r="BN22" s="87">
        <v>40</v>
      </c>
      <c r="BO22" s="87">
        <v>24</v>
      </c>
      <c r="BP22" s="87">
        <v>30</v>
      </c>
      <c r="BQ22" s="87">
        <v>33</v>
      </c>
      <c r="BR22" s="87">
        <v>52</v>
      </c>
      <c r="BS22" s="87">
        <v>40</v>
      </c>
      <c r="BT22" s="87">
        <v>44</v>
      </c>
      <c r="BU22" s="87">
        <v>62</v>
      </c>
      <c r="BV22" s="87">
        <v>35</v>
      </c>
      <c r="BW22" s="87">
        <v>37</v>
      </c>
      <c r="BX22" s="87">
        <v>37</v>
      </c>
      <c r="BY22" s="87">
        <v>39</v>
      </c>
      <c r="BZ22" s="87">
        <v>45</v>
      </c>
      <c r="CA22" s="87">
        <v>50</v>
      </c>
      <c r="CB22" s="87">
        <v>53</v>
      </c>
      <c r="CC22" s="87">
        <v>52</v>
      </c>
      <c r="CD22" s="87">
        <v>59</v>
      </c>
      <c r="CE22" s="87">
        <v>64</v>
      </c>
      <c r="CF22" s="68"/>
      <c r="CG22" s="77"/>
      <c r="CH22" s="77"/>
      <c r="CI22" s="77"/>
      <c r="CJ22" s="77"/>
      <c r="CK22" s="77"/>
      <c r="CL22" s="77"/>
      <c r="CM22" s="77"/>
      <c r="CN22" s="77"/>
      <c r="CO22" s="77"/>
      <c r="CP22" s="77"/>
      <c r="CQ22" s="77"/>
      <c r="CR22" s="77"/>
      <c r="CS22" s="77"/>
      <c r="CT22" s="77"/>
      <c r="CU22" s="77"/>
      <c r="CV22" s="77"/>
      <c r="CW22" s="77"/>
      <c r="CX22" s="77"/>
      <c r="CY22" s="77"/>
      <c r="CZ22" s="77"/>
      <c r="DA22" s="77"/>
      <c r="DB22" s="77"/>
      <c r="DC22" s="77"/>
      <c r="DD22" s="77"/>
      <c r="DE22" s="77"/>
      <c r="DF22" s="77"/>
      <c r="DG22" s="77"/>
      <c r="DH22" s="77"/>
      <c r="DI22" s="77"/>
      <c r="DJ22" s="77"/>
      <c r="DK22" s="77"/>
      <c r="DL22" s="77"/>
      <c r="DM22" s="77"/>
      <c r="DN22" s="77"/>
      <c r="DO22" s="77"/>
      <c r="DP22" s="77"/>
    </row>
    <row r="23" spans="1:120" s="94" customFormat="1" ht="13.5" customHeight="1" x14ac:dyDescent="0.75">
      <c r="A23" s="91"/>
      <c r="B23" s="92" t="s">
        <v>250</v>
      </c>
      <c r="C23" s="93" t="s">
        <v>251</v>
      </c>
      <c r="D23" s="87">
        <v>122</v>
      </c>
      <c r="E23" s="87">
        <v>2</v>
      </c>
      <c r="F23" s="87">
        <v>2</v>
      </c>
      <c r="G23" s="87">
        <v>2</v>
      </c>
      <c r="H23" s="87">
        <v>2</v>
      </c>
      <c r="I23" s="87">
        <v>2</v>
      </c>
      <c r="J23" s="87">
        <v>2</v>
      </c>
      <c r="K23" s="87">
        <v>2</v>
      </c>
      <c r="L23" s="87">
        <v>2</v>
      </c>
      <c r="M23" s="87">
        <v>2</v>
      </c>
      <c r="N23" s="87">
        <v>2</v>
      </c>
      <c r="O23" s="87">
        <v>2</v>
      </c>
      <c r="P23" s="87">
        <v>3</v>
      </c>
      <c r="Q23" s="87">
        <v>2</v>
      </c>
      <c r="R23" s="87">
        <v>2</v>
      </c>
      <c r="S23" s="87">
        <v>3</v>
      </c>
      <c r="T23" s="87">
        <v>3</v>
      </c>
      <c r="U23" s="87">
        <v>2</v>
      </c>
      <c r="V23" s="87">
        <v>3</v>
      </c>
      <c r="W23" s="87">
        <v>2</v>
      </c>
      <c r="X23" s="87">
        <v>4</v>
      </c>
      <c r="Y23" s="87">
        <v>3</v>
      </c>
      <c r="Z23" s="87">
        <v>3</v>
      </c>
      <c r="AA23" s="87">
        <v>4</v>
      </c>
      <c r="AB23" s="87">
        <v>4</v>
      </c>
      <c r="AC23" s="87">
        <v>4</v>
      </c>
      <c r="AD23" s="87">
        <v>4</v>
      </c>
      <c r="AE23" s="87">
        <v>5</v>
      </c>
      <c r="AF23" s="87">
        <v>5</v>
      </c>
      <c r="AG23" s="87">
        <v>5</v>
      </c>
      <c r="AH23" s="87">
        <v>4</v>
      </c>
      <c r="AI23" s="87">
        <v>5</v>
      </c>
      <c r="AJ23" s="87">
        <v>5</v>
      </c>
      <c r="AK23" s="87">
        <v>5</v>
      </c>
      <c r="AL23" s="87">
        <v>5</v>
      </c>
      <c r="AM23" s="87">
        <v>6</v>
      </c>
      <c r="AN23" s="87">
        <v>6</v>
      </c>
      <c r="AO23" s="87">
        <v>5</v>
      </c>
      <c r="AP23" s="87">
        <v>5</v>
      </c>
      <c r="AQ23" s="87">
        <v>7</v>
      </c>
      <c r="AR23" s="87">
        <v>7</v>
      </c>
      <c r="AS23" s="87">
        <v>7</v>
      </c>
      <c r="AT23" s="87">
        <v>7</v>
      </c>
      <c r="AU23" s="87">
        <v>7</v>
      </c>
      <c r="AV23" s="87">
        <v>9</v>
      </c>
      <c r="AW23" s="87">
        <v>8</v>
      </c>
      <c r="AX23" s="87">
        <v>8</v>
      </c>
      <c r="AY23" s="87">
        <v>9</v>
      </c>
      <c r="AZ23" s="87">
        <v>9</v>
      </c>
      <c r="BA23" s="87">
        <v>7</v>
      </c>
      <c r="BB23" s="87">
        <v>6</v>
      </c>
      <c r="BC23" s="87">
        <v>12</v>
      </c>
      <c r="BD23" s="87">
        <v>11</v>
      </c>
      <c r="BE23" s="87">
        <v>12</v>
      </c>
      <c r="BF23" s="87">
        <v>12</v>
      </c>
      <c r="BG23" s="87">
        <v>14</v>
      </c>
      <c r="BH23" s="87">
        <v>11</v>
      </c>
      <c r="BI23" s="87">
        <v>11</v>
      </c>
      <c r="BJ23" s="87">
        <v>11</v>
      </c>
      <c r="BK23" s="87">
        <v>15</v>
      </c>
      <c r="BL23" s="87">
        <v>15</v>
      </c>
      <c r="BM23" s="87">
        <v>12</v>
      </c>
      <c r="BN23" s="87">
        <v>13</v>
      </c>
      <c r="BO23" s="87">
        <v>18</v>
      </c>
      <c r="BP23" s="87">
        <v>15</v>
      </c>
      <c r="BQ23" s="87">
        <v>17</v>
      </c>
      <c r="BR23" s="87">
        <v>20</v>
      </c>
      <c r="BS23" s="87">
        <v>24</v>
      </c>
      <c r="BT23" s="87">
        <v>21</v>
      </c>
      <c r="BU23" s="87">
        <v>20</v>
      </c>
      <c r="BV23" s="87">
        <v>21</v>
      </c>
      <c r="BW23" s="87">
        <v>25</v>
      </c>
      <c r="BX23" s="87">
        <v>24</v>
      </c>
      <c r="BY23" s="87">
        <v>19</v>
      </c>
      <c r="BZ23" s="87">
        <v>31</v>
      </c>
      <c r="CA23" s="87">
        <v>33</v>
      </c>
      <c r="CB23" s="87">
        <v>38</v>
      </c>
      <c r="CC23" s="87">
        <v>31</v>
      </c>
      <c r="CD23" s="87">
        <v>38</v>
      </c>
      <c r="CE23" s="87">
        <v>43</v>
      </c>
      <c r="CF23" s="68"/>
      <c r="CG23" s="77"/>
      <c r="CH23" s="77"/>
      <c r="CI23" s="77"/>
      <c r="CJ23" s="77"/>
      <c r="CK23" s="77"/>
      <c r="CL23" s="77"/>
      <c r="CM23" s="77"/>
      <c r="CN23" s="77"/>
      <c r="CO23" s="77"/>
      <c r="CP23" s="77"/>
      <c r="CQ23" s="77"/>
      <c r="CR23" s="77"/>
      <c r="CS23" s="77"/>
      <c r="CT23" s="77"/>
      <c r="CU23" s="77"/>
      <c r="CV23" s="77"/>
      <c r="CW23" s="77"/>
      <c r="CX23" s="77"/>
      <c r="CY23" s="77"/>
      <c r="CZ23" s="77"/>
      <c r="DA23" s="77"/>
      <c r="DB23" s="77"/>
      <c r="DC23" s="77"/>
      <c r="DD23" s="77"/>
      <c r="DE23" s="77"/>
      <c r="DF23" s="77"/>
      <c r="DG23" s="77"/>
      <c r="DH23" s="77"/>
      <c r="DI23" s="77"/>
      <c r="DJ23" s="77"/>
      <c r="DK23" s="77"/>
      <c r="DL23" s="77"/>
      <c r="DM23" s="77"/>
      <c r="DN23" s="77"/>
      <c r="DO23" s="77"/>
      <c r="DP23" s="77"/>
    </row>
    <row r="24" spans="1:120" s="94" customFormat="1" ht="13.5" customHeight="1" x14ac:dyDescent="0.75">
      <c r="A24" s="91"/>
      <c r="B24" s="92" t="s">
        <v>252</v>
      </c>
      <c r="C24" s="93" t="s">
        <v>253</v>
      </c>
      <c r="D24" s="87">
        <v>117</v>
      </c>
      <c r="E24" s="87">
        <v>1</v>
      </c>
      <c r="F24" s="87">
        <v>1</v>
      </c>
      <c r="G24" s="87">
        <v>1</v>
      </c>
      <c r="H24" s="87">
        <v>1</v>
      </c>
      <c r="I24" s="87">
        <v>1</v>
      </c>
      <c r="J24" s="87">
        <v>1</v>
      </c>
      <c r="K24" s="87">
        <v>1</v>
      </c>
      <c r="L24" s="87">
        <v>1</v>
      </c>
      <c r="M24" s="87">
        <v>1</v>
      </c>
      <c r="N24" s="87">
        <v>1</v>
      </c>
      <c r="O24" s="87">
        <v>2</v>
      </c>
      <c r="P24" s="87">
        <v>2</v>
      </c>
      <c r="Q24" s="87">
        <v>1</v>
      </c>
      <c r="R24" s="87">
        <v>1</v>
      </c>
      <c r="S24" s="87">
        <v>2</v>
      </c>
      <c r="T24" s="87">
        <v>2</v>
      </c>
      <c r="U24" s="87">
        <v>3</v>
      </c>
      <c r="V24" s="87">
        <v>2</v>
      </c>
      <c r="W24" s="87">
        <v>2</v>
      </c>
      <c r="X24" s="87">
        <v>2</v>
      </c>
      <c r="Y24" s="87">
        <v>2</v>
      </c>
      <c r="Z24" s="87">
        <v>3</v>
      </c>
      <c r="AA24" s="87">
        <v>4</v>
      </c>
      <c r="AB24" s="87">
        <v>4</v>
      </c>
      <c r="AC24" s="87">
        <v>4</v>
      </c>
      <c r="AD24" s="87">
        <v>4</v>
      </c>
      <c r="AE24" s="87">
        <v>5</v>
      </c>
      <c r="AF24" s="87">
        <v>4</v>
      </c>
      <c r="AG24" s="87">
        <v>3</v>
      </c>
      <c r="AH24" s="87">
        <v>4</v>
      </c>
      <c r="AI24" s="87">
        <v>4</v>
      </c>
      <c r="AJ24" s="87">
        <v>3</v>
      </c>
      <c r="AK24" s="87">
        <v>4</v>
      </c>
      <c r="AL24" s="87">
        <v>4</v>
      </c>
      <c r="AM24" s="87">
        <v>5</v>
      </c>
      <c r="AN24" s="87">
        <v>5</v>
      </c>
      <c r="AO24" s="87">
        <v>5</v>
      </c>
      <c r="AP24" s="87">
        <v>6</v>
      </c>
      <c r="AQ24" s="87">
        <v>7</v>
      </c>
      <c r="AR24" s="87">
        <v>6</v>
      </c>
      <c r="AS24" s="87">
        <v>6</v>
      </c>
      <c r="AT24" s="87">
        <v>7</v>
      </c>
      <c r="AU24" s="87">
        <v>8</v>
      </c>
      <c r="AV24" s="87">
        <v>7</v>
      </c>
      <c r="AW24" s="87">
        <v>8</v>
      </c>
      <c r="AX24" s="87">
        <v>8</v>
      </c>
      <c r="AY24" s="87">
        <v>8</v>
      </c>
      <c r="AZ24" s="87">
        <v>8</v>
      </c>
      <c r="BA24" s="87">
        <v>9</v>
      </c>
      <c r="BB24" s="87">
        <v>12</v>
      </c>
      <c r="BC24" s="87">
        <v>12</v>
      </c>
      <c r="BD24" s="87">
        <v>10</v>
      </c>
      <c r="BE24" s="87">
        <v>11</v>
      </c>
      <c r="BF24" s="87">
        <v>15</v>
      </c>
      <c r="BG24" s="87">
        <v>14</v>
      </c>
      <c r="BH24" s="87">
        <v>13</v>
      </c>
      <c r="BI24" s="87">
        <v>12</v>
      </c>
      <c r="BJ24" s="87">
        <v>11</v>
      </c>
      <c r="BK24" s="87">
        <v>18</v>
      </c>
      <c r="BL24" s="87">
        <v>19</v>
      </c>
      <c r="BM24" s="87">
        <v>16</v>
      </c>
      <c r="BN24" s="87">
        <v>17</v>
      </c>
      <c r="BO24" s="87">
        <v>18</v>
      </c>
      <c r="BP24" s="87">
        <v>16</v>
      </c>
      <c r="BQ24" s="87">
        <v>18</v>
      </c>
      <c r="BR24" s="87">
        <v>20</v>
      </c>
      <c r="BS24" s="87">
        <v>20</v>
      </c>
      <c r="BT24" s="87">
        <v>20</v>
      </c>
      <c r="BU24" s="87">
        <v>21</v>
      </c>
      <c r="BV24" s="87">
        <v>22</v>
      </c>
      <c r="BW24" s="87">
        <v>26</v>
      </c>
      <c r="BX24" s="87">
        <v>24</v>
      </c>
      <c r="BY24" s="87">
        <v>26</v>
      </c>
      <c r="BZ24" s="87">
        <v>29</v>
      </c>
      <c r="CA24" s="87">
        <v>31</v>
      </c>
      <c r="CB24" s="87">
        <v>31</v>
      </c>
      <c r="CC24" s="87">
        <v>31</v>
      </c>
      <c r="CD24" s="87">
        <v>36</v>
      </c>
      <c r="CE24" s="87">
        <v>42</v>
      </c>
      <c r="CF24" s="68"/>
      <c r="CG24" s="77"/>
      <c r="CH24" s="77"/>
      <c r="CI24" s="77"/>
      <c r="CJ24" s="77"/>
      <c r="CK24" s="77"/>
      <c r="CL24" s="77"/>
      <c r="CM24" s="77"/>
      <c r="CN24" s="77"/>
      <c r="CO24" s="77"/>
      <c r="CP24" s="77"/>
      <c r="CQ24" s="77"/>
      <c r="CR24" s="77"/>
      <c r="CS24" s="77"/>
      <c r="CT24" s="77"/>
      <c r="CU24" s="77"/>
      <c r="CV24" s="77"/>
      <c r="CW24" s="77"/>
      <c r="CX24" s="77"/>
      <c r="CY24" s="77"/>
      <c r="CZ24" s="77"/>
      <c r="DA24" s="77"/>
      <c r="DB24" s="77"/>
      <c r="DC24" s="77"/>
      <c r="DD24" s="77"/>
      <c r="DE24" s="77"/>
      <c r="DF24" s="77"/>
      <c r="DG24" s="77"/>
      <c r="DH24" s="77"/>
      <c r="DI24" s="77"/>
      <c r="DJ24" s="77"/>
      <c r="DK24" s="77"/>
      <c r="DL24" s="77"/>
      <c r="DM24" s="77"/>
      <c r="DN24" s="77"/>
      <c r="DO24" s="77"/>
      <c r="DP24" s="77"/>
    </row>
    <row r="25" spans="1:120" s="94" customFormat="1" ht="13.5" customHeight="1" x14ac:dyDescent="0.75">
      <c r="A25" s="91"/>
      <c r="B25" s="92" t="s">
        <v>254</v>
      </c>
      <c r="C25" s="93" t="s">
        <v>255</v>
      </c>
      <c r="D25" s="87">
        <v>110</v>
      </c>
      <c r="E25" s="87">
        <v>2</v>
      </c>
      <c r="F25" s="87">
        <v>2</v>
      </c>
      <c r="G25" s="87">
        <v>3</v>
      </c>
      <c r="H25" s="87">
        <v>3</v>
      </c>
      <c r="I25" s="87">
        <v>3</v>
      </c>
      <c r="J25" s="87">
        <v>3</v>
      </c>
      <c r="K25" s="87">
        <v>3</v>
      </c>
      <c r="L25" s="87">
        <v>4</v>
      </c>
      <c r="M25" s="87">
        <v>3</v>
      </c>
      <c r="N25" s="87">
        <v>4</v>
      </c>
      <c r="O25" s="87">
        <v>5</v>
      </c>
      <c r="P25" s="87">
        <v>5</v>
      </c>
      <c r="Q25" s="87">
        <v>3</v>
      </c>
      <c r="R25" s="87">
        <v>4</v>
      </c>
      <c r="S25" s="87">
        <v>4</v>
      </c>
      <c r="T25" s="87">
        <v>6</v>
      </c>
      <c r="U25" s="87">
        <v>8</v>
      </c>
      <c r="V25" s="87">
        <v>5</v>
      </c>
      <c r="W25" s="87">
        <v>5</v>
      </c>
      <c r="X25" s="87">
        <v>6</v>
      </c>
      <c r="Y25" s="87">
        <v>8</v>
      </c>
      <c r="Z25" s="87">
        <v>8</v>
      </c>
      <c r="AA25" s="87">
        <v>8</v>
      </c>
      <c r="AB25" s="87">
        <v>8</v>
      </c>
      <c r="AC25" s="87">
        <v>9</v>
      </c>
      <c r="AD25" s="87">
        <v>10</v>
      </c>
      <c r="AE25" s="87">
        <v>9</v>
      </c>
      <c r="AF25" s="87">
        <v>9</v>
      </c>
      <c r="AG25" s="87">
        <v>10</v>
      </c>
      <c r="AH25" s="87">
        <v>11</v>
      </c>
      <c r="AI25" s="87">
        <v>11</v>
      </c>
      <c r="AJ25" s="87">
        <v>11</v>
      </c>
      <c r="AK25" s="87">
        <v>11</v>
      </c>
      <c r="AL25" s="87">
        <v>12</v>
      </c>
      <c r="AM25" s="87">
        <v>12</v>
      </c>
      <c r="AN25" s="87">
        <v>12</v>
      </c>
      <c r="AO25" s="87">
        <v>13</v>
      </c>
      <c r="AP25" s="87">
        <v>14</v>
      </c>
      <c r="AQ25" s="87">
        <v>14</v>
      </c>
      <c r="AR25" s="87">
        <v>14</v>
      </c>
      <c r="AS25" s="87">
        <v>13</v>
      </c>
      <c r="AT25" s="87">
        <v>13</v>
      </c>
      <c r="AU25" s="87">
        <v>12</v>
      </c>
      <c r="AV25" s="87">
        <v>13</v>
      </c>
      <c r="AW25" s="87">
        <v>14</v>
      </c>
      <c r="AX25" s="87">
        <v>15</v>
      </c>
      <c r="AY25" s="87">
        <v>16</v>
      </c>
      <c r="AZ25" s="87">
        <v>17</v>
      </c>
      <c r="BA25" s="87">
        <v>17</v>
      </c>
      <c r="BB25" s="87">
        <v>17</v>
      </c>
      <c r="BC25" s="87">
        <v>18</v>
      </c>
      <c r="BD25" s="87">
        <v>19</v>
      </c>
      <c r="BE25" s="87">
        <v>20</v>
      </c>
      <c r="BF25" s="87">
        <v>19</v>
      </c>
      <c r="BG25" s="87">
        <v>20</v>
      </c>
      <c r="BH25" s="87">
        <v>19</v>
      </c>
      <c r="BI25" s="87">
        <v>18</v>
      </c>
      <c r="BJ25" s="87">
        <v>18</v>
      </c>
      <c r="BK25" s="87">
        <v>19</v>
      </c>
      <c r="BL25" s="87">
        <v>20</v>
      </c>
      <c r="BM25" s="87">
        <v>21</v>
      </c>
      <c r="BN25" s="87">
        <v>23</v>
      </c>
      <c r="BO25" s="87">
        <v>25</v>
      </c>
      <c r="BP25" s="87">
        <v>26</v>
      </c>
      <c r="BQ25" s="87">
        <v>27</v>
      </c>
      <c r="BR25" s="87">
        <v>27</v>
      </c>
      <c r="BS25" s="87">
        <v>27</v>
      </c>
      <c r="BT25" s="87">
        <v>26</v>
      </c>
      <c r="BU25" s="87">
        <v>26</v>
      </c>
      <c r="BV25" s="87">
        <v>28</v>
      </c>
      <c r="BW25" s="87">
        <v>28</v>
      </c>
      <c r="BX25" s="87">
        <v>26</v>
      </c>
      <c r="BY25" s="87">
        <v>26</v>
      </c>
      <c r="BZ25" s="87">
        <v>27</v>
      </c>
      <c r="CA25" s="87">
        <v>28</v>
      </c>
      <c r="CB25" s="87">
        <v>29</v>
      </c>
      <c r="CC25" s="87">
        <v>30</v>
      </c>
      <c r="CD25" s="87">
        <v>30</v>
      </c>
      <c r="CE25" s="87">
        <v>31</v>
      </c>
      <c r="CF25" s="68"/>
      <c r="CG25" s="77"/>
      <c r="CH25" s="77"/>
      <c r="CI25" s="77"/>
      <c r="CJ25" s="77"/>
      <c r="CK25" s="77"/>
      <c r="CL25" s="77"/>
      <c r="CM25" s="77"/>
      <c r="CN25" s="77"/>
      <c r="CO25" s="77"/>
      <c r="CP25" s="77"/>
      <c r="CQ25" s="77"/>
      <c r="CR25" s="77"/>
      <c r="CS25" s="77"/>
      <c r="CT25" s="77"/>
      <c r="CU25" s="77"/>
      <c r="CV25" s="77"/>
      <c r="CW25" s="77"/>
      <c r="CX25" s="77"/>
      <c r="CY25" s="77"/>
      <c r="CZ25" s="77"/>
      <c r="DA25" s="77"/>
      <c r="DB25" s="77"/>
      <c r="DC25" s="77"/>
      <c r="DD25" s="77"/>
      <c r="DE25" s="77"/>
      <c r="DF25" s="77"/>
      <c r="DG25" s="77"/>
      <c r="DH25" s="77"/>
      <c r="DI25" s="77"/>
      <c r="DJ25" s="77"/>
      <c r="DK25" s="77"/>
      <c r="DL25" s="77"/>
      <c r="DM25" s="77"/>
      <c r="DN25" s="77"/>
      <c r="DO25" s="77"/>
      <c r="DP25" s="77"/>
    </row>
    <row r="26" spans="1:120" ht="13.5" customHeight="1" x14ac:dyDescent="0.75">
      <c r="A26" s="68"/>
      <c r="B26" s="67" t="s">
        <v>256</v>
      </c>
      <c r="C26" s="66" t="s">
        <v>257</v>
      </c>
      <c r="D26" s="87">
        <v>147</v>
      </c>
      <c r="E26" s="87">
        <v>2</v>
      </c>
      <c r="F26" s="87">
        <v>2</v>
      </c>
      <c r="G26" s="87">
        <v>3</v>
      </c>
      <c r="H26" s="87">
        <v>4</v>
      </c>
      <c r="I26" s="87">
        <v>5</v>
      </c>
      <c r="J26" s="87">
        <v>7</v>
      </c>
      <c r="K26" s="87">
        <v>7</v>
      </c>
      <c r="L26" s="87">
        <v>6</v>
      </c>
      <c r="M26" s="87">
        <v>5</v>
      </c>
      <c r="N26" s="87">
        <v>4</v>
      </c>
      <c r="O26" s="87">
        <v>4</v>
      </c>
      <c r="P26" s="87">
        <v>4</v>
      </c>
      <c r="Q26" s="87">
        <v>5</v>
      </c>
      <c r="R26" s="87">
        <v>5</v>
      </c>
      <c r="S26" s="87">
        <v>5</v>
      </c>
      <c r="T26" s="87">
        <v>5</v>
      </c>
      <c r="U26" s="87">
        <v>5</v>
      </c>
      <c r="V26" s="87">
        <v>6</v>
      </c>
      <c r="W26" s="87">
        <v>6</v>
      </c>
      <c r="X26" s="87">
        <v>6</v>
      </c>
      <c r="Y26" s="87">
        <v>6</v>
      </c>
      <c r="Z26" s="87">
        <v>7</v>
      </c>
      <c r="AA26" s="87">
        <v>7</v>
      </c>
      <c r="AB26" s="87">
        <v>8</v>
      </c>
      <c r="AC26" s="87">
        <v>8</v>
      </c>
      <c r="AD26" s="87">
        <v>8</v>
      </c>
      <c r="AE26" s="87">
        <v>9</v>
      </c>
      <c r="AF26" s="87">
        <v>10</v>
      </c>
      <c r="AG26" s="87">
        <v>10</v>
      </c>
      <c r="AH26" s="87">
        <v>10</v>
      </c>
      <c r="AI26" s="87">
        <v>10</v>
      </c>
      <c r="AJ26" s="87">
        <v>11</v>
      </c>
      <c r="AK26" s="87">
        <v>11</v>
      </c>
      <c r="AL26" s="87">
        <v>11</v>
      </c>
      <c r="AM26" s="87">
        <v>11</v>
      </c>
      <c r="AN26" s="87">
        <v>12</v>
      </c>
      <c r="AO26" s="87">
        <v>12</v>
      </c>
      <c r="AP26" s="87">
        <v>12</v>
      </c>
      <c r="AQ26" s="87">
        <v>14</v>
      </c>
      <c r="AR26" s="87">
        <v>18</v>
      </c>
      <c r="AS26" s="87">
        <v>19</v>
      </c>
      <c r="AT26" s="87">
        <v>19</v>
      </c>
      <c r="AU26" s="87">
        <v>19</v>
      </c>
      <c r="AV26" s="87">
        <v>20</v>
      </c>
      <c r="AW26" s="87">
        <v>20</v>
      </c>
      <c r="AX26" s="87">
        <v>21</v>
      </c>
      <c r="AY26" s="87">
        <v>21</v>
      </c>
      <c r="AZ26" s="87">
        <v>22</v>
      </c>
      <c r="BA26" s="87">
        <v>20</v>
      </c>
      <c r="BB26" s="87">
        <v>20</v>
      </c>
      <c r="BC26" s="87">
        <v>27</v>
      </c>
      <c r="BD26" s="87">
        <v>28</v>
      </c>
      <c r="BE26" s="87">
        <v>27</v>
      </c>
      <c r="BF26" s="87">
        <v>27</v>
      </c>
      <c r="BG26" s="87">
        <v>28</v>
      </c>
      <c r="BH26" s="87">
        <v>27</v>
      </c>
      <c r="BI26" s="87">
        <v>28</v>
      </c>
      <c r="BJ26" s="87">
        <v>28</v>
      </c>
      <c r="BK26" s="87">
        <v>32</v>
      </c>
      <c r="BL26" s="87">
        <v>34</v>
      </c>
      <c r="BM26" s="87">
        <v>32</v>
      </c>
      <c r="BN26" s="87">
        <v>36</v>
      </c>
      <c r="BO26" s="87">
        <v>35</v>
      </c>
      <c r="BP26" s="87">
        <v>33</v>
      </c>
      <c r="BQ26" s="87">
        <v>29</v>
      </c>
      <c r="BR26" s="87">
        <v>27</v>
      </c>
      <c r="BS26" s="87">
        <v>26</v>
      </c>
      <c r="BT26" s="87">
        <v>25</v>
      </c>
      <c r="BU26" s="87">
        <v>24</v>
      </c>
      <c r="BV26" s="87">
        <v>27</v>
      </c>
      <c r="BW26" s="87">
        <v>29</v>
      </c>
      <c r="BX26" s="87">
        <v>30</v>
      </c>
      <c r="BY26" s="87">
        <v>32</v>
      </c>
      <c r="BZ26" s="87">
        <v>37</v>
      </c>
      <c r="CA26" s="87">
        <v>39</v>
      </c>
      <c r="CB26" s="87">
        <v>39</v>
      </c>
      <c r="CC26" s="87">
        <v>38</v>
      </c>
      <c r="CD26" s="87">
        <v>41</v>
      </c>
      <c r="CE26" s="87">
        <v>52</v>
      </c>
      <c r="CF26" s="68"/>
      <c r="CG26" s="77"/>
      <c r="CH26" s="77"/>
      <c r="CI26" s="77"/>
      <c r="CJ26" s="77"/>
      <c r="CK26" s="77"/>
      <c r="CL26" s="77"/>
      <c r="CM26" s="77"/>
      <c r="CN26" s="77"/>
      <c r="CO26" s="77"/>
      <c r="CP26" s="77"/>
      <c r="CQ26" s="77"/>
      <c r="CR26" s="77"/>
      <c r="CS26" s="77"/>
      <c r="CT26" s="77"/>
      <c r="CU26" s="77"/>
      <c r="CV26" s="77"/>
      <c r="CW26" s="77"/>
      <c r="CX26" s="77"/>
      <c r="CY26" s="77"/>
      <c r="CZ26" s="77"/>
      <c r="DA26" s="77"/>
      <c r="DB26" s="77"/>
      <c r="DC26" s="77"/>
      <c r="DD26" s="77"/>
      <c r="DE26" s="77"/>
      <c r="DF26" s="77"/>
      <c r="DG26" s="77"/>
      <c r="DH26" s="77"/>
      <c r="DI26" s="77"/>
      <c r="DJ26" s="77"/>
      <c r="DK26" s="77"/>
      <c r="DL26" s="77"/>
      <c r="DM26" s="77"/>
      <c r="DN26" s="77"/>
      <c r="DO26" s="77"/>
      <c r="DP26" s="77"/>
    </row>
    <row r="27" spans="1:120" ht="13.5" customHeight="1" x14ac:dyDescent="0.75">
      <c r="A27" s="68"/>
      <c r="B27" s="67" t="s">
        <v>258</v>
      </c>
      <c r="C27" s="66" t="s">
        <v>259</v>
      </c>
      <c r="D27" s="87">
        <v>78</v>
      </c>
      <c r="E27" s="87">
        <v>2</v>
      </c>
      <c r="F27" s="87">
        <v>2</v>
      </c>
      <c r="G27" s="87">
        <v>2</v>
      </c>
      <c r="H27" s="87">
        <v>3</v>
      </c>
      <c r="I27" s="87">
        <v>4</v>
      </c>
      <c r="J27" s="87">
        <v>6</v>
      </c>
      <c r="K27" s="87">
        <v>6</v>
      </c>
      <c r="L27" s="87">
        <v>5</v>
      </c>
      <c r="M27" s="87">
        <v>4</v>
      </c>
      <c r="N27" s="87">
        <v>3</v>
      </c>
      <c r="O27" s="87">
        <v>3</v>
      </c>
      <c r="P27" s="87">
        <v>3</v>
      </c>
      <c r="Q27" s="87">
        <v>4</v>
      </c>
      <c r="R27" s="87">
        <v>4</v>
      </c>
      <c r="S27" s="87">
        <v>4</v>
      </c>
      <c r="T27" s="87">
        <v>4</v>
      </c>
      <c r="U27" s="87">
        <v>4</v>
      </c>
      <c r="V27" s="87">
        <v>5</v>
      </c>
      <c r="W27" s="87">
        <v>5</v>
      </c>
      <c r="X27" s="87">
        <v>5</v>
      </c>
      <c r="Y27" s="87">
        <v>5</v>
      </c>
      <c r="Z27" s="87">
        <v>5</v>
      </c>
      <c r="AA27" s="87">
        <v>6</v>
      </c>
      <c r="AB27" s="87">
        <v>6</v>
      </c>
      <c r="AC27" s="87">
        <v>6</v>
      </c>
      <c r="AD27" s="87">
        <v>6</v>
      </c>
      <c r="AE27" s="87">
        <v>6</v>
      </c>
      <c r="AF27" s="87">
        <v>6</v>
      </c>
      <c r="AG27" s="87">
        <v>6</v>
      </c>
      <c r="AH27" s="87">
        <v>6</v>
      </c>
      <c r="AI27" s="87">
        <v>6</v>
      </c>
      <c r="AJ27" s="87">
        <v>6</v>
      </c>
      <c r="AK27" s="87">
        <v>6</v>
      </c>
      <c r="AL27" s="87">
        <v>7</v>
      </c>
      <c r="AM27" s="87">
        <v>7</v>
      </c>
      <c r="AN27" s="87">
        <v>7</v>
      </c>
      <c r="AO27" s="87">
        <v>7</v>
      </c>
      <c r="AP27" s="87">
        <v>7</v>
      </c>
      <c r="AQ27" s="87">
        <v>7</v>
      </c>
      <c r="AR27" s="87">
        <v>8</v>
      </c>
      <c r="AS27" s="87">
        <v>8</v>
      </c>
      <c r="AT27" s="87">
        <v>8</v>
      </c>
      <c r="AU27" s="87">
        <v>8</v>
      </c>
      <c r="AV27" s="87">
        <v>8</v>
      </c>
      <c r="AW27" s="87">
        <v>8</v>
      </c>
      <c r="AX27" s="87">
        <v>8</v>
      </c>
      <c r="AY27" s="87">
        <v>8</v>
      </c>
      <c r="AZ27" s="87">
        <v>8</v>
      </c>
      <c r="BA27" s="87">
        <v>8</v>
      </c>
      <c r="BB27" s="87">
        <v>8</v>
      </c>
      <c r="BC27" s="87">
        <v>9</v>
      </c>
      <c r="BD27" s="87">
        <v>9</v>
      </c>
      <c r="BE27" s="87">
        <v>13</v>
      </c>
      <c r="BF27" s="87">
        <v>15</v>
      </c>
      <c r="BG27" s="87">
        <v>16</v>
      </c>
      <c r="BH27" s="87">
        <v>15</v>
      </c>
      <c r="BI27" s="87">
        <v>16</v>
      </c>
      <c r="BJ27" s="87">
        <v>16</v>
      </c>
      <c r="BK27" s="87">
        <v>17</v>
      </c>
      <c r="BL27" s="87">
        <v>16</v>
      </c>
      <c r="BM27" s="87">
        <v>17</v>
      </c>
      <c r="BN27" s="87">
        <v>17</v>
      </c>
      <c r="BO27" s="87">
        <v>18</v>
      </c>
      <c r="BP27" s="87">
        <v>18</v>
      </c>
      <c r="BQ27" s="87">
        <v>18</v>
      </c>
      <c r="BR27" s="87">
        <v>18</v>
      </c>
      <c r="BS27" s="87">
        <v>19</v>
      </c>
      <c r="BT27" s="87">
        <v>18</v>
      </c>
      <c r="BU27" s="87">
        <v>18</v>
      </c>
      <c r="BV27" s="87">
        <v>18</v>
      </c>
      <c r="BW27" s="87">
        <v>19</v>
      </c>
      <c r="BX27" s="87">
        <v>19</v>
      </c>
      <c r="BY27" s="87">
        <v>19</v>
      </c>
      <c r="BZ27" s="87">
        <v>19</v>
      </c>
      <c r="CA27" s="87">
        <v>20</v>
      </c>
      <c r="CB27" s="87">
        <v>20</v>
      </c>
      <c r="CC27" s="87">
        <v>20</v>
      </c>
      <c r="CD27" s="87">
        <v>20</v>
      </c>
      <c r="CE27" s="87">
        <v>21</v>
      </c>
      <c r="CF27" s="190">
        <f>CF28/SUM(BY15:CB15)</f>
        <v>0.50034129692832763</v>
      </c>
      <c r="CG27" s="77"/>
      <c r="CH27" s="77"/>
      <c r="CI27" s="77"/>
      <c r="CJ27" s="77"/>
      <c r="CK27" s="77"/>
      <c r="CL27" s="77"/>
      <c r="CM27" s="77"/>
      <c r="CN27" s="77"/>
      <c r="CO27" s="77"/>
      <c r="CP27" s="77"/>
      <c r="CQ27" s="77"/>
      <c r="CR27" s="77"/>
      <c r="CS27" s="77"/>
      <c r="CT27" s="77"/>
      <c r="CU27" s="77"/>
      <c r="CV27" s="77"/>
      <c r="CW27" s="77"/>
      <c r="CX27" s="77"/>
      <c r="CY27" s="77"/>
      <c r="CZ27" s="77"/>
      <c r="DA27" s="77"/>
      <c r="DB27" s="77"/>
      <c r="DC27" s="77"/>
      <c r="DD27" s="77"/>
      <c r="DE27" s="77"/>
      <c r="DF27" s="77"/>
      <c r="DG27" s="77"/>
      <c r="DH27" s="77"/>
      <c r="DI27" s="77"/>
      <c r="DJ27" s="77"/>
      <c r="DK27" s="77"/>
      <c r="DL27" s="77"/>
      <c r="DM27" s="77"/>
      <c r="DN27" s="77"/>
      <c r="DO27" s="77"/>
      <c r="DP27" s="77"/>
    </row>
    <row r="28" spans="1:120" ht="13.5" customHeight="1" x14ac:dyDescent="0.75">
      <c r="A28" s="68"/>
      <c r="B28" s="67" t="s">
        <v>260</v>
      </c>
      <c r="C28" s="66" t="s">
        <v>261</v>
      </c>
      <c r="D28" s="87">
        <v>2198</v>
      </c>
      <c r="E28" s="87">
        <v>19</v>
      </c>
      <c r="F28" s="87">
        <v>22</v>
      </c>
      <c r="G28" s="87">
        <v>22</v>
      </c>
      <c r="H28" s="87">
        <v>24</v>
      </c>
      <c r="I28" s="87">
        <v>28</v>
      </c>
      <c r="J28" s="87">
        <v>26</v>
      </c>
      <c r="K28" s="87">
        <v>27</v>
      </c>
      <c r="L28" s="87">
        <v>30</v>
      </c>
      <c r="M28" s="87">
        <v>34</v>
      </c>
      <c r="N28" s="87">
        <v>38</v>
      </c>
      <c r="O28" s="87">
        <v>44</v>
      </c>
      <c r="P28" s="87">
        <v>48</v>
      </c>
      <c r="Q28" s="87">
        <v>51</v>
      </c>
      <c r="R28" s="87">
        <v>44</v>
      </c>
      <c r="S28" s="87">
        <v>41</v>
      </c>
      <c r="T28" s="87">
        <v>49</v>
      </c>
      <c r="U28" s="87">
        <v>55</v>
      </c>
      <c r="V28" s="87">
        <v>47</v>
      </c>
      <c r="W28" s="87">
        <v>48</v>
      </c>
      <c r="X28" s="87">
        <v>58</v>
      </c>
      <c r="Y28" s="87">
        <v>71</v>
      </c>
      <c r="Z28" s="87">
        <v>59</v>
      </c>
      <c r="AA28" s="87">
        <v>64</v>
      </c>
      <c r="AB28" s="87">
        <v>78</v>
      </c>
      <c r="AC28" s="87">
        <v>75</v>
      </c>
      <c r="AD28" s="87">
        <v>73</v>
      </c>
      <c r="AE28" s="87">
        <v>84</v>
      </c>
      <c r="AF28" s="87">
        <v>99</v>
      </c>
      <c r="AG28" s="87">
        <v>97</v>
      </c>
      <c r="AH28" s="87">
        <v>92</v>
      </c>
      <c r="AI28" s="87">
        <v>92</v>
      </c>
      <c r="AJ28" s="87">
        <v>97</v>
      </c>
      <c r="AK28" s="87">
        <v>101</v>
      </c>
      <c r="AL28" s="87">
        <v>101</v>
      </c>
      <c r="AM28" s="87">
        <v>104</v>
      </c>
      <c r="AN28" s="87">
        <v>107</v>
      </c>
      <c r="AO28" s="87">
        <v>109</v>
      </c>
      <c r="AP28" s="87">
        <v>112</v>
      </c>
      <c r="AQ28" s="87">
        <v>117</v>
      </c>
      <c r="AR28" s="87">
        <v>126</v>
      </c>
      <c r="AS28" s="87">
        <v>127</v>
      </c>
      <c r="AT28" s="87">
        <v>117</v>
      </c>
      <c r="AU28" s="87">
        <v>112</v>
      </c>
      <c r="AV28" s="87">
        <v>118</v>
      </c>
      <c r="AW28" s="87">
        <v>111</v>
      </c>
      <c r="AX28" s="87">
        <v>111</v>
      </c>
      <c r="AY28" s="87">
        <v>117</v>
      </c>
      <c r="AZ28" s="87">
        <v>119</v>
      </c>
      <c r="BA28" s="87">
        <v>144</v>
      </c>
      <c r="BB28" s="87">
        <v>136</v>
      </c>
      <c r="BC28" s="87">
        <v>120</v>
      </c>
      <c r="BD28" s="87">
        <v>126</v>
      </c>
      <c r="BE28" s="87">
        <v>151</v>
      </c>
      <c r="BF28" s="87">
        <v>184</v>
      </c>
      <c r="BG28" s="87">
        <v>220</v>
      </c>
      <c r="BH28" s="87">
        <v>206</v>
      </c>
      <c r="BI28" s="87">
        <v>205</v>
      </c>
      <c r="BJ28" s="87">
        <v>181</v>
      </c>
      <c r="BK28" s="87">
        <v>175</v>
      </c>
      <c r="BL28" s="87">
        <v>212</v>
      </c>
      <c r="BM28" s="87">
        <v>218</v>
      </c>
      <c r="BN28" s="87">
        <v>192</v>
      </c>
      <c r="BO28" s="87">
        <v>239</v>
      </c>
      <c r="BP28" s="87">
        <v>253</v>
      </c>
      <c r="BQ28" s="87">
        <v>312</v>
      </c>
      <c r="BR28" s="87">
        <v>302</v>
      </c>
      <c r="BS28" s="87">
        <v>323</v>
      </c>
      <c r="BT28" s="87">
        <v>353</v>
      </c>
      <c r="BU28" s="87">
        <v>422</v>
      </c>
      <c r="BV28" s="87">
        <v>362</v>
      </c>
      <c r="BW28" s="87">
        <v>442</v>
      </c>
      <c r="BX28" s="87">
        <v>523</v>
      </c>
      <c r="BY28" s="87">
        <v>558</v>
      </c>
      <c r="BZ28" s="87">
        <v>531</v>
      </c>
      <c r="CA28" s="87">
        <v>525</v>
      </c>
      <c r="CB28" s="87">
        <v>585</v>
      </c>
      <c r="CC28" s="87">
        <v>620</v>
      </c>
      <c r="CD28" s="87">
        <v>598</v>
      </c>
      <c r="CE28" s="87">
        <v>611</v>
      </c>
      <c r="CF28" s="68">
        <f>SUM(BY28:CB28)</f>
        <v>2199</v>
      </c>
      <c r="CG28" s="77"/>
      <c r="CH28" s="77"/>
      <c r="CI28" s="77"/>
      <c r="CJ28" s="77"/>
      <c r="CK28" s="77"/>
      <c r="CL28" s="77"/>
      <c r="CM28" s="77"/>
      <c r="CN28" s="77"/>
      <c r="CO28" s="77"/>
      <c r="CP28" s="77"/>
      <c r="CQ28" s="77"/>
      <c r="CR28" s="77"/>
      <c r="CS28" s="77"/>
      <c r="CT28" s="77"/>
      <c r="CU28" s="77"/>
      <c r="CV28" s="77"/>
      <c r="CW28" s="77"/>
      <c r="CX28" s="77"/>
      <c r="CY28" s="77"/>
      <c r="CZ28" s="77"/>
      <c r="DA28" s="77"/>
      <c r="DB28" s="77"/>
      <c r="DC28" s="77"/>
      <c r="DD28" s="77"/>
      <c r="DE28" s="77"/>
      <c r="DF28" s="77"/>
      <c r="DG28" s="77"/>
      <c r="DH28" s="77"/>
      <c r="DI28" s="77"/>
      <c r="DJ28" s="77"/>
      <c r="DK28" s="77"/>
      <c r="DL28" s="77"/>
      <c r="DM28" s="77"/>
      <c r="DN28" s="77"/>
      <c r="DO28" s="77"/>
      <c r="DP28" s="77"/>
    </row>
    <row r="29" spans="1:120" ht="14.25" customHeight="1" x14ac:dyDescent="0.75">
      <c r="A29" s="64"/>
      <c r="B29" s="81" t="s">
        <v>262</v>
      </c>
      <c r="C29" s="82" t="s">
        <v>263</v>
      </c>
      <c r="D29" s="83">
        <v>10396</v>
      </c>
      <c r="E29" s="83">
        <v>186</v>
      </c>
      <c r="F29" s="83">
        <v>208</v>
      </c>
      <c r="G29" s="83">
        <v>216</v>
      </c>
      <c r="H29" s="83">
        <v>219</v>
      </c>
      <c r="I29" s="83">
        <v>236</v>
      </c>
      <c r="J29" s="83">
        <v>267</v>
      </c>
      <c r="K29" s="83">
        <v>277</v>
      </c>
      <c r="L29" s="83">
        <v>292</v>
      </c>
      <c r="M29" s="83">
        <v>296</v>
      </c>
      <c r="N29" s="83">
        <v>341</v>
      </c>
      <c r="O29" s="83">
        <v>372</v>
      </c>
      <c r="P29" s="83">
        <v>388</v>
      </c>
      <c r="Q29" s="83">
        <v>387</v>
      </c>
      <c r="R29" s="83">
        <v>383</v>
      </c>
      <c r="S29" s="83">
        <v>408</v>
      </c>
      <c r="T29" s="83">
        <v>419</v>
      </c>
      <c r="U29" s="83">
        <v>425</v>
      </c>
      <c r="V29" s="83">
        <v>434</v>
      </c>
      <c r="W29" s="83">
        <v>452</v>
      </c>
      <c r="X29" s="83">
        <v>470</v>
      </c>
      <c r="Y29" s="83">
        <v>465</v>
      </c>
      <c r="Z29" s="83">
        <v>474</v>
      </c>
      <c r="AA29" s="83">
        <v>517</v>
      </c>
      <c r="AB29" s="83">
        <v>524</v>
      </c>
      <c r="AC29" s="83">
        <v>551</v>
      </c>
      <c r="AD29" s="83">
        <v>565</v>
      </c>
      <c r="AE29" s="83">
        <v>585</v>
      </c>
      <c r="AF29" s="83">
        <v>597</v>
      </c>
      <c r="AG29" s="83">
        <v>599</v>
      </c>
      <c r="AH29" s="83">
        <v>619</v>
      </c>
      <c r="AI29" s="83">
        <v>629</v>
      </c>
      <c r="AJ29" s="83">
        <v>671</v>
      </c>
      <c r="AK29" s="83">
        <v>666</v>
      </c>
      <c r="AL29" s="83">
        <v>680</v>
      </c>
      <c r="AM29" s="83">
        <v>704</v>
      </c>
      <c r="AN29" s="83">
        <v>717</v>
      </c>
      <c r="AO29" s="83">
        <v>741</v>
      </c>
      <c r="AP29" s="83">
        <v>744</v>
      </c>
      <c r="AQ29" s="83">
        <v>780</v>
      </c>
      <c r="AR29" s="83">
        <v>794</v>
      </c>
      <c r="AS29" s="83">
        <v>814</v>
      </c>
      <c r="AT29" s="83">
        <v>842</v>
      </c>
      <c r="AU29" s="83">
        <v>852</v>
      </c>
      <c r="AV29" s="83">
        <v>866</v>
      </c>
      <c r="AW29" s="83">
        <v>870</v>
      </c>
      <c r="AX29" s="83">
        <v>908</v>
      </c>
      <c r="AY29" s="83">
        <v>956</v>
      </c>
      <c r="AZ29" s="83">
        <v>949</v>
      </c>
      <c r="BA29" s="83">
        <v>998</v>
      </c>
      <c r="BB29" s="83">
        <v>1029</v>
      </c>
      <c r="BC29" s="83">
        <v>1081</v>
      </c>
      <c r="BD29" s="83">
        <v>1117</v>
      </c>
      <c r="BE29" s="83">
        <v>1118</v>
      </c>
      <c r="BF29" s="83">
        <v>1210</v>
      </c>
      <c r="BG29" s="83">
        <v>1229</v>
      </c>
      <c r="BH29" s="83">
        <v>1256</v>
      </c>
      <c r="BI29" s="83">
        <v>1164</v>
      </c>
      <c r="BJ29" s="83">
        <v>1106</v>
      </c>
      <c r="BK29" s="83">
        <v>1235</v>
      </c>
      <c r="BL29" s="83">
        <v>1321</v>
      </c>
      <c r="BM29" s="83">
        <v>1289</v>
      </c>
      <c r="BN29" s="83">
        <v>1429</v>
      </c>
      <c r="BO29" s="83">
        <v>1471</v>
      </c>
      <c r="BP29" s="83">
        <v>1561</v>
      </c>
      <c r="BQ29" s="83">
        <v>1587</v>
      </c>
      <c r="BR29" s="83">
        <v>1727</v>
      </c>
      <c r="BS29" s="83">
        <v>1869</v>
      </c>
      <c r="BT29" s="83">
        <v>2020</v>
      </c>
      <c r="BU29" s="83">
        <v>2014</v>
      </c>
      <c r="BV29" s="83">
        <v>2045</v>
      </c>
      <c r="BW29" s="83">
        <v>2151</v>
      </c>
      <c r="BX29" s="83">
        <v>2436</v>
      </c>
      <c r="BY29" s="83">
        <v>2224</v>
      </c>
      <c r="BZ29" s="83">
        <v>2501</v>
      </c>
      <c r="CA29" s="83">
        <v>2668</v>
      </c>
      <c r="CB29" s="83">
        <v>3004</v>
      </c>
      <c r="CC29" s="83">
        <v>2688</v>
      </c>
      <c r="CD29" s="83">
        <v>2903</v>
      </c>
      <c r="CE29" s="83">
        <v>3161</v>
      </c>
      <c r="CF29" s="68"/>
      <c r="CG29" s="77"/>
      <c r="CH29" s="77"/>
      <c r="CI29" s="77"/>
      <c r="CJ29" s="77"/>
      <c r="CK29" s="77"/>
      <c r="CL29" s="77"/>
      <c r="CM29" s="77"/>
      <c r="CN29" s="77"/>
      <c r="CO29" s="77"/>
      <c r="CP29" s="77"/>
      <c r="CQ29" s="77"/>
      <c r="CR29" s="77"/>
      <c r="CS29" s="77"/>
      <c r="CT29" s="77"/>
      <c r="CU29" s="77"/>
      <c r="CV29" s="77"/>
      <c r="CW29" s="77"/>
      <c r="CX29" s="77"/>
      <c r="CY29" s="77"/>
      <c r="CZ29" s="77"/>
      <c r="DA29" s="77"/>
      <c r="DB29" s="77"/>
      <c r="DC29" s="77"/>
      <c r="DD29" s="77"/>
      <c r="DE29" s="77"/>
      <c r="DF29" s="77"/>
      <c r="DG29" s="77"/>
      <c r="DH29" s="77"/>
      <c r="DI29" s="77"/>
      <c r="DJ29" s="77"/>
      <c r="DK29" s="77"/>
      <c r="DL29" s="77"/>
      <c r="DM29" s="77"/>
      <c r="DN29" s="77"/>
      <c r="DO29" s="77"/>
      <c r="DP29" s="77"/>
    </row>
    <row r="30" spans="1:120" ht="14.25" customHeight="1" x14ac:dyDescent="0.75">
      <c r="A30" s="64"/>
      <c r="B30" s="81" t="s">
        <v>264</v>
      </c>
      <c r="C30" s="82" t="s">
        <v>265</v>
      </c>
      <c r="D30" s="83">
        <v>3594</v>
      </c>
      <c r="E30" s="83">
        <v>43</v>
      </c>
      <c r="F30" s="83">
        <v>53</v>
      </c>
      <c r="G30" s="83">
        <v>55</v>
      </c>
      <c r="H30" s="83">
        <v>56</v>
      </c>
      <c r="I30" s="83">
        <v>55</v>
      </c>
      <c r="J30" s="83">
        <v>63</v>
      </c>
      <c r="K30" s="83">
        <v>65</v>
      </c>
      <c r="L30" s="83">
        <v>76</v>
      </c>
      <c r="M30" s="83">
        <v>72</v>
      </c>
      <c r="N30" s="83">
        <v>93</v>
      </c>
      <c r="O30" s="83">
        <v>108</v>
      </c>
      <c r="P30" s="83">
        <v>103</v>
      </c>
      <c r="Q30" s="83">
        <v>102</v>
      </c>
      <c r="R30" s="83">
        <v>100</v>
      </c>
      <c r="S30" s="83">
        <v>104</v>
      </c>
      <c r="T30" s="83">
        <v>111</v>
      </c>
      <c r="U30" s="83">
        <v>112</v>
      </c>
      <c r="V30" s="83">
        <v>113</v>
      </c>
      <c r="W30" s="83">
        <v>121</v>
      </c>
      <c r="X30" s="83">
        <v>128</v>
      </c>
      <c r="Y30" s="83">
        <v>121</v>
      </c>
      <c r="Z30" s="83">
        <v>124</v>
      </c>
      <c r="AA30" s="83">
        <v>145</v>
      </c>
      <c r="AB30" s="83">
        <v>148</v>
      </c>
      <c r="AC30" s="83">
        <v>149</v>
      </c>
      <c r="AD30" s="83">
        <v>152</v>
      </c>
      <c r="AE30" s="83">
        <v>176</v>
      </c>
      <c r="AF30" s="83">
        <v>172</v>
      </c>
      <c r="AG30" s="83">
        <v>159</v>
      </c>
      <c r="AH30" s="83">
        <v>170</v>
      </c>
      <c r="AI30" s="83">
        <v>180</v>
      </c>
      <c r="AJ30" s="83">
        <v>190</v>
      </c>
      <c r="AK30" s="83">
        <v>182</v>
      </c>
      <c r="AL30" s="83">
        <v>183</v>
      </c>
      <c r="AM30" s="83">
        <v>192</v>
      </c>
      <c r="AN30" s="83">
        <v>197</v>
      </c>
      <c r="AO30" s="83">
        <v>202</v>
      </c>
      <c r="AP30" s="83">
        <v>201</v>
      </c>
      <c r="AQ30" s="83">
        <v>207</v>
      </c>
      <c r="AR30" s="83">
        <v>213</v>
      </c>
      <c r="AS30" s="83">
        <v>218</v>
      </c>
      <c r="AT30" s="83">
        <v>230</v>
      </c>
      <c r="AU30" s="83">
        <v>227</v>
      </c>
      <c r="AV30" s="83">
        <v>222</v>
      </c>
      <c r="AW30" s="83">
        <v>224</v>
      </c>
      <c r="AX30" s="83">
        <v>238</v>
      </c>
      <c r="AY30" s="83">
        <v>260</v>
      </c>
      <c r="AZ30" s="83">
        <v>269</v>
      </c>
      <c r="BA30" s="83">
        <v>280</v>
      </c>
      <c r="BB30" s="83">
        <v>294</v>
      </c>
      <c r="BC30" s="83">
        <v>315</v>
      </c>
      <c r="BD30" s="83">
        <v>334</v>
      </c>
      <c r="BE30" s="83">
        <v>323</v>
      </c>
      <c r="BF30" s="83">
        <v>352</v>
      </c>
      <c r="BG30" s="83">
        <v>367</v>
      </c>
      <c r="BH30" s="83">
        <v>382</v>
      </c>
      <c r="BI30" s="83">
        <v>334</v>
      </c>
      <c r="BJ30" s="83">
        <v>304</v>
      </c>
      <c r="BK30" s="83">
        <v>354</v>
      </c>
      <c r="BL30" s="83">
        <v>428</v>
      </c>
      <c r="BM30" s="83">
        <v>381</v>
      </c>
      <c r="BN30" s="83">
        <v>426</v>
      </c>
      <c r="BO30" s="83">
        <v>444</v>
      </c>
      <c r="BP30" s="83">
        <v>480</v>
      </c>
      <c r="BQ30" s="83">
        <v>489</v>
      </c>
      <c r="BR30" s="83">
        <v>570</v>
      </c>
      <c r="BS30" s="83">
        <v>579</v>
      </c>
      <c r="BT30" s="83">
        <v>648</v>
      </c>
      <c r="BU30" s="83">
        <v>602</v>
      </c>
      <c r="BV30" s="83">
        <v>623</v>
      </c>
      <c r="BW30" s="83">
        <v>667</v>
      </c>
      <c r="BX30" s="83">
        <v>771</v>
      </c>
      <c r="BY30" s="83">
        <v>713</v>
      </c>
      <c r="BZ30" s="83">
        <v>876</v>
      </c>
      <c r="CA30" s="83">
        <v>935</v>
      </c>
      <c r="CB30" s="83">
        <v>1070</v>
      </c>
      <c r="CC30" s="83">
        <v>948</v>
      </c>
      <c r="CD30" s="83">
        <v>1043</v>
      </c>
      <c r="CE30" s="83">
        <v>1140</v>
      </c>
      <c r="CF30" s="68"/>
      <c r="CG30" s="77"/>
      <c r="CH30" s="77"/>
      <c r="CI30" s="77"/>
      <c r="CJ30" s="77"/>
      <c r="CK30" s="77"/>
      <c r="CL30" s="77"/>
      <c r="CM30" s="77"/>
      <c r="CN30" s="77"/>
      <c r="CO30" s="77"/>
      <c r="CP30" s="77"/>
      <c r="CQ30" s="77"/>
      <c r="CR30" s="77"/>
      <c r="CS30" s="77"/>
      <c r="CT30" s="77"/>
      <c r="CU30" s="77"/>
      <c r="CV30" s="77"/>
      <c r="CW30" s="77"/>
      <c r="CX30" s="77"/>
      <c r="CY30" s="77"/>
      <c r="CZ30" s="77"/>
      <c r="DA30" s="77"/>
      <c r="DB30" s="77"/>
      <c r="DC30" s="77"/>
      <c r="DD30" s="77"/>
      <c r="DE30" s="77"/>
      <c r="DF30" s="77"/>
      <c r="DG30" s="77"/>
      <c r="DH30" s="77"/>
      <c r="DI30" s="77"/>
      <c r="DJ30" s="77"/>
      <c r="DK30" s="77"/>
      <c r="DL30" s="77"/>
      <c r="DM30" s="77"/>
      <c r="DN30" s="77"/>
      <c r="DO30" s="77"/>
      <c r="DP30" s="77"/>
    </row>
    <row r="31" spans="1:120" ht="13.5" customHeight="1" x14ac:dyDescent="0.75">
      <c r="A31" s="68"/>
      <c r="B31" s="67" t="s">
        <v>266</v>
      </c>
      <c r="C31" s="66" t="s">
        <v>267</v>
      </c>
      <c r="D31" s="87">
        <v>128</v>
      </c>
      <c r="E31" s="87">
        <v>2</v>
      </c>
      <c r="F31" s="87">
        <v>2</v>
      </c>
      <c r="G31" s="87">
        <v>2</v>
      </c>
      <c r="H31" s="87">
        <v>2</v>
      </c>
      <c r="I31" s="87">
        <v>2</v>
      </c>
      <c r="J31" s="87">
        <v>3</v>
      </c>
      <c r="K31" s="87">
        <v>3</v>
      </c>
      <c r="L31" s="87">
        <v>3</v>
      </c>
      <c r="M31" s="87">
        <v>3</v>
      </c>
      <c r="N31" s="87">
        <v>4</v>
      </c>
      <c r="O31" s="87">
        <v>5</v>
      </c>
      <c r="P31" s="87">
        <v>5</v>
      </c>
      <c r="Q31" s="87">
        <v>5</v>
      </c>
      <c r="R31" s="87">
        <v>5</v>
      </c>
      <c r="S31" s="87">
        <v>5</v>
      </c>
      <c r="T31" s="87">
        <v>5</v>
      </c>
      <c r="U31" s="87">
        <v>5</v>
      </c>
      <c r="V31" s="87">
        <v>5</v>
      </c>
      <c r="W31" s="87">
        <v>5</v>
      </c>
      <c r="X31" s="87">
        <v>6</v>
      </c>
      <c r="Y31" s="87">
        <v>6</v>
      </c>
      <c r="Z31" s="87">
        <v>6</v>
      </c>
      <c r="AA31" s="87">
        <v>6</v>
      </c>
      <c r="AB31" s="87">
        <v>6</v>
      </c>
      <c r="AC31" s="87">
        <v>7</v>
      </c>
      <c r="AD31" s="87">
        <v>7</v>
      </c>
      <c r="AE31" s="87">
        <v>7</v>
      </c>
      <c r="AF31" s="87">
        <v>7</v>
      </c>
      <c r="AG31" s="87">
        <v>7</v>
      </c>
      <c r="AH31" s="87">
        <v>7</v>
      </c>
      <c r="AI31" s="87">
        <v>7</v>
      </c>
      <c r="AJ31" s="87">
        <v>8</v>
      </c>
      <c r="AK31" s="87">
        <v>8</v>
      </c>
      <c r="AL31" s="87">
        <v>8</v>
      </c>
      <c r="AM31" s="87">
        <v>8</v>
      </c>
      <c r="AN31" s="87">
        <v>8</v>
      </c>
      <c r="AO31" s="87">
        <v>8</v>
      </c>
      <c r="AP31" s="87">
        <v>8</v>
      </c>
      <c r="AQ31" s="87">
        <v>8</v>
      </c>
      <c r="AR31" s="87">
        <v>9</v>
      </c>
      <c r="AS31" s="87">
        <v>9</v>
      </c>
      <c r="AT31" s="87">
        <v>9</v>
      </c>
      <c r="AU31" s="87">
        <v>10</v>
      </c>
      <c r="AV31" s="87">
        <v>10</v>
      </c>
      <c r="AW31" s="87">
        <v>10</v>
      </c>
      <c r="AX31" s="87">
        <v>10</v>
      </c>
      <c r="AY31" s="87">
        <v>10</v>
      </c>
      <c r="AZ31" s="87">
        <v>10</v>
      </c>
      <c r="BA31" s="87">
        <v>14</v>
      </c>
      <c r="BB31" s="87">
        <v>14</v>
      </c>
      <c r="BC31" s="87">
        <v>12</v>
      </c>
      <c r="BD31" s="87">
        <v>7</v>
      </c>
      <c r="BE31" s="87">
        <v>8</v>
      </c>
      <c r="BF31" s="87">
        <v>12</v>
      </c>
      <c r="BG31" s="87">
        <v>15</v>
      </c>
      <c r="BH31" s="87">
        <v>20</v>
      </c>
      <c r="BI31" s="87">
        <v>11</v>
      </c>
      <c r="BJ31" s="87">
        <v>15</v>
      </c>
      <c r="BK31" s="87">
        <v>19</v>
      </c>
      <c r="BL31" s="87">
        <v>20</v>
      </c>
      <c r="BM31" s="87">
        <v>19</v>
      </c>
      <c r="BN31" s="87">
        <v>21</v>
      </c>
      <c r="BO31" s="87">
        <v>21</v>
      </c>
      <c r="BP31" s="87">
        <v>22</v>
      </c>
      <c r="BQ31" s="87">
        <v>22</v>
      </c>
      <c r="BR31" s="87">
        <v>24</v>
      </c>
      <c r="BS31" s="87">
        <v>25</v>
      </c>
      <c r="BT31" s="87">
        <v>26</v>
      </c>
      <c r="BU31" s="87">
        <v>26</v>
      </c>
      <c r="BV31" s="87">
        <v>27</v>
      </c>
      <c r="BW31" s="87">
        <v>28</v>
      </c>
      <c r="BX31" s="87">
        <v>28</v>
      </c>
      <c r="BY31" s="87">
        <v>27</v>
      </c>
      <c r="BZ31" s="87">
        <v>31</v>
      </c>
      <c r="CA31" s="87">
        <v>32</v>
      </c>
      <c r="CB31" s="87">
        <v>38</v>
      </c>
      <c r="CC31" s="87">
        <v>42</v>
      </c>
      <c r="CD31" s="87">
        <v>43</v>
      </c>
      <c r="CE31" s="87">
        <v>46</v>
      </c>
      <c r="CF31" s="68"/>
      <c r="CG31" s="77"/>
      <c r="CH31" s="77"/>
      <c r="CI31" s="77"/>
      <c r="CJ31" s="77"/>
      <c r="CK31" s="77"/>
      <c r="CL31" s="77"/>
      <c r="CM31" s="77"/>
      <c r="CN31" s="77"/>
      <c r="CO31" s="77"/>
      <c r="CP31" s="77"/>
      <c r="CQ31" s="77"/>
      <c r="CR31" s="77"/>
      <c r="CS31" s="77"/>
      <c r="CT31" s="77"/>
      <c r="CU31" s="77"/>
      <c r="CV31" s="77"/>
      <c r="CW31" s="77"/>
      <c r="CX31" s="77"/>
      <c r="CY31" s="77"/>
      <c r="CZ31" s="77"/>
      <c r="DA31" s="77"/>
      <c r="DB31" s="77"/>
      <c r="DC31" s="77"/>
      <c r="DD31" s="77"/>
      <c r="DE31" s="77"/>
      <c r="DF31" s="77"/>
      <c r="DG31" s="77"/>
      <c r="DH31" s="77"/>
      <c r="DI31" s="77"/>
      <c r="DJ31" s="77"/>
      <c r="DK31" s="77"/>
      <c r="DL31" s="77"/>
      <c r="DM31" s="77"/>
      <c r="DN31" s="77"/>
      <c r="DO31" s="77"/>
      <c r="DP31" s="77"/>
    </row>
    <row r="32" spans="1:120" ht="13.5" customHeight="1" x14ac:dyDescent="0.75">
      <c r="A32" s="68"/>
      <c r="B32" s="67" t="s">
        <v>268</v>
      </c>
      <c r="C32" s="66" t="s">
        <v>269</v>
      </c>
      <c r="D32" s="87">
        <v>1822</v>
      </c>
      <c r="E32" s="87">
        <v>27</v>
      </c>
      <c r="F32" s="87">
        <v>34</v>
      </c>
      <c r="G32" s="87">
        <v>34</v>
      </c>
      <c r="H32" s="87">
        <v>35</v>
      </c>
      <c r="I32" s="87">
        <v>34</v>
      </c>
      <c r="J32" s="87">
        <v>40</v>
      </c>
      <c r="K32" s="87">
        <v>41</v>
      </c>
      <c r="L32" s="87">
        <v>49</v>
      </c>
      <c r="M32" s="87">
        <v>46</v>
      </c>
      <c r="N32" s="87">
        <v>61</v>
      </c>
      <c r="O32" s="87">
        <v>72</v>
      </c>
      <c r="P32" s="87">
        <v>67</v>
      </c>
      <c r="Q32" s="87">
        <v>68</v>
      </c>
      <c r="R32" s="87">
        <v>64</v>
      </c>
      <c r="S32" s="87">
        <v>66</v>
      </c>
      <c r="T32" s="87">
        <v>69</v>
      </c>
      <c r="U32" s="87">
        <v>71</v>
      </c>
      <c r="V32" s="87">
        <v>71</v>
      </c>
      <c r="W32" s="87">
        <v>77</v>
      </c>
      <c r="X32" s="87">
        <v>82</v>
      </c>
      <c r="Y32" s="87">
        <v>77</v>
      </c>
      <c r="Z32" s="87">
        <v>79</v>
      </c>
      <c r="AA32" s="87">
        <v>93</v>
      </c>
      <c r="AB32" s="87">
        <v>95</v>
      </c>
      <c r="AC32" s="87">
        <v>95</v>
      </c>
      <c r="AD32" s="87">
        <v>95</v>
      </c>
      <c r="AE32" s="87">
        <v>111</v>
      </c>
      <c r="AF32" s="87">
        <v>107</v>
      </c>
      <c r="AG32" s="87">
        <v>97</v>
      </c>
      <c r="AH32" s="87">
        <v>106</v>
      </c>
      <c r="AI32" s="87">
        <v>112</v>
      </c>
      <c r="AJ32" s="87">
        <v>119</v>
      </c>
      <c r="AK32" s="87">
        <v>116</v>
      </c>
      <c r="AL32" s="87">
        <v>116</v>
      </c>
      <c r="AM32" s="87">
        <v>123</v>
      </c>
      <c r="AN32" s="87">
        <v>127</v>
      </c>
      <c r="AO32" s="87">
        <v>132</v>
      </c>
      <c r="AP32" s="87">
        <v>130</v>
      </c>
      <c r="AQ32" s="87">
        <v>132</v>
      </c>
      <c r="AR32" s="87">
        <v>135</v>
      </c>
      <c r="AS32" s="87">
        <v>143</v>
      </c>
      <c r="AT32" s="87">
        <v>146</v>
      </c>
      <c r="AU32" s="87">
        <v>141</v>
      </c>
      <c r="AV32" s="87">
        <v>130</v>
      </c>
      <c r="AW32" s="87">
        <v>135</v>
      </c>
      <c r="AX32" s="87">
        <v>145</v>
      </c>
      <c r="AY32" s="87">
        <v>156</v>
      </c>
      <c r="AZ32" s="87">
        <v>161</v>
      </c>
      <c r="BA32" s="87">
        <v>158</v>
      </c>
      <c r="BB32" s="87">
        <v>162</v>
      </c>
      <c r="BC32" s="87">
        <v>174</v>
      </c>
      <c r="BD32" s="87">
        <v>188</v>
      </c>
      <c r="BE32" s="87">
        <v>177</v>
      </c>
      <c r="BF32" s="87">
        <v>196</v>
      </c>
      <c r="BG32" s="87">
        <v>178</v>
      </c>
      <c r="BH32" s="87">
        <v>183</v>
      </c>
      <c r="BI32" s="87">
        <v>161</v>
      </c>
      <c r="BJ32" s="87">
        <v>163</v>
      </c>
      <c r="BK32" s="87">
        <v>177</v>
      </c>
      <c r="BL32" s="87">
        <v>212</v>
      </c>
      <c r="BM32" s="87">
        <v>190</v>
      </c>
      <c r="BN32" s="87">
        <v>220</v>
      </c>
      <c r="BO32" s="87">
        <v>242</v>
      </c>
      <c r="BP32" s="87">
        <v>247</v>
      </c>
      <c r="BQ32" s="87">
        <v>245</v>
      </c>
      <c r="BR32" s="87">
        <v>286</v>
      </c>
      <c r="BS32" s="87">
        <v>286</v>
      </c>
      <c r="BT32" s="87">
        <v>314</v>
      </c>
      <c r="BU32" s="87">
        <v>309</v>
      </c>
      <c r="BV32" s="87">
        <v>328</v>
      </c>
      <c r="BW32" s="87">
        <v>341</v>
      </c>
      <c r="BX32" s="87">
        <v>399</v>
      </c>
      <c r="BY32" s="87">
        <v>356</v>
      </c>
      <c r="BZ32" s="87">
        <v>462</v>
      </c>
      <c r="CA32" s="87">
        <v>452</v>
      </c>
      <c r="CB32" s="87">
        <v>552</v>
      </c>
      <c r="CC32" s="87">
        <v>477</v>
      </c>
      <c r="CD32" s="87">
        <v>549</v>
      </c>
      <c r="CE32" s="87">
        <v>559</v>
      </c>
      <c r="CF32" s="68"/>
      <c r="CG32" s="77"/>
      <c r="CH32" s="77"/>
      <c r="CI32" s="77"/>
      <c r="CJ32" s="77"/>
      <c r="CK32" s="77"/>
      <c r="CL32" s="77"/>
      <c r="CM32" s="77"/>
      <c r="CN32" s="77"/>
      <c r="CO32" s="77"/>
      <c r="CP32" s="77"/>
      <c r="CQ32" s="77"/>
      <c r="CR32" s="77"/>
      <c r="CS32" s="77"/>
      <c r="CT32" s="77"/>
      <c r="CU32" s="77"/>
      <c r="CV32" s="77"/>
      <c r="CW32" s="77"/>
      <c r="CX32" s="77"/>
      <c r="CY32" s="77"/>
      <c r="CZ32" s="77"/>
      <c r="DA32" s="77"/>
      <c r="DB32" s="77"/>
      <c r="DC32" s="77"/>
      <c r="DD32" s="77"/>
      <c r="DE32" s="77"/>
      <c r="DF32" s="77"/>
      <c r="DG32" s="77"/>
      <c r="DH32" s="77"/>
      <c r="DI32" s="77"/>
      <c r="DJ32" s="77"/>
      <c r="DK32" s="77"/>
      <c r="DL32" s="77"/>
      <c r="DM32" s="77"/>
      <c r="DN32" s="77"/>
      <c r="DO32" s="77"/>
      <c r="DP32" s="77"/>
    </row>
    <row r="33" spans="1:120" ht="13.5" customHeight="1" x14ac:dyDescent="0.75">
      <c r="A33" s="68"/>
      <c r="B33" s="67" t="s">
        <v>270</v>
      </c>
      <c r="C33" s="66" t="s">
        <v>271</v>
      </c>
      <c r="D33" s="87">
        <v>1644</v>
      </c>
      <c r="E33" s="87">
        <v>14</v>
      </c>
      <c r="F33" s="87">
        <v>16</v>
      </c>
      <c r="G33" s="87">
        <v>18</v>
      </c>
      <c r="H33" s="87">
        <v>19</v>
      </c>
      <c r="I33" s="87">
        <v>19</v>
      </c>
      <c r="J33" s="87">
        <v>20</v>
      </c>
      <c r="K33" s="87">
        <v>21</v>
      </c>
      <c r="L33" s="87">
        <v>24</v>
      </c>
      <c r="M33" s="87">
        <v>24</v>
      </c>
      <c r="N33" s="87">
        <v>28</v>
      </c>
      <c r="O33" s="87">
        <v>32</v>
      </c>
      <c r="P33" s="87">
        <v>31</v>
      </c>
      <c r="Q33" s="87">
        <v>29</v>
      </c>
      <c r="R33" s="87">
        <v>32</v>
      </c>
      <c r="S33" s="87">
        <v>33</v>
      </c>
      <c r="T33" s="87">
        <v>37</v>
      </c>
      <c r="U33" s="87">
        <v>36</v>
      </c>
      <c r="V33" s="87">
        <v>37</v>
      </c>
      <c r="W33" s="87">
        <v>39</v>
      </c>
      <c r="X33" s="87">
        <v>40</v>
      </c>
      <c r="Y33" s="87">
        <v>38</v>
      </c>
      <c r="Z33" s="87">
        <v>40</v>
      </c>
      <c r="AA33" s="87">
        <v>46</v>
      </c>
      <c r="AB33" s="87">
        <v>47</v>
      </c>
      <c r="AC33" s="87">
        <v>48</v>
      </c>
      <c r="AD33" s="87">
        <v>50</v>
      </c>
      <c r="AE33" s="87">
        <v>58</v>
      </c>
      <c r="AF33" s="87">
        <v>58</v>
      </c>
      <c r="AG33" s="87">
        <v>55</v>
      </c>
      <c r="AH33" s="87">
        <v>56</v>
      </c>
      <c r="AI33" s="87">
        <v>61</v>
      </c>
      <c r="AJ33" s="87">
        <v>63</v>
      </c>
      <c r="AK33" s="87">
        <v>59</v>
      </c>
      <c r="AL33" s="87">
        <v>59</v>
      </c>
      <c r="AM33" s="87">
        <v>62</v>
      </c>
      <c r="AN33" s="87">
        <v>62</v>
      </c>
      <c r="AO33" s="87">
        <v>63</v>
      </c>
      <c r="AP33" s="87">
        <v>63</v>
      </c>
      <c r="AQ33" s="87">
        <v>67</v>
      </c>
      <c r="AR33" s="87">
        <v>70</v>
      </c>
      <c r="AS33" s="87">
        <v>67</v>
      </c>
      <c r="AT33" s="87">
        <v>74</v>
      </c>
      <c r="AU33" s="87">
        <v>77</v>
      </c>
      <c r="AV33" s="87">
        <v>83</v>
      </c>
      <c r="AW33" s="87">
        <v>80</v>
      </c>
      <c r="AX33" s="87">
        <v>84</v>
      </c>
      <c r="AY33" s="87">
        <v>94</v>
      </c>
      <c r="AZ33" s="87">
        <v>98</v>
      </c>
      <c r="BA33" s="87">
        <v>108</v>
      </c>
      <c r="BB33" s="87">
        <v>117</v>
      </c>
      <c r="BC33" s="87">
        <v>129</v>
      </c>
      <c r="BD33" s="87">
        <v>138</v>
      </c>
      <c r="BE33" s="87">
        <v>138</v>
      </c>
      <c r="BF33" s="87">
        <v>144</v>
      </c>
      <c r="BG33" s="87">
        <v>174</v>
      </c>
      <c r="BH33" s="87">
        <v>179</v>
      </c>
      <c r="BI33" s="87">
        <v>162</v>
      </c>
      <c r="BJ33" s="87">
        <v>127</v>
      </c>
      <c r="BK33" s="87">
        <v>158</v>
      </c>
      <c r="BL33" s="87">
        <v>195</v>
      </c>
      <c r="BM33" s="87">
        <v>172</v>
      </c>
      <c r="BN33" s="87">
        <v>184</v>
      </c>
      <c r="BO33" s="87">
        <v>180</v>
      </c>
      <c r="BP33" s="87">
        <v>211</v>
      </c>
      <c r="BQ33" s="87">
        <v>223</v>
      </c>
      <c r="BR33" s="87">
        <v>260</v>
      </c>
      <c r="BS33" s="87">
        <v>268</v>
      </c>
      <c r="BT33" s="87">
        <v>307</v>
      </c>
      <c r="BU33" s="87">
        <v>267</v>
      </c>
      <c r="BV33" s="87">
        <v>268</v>
      </c>
      <c r="BW33" s="87">
        <v>299</v>
      </c>
      <c r="BX33" s="87">
        <v>343</v>
      </c>
      <c r="BY33" s="87">
        <v>330</v>
      </c>
      <c r="BZ33" s="87">
        <v>383</v>
      </c>
      <c r="CA33" s="87">
        <v>451</v>
      </c>
      <c r="CB33" s="87">
        <v>480</v>
      </c>
      <c r="CC33" s="87">
        <v>429</v>
      </c>
      <c r="CD33" s="87">
        <v>452</v>
      </c>
      <c r="CE33" s="87">
        <v>535</v>
      </c>
      <c r="CF33" s="68"/>
      <c r="CG33" s="77"/>
      <c r="CH33" s="77"/>
      <c r="CI33" s="77"/>
      <c r="CJ33" s="77"/>
      <c r="CK33" s="77"/>
      <c r="CL33" s="77"/>
      <c r="CM33" s="77"/>
      <c r="CN33" s="77"/>
      <c r="CO33" s="77"/>
      <c r="CP33" s="77"/>
      <c r="CQ33" s="77"/>
      <c r="CR33" s="77"/>
      <c r="CS33" s="77"/>
      <c r="CT33" s="77"/>
      <c r="CU33" s="77"/>
      <c r="CV33" s="77"/>
      <c r="CW33" s="77"/>
      <c r="CX33" s="77"/>
      <c r="CY33" s="77"/>
      <c r="CZ33" s="77"/>
      <c r="DA33" s="77"/>
      <c r="DB33" s="77"/>
      <c r="DC33" s="77"/>
      <c r="DD33" s="77"/>
      <c r="DE33" s="77"/>
      <c r="DF33" s="77"/>
      <c r="DG33" s="77"/>
      <c r="DH33" s="77"/>
      <c r="DI33" s="77"/>
      <c r="DJ33" s="77"/>
      <c r="DK33" s="77"/>
      <c r="DL33" s="77"/>
      <c r="DM33" s="77"/>
      <c r="DN33" s="77"/>
      <c r="DO33" s="77"/>
      <c r="DP33" s="77"/>
    </row>
    <row r="34" spans="1:120" ht="14.25" customHeight="1" x14ac:dyDescent="0.75">
      <c r="A34" s="64"/>
      <c r="B34" s="81" t="s">
        <v>272</v>
      </c>
      <c r="C34" s="82" t="s">
        <v>273</v>
      </c>
      <c r="D34" s="83">
        <v>6802</v>
      </c>
      <c r="E34" s="83">
        <v>143</v>
      </c>
      <c r="F34" s="83">
        <v>154</v>
      </c>
      <c r="G34" s="83">
        <v>161</v>
      </c>
      <c r="H34" s="83">
        <v>163</v>
      </c>
      <c r="I34" s="83">
        <v>180</v>
      </c>
      <c r="J34" s="83">
        <v>205</v>
      </c>
      <c r="K34" s="83">
        <v>212</v>
      </c>
      <c r="L34" s="83">
        <v>217</v>
      </c>
      <c r="M34" s="83">
        <v>224</v>
      </c>
      <c r="N34" s="83">
        <v>248</v>
      </c>
      <c r="O34" s="83">
        <v>263</v>
      </c>
      <c r="P34" s="83">
        <v>285</v>
      </c>
      <c r="Q34" s="83">
        <v>285</v>
      </c>
      <c r="R34" s="83">
        <v>283</v>
      </c>
      <c r="S34" s="83">
        <v>304</v>
      </c>
      <c r="T34" s="83">
        <v>308</v>
      </c>
      <c r="U34" s="83">
        <v>313</v>
      </c>
      <c r="V34" s="83">
        <v>321</v>
      </c>
      <c r="W34" s="83">
        <v>331</v>
      </c>
      <c r="X34" s="83">
        <v>341</v>
      </c>
      <c r="Y34" s="83">
        <v>344</v>
      </c>
      <c r="Z34" s="83">
        <v>350</v>
      </c>
      <c r="AA34" s="83">
        <v>371</v>
      </c>
      <c r="AB34" s="83">
        <v>376</v>
      </c>
      <c r="AC34" s="83">
        <v>401</v>
      </c>
      <c r="AD34" s="83">
        <v>413</v>
      </c>
      <c r="AE34" s="83">
        <v>409</v>
      </c>
      <c r="AF34" s="83">
        <v>425</v>
      </c>
      <c r="AG34" s="83">
        <v>440</v>
      </c>
      <c r="AH34" s="83">
        <v>449</v>
      </c>
      <c r="AI34" s="83">
        <v>449</v>
      </c>
      <c r="AJ34" s="83">
        <v>482</v>
      </c>
      <c r="AK34" s="83">
        <v>484</v>
      </c>
      <c r="AL34" s="83">
        <v>497</v>
      </c>
      <c r="AM34" s="83">
        <v>512</v>
      </c>
      <c r="AN34" s="83">
        <v>520</v>
      </c>
      <c r="AO34" s="83">
        <v>539</v>
      </c>
      <c r="AP34" s="83">
        <v>543</v>
      </c>
      <c r="AQ34" s="83">
        <v>572</v>
      </c>
      <c r="AR34" s="83">
        <v>580</v>
      </c>
      <c r="AS34" s="83">
        <v>596</v>
      </c>
      <c r="AT34" s="83">
        <v>613</v>
      </c>
      <c r="AU34" s="83">
        <v>625</v>
      </c>
      <c r="AV34" s="83">
        <v>644</v>
      </c>
      <c r="AW34" s="83">
        <v>646</v>
      </c>
      <c r="AX34" s="83">
        <v>670</v>
      </c>
      <c r="AY34" s="83">
        <v>697</v>
      </c>
      <c r="AZ34" s="83">
        <v>680</v>
      </c>
      <c r="BA34" s="83">
        <v>719</v>
      </c>
      <c r="BB34" s="83">
        <v>735</v>
      </c>
      <c r="BC34" s="83">
        <v>766</v>
      </c>
      <c r="BD34" s="83">
        <v>784</v>
      </c>
      <c r="BE34" s="83">
        <v>795</v>
      </c>
      <c r="BF34" s="83">
        <v>858</v>
      </c>
      <c r="BG34" s="83">
        <v>862</v>
      </c>
      <c r="BH34" s="83">
        <v>874</v>
      </c>
      <c r="BI34" s="83">
        <v>830</v>
      </c>
      <c r="BJ34" s="83">
        <v>802</v>
      </c>
      <c r="BK34" s="83">
        <v>881</v>
      </c>
      <c r="BL34" s="83">
        <v>893</v>
      </c>
      <c r="BM34" s="83">
        <v>907</v>
      </c>
      <c r="BN34" s="83">
        <v>1004</v>
      </c>
      <c r="BO34" s="83">
        <v>1027</v>
      </c>
      <c r="BP34" s="83">
        <v>1082</v>
      </c>
      <c r="BQ34" s="83">
        <v>1098</v>
      </c>
      <c r="BR34" s="83">
        <v>1157</v>
      </c>
      <c r="BS34" s="83">
        <v>1290</v>
      </c>
      <c r="BT34" s="83">
        <v>1372</v>
      </c>
      <c r="BU34" s="83">
        <v>1412</v>
      </c>
      <c r="BV34" s="83">
        <v>1422</v>
      </c>
      <c r="BW34" s="83">
        <v>1484</v>
      </c>
      <c r="BX34" s="83">
        <v>1665</v>
      </c>
      <c r="BY34" s="83">
        <v>1511</v>
      </c>
      <c r="BZ34" s="83">
        <v>1624</v>
      </c>
      <c r="CA34" s="83">
        <v>1733</v>
      </c>
      <c r="CB34" s="83">
        <v>1934</v>
      </c>
      <c r="CC34" s="83">
        <v>1740</v>
      </c>
      <c r="CD34" s="83">
        <v>1860</v>
      </c>
      <c r="CE34" s="83">
        <v>2021</v>
      </c>
      <c r="CF34" s="68"/>
      <c r="CG34" s="77"/>
      <c r="CH34" s="77"/>
      <c r="CI34" s="77"/>
      <c r="CJ34" s="77"/>
      <c r="CK34" s="77"/>
      <c r="CL34" s="77"/>
      <c r="CM34" s="77"/>
      <c r="CN34" s="77"/>
      <c r="CO34" s="77"/>
      <c r="CP34" s="77"/>
      <c r="CQ34" s="77"/>
      <c r="CR34" s="77"/>
      <c r="CS34" s="77"/>
      <c r="CT34" s="77"/>
      <c r="CU34" s="77"/>
      <c r="CV34" s="77"/>
      <c r="CW34" s="77"/>
      <c r="CX34" s="77"/>
      <c r="CY34" s="77"/>
      <c r="CZ34" s="77"/>
      <c r="DA34" s="77"/>
      <c r="DB34" s="77"/>
      <c r="DC34" s="77"/>
      <c r="DD34" s="77"/>
      <c r="DE34" s="77"/>
      <c r="DF34" s="77"/>
      <c r="DG34" s="77"/>
      <c r="DH34" s="77"/>
      <c r="DI34" s="77"/>
      <c r="DJ34" s="77"/>
      <c r="DK34" s="77"/>
      <c r="DL34" s="77"/>
      <c r="DM34" s="77"/>
      <c r="DN34" s="77"/>
      <c r="DO34" s="77"/>
      <c r="DP34" s="77"/>
    </row>
    <row r="35" spans="1:120" ht="13.5" customHeight="1" x14ac:dyDescent="0.75">
      <c r="A35" s="68"/>
      <c r="B35" s="67" t="s">
        <v>274</v>
      </c>
      <c r="C35" s="66" t="s">
        <v>275</v>
      </c>
      <c r="D35" s="87">
        <v>681</v>
      </c>
      <c r="E35" s="87">
        <v>11</v>
      </c>
      <c r="F35" s="87">
        <v>12</v>
      </c>
      <c r="G35" s="87">
        <v>13</v>
      </c>
      <c r="H35" s="87">
        <v>13</v>
      </c>
      <c r="I35" s="87">
        <v>13</v>
      </c>
      <c r="J35" s="87">
        <v>15</v>
      </c>
      <c r="K35" s="87">
        <v>15</v>
      </c>
      <c r="L35" s="87">
        <v>16</v>
      </c>
      <c r="M35" s="87">
        <v>18</v>
      </c>
      <c r="N35" s="87">
        <v>17</v>
      </c>
      <c r="O35" s="87">
        <v>18</v>
      </c>
      <c r="P35" s="87">
        <v>18</v>
      </c>
      <c r="Q35" s="87">
        <v>18</v>
      </c>
      <c r="R35" s="87">
        <v>18</v>
      </c>
      <c r="S35" s="87">
        <v>19</v>
      </c>
      <c r="T35" s="87">
        <v>20</v>
      </c>
      <c r="U35" s="87">
        <v>20</v>
      </c>
      <c r="V35" s="87">
        <v>21</v>
      </c>
      <c r="W35" s="87">
        <v>21</v>
      </c>
      <c r="X35" s="87">
        <v>22</v>
      </c>
      <c r="Y35" s="87">
        <v>22</v>
      </c>
      <c r="Z35" s="87">
        <v>22</v>
      </c>
      <c r="AA35" s="87">
        <v>23</v>
      </c>
      <c r="AB35" s="87">
        <v>23</v>
      </c>
      <c r="AC35" s="87">
        <v>24</v>
      </c>
      <c r="AD35" s="87">
        <v>24</v>
      </c>
      <c r="AE35" s="87">
        <v>24</v>
      </c>
      <c r="AF35" s="87">
        <v>24</v>
      </c>
      <c r="AG35" s="87">
        <v>23</v>
      </c>
      <c r="AH35" s="87">
        <v>24</v>
      </c>
      <c r="AI35" s="87">
        <v>26</v>
      </c>
      <c r="AJ35" s="87">
        <v>27</v>
      </c>
      <c r="AK35" s="87">
        <v>28</v>
      </c>
      <c r="AL35" s="87">
        <v>29</v>
      </c>
      <c r="AM35" s="87">
        <v>31</v>
      </c>
      <c r="AN35" s="87">
        <v>31</v>
      </c>
      <c r="AO35" s="87">
        <v>31</v>
      </c>
      <c r="AP35" s="87">
        <v>33</v>
      </c>
      <c r="AQ35" s="87">
        <v>34</v>
      </c>
      <c r="AR35" s="87">
        <v>35</v>
      </c>
      <c r="AS35" s="87">
        <v>37</v>
      </c>
      <c r="AT35" s="87">
        <v>39</v>
      </c>
      <c r="AU35" s="87">
        <v>41</v>
      </c>
      <c r="AV35" s="87">
        <v>37</v>
      </c>
      <c r="AW35" s="87">
        <v>36</v>
      </c>
      <c r="AX35" s="87">
        <v>34</v>
      </c>
      <c r="AY35" s="87">
        <v>35</v>
      </c>
      <c r="AZ35" s="87">
        <v>35</v>
      </c>
      <c r="BA35" s="87">
        <v>42</v>
      </c>
      <c r="BB35" s="87">
        <v>42</v>
      </c>
      <c r="BC35" s="87">
        <v>46</v>
      </c>
      <c r="BD35" s="87">
        <v>50</v>
      </c>
      <c r="BE35" s="87">
        <v>52</v>
      </c>
      <c r="BF35" s="87">
        <v>55</v>
      </c>
      <c r="BG35" s="87">
        <v>60</v>
      </c>
      <c r="BH35" s="87">
        <v>57</v>
      </c>
      <c r="BI35" s="87">
        <v>43</v>
      </c>
      <c r="BJ35" s="87">
        <v>30</v>
      </c>
      <c r="BK35" s="87">
        <v>31</v>
      </c>
      <c r="BL35" s="87">
        <v>34</v>
      </c>
      <c r="BM35" s="87">
        <v>34</v>
      </c>
      <c r="BN35" s="87">
        <v>43</v>
      </c>
      <c r="BO35" s="87">
        <v>46</v>
      </c>
      <c r="BP35" s="87">
        <v>59</v>
      </c>
      <c r="BQ35" s="87">
        <v>68</v>
      </c>
      <c r="BR35" s="87">
        <v>90</v>
      </c>
      <c r="BS35" s="87">
        <v>104</v>
      </c>
      <c r="BT35" s="87">
        <v>104</v>
      </c>
      <c r="BU35" s="87">
        <v>95</v>
      </c>
      <c r="BV35" s="87">
        <v>96</v>
      </c>
      <c r="BW35" s="87">
        <v>111</v>
      </c>
      <c r="BX35" s="87">
        <v>124</v>
      </c>
      <c r="BY35" s="87">
        <v>137</v>
      </c>
      <c r="BZ35" s="87">
        <v>161</v>
      </c>
      <c r="CA35" s="87">
        <v>187</v>
      </c>
      <c r="CB35" s="87">
        <v>196</v>
      </c>
      <c r="CC35" s="87">
        <v>196</v>
      </c>
      <c r="CD35" s="87">
        <v>204</v>
      </c>
      <c r="CE35" s="87">
        <v>241</v>
      </c>
      <c r="CF35" s="68"/>
      <c r="CG35" s="77"/>
      <c r="CH35" s="77"/>
      <c r="CI35" s="77"/>
      <c r="CJ35" s="77"/>
      <c r="CK35" s="77"/>
      <c r="CL35" s="77"/>
      <c r="CM35" s="77"/>
      <c r="CN35" s="77"/>
      <c r="CO35" s="77"/>
      <c r="CP35" s="77"/>
      <c r="CQ35" s="77"/>
      <c r="CR35" s="77"/>
      <c r="CS35" s="77"/>
      <c r="CT35" s="77"/>
      <c r="CU35" s="77"/>
      <c r="CV35" s="77"/>
      <c r="CW35" s="77"/>
      <c r="CX35" s="77"/>
      <c r="CY35" s="77"/>
      <c r="CZ35" s="77"/>
      <c r="DA35" s="77"/>
      <c r="DB35" s="77"/>
      <c r="DC35" s="77"/>
      <c r="DD35" s="77"/>
      <c r="DE35" s="77"/>
      <c r="DF35" s="77"/>
      <c r="DG35" s="77"/>
      <c r="DH35" s="77"/>
      <c r="DI35" s="77"/>
      <c r="DJ35" s="77"/>
      <c r="DK35" s="77"/>
      <c r="DL35" s="77"/>
      <c r="DM35" s="77"/>
      <c r="DN35" s="77"/>
      <c r="DO35" s="77"/>
      <c r="DP35" s="77"/>
    </row>
    <row r="36" spans="1:120" ht="13.5" customHeight="1" x14ac:dyDescent="0.75">
      <c r="A36" s="68"/>
      <c r="B36" s="67" t="s">
        <v>276</v>
      </c>
      <c r="C36" s="66" t="s">
        <v>277</v>
      </c>
      <c r="D36" s="87">
        <v>433</v>
      </c>
      <c r="E36" s="87">
        <v>7</v>
      </c>
      <c r="F36" s="87">
        <v>8</v>
      </c>
      <c r="G36" s="87">
        <v>9</v>
      </c>
      <c r="H36" s="87">
        <v>9</v>
      </c>
      <c r="I36" s="87">
        <v>10</v>
      </c>
      <c r="J36" s="87">
        <v>11</v>
      </c>
      <c r="K36" s="87">
        <v>11</v>
      </c>
      <c r="L36" s="87">
        <v>13</v>
      </c>
      <c r="M36" s="87">
        <v>12</v>
      </c>
      <c r="N36" s="87">
        <v>14</v>
      </c>
      <c r="O36" s="87">
        <v>16</v>
      </c>
      <c r="P36" s="87">
        <v>16</v>
      </c>
      <c r="Q36" s="87">
        <v>15</v>
      </c>
      <c r="R36" s="87">
        <v>16</v>
      </c>
      <c r="S36" s="87">
        <v>17</v>
      </c>
      <c r="T36" s="87">
        <v>19</v>
      </c>
      <c r="U36" s="87">
        <v>18</v>
      </c>
      <c r="V36" s="87">
        <v>19</v>
      </c>
      <c r="W36" s="87">
        <v>20</v>
      </c>
      <c r="X36" s="87">
        <v>20</v>
      </c>
      <c r="Y36" s="87">
        <v>19</v>
      </c>
      <c r="Z36" s="87">
        <v>21</v>
      </c>
      <c r="AA36" s="87">
        <v>23</v>
      </c>
      <c r="AB36" s="87">
        <v>23</v>
      </c>
      <c r="AC36" s="87">
        <v>25</v>
      </c>
      <c r="AD36" s="87">
        <v>27</v>
      </c>
      <c r="AE36" s="87">
        <v>29</v>
      </c>
      <c r="AF36" s="87">
        <v>28</v>
      </c>
      <c r="AG36" s="87">
        <v>24</v>
      </c>
      <c r="AH36" s="87">
        <v>27</v>
      </c>
      <c r="AI36" s="87">
        <v>27</v>
      </c>
      <c r="AJ36" s="87">
        <v>29</v>
      </c>
      <c r="AK36" s="87">
        <v>24</v>
      </c>
      <c r="AL36" s="87">
        <v>30</v>
      </c>
      <c r="AM36" s="87">
        <v>32</v>
      </c>
      <c r="AN36" s="87">
        <v>32</v>
      </c>
      <c r="AO36" s="87">
        <v>33</v>
      </c>
      <c r="AP36" s="87">
        <v>32</v>
      </c>
      <c r="AQ36" s="87">
        <v>35</v>
      </c>
      <c r="AR36" s="87">
        <v>35</v>
      </c>
      <c r="AS36" s="87">
        <v>34</v>
      </c>
      <c r="AT36" s="87">
        <v>37</v>
      </c>
      <c r="AU36" s="87">
        <v>32</v>
      </c>
      <c r="AV36" s="87">
        <v>35</v>
      </c>
      <c r="AW36" s="87">
        <v>32</v>
      </c>
      <c r="AX36" s="87">
        <v>34</v>
      </c>
      <c r="AY36" s="87">
        <v>32</v>
      </c>
      <c r="AZ36" s="87">
        <v>36</v>
      </c>
      <c r="BA36" s="87">
        <v>36</v>
      </c>
      <c r="BB36" s="87">
        <v>38</v>
      </c>
      <c r="BC36" s="87">
        <v>38</v>
      </c>
      <c r="BD36" s="87">
        <v>40</v>
      </c>
      <c r="BE36" s="87">
        <v>42</v>
      </c>
      <c r="BF36" s="87">
        <v>52</v>
      </c>
      <c r="BG36" s="87">
        <v>53</v>
      </c>
      <c r="BH36" s="87">
        <v>61</v>
      </c>
      <c r="BI36" s="87">
        <v>50</v>
      </c>
      <c r="BJ36" s="87">
        <v>55</v>
      </c>
      <c r="BK36" s="87">
        <v>63</v>
      </c>
      <c r="BL36" s="87">
        <v>62</v>
      </c>
      <c r="BM36" s="87">
        <v>58</v>
      </c>
      <c r="BN36" s="87">
        <v>80</v>
      </c>
      <c r="BO36" s="87">
        <v>64</v>
      </c>
      <c r="BP36" s="87">
        <v>68</v>
      </c>
      <c r="BQ36" s="87">
        <v>58</v>
      </c>
      <c r="BR36" s="87">
        <v>65</v>
      </c>
      <c r="BS36" s="87">
        <v>71</v>
      </c>
      <c r="BT36" s="87">
        <v>72</v>
      </c>
      <c r="BU36" s="87">
        <v>77</v>
      </c>
      <c r="BV36" s="87">
        <v>80</v>
      </c>
      <c r="BW36" s="87">
        <v>82</v>
      </c>
      <c r="BX36" s="87">
        <v>101</v>
      </c>
      <c r="BY36" s="87">
        <v>90</v>
      </c>
      <c r="BZ36" s="87">
        <v>109</v>
      </c>
      <c r="CA36" s="87">
        <v>107</v>
      </c>
      <c r="CB36" s="87">
        <v>126</v>
      </c>
      <c r="CC36" s="87">
        <v>99</v>
      </c>
      <c r="CD36" s="87">
        <v>106</v>
      </c>
      <c r="CE36" s="87">
        <v>111</v>
      </c>
      <c r="CF36" s="68"/>
      <c r="CG36" s="77"/>
      <c r="CH36" s="77"/>
      <c r="CI36" s="77"/>
      <c r="CJ36" s="77"/>
      <c r="CK36" s="77"/>
      <c r="CL36" s="77"/>
      <c r="CM36" s="77"/>
      <c r="CN36" s="77"/>
      <c r="CO36" s="77"/>
      <c r="CP36" s="77"/>
      <c r="CQ36" s="77"/>
      <c r="CR36" s="77"/>
      <c r="CS36" s="77"/>
      <c r="CT36" s="77"/>
      <c r="CU36" s="77"/>
      <c r="CV36" s="77"/>
      <c r="CW36" s="77"/>
      <c r="CX36" s="77"/>
      <c r="CY36" s="77"/>
      <c r="CZ36" s="77"/>
      <c r="DA36" s="77"/>
      <c r="DB36" s="77"/>
      <c r="DC36" s="77"/>
      <c r="DD36" s="77"/>
      <c r="DE36" s="77"/>
      <c r="DF36" s="77"/>
      <c r="DG36" s="77"/>
      <c r="DH36" s="77"/>
      <c r="DI36" s="77"/>
      <c r="DJ36" s="77"/>
      <c r="DK36" s="77"/>
      <c r="DL36" s="77"/>
      <c r="DM36" s="77"/>
      <c r="DN36" s="77"/>
      <c r="DO36" s="77"/>
      <c r="DP36" s="77"/>
    </row>
    <row r="37" spans="1:120" ht="13.5" customHeight="1" x14ac:dyDescent="0.75">
      <c r="A37" s="68"/>
      <c r="B37" s="67" t="s">
        <v>278</v>
      </c>
      <c r="C37" s="66" t="s">
        <v>279</v>
      </c>
      <c r="D37" s="87">
        <v>498</v>
      </c>
      <c r="E37" s="87">
        <v>7</v>
      </c>
      <c r="F37" s="87">
        <v>12</v>
      </c>
      <c r="G37" s="87">
        <v>13</v>
      </c>
      <c r="H37" s="87">
        <v>12</v>
      </c>
      <c r="I37" s="87">
        <v>9</v>
      </c>
      <c r="J37" s="87">
        <v>15</v>
      </c>
      <c r="K37" s="87">
        <v>16</v>
      </c>
      <c r="L37" s="87">
        <v>14</v>
      </c>
      <c r="M37" s="87">
        <v>10</v>
      </c>
      <c r="N37" s="87">
        <v>18</v>
      </c>
      <c r="O37" s="87">
        <v>15</v>
      </c>
      <c r="P37" s="87">
        <v>17</v>
      </c>
      <c r="Q37" s="87">
        <v>17</v>
      </c>
      <c r="R37" s="87">
        <v>15</v>
      </c>
      <c r="S37" s="87">
        <v>15</v>
      </c>
      <c r="T37" s="87">
        <v>13</v>
      </c>
      <c r="U37" s="87">
        <v>19</v>
      </c>
      <c r="V37" s="87">
        <v>17</v>
      </c>
      <c r="W37" s="87">
        <v>19</v>
      </c>
      <c r="X37" s="87">
        <v>20</v>
      </c>
      <c r="Y37" s="87">
        <v>23</v>
      </c>
      <c r="Z37" s="87">
        <v>26</v>
      </c>
      <c r="AA37" s="87">
        <v>25</v>
      </c>
      <c r="AB37" s="87">
        <v>20</v>
      </c>
      <c r="AC37" s="87">
        <v>28</v>
      </c>
      <c r="AD37" s="87">
        <v>33</v>
      </c>
      <c r="AE37" s="87">
        <v>28</v>
      </c>
      <c r="AF37" s="87">
        <v>32</v>
      </c>
      <c r="AG37" s="87">
        <v>36</v>
      </c>
      <c r="AH37" s="87">
        <v>35</v>
      </c>
      <c r="AI37" s="87">
        <v>31</v>
      </c>
      <c r="AJ37" s="87">
        <v>42</v>
      </c>
      <c r="AK37" s="87">
        <v>33</v>
      </c>
      <c r="AL37" s="87">
        <v>37</v>
      </c>
      <c r="AM37" s="87">
        <v>34</v>
      </c>
      <c r="AN37" s="87">
        <v>42</v>
      </c>
      <c r="AO37" s="87">
        <v>39</v>
      </c>
      <c r="AP37" s="87">
        <v>40</v>
      </c>
      <c r="AQ37" s="87">
        <v>42</v>
      </c>
      <c r="AR37" s="87">
        <v>39</v>
      </c>
      <c r="AS37" s="87">
        <v>40</v>
      </c>
      <c r="AT37" s="87">
        <v>37</v>
      </c>
      <c r="AU37" s="87">
        <v>43</v>
      </c>
      <c r="AV37" s="87">
        <v>44</v>
      </c>
      <c r="AW37" s="87">
        <v>45</v>
      </c>
      <c r="AX37" s="87">
        <v>45</v>
      </c>
      <c r="AY37" s="87">
        <v>53</v>
      </c>
      <c r="AZ37" s="87">
        <v>48</v>
      </c>
      <c r="BA37" s="87">
        <v>49</v>
      </c>
      <c r="BB37" s="87">
        <v>48</v>
      </c>
      <c r="BC37" s="87">
        <v>61</v>
      </c>
      <c r="BD37" s="87">
        <v>58</v>
      </c>
      <c r="BE37" s="87">
        <v>63</v>
      </c>
      <c r="BF37" s="87">
        <v>67</v>
      </c>
      <c r="BG37" s="87">
        <v>57</v>
      </c>
      <c r="BH37" s="87">
        <v>63</v>
      </c>
      <c r="BI37" s="87">
        <v>61</v>
      </c>
      <c r="BJ37" s="87">
        <v>59</v>
      </c>
      <c r="BK37" s="87">
        <v>69</v>
      </c>
      <c r="BL37" s="87">
        <v>66</v>
      </c>
      <c r="BM37" s="87">
        <v>78</v>
      </c>
      <c r="BN37" s="87">
        <v>84</v>
      </c>
      <c r="BO37" s="87">
        <v>88</v>
      </c>
      <c r="BP37" s="87">
        <v>95</v>
      </c>
      <c r="BQ37" s="87">
        <v>96</v>
      </c>
      <c r="BR37" s="87">
        <v>109</v>
      </c>
      <c r="BS37" s="87">
        <v>111</v>
      </c>
      <c r="BT37" s="87">
        <v>159</v>
      </c>
      <c r="BU37" s="87">
        <v>124</v>
      </c>
      <c r="BV37" s="87">
        <v>147</v>
      </c>
      <c r="BW37" s="87">
        <v>118</v>
      </c>
      <c r="BX37" s="87">
        <v>138</v>
      </c>
      <c r="BY37" s="87">
        <v>128</v>
      </c>
      <c r="BZ37" s="87">
        <v>120</v>
      </c>
      <c r="CA37" s="87">
        <v>122</v>
      </c>
      <c r="CB37" s="87">
        <v>128</v>
      </c>
      <c r="CC37" s="87">
        <v>134</v>
      </c>
      <c r="CD37" s="87">
        <v>142</v>
      </c>
      <c r="CE37" s="87">
        <v>156</v>
      </c>
      <c r="CF37" s="68"/>
      <c r="CG37" s="77"/>
      <c r="CH37" s="77"/>
      <c r="CI37" s="77"/>
      <c r="CJ37" s="77"/>
      <c r="CK37" s="77"/>
      <c r="CL37" s="77"/>
      <c r="CM37" s="77"/>
      <c r="CN37" s="77"/>
      <c r="CO37" s="77"/>
      <c r="CP37" s="77"/>
      <c r="CQ37" s="77"/>
      <c r="CR37" s="77"/>
      <c r="CS37" s="77"/>
      <c r="CT37" s="77"/>
      <c r="CU37" s="77"/>
      <c r="CV37" s="77"/>
      <c r="CW37" s="77"/>
      <c r="CX37" s="77"/>
      <c r="CY37" s="77"/>
      <c r="CZ37" s="77"/>
      <c r="DA37" s="77"/>
      <c r="DB37" s="77"/>
      <c r="DC37" s="77"/>
      <c r="DD37" s="77"/>
      <c r="DE37" s="77"/>
      <c r="DF37" s="77"/>
      <c r="DG37" s="77"/>
      <c r="DH37" s="77"/>
      <c r="DI37" s="77"/>
      <c r="DJ37" s="77"/>
      <c r="DK37" s="77"/>
      <c r="DL37" s="77"/>
      <c r="DM37" s="77"/>
      <c r="DN37" s="77"/>
      <c r="DO37" s="77"/>
      <c r="DP37" s="77"/>
    </row>
    <row r="38" spans="1:120" ht="13.5" customHeight="1" x14ac:dyDescent="0.75">
      <c r="A38" s="68"/>
      <c r="B38" s="67" t="s">
        <v>280</v>
      </c>
      <c r="C38" s="66" t="s">
        <v>281</v>
      </c>
      <c r="D38" s="87">
        <v>1372</v>
      </c>
      <c r="E38" s="87">
        <v>33</v>
      </c>
      <c r="F38" s="87">
        <v>32</v>
      </c>
      <c r="G38" s="87">
        <v>34</v>
      </c>
      <c r="H38" s="87">
        <v>34</v>
      </c>
      <c r="I38" s="87">
        <v>41</v>
      </c>
      <c r="J38" s="87">
        <v>51</v>
      </c>
      <c r="K38" s="87">
        <v>54</v>
      </c>
      <c r="L38" s="87">
        <v>57</v>
      </c>
      <c r="M38" s="87">
        <v>58</v>
      </c>
      <c r="N38" s="87">
        <v>67</v>
      </c>
      <c r="O38" s="87">
        <v>71</v>
      </c>
      <c r="P38" s="87">
        <v>84</v>
      </c>
      <c r="Q38" s="87">
        <v>81</v>
      </c>
      <c r="R38" s="87">
        <v>79</v>
      </c>
      <c r="S38" s="87">
        <v>89</v>
      </c>
      <c r="T38" s="87">
        <v>91</v>
      </c>
      <c r="U38" s="87">
        <v>84</v>
      </c>
      <c r="V38" s="87">
        <v>88</v>
      </c>
      <c r="W38" s="87">
        <v>91</v>
      </c>
      <c r="X38" s="87">
        <v>93</v>
      </c>
      <c r="Y38" s="87">
        <v>96</v>
      </c>
      <c r="Z38" s="87">
        <v>93</v>
      </c>
      <c r="AA38" s="87">
        <v>93</v>
      </c>
      <c r="AB38" s="87">
        <v>93</v>
      </c>
      <c r="AC38" s="87">
        <v>100</v>
      </c>
      <c r="AD38" s="87">
        <v>97</v>
      </c>
      <c r="AE38" s="87">
        <v>87</v>
      </c>
      <c r="AF38" s="87">
        <v>86</v>
      </c>
      <c r="AG38" s="87">
        <v>93</v>
      </c>
      <c r="AH38" s="87">
        <v>89</v>
      </c>
      <c r="AI38" s="87">
        <v>93</v>
      </c>
      <c r="AJ38" s="87">
        <v>92</v>
      </c>
      <c r="AK38" s="87">
        <v>104</v>
      </c>
      <c r="AL38" s="87">
        <v>97</v>
      </c>
      <c r="AM38" s="87">
        <v>100</v>
      </c>
      <c r="AN38" s="87">
        <v>100</v>
      </c>
      <c r="AO38" s="87">
        <v>106</v>
      </c>
      <c r="AP38" s="87">
        <v>101</v>
      </c>
      <c r="AQ38" s="87">
        <v>114</v>
      </c>
      <c r="AR38" s="87">
        <v>108</v>
      </c>
      <c r="AS38" s="87">
        <v>116</v>
      </c>
      <c r="AT38" s="87">
        <v>117</v>
      </c>
      <c r="AU38" s="87">
        <v>124</v>
      </c>
      <c r="AV38" s="87">
        <v>131</v>
      </c>
      <c r="AW38" s="87">
        <v>142</v>
      </c>
      <c r="AX38" s="87">
        <v>133</v>
      </c>
      <c r="AY38" s="87">
        <v>143</v>
      </c>
      <c r="AZ38" s="87">
        <v>141</v>
      </c>
      <c r="BA38" s="87">
        <v>158</v>
      </c>
      <c r="BB38" s="87">
        <v>160</v>
      </c>
      <c r="BC38" s="87">
        <v>167</v>
      </c>
      <c r="BD38" s="87">
        <v>170</v>
      </c>
      <c r="BE38" s="87">
        <v>180</v>
      </c>
      <c r="BF38" s="87">
        <v>200</v>
      </c>
      <c r="BG38" s="87">
        <v>189</v>
      </c>
      <c r="BH38" s="87">
        <v>186</v>
      </c>
      <c r="BI38" s="87">
        <v>193</v>
      </c>
      <c r="BJ38" s="87">
        <v>190</v>
      </c>
      <c r="BK38" s="87">
        <v>205</v>
      </c>
      <c r="BL38" s="87">
        <v>221</v>
      </c>
      <c r="BM38" s="87">
        <v>217</v>
      </c>
      <c r="BN38" s="87">
        <v>225</v>
      </c>
      <c r="BO38" s="87">
        <v>237</v>
      </c>
      <c r="BP38" s="87">
        <v>247</v>
      </c>
      <c r="BQ38" s="87">
        <v>249</v>
      </c>
      <c r="BR38" s="87">
        <v>251</v>
      </c>
      <c r="BS38" s="87">
        <v>263</v>
      </c>
      <c r="BT38" s="87">
        <v>278</v>
      </c>
      <c r="BU38" s="87">
        <v>347</v>
      </c>
      <c r="BV38" s="87">
        <v>301</v>
      </c>
      <c r="BW38" s="87">
        <v>316</v>
      </c>
      <c r="BX38" s="87">
        <v>324</v>
      </c>
      <c r="BY38" s="87">
        <v>314</v>
      </c>
      <c r="BZ38" s="87">
        <v>309</v>
      </c>
      <c r="CA38" s="87">
        <v>319</v>
      </c>
      <c r="CB38" s="87">
        <v>430</v>
      </c>
      <c r="CC38" s="87">
        <v>320</v>
      </c>
      <c r="CD38" s="87">
        <v>323</v>
      </c>
      <c r="CE38" s="87">
        <v>349</v>
      </c>
      <c r="CF38" s="68"/>
      <c r="CG38" s="77"/>
      <c r="CH38" s="77"/>
      <c r="CI38" s="77"/>
      <c r="CJ38" s="77"/>
      <c r="CK38" s="77"/>
      <c r="CL38" s="77"/>
      <c r="CM38" s="77"/>
      <c r="CN38" s="77"/>
      <c r="CO38" s="77"/>
      <c r="CP38" s="77"/>
      <c r="CQ38" s="77"/>
      <c r="CR38" s="77"/>
      <c r="CS38" s="77"/>
      <c r="CT38" s="77"/>
      <c r="CU38" s="77"/>
      <c r="CV38" s="77"/>
      <c r="CW38" s="77"/>
      <c r="CX38" s="77"/>
      <c r="CY38" s="77"/>
      <c r="CZ38" s="77"/>
      <c r="DA38" s="77"/>
      <c r="DB38" s="77"/>
      <c r="DC38" s="77"/>
      <c r="DD38" s="77"/>
      <c r="DE38" s="77"/>
      <c r="DF38" s="77"/>
      <c r="DG38" s="77"/>
      <c r="DH38" s="77"/>
      <c r="DI38" s="77"/>
      <c r="DJ38" s="77"/>
      <c r="DK38" s="77"/>
      <c r="DL38" s="77"/>
      <c r="DM38" s="77"/>
      <c r="DN38" s="77"/>
      <c r="DO38" s="77"/>
      <c r="DP38" s="77"/>
    </row>
    <row r="39" spans="1:120" ht="13.5" customHeight="1" x14ac:dyDescent="0.75">
      <c r="A39" s="68"/>
      <c r="B39" s="67" t="s">
        <v>282</v>
      </c>
      <c r="C39" s="66" t="s">
        <v>283</v>
      </c>
      <c r="D39" s="87">
        <v>588</v>
      </c>
      <c r="E39" s="87">
        <v>8</v>
      </c>
      <c r="F39" s="87">
        <v>8</v>
      </c>
      <c r="G39" s="87">
        <v>9</v>
      </c>
      <c r="H39" s="87">
        <v>9</v>
      </c>
      <c r="I39" s="87">
        <v>11</v>
      </c>
      <c r="J39" s="87">
        <v>13</v>
      </c>
      <c r="K39" s="87">
        <v>14</v>
      </c>
      <c r="L39" s="87">
        <v>14</v>
      </c>
      <c r="M39" s="87">
        <v>15</v>
      </c>
      <c r="N39" s="87">
        <v>17</v>
      </c>
      <c r="O39" s="87">
        <v>18</v>
      </c>
      <c r="P39" s="87">
        <v>21</v>
      </c>
      <c r="Q39" s="87">
        <v>21</v>
      </c>
      <c r="R39" s="87">
        <v>20</v>
      </c>
      <c r="S39" s="87">
        <v>23</v>
      </c>
      <c r="T39" s="87">
        <v>23</v>
      </c>
      <c r="U39" s="87">
        <v>21</v>
      </c>
      <c r="V39" s="87">
        <v>22</v>
      </c>
      <c r="W39" s="87">
        <v>23</v>
      </c>
      <c r="X39" s="87">
        <v>24</v>
      </c>
      <c r="Y39" s="87">
        <v>23</v>
      </c>
      <c r="Z39" s="87">
        <v>24</v>
      </c>
      <c r="AA39" s="87">
        <v>24</v>
      </c>
      <c r="AB39" s="87">
        <v>25</v>
      </c>
      <c r="AC39" s="87">
        <v>27</v>
      </c>
      <c r="AD39" s="87">
        <v>27</v>
      </c>
      <c r="AE39" s="87">
        <v>26</v>
      </c>
      <c r="AF39" s="87">
        <v>27</v>
      </c>
      <c r="AG39" s="87">
        <v>26</v>
      </c>
      <c r="AH39" s="87">
        <v>31</v>
      </c>
      <c r="AI39" s="87">
        <v>28</v>
      </c>
      <c r="AJ39" s="87">
        <v>32</v>
      </c>
      <c r="AK39" s="87">
        <v>27</v>
      </c>
      <c r="AL39" s="87">
        <v>29</v>
      </c>
      <c r="AM39" s="87">
        <v>27</v>
      </c>
      <c r="AN39" s="87">
        <v>27</v>
      </c>
      <c r="AO39" s="87">
        <v>32</v>
      </c>
      <c r="AP39" s="87">
        <v>33</v>
      </c>
      <c r="AQ39" s="87">
        <v>30</v>
      </c>
      <c r="AR39" s="87">
        <v>33</v>
      </c>
      <c r="AS39" s="87">
        <v>33</v>
      </c>
      <c r="AT39" s="87">
        <v>37</v>
      </c>
      <c r="AU39" s="87">
        <v>36</v>
      </c>
      <c r="AV39" s="87">
        <v>38</v>
      </c>
      <c r="AW39" s="87">
        <v>38</v>
      </c>
      <c r="AX39" s="87">
        <v>41</v>
      </c>
      <c r="AY39" s="87">
        <v>41</v>
      </c>
      <c r="AZ39" s="87">
        <v>44</v>
      </c>
      <c r="BA39" s="87">
        <v>45</v>
      </c>
      <c r="BB39" s="87">
        <v>48</v>
      </c>
      <c r="BC39" s="87">
        <v>49</v>
      </c>
      <c r="BD39" s="87">
        <v>52</v>
      </c>
      <c r="BE39" s="87">
        <v>54</v>
      </c>
      <c r="BF39" s="87">
        <v>58</v>
      </c>
      <c r="BG39" s="87">
        <v>58</v>
      </c>
      <c r="BH39" s="87">
        <v>63</v>
      </c>
      <c r="BI39" s="87">
        <v>62</v>
      </c>
      <c r="BJ39" s="87">
        <v>64</v>
      </c>
      <c r="BK39" s="87">
        <v>68</v>
      </c>
      <c r="BL39" s="87">
        <v>73</v>
      </c>
      <c r="BM39" s="87">
        <v>75</v>
      </c>
      <c r="BN39" s="87">
        <v>81</v>
      </c>
      <c r="BO39" s="87">
        <v>82</v>
      </c>
      <c r="BP39" s="87">
        <v>88</v>
      </c>
      <c r="BQ39" s="87">
        <v>90</v>
      </c>
      <c r="BR39" s="87">
        <v>99</v>
      </c>
      <c r="BS39" s="87">
        <v>102</v>
      </c>
      <c r="BT39" s="87">
        <v>111</v>
      </c>
      <c r="BU39" s="87">
        <v>114</v>
      </c>
      <c r="BV39" s="87">
        <v>126</v>
      </c>
      <c r="BW39" s="87">
        <v>134</v>
      </c>
      <c r="BX39" s="87">
        <v>139</v>
      </c>
      <c r="BY39" s="87">
        <v>134</v>
      </c>
      <c r="BZ39" s="87">
        <v>146</v>
      </c>
      <c r="CA39" s="87">
        <v>146</v>
      </c>
      <c r="CB39" s="87">
        <v>162</v>
      </c>
      <c r="CC39" s="87">
        <v>167</v>
      </c>
      <c r="CD39" s="87">
        <v>178</v>
      </c>
      <c r="CE39" s="87">
        <v>187</v>
      </c>
      <c r="CF39" s="68"/>
      <c r="CG39" s="77"/>
      <c r="CH39" s="77"/>
      <c r="CI39" s="77"/>
      <c r="CJ39" s="77"/>
      <c r="CK39" s="77"/>
      <c r="CL39" s="77"/>
      <c r="CM39" s="77"/>
      <c r="CN39" s="77"/>
      <c r="CO39" s="77"/>
      <c r="CP39" s="77"/>
      <c r="CQ39" s="77"/>
      <c r="CR39" s="77"/>
      <c r="CS39" s="77"/>
      <c r="CT39" s="77"/>
      <c r="CU39" s="77"/>
      <c r="CV39" s="77"/>
      <c r="CW39" s="77"/>
      <c r="CX39" s="77"/>
      <c r="CY39" s="77"/>
      <c r="CZ39" s="77"/>
      <c r="DA39" s="77"/>
      <c r="DB39" s="77"/>
      <c r="DC39" s="77"/>
      <c r="DD39" s="77"/>
      <c r="DE39" s="77"/>
      <c r="DF39" s="77"/>
      <c r="DG39" s="77"/>
      <c r="DH39" s="77"/>
      <c r="DI39" s="77"/>
      <c r="DJ39" s="77"/>
      <c r="DK39" s="77"/>
      <c r="DL39" s="77"/>
      <c r="DM39" s="77"/>
      <c r="DN39" s="77"/>
      <c r="DO39" s="77"/>
      <c r="DP39" s="77"/>
    </row>
    <row r="40" spans="1:120" ht="13.5" customHeight="1" x14ac:dyDescent="0.75">
      <c r="A40" s="68"/>
      <c r="B40" s="67" t="s">
        <v>284</v>
      </c>
      <c r="C40" s="66" t="s">
        <v>285</v>
      </c>
      <c r="D40" s="87">
        <v>840</v>
      </c>
      <c r="E40" s="87">
        <v>11</v>
      </c>
      <c r="F40" s="87">
        <v>11</v>
      </c>
      <c r="G40" s="87">
        <v>12</v>
      </c>
      <c r="H40" s="87">
        <v>12</v>
      </c>
      <c r="I40" s="87">
        <v>14</v>
      </c>
      <c r="J40" s="87">
        <v>18</v>
      </c>
      <c r="K40" s="87">
        <v>19</v>
      </c>
      <c r="L40" s="87">
        <v>19</v>
      </c>
      <c r="M40" s="87">
        <v>20</v>
      </c>
      <c r="N40" s="87">
        <v>23</v>
      </c>
      <c r="O40" s="87">
        <v>24</v>
      </c>
      <c r="P40" s="87">
        <v>29</v>
      </c>
      <c r="Q40" s="87">
        <v>28</v>
      </c>
      <c r="R40" s="87">
        <v>27</v>
      </c>
      <c r="S40" s="87">
        <v>30</v>
      </c>
      <c r="T40" s="87">
        <v>31</v>
      </c>
      <c r="U40" s="87">
        <v>29</v>
      </c>
      <c r="V40" s="87">
        <v>30</v>
      </c>
      <c r="W40" s="87">
        <v>31</v>
      </c>
      <c r="X40" s="87">
        <v>32</v>
      </c>
      <c r="Y40" s="87">
        <v>30</v>
      </c>
      <c r="Z40" s="87">
        <v>31</v>
      </c>
      <c r="AA40" s="87">
        <v>33</v>
      </c>
      <c r="AB40" s="87">
        <v>34</v>
      </c>
      <c r="AC40" s="87">
        <v>35</v>
      </c>
      <c r="AD40" s="87">
        <v>36</v>
      </c>
      <c r="AE40" s="87">
        <v>37</v>
      </c>
      <c r="AF40" s="87">
        <v>37</v>
      </c>
      <c r="AG40" s="87">
        <v>38</v>
      </c>
      <c r="AH40" s="87">
        <v>39</v>
      </c>
      <c r="AI40" s="87">
        <v>37</v>
      </c>
      <c r="AJ40" s="87">
        <v>43</v>
      </c>
      <c r="AK40" s="87">
        <v>44</v>
      </c>
      <c r="AL40" s="87">
        <v>45</v>
      </c>
      <c r="AM40" s="87">
        <v>45</v>
      </c>
      <c r="AN40" s="87">
        <v>49</v>
      </c>
      <c r="AO40" s="87">
        <v>47</v>
      </c>
      <c r="AP40" s="87">
        <v>52</v>
      </c>
      <c r="AQ40" s="87">
        <v>57</v>
      </c>
      <c r="AR40" s="87">
        <v>62</v>
      </c>
      <c r="AS40" s="87">
        <v>61</v>
      </c>
      <c r="AT40" s="87">
        <v>62</v>
      </c>
      <c r="AU40" s="87">
        <v>64</v>
      </c>
      <c r="AV40" s="87">
        <v>65</v>
      </c>
      <c r="AW40" s="87">
        <v>66</v>
      </c>
      <c r="AX40" s="87">
        <v>68</v>
      </c>
      <c r="AY40" s="87">
        <v>70</v>
      </c>
      <c r="AZ40" s="87">
        <v>72</v>
      </c>
      <c r="BA40" s="87">
        <v>75</v>
      </c>
      <c r="BB40" s="87">
        <v>77</v>
      </c>
      <c r="BC40" s="87">
        <v>82</v>
      </c>
      <c r="BD40" s="87">
        <v>79</v>
      </c>
      <c r="BE40" s="87">
        <v>77</v>
      </c>
      <c r="BF40" s="87">
        <v>82</v>
      </c>
      <c r="BG40" s="87">
        <v>96</v>
      </c>
      <c r="BH40" s="87">
        <v>105</v>
      </c>
      <c r="BI40" s="87">
        <v>99</v>
      </c>
      <c r="BJ40" s="87">
        <v>89</v>
      </c>
      <c r="BK40" s="87">
        <v>102</v>
      </c>
      <c r="BL40" s="87">
        <v>99</v>
      </c>
      <c r="BM40" s="87">
        <v>99</v>
      </c>
      <c r="BN40" s="87">
        <v>113</v>
      </c>
      <c r="BO40" s="87">
        <v>115</v>
      </c>
      <c r="BP40" s="87">
        <v>118</v>
      </c>
      <c r="BQ40" s="87">
        <v>119</v>
      </c>
      <c r="BR40" s="87">
        <v>129</v>
      </c>
      <c r="BS40" s="87">
        <v>152</v>
      </c>
      <c r="BT40" s="87">
        <v>153</v>
      </c>
      <c r="BU40" s="87">
        <v>158</v>
      </c>
      <c r="BV40" s="87">
        <v>159</v>
      </c>
      <c r="BW40" s="87">
        <v>185</v>
      </c>
      <c r="BX40" s="87">
        <v>195</v>
      </c>
      <c r="BY40" s="87">
        <v>172</v>
      </c>
      <c r="BZ40" s="87">
        <v>215</v>
      </c>
      <c r="CA40" s="87">
        <v>233</v>
      </c>
      <c r="CB40" s="87">
        <v>220</v>
      </c>
      <c r="CC40" s="87">
        <v>190</v>
      </c>
      <c r="CD40" s="87">
        <v>245</v>
      </c>
      <c r="CE40" s="87">
        <v>266</v>
      </c>
      <c r="CF40" s="68"/>
      <c r="CG40" s="77"/>
      <c r="CH40" s="77"/>
      <c r="CI40" s="77"/>
      <c r="CJ40" s="77"/>
      <c r="CK40" s="77"/>
      <c r="CL40" s="77"/>
      <c r="CM40" s="77"/>
      <c r="CN40" s="77"/>
      <c r="CO40" s="77"/>
      <c r="CP40" s="77"/>
      <c r="CQ40" s="77"/>
      <c r="CR40" s="77"/>
      <c r="CS40" s="77"/>
      <c r="CT40" s="77"/>
      <c r="CU40" s="77"/>
      <c r="CV40" s="77"/>
      <c r="CW40" s="77"/>
      <c r="CX40" s="77"/>
      <c r="CY40" s="77"/>
      <c r="CZ40" s="77"/>
      <c r="DA40" s="77"/>
      <c r="DB40" s="77"/>
      <c r="DC40" s="77"/>
      <c r="DD40" s="77"/>
      <c r="DE40" s="77"/>
      <c r="DF40" s="77"/>
      <c r="DG40" s="77"/>
      <c r="DH40" s="77"/>
      <c r="DI40" s="77"/>
      <c r="DJ40" s="77"/>
      <c r="DK40" s="77"/>
      <c r="DL40" s="77"/>
      <c r="DM40" s="77"/>
      <c r="DN40" s="77"/>
      <c r="DO40" s="77"/>
      <c r="DP40" s="77"/>
    </row>
    <row r="41" spans="1:120" ht="13.5" customHeight="1" x14ac:dyDescent="0.75">
      <c r="A41" s="68"/>
      <c r="B41" s="67" t="s">
        <v>286</v>
      </c>
      <c r="C41" s="66" t="s">
        <v>287</v>
      </c>
      <c r="D41" s="87">
        <v>826</v>
      </c>
      <c r="E41" s="87">
        <v>21</v>
      </c>
      <c r="F41" s="87">
        <v>24</v>
      </c>
      <c r="G41" s="87">
        <v>26</v>
      </c>
      <c r="H41" s="87">
        <v>26</v>
      </c>
      <c r="I41" s="87">
        <v>28</v>
      </c>
      <c r="J41" s="87">
        <v>27</v>
      </c>
      <c r="K41" s="87">
        <v>27</v>
      </c>
      <c r="L41" s="87">
        <v>28</v>
      </c>
      <c r="M41" s="87">
        <v>30</v>
      </c>
      <c r="N41" s="87">
        <v>31</v>
      </c>
      <c r="O41" s="87">
        <v>33</v>
      </c>
      <c r="P41" s="87">
        <v>33</v>
      </c>
      <c r="Q41" s="87">
        <v>36</v>
      </c>
      <c r="R41" s="87">
        <v>37</v>
      </c>
      <c r="S41" s="87">
        <v>37</v>
      </c>
      <c r="T41" s="87">
        <v>37</v>
      </c>
      <c r="U41" s="87">
        <v>40</v>
      </c>
      <c r="V41" s="87">
        <v>44</v>
      </c>
      <c r="W41" s="87">
        <v>44</v>
      </c>
      <c r="X41" s="87">
        <v>47</v>
      </c>
      <c r="Y41" s="87">
        <v>43</v>
      </c>
      <c r="Z41" s="87">
        <v>44</v>
      </c>
      <c r="AA41" s="87">
        <v>60</v>
      </c>
      <c r="AB41" s="87">
        <v>63</v>
      </c>
      <c r="AC41" s="87">
        <v>65</v>
      </c>
      <c r="AD41" s="87">
        <v>58</v>
      </c>
      <c r="AE41" s="87">
        <v>69</v>
      </c>
      <c r="AF41" s="87">
        <v>75</v>
      </c>
      <c r="AG41" s="87">
        <v>72</v>
      </c>
      <c r="AH41" s="87">
        <v>71</v>
      </c>
      <c r="AI41" s="87">
        <v>76</v>
      </c>
      <c r="AJ41" s="87">
        <v>84</v>
      </c>
      <c r="AK41" s="87">
        <v>79</v>
      </c>
      <c r="AL41" s="87">
        <v>79</v>
      </c>
      <c r="AM41" s="87">
        <v>88</v>
      </c>
      <c r="AN41" s="87">
        <v>86</v>
      </c>
      <c r="AO41" s="87">
        <v>89</v>
      </c>
      <c r="AP41" s="87">
        <v>83</v>
      </c>
      <c r="AQ41" s="87">
        <v>91</v>
      </c>
      <c r="AR41" s="87">
        <v>96</v>
      </c>
      <c r="AS41" s="87">
        <v>101</v>
      </c>
      <c r="AT41" s="87">
        <v>97</v>
      </c>
      <c r="AU41" s="87">
        <v>109</v>
      </c>
      <c r="AV41" s="87">
        <v>111</v>
      </c>
      <c r="AW41" s="87">
        <v>105</v>
      </c>
      <c r="AX41" s="87">
        <v>110</v>
      </c>
      <c r="AY41" s="87">
        <v>127</v>
      </c>
      <c r="AZ41" s="87">
        <v>104</v>
      </c>
      <c r="BA41" s="87">
        <v>116</v>
      </c>
      <c r="BB41" s="87">
        <v>114</v>
      </c>
      <c r="BC41" s="87">
        <v>122</v>
      </c>
      <c r="BD41" s="87">
        <v>123</v>
      </c>
      <c r="BE41" s="87">
        <v>113</v>
      </c>
      <c r="BF41" s="87">
        <v>121</v>
      </c>
      <c r="BG41" s="87">
        <v>132</v>
      </c>
      <c r="BH41" s="87">
        <v>125</v>
      </c>
      <c r="BI41" s="87">
        <v>124</v>
      </c>
      <c r="BJ41" s="87">
        <v>120</v>
      </c>
      <c r="BK41" s="87">
        <v>141</v>
      </c>
      <c r="BL41" s="87">
        <v>125</v>
      </c>
      <c r="BM41" s="87">
        <v>122</v>
      </c>
      <c r="BN41" s="87">
        <v>127</v>
      </c>
      <c r="BO41" s="87">
        <v>138</v>
      </c>
      <c r="BP41" s="87">
        <v>132</v>
      </c>
      <c r="BQ41" s="87">
        <v>140</v>
      </c>
      <c r="BR41" s="87">
        <v>134</v>
      </c>
      <c r="BS41" s="87">
        <v>180</v>
      </c>
      <c r="BT41" s="87">
        <v>161</v>
      </c>
      <c r="BU41" s="87">
        <v>170</v>
      </c>
      <c r="BV41" s="87">
        <v>172</v>
      </c>
      <c r="BW41" s="87">
        <v>195</v>
      </c>
      <c r="BX41" s="87">
        <v>190</v>
      </c>
      <c r="BY41" s="87">
        <v>176</v>
      </c>
      <c r="BZ41" s="87">
        <v>180</v>
      </c>
      <c r="CA41" s="87">
        <v>226</v>
      </c>
      <c r="CB41" s="87">
        <v>244</v>
      </c>
      <c r="CC41" s="87">
        <v>212</v>
      </c>
      <c r="CD41" s="87">
        <v>222</v>
      </c>
      <c r="CE41" s="87">
        <v>250</v>
      </c>
      <c r="CF41" s="68"/>
      <c r="CG41" s="77"/>
      <c r="CH41" s="77"/>
      <c r="CI41" s="77"/>
      <c r="CJ41" s="77"/>
      <c r="CK41" s="77"/>
      <c r="CL41" s="77"/>
      <c r="CM41" s="77"/>
      <c r="CN41" s="77"/>
      <c r="CO41" s="77"/>
      <c r="CP41" s="77"/>
      <c r="CQ41" s="77"/>
      <c r="CR41" s="77"/>
      <c r="CS41" s="77"/>
      <c r="CT41" s="77"/>
      <c r="CU41" s="77"/>
      <c r="CV41" s="77"/>
      <c r="CW41" s="77"/>
      <c r="CX41" s="77"/>
      <c r="CY41" s="77"/>
      <c r="CZ41" s="77"/>
      <c r="DA41" s="77"/>
      <c r="DB41" s="77"/>
      <c r="DC41" s="77"/>
      <c r="DD41" s="77"/>
      <c r="DE41" s="77"/>
      <c r="DF41" s="77"/>
      <c r="DG41" s="77"/>
      <c r="DH41" s="77"/>
      <c r="DI41" s="77"/>
      <c r="DJ41" s="77"/>
      <c r="DK41" s="77"/>
      <c r="DL41" s="77"/>
      <c r="DM41" s="77"/>
      <c r="DN41" s="77"/>
      <c r="DO41" s="77"/>
      <c r="DP41" s="77"/>
    </row>
    <row r="42" spans="1:120" ht="13.5" customHeight="1" x14ac:dyDescent="0.75">
      <c r="A42" s="68"/>
      <c r="B42" s="67" t="s">
        <v>288</v>
      </c>
      <c r="C42" s="66" t="s">
        <v>289</v>
      </c>
      <c r="D42" s="87">
        <v>676</v>
      </c>
      <c r="E42" s="87">
        <v>10</v>
      </c>
      <c r="F42" s="87">
        <v>10</v>
      </c>
      <c r="G42" s="87">
        <v>10</v>
      </c>
      <c r="H42" s="87">
        <v>10</v>
      </c>
      <c r="I42" s="87">
        <v>12</v>
      </c>
      <c r="J42" s="87">
        <v>13</v>
      </c>
      <c r="K42" s="87">
        <v>13</v>
      </c>
      <c r="L42" s="87">
        <v>12</v>
      </c>
      <c r="M42" s="87">
        <v>15</v>
      </c>
      <c r="N42" s="87">
        <v>15</v>
      </c>
      <c r="O42" s="87">
        <v>15</v>
      </c>
      <c r="P42" s="87">
        <v>15</v>
      </c>
      <c r="Q42" s="87">
        <v>18</v>
      </c>
      <c r="R42" s="87">
        <v>18</v>
      </c>
      <c r="S42" s="87">
        <v>19</v>
      </c>
      <c r="T42" s="87">
        <v>19</v>
      </c>
      <c r="U42" s="87">
        <v>22</v>
      </c>
      <c r="V42" s="87">
        <v>23</v>
      </c>
      <c r="W42" s="87">
        <v>23</v>
      </c>
      <c r="X42" s="87">
        <v>22</v>
      </c>
      <c r="Y42" s="87">
        <v>25</v>
      </c>
      <c r="Z42" s="87">
        <v>30</v>
      </c>
      <c r="AA42" s="87">
        <v>29</v>
      </c>
      <c r="AB42" s="87">
        <v>29</v>
      </c>
      <c r="AC42" s="87">
        <v>29</v>
      </c>
      <c r="AD42" s="87">
        <v>39</v>
      </c>
      <c r="AE42" s="87">
        <v>34</v>
      </c>
      <c r="AF42" s="87">
        <v>36</v>
      </c>
      <c r="AG42" s="87">
        <v>46</v>
      </c>
      <c r="AH42" s="87">
        <v>46</v>
      </c>
      <c r="AI42" s="87">
        <v>46</v>
      </c>
      <c r="AJ42" s="87">
        <v>47</v>
      </c>
      <c r="AK42" s="87">
        <v>51</v>
      </c>
      <c r="AL42" s="87">
        <v>51</v>
      </c>
      <c r="AM42" s="87">
        <v>51</v>
      </c>
      <c r="AN42" s="87">
        <v>51</v>
      </c>
      <c r="AO42" s="87">
        <v>52</v>
      </c>
      <c r="AP42" s="87">
        <v>52</v>
      </c>
      <c r="AQ42" s="87">
        <v>52</v>
      </c>
      <c r="AR42" s="87">
        <v>52</v>
      </c>
      <c r="AS42" s="87">
        <v>50</v>
      </c>
      <c r="AT42" s="87">
        <v>60</v>
      </c>
      <c r="AU42" s="87">
        <v>54</v>
      </c>
      <c r="AV42" s="87">
        <v>55</v>
      </c>
      <c r="AW42" s="87">
        <v>48</v>
      </c>
      <c r="AX42" s="87">
        <v>64</v>
      </c>
      <c r="AY42" s="87">
        <v>60</v>
      </c>
      <c r="AZ42" s="87">
        <v>58</v>
      </c>
      <c r="BA42" s="87">
        <v>56</v>
      </c>
      <c r="BB42" s="87">
        <v>59</v>
      </c>
      <c r="BC42" s="87">
        <v>58</v>
      </c>
      <c r="BD42" s="87">
        <v>63</v>
      </c>
      <c r="BE42" s="87">
        <v>66</v>
      </c>
      <c r="BF42" s="87">
        <v>70</v>
      </c>
      <c r="BG42" s="87">
        <v>61</v>
      </c>
      <c r="BH42" s="87">
        <v>53</v>
      </c>
      <c r="BI42" s="87">
        <v>44</v>
      </c>
      <c r="BJ42" s="87">
        <v>39</v>
      </c>
      <c r="BK42" s="87">
        <v>34</v>
      </c>
      <c r="BL42" s="87">
        <v>42</v>
      </c>
      <c r="BM42" s="87">
        <v>58</v>
      </c>
      <c r="BN42" s="87">
        <v>77</v>
      </c>
      <c r="BO42" s="87">
        <v>84</v>
      </c>
      <c r="BP42" s="87">
        <v>89</v>
      </c>
      <c r="BQ42" s="87">
        <v>100</v>
      </c>
      <c r="BR42" s="87">
        <v>99</v>
      </c>
      <c r="BS42" s="87">
        <v>119</v>
      </c>
      <c r="BT42" s="87">
        <v>143</v>
      </c>
      <c r="BU42" s="87">
        <v>152</v>
      </c>
      <c r="BV42" s="87">
        <v>163</v>
      </c>
      <c r="BW42" s="87">
        <v>163</v>
      </c>
      <c r="BX42" s="87">
        <v>165</v>
      </c>
      <c r="BY42" s="87">
        <v>170</v>
      </c>
      <c r="BZ42" s="87">
        <v>169</v>
      </c>
      <c r="CA42" s="87">
        <v>166</v>
      </c>
      <c r="CB42" s="87">
        <v>172</v>
      </c>
      <c r="CC42" s="87">
        <v>184</v>
      </c>
      <c r="CD42" s="87">
        <v>183</v>
      </c>
      <c r="CE42" s="87">
        <v>183</v>
      </c>
      <c r="CF42" s="68"/>
      <c r="CG42" s="77"/>
      <c r="CH42" s="77"/>
      <c r="CI42" s="77"/>
      <c r="CJ42" s="77"/>
      <c r="CK42" s="77"/>
      <c r="CL42" s="77"/>
      <c r="CM42" s="77"/>
      <c r="CN42" s="77"/>
      <c r="CO42" s="77"/>
      <c r="CP42" s="77"/>
      <c r="CQ42" s="77"/>
      <c r="CR42" s="77"/>
      <c r="CS42" s="77"/>
      <c r="CT42" s="77"/>
      <c r="CU42" s="77"/>
      <c r="CV42" s="77"/>
      <c r="CW42" s="77"/>
      <c r="CX42" s="77"/>
      <c r="CY42" s="77"/>
      <c r="CZ42" s="77"/>
      <c r="DA42" s="77"/>
      <c r="DB42" s="77"/>
      <c r="DC42" s="77"/>
      <c r="DD42" s="77"/>
      <c r="DE42" s="77"/>
      <c r="DF42" s="77"/>
      <c r="DG42" s="77"/>
      <c r="DH42" s="77"/>
      <c r="DI42" s="77"/>
      <c r="DJ42" s="77"/>
      <c r="DK42" s="77"/>
      <c r="DL42" s="77"/>
      <c r="DM42" s="77"/>
      <c r="DN42" s="77"/>
      <c r="DO42" s="77"/>
      <c r="DP42" s="77"/>
    </row>
    <row r="43" spans="1:120" ht="13.5" customHeight="1" x14ac:dyDescent="0.75">
      <c r="A43" s="68"/>
      <c r="B43" s="67" t="s">
        <v>290</v>
      </c>
      <c r="C43" s="66" t="s">
        <v>291</v>
      </c>
      <c r="D43" s="87">
        <v>249</v>
      </c>
      <c r="E43" s="87">
        <v>8</v>
      </c>
      <c r="F43" s="87">
        <v>8</v>
      </c>
      <c r="G43" s="87">
        <v>8</v>
      </c>
      <c r="H43" s="87">
        <v>8</v>
      </c>
      <c r="I43" s="87">
        <v>10</v>
      </c>
      <c r="J43" s="87">
        <v>11</v>
      </c>
      <c r="K43" s="87">
        <v>11</v>
      </c>
      <c r="L43" s="87">
        <v>11</v>
      </c>
      <c r="M43" s="87">
        <v>12</v>
      </c>
      <c r="N43" s="87">
        <v>13</v>
      </c>
      <c r="O43" s="87">
        <v>14</v>
      </c>
      <c r="P43" s="87">
        <v>14</v>
      </c>
      <c r="Q43" s="87">
        <v>15</v>
      </c>
      <c r="R43" s="87">
        <v>16</v>
      </c>
      <c r="S43" s="87">
        <v>17</v>
      </c>
      <c r="T43" s="87">
        <v>16</v>
      </c>
      <c r="U43" s="87">
        <v>19</v>
      </c>
      <c r="V43" s="87">
        <v>18</v>
      </c>
      <c r="W43" s="87">
        <v>19</v>
      </c>
      <c r="X43" s="87">
        <v>20</v>
      </c>
      <c r="Y43" s="87">
        <v>19</v>
      </c>
      <c r="Z43" s="87">
        <v>17</v>
      </c>
      <c r="AA43" s="87">
        <v>21</v>
      </c>
      <c r="AB43" s="87">
        <v>22</v>
      </c>
      <c r="AC43" s="87">
        <v>23</v>
      </c>
      <c r="AD43" s="87">
        <v>26</v>
      </c>
      <c r="AE43" s="87">
        <v>25</v>
      </c>
      <c r="AF43" s="87">
        <v>26</v>
      </c>
      <c r="AG43" s="87">
        <v>28</v>
      </c>
      <c r="AH43" s="87">
        <v>29</v>
      </c>
      <c r="AI43" s="87">
        <v>29</v>
      </c>
      <c r="AJ43" s="87">
        <v>29</v>
      </c>
      <c r="AK43" s="87">
        <v>32</v>
      </c>
      <c r="AL43" s="87">
        <v>33</v>
      </c>
      <c r="AM43" s="87">
        <v>32</v>
      </c>
      <c r="AN43" s="87">
        <v>33</v>
      </c>
      <c r="AO43" s="87">
        <v>34</v>
      </c>
      <c r="AP43" s="87">
        <v>33</v>
      </c>
      <c r="AQ43" s="87">
        <v>34</v>
      </c>
      <c r="AR43" s="87">
        <v>33</v>
      </c>
      <c r="AS43" s="87">
        <v>36</v>
      </c>
      <c r="AT43" s="87">
        <v>38</v>
      </c>
      <c r="AU43" s="87">
        <v>29</v>
      </c>
      <c r="AV43" s="87">
        <v>34</v>
      </c>
      <c r="AW43" s="87">
        <v>39</v>
      </c>
      <c r="AX43" s="87">
        <v>44</v>
      </c>
      <c r="AY43" s="87">
        <v>36</v>
      </c>
      <c r="AZ43" s="87">
        <v>41</v>
      </c>
      <c r="BA43" s="87">
        <v>40</v>
      </c>
      <c r="BB43" s="87">
        <v>46</v>
      </c>
      <c r="BC43" s="87">
        <v>37</v>
      </c>
      <c r="BD43" s="87">
        <v>40</v>
      </c>
      <c r="BE43" s="87">
        <v>41</v>
      </c>
      <c r="BF43" s="87">
        <v>42</v>
      </c>
      <c r="BG43" s="87">
        <v>45</v>
      </c>
      <c r="BH43" s="87">
        <v>47</v>
      </c>
      <c r="BI43" s="87">
        <v>49</v>
      </c>
      <c r="BJ43" s="87">
        <v>52</v>
      </c>
      <c r="BK43" s="87">
        <v>57</v>
      </c>
      <c r="BL43" s="87">
        <v>61</v>
      </c>
      <c r="BM43" s="87">
        <v>59</v>
      </c>
      <c r="BN43" s="87">
        <v>62</v>
      </c>
      <c r="BO43" s="87">
        <v>59</v>
      </c>
      <c r="BP43" s="87">
        <v>63</v>
      </c>
      <c r="BQ43" s="87">
        <v>61</v>
      </c>
      <c r="BR43" s="87">
        <v>60</v>
      </c>
      <c r="BS43" s="87">
        <v>62</v>
      </c>
      <c r="BT43" s="87">
        <v>62</v>
      </c>
      <c r="BU43" s="87">
        <v>57</v>
      </c>
      <c r="BV43" s="87">
        <v>57</v>
      </c>
      <c r="BW43" s="87">
        <v>52</v>
      </c>
      <c r="BX43" s="87">
        <v>52</v>
      </c>
      <c r="BY43" s="87">
        <v>55</v>
      </c>
      <c r="BZ43" s="87">
        <v>61</v>
      </c>
      <c r="CA43" s="87">
        <v>60</v>
      </c>
      <c r="CB43" s="87">
        <v>73</v>
      </c>
      <c r="CC43" s="87">
        <v>67</v>
      </c>
      <c r="CD43" s="87">
        <v>70</v>
      </c>
      <c r="CE43" s="87">
        <v>84</v>
      </c>
      <c r="CF43" s="68"/>
      <c r="CG43" s="77"/>
      <c r="CH43" s="77"/>
      <c r="CI43" s="77"/>
      <c r="CJ43" s="77"/>
      <c r="CK43" s="77"/>
      <c r="CL43" s="77"/>
      <c r="CM43" s="77"/>
      <c r="CN43" s="77"/>
      <c r="CO43" s="77"/>
      <c r="CP43" s="77"/>
      <c r="CQ43" s="77"/>
      <c r="CR43" s="77"/>
      <c r="CS43" s="77"/>
      <c r="CT43" s="77"/>
      <c r="CU43" s="77"/>
      <c r="CV43" s="77"/>
      <c r="CW43" s="77"/>
      <c r="CX43" s="77"/>
      <c r="CY43" s="77"/>
      <c r="CZ43" s="77"/>
      <c r="DA43" s="77"/>
      <c r="DB43" s="77"/>
      <c r="DC43" s="77"/>
      <c r="DD43" s="77"/>
      <c r="DE43" s="77"/>
      <c r="DF43" s="77"/>
      <c r="DG43" s="77"/>
      <c r="DH43" s="77"/>
      <c r="DI43" s="77"/>
      <c r="DJ43" s="77"/>
      <c r="DK43" s="77"/>
      <c r="DL43" s="77"/>
      <c r="DM43" s="77"/>
      <c r="DN43" s="77"/>
      <c r="DO43" s="77"/>
      <c r="DP43" s="77"/>
    </row>
    <row r="44" spans="1:120" ht="13.5" customHeight="1" x14ac:dyDescent="0.75">
      <c r="A44" s="68"/>
      <c r="B44" s="67" t="s">
        <v>292</v>
      </c>
      <c r="C44" s="66" t="s">
        <v>293</v>
      </c>
      <c r="D44" s="87">
        <v>640</v>
      </c>
      <c r="E44" s="87">
        <v>26</v>
      </c>
      <c r="F44" s="87">
        <v>28</v>
      </c>
      <c r="G44" s="87">
        <v>28</v>
      </c>
      <c r="H44" s="87">
        <v>29</v>
      </c>
      <c r="I44" s="87">
        <v>32</v>
      </c>
      <c r="J44" s="87">
        <v>32</v>
      </c>
      <c r="K44" s="87">
        <v>33</v>
      </c>
      <c r="L44" s="87">
        <v>33</v>
      </c>
      <c r="M44" s="87">
        <v>35</v>
      </c>
      <c r="N44" s="87">
        <v>35</v>
      </c>
      <c r="O44" s="87">
        <v>38</v>
      </c>
      <c r="P44" s="87">
        <v>38</v>
      </c>
      <c r="Q44" s="87">
        <v>36</v>
      </c>
      <c r="R44" s="87">
        <v>36</v>
      </c>
      <c r="S44" s="87">
        <v>38</v>
      </c>
      <c r="T44" s="87">
        <v>39</v>
      </c>
      <c r="U44" s="87">
        <v>40</v>
      </c>
      <c r="V44" s="87">
        <v>39</v>
      </c>
      <c r="W44" s="87">
        <v>41</v>
      </c>
      <c r="X44" s="87">
        <v>41</v>
      </c>
      <c r="Y44" s="87">
        <v>43</v>
      </c>
      <c r="Z44" s="87">
        <v>41</v>
      </c>
      <c r="AA44" s="87">
        <v>42</v>
      </c>
      <c r="AB44" s="87">
        <v>44</v>
      </c>
      <c r="AC44" s="87">
        <v>46</v>
      </c>
      <c r="AD44" s="87">
        <v>47</v>
      </c>
      <c r="AE44" s="87">
        <v>50</v>
      </c>
      <c r="AF44" s="87">
        <v>52</v>
      </c>
      <c r="AG44" s="87">
        <v>54</v>
      </c>
      <c r="AH44" s="87">
        <v>58</v>
      </c>
      <c r="AI44" s="87">
        <v>56</v>
      </c>
      <c r="AJ44" s="87">
        <v>59</v>
      </c>
      <c r="AK44" s="87">
        <v>62</v>
      </c>
      <c r="AL44" s="87">
        <v>68</v>
      </c>
      <c r="AM44" s="87">
        <v>72</v>
      </c>
      <c r="AN44" s="87">
        <v>69</v>
      </c>
      <c r="AO44" s="87">
        <v>77</v>
      </c>
      <c r="AP44" s="87">
        <v>84</v>
      </c>
      <c r="AQ44" s="87">
        <v>84</v>
      </c>
      <c r="AR44" s="87">
        <v>85</v>
      </c>
      <c r="AS44" s="87">
        <v>88</v>
      </c>
      <c r="AT44" s="87">
        <v>89</v>
      </c>
      <c r="AU44" s="87">
        <v>92</v>
      </c>
      <c r="AV44" s="87">
        <v>93</v>
      </c>
      <c r="AW44" s="87">
        <v>94</v>
      </c>
      <c r="AX44" s="87">
        <v>96</v>
      </c>
      <c r="AY44" s="87">
        <v>99</v>
      </c>
      <c r="AZ44" s="87">
        <v>101</v>
      </c>
      <c r="BA44" s="87">
        <v>102</v>
      </c>
      <c r="BB44" s="87">
        <v>104</v>
      </c>
      <c r="BC44" s="87">
        <v>104</v>
      </c>
      <c r="BD44" s="87">
        <v>111</v>
      </c>
      <c r="BE44" s="87">
        <v>107</v>
      </c>
      <c r="BF44" s="87">
        <v>111</v>
      </c>
      <c r="BG44" s="87">
        <v>110</v>
      </c>
      <c r="BH44" s="87">
        <v>114</v>
      </c>
      <c r="BI44" s="87">
        <v>105</v>
      </c>
      <c r="BJ44" s="87">
        <v>104</v>
      </c>
      <c r="BK44" s="87">
        <v>110</v>
      </c>
      <c r="BL44" s="87">
        <v>110</v>
      </c>
      <c r="BM44" s="87">
        <v>108</v>
      </c>
      <c r="BN44" s="87">
        <v>113</v>
      </c>
      <c r="BO44" s="87">
        <v>114</v>
      </c>
      <c r="BP44" s="87">
        <v>122</v>
      </c>
      <c r="BQ44" s="87">
        <v>116</v>
      </c>
      <c r="BR44" s="87">
        <v>121</v>
      </c>
      <c r="BS44" s="87">
        <v>127</v>
      </c>
      <c r="BT44" s="87">
        <v>130</v>
      </c>
      <c r="BU44" s="87">
        <v>119</v>
      </c>
      <c r="BV44" s="87">
        <v>120</v>
      </c>
      <c r="BW44" s="87">
        <v>128</v>
      </c>
      <c r="BX44" s="87">
        <v>237</v>
      </c>
      <c r="BY44" s="87">
        <v>136</v>
      </c>
      <c r="BZ44" s="87">
        <v>154</v>
      </c>
      <c r="CA44" s="87">
        <v>167</v>
      </c>
      <c r="CB44" s="87">
        <v>183</v>
      </c>
      <c r="CC44" s="87">
        <v>170</v>
      </c>
      <c r="CD44" s="87">
        <v>186</v>
      </c>
      <c r="CE44" s="87">
        <v>193</v>
      </c>
      <c r="CF44" s="68"/>
      <c r="CG44" s="77"/>
      <c r="CH44" s="77"/>
      <c r="CI44" s="77"/>
      <c r="CJ44" s="77"/>
      <c r="CK44" s="77"/>
      <c r="CL44" s="77"/>
      <c r="CM44" s="77"/>
      <c r="CN44" s="77"/>
      <c r="CO44" s="77"/>
      <c r="CP44" s="77"/>
      <c r="CQ44" s="77"/>
      <c r="CR44" s="77"/>
      <c r="CS44" s="77"/>
      <c r="CT44" s="77"/>
      <c r="CU44" s="77"/>
      <c r="CV44" s="77"/>
      <c r="CW44" s="77"/>
      <c r="CX44" s="77"/>
      <c r="CY44" s="77"/>
      <c r="CZ44" s="77"/>
      <c r="DA44" s="77"/>
      <c r="DB44" s="77"/>
      <c r="DC44" s="77"/>
      <c r="DD44" s="77"/>
      <c r="DE44" s="77"/>
      <c r="DF44" s="77"/>
      <c r="DG44" s="77"/>
      <c r="DH44" s="77"/>
      <c r="DI44" s="77"/>
      <c r="DJ44" s="77"/>
      <c r="DK44" s="77"/>
      <c r="DL44" s="77"/>
      <c r="DM44" s="77"/>
      <c r="DN44" s="77"/>
      <c r="DO44" s="77"/>
      <c r="DP44" s="77"/>
    </row>
    <row r="45" spans="1:120" ht="6.75" customHeight="1" x14ac:dyDescent="0.75">
      <c r="A45" s="64"/>
      <c r="B45" s="64"/>
      <c r="C45" s="72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5"/>
      <c r="BQ45" s="95"/>
      <c r="BR45" s="95"/>
      <c r="BS45" s="95"/>
      <c r="BT45" s="95"/>
      <c r="BU45" s="95"/>
      <c r="BV45" s="95"/>
      <c r="BW45" s="95"/>
      <c r="BX45" s="95"/>
      <c r="BY45" s="95"/>
      <c r="BZ45" s="95"/>
      <c r="CA45" s="95"/>
      <c r="CB45" s="95"/>
      <c r="CC45" s="95"/>
      <c r="CD45" s="95"/>
      <c r="CE45" s="95"/>
      <c r="CF45" s="68"/>
      <c r="CG45" s="77"/>
      <c r="CH45" s="77"/>
      <c r="CI45" s="77"/>
      <c r="CJ45" s="77"/>
      <c r="CK45" s="77"/>
      <c r="CL45" s="77"/>
      <c r="CM45" s="77"/>
      <c r="CN45" s="77"/>
      <c r="CO45" s="77"/>
      <c r="CP45" s="77"/>
      <c r="CQ45" s="77"/>
      <c r="CR45" s="77"/>
      <c r="CS45" s="77"/>
      <c r="CT45" s="77"/>
      <c r="CU45" s="77"/>
      <c r="CV45" s="77"/>
      <c r="CW45" s="77"/>
      <c r="CX45" s="77"/>
      <c r="CY45" s="77"/>
      <c r="CZ45" s="77"/>
      <c r="DA45" s="77"/>
      <c r="DB45" s="77"/>
      <c r="DC45" s="77"/>
      <c r="DD45" s="77"/>
      <c r="DE45" s="77"/>
      <c r="DF45" s="77"/>
      <c r="DG45" s="77"/>
      <c r="DH45" s="77"/>
      <c r="DI45" s="77"/>
      <c r="DJ45" s="77"/>
      <c r="DK45" s="77"/>
      <c r="DL45" s="77"/>
      <c r="DM45" s="77"/>
      <c r="DN45" s="77"/>
      <c r="DO45" s="77"/>
      <c r="DP45" s="77"/>
    </row>
    <row r="46" spans="1:120" ht="14.25" customHeight="1" x14ac:dyDescent="0.75">
      <c r="A46" s="64"/>
      <c r="B46" s="81" t="s">
        <v>294</v>
      </c>
      <c r="C46" s="82"/>
      <c r="D46" s="83">
        <v>985</v>
      </c>
      <c r="E46" s="83">
        <v>37</v>
      </c>
      <c r="F46" s="83">
        <v>40</v>
      </c>
      <c r="G46" s="83">
        <v>43</v>
      </c>
      <c r="H46" s="83">
        <v>44</v>
      </c>
      <c r="I46" s="83">
        <v>46</v>
      </c>
      <c r="J46" s="83">
        <v>50</v>
      </c>
      <c r="K46" s="83">
        <v>50</v>
      </c>
      <c r="L46" s="83">
        <v>55</v>
      </c>
      <c r="M46" s="83">
        <v>58</v>
      </c>
      <c r="N46" s="83">
        <v>61</v>
      </c>
      <c r="O46" s="83">
        <v>72</v>
      </c>
      <c r="P46" s="83">
        <v>82</v>
      </c>
      <c r="Q46" s="83">
        <v>80</v>
      </c>
      <c r="R46" s="83">
        <v>75</v>
      </c>
      <c r="S46" s="83">
        <v>73</v>
      </c>
      <c r="T46" s="83">
        <v>77</v>
      </c>
      <c r="U46" s="83">
        <v>78</v>
      </c>
      <c r="V46" s="83">
        <v>77</v>
      </c>
      <c r="W46" s="83">
        <v>87</v>
      </c>
      <c r="X46" s="83">
        <v>96</v>
      </c>
      <c r="Y46" s="83">
        <v>103</v>
      </c>
      <c r="Z46" s="83">
        <v>110</v>
      </c>
      <c r="AA46" s="83">
        <v>105</v>
      </c>
      <c r="AB46" s="83">
        <v>100</v>
      </c>
      <c r="AC46" s="83">
        <v>103</v>
      </c>
      <c r="AD46" s="83">
        <v>95</v>
      </c>
      <c r="AE46" s="83">
        <v>100</v>
      </c>
      <c r="AF46" s="83">
        <v>86</v>
      </c>
      <c r="AG46" s="83">
        <v>87</v>
      </c>
      <c r="AH46" s="83">
        <v>95</v>
      </c>
      <c r="AI46" s="83">
        <v>101</v>
      </c>
      <c r="AJ46" s="83">
        <v>104</v>
      </c>
      <c r="AK46" s="83">
        <v>112</v>
      </c>
      <c r="AL46" s="83">
        <v>129</v>
      </c>
      <c r="AM46" s="83">
        <v>123</v>
      </c>
      <c r="AN46" s="83">
        <v>116</v>
      </c>
      <c r="AO46" s="83">
        <v>117</v>
      </c>
      <c r="AP46" s="83">
        <v>134</v>
      </c>
      <c r="AQ46" s="83">
        <v>140</v>
      </c>
      <c r="AR46" s="83">
        <v>152</v>
      </c>
      <c r="AS46" s="83">
        <v>141</v>
      </c>
      <c r="AT46" s="83">
        <v>162</v>
      </c>
      <c r="AU46" s="83">
        <v>148</v>
      </c>
      <c r="AV46" s="83">
        <v>145</v>
      </c>
      <c r="AW46" s="83">
        <v>156</v>
      </c>
      <c r="AX46" s="83">
        <v>169</v>
      </c>
      <c r="AY46" s="83">
        <v>155</v>
      </c>
      <c r="AZ46" s="83">
        <v>172</v>
      </c>
      <c r="BA46" s="83">
        <v>170</v>
      </c>
      <c r="BB46" s="83">
        <v>179</v>
      </c>
      <c r="BC46" s="83">
        <v>165</v>
      </c>
      <c r="BD46" s="83">
        <v>178</v>
      </c>
      <c r="BE46" s="83">
        <v>186</v>
      </c>
      <c r="BF46" s="83">
        <v>212</v>
      </c>
      <c r="BG46" s="83">
        <v>183</v>
      </c>
      <c r="BH46" s="83">
        <v>208</v>
      </c>
      <c r="BI46" s="83">
        <v>197</v>
      </c>
      <c r="BJ46" s="83">
        <v>186</v>
      </c>
      <c r="BK46" s="83">
        <v>191</v>
      </c>
      <c r="BL46" s="83">
        <v>207</v>
      </c>
      <c r="BM46" s="83">
        <v>147</v>
      </c>
      <c r="BN46" s="83">
        <v>174</v>
      </c>
      <c r="BO46" s="83">
        <v>141</v>
      </c>
      <c r="BP46" s="83">
        <v>171</v>
      </c>
      <c r="BQ46" s="83">
        <v>170</v>
      </c>
      <c r="BR46" s="83">
        <v>197</v>
      </c>
      <c r="BS46" s="83">
        <v>202</v>
      </c>
      <c r="BT46" s="83">
        <v>205</v>
      </c>
      <c r="BU46" s="83">
        <v>208</v>
      </c>
      <c r="BV46" s="83">
        <v>224</v>
      </c>
      <c r="BW46" s="83">
        <v>221</v>
      </c>
      <c r="BX46" s="83">
        <v>215</v>
      </c>
      <c r="BY46" s="83">
        <v>216</v>
      </c>
      <c r="BZ46" s="83">
        <v>264</v>
      </c>
      <c r="CA46" s="83">
        <v>259</v>
      </c>
      <c r="CB46" s="83">
        <v>246</v>
      </c>
      <c r="CC46" s="83">
        <v>261</v>
      </c>
      <c r="CD46" s="83">
        <v>312</v>
      </c>
      <c r="CE46" s="83">
        <v>321</v>
      </c>
      <c r="CF46" s="68"/>
      <c r="CG46" s="77"/>
      <c r="CH46" s="77"/>
      <c r="CI46" s="77"/>
      <c r="CJ46" s="77"/>
      <c r="CK46" s="77"/>
      <c r="CL46" s="77"/>
      <c r="CM46" s="77"/>
      <c r="CN46" s="77"/>
      <c r="CO46" s="77"/>
      <c r="CP46" s="77"/>
      <c r="CQ46" s="77"/>
      <c r="CR46" s="77"/>
      <c r="CS46" s="77"/>
      <c r="CT46" s="77"/>
      <c r="CU46" s="77"/>
      <c r="CV46" s="77"/>
      <c r="CW46" s="77"/>
      <c r="CX46" s="77"/>
      <c r="CY46" s="77"/>
      <c r="CZ46" s="77"/>
      <c r="DA46" s="77"/>
      <c r="DB46" s="77"/>
      <c r="DC46" s="77"/>
      <c r="DD46" s="77"/>
      <c r="DE46" s="77"/>
      <c r="DF46" s="77"/>
      <c r="DG46" s="77"/>
      <c r="DH46" s="77"/>
      <c r="DI46" s="77"/>
      <c r="DJ46" s="77"/>
      <c r="DK46" s="77"/>
      <c r="DL46" s="77"/>
      <c r="DM46" s="77"/>
      <c r="DN46" s="77"/>
      <c r="DO46" s="77"/>
      <c r="DP46" s="77"/>
    </row>
    <row r="47" spans="1:120" ht="7.5" customHeight="1" thickBot="1" x14ac:dyDescent="0.9">
      <c r="A47" s="64"/>
      <c r="B47" s="96"/>
      <c r="C47" s="97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  <c r="AT47" s="96"/>
      <c r="AU47" s="96"/>
      <c r="AV47" s="96"/>
      <c r="AW47" s="96"/>
      <c r="AX47" s="96"/>
      <c r="AY47" s="96"/>
      <c r="AZ47" s="96"/>
      <c r="BA47" s="96"/>
      <c r="BB47" s="96"/>
      <c r="BC47" s="96"/>
      <c r="BD47" s="96"/>
      <c r="BE47" s="96"/>
      <c r="BF47" s="96"/>
      <c r="BG47" s="96"/>
      <c r="BH47" s="96"/>
      <c r="BI47" s="96"/>
      <c r="BJ47" s="96"/>
      <c r="BK47" s="96"/>
      <c r="BL47" s="96"/>
      <c r="BM47" s="96"/>
      <c r="BN47" s="96"/>
      <c r="BO47" s="96"/>
      <c r="BP47" s="96"/>
      <c r="BQ47" s="96"/>
      <c r="BR47" s="96"/>
      <c r="BS47" s="96"/>
      <c r="BT47" s="96"/>
      <c r="BU47" s="96"/>
      <c r="BV47" s="96"/>
      <c r="BW47" s="96"/>
      <c r="BX47" s="96"/>
      <c r="BY47" s="96"/>
      <c r="BZ47" s="96"/>
      <c r="CA47" s="96"/>
      <c r="CB47" s="96"/>
      <c r="CC47" s="96"/>
      <c r="CD47" s="96"/>
      <c r="CE47" s="96"/>
      <c r="CF47" s="68"/>
    </row>
    <row r="48" spans="1:120" s="101" customFormat="1" ht="12.75" customHeight="1" thickTop="1" x14ac:dyDescent="0.75">
      <c r="A48" s="98"/>
      <c r="B48" s="20" t="s">
        <v>33</v>
      </c>
      <c r="C48" s="99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  <c r="BH48" s="100"/>
      <c r="BI48" s="100"/>
      <c r="BJ48" s="100"/>
      <c r="BK48" s="100"/>
      <c r="BL48" s="100"/>
      <c r="BM48" s="100"/>
      <c r="BN48" s="100"/>
      <c r="BO48" s="100"/>
      <c r="BP48" s="100"/>
      <c r="BQ48" s="100"/>
      <c r="BR48" s="100"/>
      <c r="BS48" s="100"/>
      <c r="BT48" s="100"/>
      <c r="BU48" s="100"/>
      <c r="BV48" s="100"/>
      <c r="BW48" s="100"/>
      <c r="BX48" s="100"/>
      <c r="BY48" s="100"/>
      <c r="BZ48" s="100"/>
      <c r="CA48" s="100"/>
      <c r="CB48" s="100"/>
      <c r="CC48" s="100"/>
      <c r="CD48" s="100"/>
      <c r="CE48" s="100"/>
      <c r="CF48" s="68"/>
      <c r="DE48" s="78"/>
    </row>
    <row r="49" spans="1:109" s="101" customFormat="1" ht="12.75" customHeight="1" x14ac:dyDescent="0.75">
      <c r="A49" s="98"/>
      <c r="B49" s="22">
        <f>'Table A Q'!B46</f>
        <v>46007</v>
      </c>
      <c r="C49" s="99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  <c r="BP49" s="100"/>
      <c r="BQ49" s="100"/>
      <c r="BR49" s="100"/>
      <c r="BS49" s="100"/>
      <c r="BT49" s="100"/>
      <c r="BU49" s="100"/>
      <c r="BV49" s="100"/>
      <c r="BW49" s="100"/>
      <c r="BX49" s="100"/>
      <c r="BY49" s="100"/>
      <c r="BZ49" s="100"/>
      <c r="CA49" s="100"/>
      <c r="CB49" s="100"/>
      <c r="CC49" s="100"/>
      <c r="CD49" s="100"/>
      <c r="CE49" s="100"/>
      <c r="CF49" s="68"/>
      <c r="DE49" s="78"/>
    </row>
    <row r="50" spans="1:109" ht="17.75" x14ac:dyDescent="0.75">
      <c r="A50" s="64"/>
      <c r="CF50" s="68"/>
    </row>
    <row r="51" spans="1:109" ht="17.75" x14ac:dyDescent="0.75">
      <c r="A51" s="64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3"/>
      <c r="BN51" s="103"/>
      <c r="BO51" s="103"/>
      <c r="BP51" s="103"/>
      <c r="BQ51" s="103"/>
      <c r="BR51" s="103"/>
      <c r="BS51" s="103"/>
      <c r="BT51" s="103"/>
      <c r="BU51" s="103"/>
      <c r="BV51" s="103"/>
      <c r="BW51" s="103"/>
      <c r="BX51" s="103"/>
      <c r="BY51" s="103"/>
      <c r="BZ51" s="103"/>
      <c r="CA51" s="103"/>
      <c r="CB51" s="103"/>
      <c r="CC51" s="103"/>
      <c r="CD51" s="103"/>
      <c r="CE51" s="103"/>
      <c r="CF51" s="68"/>
    </row>
    <row r="52" spans="1:109" ht="17.75" x14ac:dyDescent="0.75">
      <c r="A52" s="64"/>
      <c r="B52" s="104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5"/>
      <c r="BK52" s="105"/>
      <c r="BL52" s="105"/>
      <c r="BM52" s="105"/>
      <c r="BN52" s="105"/>
      <c r="BO52" s="105"/>
      <c r="BP52" s="105"/>
      <c r="BQ52" s="105"/>
      <c r="BR52" s="105"/>
      <c r="BS52" s="105"/>
      <c r="BT52" s="105"/>
      <c r="BU52" s="105"/>
      <c r="BV52" s="105"/>
      <c r="BW52" s="105"/>
      <c r="BX52" s="105"/>
      <c r="BY52" s="105"/>
      <c r="BZ52" s="105"/>
      <c r="CA52" s="105"/>
      <c r="CB52" s="105"/>
      <c r="CC52" s="105"/>
      <c r="CD52" s="105"/>
      <c r="CE52" s="105"/>
      <c r="CF52" s="68"/>
    </row>
    <row r="53" spans="1:109" ht="17.75" x14ac:dyDescent="0.75">
      <c r="A53" s="64"/>
      <c r="CF53" s="68"/>
    </row>
    <row r="54" spans="1:109" ht="17.75" x14ac:dyDescent="0.75">
      <c r="A54" s="64"/>
      <c r="CF54" s="68"/>
    </row>
    <row r="55" spans="1:109" ht="17.75" x14ac:dyDescent="0.75">
      <c r="A55" s="64"/>
      <c r="CF55" s="68"/>
    </row>
    <row r="56" spans="1:109" ht="17.75" x14ac:dyDescent="0.75">
      <c r="A56" s="64"/>
      <c r="CF56" s="68"/>
    </row>
    <row r="57" spans="1:109" ht="17.75" x14ac:dyDescent="0.75">
      <c r="A57" s="64"/>
      <c r="CF57" s="68"/>
    </row>
    <row r="58" spans="1:109" ht="17.75" x14ac:dyDescent="0.75">
      <c r="A58" s="64"/>
    </row>
    <row r="59" spans="1:109" ht="17.75" x14ac:dyDescent="0.75">
      <c r="A59" s="64"/>
    </row>
    <row r="60" spans="1:109" ht="17.75" x14ac:dyDescent="0.75">
      <c r="A60" s="64"/>
    </row>
    <row r="61" spans="1:109" ht="17.75" x14ac:dyDescent="0.75">
      <c r="A61" s="64"/>
    </row>
    <row r="62" spans="1:109" ht="17.75" x14ac:dyDescent="0.75">
      <c r="A62" s="64"/>
    </row>
    <row r="63" spans="1:109" ht="17.75" x14ac:dyDescent="0.75">
      <c r="A63" s="64"/>
    </row>
    <row r="64" spans="1:109" ht="17.75" x14ac:dyDescent="0.75">
      <c r="A64" s="64"/>
    </row>
    <row r="65" spans="1:1" ht="17.75" x14ac:dyDescent="0.75">
      <c r="A65" s="64"/>
    </row>
  </sheetData>
  <conditionalFormatting sqref="D7:CE46">
    <cfRule type="cellIs" dxfId="29" priority="5" operator="lessThan">
      <formula>0</formula>
    </cfRule>
  </conditionalFormatting>
  <conditionalFormatting sqref="D10:CE14">
    <cfRule type="expression" dxfId="28" priority="4">
      <formula>D$54=1</formula>
    </cfRule>
  </conditionalFormatting>
  <conditionalFormatting sqref="D16:CE16">
    <cfRule type="expression" dxfId="27" priority="11">
      <formula>D$54=1</formula>
    </cfRule>
  </conditionalFormatting>
  <conditionalFormatting sqref="D18:CE28">
    <cfRule type="expression" dxfId="26" priority="3">
      <formula>D$54=1</formula>
    </cfRule>
  </conditionalFormatting>
  <conditionalFormatting sqref="D31:CE33">
    <cfRule type="expression" dxfId="25" priority="2">
      <formula>D$54=1</formula>
    </cfRule>
  </conditionalFormatting>
  <conditionalFormatting sqref="D35:CE44">
    <cfRule type="expression" dxfId="24" priority="1">
      <formula>D$54=1</formula>
    </cfRule>
  </conditionalFormatting>
  <conditionalFormatting sqref="D46:CE46">
    <cfRule type="expression" dxfId="23" priority="9">
      <formula>D$54=1</formula>
    </cfRule>
  </conditionalFormatting>
  <conditionalFormatting sqref="E11:AZ14">
    <cfRule type="expression" dxfId="22" priority="16">
      <formula>E$54=1</formula>
    </cfRule>
  </conditionalFormatting>
  <conditionalFormatting sqref="E7:CC16 F17:CC17 E18:CC46">
    <cfRule type="cellIs" dxfId="21" priority="18" operator="lessThan">
      <formula>0</formula>
    </cfRule>
  </conditionalFormatting>
  <conditionalFormatting sqref="E32:CE33">
    <cfRule type="expression" dxfId="20" priority="12">
      <formula>E$54=1</formula>
    </cfRule>
  </conditionalFormatting>
  <conditionalFormatting sqref="E1:XFD1">
    <cfRule type="cellIs" dxfId="19" priority="7" operator="lessThan">
      <formula>0</formula>
    </cfRule>
    <cfRule type="expression" dxfId="18" priority="8">
      <formula>E$54=1</formula>
    </cfRule>
  </conditionalFormatting>
  <conditionalFormatting sqref="AK10:CE10">
    <cfRule type="expression" dxfId="17" priority="6">
      <formula>AK$54=1</formula>
    </cfRule>
  </conditionalFormatting>
  <conditionalFormatting sqref="BA46:BL46">
    <cfRule type="cellIs" dxfId="16" priority="14" operator="lessThan">
      <formula>0</formula>
    </cfRule>
  </conditionalFormatting>
  <conditionalFormatting sqref="BA31:CB31">
    <cfRule type="expression" dxfId="15" priority="13">
      <formula>BA$54=1</formula>
    </cfRule>
  </conditionalFormatting>
  <conditionalFormatting sqref="BM17:CE17">
    <cfRule type="expression" dxfId="14" priority="17">
      <formula>BM$54=1</formula>
    </cfRule>
  </conditionalFormatting>
  <conditionalFormatting sqref="CC11:CC14">
    <cfRule type="expression" dxfId="13" priority="15">
      <formula>CC$54=1</formula>
    </cfRule>
  </conditionalFormatting>
  <conditionalFormatting sqref="CC18:CE29">
    <cfRule type="expression" dxfId="12" priority="10">
      <formula>CC$54=1</formula>
    </cfRule>
  </conditionalFormatting>
  <pageMargins left="0.7" right="0.7" top="0.75" bottom="0.75" header="0.3" footer="0.3"/>
  <pageSetup paperSize="9" scale="6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3A2DB-4E79-40D1-A24E-F27216905A03}">
  <sheetPr codeName="Sheet3">
    <pageSetUpPr fitToPage="1"/>
  </sheetPr>
  <dimension ref="A1:CF65"/>
  <sheetViews>
    <sheetView showGridLines="0" zoomScaleNormal="100" workbookViewId="0">
      <pane xSplit="3" ySplit="6" topLeftCell="BT31" activePane="bottomRight" state="frozen"/>
      <selection activeCell="CF28" sqref="CF28"/>
      <selection pane="topRight" activeCell="CF28" sqref="CF28"/>
      <selection pane="bottomLeft" activeCell="CF28" sqref="CF28"/>
      <selection pane="bottomRight" activeCell="B49" sqref="B49"/>
    </sheetView>
  </sheetViews>
  <sheetFormatPr defaultColWidth="9.1328125" defaultRowHeight="14.25" x14ac:dyDescent="0.65"/>
  <cols>
    <col min="1" max="1" width="1.40625" style="102" customWidth="1"/>
    <col min="2" max="2" width="48.26953125" style="102" customWidth="1"/>
    <col min="3" max="3" width="6.40625" style="103" bestFit="1" customWidth="1"/>
    <col min="4" max="4" width="8.40625" style="103" customWidth="1"/>
    <col min="5" max="64" width="8.40625" style="102" hidden="1" customWidth="1"/>
    <col min="65" max="83" width="8.40625" style="102" customWidth="1"/>
    <col min="84" max="16384" width="9.1328125" style="102"/>
  </cols>
  <sheetData>
    <row r="1" spans="1:84" s="67" customFormat="1" ht="15" customHeight="1" x14ac:dyDescent="0.75">
      <c r="A1" s="64"/>
      <c r="B1" s="65" t="s">
        <v>297</v>
      </c>
      <c r="C1" s="66"/>
    </row>
    <row r="2" spans="1:84" s="71" customFormat="1" ht="15" customHeight="1" x14ac:dyDescent="0.6">
      <c r="A2" s="69"/>
      <c r="B2" s="69" t="s">
        <v>165</v>
      </c>
      <c r="C2" s="70"/>
    </row>
    <row r="3" spans="1:84" s="68" customFormat="1" ht="15" customHeight="1" x14ac:dyDescent="0.75">
      <c r="A3" s="64"/>
      <c r="B3" s="65" t="s">
        <v>298</v>
      </c>
      <c r="C3" s="72"/>
    </row>
    <row r="4" spans="1:84" s="68" customFormat="1" ht="15" customHeight="1" thickBot="1" x14ac:dyDescent="0.9">
      <c r="A4" s="64"/>
      <c r="B4" s="73" t="s">
        <v>299</v>
      </c>
      <c r="C4" s="72"/>
    </row>
    <row r="5" spans="1:84" s="77" customFormat="1" ht="27.5" thickTop="1" thickBot="1" x14ac:dyDescent="0.75">
      <c r="A5" s="69"/>
      <c r="B5" s="75" t="s">
        <v>169</v>
      </c>
      <c r="C5" s="76" t="s">
        <v>170</v>
      </c>
      <c r="D5" s="74">
        <f>QGDP_KP!$D$5</f>
        <v>2024</v>
      </c>
      <c r="E5" s="74" t="s">
        <v>116</v>
      </c>
      <c r="F5" s="74" t="s">
        <v>117</v>
      </c>
      <c r="G5" s="74" t="s">
        <v>118</v>
      </c>
      <c r="H5" s="74" t="s">
        <v>119</v>
      </c>
      <c r="I5" s="74" t="s">
        <v>120</v>
      </c>
      <c r="J5" s="74" t="s">
        <v>121</v>
      </c>
      <c r="K5" s="74" t="s">
        <v>122</v>
      </c>
      <c r="L5" s="74" t="s">
        <v>123</v>
      </c>
      <c r="M5" s="74" t="s">
        <v>124</v>
      </c>
      <c r="N5" s="74" t="s">
        <v>125</v>
      </c>
      <c r="O5" s="74" t="s">
        <v>126</v>
      </c>
      <c r="P5" s="74" t="s">
        <v>127</v>
      </c>
      <c r="Q5" s="74" t="s">
        <v>128</v>
      </c>
      <c r="R5" s="74" t="s">
        <v>129</v>
      </c>
      <c r="S5" s="74" t="s">
        <v>130</v>
      </c>
      <c r="T5" s="74" t="s">
        <v>131</v>
      </c>
      <c r="U5" s="74" t="s">
        <v>132</v>
      </c>
      <c r="V5" s="74" t="s">
        <v>133</v>
      </c>
      <c r="W5" s="74" t="s">
        <v>134</v>
      </c>
      <c r="X5" s="74" t="s">
        <v>135</v>
      </c>
      <c r="Y5" s="74" t="s">
        <v>136</v>
      </c>
      <c r="Z5" s="74" t="s">
        <v>137</v>
      </c>
      <c r="AA5" s="74" t="s">
        <v>138</v>
      </c>
      <c r="AB5" s="74" t="s">
        <v>139</v>
      </c>
      <c r="AC5" s="74" t="s">
        <v>140</v>
      </c>
      <c r="AD5" s="74" t="s">
        <v>141</v>
      </c>
      <c r="AE5" s="74" t="s">
        <v>142</v>
      </c>
      <c r="AF5" s="74" t="s">
        <v>143</v>
      </c>
      <c r="AG5" s="74" t="s">
        <v>144</v>
      </c>
      <c r="AH5" s="74" t="s">
        <v>145</v>
      </c>
      <c r="AI5" s="74" t="s">
        <v>146</v>
      </c>
      <c r="AJ5" s="74" t="s">
        <v>147</v>
      </c>
      <c r="AK5" s="74" t="s">
        <v>171</v>
      </c>
      <c r="AL5" s="74" t="s">
        <v>172</v>
      </c>
      <c r="AM5" s="74" t="s">
        <v>173</v>
      </c>
      <c r="AN5" s="74" t="s">
        <v>174</v>
      </c>
      <c r="AO5" s="74" t="s">
        <v>175</v>
      </c>
      <c r="AP5" s="74" t="s">
        <v>176</v>
      </c>
      <c r="AQ5" s="74" t="s">
        <v>177</v>
      </c>
      <c r="AR5" s="74" t="s">
        <v>178</v>
      </c>
      <c r="AS5" s="74" t="s">
        <v>179</v>
      </c>
      <c r="AT5" s="74" t="s">
        <v>180</v>
      </c>
      <c r="AU5" s="74" t="s">
        <v>181</v>
      </c>
      <c r="AV5" s="74" t="s">
        <v>182</v>
      </c>
      <c r="AW5" s="74" t="s">
        <v>183</v>
      </c>
      <c r="AX5" s="74" t="s">
        <v>184</v>
      </c>
      <c r="AY5" s="74" t="s">
        <v>185</v>
      </c>
      <c r="AZ5" s="74" t="s">
        <v>186</v>
      </c>
      <c r="BA5" s="74" t="s">
        <v>187</v>
      </c>
      <c r="BB5" s="74" t="s">
        <v>188</v>
      </c>
      <c r="BC5" s="74" t="s">
        <v>189</v>
      </c>
      <c r="BD5" s="74" t="s">
        <v>190</v>
      </c>
      <c r="BE5" s="74" t="s">
        <v>191</v>
      </c>
      <c r="BF5" s="74" t="s">
        <v>192</v>
      </c>
      <c r="BG5" s="74" t="s">
        <v>193</v>
      </c>
      <c r="BH5" s="74" t="s">
        <v>194</v>
      </c>
      <c r="BI5" s="74" t="s">
        <v>195</v>
      </c>
      <c r="BJ5" s="74" t="s">
        <v>196</v>
      </c>
      <c r="BK5" s="74" t="s">
        <v>197</v>
      </c>
      <c r="BL5" s="74" t="s">
        <v>198</v>
      </c>
      <c r="BM5" s="74" t="s">
        <v>199</v>
      </c>
      <c r="BN5" s="74" t="s">
        <v>200</v>
      </c>
      <c r="BO5" s="74" t="s">
        <v>201</v>
      </c>
      <c r="BP5" s="74" t="s">
        <v>202</v>
      </c>
      <c r="BQ5" s="74" t="s">
        <v>203</v>
      </c>
      <c r="BR5" s="74" t="s">
        <v>204</v>
      </c>
      <c r="BS5" s="74" t="s">
        <v>205</v>
      </c>
      <c r="BT5" s="74" t="s">
        <v>206</v>
      </c>
      <c r="BU5" s="74" t="s">
        <v>207</v>
      </c>
      <c r="BV5" s="74" t="s">
        <v>208</v>
      </c>
      <c r="BW5" s="74" t="s">
        <v>209</v>
      </c>
      <c r="BX5" s="74" t="s">
        <v>210</v>
      </c>
      <c r="BY5" s="74" t="s">
        <v>211</v>
      </c>
      <c r="BZ5" s="74" t="s">
        <v>212</v>
      </c>
      <c r="CA5" s="74" t="s">
        <v>213</v>
      </c>
      <c r="CB5" s="74" t="s">
        <v>214</v>
      </c>
      <c r="CC5" s="74" t="s">
        <v>215</v>
      </c>
      <c r="CD5" s="74" t="s">
        <v>216</v>
      </c>
      <c r="CE5" s="74" t="s">
        <v>217</v>
      </c>
    </row>
    <row r="6" spans="1:84" s="77" customFormat="1" ht="7.5" customHeight="1" thickTop="1" x14ac:dyDescent="0.75">
      <c r="A6" s="64"/>
      <c r="B6" s="79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</row>
    <row r="7" spans="1:84" ht="14.25" customHeight="1" x14ac:dyDescent="0.75">
      <c r="A7" s="64"/>
      <c r="B7" s="81" t="s">
        <v>219</v>
      </c>
      <c r="C7" s="82"/>
      <c r="D7" s="117">
        <v>1</v>
      </c>
      <c r="E7" s="117">
        <v>1</v>
      </c>
      <c r="F7" s="117">
        <v>1</v>
      </c>
      <c r="G7" s="117">
        <v>1</v>
      </c>
      <c r="H7" s="117">
        <v>1</v>
      </c>
      <c r="I7" s="117">
        <v>1</v>
      </c>
      <c r="J7" s="117">
        <v>1</v>
      </c>
      <c r="K7" s="117">
        <v>1</v>
      </c>
      <c r="L7" s="117">
        <v>1</v>
      </c>
      <c r="M7" s="117">
        <v>1</v>
      </c>
      <c r="N7" s="117">
        <v>1</v>
      </c>
      <c r="O7" s="117">
        <v>1</v>
      </c>
      <c r="P7" s="117">
        <v>1</v>
      </c>
      <c r="Q7" s="117">
        <v>1</v>
      </c>
      <c r="R7" s="117">
        <v>1</v>
      </c>
      <c r="S7" s="117">
        <v>1</v>
      </c>
      <c r="T7" s="117">
        <v>1</v>
      </c>
      <c r="U7" s="117">
        <v>1</v>
      </c>
      <c r="V7" s="117">
        <v>1</v>
      </c>
      <c r="W7" s="117">
        <v>1</v>
      </c>
      <c r="X7" s="117">
        <v>1</v>
      </c>
      <c r="Y7" s="117">
        <v>1</v>
      </c>
      <c r="Z7" s="117">
        <v>1</v>
      </c>
      <c r="AA7" s="117">
        <v>1</v>
      </c>
      <c r="AB7" s="117">
        <v>1</v>
      </c>
      <c r="AC7" s="117">
        <v>1</v>
      </c>
      <c r="AD7" s="117">
        <v>1</v>
      </c>
      <c r="AE7" s="117">
        <v>1</v>
      </c>
      <c r="AF7" s="117">
        <v>1</v>
      </c>
      <c r="AG7" s="117">
        <v>1</v>
      </c>
      <c r="AH7" s="117">
        <v>1</v>
      </c>
      <c r="AI7" s="117">
        <v>1</v>
      </c>
      <c r="AJ7" s="117">
        <v>1</v>
      </c>
      <c r="AK7" s="117">
        <v>1</v>
      </c>
      <c r="AL7" s="117">
        <v>1</v>
      </c>
      <c r="AM7" s="117">
        <v>1</v>
      </c>
      <c r="AN7" s="117">
        <v>1</v>
      </c>
      <c r="AO7" s="117">
        <v>1</v>
      </c>
      <c r="AP7" s="117">
        <v>1</v>
      </c>
      <c r="AQ7" s="117">
        <v>1</v>
      </c>
      <c r="AR7" s="117">
        <v>1</v>
      </c>
      <c r="AS7" s="117">
        <v>1</v>
      </c>
      <c r="AT7" s="117">
        <v>1</v>
      </c>
      <c r="AU7" s="117">
        <v>1</v>
      </c>
      <c r="AV7" s="117">
        <v>1</v>
      </c>
      <c r="AW7" s="117">
        <v>1</v>
      </c>
      <c r="AX7" s="117">
        <v>1</v>
      </c>
      <c r="AY7" s="117">
        <v>1</v>
      </c>
      <c r="AZ7" s="117">
        <v>1</v>
      </c>
      <c r="BA7" s="117">
        <v>1</v>
      </c>
      <c r="BB7" s="117">
        <v>1</v>
      </c>
      <c r="BC7" s="117">
        <v>1</v>
      </c>
      <c r="BD7" s="117">
        <v>1</v>
      </c>
      <c r="BE7" s="117">
        <v>1</v>
      </c>
      <c r="BF7" s="117">
        <v>1</v>
      </c>
      <c r="BG7" s="117">
        <v>1</v>
      </c>
      <c r="BH7" s="117">
        <v>1</v>
      </c>
      <c r="BI7" s="117">
        <v>1</v>
      </c>
      <c r="BJ7" s="117">
        <v>1</v>
      </c>
      <c r="BK7" s="117">
        <v>1</v>
      </c>
      <c r="BL7" s="117">
        <v>1</v>
      </c>
      <c r="BM7" s="117">
        <v>1</v>
      </c>
      <c r="BN7" s="117">
        <v>1</v>
      </c>
      <c r="BO7" s="117">
        <v>1</v>
      </c>
      <c r="BP7" s="117">
        <v>1</v>
      </c>
      <c r="BQ7" s="117">
        <v>1</v>
      </c>
      <c r="BR7" s="117">
        <v>1</v>
      </c>
      <c r="BS7" s="117">
        <v>1</v>
      </c>
      <c r="BT7" s="117">
        <v>1</v>
      </c>
      <c r="BU7" s="117">
        <v>1</v>
      </c>
      <c r="BV7" s="117">
        <v>1</v>
      </c>
      <c r="BW7" s="117">
        <v>1</v>
      </c>
      <c r="BX7" s="117">
        <v>1</v>
      </c>
      <c r="BY7" s="117">
        <v>1</v>
      </c>
      <c r="BZ7" s="117">
        <v>1</v>
      </c>
      <c r="CA7" s="117">
        <v>1</v>
      </c>
      <c r="CB7" s="117">
        <v>1</v>
      </c>
      <c r="CC7" s="117">
        <v>1</v>
      </c>
      <c r="CD7" s="117">
        <v>1</v>
      </c>
      <c r="CE7" s="117">
        <v>1</v>
      </c>
    </row>
    <row r="8" spans="1:84" s="77" customFormat="1" ht="7.5" customHeight="1" x14ac:dyDescent="0.75">
      <c r="A8" s="64"/>
      <c r="B8" s="79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</row>
    <row r="9" spans="1:84" ht="14.25" customHeight="1" x14ac:dyDescent="0.75">
      <c r="A9" s="64"/>
      <c r="B9" s="81" t="s">
        <v>222</v>
      </c>
      <c r="C9" s="82" t="s">
        <v>223</v>
      </c>
      <c r="D9" s="117">
        <v>0.21</v>
      </c>
      <c r="E9" s="117">
        <v>0.28000000000000003</v>
      </c>
      <c r="F9" s="117">
        <v>0.28999999999999998</v>
      </c>
      <c r="G9" s="117">
        <v>0.28999999999999998</v>
      </c>
      <c r="H9" s="117">
        <v>0.3</v>
      </c>
      <c r="I9" s="117">
        <v>0.27</v>
      </c>
      <c r="J9" s="117">
        <v>0.25</v>
      </c>
      <c r="K9" s="117">
        <v>0.25</v>
      </c>
      <c r="L9" s="117">
        <v>0.24</v>
      </c>
      <c r="M9" s="117">
        <v>0.25</v>
      </c>
      <c r="N9" s="117">
        <v>0.24</v>
      </c>
      <c r="O9" s="117">
        <v>0.24</v>
      </c>
      <c r="P9" s="117">
        <v>0.23</v>
      </c>
      <c r="Q9" s="117">
        <v>0.24</v>
      </c>
      <c r="R9" s="117">
        <v>0.25</v>
      </c>
      <c r="S9" s="117">
        <v>0.24</v>
      </c>
      <c r="T9" s="117">
        <v>0.25</v>
      </c>
      <c r="U9" s="117">
        <v>0.24</v>
      </c>
      <c r="V9" s="117">
        <v>0.24</v>
      </c>
      <c r="W9" s="117">
        <v>0.23</v>
      </c>
      <c r="X9" s="117">
        <v>0.23</v>
      </c>
      <c r="Y9" s="117">
        <v>0.22</v>
      </c>
      <c r="Z9" s="117">
        <v>0.24</v>
      </c>
      <c r="AA9" s="117">
        <v>0.23</v>
      </c>
      <c r="AB9" s="117">
        <v>0.23</v>
      </c>
      <c r="AC9" s="117">
        <v>0.23</v>
      </c>
      <c r="AD9" s="117">
        <v>0.24</v>
      </c>
      <c r="AE9" s="117">
        <v>0.24</v>
      </c>
      <c r="AF9" s="117">
        <v>0.24</v>
      </c>
      <c r="AG9" s="117">
        <v>0.24</v>
      </c>
      <c r="AH9" s="117">
        <v>0.24</v>
      </c>
      <c r="AI9" s="117">
        <v>0.23</v>
      </c>
      <c r="AJ9" s="117">
        <v>0.24</v>
      </c>
      <c r="AK9" s="117">
        <v>0.24</v>
      </c>
      <c r="AL9" s="117">
        <v>0.25</v>
      </c>
      <c r="AM9" s="117">
        <v>0.16</v>
      </c>
      <c r="AN9" s="117">
        <v>0.28000000000000003</v>
      </c>
      <c r="AO9" s="117">
        <v>0.23</v>
      </c>
      <c r="AP9" s="117">
        <v>0.25</v>
      </c>
      <c r="AQ9" s="117">
        <v>0.16</v>
      </c>
      <c r="AR9" s="117">
        <v>0.27</v>
      </c>
      <c r="AS9" s="117">
        <v>0.23</v>
      </c>
      <c r="AT9" s="117">
        <v>0.24</v>
      </c>
      <c r="AU9" s="117">
        <v>0.17</v>
      </c>
      <c r="AV9" s="117">
        <v>0.31</v>
      </c>
      <c r="AW9" s="117">
        <v>0.27</v>
      </c>
      <c r="AX9" s="117">
        <v>0.28000000000000003</v>
      </c>
      <c r="AY9" s="117">
        <v>0.16</v>
      </c>
      <c r="AZ9" s="117">
        <v>0.3</v>
      </c>
      <c r="BA9" s="117">
        <v>0.24</v>
      </c>
      <c r="BB9" s="117">
        <v>0.26</v>
      </c>
      <c r="BC9" s="117">
        <v>0.16</v>
      </c>
      <c r="BD9" s="117">
        <v>0.26</v>
      </c>
      <c r="BE9" s="117">
        <v>0.21</v>
      </c>
      <c r="BF9" s="117">
        <v>0.24</v>
      </c>
      <c r="BG9" s="117">
        <v>0.15</v>
      </c>
      <c r="BH9" s="117">
        <v>0.26</v>
      </c>
      <c r="BI9" s="117">
        <v>0.23</v>
      </c>
      <c r="BJ9" s="117">
        <v>0.28000000000000003</v>
      </c>
      <c r="BK9" s="117">
        <v>0.17</v>
      </c>
      <c r="BL9" s="117">
        <v>0.28000000000000003</v>
      </c>
      <c r="BM9" s="117">
        <v>0.23</v>
      </c>
      <c r="BN9" s="117">
        <v>0.24</v>
      </c>
      <c r="BO9" s="117">
        <v>0.15</v>
      </c>
      <c r="BP9" s="117">
        <v>0.22</v>
      </c>
      <c r="BQ9" s="117">
        <v>0.2</v>
      </c>
      <c r="BR9" s="117">
        <v>0.24</v>
      </c>
      <c r="BS9" s="117">
        <v>0.16</v>
      </c>
      <c r="BT9" s="117">
        <v>0.27</v>
      </c>
      <c r="BU9" s="117">
        <v>0.22</v>
      </c>
      <c r="BV9" s="117">
        <v>0.27</v>
      </c>
      <c r="BW9" s="117">
        <v>0.16</v>
      </c>
      <c r="BX9" s="117">
        <v>0.26</v>
      </c>
      <c r="BY9" s="117">
        <v>0.22</v>
      </c>
      <c r="BZ9" s="117">
        <v>0.23</v>
      </c>
      <c r="CA9" s="117">
        <v>0.15</v>
      </c>
      <c r="CB9" s="117">
        <v>0.23</v>
      </c>
      <c r="CC9" s="117">
        <v>0.2</v>
      </c>
      <c r="CD9" s="117">
        <v>0.23</v>
      </c>
      <c r="CE9" s="117">
        <v>0.15</v>
      </c>
      <c r="CF9" s="118"/>
    </row>
    <row r="10" spans="1:84" ht="13.5" customHeight="1" x14ac:dyDescent="0.75">
      <c r="A10" s="68"/>
      <c r="B10" s="67" t="s">
        <v>224</v>
      </c>
      <c r="C10" s="66" t="s">
        <v>225</v>
      </c>
      <c r="D10" s="119">
        <v>0.12</v>
      </c>
      <c r="E10" s="119">
        <v>0.12</v>
      </c>
      <c r="F10" s="119">
        <v>0.12</v>
      </c>
      <c r="G10" s="119">
        <v>0.14000000000000001</v>
      </c>
      <c r="H10" s="119">
        <v>0.15</v>
      </c>
      <c r="I10" s="119">
        <v>0.14000000000000001</v>
      </c>
      <c r="J10" s="119">
        <v>0.13</v>
      </c>
      <c r="K10" s="119">
        <v>0.13</v>
      </c>
      <c r="L10" s="119">
        <v>0.12</v>
      </c>
      <c r="M10" s="119">
        <v>0.12</v>
      </c>
      <c r="N10" s="119">
        <v>0.11</v>
      </c>
      <c r="O10" s="119">
        <v>0.11</v>
      </c>
      <c r="P10" s="119">
        <v>0.11</v>
      </c>
      <c r="Q10" s="119">
        <v>0.12</v>
      </c>
      <c r="R10" s="119">
        <v>0.12</v>
      </c>
      <c r="S10" s="119">
        <v>0.12</v>
      </c>
      <c r="T10" s="119">
        <v>0.13</v>
      </c>
      <c r="U10" s="119">
        <v>0.13</v>
      </c>
      <c r="V10" s="119">
        <v>0.12</v>
      </c>
      <c r="W10" s="119">
        <v>0.12</v>
      </c>
      <c r="X10" s="119">
        <v>0.11</v>
      </c>
      <c r="Y10" s="119">
        <v>0.12</v>
      </c>
      <c r="Z10" s="119">
        <v>0.13</v>
      </c>
      <c r="AA10" s="119">
        <v>0.11</v>
      </c>
      <c r="AB10" s="119">
        <v>0.12</v>
      </c>
      <c r="AC10" s="119">
        <v>0.13</v>
      </c>
      <c r="AD10" s="119">
        <v>0.14000000000000001</v>
      </c>
      <c r="AE10" s="119">
        <v>0.13</v>
      </c>
      <c r="AF10" s="119">
        <v>0.12</v>
      </c>
      <c r="AG10" s="119">
        <v>0.14000000000000001</v>
      </c>
      <c r="AH10" s="119">
        <v>0.14000000000000001</v>
      </c>
      <c r="AI10" s="119">
        <v>0.13</v>
      </c>
      <c r="AJ10" s="119">
        <v>0.13</v>
      </c>
      <c r="AK10" s="119">
        <v>0.14000000000000001</v>
      </c>
      <c r="AL10" s="119">
        <v>0.16</v>
      </c>
      <c r="AM10" s="119">
        <v>0.05</v>
      </c>
      <c r="AN10" s="119">
        <v>0.18</v>
      </c>
      <c r="AO10" s="119">
        <v>0.14000000000000001</v>
      </c>
      <c r="AP10" s="119">
        <v>0.15</v>
      </c>
      <c r="AQ10" s="119">
        <v>0.05</v>
      </c>
      <c r="AR10" s="119">
        <v>0.18</v>
      </c>
      <c r="AS10" s="119">
        <v>0.13</v>
      </c>
      <c r="AT10" s="119">
        <v>0.15</v>
      </c>
      <c r="AU10" s="119">
        <v>0.06</v>
      </c>
      <c r="AV10" s="119">
        <v>0.22</v>
      </c>
      <c r="AW10" s="119">
        <v>0.18</v>
      </c>
      <c r="AX10" s="119">
        <v>0.2</v>
      </c>
      <c r="AY10" s="119">
        <v>0.05</v>
      </c>
      <c r="AZ10" s="119">
        <v>0.2</v>
      </c>
      <c r="BA10" s="119">
        <v>0.14000000000000001</v>
      </c>
      <c r="BB10" s="119">
        <v>0.16</v>
      </c>
      <c r="BC10" s="119">
        <v>0.04</v>
      </c>
      <c r="BD10" s="119">
        <v>0.16</v>
      </c>
      <c r="BE10" s="119">
        <v>0.11</v>
      </c>
      <c r="BF10" s="119">
        <v>0.15</v>
      </c>
      <c r="BG10" s="119">
        <v>0.04</v>
      </c>
      <c r="BH10" s="119">
        <v>0.17</v>
      </c>
      <c r="BI10" s="119">
        <v>0.13</v>
      </c>
      <c r="BJ10" s="119">
        <v>0.18</v>
      </c>
      <c r="BK10" s="119">
        <v>0.05</v>
      </c>
      <c r="BL10" s="119">
        <v>0.19</v>
      </c>
      <c r="BM10" s="119">
        <v>0.13</v>
      </c>
      <c r="BN10" s="119">
        <v>0.15</v>
      </c>
      <c r="BO10" s="119">
        <v>0.04</v>
      </c>
      <c r="BP10" s="119">
        <v>0.13</v>
      </c>
      <c r="BQ10" s="119">
        <v>0.1</v>
      </c>
      <c r="BR10" s="119">
        <v>0.14000000000000001</v>
      </c>
      <c r="BS10" s="119">
        <v>0.05</v>
      </c>
      <c r="BT10" s="119">
        <v>0.17</v>
      </c>
      <c r="BU10" s="119">
        <v>0.14000000000000001</v>
      </c>
      <c r="BV10" s="119">
        <v>0.18</v>
      </c>
      <c r="BW10" s="119">
        <v>0.06</v>
      </c>
      <c r="BX10" s="119">
        <v>0.18</v>
      </c>
      <c r="BY10" s="119">
        <v>0.13</v>
      </c>
      <c r="BZ10" s="119">
        <v>0.15</v>
      </c>
      <c r="CA10" s="119">
        <v>0.04</v>
      </c>
      <c r="CB10" s="119">
        <v>0.15</v>
      </c>
      <c r="CC10" s="119">
        <v>0.11</v>
      </c>
      <c r="CD10" s="119">
        <v>0.14000000000000001</v>
      </c>
      <c r="CE10" s="119">
        <v>0.04</v>
      </c>
      <c r="CF10" s="118"/>
    </row>
    <row r="11" spans="1:84" ht="13.5" customHeight="1" x14ac:dyDescent="0.75">
      <c r="A11" s="68"/>
      <c r="B11" s="67" t="s">
        <v>226</v>
      </c>
      <c r="C11" s="66" t="s">
        <v>227</v>
      </c>
      <c r="D11" s="119">
        <v>0.02</v>
      </c>
      <c r="E11" s="119">
        <v>0.03</v>
      </c>
      <c r="F11" s="119">
        <v>0.03</v>
      </c>
      <c r="G11" s="119">
        <v>0.03</v>
      </c>
      <c r="H11" s="119">
        <v>0.03</v>
      </c>
      <c r="I11" s="119">
        <v>0.02</v>
      </c>
      <c r="J11" s="119">
        <v>0.02</v>
      </c>
      <c r="K11" s="119">
        <v>0.02</v>
      </c>
      <c r="L11" s="119">
        <v>0.02</v>
      </c>
      <c r="M11" s="119">
        <v>0.02</v>
      </c>
      <c r="N11" s="119">
        <v>0.02</v>
      </c>
      <c r="O11" s="119">
        <v>0.02</v>
      </c>
      <c r="P11" s="119">
        <v>0.02</v>
      </c>
      <c r="Q11" s="119">
        <v>0.01</v>
      </c>
      <c r="R11" s="119">
        <v>0.02</v>
      </c>
      <c r="S11" s="119">
        <v>0.02</v>
      </c>
      <c r="T11" s="119">
        <v>0.02</v>
      </c>
      <c r="U11" s="119">
        <v>0.02</v>
      </c>
      <c r="V11" s="119">
        <v>0.02</v>
      </c>
      <c r="W11" s="119">
        <v>0.02</v>
      </c>
      <c r="X11" s="119">
        <v>0.02</v>
      </c>
      <c r="Y11" s="119">
        <v>0.01</v>
      </c>
      <c r="Z11" s="119">
        <v>0.01</v>
      </c>
      <c r="AA11" s="119">
        <v>0.03</v>
      </c>
      <c r="AB11" s="119">
        <v>0.02</v>
      </c>
      <c r="AC11" s="119">
        <v>0.01</v>
      </c>
      <c r="AD11" s="119">
        <v>0.01</v>
      </c>
      <c r="AE11" s="119">
        <v>0.02</v>
      </c>
      <c r="AF11" s="119">
        <v>0.03</v>
      </c>
      <c r="AG11" s="119">
        <v>0.01</v>
      </c>
      <c r="AH11" s="119">
        <v>0.01</v>
      </c>
      <c r="AI11" s="119">
        <v>0.02</v>
      </c>
      <c r="AJ11" s="119">
        <v>0.02</v>
      </c>
      <c r="AK11" s="119">
        <v>0.01</v>
      </c>
      <c r="AL11" s="119">
        <v>0.01</v>
      </c>
      <c r="AM11" s="119">
        <v>0.02</v>
      </c>
      <c r="AN11" s="119">
        <v>0.02</v>
      </c>
      <c r="AO11" s="119">
        <v>0.01</v>
      </c>
      <c r="AP11" s="119">
        <v>0.01</v>
      </c>
      <c r="AQ11" s="119">
        <v>0.02</v>
      </c>
      <c r="AR11" s="119">
        <v>0.01</v>
      </c>
      <c r="AS11" s="119">
        <v>0.02</v>
      </c>
      <c r="AT11" s="119">
        <v>0.01</v>
      </c>
      <c r="AU11" s="119">
        <v>0.02</v>
      </c>
      <c r="AV11" s="119">
        <v>0.02</v>
      </c>
      <c r="AW11" s="119">
        <v>0.01</v>
      </c>
      <c r="AX11" s="119">
        <v>0.01</v>
      </c>
      <c r="AY11" s="119">
        <v>0.02</v>
      </c>
      <c r="AZ11" s="119">
        <v>0.02</v>
      </c>
      <c r="BA11" s="119">
        <v>0.02</v>
      </c>
      <c r="BB11" s="119">
        <v>0.01</v>
      </c>
      <c r="BC11" s="119">
        <v>0.02</v>
      </c>
      <c r="BD11" s="119">
        <v>0.02</v>
      </c>
      <c r="BE11" s="119">
        <v>0.01</v>
      </c>
      <c r="BF11" s="119">
        <v>0.01</v>
      </c>
      <c r="BG11" s="119">
        <v>0.02</v>
      </c>
      <c r="BH11" s="119">
        <v>0.01</v>
      </c>
      <c r="BI11" s="119">
        <v>0.01</v>
      </c>
      <c r="BJ11" s="119">
        <v>0.01</v>
      </c>
      <c r="BK11" s="119">
        <v>0.02</v>
      </c>
      <c r="BL11" s="119">
        <v>0.02</v>
      </c>
      <c r="BM11" s="119">
        <v>0.01</v>
      </c>
      <c r="BN11" s="119">
        <v>0.01</v>
      </c>
      <c r="BO11" s="119">
        <v>0.02</v>
      </c>
      <c r="BP11" s="119">
        <v>0.01</v>
      </c>
      <c r="BQ11" s="119">
        <v>0.01</v>
      </c>
      <c r="BR11" s="119">
        <v>0.01</v>
      </c>
      <c r="BS11" s="119">
        <v>0.02</v>
      </c>
      <c r="BT11" s="119">
        <v>0.02</v>
      </c>
      <c r="BU11" s="119">
        <v>0.01</v>
      </c>
      <c r="BV11" s="119">
        <v>0.01</v>
      </c>
      <c r="BW11" s="119">
        <v>0.02</v>
      </c>
      <c r="BX11" s="119">
        <v>0.02</v>
      </c>
      <c r="BY11" s="119">
        <v>0.02</v>
      </c>
      <c r="BZ11" s="119">
        <v>0.01</v>
      </c>
      <c r="CA11" s="119">
        <v>0.03</v>
      </c>
      <c r="CB11" s="119">
        <v>0.01</v>
      </c>
      <c r="CC11" s="119">
        <v>0.02</v>
      </c>
      <c r="CD11" s="119">
        <v>0.02</v>
      </c>
      <c r="CE11" s="119">
        <v>0.03</v>
      </c>
      <c r="CF11" s="118"/>
    </row>
    <row r="12" spans="1:84" ht="13.5" customHeight="1" x14ac:dyDescent="0.75">
      <c r="A12" s="68"/>
      <c r="B12" s="67" t="s">
        <v>228</v>
      </c>
      <c r="C12" s="66" t="s">
        <v>229</v>
      </c>
      <c r="D12" s="119">
        <v>0.03</v>
      </c>
      <c r="E12" s="119">
        <v>0.03</v>
      </c>
      <c r="F12" s="119">
        <v>0.03</v>
      </c>
      <c r="G12" s="119">
        <v>0.03</v>
      </c>
      <c r="H12" s="119">
        <v>0.03</v>
      </c>
      <c r="I12" s="119">
        <v>0.03</v>
      </c>
      <c r="J12" s="119">
        <v>0.02</v>
      </c>
      <c r="K12" s="119">
        <v>0.02</v>
      </c>
      <c r="L12" s="119">
        <v>0.02</v>
      </c>
      <c r="M12" s="119">
        <v>0.02</v>
      </c>
      <c r="N12" s="119">
        <v>0.02</v>
      </c>
      <c r="O12" s="119">
        <v>0.02</v>
      </c>
      <c r="P12" s="119">
        <v>0.02</v>
      </c>
      <c r="Q12" s="119">
        <v>0.03</v>
      </c>
      <c r="R12" s="119">
        <v>0.03</v>
      </c>
      <c r="S12" s="119">
        <v>0.02</v>
      </c>
      <c r="T12" s="119">
        <v>0.02</v>
      </c>
      <c r="U12" s="119">
        <v>0.02</v>
      </c>
      <c r="V12" s="119">
        <v>0.02</v>
      </c>
      <c r="W12" s="119">
        <v>0.02</v>
      </c>
      <c r="X12" s="119">
        <v>0.02</v>
      </c>
      <c r="Y12" s="119">
        <v>0.02</v>
      </c>
      <c r="Z12" s="119">
        <v>0.02</v>
      </c>
      <c r="AA12" s="119">
        <v>0.02</v>
      </c>
      <c r="AB12" s="119">
        <v>0.02</v>
      </c>
      <c r="AC12" s="119">
        <v>0.02</v>
      </c>
      <c r="AD12" s="119">
        <v>0.02</v>
      </c>
      <c r="AE12" s="119">
        <v>0.02</v>
      </c>
      <c r="AF12" s="119">
        <v>0.02</v>
      </c>
      <c r="AG12" s="119">
        <v>0.02</v>
      </c>
      <c r="AH12" s="119">
        <v>0.02</v>
      </c>
      <c r="AI12" s="119">
        <v>0.02</v>
      </c>
      <c r="AJ12" s="119">
        <v>0.02</v>
      </c>
      <c r="AK12" s="119">
        <v>0.02</v>
      </c>
      <c r="AL12" s="119">
        <v>0.02</v>
      </c>
      <c r="AM12" s="119">
        <v>0.03</v>
      </c>
      <c r="AN12" s="119">
        <v>0.02</v>
      </c>
      <c r="AO12" s="119">
        <v>0.02</v>
      </c>
      <c r="AP12" s="119">
        <v>0.02</v>
      </c>
      <c r="AQ12" s="119">
        <v>0.03</v>
      </c>
      <c r="AR12" s="119">
        <v>0.02</v>
      </c>
      <c r="AS12" s="119">
        <v>0.02</v>
      </c>
      <c r="AT12" s="119">
        <v>0.02</v>
      </c>
      <c r="AU12" s="119">
        <v>0.03</v>
      </c>
      <c r="AV12" s="119">
        <v>0.02</v>
      </c>
      <c r="AW12" s="119">
        <v>0.02</v>
      </c>
      <c r="AX12" s="119">
        <v>0.02</v>
      </c>
      <c r="AY12" s="119">
        <v>0.03</v>
      </c>
      <c r="AZ12" s="119">
        <v>0.02</v>
      </c>
      <c r="BA12" s="119">
        <v>0.03</v>
      </c>
      <c r="BB12" s="119">
        <v>0.02</v>
      </c>
      <c r="BC12" s="119">
        <v>0.03</v>
      </c>
      <c r="BD12" s="119">
        <v>0.02</v>
      </c>
      <c r="BE12" s="119">
        <v>0.02</v>
      </c>
      <c r="BF12" s="119">
        <v>0.02</v>
      </c>
      <c r="BG12" s="119">
        <v>0.03</v>
      </c>
      <c r="BH12" s="119">
        <v>0.03</v>
      </c>
      <c r="BI12" s="119">
        <v>0.03</v>
      </c>
      <c r="BJ12" s="119">
        <v>0.03</v>
      </c>
      <c r="BK12" s="119">
        <v>0.03</v>
      </c>
      <c r="BL12" s="119">
        <v>0.03</v>
      </c>
      <c r="BM12" s="119">
        <v>0.03</v>
      </c>
      <c r="BN12" s="119">
        <v>0.03</v>
      </c>
      <c r="BO12" s="119">
        <v>0.03</v>
      </c>
      <c r="BP12" s="119">
        <v>0.03</v>
      </c>
      <c r="BQ12" s="119">
        <v>0.03</v>
      </c>
      <c r="BR12" s="119">
        <v>0.03</v>
      </c>
      <c r="BS12" s="119">
        <v>0.03</v>
      </c>
      <c r="BT12" s="119">
        <v>0.03</v>
      </c>
      <c r="BU12" s="119">
        <v>0.03</v>
      </c>
      <c r="BV12" s="119">
        <v>0.03</v>
      </c>
      <c r="BW12" s="119">
        <v>0.03</v>
      </c>
      <c r="BX12" s="119">
        <v>0.03</v>
      </c>
      <c r="BY12" s="119">
        <v>0.03</v>
      </c>
      <c r="BZ12" s="119">
        <v>0.03</v>
      </c>
      <c r="CA12" s="119">
        <v>0.03</v>
      </c>
      <c r="CB12" s="119">
        <v>0.03</v>
      </c>
      <c r="CC12" s="119">
        <v>0.03</v>
      </c>
      <c r="CD12" s="119">
        <v>0.03</v>
      </c>
      <c r="CE12" s="119">
        <v>0.03</v>
      </c>
      <c r="CF12" s="118"/>
    </row>
    <row r="13" spans="1:84" ht="13.5" customHeight="1" x14ac:dyDescent="0.75">
      <c r="A13" s="68"/>
      <c r="B13" s="67" t="s">
        <v>230</v>
      </c>
      <c r="C13" s="66" t="s">
        <v>231</v>
      </c>
      <c r="D13" s="119">
        <v>0.04</v>
      </c>
      <c r="E13" s="119">
        <v>0.1</v>
      </c>
      <c r="F13" s="119">
        <v>0.1</v>
      </c>
      <c r="G13" s="119">
        <v>0.08</v>
      </c>
      <c r="H13" s="119">
        <v>0.09</v>
      </c>
      <c r="I13" s="119">
        <v>0.08</v>
      </c>
      <c r="J13" s="119">
        <v>0.08</v>
      </c>
      <c r="K13" s="119">
        <v>0.08</v>
      </c>
      <c r="L13" s="119">
        <v>7.0000000000000007E-2</v>
      </c>
      <c r="M13" s="119">
        <v>0.08</v>
      </c>
      <c r="N13" s="119">
        <v>0.08</v>
      </c>
      <c r="O13" s="119">
        <v>0.08</v>
      </c>
      <c r="P13" s="119">
        <v>0.08</v>
      </c>
      <c r="Q13" s="119">
        <v>7.0000000000000007E-2</v>
      </c>
      <c r="R13" s="119">
        <v>0.08</v>
      </c>
      <c r="S13" s="119">
        <v>7.0000000000000007E-2</v>
      </c>
      <c r="T13" s="119">
        <v>7.0000000000000007E-2</v>
      </c>
      <c r="U13" s="119">
        <v>7.0000000000000007E-2</v>
      </c>
      <c r="V13" s="119">
        <v>7.0000000000000007E-2</v>
      </c>
      <c r="W13" s="119">
        <v>7.0000000000000007E-2</v>
      </c>
      <c r="X13" s="119">
        <v>7.0000000000000007E-2</v>
      </c>
      <c r="Y13" s="119">
        <v>0.06</v>
      </c>
      <c r="Z13" s="119">
        <v>7.0000000000000007E-2</v>
      </c>
      <c r="AA13" s="119">
        <v>7.0000000000000007E-2</v>
      </c>
      <c r="AB13" s="119">
        <v>7.0000000000000007E-2</v>
      </c>
      <c r="AC13" s="119">
        <v>7.0000000000000007E-2</v>
      </c>
      <c r="AD13" s="119">
        <v>7.0000000000000007E-2</v>
      </c>
      <c r="AE13" s="119">
        <v>0.06</v>
      </c>
      <c r="AF13" s="119">
        <v>0.06</v>
      </c>
      <c r="AG13" s="119">
        <v>0.06</v>
      </c>
      <c r="AH13" s="119">
        <v>0.06</v>
      </c>
      <c r="AI13" s="119">
        <v>0.06</v>
      </c>
      <c r="AJ13" s="119">
        <v>0.06</v>
      </c>
      <c r="AK13" s="119">
        <v>0.06</v>
      </c>
      <c r="AL13" s="119">
        <v>0.06</v>
      </c>
      <c r="AM13" s="119">
        <v>0.06</v>
      </c>
      <c r="AN13" s="119">
        <v>0.05</v>
      </c>
      <c r="AO13" s="119">
        <v>0.06</v>
      </c>
      <c r="AP13" s="119">
        <v>0.06</v>
      </c>
      <c r="AQ13" s="119">
        <v>0.06</v>
      </c>
      <c r="AR13" s="119">
        <v>0.05</v>
      </c>
      <c r="AS13" s="119">
        <v>0.05</v>
      </c>
      <c r="AT13" s="119">
        <v>0.05</v>
      </c>
      <c r="AU13" s="119">
        <v>0.06</v>
      </c>
      <c r="AV13" s="119">
        <v>0.05</v>
      </c>
      <c r="AW13" s="119">
        <v>0.05</v>
      </c>
      <c r="AX13" s="119">
        <v>0.04</v>
      </c>
      <c r="AY13" s="119">
        <v>0.06</v>
      </c>
      <c r="AZ13" s="119">
        <v>0.05</v>
      </c>
      <c r="BA13" s="119">
        <v>0.06</v>
      </c>
      <c r="BB13" s="119">
        <v>0.06</v>
      </c>
      <c r="BC13" s="119">
        <v>7.0000000000000007E-2</v>
      </c>
      <c r="BD13" s="119">
        <v>0.06</v>
      </c>
      <c r="BE13" s="119">
        <v>0.06</v>
      </c>
      <c r="BF13" s="119">
        <v>0.05</v>
      </c>
      <c r="BG13" s="119">
        <v>0.06</v>
      </c>
      <c r="BH13" s="119">
        <v>0.05</v>
      </c>
      <c r="BI13" s="119">
        <v>0.06</v>
      </c>
      <c r="BJ13" s="119">
        <v>0.05</v>
      </c>
      <c r="BK13" s="119">
        <v>0.06</v>
      </c>
      <c r="BL13" s="119">
        <v>0.04</v>
      </c>
      <c r="BM13" s="119">
        <v>0.06</v>
      </c>
      <c r="BN13" s="119">
        <v>0.05</v>
      </c>
      <c r="BO13" s="119">
        <v>0.06</v>
      </c>
      <c r="BP13" s="119">
        <v>0.05</v>
      </c>
      <c r="BQ13" s="119">
        <v>0.05</v>
      </c>
      <c r="BR13" s="119">
        <v>0.05</v>
      </c>
      <c r="BS13" s="119">
        <v>0.05</v>
      </c>
      <c r="BT13" s="119">
        <v>0.04</v>
      </c>
      <c r="BU13" s="119">
        <v>0.05</v>
      </c>
      <c r="BV13" s="119">
        <v>0.04</v>
      </c>
      <c r="BW13" s="119">
        <v>0.05</v>
      </c>
      <c r="BX13" s="119">
        <v>0.04</v>
      </c>
      <c r="BY13" s="119">
        <v>0.04</v>
      </c>
      <c r="BZ13" s="119">
        <v>0.04</v>
      </c>
      <c r="CA13" s="119">
        <v>0.04</v>
      </c>
      <c r="CB13" s="119">
        <v>0.03</v>
      </c>
      <c r="CC13" s="119">
        <v>0.04</v>
      </c>
      <c r="CD13" s="119">
        <v>0.04</v>
      </c>
      <c r="CE13" s="119">
        <v>0.04</v>
      </c>
      <c r="CF13" s="118"/>
    </row>
    <row r="14" spans="1:84" ht="13.5" customHeight="1" x14ac:dyDescent="0.75">
      <c r="A14" s="68"/>
      <c r="B14" s="67" t="s">
        <v>232</v>
      </c>
      <c r="C14" s="66" t="s">
        <v>233</v>
      </c>
      <c r="D14" s="119">
        <v>0</v>
      </c>
      <c r="E14" s="119">
        <v>0</v>
      </c>
      <c r="F14" s="119">
        <v>0</v>
      </c>
      <c r="G14" s="119">
        <v>0</v>
      </c>
      <c r="H14" s="119">
        <v>0</v>
      </c>
      <c r="I14" s="119">
        <v>0</v>
      </c>
      <c r="J14" s="119">
        <v>0</v>
      </c>
      <c r="K14" s="119">
        <v>0</v>
      </c>
      <c r="L14" s="119">
        <v>0</v>
      </c>
      <c r="M14" s="119">
        <v>0</v>
      </c>
      <c r="N14" s="119">
        <v>0</v>
      </c>
      <c r="O14" s="119">
        <v>0</v>
      </c>
      <c r="P14" s="119">
        <v>0</v>
      </c>
      <c r="Q14" s="119">
        <v>0</v>
      </c>
      <c r="R14" s="119">
        <v>0</v>
      </c>
      <c r="S14" s="119">
        <v>0</v>
      </c>
      <c r="T14" s="119">
        <v>0</v>
      </c>
      <c r="U14" s="119">
        <v>0</v>
      </c>
      <c r="V14" s="119">
        <v>0</v>
      </c>
      <c r="W14" s="119">
        <v>0</v>
      </c>
      <c r="X14" s="119">
        <v>0</v>
      </c>
      <c r="Y14" s="119">
        <v>0</v>
      </c>
      <c r="Z14" s="119">
        <v>0</v>
      </c>
      <c r="AA14" s="119">
        <v>0</v>
      </c>
      <c r="AB14" s="119">
        <v>0</v>
      </c>
      <c r="AC14" s="119">
        <v>0</v>
      </c>
      <c r="AD14" s="119">
        <v>0</v>
      </c>
      <c r="AE14" s="119">
        <v>0</v>
      </c>
      <c r="AF14" s="119">
        <v>0</v>
      </c>
      <c r="AG14" s="119">
        <v>0</v>
      </c>
      <c r="AH14" s="119">
        <v>0</v>
      </c>
      <c r="AI14" s="119">
        <v>0</v>
      </c>
      <c r="AJ14" s="119">
        <v>0</v>
      </c>
      <c r="AK14" s="119">
        <v>0</v>
      </c>
      <c r="AL14" s="119">
        <v>0</v>
      </c>
      <c r="AM14" s="119">
        <v>0</v>
      </c>
      <c r="AN14" s="119">
        <v>0</v>
      </c>
      <c r="AO14" s="119">
        <v>0</v>
      </c>
      <c r="AP14" s="119">
        <v>0</v>
      </c>
      <c r="AQ14" s="119">
        <v>0</v>
      </c>
      <c r="AR14" s="119">
        <v>0</v>
      </c>
      <c r="AS14" s="119">
        <v>0</v>
      </c>
      <c r="AT14" s="119">
        <v>0</v>
      </c>
      <c r="AU14" s="119">
        <v>0</v>
      </c>
      <c r="AV14" s="119">
        <v>0</v>
      </c>
      <c r="AW14" s="119">
        <v>0</v>
      </c>
      <c r="AX14" s="119">
        <v>0</v>
      </c>
      <c r="AY14" s="119">
        <v>0</v>
      </c>
      <c r="AZ14" s="119">
        <v>0</v>
      </c>
      <c r="BA14" s="119">
        <v>0</v>
      </c>
      <c r="BB14" s="119">
        <v>0</v>
      </c>
      <c r="BC14" s="119">
        <v>0</v>
      </c>
      <c r="BD14" s="119">
        <v>0</v>
      </c>
      <c r="BE14" s="119">
        <v>0</v>
      </c>
      <c r="BF14" s="119">
        <v>0</v>
      </c>
      <c r="BG14" s="119">
        <v>0</v>
      </c>
      <c r="BH14" s="119">
        <v>0</v>
      </c>
      <c r="BI14" s="119">
        <v>0</v>
      </c>
      <c r="BJ14" s="119">
        <v>0</v>
      </c>
      <c r="BK14" s="119">
        <v>0</v>
      </c>
      <c r="BL14" s="119">
        <v>0</v>
      </c>
      <c r="BM14" s="119">
        <v>0</v>
      </c>
      <c r="BN14" s="119">
        <v>0</v>
      </c>
      <c r="BO14" s="119">
        <v>0</v>
      </c>
      <c r="BP14" s="119">
        <v>0</v>
      </c>
      <c r="BQ14" s="119">
        <v>0</v>
      </c>
      <c r="BR14" s="119">
        <v>0</v>
      </c>
      <c r="BS14" s="119">
        <v>0</v>
      </c>
      <c r="BT14" s="119">
        <v>0</v>
      </c>
      <c r="BU14" s="119">
        <v>0</v>
      </c>
      <c r="BV14" s="119">
        <v>0</v>
      </c>
      <c r="BW14" s="119">
        <v>0</v>
      </c>
      <c r="BX14" s="119">
        <v>0</v>
      </c>
      <c r="BY14" s="119">
        <v>0</v>
      </c>
      <c r="BZ14" s="119">
        <v>0</v>
      </c>
      <c r="CA14" s="119">
        <v>0</v>
      </c>
      <c r="CB14" s="119">
        <v>0</v>
      </c>
      <c r="CC14" s="119">
        <v>0</v>
      </c>
      <c r="CD14" s="119">
        <v>0</v>
      </c>
      <c r="CE14" s="119">
        <v>0</v>
      </c>
      <c r="CF14" s="118"/>
    </row>
    <row r="15" spans="1:84" ht="14.25" customHeight="1" x14ac:dyDescent="0.75">
      <c r="A15" s="64"/>
      <c r="B15" s="81" t="s">
        <v>234</v>
      </c>
      <c r="C15" s="82" t="s">
        <v>235</v>
      </c>
      <c r="D15" s="117">
        <v>0.22</v>
      </c>
      <c r="E15" s="117">
        <v>0.15</v>
      </c>
      <c r="F15" s="117">
        <v>0.16</v>
      </c>
      <c r="G15" s="117">
        <v>0.16</v>
      </c>
      <c r="H15" s="117">
        <v>0.17</v>
      </c>
      <c r="I15" s="117">
        <v>0.17</v>
      </c>
      <c r="J15" s="117">
        <v>0.16</v>
      </c>
      <c r="K15" s="117">
        <v>0.17</v>
      </c>
      <c r="L15" s="117">
        <v>0.17</v>
      </c>
      <c r="M15" s="117">
        <v>0.16</v>
      </c>
      <c r="N15" s="117">
        <v>0.17</v>
      </c>
      <c r="O15" s="117">
        <v>0.17</v>
      </c>
      <c r="P15" s="117">
        <v>0.16</v>
      </c>
      <c r="Q15" s="117">
        <v>0.16</v>
      </c>
      <c r="R15" s="117">
        <v>0.15</v>
      </c>
      <c r="S15" s="117">
        <v>0.16</v>
      </c>
      <c r="T15" s="117">
        <v>0.16</v>
      </c>
      <c r="U15" s="117">
        <v>0.17</v>
      </c>
      <c r="V15" s="117">
        <v>0.16</v>
      </c>
      <c r="W15" s="117">
        <v>0.16</v>
      </c>
      <c r="X15" s="117">
        <v>0.17</v>
      </c>
      <c r="Y15" s="117">
        <v>0.19</v>
      </c>
      <c r="Z15" s="117">
        <v>0.17</v>
      </c>
      <c r="AA15" s="117">
        <v>0.18</v>
      </c>
      <c r="AB15" s="117">
        <v>0.19</v>
      </c>
      <c r="AC15" s="117">
        <v>0.18</v>
      </c>
      <c r="AD15" s="117">
        <v>0.17</v>
      </c>
      <c r="AE15" s="117">
        <v>0.19</v>
      </c>
      <c r="AF15" s="117">
        <v>0.2</v>
      </c>
      <c r="AG15" s="117">
        <v>0.18</v>
      </c>
      <c r="AH15" s="117">
        <v>0.18</v>
      </c>
      <c r="AI15" s="117">
        <v>0.18</v>
      </c>
      <c r="AJ15" s="117">
        <v>0.17</v>
      </c>
      <c r="AK15" s="117">
        <v>0.18</v>
      </c>
      <c r="AL15" s="117">
        <v>0.17</v>
      </c>
      <c r="AM15" s="117">
        <v>0.2</v>
      </c>
      <c r="AN15" s="117">
        <v>0.17</v>
      </c>
      <c r="AO15" s="117">
        <v>0.17</v>
      </c>
      <c r="AP15" s="117">
        <v>0.17</v>
      </c>
      <c r="AQ15" s="117">
        <v>0.19</v>
      </c>
      <c r="AR15" s="117">
        <v>0.17</v>
      </c>
      <c r="AS15" s="117">
        <v>0.18</v>
      </c>
      <c r="AT15" s="117">
        <v>0.17</v>
      </c>
      <c r="AU15" s="117">
        <v>0.18</v>
      </c>
      <c r="AV15" s="117">
        <v>0.16</v>
      </c>
      <c r="AW15" s="117">
        <v>0.17</v>
      </c>
      <c r="AX15" s="117">
        <v>0.17</v>
      </c>
      <c r="AY15" s="117">
        <v>0.2</v>
      </c>
      <c r="AZ15" s="117">
        <v>0.17</v>
      </c>
      <c r="BA15" s="117">
        <v>0.18</v>
      </c>
      <c r="BB15" s="117">
        <v>0.17</v>
      </c>
      <c r="BC15" s="117">
        <v>0.18</v>
      </c>
      <c r="BD15" s="117">
        <v>0.17</v>
      </c>
      <c r="BE15" s="117">
        <v>0.19</v>
      </c>
      <c r="BF15" s="117">
        <v>0.19</v>
      </c>
      <c r="BG15" s="117">
        <v>0.21</v>
      </c>
      <c r="BH15" s="117">
        <v>0.19</v>
      </c>
      <c r="BI15" s="117">
        <v>0.2</v>
      </c>
      <c r="BJ15" s="117">
        <v>0.19</v>
      </c>
      <c r="BK15" s="117">
        <v>0.19</v>
      </c>
      <c r="BL15" s="117">
        <v>0.19</v>
      </c>
      <c r="BM15" s="117">
        <v>0.21</v>
      </c>
      <c r="BN15" s="117">
        <v>0.19</v>
      </c>
      <c r="BO15" s="117">
        <v>0.23</v>
      </c>
      <c r="BP15" s="117">
        <v>0.22</v>
      </c>
      <c r="BQ15" s="117">
        <v>0.24</v>
      </c>
      <c r="BR15" s="117">
        <v>0.22</v>
      </c>
      <c r="BS15" s="117">
        <v>0.22</v>
      </c>
      <c r="BT15" s="117">
        <v>0.2</v>
      </c>
      <c r="BU15" s="117">
        <v>0.23</v>
      </c>
      <c r="BV15" s="117">
        <v>0.2</v>
      </c>
      <c r="BW15" s="117">
        <v>0.23</v>
      </c>
      <c r="BX15" s="117">
        <v>0.21</v>
      </c>
      <c r="BY15" s="117">
        <v>0.24</v>
      </c>
      <c r="BZ15" s="117">
        <v>0.22</v>
      </c>
      <c r="CA15" s="117">
        <v>0.22</v>
      </c>
      <c r="CB15" s="117">
        <v>0.21</v>
      </c>
      <c r="CC15" s="117">
        <v>0.24</v>
      </c>
      <c r="CD15" s="117">
        <v>0.21</v>
      </c>
      <c r="CE15" s="117">
        <v>0.22</v>
      </c>
      <c r="CF15" s="118"/>
    </row>
    <row r="16" spans="1:84" ht="13.5" customHeight="1" x14ac:dyDescent="0.75">
      <c r="A16" s="68"/>
      <c r="B16" s="67" t="s">
        <v>236</v>
      </c>
      <c r="C16" s="66" t="s">
        <v>237</v>
      </c>
      <c r="D16" s="119">
        <v>0.02</v>
      </c>
      <c r="E16" s="119">
        <v>0.01</v>
      </c>
      <c r="F16" s="119">
        <v>0.01</v>
      </c>
      <c r="G16" s="119">
        <v>0.01</v>
      </c>
      <c r="H16" s="119">
        <v>0.01</v>
      </c>
      <c r="I16" s="119">
        <v>0.01</v>
      </c>
      <c r="J16" s="119">
        <v>0.02</v>
      </c>
      <c r="K16" s="119">
        <v>0.01</v>
      </c>
      <c r="L16" s="119">
        <v>0.02</v>
      </c>
      <c r="M16" s="119">
        <v>0.02</v>
      </c>
      <c r="N16" s="119">
        <v>0.02</v>
      </c>
      <c r="O16" s="119">
        <v>0.01</v>
      </c>
      <c r="P16" s="119">
        <v>0.01</v>
      </c>
      <c r="Q16" s="119">
        <v>0.01</v>
      </c>
      <c r="R16" s="119">
        <v>0.01</v>
      </c>
      <c r="S16" s="119">
        <v>0.01</v>
      </c>
      <c r="T16" s="119">
        <v>0.01</v>
      </c>
      <c r="U16" s="119">
        <v>0.01</v>
      </c>
      <c r="V16" s="119">
        <v>0.01</v>
      </c>
      <c r="W16" s="119">
        <v>0.01</v>
      </c>
      <c r="X16" s="119">
        <v>0.01</v>
      </c>
      <c r="Y16" s="119">
        <v>0.02</v>
      </c>
      <c r="Z16" s="119">
        <v>0.02</v>
      </c>
      <c r="AA16" s="119">
        <v>0.02</v>
      </c>
      <c r="AB16" s="119">
        <v>0.02</v>
      </c>
      <c r="AC16" s="119">
        <v>0.02</v>
      </c>
      <c r="AD16" s="119">
        <v>0.02</v>
      </c>
      <c r="AE16" s="119">
        <v>0.02</v>
      </c>
      <c r="AF16" s="119">
        <v>0.02</v>
      </c>
      <c r="AG16" s="119">
        <v>0.02</v>
      </c>
      <c r="AH16" s="119">
        <v>0.02</v>
      </c>
      <c r="AI16" s="119">
        <v>0.02</v>
      </c>
      <c r="AJ16" s="119">
        <v>0.02</v>
      </c>
      <c r="AK16" s="119">
        <v>0.02</v>
      </c>
      <c r="AL16" s="119">
        <v>0.02</v>
      </c>
      <c r="AM16" s="119">
        <v>0.03</v>
      </c>
      <c r="AN16" s="119">
        <v>0.02</v>
      </c>
      <c r="AO16" s="119">
        <v>0.02</v>
      </c>
      <c r="AP16" s="119">
        <v>0.02</v>
      </c>
      <c r="AQ16" s="119">
        <v>0.02</v>
      </c>
      <c r="AR16" s="119">
        <v>0.02</v>
      </c>
      <c r="AS16" s="119">
        <v>0.01</v>
      </c>
      <c r="AT16" s="119">
        <v>0.02</v>
      </c>
      <c r="AU16" s="119">
        <v>0.02</v>
      </c>
      <c r="AV16" s="119">
        <v>0.02</v>
      </c>
      <c r="AW16" s="119">
        <v>0.02</v>
      </c>
      <c r="AX16" s="119">
        <v>0.02</v>
      </c>
      <c r="AY16" s="119">
        <v>0.03</v>
      </c>
      <c r="AZ16" s="119">
        <v>0.03</v>
      </c>
      <c r="BA16" s="119">
        <v>0.02</v>
      </c>
      <c r="BB16" s="119">
        <v>0.02</v>
      </c>
      <c r="BC16" s="119">
        <v>0.02</v>
      </c>
      <c r="BD16" s="119">
        <v>0.02</v>
      </c>
      <c r="BE16" s="119">
        <v>0.02</v>
      </c>
      <c r="BF16" s="119">
        <v>0.01</v>
      </c>
      <c r="BG16" s="119">
        <v>0.01</v>
      </c>
      <c r="BH16" s="119">
        <v>0.01</v>
      </c>
      <c r="BI16" s="119">
        <v>0.01</v>
      </c>
      <c r="BJ16" s="119">
        <v>0.01</v>
      </c>
      <c r="BK16" s="119">
        <v>0.01</v>
      </c>
      <c r="BL16" s="119">
        <v>0.01</v>
      </c>
      <c r="BM16" s="119">
        <v>0.02</v>
      </c>
      <c r="BN16" s="119">
        <v>0.02</v>
      </c>
      <c r="BO16" s="119">
        <v>0.03</v>
      </c>
      <c r="BP16" s="119">
        <v>0.03</v>
      </c>
      <c r="BQ16" s="119">
        <v>0.03</v>
      </c>
      <c r="BR16" s="119">
        <v>0.02</v>
      </c>
      <c r="BS16" s="119">
        <v>0.02</v>
      </c>
      <c r="BT16" s="119">
        <v>0.02</v>
      </c>
      <c r="BU16" s="119">
        <v>0.02</v>
      </c>
      <c r="BV16" s="119">
        <v>0.02</v>
      </c>
      <c r="BW16" s="119">
        <v>0.02</v>
      </c>
      <c r="BX16" s="119">
        <v>0.02</v>
      </c>
      <c r="BY16" s="119">
        <v>0.02</v>
      </c>
      <c r="BZ16" s="119">
        <v>0.02</v>
      </c>
      <c r="CA16" s="119">
        <v>0.02</v>
      </c>
      <c r="CB16" s="119">
        <v>0.02</v>
      </c>
      <c r="CC16" s="119">
        <v>0.02</v>
      </c>
      <c r="CD16" s="119">
        <v>0.02</v>
      </c>
      <c r="CE16" s="119">
        <v>0.02</v>
      </c>
    </row>
    <row r="17" spans="1:83" ht="14.25" customHeight="1" x14ac:dyDescent="0.75">
      <c r="A17" s="64"/>
      <c r="B17" s="88" t="s">
        <v>238</v>
      </c>
      <c r="C17" s="89" t="s">
        <v>239</v>
      </c>
      <c r="D17" s="120">
        <v>0.08</v>
      </c>
      <c r="E17" s="120">
        <v>0.09</v>
      </c>
      <c r="F17" s="120">
        <v>0.09</v>
      </c>
      <c r="G17" s="120">
        <v>0.1</v>
      </c>
      <c r="H17" s="120">
        <v>0.09</v>
      </c>
      <c r="I17" s="120">
        <v>0.08</v>
      </c>
      <c r="J17" s="120">
        <v>0.08</v>
      </c>
      <c r="K17" s="120">
        <v>0.09</v>
      </c>
      <c r="L17" s="120">
        <v>0.09</v>
      </c>
      <c r="M17" s="120">
        <v>0.08</v>
      </c>
      <c r="N17" s="120">
        <v>0.08</v>
      </c>
      <c r="O17" s="120">
        <v>0.08</v>
      </c>
      <c r="P17" s="120">
        <v>0.08</v>
      </c>
      <c r="Q17" s="120">
        <v>0.08</v>
      </c>
      <c r="R17" s="120">
        <v>0.08</v>
      </c>
      <c r="S17" s="120">
        <v>0.08</v>
      </c>
      <c r="T17" s="120">
        <v>0.09</v>
      </c>
      <c r="U17" s="120">
        <v>0.08</v>
      </c>
      <c r="V17" s="120">
        <v>0.08</v>
      </c>
      <c r="W17" s="120">
        <v>0.09</v>
      </c>
      <c r="X17" s="120">
        <v>0.09</v>
      </c>
      <c r="Y17" s="120">
        <v>0.08</v>
      </c>
      <c r="Z17" s="120">
        <v>0.08</v>
      </c>
      <c r="AA17" s="120">
        <v>0.09</v>
      </c>
      <c r="AB17" s="120">
        <v>0.09</v>
      </c>
      <c r="AC17" s="120">
        <v>0.08</v>
      </c>
      <c r="AD17" s="120">
        <v>0.08</v>
      </c>
      <c r="AE17" s="120">
        <v>0.09</v>
      </c>
      <c r="AF17" s="120">
        <v>0.09</v>
      </c>
      <c r="AG17" s="120">
        <v>7.0000000000000007E-2</v>
      </c>
      <c r="AH17" s="120">
        <v>7.0000000000000007E-2</v>
      </c>
      <c r="AI17" s="120">
        <v>7.0000000000000007E-2</v>
      </c>
      <c r="AJ17" s="120">
        <v>7.0000000000000007E-2</v>
      </c>
      <c r="AK17" s="120">
        <v>7.0000000000000007E-2</v>
      </c>
      <c r="AL17" s="120">
        <v>7.0000000000000007E-2</v>
      </c>
      <c r="AM17" s="120">
        <v>0.08</v>
      </c>
      <c r="AN17" s="120">
        <v>7.0000000000000007E-2</v>
      </c>
      <c r="AO17" s="120">
        <v>7.0000000000000007E-2</v>
      </c>
      <c r="AP17" s="120">
        <v>7.0000000000000007E-2</v>
      </c>
      <c r="AQ17" s="120">
        <v>0.08</v>
      </c>
      <c r="AR17" s="120">
        <v>0.06</v>
      </c>
      <c r="AS17" s="120">
        <v>7.0000000000000007E-2</v>
      </c>
      <c r="AT17" s="120">
        <v>7.0000000000000007E-2</v>
      </c>
      <c r="AU17" s="120">
        <v>7.0000000000000007E-2</v>
      </c>
      <c r="AV17" s="120">
        <v>0.06</v>
      </c>
      <c r="AW17" s="120">
        <v>0.08</v>
      </c>
      <c r="AX17" s="120">
        <v>0.08</v>
      </c>
      <c r="AY17" s="120">
        <v>0.09</v>
      </c>
      <c r="AZ17" s="120">
        <v>7.0000000000000007E-2</v>
      </c>
      <c r="BA17" s="120">
        <v>0.08</v>
      </c>
      <c r="BB17" s="120">
        <v>7.0000000000000007E-2</v>
      </c>
      <c r="BC17" s="120">
        <v>7.0000000000000007E-2</v>
      </c>
      <c r="BD17" s="120">
        <v>0.08</v>
      </c>
      <c r="BE17" s="120">
        <v>0.08</v>
      </c>
      <c r="BF17" s="120">
        <v>0.08</v>
      </c>
      <c r="BG17" s="120">
        <v>0.08</v>
      </c>
      <c r="BH17" s="120">
        <v>0.08</v>
      </c>
      <c r="BI17" s="120">
        <v>0.08</v>
      </c>
      <c r="BJ17" s="120">
        <v>0.08</v>
      </c>
      <c r="BK17" s="120">
        <v>0.08</v>
      </c>
      <c r="BL17" s="120">
        <v>0.09</v>
      </c>
      <c r="BM17" s="120">
        <v>0.09</v>
      </c>
      <c r="BN17" s="120">
        <v>0.09</v>
      </c>
      <c r="BO17" s="120">
        <v>0.08</v>
      </c>
      <c r="BP17" s="120">
        <v>0.09</v>
      </c>
      <c r="BQ17" s="120">
        <v>0.09</v>
      </c>
      <c r="BR17" s="120">
        <v>0.1</v>
      </c>
      <c r="BS17" s="120">
        <v>0.09</v>
      </c>
      <c r="BT17" s="120">
        <v>0.09</v>
      </c>
      <c r="BU17" s="120">
        <v>0.09</v>
      </c>
      <c r="BV17" s="120">
        <v>0.08</v>
      </c>
      <c r="BW17" s="120">
        <v>0.08</v>
      </c>
      <c r="BX17" s="120">
        <v>0.08</v>
      </c>
      <c r="BY17" s="120">
        <v>0.09</v>
      </c>
      <c r="BZ17" s="120">
        <v>0.08</v>
      </c>
      <c r="CA17" s="120">
        <v>0.08</v>
      </c>
      <c r="CB17" s="120">
        <v>0.08</v>
      </c>
      <c r="CC17" s="120">
        <v>0.09</v>
      </c>
      <c r="CD17" s="120">
        <v>0.08</v>
      </c>
      <c r="CE17" s="120">
        <v>0.08</v>
      </c>
    </row>
    <row r="18" spans="1:83" s="123" customFormat="1" ht="13.5" customHeight="1" x14ac:dyDescent="0.75">
      <c r="A18" s="121"/>
      <c r="B18" s="63" t="s">
        <v>240</v>
      </c>
      <c r="C18" s="93" t="s">
        <v>241</v>
      </c>
      <c r="D18" s="122">
        <v>0.02</v>
      </c>
      <c r="E18" s="122">
        <v>0.02</v>
      </c>
      <c r="F18" s="122">
        <v>0.02</v>
      </c>
      <c r="G18" s="122">
        <v>0.02</v>
      </c>
      <c r="H18" s="122">
        <v>0.02</v>
      </c>
      <c r="I18" s="122">
        <v>0.01</v>
      </c>
      <c r="J18" s="122">
        <v>0.01</v>
      </c>
      <c r="K18" s="122">
        <v>0.02</v>
      </c>
      <c r="L18" s="122">
        <v>0.02</v>
      </c>
      <c r="M18" s="122">
        <v>0.02</v>
      </c>
      <c r="N18" s="122">
        <v>0.02</v>
      </c>
      <c r="O18" s="122">
        <v>0.02</v>
      </c>
      <c r="P18" s="122">
        <v>0.02</v>
      </c>
      <c r="Q18" s="122">
        <v>0.02</v>
      </c>
      <c r="R18" s="122">
        <v>0.02</v>
      </c>
      <c r="S18" s="122">
        <v>0.02</v>
      </c>
      <c r="T18" s="122">
        <v>0.02</v>
      </c>
      <c r="U18" s="122">
        <v>0.02</v>
      </c>
      <c r="V18" s="122">
        <v>0.02</v>
      </c>
      <c r="W18" s="122">
        <v>0.02</v>
      </c>
      <c r="X18" s="122">
        <v>0.02</v>
      </c>
      <c r="Y18" s="122">
        <v>0.01</v>
      </c>
      <c r="Z18" s="122">
        <v>0.02</v>
      </c>
      <c r="AA18" s="122">
        <v>0.02</v>
      </c>
      <c r="AB18" s="122">
        <v>0.02</v>
      </c>
      <c r="AC18" s="122">
        <v>0.02</v>
      </c>
      <c r="AD18" s="122">
        <v>0.02</v>
      </c>
      <c r="AE18" s="122">
        <v>0.02</v>
      </c>
      <c r="AF18" s="122">
        <v>0.02</v>
      </c>
      <c r="AG18" s="122">
        <v>0.02</v>
      </c>
      <c r="AH18" s="122">
        <v>0.02</v>
      </c>
      <c r="AI18" s="122">
        <v>0.02</v>
      </c>
      <c r="AJ18" s="122">
        <v>0.02</v>
      </c>
      <c r="AK18" s="122">
        <v>0.02</v>
      </c>
      <c r="AL18" s="122">
        <v>0.02</v>
      </c>
      <c r="AM18" s="122">
        <v>0.02</v>
      </c>
      <c r="AN18" s="122">
        <v>0.02</v>
      </c>
      <c r="AO18" s="122">
        <v>0.02</v>
      </c>
      <c r="AP18" s="122">
        <v>0.02</v>
      </c>
      <c r="AQ18" s="122">
        <v>0.02</v>
      </c>
      <c r="AR18" s="122">
        <v>0.02</v>
      </c>
      <c r="AS18" s="122">
        <v>0.02</v>
      </c>
      <c r="AT18" s="122">
        <v>0.02</v>
      </c>
      <c r="AU18" s="122">
        <v>0.02</v>
      </c>
      <c r="AV18" s="122">
        <v>0.02</v>
      </c>
      <c r="AW18" s="122">
        <v>0.03</v>
      </c>
      <c r="AX18" s="122">
        <v>0.03</v>
      </c>
      <c r="AY18" s="122">
        <v>0.03</v>
      </c>
      <c r="AZ18" s="122">
        <v>0.02</v>
      </c>
      <c r="BA18" s="122">
        <v>0.02</v>
      </c>
      <c r="BB18" s="122">
        <v>0.02</v>
      </c>
      <c r="BC18" s="122">
        <v>0.01</v>
      </c>
      <c r="BD18" s="122">
        <v>0.03</v>
      </c>
      <c r="BE18" s="122">
        <v>0.02</v>
      </c>
      <c r="BF18" s="122">
        <v>0.03</v>
      </c>
      <c r="BG18" s="122">
        <v>0.02</v>
      </c>
      <c r="BH18" s="122">
        <v>0.03</v>
      </c>
      <c r="BI18" s="122">
        <v>0.02</v>
      </c>
      <c r="BJ18" s="122">
        <v>0.03</v>
      </c>
      <c r="BK18" s="122">
        <v>0.02</v>
      </c>
      <c r="BL18" s="122">
        <v>0.03</v>
      </c>
      <c r="BM18" s="122">
        <v>0.02</v>
      </c>
      <c r="BN18" s="122">
        <v>0.03</v>
      </c>
      <c r="BO18" s="122">
        <v>0.02</v>
      </c>
      <c r="BP18" s="122">
        <v>0.03</v>
      </c>
      <c r="BQ18" s="122">
        <v>0.02</v>
      </c>
      <c r="BR18" s="122">
        <v>0.04</v>
      </c>
      <c r="BS18" s="122">
        <v>0.02</v>
      </c>
      <c r="BT18" s="122">
        <v>0.04</v>
      </c>
      <c r="BU18" s="122">
        <v>0.03</v>
      </c>
      <c r="BV18" s="122">
        <v>0.03</v>
      </c>
      <c r="BW18" s="122">
        <v>0.02</v>
      </c>
      <c r="BX18" s="122">
        <v>0.03</v>
      </c>
      <c r="BY18" s="122">
        <v>0.02</v>
      </c>
      <c r="BZ18" s="122">
        <v>0.02</v>
      </c>
      <c r="CA18" s="122">
        <v>0.01</v>
      </c>
      <c r="CB18" s="122">
        <v>0.02</v>
      </c>
      <c r="CC18" s="122">
        <v>0.02</v>
      </c>
      <c r="CD18" s="122">
        <v>0.02</v>
      </c>
      <c r="CE18" s="122">
        <v>0.02</v>
      </c>
    </row>
    <row r="19" spans="1:83" s="123" customFormat="1" ht="13.5" customHeight="1" x14ac:dyDescent="0.75">
      <c r="A19" s="121"/>
      <c r="B19" s="63" t="s">
        <v>242</v>
      </c>
      <c r="C19" s="93" t="s">
        <v>243</v>
      </c>
      <c r="D19" s="122">
        <v>0.02</v>
      </c>
      <c r="E19" s="122">
        <v>0.02</v>
      </c>
      <c r="F19" s="122">
        <v>0.02</v>
      </c>
      <c r="G19" s="122">
        <v>0.02</v>
      </c>
      <c r="H19" s="122">
        <v>0.02</v>
      </c>
      <c r="I19" s="122">
        <v>0.02</v>
      </c>
      <c r="J19" s="122">
        <v>0.02</v>
      </c>
      <c r="K19" s="122">
        <v>0.02</v>
      </c>
      <c r="L19" s="122">
        <v>0.02</v>
      </c>
      <c r="M19" s="122">
        <v>0.02</v>
      </c>
      <c r="N19" s="122">
        <v>0.02</v>
      </c>
      <c r="O19" s="122">
        <v>0.02</v>
      </c>
      <c r="P19" s="122">
        <v>0.02</v>
      </c>
      <c r="Q19" s="122">
        <v>0.02</v>
      </c>
      <c r="R19" s="122">
        <v>0.02</v>
      </c>
      <c r="S19" s="122">
        <v>0.02</v>
      </c>
      <c r="T19" s="122">
        <v>0.03</v>
      </c>
      <c r="U19" s="122">
        <v>0.02</v>
      </c>
      <c r="V19" s="122">
        <v>0.02</v>
      </c>
      <c r="W19" s="122">
        <v>0.03</v>
      </c>
      <c r="X19" s="122">
        <v>0.02</v>
      </c>
      <c r="Y19" s="122">
        <v>0.02</v>
      </c>
      <c r="Z19" s="122">
        <v>0.02</v>
      </c>
      <c r="AA19" s="122">
        <v>0.02</v>
      </c>
      <c r="AB19" s="122">
        <v>0.02</v>
      </c>
      <c r="AC19" s="122">
        <v>0.02</v>
      </c>
      <c r="AD19" s="122">
        <v>0.02</v>
      </c>
      <c r="AE19" s="122">
        <v>0.02</v>
      </c>
      <c r="AF19" s="122">
        <v>0.02</v>
      </c>
      <c r="AG19" s="122">
        <v>0.02</v>
      </c>
      <c r="AH19" s="122">
        <v>0.02</v>
      </c>
      <c r="AI19" s="122">
        <v>0.02</v>
      </c>
      <c r="AJ19" s="122">
        <v>0.02</v>
      </c>
      <c r="AK19" s="122">
        <v>0.02</v>
      </c>
      <c r="AL19" s="122">
        <v>0.02</v>
      </c>
      <c r="AM19" s="122">
        <v>0.02</v>
      </c>
      <c r="AN19" s="122">
        <v>0.02</v>
      </c>
      <c r="AO19" s="122">
        <v>0.02</v>
      </c>
      <c r="AP19" s="122">
        <v>0.02</v>
      </c>
      <c r="AQ19" s="122">
        <v>0.02</v>
      </c>
      <c r="AR19" s="122">
        <v>0.02</v>
      </c>
      <c r="AS19" s="122">
        <v>0.02</v>
      </c>
      <c r="AT19" s="122">
        <v>0.02</v>
      </c>
      <c r="AU19" s="122">
        <v>0.02</v>
      </c>
      <c r="AV19" s="122">
        <v>0.02</v>
      </c>
      <c r="AW19" s="122">
        <v>0.02</v>
      </c>
      <c r="AX19" s="122">
        <v>0.02</v>
      </c>
      <c r="AY19" s="122">
        <v>0.02</v>
      </c>
      <c r="AZ19" s="122">
        <v>0.02</v>
      </c>
      <c r="BA19" s="122">
        <v>0.03</v>
      </c>
      <c r="BB19" s="122">
        <v>0.02</v>
      </c>
      <c r="BC19" s="122">
        <v>0.02</v>
      </c>
      <c r="BD19" s="122">
        <v>0.02</v>
      </c>
      <c r="BE19" s="122">
        <v>0.02</v>
      </c>
      <c r="BF19" s="122">
        <v>0.02</v>
      </c>
      <c r="BG19" s="122">
        <v>0.02</v>
      </c>
      <c r="BH19" s="122">
        <v>0.02</v>
      </c>
      <c r="BI19" s="122">
        <v>0.03</v>
      </c>
      <c r="BJ19" s="122">
        <v>0.02</v>
      </c>
      <c r="BK19" s="122">
        <v>0.02</v>
      </c>
      <c r="BL19" s="122">
        <v>0.02</v>
      </c>
      <c r="BM19" s="122">
        <v>0.03</v>
      </c>
      <c r="BN19" s="122">
        <v>0.02</v>
      </c>
      <c r="BO19" s="122">
        <v>0.02</v>
      </c>
      <c r="BP19" s="122">
        <v>0.02</v>
      </c>
      <c r="BQ19" s="122">
        <v>0.03</v>
      </c>
      <c r="BR19" s="122">
        <v>0.02</v>
      </c>
      <c r="BS19" s="122">
        <v>0.02</v>
      </c>
      <c r="BT19" s="122">
        <v>0.02</v>
      </c>
      <c r="BU19" s="122">
        <v>0.03</v>
      </c>
      <c r="BV19" s="122">
        <v>0.02</v>
      </c>
      <c r="BW19" s="122">
        <v>0.02</v>
      </c>
      <c r="BX19" s="122">
        <v>0.02</v>
      </c>
      <c r="BY19" s="122">
        <v>0.03</v>
      </c>
      <c r="BZ19" s="122">
        <v>0.02</v>
      </c>
      <c r="CA19" s="122">
        <v>0.02</v>
      </c>
      <c r="CB19" s="122">
        <v>0.02</v>
      </c>
      <c r="CC19" s="122">
        <v>0.03</v>
      </c>
      <c r="CD19" s="122">
        <v>0.02</v>
      </c>
      <c r="CE19" s="122">
        <v>0.02</v>
      </c>
    </row>
    <row r="20" spans="1:83" s="123" customFormat="1" ht="13.5" customHeight="1" x14ac:dyDescent="0.75">
      <c r="A20" s="121"/>
      <c r="B20" s="63" t="s">
        <v>244</v>
      </c>
      <c r="C20" s="93" t="s">
        <v>245</v>
      </c>
      <c r="D20" s="122">
        <v>0.01</v>
      </c>
      <c r="E20" s="122">
        <v>0.03</v>
      </c>
      <c r="F20" s="122">
        <v>0.03</v>
      </c>
      <c r="G20" s="122">
        <v>0.03</v>
      </c>
      <c r="H20" s="122">
        <v>0.03</v>
      </c>
      <c r="I20" s="122">
        <v>0.03</v>
      </c>
      <c r="J20" s="122">
        <v>0.02</v>
      </c>
      <c r="K20" s="122">
        <v>0.02</v>
      </c>
      <c r="L20" s="122">
        <v>0.03</v>
      </c>
      <c r="M20" s="122">
        <v>0.02</v>
      </c>
      <c r="N20" s="122">
        <v>0.02</v>
      </c>
      <c r="O20" s="122">
        <v>0.02</v>
      </c>
      <c r="P20" s="122">
        <v>0.02</v>
      </c>
      <c r="Q20" s="122">
        <v>0.02</v>
      </c>
      <c r="R20" s="122">
        <v>0.02</v>
      </c>
      <c r="S20" s="122">
        <v>0.02</v>
      </c>
      <c r="T20" s="122">
        <v>0.02</v>
      </c>
      <c r="U20" s="122">
        <v>0.02</v>
      </c>
      <c r="V20" s="122">
        <v>0.02</v>
      </c>
      <c r="W20" s="122">
        <v>0.02</v>
      </c>
      <c r="X20" s="122">
        <v>0.02</v>
      </c>
      <c r="Y20" s="122">
        <v>0.02</v>
      </c>
      <c r="Z20" s="122">
        <v>0.02</v>
      </c>
      <c r="AA20" s="122">
        <v>0.02</v>
      </c>
      <c r="AB20" s="122">
        <v>0.02</v>
      </c>
      <c r="AC20" s="122">
        <v>0.02</v>
      </c>
      <c r="AD20" s="122">
        <v>0.02</v>
      </c>
      <c r="AE20" s="122">
        <v>0.02</v>
      </c>
      <c r="AF20" s="122">
        <v>0.02</v>
      </c>
      <c r="AG20" s="122">
        <v>0</v>
      </c>
      <c r="AH20" s="122">
        <v>0</v>
      </c>
      <c r="AI20" s="122">
        <v>0</v>
      </c>
      <c r="AJ20" s="122">
        <v>0</v>
      </c>
      <c r="AK20" s="122">
        <v>0</v>
      </c>
      <c r="AL20" s="122">
        <v>0</v>
      </c>
      <c r="AM20" s="122">
        <v>0</v>
      </c>
      <c r="AN20" s="122">
        <v>0</v>
      </c>
      <c r="AO20" s="122">
        <v>0</v>
      </c>
      <c r="AP20" s="122">
        <v>0</v>
      </c>
      <c r="AQ20" s="122">
        <v>0</v>
      </c>
      <c r="AR20" s="122">
        <v>0</v>
      </c>
      <c r="AS20" s="122">
        <v>0</v>
      </c>
      <c r="AT20" s="122">
        <v>0</v>
      </c>
      <c r="AU20" s="122">
        <v>0</v>
      </c>
      <c r="AV20" s="122">
        <v>0</v>
      </c>
      <c r="AW20" s="122">
        <v>0</v>
      </c>
      <c r="AX20" s="122">
        <v>0</v>
      </c>
      <c r="AY20" s="122">
        <v>0</v>
      </c>
      <c r="AZ20" s="122">
        <v>0</v>
      </c>
      <c r="BA20" s="122">
        <v>0.01</v>
      </c>
      <c r="BB20" s="122">
        <v>0.01</v>
      </c>
      <c r="BC20" s="122">
        <v>0.01</v>
      </c>
      <c r="BD20" s="122">
        <v>0.01</v>
      </c>
      <c r="BE20" s="122">
        <v>0.01</v>
      </c>
      <c r="BF20" s="122">
        <v>0.01</v>
      </c>
      <c r="BG20" s="122">
        <v>0.01</v>
      </c>
      <c r="BH20" s="122">
        <v>0.01</v>
      </c>
      <c r="BI20" s="122">
        <v>0.01</v>
      </c>
      <c r="BJ20" s="122">
        <v>0.01</v>
      </c>
      <c r="BK20" s="122">
        <v>0.01</v>
      </c>
      <c r="BL20" s="122">
        <v>0.01</v>
      </c>
      <c r="BM20" s="122">
        <v>0.01</v>
      </c>
      <c r="BN20" s="122">
        <v>0.01</v>
      </c>
      <c r="BO20" s="122">
        <v>0.01</v>
      </c>
      <c r="BP20" s="122">
        <v>0.01</v>
      </c>
      <c r="BQ20" s="122">
        <v>0.01</v>
      </c>
      <c r="BR20" s="122">
        <v>0.01</v>
      </c>
      <c r="BS20" s="122">
        <v>0.01</v>
      </c>
      <c r="BT20" s="122">
        <v>0.01</v>
      </c>
      <c r="BU20" s="122">
        <v>0.01</v>
      </c>
      <c r="BV20" s="122">
        <v>0.01</v>
      </c>
      <c r="BW20" s="122">
        <v>0.01</v>
      </c>
      <c r="BX20" s="122">
        <v>0.01</v>
      </c>
      <c r="BY20" s="122">
        <v>0.01</v>
      </c>
      <c r="BZ20" s="122">
        <v>0.01</v>
      </c>
      <c r="CA20" s="122">
        <v>0.01</v>
      </c>
      <c r="CB20" s="122">
        <v>0.01</v>
      </c>
      <c r="CC20" s="122">
        <v>0.01</v>
      </c>
      <c r="CD20" s="122">
        <v>0.01</v>
      </c>
      <c r="CE20" s="122">
        <v>0.01</v>
      </c>
    </row>
    <row r="21" spans="1:83" s="123" customFormat="1" ht="13.5" customHeight="1" x14ac:dyDescent="0.75">
      <c r="A21" s="121"/>
      <c r="B21" s="63" t="s">
        <v>246</v>
      </c>
      <c r="C21" s="93" t="s">
        <v>247</v>
      </c>
      <c r="D21" s="122">
        <v>0</v>
      </c>
      <c r="E21" s="122">
        <v>0.01</v>
      </c>
      <c r="F21" s="122">
        <v>0.01</v>
      </c>
      <c r="G21" s="122">
        <v>0.01</v>
      </c>
      <c r="H21" s="122">
        <v>0.01</v>
      </c>
      <c r="I21" s="122">
        <v>0</v>
      </c>
      <c r="J21" s="122">
        <v>0</v>
      </c>
      <c r="K21" s="122">
        <v>0</v>
      </c>
      <c r="L21" s="122">
        <v>0.01</v>
      </c>
      <c r="M21" s="122">
        <v>0</v>
      </c>
      <c r="N21" s="122">
        <v>0</v>
      </c>
      <c r="O21" s="122">
        <v>0</v>
      </c>
      <c r="P21" s="122">
        <v>0</v>
      </c>
      <c r="Q21" s="122">
        <v>0</v>
      </c>
      <c r="R21" s="122">
        <v>0</v>
      </c>
      <c r="S21" s="122">
        <v>0</v>
      </c>
      <c r="T21" s="122">
        <v>0</v>
      </c>
      <c r="U21" s="122">
        <v>0</v>
      </c>
      <c r="V21" s="122">
        <v>0</v>
      </c>
      <c r="W21" s="122">
        <v>0</v>
      </c>
      <c r="X21" s="122">
        <v>0</v>
      </c>
      <c r="Y21" s="122">
        <v>0</v>
      </c>
      <c r="Z21" s="122">
        <v>0</v>
      </c>
      <c r="AA21" s="122">
        <v>0</v>
      </c>
      <c r="AB21" s="122">
        <v>0</v>
      </c>
      <c r="AC21" s="122">
        <v>0</v>
      </c>
      <c r="AD21" s="122">
        <v>0</v>
      </c>
      <c r="AE21" s="122">
        <v>0</v>
      </c>
      <c r="AF21" s="122">
        <v>0</v>
      </c>
      <c r="AG21" s="122">
        <v>0</v>
      </c>
      <c r="AH21" s="122">
        <v>0</v>
      </c>
      <c r="AI21" s="122">
        <v>0</v>
      </c>
      <c r="AJ21" s="122">
        <v>0</v>
      </c>
      <c r="AK21" s="122">
        <v>0</v>
      </c>
      <c r="AL21" s="122">
        <v>0</v>
      </c>
      <c r="AM21" s="122">
        <v>0</v>
      </c>
      <c r="AN21" s="122">
        <v>0</v>
      </c>
      <c r="AO21" s="122">
        <v>0</v>
      </c>
      <c r="AP21" s="122">
        <v>0</v>
      </c>
      <c r="AQ21" s="122">
        <v>0</v>
      </c>
      <c r="AR21" s="122">
        <v>0</v>
      </c>
      <c r="AS21" s="122">
        <v>0</v>
      </c>
      <c r="AT21" s="122">
        <v>0</v>
      </c>
      <c r="AU21" s="122">
        <v>0.01</v>
      </c>
      <c r="AV21" s="122">
        <v>0</v>
      </c>
      <c r="AW21" s="122">
        <v>0</v>
      </c>
      <c r="AX21" s="122">
        <v>0</v>
      </c>
      <c r="AY21" s="122">
        <v>0</v>
      </c>
      <c r="AZ21" s="122">
        <v>0</v>
      </c>
      <c r="BA21" s="122">
        <v>0</v>
      </c>
      <c r="BB21" s="122">
        <v>0</v>
      </c>
      <c r="BC21" s="122">
        <v>0</v>
      </c>
      <c r="BD21" s="122">
        <v>0</v>
      </c>
      <c r="BE21" s="122">
        <v>0</v>
      </c>
      <c r="BF21" s="122">
        <v>0</v>
      </c>
      <c r="BG21" s="122">
        <v>0</v>
      </c>
      <c r="BH21" s="122">
        <v>0</v>
      </c>
      <c r="BI21" s="122">
        <v>0</v>
      </c>
      <c r="BJ21" s="122">
        <v>0</v>
      </c>
      <c r="BK21" s="122">
        <v>0</v>
      </c>
      <c r="BL21" s="122">
        <v>0</v>
      </c>
      <c r="BM21" s="122">
        <v>0</v>
      </c>
      <c r="BN21" s="122">
        <v>0</v>
      </c>
      <c r="BO21" s="122">
        <v>0.01</v>
      </c>
      <c r="BP21" s="122">
        <v>0</v>
      </c>
      <c r="BQ21" s="122">
        <v>0</v>
      </c>
      <c r="BR21" s="122">
        <v>0</v>
      </c>
      <c r="BS21" s="122">
        <v>0</v>
      </c>
      <c r="BT21" s="122">
        <v>0</v>
      </c>
      <c r="BU21" s="122">
        <v>0</v>
      </c>
      <c r="BV21" s="122">
        <v>0</v>
      </c>
      <c r="BW21" s="122">
        <v>0</v>
      </c>
      <c r="BX21" s="122">
        <v>0</v>
      </c>
      <c r="BY21" s="122">
        <v>0</v>
      </c>
      <c r="BZ21" s="122">
        <v>0</v>
      </c>
      <c r="CA21" s="122">
        <v>0</v>
      </c>
      <c r="CB21" s="122">
        <v>0</v>
      </c>
      <c r="CC21" s="122">
        <v>0</v>
      </c>
      <c r="CD21" s="122">
        <v>0</v>
      </c>
      <c r="CE21" s="122">
        <v>0</v>
      </c>
    </row>
    <row r="22" spans="1:83" s="123" customFormat="1" ht="13.5" customHeight="1" x14ac:dyDescent="0.75">
      <c r="A22" s="121"/>
      <c r="B22" s="63" t="s">
        <v>248</v>
      </c>
      <c r="C22" s="93" t="s">
        <v>249</v>
      </c>
      <c r="D22" s="122">
        <v>0.01</v>
      </c>
      <c r="E22" s="122">
        <v>0.01</v>
      </c>
      <c r="F22" s="122">
        <v>0.01</v>
      </c>
      <c r="G22" s="122">
        <v>0.01</v>
      </c>
      <c r="H22" s="122">
        <v>0.01</v>
      </c>
      <c r="I22" s="122">
        <v>0.01</v>
      </c>
      <c r="J22" s="122">
        <v>0.01</v>
      </c>
      <c r="K22" s="122">
        <v>0.01</v>
      </c>
      <c r="L22" s="122">
        <v>0.01</v>
      </c>
      <c r="M22" s="122">
        <v>0.01</v>
      </c>
      <c r="N22" s="122">
        <v>0.01</v>
      </c>
      <c r="O22" s="122">
        <v>0.01</v>
      </c>
      <c r="P22" s="122">
        <v>0.01</v>
      </c>
      <c r="Q22" s="122">
        <v>0.01</v>
      </c>
      <c r="R22" s="122">
        <v>0.01</v>
      </c>
      <c r="S22" s="122">
        <v>0.01</v>
      </c>
      <c r="T22" s="122">
        <v>0.01</v>
      </c>
      <c r="U22" s="122">
        <v>0.01</v>
      </c>
      <c r="V22" s="122">
        <v>0.01</v>
      </c>
      <c r="W22" s="122">
        <v>0.01</v>
      </c>
      <c r="X22" s="122">
        <v>0.01</v>
      </c>
      <c r="Y22" s="122">
        <v>0.01</v>
      </c>
      <c r="Z22" s="122">
        <v>0.01</v>
      </c>
      <c r="AA22" s="122">
        <v>0.01</v>
      </c>
      <c r="AB22" s="122">
        <v>0.01</v>
      </c>
      <c r="AC22" s="122">
        <v>0.01</v>
      </c>
      <c r="AD22" s="122">
        <v>0.01</v>
      </c>
      <c r="AE22" s="122">
        <v>0.01</v>
      </c>
      <c r="AF22" s="122">
        <v>0.01</v>
      </c>
      <c r="AG22" s="122">
        <v>0.01</v>
      </c>
      <c r="AH22" s="122">
        <v>0.01</v>
      </c>
      <c r="AI22" s="122">
        <v>0.01</v>
      </c>
      <c r="AJ22" s="122">
        <v>0</v>
      </c>
      <c r="AK22" s="122">
        <v>0</v>
      </c>
      <c r="AL22" s="122">
        <v>0</v>
      </c>
      <c r="AM22" s="122">
        <v>0.01</v>
      </c>
      <c r="AN22" s="122">
        <v>0</v>
      </c>
      <c r="AO22" s="122">
        <v>0</v>
      </c>
      <c r="AP22" s="122">
        <v>0</v>
      </c>
      <c r="AQ22" s="122">
        <v>0.01</v>
      </c>
      <c r="AR22" s="122">
        <v>0</v>
      </c>
      <c r="AS22" s="122">
        <v>0</v>
      </c>
      <c r="AT22" s="122">
        <v>0</v>
      </c>
      <c r="AU22" s="122">
        <v>0</v>
      </c>
      <c r="AV22" s="122">
        <v>0</v>
      </c>
      <c r="AW22" s="122">
        <v>0</v>
      </c>
      <c r="AX22" s="122">
        <v>0</v>
      </c>
      <c r="AY22" s="122">
        <v>0.01</v>
      </c>
      <c r="AZ22" s="122">
        <v>0</v>
      </c>
      <c r="BA22" s="122">
        <v>0</v>
      </c>
      <c r="BB22" s="122">
        <v>0</v>
      </c>
      <c r="BC22" s="122">
        <v>0.01</v>
      </c>
      <c r="BD22" s="122">
        <v>0.01</v>
      </c>
      <c r="BE22" s="122">
        <v>0.01</v>
      </c>
      <c r="BF22" s="122">
        <v>0.01</v>
      </c>
      <c r="BG22" s="122">
        <v>0.01</v>
      </c>
      <c r="BH22" s="122">
        <v>0.01</v>
      </c>
      <c r="BI22" s="122">
        <v>0.01</v>
      </c>
      <c r="BJ22" s="122">
        <v>0.01</v>
      </c>
      <c r="BK22" s="122">
        <v>0.01</v>
      </c>
      <c r="BL22" s="122">
        <v>0.01</v>
      </c>
      <c r="BM22" s="122">
        <v>0.01</v>
      </c>
      <c r="BN22" s="122">
        <v>0.01</v>
      </c>
      <c r="BO22" s="122">
        <v>0.01</v>
      </c>
      <c r="BP22" s="122">
        <v>0.01</v>
      </c>
      <c r="BQ22" s="122">
        <v>0.01</v>
      </c>
      <c r="BR22" s="122">
        <v>0.01</v>
      </c>
      <c r="BS22" s="122">
        <v>0.01</v>
      </c>
      <c r="BT22" s="122">
        <v>0.01</v>
      </c>
      <c r="BU22" s="122">
        <v>0.02</v>
      </c>
      <c r="BV22" s="122">
        <v>0.01</v>
      </c>
      <c r="BW22" s="122">
        <v>0.01</v>
      </c>
      <c r="BX22" s="122">
        <v>0.01</v>
      </c>
      <c r="BY22" s="122">
        <v>0.01</v>
      </c>
      <c r="BZ22" s="122">
        <v>0.01</v>
      </c>
      <c r="CA22" s="122">
        <v>0.01</v>
      </c>
      <c r="CB22" s="122">
        <v>0.01</v>
      </c>
      <c r="CC22" s="122">
        <v>0.01</v>
      </c>
      <c r="CD22" s="122">
        <v>0.01</v>
      </c>
      <c r="CE22" s="122">
        <v>0.01</v>
      </c>
    </row>
    <row r="23" spans="1:83" s="123" customFormat="1" ht="13.5" customHeight="1" x14ac:dyDescent="0.75">
      <c r="A23" s="121"/>
      <c r="B23" s="63" t="s">
        <v>250</v>
      </c>
      <c r="C23" s="93" t="s">
        <v>251</v>
      </c>
      <c r="D23" s="122">
        <v>0.01</v>
      </c>
      <c r="E23" s="122">
        <v>0</v>
      </c>
      <c r="F23" s="122">
        <v>0</v>
      </c>
      <c r="G23" s="122">
        <v>0</v>
      </c>
      <c r="H23" s="122">
        <v>0</v>
      </c>
      <c r="I23" s="122">
        <v>0</v>
      </c>
      <c r="J23" s="122">
        <v>0</v>
      </c>
      <c r="K23" s="122">
        <v>0</v>
      </c>
      <c r="L23" s="122">
        <v>0</v>
      </c>
      <c r="M23" s="122">
        <v>0</v>
      </c>
      <c r="N23" s="122">
        <v>0</v>
      </c>
      <c r="O23" s="122">
        <v>0</v>
      </c>
      <c r="P23" s="122">
        <v>0</v>
      </c>
      <c r="Q23" s="122">
        <v>0</v>
      </c>
      <c r="R23" s="122">
        <v>0</v>
      </c>
      <c r="S23" s="122">
        <v>0</v>
      </c>
      <c r="T23" s="122">
        <v>0</v>
      </c>
      <c r="U23" s="122">
        <v>0</v>
      </c>
      <c r="V23" s="122">
        <v>0</v>
      </c>
      <c r="W23" s="122">
        <v>0</v>
      </c>
      <c r="X23" s="122">
        <v>0</v>
      </c>
      <c r="Y23" s="122">
        <v>0</v>
      </c>
      <c r="Z23" s="122">
        <v>0</v>
      </c>
      <c r="AA23" s="122">
        <v>0</v>
      </c>
      <c r="AB23" s="122">
        <v>0</v>
      </c>
      <c r="AC23" s="122">
        <v>0</v>
      </c>
      <c r="AD23" s="122">
        <v>0</v>
      </c>
      <c r="AE23" s="122">
        <v>0</v>
      </c>
      <c r="AF23" s="122">
        <v>0</v>
      </c>
      <c r="AG23" s="122">
        <v>0</v>
      </c>
      <c r="AH23" s="122">
        <v>0</v>
      </c>
      <c r="AI23" s="122">
        <v>0</v>
      </c>
      <c r="AJ23" s="122">
        <v>0</v>
      </c>
      <c r="AK23" s="122">
        <v>0</v>
      </c>
      <c r="AL23" s="122">
        <v>0</v>
      </c>
      <c r="AM23" s="122">
        <v>0</v>
      </c>
      <c r="AN23" s="122">
        <v>0</v>
      </c>
      <c r="AO23" s="122">
        <v>0</v>
      </c>
      <c r="AP23" s="122">
        <v>0</v>
      </c>
      <c r="AQ23" s="122">
        <v>0</v>
      </c>
      <c r="AR23" s="122">
        <v>0</v>
      </c>
      <c r="AS23" s="122">
        <v>0</v>
      </c>
      <c r="AT23" s="122">
        <v>0</v>
      </c>
      <c r="AU23" s="122">
        <v>0</v>
      </c>
      <c r="AV23" s="122">
        <v>0</v>
      </c>
      <c r="AW23" s="122">
        <v>0</v>
      </c>
      <c r="AX23" s="122">
        <v>0</v>
      </c>
      <c r="AY23" s="122">
        <v>0.01</v>
      </c>
      <c r="AZ23" s="122">
        <v>0</v>
      </c>
      <c r="BA23" s="122">
        <v>0</v>
      </c>
      <c r="BB23" s="122">
        <v>0</v>
      </c>
      <c r="BC23" s="122">
        <v>0.01</v>
      </c>
      <c r="BD23" s="122">
        <v>0</v>
      </c>
      <c r="BE23" s="122">
        <v>0.01</v>
      </c>
      <c r="BF23" s="122">
        <v>0</v>
      </c>
      <c r="BG23" s="122">
        <v>0.01</v>
      </c>
      <c r="BH23" s="122">
        <v>0</v>
      </c>
      <c r="BI23" s="122">
        <v>0</v>
      </c>
      <c r="BJ23" s="122">
        <v>0</v>
      </c>
      <c r="BK23" s="122">
        <v>0.01</v>
      </c>
      <c r="BL23" s="122">
        <v>0.01</v>
      </c>
      <c r="BM23" s="122">
        <v>0</v>
      </c>
      <c r="BN23" s="122">
        <v>0</v>
      </c>
      <c r="BO23" s="122">
        <v>0.01</v>
      </c>
      <c r="BP23" s="122">
        <v>0</v>
      </c>
      <c r="BQ23" s="122">
        <v>0.01</v>
      </c>
      <c r="BR23" s="122">
        <v>0.01</v>
      </c>
      <c r="BS23" s="122">
        <v>0.01</v>
      </c>
      <c r="BT23" s="122">
        <v>0</v>
      </c>
      <c r="BU23" s="122">
        <v>0.01</v>
      </c>
      <c r="BV23" s="122">
        <v>0</v>
      </c>
      <c r="BW23" s="122">
        <v>0.01</v>
      </c>
      <c r="BX23" s="122">
        <v>0</v>
      </c>
      <c r="BY23" s="122">
        <v>0</v>
      </c>
      <c r="BZ23" s="122">
        <v>0.01</v>
      </c>
      <c r="CA23" s="122">
        <v>0.01</v>
      </c>
      <c r="CB23" s="122">
        <v>0.01</v>
      </c>
      <c r="CC23" s="122">
        <v>0.01</v>
      </c>
      <c r="CD23" s="122">
        <v>0.01</v>
      </c>
      <c r="CE23" s="122">
        <v>0.01</v>
      </c>
    </row>
    <row r="24" spans="1:83" s="123" customFormat="1" ht="13.5" customHeight="1" x14ac:dyDescent="0.75">
      <c r="A24" s="121"/>
      <c r="B24" s="63" t="s">
        <v>252</v>
      </c>
      <c r="C24" s="93" t="s">
        <v>253</v>
      </c>
      <c r="D24" s="122">
        <v>0.01</v>
      </c>
      <c r="E24" s="122">
        <v>0</v>
      </c>
      <c r="F24" s="122">
        <v>0</v>
      </c>
      <c r="G24" s="122">
        <v>0</v>
      </c>
      <c r="H24" s="122">
        <v>0</v>
      </c>
      <c r="I24" s="122">
        <v>0</v>
      </c>
      <c r="J24" s="122">
        <v>0</v>
      </c>
      <c r="K24" s="122">
        <v>0</v>
      </c>
      <c r="L24" s="122">
        <v>0</v>
      </c>
      <c r="M24" s="122">
        <v>0</v>
      </c>
      <c r="N24" s="122">
        <v>0</v>
      </c>
      <c r="O24" s="122">
        <v>0</v>
      </c>
      <c r="P24" s="122">
        <v>0</v>
      </c>
      <c r="Q24" s="122">
        <v>0</v>
      </c>
      <c r="R24" s="122">
        <v>0</v>
      </c>
      <c r="S24" s="122">
        <v>0</v>
      </c>
      <c r="T24" s="122">
        <v>0</v>
      </c>
      <c r="U24" s="122">
        <v>0</v>
      </c>
      <c r="V24" s="122">
        <v>0</v>
      </c>
      <c r="W24" s="122">
        <v>0</v>
      </c>
      <c r="X24" s="122">
        <v>0</v>
      </c>
      <c r="Y24" s="122">
        <v>0</v>
      </c>
      <c r="Z24" s="122">
        <v>0</v>
      </c>
      <c r="AA24" s="122">
        <v>0</v>
      </c>
      <c r="AB24" s="122">
        <v>0</v>
      </c>
      <c r="AC24" s="122">
        <v>0</v>
      </c>
      <c r="AD24" s="122">
        <v>0</v>
      </c>
      <c r="AE24" s="122">
        <v>0</v>
      </c>
      <c r="AF24" s="122">
        <v>0</v>
      </c>
      <c r="AG24" s="122">
        <v>0</v>
      </c>
      <c r="AH24" s="122">
        <v>0</v>
      </c>
      <c r="AI24" s="122">
        <v>0</v>
      </c>
      <c r="AJ24" s="122">
        <v>0</v>
      </c>
      <c r="AK24" s="122">
        <v>0</v>
      </c>
      <c r="AL24" s="122">
        <v>0</v>
      </c>
      <c r="AM24" s="122">
        <v>0</v>
      </c>
      <c r="AN24" s="122">
        <v>0</v>
      </c>
      <c r="AO24" s="122">
        <v>0</v>
      </c>
      <c r="AP24" s="122">
        <v>0</v>
      </c>
      <c r="AQ24" s="122">
        <v>0.01</v>
      </c>
      <c r="AR24" s="122">
        <v>0</v>
      </c>
      <c r="AS24" s="122">
        <v>0</v>
      </c>
      <c r="AT24" s="122">
        <v>0</v>
      </c>
      <c r="AU24" s="122">
        <v>0</v>
      </c>
      <c r="AV24" s="122">
        <v>0</v>
      </c>
      <c r="AW24" s="122">
        <v>0</v>
      </c>
      <c r="AX24" s="122">
        <v>0</v>
      </c>
      <c r="AY24" s="122">
        <v>0</v>
      </c>
      <c r="AZ24" s="122">
        <v>0</v>
      </c>
      <c r="BA24" s="122">
        <v>0</v>
      </c>
      <c r="BB24" s="122">
        <v>0.01</v>
      </c>
      <c r="BC24" s="122">
        <v>0.01</v>
      </c>
      <c r="BD24" s="122">
        <v>0</v>
      </c>
      <c r="BE24" s="122">
        <v>0</v>
      </c>
      <c r="BF24" s="122">
        <v>0.01</v>
      </c>
      <c r="BG24" s="122">
        <v>0.01</v>
      </c>
      <c r="BH24" s="122">
        <v>0</v>
      </c>
      <c r="BI24" s="122">
        <v>0.01</v>
      </c>
      <c r="BJ24" s="122">
        <v>0</v>
      </c>
      <c r="BK24" s="122">
        <v>0.01</v>
      </c>
      <c r="BL24" s="122">
        <v>0.01</v>
      </c>
      <c r="BM24" s="122">
        <v>0.01</v>
      </c>
      <c r="BN24" s="122">
        <v>0.01</v>
      </c>
      <c r="BO24" s="122">
        <v>0.01</v>
      </c>
      <c r="BP24" s="122">
        <v>0.01</v>
      </c>
      <c r="BQ24" s="122">
        <v>0.01</v>
      </c>
      <c r="BR24" s="122">
        <v>0.01</v>
      </c>
      <c r="BS24" s="122">
        <v>0.01</v>
      </c>
      <c r="BT24" s="122">
        <v>0</v>
      </c>
      <c r="BU24" s="122">
        <v>0.01</v>
      </c>
      <c r="BV24" s="122">
        <v>0.01</v>
      </c>
      <c r="BW24" s="122">
        <v>0.01</v>
      </c>
      <c r="BX24" s="122">
        <v>0</v>
      </c>
      <c r="BY24" s="122">
        <v>0.01</v>
      </c>
      <c r="BZ24" s="122">
        <v>0.01</v>
      </c>
      <c r="CA24" s="122">
        <v>0.01</v>
      </c>
      <c r="CB24" s="122">
        <v>0.01</v>
      </c>
      <c r="CC24" s="122">
        <v>0.01</v>
      </c>
      <c r="CD24" s="122">
        <v>0.01</v>
      </c>
      <c r="CE24" s="122">
        <v>0.01</v>
      </c>
    </row>
    <row r="25" spans="1:83" s="123" customFormat="1" ht="13.5" customHeight="1" x14ac:dyDescent="0.75">
      <c r="A25" s="121"/>
      <c r="B25" s="63" t="s">
        <v>254</v>
      </c>
      <c r="C25" s="93" t="s">
        <v>255</v>
      </c>
      <c r="D25" s="122">
        <v>0.01</v>
      </c>
      <c r="E25" s="122">
        <v>0</v>
      </c>
      <c r="F25" s="122">
        <v>0.01</v>
      </c>
      <c r="G25" s="122">
        <v>0.01</v>
      </c>
      <c r="H25" s="122">
        <v>0.01</v>
      </c>
      <c r="I25" s="122">
        <v>0.01</v>
      </c>
      <c r="J25" s="122">
        <v>0.01</v>
      </c>
      <c r="K25" s="122">
        <v>0.01</v>
      </c>
      <c r="L25" s="122">
        <v>0.01</v>
      </c>
      <c r="M25" s="122">
        <v>0</v>
      </c>
      <c r="N25" s="122">
        <v>0.01</v>
      </c>
      <c r="O25" s="122">
        <v>0.01</v>
      </c>
      <c r="P25" s="122">
        <v>0.01</v>
      </c>
      <c r="Q25" s="122">
        <v>0</v>
      </c>
      <c r="R25" s="122">
        <v>0</v>
      </c>
      <c r="S25" s="122">
        <v>0.01</v>
      </c>
      <c r="T25" s="122">
        <v>0.01</v>
      </c>
      <c r="U25" s="122">
        <v>0.01</v>
      </c>
      <c r="V25" s="122">
        <v>0.01</v>
      </c>
      <c r="W25" s="122">
        <v>0.01</v>
      </c>
      <c r="X25" s="122">
        <v>0.01</v>
      </c>
      <c r="Y25" s="122">
        <v>0.01</v>
      </c>
      <c r="Z25" s="122">
        <v>0.01</v>
      </c>
      <c r="AA25" s="122">
        <v>0.01</v>
      </c>
      <c r="AB25" s="122">
        <v>0.01</v>
      </c>
      <c r="AC25" s="122">
        <v>0.01</v>
      </c>
      <c r="AD25" s="122">
        <v>0.01</v>
      </c>
      <c r="AE25" s="122">
        <v>0.01</v>
      </c>
      <c r="AF25" s="122">
        <v>0.01</v>
      </c>
      <c r="AG25" s="122">
        <v>0.01</v>
      </c>
      <c r="AH25" s="122">
        <v>0.01</v>
      </c>
      <c r="AI25" s="122">
        <v>0.01</v>
      </c>
      <c r="AJ25" s="122">
        <v>0.01</v>
      </c>
      <c r="AK25" s="122">
        <v>0.01</v>
      </c>
      <c r="AL25" s="122">
        <v>0.01</v>
      </c>
      <c r="AM25" s="122">
        <v>0.01</v>
      </c>
      <c r="AN25" s="122">
        <v>0.01</v>
      </c>
      <c r="AO25" s="122">
        <v>0.01</v>
      </c>
      <c r="AP25" s="122">
        <v>0.01</v>
      </c>
      <c r="AQ25" s="122">
        <v>0.01</v>
      </c>
      <c r="AR25" s="122">
        <v>0.01</v>
      </c>
      <c r="AS25" s="122">
        <v>0.01</v>
      </c>
      <c r="AT25" s="122">
        <v>0.01</v>
      </c>
      <c r="AU25" s="122">
        <v>0.01</v>
      </c>
      <c r="AV25" s="122">
        <v>0.01</v>
      </c>
      <c r="AW25" s="122">
        <v>0.01</v>
      </c>
      <c r="AX25" s="122">
        <v>0.01</v>
      </c>
      <c r="AY25" s="122">
        <v>0.01</v>
      </c>
      <c r="AZ25" s="122">
        <v>0.01</v>
      </c>
      <c r="BA25" s="122">
        <v>0.01</v>
      </c>
      <c r="BB25" s="122">
        <v>0.01</v>
      </c>
      <c r="BC25" s="122">
        <v>0.01</v>
      </c>
      <c r="BD25" s="122">
        <v>0.01</v>
      </c>
      <c r="BE25" s="122">
        <v>0.01</v>
      </c>
      <c r="BF25" s="122">
        <v>0.01</v>
      </c>
      <c r="BG25" s="122">
        <v>0.01</v>
      </c>
      <c r="BH25" s="122">
        <v>0.01</v>
      </c>
      <c r="BI25" s="122">
        <v>0.01</v>
      </c>
      <c r="BJ25" s="122">
        <v>0.01</v>
      </c>
      <c r="BK25" s="122">
        <v>0.01</v>
      </c>
      <c r="BL25" s="122">
        <v>0.01</v>
      </c>
      <c r="BM25" s="122">
        <v>0.01</v>
      </c>
      <c r="BN25" s="122">
        <v>0.01</v>
      </c>
      <c r="BO25" s="122">
        <v>0.01</v>
      </c>
      <c r="BP25" s="122">
        <v>0.01</v>
      </c>
      <c r="BQ25" s="122">
        <v>0.01</v>
      </c>
      <c r="BR25" s="122">
        <v>0.01</v>
      </c>
      <c r="BS25" s="122">
        <v>0.01</v>
      </c>
      <c r="BT25" s="122">
        <v>0.01</v>
      </c>
      <c r="BU25" s="122">
        <v>0.01</v>
      </c>
      <c r="BV25" s="122">
        <v>0.01</v>
      </c>
      <c r="BW25" s="122">
        <v>0.01</v>
      </c>
      <c r="BX25" s="122">
        <v>0.01</v>
      </c>
      <c r="BY25" s="122">
        <v>0.01</v>
      </c>
      <c r="BZ25" s="122">
        <v>0.01</v>
      </c>
      <c r="CA25" s="122">
        <v>0.01</v>
      </c>
      <c r="CB25" s="122">
        <v>0</v>
      </c>
      <c r="CC25" s="122">
        <v>0.01</v>
      </c>
      <c r="CD25" s="122">
        <v>0.01</v>
      </c>
      <c r="CE25" s="122">
        <v>0.01</v>
      </c>
    </row>
    <row r="26" spans="1:83" ht="13.5" customHeight="1" x14ac:dyDescent="0.75">
      <c r="A26" s="68"/>
      <c r="B26" s="67" t="s">
        <v>256</v>
      </c>
      <c r="C26" s="66" t="s">
        <v>257</v>
      </c>
      <c r="D26" s="119">
        <v>0.01</v>
      </c>
      <c r="E26" s="119">
        <v>0.01</v>
      </c>
      <c r="F26" s="119">
        <v>0.01</v>
      </c>
      <c r="G26" s="119">
        <v>0.01</v>
      </c>
      <c r="H26" s="119">
        <v>0.01</v>
      </c>
      <c r="I26" s="119">
        <v>0.01</v>
      </c>
      <c r="J26" s="119">
        <v>0.01</v>
      </c>
      <c r="K26" s="119">
        <v>0.01</v>
      </c>
      <c r="L26" s="119">
        <v>0.01</v>
      </c>
      <c r="M26" s="119">
        <v>0.01</v>
      </c>
      <c r="N26" s="119">
        <v>0.01</v>
      </c>
      <c r="O26" s="119">
        <v>0.01</v>
      </c>
      <c r="P26" s="119">
        <v>0.01</v>
      </c>
      <c r="Q26" s="119">
        <v>0.01</v>
      </c>
      <c r="R26" s="119">
        <v>0.01</v>
      </c>
      <c r="S26" s="119">
        <v>0.01</v>
      </c>
      <c r="T26" s="119">
        <v>0.01</v>
      </c>
      <c r="U26" s="119">
        <v>0.01</v>
      </c>
      <c r="V26" s="119">
        <v>0.01</v>
      </c>
      <c r="W26" s="119">
        <v>0.01</v>
      </c>
      <c r="X26" s="119">
        <v>0.01</v>
      </c>
      <c r="Y26" s="119">
        <v>0.01</v>
      </c>
      <c r="Z26" s="119">
        <v>0.01</v>
      </c>
      <c r="AA26" s="119">
        <v>0.01</v>
      </c>
      <c r="AB26" s="119">
        <v>0.01</v>
      </c>
      <c r="AC26" s="119">
        <v>0.01</v>
      </c>
      <c r="AD26" s="119">
        <v>0.01</v>
      </c>
      <c r="AE26" s="119">
        <v>0.01</v>
      </c>
      <c r="AF26" s="119">
        <v>0.01</v>
      </c>
      <c r="AG26" s="119">
        <v>0.01</v>
      </c>
      <c r="AH26" s="119">
        <v>0.01</v>
      </c>
      <c r="AI26" s="119">
        <v>0.01</v>
      </c>
      <c r="AJ26" s="119">
        <v>0.01</v>
      </c>
      <c r="AK26" s="119">
        <v>0.01</v>
      </c>
      <c r="AL26" s="119">
        <v>0.01</v>
      </c>
      <c r="AM26" s="119">
        <v>0.01</v>
      </c>
      <c r="AN26" s="119">
        <v>0.01</v>
      </c>
      <c r="AO26" s="119">
        <v>0.01</v>
      </c>
      <c r="AP26" s="119">
        <v>0.01</v>
      </c>
      <c r="AQ26" s="119">
        <v>0.01</v>
      </c>
      <c r="AR26" s="119">
        <v>0.01</v>
      </c>
      <c r="AS26" s="119">
        <v>0.01</v>
      </c>
      <c r="AT26" s="119">
        <v>0.01</v>
      </c>
      <c r="AU26" s="119">
        <v>0.01</v>
      </c>
      <c r="AV26" s="119">
        <v>0.01</v>
      </c>
      <c r="AW26" s="119">
        <v>0.01</v>
      </c>
      <c r="AX26" s="119">
        <v>0.01</v>
      </c>
      <c r="AY26" s="119">
        <v>0.01</v>
      </c>
      <c r="AZ26" s="119">
        <v>0.01</v>
      </c>
      <c r="BA26" s="119">
        <v>0.01</v>
      </c>
      <c r="BB26" s="119">
        <v>0.01</v>
      </c>
      <c r="BC26" s="119">
        <v>0.01</v>
      </c>
      <c r="BD26" s="119">
        <v>0.01</v>
      </c>
      <c r="BE26" s="119">
        <v>0.01</v>
      </c>
      <c r="BF26" s="119">
        <v>0.01</v>
      </c>
      <c r="BG26" s="119">
        <v>0.01</v>
      </c>
      <c r="BH26" s="119">
        <v>0.01</v>
      </c>
      <c r="BI26" s="119">
        <v>0.01</v>
      </c>
      <c r="BJ26" s="119">
        <v>0.01</v>
      </c>
      <c r="BK26" s="119">
        <v>0.01</v>
      </c>
      <c r="BL26" s="119">
        <v>0.01</v>
      </c>
      <c r="BM26" s="119">
        <v>0.01</v>
      </c>
      <c r="BN26" s="119">
        <v>0.01</v>
      </c>
      <c r="BO26" s="119">
        <v>0.01</v>
      </c>
      <c r="BP26" s="119">
        <v>0.01</v>
      </c>
      <c r="BQ26" s="119">
        <v>0.01</v>
      </c>
      <c r="BR26" s="119">
        <v>0.01</v>
      </c>
      <c r="BS26" s="119">
        <v>0.01</v>
      </c>
      <c r="BT26" s="119">
        <v>0.01</v>
      </c>
      <c r="BU26" s="119">
        <v>0.01</v>
      </c>
      <c r="BV26" s="119">
        <v>0.01</v>
      </c>
      <c r="BW26" s="119">
        <v>0.01</v>
      </c>
      <c r="BX26" s="119">
        <v>0.01</v>
      </c>
      <c r="BY26" s="119">
        <v>0.01</v>
      </c>
      <c r="BZ26" s="119">
        <v>0.01</v>
      </c>
      <c r="CA26" s="119">
        <v>0.01</v>
      </c>
      <c r="CB26" s="119">
        <v>0.01</v>
      </c>
      <c r="CC26" s="119">
        <v>0.01</v>
      </c>
      <c r="CD26" s="119">
        <v>0.01</v>
      </c>
      <c r="CE26" s="119">
        <v>0.01</v>
      </c>
    </row>
    <row r="27" spans="1:83" ht="13.5" customHeight="1" x14ac:dyDescent="0.75">
      <c r="A27" s="68"/>
      <c r="B27" s="67" t="s">
        <v>258</v>
      </c>
      <c r="C27" s="66" t="s">
        <v>259</v>
      </c>
      <c r="D27" s="119">
        <v>0</v>
      </c>
      <c r="E27" s="119">
        <v>0</v>
      </c>
      <c r="F27" s="119">
        <v>0</v>
      </c>
      <c r="G27" s="119">
        <v>0</v>
      </c>
      <c r="H27" s="119">
        <v>0.01</v>
      </c>
      <c r="I27" s="119">
        <v>0.01</v>
      </c>
      <c r="J27" s="119">
        <v>0.01</v>
      </c>
      <c r="K27" s="119">
        <v>0.01</v>
      </c>
      <c r="L27" s="119">
        <v>0.01</v>
      </c>
      <c r="M27" s="119">
        <v>0.01</v>
      </c>
      <c r="N27" s="119">
        <v>0</v>
      </c>
      <c r="O27" s="119">
        <v>0</v>
      </c>
      <c r="P27" s="119">
        <v>0</v>
      </c>
      <c r="Q27" s="119">
        <v>0</v>
      </c>
      <c r="R27" s="119">
        <v>0.01</v>
      </c>
      <c r="S27" s="119">
        <v>0.01</v>
      </c>
      <c r="T27" s="119">
        <v>0.01</v>
      </c>
      <c r="U27" s="119">
        <v>0.01</v>
      </c>
      <c r="V27" s="119">
        <v>0.01</v>
      </c>
      <c r="W27" s="119">
        <v>0.01</v>
      </c>
      <c r="X27" s="119">
        <v>0.01</v>
      </c>
      <c r="Y27" s="119">
        <v>0.01</v>
      </c>
      <c r="Z27" s="119">
        <v>0.01</v>
      </c>
      <c r="AA27" s="119">
        <v>0.01</v>
      </c>
      <c r="AB27" s="119">
        <v>0.01</v>
      </c>
      <c r="AC27" s="119">
        <v>0.01</v>
      </c>
      <c r="AD27" s="119">
        <v>0.01</v>
      </c>
      <c r="AE27" s="119">
        <v>0.01</v>
      </c>
      <c r="AF27" s="119">
        <v>0.01</v>
      </c>
      <c r="AG27" s="119">
        <v>0.01</v>
      </c>
      <c r="AH27" s="119">
        <v>0.01</v>
      </c>
      <c r="AI27" s="119">
        <v>0.01</v>
      </c>
      <c r="AJ27" s="119">
        <v>0</v>
      </c>
      <c r="AK27" s="119">
        <v>0</v>
      </c>
      <c r="AL27" s="119">
        <v>0</v>
      </c>
      <c r="AM27" s="119">
        <v>0.01</v>
      </c>
      <c r="AN27" s="119">
        <v>0</v>
      </c>
      <c r="AO27" s="119">
        <v>0</v>
      </c>
      <c r="AP27" s="119">
        <v>0</v>
      </c>
      <c r="AQ27" s="119">
        <v>0</v>
      </c>
      <c r="AR27" s="119">
        <v>0</v>
      </c>
      <c r="AS27" s="119">
        <v>0</v>
      </c>
      <c r="AT27" s="119">
        <v>0</v>
      </c>
      <c r="AU27" s="119">
        <v>0.01</v>
      </c>
      <c r="AV27" s="119">
        <v>0</v>
      </c>
      <c r="AW27" s="119">
        <v>0</v>
      </c>
      <c r="AX27" s="119">
        <v>0</v>
      </c>
      <c r="AY27" s="119">
        <v>0</v>
      </c>
      <c r="AZ27" s="119">
        <v>0</v>
      </c>
      <c r="BA27" s="119">
        <v>0</v>
      </c>
      <c r="BB27" s="119">
        <v>0</v>
      </c>
      <c r="BC27" s="119">
        <v>0</v>
      </c>
      <c r="BD27" s="119">
        <v>0</v>
      </c>
      <c r="BE27" s="119">
        <v>0.01</v>
      </c>
      <c r="BF27" s="119">
        <v>0.01</v>
      </c>
      <c r="BG27" s="119">
        <v>0.01</v>
      </c>
      <c r="BH27" s="119">
        <v>0.01</v>
      </c>
      <c r="BI27" s="119">
        <v>0.01</v>
      </c>
      <c r="BJ27" s="119">
        <v>0.01</v>
      </c>
      <c r="BK27" s="119">
        <v>0.01</v>
      </c>
      <c r="BL27" s="119">
        <v>0.01</v>
      </c>
      <c r="BM27" s="119">
        <v>0.01</v>
      </c>
      <c r="BN27" s="119">
        <v>0.01</v>
      </c>
      <c r="BO27" s="119">
        <v>0.01</v>
      </c>
      <c r="BP27" s="119">
        <v>0.01</v>
      </c>
      <c r="BQ27" s="119">
        <v>0.01</v>
      </c>
      <c r="BR27" s="119">
        <v>0.01</v>
      </c>
      <c r="BS27" s="119">
        <v>0.01</v>
      </c>
      <c r="BT27" s="119">
        <v>0</v>
      </c>
      <c r="BU27" s="119">
        <v>0</v>
      </c>
      <c r="BV27" s="119">
        <v>0</v>
      </c>
      <c r="BW27" s="119">
        <v>0</v>
      </c>
      <c r="BX27" s="119">
        <v>0</v>
      </c>
      <c r="BY27" s="119">
        <v>0</v>
      </c>
      <c r="BZ27" s="119">
        <v>0</v>
      </c>
      <c r="CA27" s="119">
        <v>0</v>
      </c>
      <c r="CB27" s="119">
        <v>0</v>
      </c>
      <c r="CC27" s="119">
        <v>0</v>
      </c>
      <c r="CD27" s="119">
        <v>0</v>
      </c>
      <c r="CE27" s="119">
        <v>0</v>
      </c>
    </row>
    <row r="28" spans="1:83" ht="13.5" customHeight="1" x14ac:dyDescent="0.75">
      <c r="A28" s="68"/>
      <c r="B28" s="67" t="s">
        <v>260</v>
      </c>
      <c r="C28" s="66" t="s">
        <v>261</v>
      </c>
      <c r="D28" s="119">
        <v>0.11</v>
      </c>
      <c r="E28" s="119">
        <v>0.05</v>
      </c>
      <c r="F28" s="119">
        <v>0.05</v>
      </c>
      <c r="G28" s="119">
        <v>0.05</v>
      </c>
      <c r="H28" s="119">
        <v>0.05</v>
      </c>
      <c r="I28" s="119">
        <v>0.06</v>
      </c>
      <c r="J28" s="119">
        <v>0.05</v>
      </c>
      <c r="K28" s="119">
        <v>0.05</v>
      </c>
      <c r="L28" s="119">
        <v>0.05</v>
      </c>
      <c r="M28" s="119">
        <v>0.06</v>
      </c>
      <c r="N28" s="119">
        <v>0.06</v>
      </c>
      <c r="O28" s="119">
        <v>0.06</v>
      </c>
      <c r="P28" s="119">
        <v>0.06</v>
      </c>
      <c r="Q28" s="119">
        <v>7.0000000000000007E-2</v>
      </c>
      <c r="R28" s="119">
        <v>0.06</v>
      </c>
      <c r="S28" s="119">
        <v>0.05</v>
      </c>
      <c r="T28" s="119">
        <v>0.06</v>
      </c>
      <c r="U28" s="119">
        <v>7.0000000000000007E-2</v>
      </c>
      <c r="V28" s="119">
        <v>0.06</v>
      </c>
      <c r="W28" s="119">
        <v>0.05</v>
      </c>
      <c r="X28" s="119">
        <v>0.06</v>
      </c>
      <c r="Y28" s="119">
        <v>7.0000000000000007E-2</v>
      </c>
      <c r="Z28" s="119">
        <v>0.06</v>
      </c>
      <c r="AA28" s="119">
        <v>0.06</v>
      </c>
      <c r="AB28" s="119">
        <v>7.0000000000000007E-2</v>
      </c>
      <c r="AC28" s="119">
        <v>7.0000000000000007E-2</v>
      </c>
      <c r="AD28" s="119">
        <v>0.06</v>
      </c>
      <c r="AE28" s="119">
        <v>7.0000000000000007E-2</v>
      </c>
      <c r="AF28" s="119">
        <v>0.08</v>
      </c>
      <c r="AG28" s="119">
        <v>0.08</v>
      </c>
      <c r="AH28" s="119">
        <v>7.0000000000000007E-2</v>
      </c>
      <c r="AI28" s="119">
        <v>7.0000000000000007E-2</v>
      </c>
      <c r="AJ28" s="119">
        <v>7.0000000000000007E-2</v>
      </c>
      <c r="AK28" s="119">
        <v>0.08</v>
      </c>
      <c r="AL28" s="119">
        <v>7.0000000000000007E-2</v>
      </c>
      <c r="AM28" s="119">
        <v>0.08</v>
      </c>
      <c r="AN28" s="119">
        <v>7.0000000000000007E-2</v>
      </c>
      <c r="AO28" s="119">
        <v>0.08</v>
      </c>
      <c r="AP28" s="119">
        <v>7.0000000000000007E-2</v>
      </c>
      <c r="AQ28" s="119">
        <v>0.08</v>
      </c>
      <c r="AR28" s="119">
        <v>7.0000000000000007E-2</v>
      </c>
      <c r="AS28" s="119">
        <v>0.08</v>
      </c>
      <c r="AT28" s="119">
        <v>7.0000000000000007E-2</v>
      </c>
      <c r="AU28" s="119">
        <v>7.0000000000000007E-2</v>
      </c>
      <c r="AV28" s="119">
        <v>0.06</v>
      </c>
      <c r="AW28" s="119">
        <v>0.06</v>
      </c>
      <c r="AX28" s="119">
        <v>0.06</v>
      </c>
      <c r="AY28" s="119">
        <v>7.0000000000000007E-2</v>
      </c>
      <c r="AZ28" s="119">
        <v>0.06</v>
      </c>
      <c r="BA28" s="119">
        <v>7.0000000000000007E-2</v>
      </c>
      <c r="BB28" s="119">
        <v>0.06</v>
      </c>
      <c r="BC28" s="119">
        <v>0.06</v>
      </c>
      <c r="BD28" s="119">
        <v>0.06</v>
      </c>
      <c r="BE28" s="119">
        <v>7.0000000000000007E-2</v>
      </c>
      <c r="BF28" s="119">
        <v>7.0000000000000007E-2</v>
      </c>
      <c r="BG28" s="119">
        <v>0.1</v>
      </c>
      <c r="BH28" s="119">
        <v>0.08</v>
      </c>
      <c r="BI28" s="119">
        <v>0.09</v>
      </c>
      <c r="BJ28" s="119">
        <v>7.0000000000000007E-2</v>
      </c>
      <c r="BK28" s="119">
        <v>0.08</v>
      </c>
      <c r="BL28" s="119">
        <v>7.0000000000000007E-2</v>
      </c>
      <c r="BM28" s="119">
        <v>0.08</v>
      </c>
      <c r="BN28" s="119">
        <v>7.0000000000000007E-2</v>
      </c>
      <c r="BO28" s="119">
        <v>0.09</v>
      </c>
      <c r="BP28" s="119">
        <v>0.08</v>
      </c>
      <c r="BQ28" s="119">
        <v>0.1</v>
      </c>
      <c r="BR28" s="119">
        <v>0.09</v>
      </c>
      <c r="BS28" s="119">
        <v>0.1</v>
      </c>
      <c r="BT28" s="119">
        <v>0.08</v>
      </c>
      <c r="BU28" s="119">
        <v>0.1</v>
      </c>
      <c r="BV28" s="119">
        <v>0.08</v>
      </c>
      <c r="BW28" s="119">
        <v>0.11</v>
      </c>
      <c r="BX28" s="119">
        <v>0.1</v>
      </c>
      <c r="BY28" s="119">
        <v>0.12</v>
      </c>
      <c r="BZ28" s="119">
        <v>0.11</v>
      </c>
      <c r="CA28" s="119">
        <v>0.11</v>
      </c>
      <c r="CB28" s="119">
        <v>0.1</v>
      </c>
      <c r="CC28" s="119">
        <v>0.12</v>
      </c>
      <c r="CD28" s="119">
        <v>0.1</v>
      </c>
      <c r="CE28" s="119">
        <v>0.11</v>
      </c>
    </row>
    <row r="29" spans="1:83" ht="14.25" customHeight="1" x14ac:dyDescent="0.75">
      <c r="A29" s="64"/>
      <c r="B29" s="81" t="s">
        <v>262</v>
      </c>
      <c r="C29" s="82" t="s">
        <v>263</v>
      </c>
      <c r="D29" s="117">
        <v>0.52</v>
      </c>
      <c r="E29" s="117">
        <v>0.47</v>
      </c>
      <c r="F29" s="117">
        <v>0.47</v>
      </c>
      <c r="G29" s="117">
        <v>0.46</v>
      </c>
      <c r="H29" s="117">
        <v>0.45</v>
      </c>
      <c r="I29" s="117">
        <v>0.47</v>
      </c>
      <c r="J29" s="117">
        <v>0.5</v>
      </c>
      <c r="K29" s="117">
        <v>0.49</v>
      </c>
      <c r="L29" s="117">
        <v>0.49</v>
      </c>
      <c r="M29" s="117">
        <v>0.49</v>
      </c>
      <c r="N29" s="117">
        <v>0.5</v>
      </c>
      <c r="O29" s="117">
        <v>0.5</v>
      </c>
      <c r="P29" s="117">
        <v>0.5</v>
      </c>
      <c r="Q29" s="117">
        <v>0.5</v>
      </c>
      <c r="R29" s="117">
        <v>0.5</v>
      </c>
      <c r="S29" s="117">
        <v>0.51</v>
      </c>
      <c r="T29" s="117">
        <v>0.5</v>
      </c>
      <c r="U29" s="117">
        <v>0.5</v>
      </c>
      <c r="V29" s="117">
        <v>0.51</v>
      </c>
      <c r="W29" s="117">
        <v>0.51</v>
      </c>
      <c r="X29" s="117">
        <v>0.5</v>
      </c>
      <c r="Y29" s="117">
        <v>0.49</v>
      </c>
      <c r="Z29" s="117">
        <v>0.48</v>
      </c>
      <c r="AA29" s="117">
        <v>0.49</v>
      </c>
      <c r="AB29" s="117">
        <v>0.48</v>
      </c>
      <c r="AC29" s="117">
        <v>0.5</v>
      </c>
      <c r="AD29" s="117">
        <v>0.5</v>
      </c>
      <c r="AE29" s="117">
        <v>0.49</v>
      </c>
      <c r="AF29" s="117">
        <v>0.49</v>
      </c>
      <c r="AG29" s="117">
        <v>0.5</v>
      </c>
      <c r="AH29" s="117">
        <v>0.5</v>
      </c>
      <c r="AI29" s="117">
        <v>0.51</v>
      </c>
      <c r="AJ29" s="117">
        <v>0.51</v>
      </c>
      <c r="AK29" s="117">
        <v>0.5</v>
      </c>
      <c r="AL29" s="117">
        <v>0.48</v>
      </c>
      <c r="AM29" s="117">
        <v>0.54</v>
      </c>
      <c r="AN29" s="117">
        <v>0.47</v>
      </c>
      <c r="AO29" s="117">
        <v>0.51</v>
      </c>
      <c r="AP29" s="117">
        <v>0.49</v>
      </c>
      <c r="AQ29" s="117">
        <v>0.55000000000000004</v>
      </c>
      <c r="AR29" s="117">
        <v>0.47</v>
      </c>
      <c r="AS29" s="117">
        <v>0.5</v>
      </c>
      <c r="AT29" s="117">
        <v>0.49</v>
      </c>
      <c r="AU29" s="117">
        <v>0.55000000000000004</v>
      </c>
      <c r="AV29" s="117">
        <v>0.45</v>
      </c>
      <c r="AW29" s="117">
        <v>0.48</v>
      </c>
      <c r="AX29" s="117">
        <v>0.46</v>
      </c>
      <c r="AY29" s="117">
        <v>0.56000000000000005</v>
      </c>
      <c r="AZ29" s="117">
        <v>0.45</v>
      </c>
      <c r="BA29" s="117">
        <v>0.5</v>
      </c>
      <c r="BB29" s="117">
        <v>0.48</v>
      </c>
      <c r="BC29" s="117">
        <v>0.56999999999999995</v>
      </c>
      <c r="BD29" s="117">
        <v>0.49</v>
      </c>
      <c r="BE29" s="117">
        <v>0.52</v>
      </c>
      <c r="BF29" s="117">
        <v>0.49</v>
      </c>
      <c r="BG29" s="117">
        <v>0.56000000000000005</v>
      </c>
      <c r="BH29" s="117">
        <v>0.48</v>
      </c>
      <c r="BI29" s="117">
        <v>0.49</v>
      </c>
      <c r="BJ29" s="117">
        <v>0.46</v>
      </c>
      <c r="BK29" s="117">
        <v>0.56000000000000005</v>
      </c>
      <c r="BL29" s="117">
        <v>0.46</v>
      </c>
      <c r="BM29" s="117">
        <v>0.5</v>
      </c>
      <c r="BN29" s="117">
        <v>0.5</v>
      </c>
      <c r="BO29" s="117">
        <v>0.56999999999999995</v>
      </c>
      <c r="BP29" s="117">
        <v>0.5</v>
      </c>
      <c r="BQ29" s="117">
        <v>0.51</v>
      </c>
      <c r="BR29" s="117">
        <v>0.49</v>
      </c>
      <c r="BS29" s="117">
        <v>0.56999999999999995</v>
      </c>
      <c r="BT29" s="117">
        <v>0.48</v>
      </c>
      <c r="BU29" s="117">
        <v>0.5</v>
      </c>
      <c r="BV29" s="117">
        <v>0.48</v>
      </c>
      <c r="BW29" s="117">
        <v>0.56000000000000005</v>
      </c>
      <c r="BX29" s="117">
        <v>0.49</v>
      </c>
      <c r="BY29" s="117">
        <v>0.49</v>
      </c>
      <c r="BZ29" s="117">
        <v>0.5</v>
      </c>
      <c r="CA29" s="117">
        <v>0.56999999999999995</v>
      </c>
      <c r="CB29" s="117">
        <v>0.52</v>
      </c>
      <c r="CC29" s="117">
        <v>0.51</v>
      </c>
      <c r="CD29" s="117">
        <v>0.5</v>
      </c>
      <c r="CE29" s="117">
        <v>0.56999999999999995</v>
      </c>
    </row>
    <row r="30" spans="1:83" ht="14.25" customHeight="1" x14ac:dyDescent="0.75">
      <c r="A30" s="64"/>
      <c r="B30" s="81" t="s">
        <v>264</v>
      </c>
      <c r="C30" s="82" t="s">
        <v>265</v>
      </c>
      <c r="D30" s="117">
        <v>0.18</v>
      </c>
      <c r="E30" s="117">
        <v>0.11</v>
      </c>
      <c r="F30" s="117">
        <v>0.12</v>
      </c>
      <c r="G30" s="117">
        <v>0.12</v>
      </c>
      <c r="H30" s="117">
        <v>0.11</v>
      </c>
      <c r="I30" s="117">
        <v>0.11</v>
      </c>
      <c r="J30" s="117">
        <v>0.12</v>
      </c>
      <c r="K30" s="117">
        <v>0.12</v>
      </c>
      <c r="L30" s="117">
        <v>0.13</v>
      </c>
      <c r="M30" s="117">
        <v>0.12</v>
      </c>
      <c r="N30" s="117">
        <v>0.14000000000000001</v>
      </c>
      <c r="O30" s="117">
        <v>0.15</v>
      </c>
      <c r="P30" s="117">
        <v>0.13</v>
      </c>
      <c r="Q30" s="117">
        <v>0.13</v>
      </c>
      <c r="R30" s="117">
        <v>0.13</v>
      </c>
      <c r="S30" s="117">
        <v>0.13</v>
      </c>
      <c r="T30" s="117">
        <v>0.13</v>
      </c>
      <c r="U30" s="117">
        <v>0.13</v>
      </c>
      <c r="V30" s="117">
        <v>0.13</v>
      </c>
      <c r="W30" s="117">
        <v>0.14000000000000001</v>
      </c>
      <c r="X30" s="117">
        <v>0.14000000000000001</v>
      </c>
      <c r="Y30" s="117">
        <v>0.13</v>
      </c>
      <c r="Z30" s="117">
        <v>0.13</v>
      </c>
      <c r="AA30" s="117">
        <v>0.14000000000000001</v>
      </c>
      <c r="AB30" s="117">
        <v>0.14000000000000001</v>
      </c>
      <c r="AC30" s="117">
        <v>0.14000000000000001</v>
      </c>
      <c r="AD30" s="117">
        <v>0.13</v>
      </c>
      <c r="AE30" s="117">
        <v>0.15</v>
      </c>
      <c r="AF30" s="117">
        <v>0.14000000000000001</v>
      </c>
      <c r="AG30" s="117">
        <v>0.13</v>
      </c>
      <c r="AH30" s="117">
        <v>0.14000000000000001</v>
      </c>
      <c r="AI30" s="117">
        <v>0.14000000000000001</v>
      </c>
      <c r="AJ30" s="117">
        <v>0.14000000000000001</v>
      </c>
      <c r="AK30" s="117">
        <v>0.14000000000000001</v>
      </c>
      <c r="AL30" s="117">
        <v>0.13</v>
      </c>
      <c r="AM30" s="117">
        <v>0.15</v>
      </c>
      <c r="AN30" s="117">
        <v>0.13</v>
      </c>
      <c r="AO30" s="117">
        <v>0.14000000000000001</v>
      </c>
      <c r="AP30" s="117">
        <v>0.13</v>
      </c>
      <c r="AQ30" s="117">
        <v>0.15</v>
      </c>
      <c r="AR30" s="117">
        <v>0.13</v>
      </c>
      <c r="AS30" s="117">
        <v>0.13</v>
      </c>
      <c r="AT30" s="117">
        <v>0.13</v>
      </c>
      <c r="AU30" s="117">
        <v>0.15</v>
      </c>
      <c r="AV30" s="117">
        <v>0.12</v>
      </c>
      <c r="AW30" s="117">
        <v>0.12</v>
      </c>
      <c r="AX30" s="117">
        <v>0.12</v>
      </c>
      <c r="AY30" s="117">
        <v>0.15</v>
      </c>
      <c r="AZ30" s="117">
        <v>0.13</v>
      </c>
      <c r="BA30" s="117">
        <v>0.14000000000000001</v>
      </c>
      <c r="BB30" s="117">
        <v>0.14000000000000001</v>
      </c>
      <c r="BC30" s="117">
        <v>0.17</v>
      </c>
      <c r="BD30" s="117">
        <v>0.15</v>
      </c>
      <c r="BE30" s="117">
        <v>0.15</v>
      </c>
      <c r="BF30" s="117">
        <v>0.14000000000000001</v>
      </c>
      <c r="BG30" s="117">
        <v>0.17</v>
      </c>
      <c r="BH30" s="117">
        <v>0.14000000000000001</v>
      </c>
      <c r="BI30" s="117">
        <v>0.14000000000000001</v>
      </c>
      <c r="BJ30" s="117">
        <v>0.13</v>
      </c>
      <c r="BK30" s="117">
        <v>0.16</v>
      </c>
      <c r="BL30" s="117">
        <v>0.15</v>
      </c>
      <c r="BM30" s="117">
        <v>0.15</v>
      </c>
      <c r="BN30" s="117">
        <v>0.15</v>
      </c>
      <c r="BO30" s="117">
        <v>0.17</v>
      </c>
      <c r="BP30" s="117">
        <v>0.15</v>
      </c>
      <c r="BQ30" s="117">
        <v>0.16</v>
      </c>
      <c r="BR30" s="117">
        <v>0.16</v>
      </c>
      <c r="BS30" s="117">
        <v>0.18</v>
      </c>
      <c r="BT30" s="117">
        <v>0.15</v>
      </c>
      <c r="BU30" s="117">
        <v>0.15</v>
      </c>
      <c r="BV30" s="117">
        <v>0.15</v>
      </c>
      <c r="BW30" s="117">
        <v>0.17</v>
      </c>
      <c r="BX30" s="117">
        <v>0.15</v>
      </c>
      <c r="BY30" s="117">
        <v>0.16</v>
      </c>
      <c r="BZ30" s="117">
        <v>0.18</v>
      </c>
      <c r="CA30" s="117">
        <v>0.2</v>
      </c>
      <c r="CB30" s="117">
        <v>0.19</v>
      </c>
      <c r="CC30" s="117">
        <v>0.18</v>
      </c>
      <c r="CD30" s="117">
        <v>0.18</v>
      </c>
      <c r="CE30" s="117">
        <v>0.21</v>
      </c>
    </row>
    <row r="31" spans="1:83" ht="13.5" customHeight="1" x14ac:dyDescent="0.75">
      <c r="A31" s="68"/>
      <c r="B31" s="67" t="s">
        <v>266</v>
      </c>
      <c r="C31" s="66" t="s">
        <v>267</v>
      </c>
      <c r="D31" s="119">
        <v>0.01</v>
      </c>
      <c r="E31" s="119">
        <v>0</v>
      </c>
      <c r="F31" s="119">
        <v>0.01</v>
      </c>
      <c r="G31" s="119">
        <v>0.01</v>
      </c>
      <c r="H31" s="119">
        <v>0.01</v>
      </c>
      <c r="I31" s="119">
        <v>0</v>
      </c>
      <c r="J31" s="119">
        <v>0.01</v>
      </c>
      <c r="K31" s="119">
        <v>0.01</v>
      </c>
      <c r="L31" s="119">
        <v>0.01</v>
      </c>
      <c r="M31" s="119">
        <v>0.01</v>
      </c>
      <c r="N31" s="119">
        <v>0.01</v>
      </c>
      <c r="O31" s="119">
        <v>0.01</v>
      </c>
      <c r="P31" s="119">
        <v>0.01</v>
      </c>
      <c r="Q31" s="119">
        <v>0.01</v>
      </c>
      <c r="R31" s="119">
        <v>0.01</v>
      </c>
      <c r="S31" s="119">
        <v>0.01</v>
      </c>
      <c r="T31" s="119">
        <v>0.01</v>
      </c>
      <c r="U31" s="119">
        <v>0.01</v>
      </c>
      <c r="V31" s="119">
        <v>0.01</v>
      </c>
      <c r="W31" s="119">
        <v>0.01</v>
      </c>
      <c r="X31" s="119">
        <v>0.01</v>
      </c>
      <c r="Y31" s="119">
        <v>0.01</v>
      </c>
      <c r="Z31" s="119">
        <v>0.01</v>
      </c>
      <c r="AA31" s="119">
        <v>0.01</v>
      </c>
      <c r="AB31" s="119">
        <v>0.01</v>
      </c>
      <c r="AC31" s="119">
        <v>0.01</v>
      </c>
      <c r="AD31" s="119">
        <v>0.01</v>
      </c>
      <c r="AE31" s="119">
        <v>0.01</v>
      </c>
      <c r="AF31" s="119">
        <v>0.01</v>
      </c>
      <c r="AG31" s="119">
        <v>0.01</v>
      </c>
      <c r="AH31" s="119">
        <v>0.01</v>
      </c>
      <c r="AI31" s="119">
        <v>0.01</v>
      </c>
      <c r="AJ31" s="119">
        <v>0.01</v>
      </c>
      <c r="AK31" s="119">
        <v>0.01</v>
      </c>
      <c r="AL31" s="119">
        <v>0.01</v>
      </c>
      <c r="AM31" s="119">
        <v>0.01</v>
      </c>
      <c r="AN31" s="119">
        <v>0.01</v>
      </c>
      <c r="AO31" s="119">
        <v>0.01</v>
      </c>
      <c r="AP31" s="119">
        <v>0.01</v>
      </c>
      <c r="AQ31" s="119">
        <v>0.01</v>
      </c>
      <c r="AR31" s="119">
        <v>0.01</v>
      </c>
      <c r="AS31" s="119">
        <v>0.01</v>
      </c>
      <c r="AT31" s="119">
        <v>0.01</v>
      </c>
      <c r="AU31" s="119">
        <v>0.01</v>
      </c>
      <c r="AV31" s="119">
        <v>0.01</v>
      </c>
      <c r="AW31" s="119">
        <v>0.01</v>
      </c>
      <c r="AX31" s="119">
        <v>0.01</v>
      </c>
      <c r="AY31" s="119">
        <v>0.01</v>
      </c>
      <c r="AZ31" s="119">
        <v>0</v>
      </c>
      <c r="BA31" s="119">
        <v>0.01</v>
      </c>
      <c r="BB31" s="119">
        <v>0.01</v>
      </c>
      <c r="BC31" s="119">
        <v>0.01</v>
      </c>
      <c r="BD31" s="119">
        <v>0</v>
      </c>
      <c r="BE31" s="119">
        <v>0</v>
      </c>
      <c r="BF31" s="119">
        <v>0</v>
      </c>
      <c r="BG31" s="119">
        <v>0.01</v>
      </c>
      <c r="BH31" s="119">
        <v>0.01</v>
      </c>
      <c r="BI31" s="119">
        <v>0</v>
      </c>
      <c r="BJ31" s="119">
        <v>0.01</v>
      </c>
      <c r="BK31" s="119">
        <v>0.01</v>
      </c>
      <c r="BL31" s="119">
        <v>0.01</v>
      </c>
      <c r="BM31" s="119">
        <v>0.01</v>
      </c>
      <c r="BN31" s="119">
        <v>0.01</v>
      </c>
      <c r="BO31" s="119">
        <v>0.01</v>
      </c>
      <c r="BP31" s="119">
        <v>0.01</v>
      </c>
      <c r="BQ31" s="119">
        <v>0.01</v>
      </c>
      <c r="BR31" s="119">
        <v>0.01</v>
      </c>
      <c r="BS31" s="119">
        <v>0.01</v>
      </c>
      <c r="BT31" s="119">
        <v>0.01</v>
      </c>
      <c r="BU31" s="119">
        <v>0.01</v>
      </c>
      <c r="BV31" s="119">
        <v>0.01</v>
      </c>
      <c r="BW31" s="119">
        <v>0.01</v>
      </c>
      <c r="BX31" s="119">
        <v>0.01</v>
      </c>
      <c r="BY31" s="119">
        <v>0.01</v>
      </c>
      <c r="BZ31" s="119">
        <v>0.01</v>
      </c>
      <c r="CA31" s="119">
        <v>0.01</v>
      </c>
      <c r="CB31" s="119">
        <v>0.01</v>
      </c>
      <c r="CC31" s="119">
        <v>0.01</v>
      </c>
      <c r="CD31" s="119">
        <v>0.01</v>
      </c>
      <c r="CE31" s="119">
        <v>0.01</v>
      </c>
    </row>
    <row r="32" spans="1:83" ht="13.5" customHeight="1" x14ac:dyDescent="0.75">
      <c r="A32" s="68"/>
      <c r="B32" s="67" t="s">
        <v>268</v>
      </c>
      <c r="C32" s="66" t="s">
        <v>269</v>
      </c>
      <c r="D32" s="119">
        <v>0.09</v>
      </c>
      <c r="E32" s="119">
        <v>7.0000000000000007E-2</v>
      </c>
      <c r="F32" s="119">
        <v>0.08</v>
      </c>
      <c r="G32" s="119">
        <v>7.0000000000000007E-2</v>
      </c>
      <c r="H32" s="119">
        <v>7.0000000000000007E-2</v>
      </c>
      <c r="I32" s="119">
        <v>7.0000000000000007E-2</v>
      </c>
      <c r="J32" s="119">
        <v>7.0000000000000007E-2</v>
      </c>
      <c r="K32" s="119">
        <v>7.0000000000000007E-2</v>
      </c>
      <c r="L32" s="119">
        <v>0.08</v>
      </c>
      <c r="M32" s="119">
        <v>0.08</v>
      </c>
      <c r="N32" s="119">
        <v>0.09</v>
      </c>
      <c r="O32" s="119">
        <v>0.1</v>
      </c>
      <c r="P32" s="119">
        <v>0.09</v>
      </c>
      <c r="Q32" s="119">
        <v>0.09</v>
      </c>
      <c r="R32" s="119">
        <v>0.08</v>
      </c>
      <c r="S32" s="119">
        <v>0.08</v>
      </c>
      <c r="T32" s="119">
        <v>0.08</v>
      </c>
      <c r="U32" s="119">
        <v>0.08</v>
      </c>
      <c r="V32" s="119">
        <v>0.08</v>
      </c>
      <c r="W32" s="119">
        <v>0.09</v>
      </c>
      <c r="X32" s="119">
        <v>0.09</v>
      </c>
      <c r="Y32" s="119">
        <v>0.08</v>
      </c>
      <c r="Z32" s="119">
        <v>0.08</v>
      </c>
      <c r="AA32" s="119">
        <v>0.09</v>
      </c>
      <c r="AB32" s="119">
        <v>0.09</v>
      </c>
      <c r="AC32" s="119">
        <v>0.09</v>
      </c>
      <c r="AD32" s="119">
        <v>0.08</v>
      </c>
      <c r="AE32" s="119">
        <v>0.09</v>
      </c>
      <c r="AF32" s="119">
        <v>0.09</v>
      </c>
      <c r="AG32" s="119">
        <v>0.08</v>
      </c>
      <c r="AH32" s="119">
        <v>0.09</v>
      </c>
      <c r="AI32" s="119">
        <v>0.09</v>
      </c>
      <c r="AJ32" s="119">
        <v>0.09</v>
      </c>
      <c r="AK32" s="119">
        <v>0.09</v>
      </c>
      <c r="AL32" s="119">
        <v>0.08</v>
      </c>
      <c r="AM32" s="119">
        <v>0.09</v>
      </c>
      <c r="AN32" s="119">
        <v>0.08</v>
      </c>
      <c r="AO32" s="119">
        <v>0.09</v>
      </c>
      <c r="AP32" s="119">
        <v>0.09</v>
      </c>
      <c r="AQ32" s="119">
        <v>0.09</v>
      </c>
      <c r="AR32" s="119">
        <v>0.08</v>
      </c>
      <c r="AS32" s="119">
        <v>0.09</v>
      </c>
      <c r="AT32" s="119">
        <v>0.09</v>
      </c>
      <c r="AU32" s="119">
        <v>0.09</v>
      </c>
      <c r="AV32" s="119">
        <v>7.0000000000000007E-2</v>
      </c>
      <c r="AW32" s="119">
        <v>7.0000000000000007E-2</v>
      </c>
      <c r="AX32" s="119">
        <v>7.0000000000000007E-2</v>
      </c>
      <c r="AY32" s="119">
        <v>0.09</v>
      </c>
      <c r="AZ32" s="119">
        <v>0.08</v>
      </c>
      <c r="BA32" s="119">
        <v>0.08</v>
      </c>
      <c r="BB32" s="119">
        <v>0.08</v>
      </c>
      <c r="BC32" s="119">
        <v>0.09</v>
      </c>
      <c r="BD32" s="119">
        <v>0.08</v>
      </c>
      <c r="BE32" s="119">
        <v>0.08</v>
      </c>
      <c r="BF32" s="119">
        <v>0.08</v>
      </c>
      <c r="BG32" s="119">
        <v>0.08</v>
      </c>
      <c r="BH32" s="119">
        <v>7.0000000000000007E-2</v>
      </c>
      <c r="BI32" s="119">
        <v>7.0000000000000007E-2</v>
      </c>
      <c r="BJ32" s="119">
        <v>7.0000000000000007E-2</v>
      </c>
      <c r="BK32" s="119">
        <v>0.08</v>
      </c>
      <c r="BL32" s="119">
        <v>7.0000000000000007E-2</v>
      </c>
      <c r="BM32" s="119">
        <v>7.0000000000000007E-2</v>
      </c>
      <c r="BN32" s="119">
        <v>0.08</v>
      </c>
      <c r="BO32" s="119">
        <v>0.09</v>
      </c>
      <c r="BP32" s="119">
        <v>0.08</v>
      </c>
      <c r="BQ32" s="119">
        <v>0.08</v>
      </c>
      <c r="BR32" s="119">
        <v>0.08</v>
      </c>
      <c r="BS32" s="119">
        <v>0.09</v>
      </c>
      <c r="BT32" s="119">
        <v>7.0000000000000007E-2</v>
      </c>
      <c r="BU32" s="119">
        <v>0.08</v>
      </c>
      <c r="BV32" s="119">
        <v>0.08</v>
      </c>
      <c r="BW32" s="119">
        <v>0.09</v>
      </c>
      <c r="BX32" s="119">
        <v>0.08</v>
      </c>
      <c r="BY32" s="119">
        <v>0.08</v>
      </c>
      <c r="BZ32" s="119">
        <v>0.09</v>
      </c>
      <c r="CA32" s="119">
        <v>0.1</v>
      </c>
      <c r="CB32" s="119">
        <v>0.1</v>
      </c>
      <c r="CC32" s="119">
        <v>0.09</v>
      </c>
      <c r="CD32" s="119">
        <v>0.09</v>
      </c>
      <c r="CE32" s="119">
        <v>0.1</v>
      </c>
    </row>
    <row r="33" spans="1:83" ht="13.5" customHeight="1" x14ac:dyDescent="0.75">
      <c r="A33" s="68"/>
      <c r="B33" s="67" t="s">
        <v>270</v>
      </c>
      <c r="C33" s="66" t="s">
        <v>271</v>
      </c>
      <c r="D33" s="119">
        <v>0.08</v>
      </c>
      <c r="E33" s="119">
        <v>0.04</v>
      </c>
      <c r="F33" s="119">
        <v>0.04</v>
      </c>
      <c r="G33" s="119">
        <v>0.04</v>
      </c>
      <c r="H33" s="119">
        <v>0.04</v>
      </c>
      <c r="I33" s="119">
        <v>0.04</v>
      </c>
      <c r="J33" s="119">
        <v>0.04</v>
      </c>
      <c r="K33" s="119">
        <v>0.04</v>
      </c>
      <c r="L33" s="119">
        <v>0.04</v>
      </c>
      <c r="M33" s="119">
        <v>0.04</v>
      </c>
      <c r="N33" s="119">
        <v>0.04</v>
      </c>
      <c r="O33" s="119">
        <v>0.04</v>
      </c>
      <c r="P33" s="119">
        <v>0.04</v>
      </c>
      <c r="Q33" s="119">
        <v>0.04</v>
      </c>
      <c r="R33" s="119">
        <v>0.04</v>
      </c>
      <c r="S33" s="119">
        <v>0.04</v>
      </c>
      <c r="T33" s="119">
        <v>0.04</v>
      </c>
      <c r="U33" s="119">
        <v>0.04</v>
      </c>
      <c r="V33" s="119">
        <v>0.04</v>
      </c>
      <c r="W33" s="119">
        <v>0.04</v>
      </c>
      <c r="X33" s="119">
        <v>0.04</v>
      </c>
      <c r="Y33" s="119">
        <v>0.04</v>
      </c>
      <c r="Z33" s="119">
        <v>0.04</v>
      </c>
      <c r="AA33" s="119">
        <v>0.04</v>
      </c>
      <c r="AB33" s="119">
        <v>0.04</v>
      </c>
      <c r="AC33" s="119">
        <v>0.04</v>
      </c>
      <c r="AD33" s="119">
        <v>0.04</v>
      </c>
      <c r="AE33" s="119">
        <v>0.05</v>
      </c>
      <c r="AF33" s="119">
        <v>0.05</v>
      </c>
      <c r="AG33" s="119">
        <v>0.05</v>
      </c>
      <c r="AH33" s="119">
        <v>0.05</v>
      </c>
      <c r="AI33" s="119">
        <v>0.05</v>
      </c>
      <c r="AJ33" s="119">
        <v>0.05</v>
      </c>
      <c r="AK33" s="119">
        <v>0.04</v>
      </c>
      <c r="AL33" s="119">
        <v>0.04</v>
      </c>
      <c r="AM33" s="119">
        <v>0.05</v>
      </c>
      <c r="AN33" s="119">
        <v>0.04</v>
      </c>
      <c r="AO33" s="119">
        <v>0.04</v>
      </c>
      <c r="AP33" s="119">
        <v>0.04</v>
      </c>
      <c r="AQ33" s="119">
        <v>0.05</v>
      </c>
      <c r="AR33" s="119">
        <v>0.04</v>
      </c>
      <c r="AS33" s="119">
        <v>0.04</v>
      </c>
      <c r="AT33" s="119">
        <v>0.04</v>
      </c>
      <c r="AU33" s="119">
        <v>0.05</v>
      </c>
      <c r="AV33" s="119">
        <v>0.04</v>
      </c>
      <c r="AW33" s="119">
        <v>0.04</v>
      </c>
      <c r="AX33" s="119">
        <v>0.04</v>
      </c>
      <c r="AY33" s="119">
        <v>0.05</v>
      </c>
      <c r="AZ33" s="119">
        <v>0.05</v>
      </c>
      <c r="BA33" s="119">
        <v>0.05</v>
      </c>
      <c r="BB33" s="119">
        <v>0.06</v>
      </c>
      <c r="BC33" s="119">
        <v>7.0000000000000007E-2</v>
      </c>
      <c r="BD33" s="119">
        <v>0.06</v>
      </c>
      <c r="BE33" s="119">
        <v>0.06</v>
      </c>
      <c r="BF33" s="119">
        <v>0.06</v>
      </c>
      <c r="BG33" s="119">
        <v>0.08</v>
      </c>
      <c r="BH33" s="119">
        <v>7.0000000000000007E-2</v>
      </c>
      <c r="BI33" s="119">
        <v>7.0000000000000007E-2</v>
      </c>
      <c r="BJ33" s="119">
        <v>0.05</v>
      </c>
      <c r="BK33" s="119">
        <v>7.0000000000000007E-2</v>
      </c>
      <c r="BL33" s="119">
        <v>7.0000000000000007E-2</v>
      </c>
      <c r="BM33" s="119">
        <v>7.0000000000000007E-2</v>
      </c>
      <c r="BN33" s="119">
        <v>0.06</v>
      </c>
      <c r="BO33" s="119">
        <v>7.0000000000000007E-2</v>
      </c>
      <c r="BP33" s="119">
        <v>7.0000000000000007E-2</v>
      </c>
      <c r="BQ33" s="119">
        <v>7.0000000000000007E-2</v>
      </c>
      <c r="BR33" s="119">
        <v>7.0000000000000007E-2</v>
      </c>
      <c r="BS33" s="119">
        <v>0.08</v>
      </c>
      <c r="BT33" s="119">
        <v>7.0000000000000007E-2</v>
      </c>
      <c r="BU33" s="119">
        <v>7.0000000000000007E-2</v>
      </c>
      <c r="BV33" s="119">
        <v>0.06</v>
      </c>
      <c r="BW33" s="119">
        <v>0.08</v>
      </c>
      <c r="BX33" s="119">
        <v>7.0000000000000007E-2</v>
      </c>
      <c r="BY33" s="119">
        <v>7.0000000000000007E-2</v>
      </c>
      <c r="BZ33" s="119">
        <v>0.08</v>
      </c>
      <c r="CA33" s="119">
        <v>0.1</v>
      </c>
      <c r="CB33" s="119">
        <v>0.08</v>
      </c>
      <c r="CC33" s="119">
        <v>0.08</v>
      </c>
      <c r="CD33" s="119">
        <v>0.08</v>
      </c>
      <c r="CE33" s="119">
        <v>0.1</v>
      </c>
    </row>
    <row r="34" spans="1:83" ht="14.25" customHeight="1" x14ac:dyDescent="0.75">
      <c r="A34" s="64"/>
      <c r="B34" s="81" t="s">
        <v>272</v>
      </c>
      <c r="C34" s="82" t="s">
        <v>273</v>
      </c>
      <c r="D34" s="117">
        <v>0.34</v>
      </c>
      <c r="E34" s="117">
        <v>0.36</v>
      </c>
      <c r="F34" s="117">
        <v>0.35</v>
      </c>
      <c r="G34" s="117">
        <v>0.34</v>
      </c>
      <c r="H34" s="117">
        <v>0.33</v>
      </c>
      <c r="I34" s="117">
        <v>0.36</v>
      </c>
      <c r="J34" s="117">
        <v>0.38</v>
      </c>
      <c r="K34" s="117">
        <v>0.37</v>
      </c>
      <c r="L34" s="117">
        <v>0.37</v>
      </c>
      <c r="M34" s="117">
        <v>0.37</v>
      </c>
      <c r="N34" s="117">
        <v>0.37</v>
      </c>
      <c r="O34" s="117">
        <v>0.36</v>
      </c>
      <c r="P34" s="117">
        <v>0.37</v>
      </c>
      <c r="Q34" s="117">
        <v>0.37</v>
      </c>
      <c r="R34" s="117">
        <v>0.37</v>
      </c>
      <c r="S34" s="117">
        <v>0.38</v>
      </c>
      <c r="T34" s="117">
        <v>0.37</v>
      </c>
      <c r="U34" s="117">
        <v>0.37</v>
      </c>
      <c r="V34" s="117">
        <v>0.38</v>
      </c>
      <c r="W34" s="117">
        <v>0.37</v>
      </c>
      <c r="X34" s="117">
        <v>0.36</v>
      </c>
      <c r="Y34" s="117">
        <v>0.36</v>
      </c>
      <c r="Z34" s="117">
        <v>0.35</v>
      </c>
      <c r="AA34" s="117">
        <v>0.35</v>
      </c>
      <c r="AB34" s="117">
        <v>0.35</v>
      </c>
      <c r="AC34" s="117">
        <v>0.36</v>
      </c>
      <c r="AD34" s="117">
        <v>0.37</v>
      </c>
      <c r="AE34" s="117">
        <v>0.34</v>
      </c>
      <c r="AF34" s="117">
        <v>0.35</v>
      </c>
      <c r="AG34" s="117">
        <v>0.37</v>
      </c>
      <c r="AH34" s="117">
        <v>0.36</v>
      </c>
      <c r="AI34" s="117">
        <v>0.36</v>
      </c>
      <c r="AJ34" s="117">
        <v>0.37</v>
      </c>
      <c r="AK34" s="117">
        <v>0.36</v>
      </c>
      <c r="AL34" s="117">
        <v>0.35</v>
      </c>
      <c r="AM34" s="117">
        <v>0.4</v>
      </c>
      <c r="AN34" s="117">
        <v>0.34</v>
      </c>
      <c r="AO34" s="117">
        <v>0.37</v>
      </c>
      <c r="AP34" s="117">
        <v>0.36</v>
      </c>
      <c r="AQ34" s="117">
        <v>0.4</v>
      </c>
      <c r="AR34" s="117">
        <v>0.34</v>
      </c>
      <c r="AS34" s="117">
        <v>0.37</v>
      </c>
      <c r="AT34" s="117">
        <v>0.36</v>
      </c>
      <c r="AU34" s="117">
        <v>0.41</v>
      </c>
      <c r="AV34" s="117">
        <v>0.34</v>
      </c>
      <c r="AW34" s="117">
        <v>0.35</v>
      </c>
      <c r="AX34" s="117">
        <v>0.34</v>
      </c>
      <c r="AY34" s="117">
        <v>0.4</v>
      </c>
      <c r="AZ34" s="117">
        <v>0.32</v>
      </c>
      <c r="BA34" s="117">
        <v>0.36</v>
      </c>
      <c r="BB34" s="117">
        <v>0.34</v>
      </c>
      <c r="BC34" s="117">
        <v>0.41</v>
      </c>
      <c r="BD34" s="117">
        <v>0.34</v>
      </c>
      <c r="BE34" s="117">
        <v>0.37</v>
      </c>
      <c r="BF34" s="117">
        <v>0.35</v>
      </c>
      <c r="BG34" s="117">
        <v>0.39</v>
      </c>
      <c r="BH34" s="117">
        <v>0.33</v>
      </c>
      <c r="BI34" s="117">
        <v>0.35</v>
      </c>
      <c r="BJ34" s="117">
        <v>0.33</v>
      </c>
      <c r="BK34" s="117">
        <v>0.4</v>
      </c>
      <c r="BL34" s="117">
        <v>0.31</v>
      </c>
      <c r="BM34" s="117">
        <v>0.35</v>
      </c>
      <c r="BN34" s="117">
        <v>0.35</v>
      </c>
      <c r="BO34" s="117">
        <v>0.4</v>
      </c>
      <c r="BP34" s="117">
        <v>0.35</v>
      </c>
      <c r="BQ34" s="117">
        <v>0.35</v>
      </c>
      <c r="BR34" s="117">
        <v>0.33</v>
      </c>
      <c r="BS34" s="117">
        <v>0.39</v>
      </c>
      <c r="BT34" s="117">
        <v>0.33</v>
      </c>
      <c r="BU34" s="117">
        <v>0.35</v>
      </c>
      <c r="BV34" s="117">
        <v>0.33</v>
      </c>
      <c r="BW34" s="117">
        <v>0.38</v>
      </c>
      <c r="BX34" s="117">
        <v>0.33</v>
      </c>
      <c r="BY34" s="117">
        <v>0.33</v>
      </c>
      <c r="BZ34" s="117">
        <v>0.33</v>
      </c>
      <c r="CA34" s="117">
        <v>0.37</v>
      </c>
      <c r="CB34" s="117">
        <v>0.33</v>
      </c>
      <c r="CC34" s="117">
        <v>0.33</v>
      </c>
      <c r="CD34" s="117">
        <v>0.32</v>
      </c>
      <c r="CE34" s="117">
        <v>0.37</v>
      </c>
    </row>
    <row r="35" spans="1:83" ht="13.5" customHeight="1" x14ac:dyDescent="0.75">
      <c r="A35" s="68"/>
      <c r="B35" s="67" t="s">
        <v>274</v>
      </c>
      <c r="C35" s="66" t="s">
        <v>275</v>
      </c>
      <c r="D35" s="119">
        <v>0.03</v>
      </c>
      <c r="E35" s="119">
        <v>0.03</v>
      </c>
      <c r="F35" s="119">
        <v>0.03</v>
      </c>
      <c r="G35" s="119">
        <v>0.03</v>
      </c>
      <c r="H35" s="119">
        <v>0.03</v>
      </c>
      <c r="I35" s="119">
        <v>0.03</v>
      </c>
      <c r="J35" s="119">
        <v>0.03</v>
      </c>
      <c r="K35" s="119">
        <v>0.03</v>
      </c>
      <c r="L35" s="119">
        <v>0.03</v>
      </c>
      <c r="M35" s="119">
        <v>0.03</v>
      </c>
      <c r="N35" s="119">
        <v>0.02</v>
      </c>
      <c r="O35" s="119">
        <v>0.02</v>
      </c>
      <c r="P35" s="119">
        <v>0.02</v>
      </c>
      <c r="Q35" s="119">
        <v>0.02</v>
      </c>
      <c r="R35" s="119">
        <v>0.02</v>
      </c>
      <c r="S35" s="119">
        <v>0.02</v>
      </c>
      <c r="T35" s="119">
        <v>0.02</v>
      </c>
      <c r="U35" s="119">
        <v>0.02</v>
      </c>
      <c r="V35" s="119">
        <v>0.02</v>
      </c>
      <c r="W35" s="119">
        <v>0.02</v>
      </c>
      <c r="X35" s="119">
        <v>0.02</v>
      </c>
      <c r="Y35" s="119">
        <v>0.02</v>
      </c>
      <c r="Z35" s="119">
        <v>0.02</v>
      </c>
      <c r="AA35" s="119">
        <v>0.02</v>
      </c>
      <c r="AB35" s="119">
        <v>0.02</v>
      </c>
      <c r="AC35" s="119">
        <v>0.02</v>
      </c>
      <c r="AD35" s="119">
        <v>0.02</v>
      </c>
      <c r="AE35" s="119">
        <v>0.02</v>
      </c>
      <c r="AF35" s="119">
        <v>0.02</v>
      </c>
      <c r="AG35" s="119">
        <v>0.02</v>
      </c>
      <c r="AH35" s="119">
        <v>0.02</v>
      </c>
      <c r="AI35" s="119">
        <v>0.02</v>
      </c>
      <c r="AJ35" s="119">
        <v>0.02</v>
      </c>
      <c r="AK35" s="119">
        <v>0.02</v>
      </c>
      <c r="AL35" s="119">
        <v>0.02</v>
      </c>
      <c r="AM35" s="119">
        <v>0.02</v>
      </c>
      <c r="AN35" s="119">
        <v>0.02</v>
      </c>
      <c r="AO35" s="119">
        <v>0.02</v>
      </c>
      <c r="AP35" s="119">
        <v>0.02</v>
      </c>
      <c r="AQ35" s="119">
        <v>0.02</v>
      </c>
      <c r="AR35" s="119">
        <v>0.02</v>
      </c>
      <c r="AS35" s="119">
        <v>0.02</v>
      </c>
      <c r="AT35" s="119">
        <v>0.02</v>
      </c>
      <c r="AU35" s="119">
        <v>0.03</v>
      </c>
      <c r="AV35" s="119">
        <v>0.02</v>
      </c>
      <c r="AW35" s="119">
        <v>0.02</v>
      </c>
      <c r="AX35" s="119">
        <v>0.02</v>
      </c>
      <c r="AY35" s="119">
        <v>0.02</v>
      </c>
      <c r="AZ35" s="119">
        <v>0.02</v>
      </c>
      <c r="BA35" s="119">
        <v>0.02</v>
      </c>
      <c r="BB35" s="119">
        <v>0.02</v>
      </c>
      <c r="BC35" s="119">
        <v>0.02</v>
      </c>
      <c r="BD35" s="119">
        <v>0.02</v>
      </c>
      <c r="BE35" s="119">
        <v>0.02</v>
      </c>
      <c r="BF35" s="119">
        <v>0.02</v>
      </c>
      <c r="BG35" s="119">
        <v>0.03</v>
      </c>
      <c r="BH35" s="119">
        <v>0.02</v>
      </c>
      <c r="BI35" s="119">
        <v>0.02</v>
      </c>
      <c r="BJ35" s="119">
        <v>0.01</v>
      </c>
      <c r="BK35" s="119">
        <v>0.01</v>
      </c>
      <c r="BL35" s="119">
        <v>0.01</v>
      </c>
      <c r="BM35" s="119">
        <v>0.01</v>
      </c>
      <c r="BN35" s="119">
        <v>0.02</v>
      </c>
      <c r="BO35" s="119">
        <v>0.02</v>
      </c>
      <c r="BP35" s="119">
        <v>0.02</v>
      </c>
      <c r="BQ35" s="119">
        <v>0.02</v>
      </c>
      <c r="BR35" s="119">
        <v>0.03</v>
      </c>
      <c r="BS35" s="119">
        <v>0.03</v>
      </c>
      <c r="BT35" s="119">
        <v>0.02</v>
      </c>
      <c r="BU35" s="119">
        <v>0.02</v>
      </c>
      <c r="BV35" s="119">
        <v>0.02</v>
      </c>
      <c r="BW35" s="119">
        <v>0.03</v>
      </c>
      <c r="BX35" s="119">
        <v>0.02</v>
      </c>
      <c r="BY35" s="119">
        <v>0.03</v>
      </c>
      <c r="BZ35" s="119">
        <v>0.03</v>
      </c>
      <c r="CA35" s="119">
        <v>0.04</v>
      </c>
      <c r="CB35" s="119">
        <v>0.03</v>
      </c>
      <c r="CC35" s="119">
        <v>0.04</v>
      </c>
      <c r="CD35" s="119">
        <v>0.04</v>
      </c>
      <c r="CE35" s="119">
        <v>0.04</v>
      </c>
    </row>
    <row r="36" spans="1:83" ht="13.5" customHeight="1" x14ac:dyDescent="0.75">
      <c r="A36" s="68"/>
      <c r="B36" s="67" t="s">
        <v>276</v>
      </c>
      <c r="C36" s="66" t="s">
        <v>277</v>
      </c>
      <c r="D36" s="119">
        <v>0.02</v>
      </c>
      <c r="E36" s="119">
        <v>0.02</v>
      </c>
      <c r="F36" s="119">
        <v>0.02</v>
      </c>
      <c r="G36" s="119">
        <v>0.02</v>
      </c>
      <c r="H36" s="119">
        <v>0.02</v>
      </c>
      <c r="I36" s="119">
        <v>0.02</v>
      </c>
      <c r="J36" s="119">
        <v>0.02</v>
      </c>
      <c r="K36" s="119">
        <v>0.02</v>
      </c>
      <c r="L36" s="119">
        <v>0.02</v>
      </c>
      <c r="M36" s="119">
        <v>0.02</v>
      </c>
      <c r="N36" s="119">
        <v>0.02</v>
      </c>
      <c r="O36" s="119">
        <v>0.02</v>
      </c>
      <c r="P36" s="119">
        <v>0.02</v>
      </c>
      <c r="Q36" s="119">
        <v>0.02</v>
      </c>
      <c r="R36" s="119">
        <v>0.02</v>
      </c>
      <c r="S36" s="119">
        <v>0.02</v>
      </c>
      <c r="T36" s="119">
        <v>0.02</v>
      </c>
      <c r="U36" s="119">
        <v>0.02</v>
      </c>
      <c r="V36" s="119">
        <v>0.02</v>
      </c>
      <c r="W36" s="119">
        <v>0.02</v>
      </c>
      <c r="X36" s="119">
        <v>0.02</v>
      </c>
      <c r="Y36" s="119">
        <v>0.02</v>
      </c>
      <c r="Z36" s="119">
        <v>0.02</v>
      </c>
      <c r="AA36" s="119">
        <v>0.02</v>
      </c>
      <c r="AB36" s="119">
        <v>0.02</v>
      </c>
      <c r="AC36" s="119">
        <v>0.02</v>
      </c>
      <c r="AD36" s="119">
        <v>0.02</v>
      </c>
      <c r="AE36" s="119">
        <v>0.02</v>
      </c>
      <c r="AF36" s="119">
        <v>0.02</v>
      </c>
      <c r="AG36" s="119">
        <v>0.02</v>
      </c>
      <c r="AH36" s="119">
        <v>0.02</v>
      </c>
      <c r="AI36" s="119">
        <v>0.02</v>
      </c>
      <c r="AJ36" s="119">
        <v>0.02</v>
      </c>
      <c r="AK36" s="119">
        <v>0.02</v>
      </c>
      <c r="AL36" s="119">
        <v>0.02</v>
      </c>
      <c r="AM36" s="119">
        <v>0.03</v>
      </c>
      <c r="AN36" s="119">
        <v>0.02</v>
      </c>
      <c r="AO36" s="119">
        <v>0.02</v>
      </c>
      <c r="AP36" s="119">
        <v>0.02</v>
      </c>
      <c r="AQ36" s="119">
        <v>0.02</v>
      </c>
      <c r="AR36" s="119">
        <v>0.02</v>
      </c>
      <c r="AS36" s="119">
        <v>0.02</v>
      </c>
      <c r="AT36" s="119">
        <v>0.02</v>
      </c>
      <c r="AU36" s="119">
        <v>0.02</v>
      </c>
      <c r="AV36" s="119">
        <v>0.02</v>
      </c>
      <c r="AW36" s="119">
        <v>0.02</v>
      </c>
      <c r="AX36" s="119">
        <v>0.02</v>
      </c>
      <c r="AY36" s="119">
        <v>0.02</v>
      </c>
      <c r="AZ36" s="119">
        <v>0.02</v>
      </c>
      <c r="BA36" s="119">
        <v>0.02</v>
      </c>
      <c r="BB36" s="119">
        <v>0.02</v>
      </c>
      <c r="BC36" s="119">
        <v>0.02</v>
      </c>
      <c r="BD36" s="119">
        <v>0.02</v>
      </c>
      <c r="BE36" s="119">
        <v>0.02</v>
      </c>
      <c r="BF36" s="119">
        <v>0.02</v>
      </c>
      <c r="BG36" s="119">
        <v>0.02</v>
      </c>
      <c r="BH36" s="119">
        <v>0.02</v>
      </c>
      <c r="BI36" s="119">
        <v>0.02</v>
      </c>
      <c r="BJ36" s="119">
        <v>0.02</v>
      </c>
      <c r="BK36" s="119">
        <v>0.03</v>
      </c>
      <c r="BL36" s="119">
        <v>0.02</v>
      </c>
      <c r="BM36" s="119">
        <v>0.02</v>
      </c>
      <c r="BN36" s="119">
        <v>0.03</v>
      </c>
      <c r="BO36" s="119">
        <v>0.02</v>
      </c>
      <c r="BP36" s="119">
        <v>0.02</v>
      </c>
      <c r="BQ36" s="119">
        <v>0.02</v>
      </c>
      <c r="BR36" s="119">
        <v>0.02</v>
      </c>
      <c r="BS36" s="119">
        <v>0.02</v>
      </c>
      <c r="BT36" s="119">
        <v>0.02</v>
      </c>
      <c r="BU36" s="119">
        <v>0.02</v>
      </c>
      <c r="BV36" s="119">
        <v>0.02</v>
      </c>
      <c r="BW36" s="119">
        <v>0.02</v>
      </c>
      <c r="BX36" s="119">
        <v>0.02</v>
      </c>
      <c r="BY36" s="119">
        <v>0.02</v>
      </c>
      <c r="BZ36" s="119">
        <v>0.02</v>
      </c>
      <c r="CA36" s="119">
        <v>0.02</v>
      </c>
      <c r="CB36" s="119">
        <v>0.02</v>
      </c>
      <c r="CC36" s="119">
        <v>0.02</v>
      </c>
      <c r="CD36" s="119">
        <v>0.02</v>
      </c>
      <c r="CE36" s="119">
        <v>0.02</v>
      </c>
    </row>
    <row r="37" spans="1:83" ht="13.5" customHeight="1" x14ac:dyDescent="0.75">
      <c r="A37" s="68"/>
      <c r="B37" s="67" t="s">
        <v>278</v>
      </c>
      <c r="C37" s="66" t="s">
        <v>279</v>
      </c>
      <c r="D37" s="119">
        <v>0.03</v>
      </c>
      <c r="E37" s="119">
        <v>0.02</v>
      </c>
      <c r="F37" s="119">
        <v>0.03</v>
      </c>
      <c r="G37" s="119">
        <v>0.03</v>
      </c>
      <c r="H37" s="119">
        <v>0.02</v>
      </c>
      <c r="I37" s="119">
        <v>0.02</v>
      </c>
      <c r="J37" s="119">
        <v>0.03</v>
      </c>
      <c r="K37" s="119">
        <v>0.03</v>
      </c>
      <c r="L37" s="119">
        <v>0.02</v>
      </c>
      <c r="M37" s="119">
        <v>0.02</v>
      </c>
      <c r="N37" s="119">
        <v>0.03</v>
      </c>
      <c r="O37" s="119">
        <v>0.02</v>
      </c>
      <c r="P37" s="119">
        <v>0.02</v>
      </c>
      <c r="Q37" s="119">
        <v>0.02</v>
      </c>
      <c r="R37" s="119">
        <v>0.02</v>
      </c>
      <c r="S37" s="119">
        <v>0.02</v>
      </c>
      <c r="T37" s="119">
        <v>0.01</v>
      </c>
      <c r="U37" s="119">
        <v>0.02</v>
      </c>
      <c r="V37" s="119">
        <v>0.02</v>
      </c>
      <c r="W37" s="119">
        <v>0.02</v>
      </c>
      <c r="X37" s="119">
        <v>0.02</v>
      </c>
      <c r="Y37" s="119">
        <v>0.02</v>
      </c>
      <c r="Z37" s="119">
        <v>0.03</v>
      </c>
      <c r="AA37" s="119">
        <v>0.02</v>
      </c>
      <c r="AB37" s="119">
        <v>0.02</v>
      </c>
      <c r="AC37" s="119">
        <v>0.03</v>
      </c>
      <c r="AD37" s="119">
        <v>0.03</v>
      </c>
      <c r="AE37" s="119">
        <v>0.02</v>
      </c>
      <c r="AF37" s="119">
        <v>0.03</v>
      </c>
      <c r="AG37" s="119">
        <v>0.03</v>
      </c>
      <c r="AH37" s="119">
        <v>0.03</v>
      </c>
      <c r="AI37" s="119">
        <v>0.02</v>
      </c>
      <c r="AJ37" s="119">
        <v>0.03</v>
      </c>
      <c r="AK37" s="119">
        <v>0.02</v>
      </c>
      <c r="AL37" s="119">
        <v>0.03</v>
      </c>
      <c r="AM37" s="119">
        <v>0.03</v>
      </c>
      <c r="AN37" s="119">
        <v>0.03</v>
      </c>
      <c r="AO37" s="119">
        <v>0.03</v>
      </c>
      <c r="AP37" s="119">
        <v>0.03</v>
      </c>
      <c r="AQ37" s="119">
        <v>0.03</v>
      </c>
      <c r="AR37" s="119">
        <v>0.02</v>
      </c>
      <c r="AS37" s="119">
        <v>0.02</v>
      </c>
      <c r="AT37" s="119">
        <v>0.02</v>
      </c>
      <c r="AU37" s="119">
        <v>0.03</v>
      </c>
      <c r="AV37" s="119">
        <v>0.02</v>
      </c>
      <c r="AW37" s="119">
        <v>0.02</v>
      </c>
      <c r="AX37" s="119">
        <v>0.02</v>
      </c>
      <c r="AY37" s="119">
        <v>0.03</v>
      </c>
      <c r="AZ37" s="119">
        <v>0.02</v>
      </c>
      <c r="BA37" s="119">
        <v>0.02</v>
      </c>
      <c r="BB37" s="119">
        <v>0.02</v>
      </c>
      <c r="BC37" s="119">
        <v>0.03</v>
      </c>
      <c r="BD37" s="119">
        <v>0.03</v>
      </c>
      <c r="BE37" s="119">
        <v>0.03</v>
      </c>
      <c r="BF37" s="119">
        <v>0.03</v>
      </c>
      <c r="BG37" s="119">
        <v>0.03</v>
      </c>
      <c r="BH37" s="119">
        <v>0.02</v>
      </c>
      <c r="BI37" s="119">
        <v>0.03</v>
      </c>
      <c r="BJ37" s="119">
        <v>0.02</v>
      </c>
      <c r="BK37" s="119">
        <v>0.03</v>
      </c>
      <c r="BL37" s="119">
        <v>0.02</v>
      </c>
      <c r="BM37" s="119">
        <v>0.03</v>
      </c>
      <c r="BN37" s="119">
        <v>0.03</v>
      </c>
      <c r="BO37" s="119">
        <v>0.03</v>
      </c>
      <c r="BP37" s="119">
        <v>0.03</v>
      </c>
      <c r="BQ37" s="119">
        <v>0.03</v>
      </c>
      <c r="BR37" s="119">
        <v>0.03</v>
      </c>
      <c r="BS37" s="119">
        <v>0.03</v>
      </c>
      <c r="BT37" s="119">
        <v>0.04</v>
      </c>
      <c r="BU37" s="119">
        <v>0.03</v>
      </c>
      <c r="BV37" s="119">
        <v>0.03</v>
      </c>
      <c r="BW37" s="119">
        <v>0.03</v>
      </c>
      <c r="BX37" s="119">
        <v>0.03</v>
      </c>
      <c r="BY37" s="119">
        <v>0.03</v>
      </c>
      <c r="BZ37" s="119">
        <v>0.02</v>
      </c>
      <c r="CA37" s="119">
        <v>0.03</v>
      </c>
      <c r="CB37" s="119">
        <v>0.02</v>
      </c>
      <c r="CC37" s="119">
        <v>0.03</v>
      </c>
      <c r="CD37" s="119">
        <v>0.02</v>
      </c>
      <c r="CE37" s="119">
        <v>0.03</v>
      </c>
    </row>
    <row r="38" spans="1:83" ht="13.5" customHeight="1" x14ac:dyDescent="0.75">
      <c r="A38" s="68"/>
      <c r="B38" s="67" t="s">
        <v>280</v>
      </c>
      <c r="C38" s="66" t="s">
        <v>281</v>
      </c>
      <c r="D38" s="119">
        <v>7.0000000000000007E-2</v>
      </c>
      <c r="E38" s="119">
        <v>0.08</v>
      </c>
      <c r="F38" s="119">
        <v>7.0000000000000007E-2</v>
      </c>
      <c r="G38" s="119">
        <v>7.0000000000000007E-2</v>
      </c>
      <c r="H38" s="119">
        <v>7.0000000000000007E-2</v>
      </c>
      <c r="I38" s="119">
        <v>0.08</v>
      </c>
      <c r="J38" s="119">
        <v>0.09</v>
      </c>
      <c r="K38" s="119">
        <v>0.1</v>
      </c>
      <c r="L38" s="119">
        <v>0.1</v>
      </c>
      <c r="M38" s="119">
        <v>0.1</v>
      </c>
      <c r="N38" s="119">
        <v>0.1</v>
      </c>
      <c r="O38" s="119">
        <v>0.1</v>
      </c>
      <c r="P38" s="119">
        <v>0.11</v>
      </c>
      <c r="Q38" s="119">
        <v>0.1</v>
      </c>
      <c r="R38" s="119">
        <v>0.1</v>
      </c>
      <c r="S38" s="119">
        <v>0.11</v>
      </c>
      <c r="T38" s="119">
        <v>0.11</v>
      </c>
      <c r="U38" s="119">
        <v>0.1</v>
      </c>
      <c r="V38" s="119">
        <v>0.1</v>
      </c>
      <c r="W38" s="119">
        <v>0.1</v>
      </c>
      <c r="X38" s="119">
        <v>0.1</v>
      </c>
      <c r="Y38" s="119">
        <v>0.1</v>
      </c>
      <c r="Z38" s="119">
        <v>0.09</v>
      </c>
      <c r="AA38" s="119">
        <v>0.09</v>
      </c>
      <c r="AB38" s="119">
        <v>0.09</v>
      </c>
      <c r="AC38" s="119">
        <v>0.09</v>
      </c>
      <c r="AD38" s="119">
        <v>0.09</v>
      </c>
      <c r="AE38" s="119">
        <v>7.0000000000000007E-2</v>
      </c>
      <c r="AF38" s="119">
        <v>7.0000000000000007E-2</v>
      </c>
      <c r="AG38" s="119">
        <v>0.08</v>
      </c>
      <c r="AH38" s="119">
        <v>7.0000000000000007E-2</v>
      </c>
      <c r="AI38" s="119">
        <v>7.0000000000000007E-2</v>
      </c>
      <c r="AJ38" s="119">
        <v>7.0000000000000007E-2</v>
      </c>
      <c r="AK38" s="119">
        <v>0.08</v>
      </c>
      <c r="AL38" s="119">
        <v>7.0000000000000007E-2</v>
      </c>
      <c r="AM38" s="119">
        <v>0.08</v>
      </c>
      <c r="AN38" s="119">
        <v>7.0000000000000007E-2</v>
      </c>
      <c r="AO38" s="119">
        <v>7.0000000000000007E-2</v>
      </c>
      <c r="AP38" s="119">
        <v>7.0000000000000007E-2</v>
      </c>
      <c r="AQ38" s="119">
        <v>0.08</v>
      </c>
      <c r="AR38" s="119">
        <v>0.06</v>
      </c>
      <c r="AS38" s="119">
        <v>7.0000000000000007E-2</v>
      </c>
      <c r="AT38" s="119">
        <v>7.0000000000000007E-2</v>
      </c>
      <c r="AU38" s="119">
        <v>0.08</v>
      </c>
      <c r="AV38" s="119">
        <v>7.0000000000000007E-2</v>
      </c>
      <c r="AW38" s="119">
        <v>0.08</v>
      </c>
      <c r="AX38" s="119">
        <v>7.0000000000000007E-2</v>
      </c>
      <c r="AY38" s="119">
        <v>0.08</v>
      </c>
      <c r="AZ38" s="119">
        <v>7.0000000000000007E-2</v>
      </c>
      <c r="BA38" s="119">
        <v>0.08</v>
      </c>
      <c r="BB38" s="119">
        <v>7.0000000000000007E-2</v>
      </c>
      <c r="BC38" s="119">
        <v>0.09</v>
      </c>
      <c r="BD38" s="119">
        <v>7.0000000000000007E-2</v>
      </c>
      <c r="BE38" s="119">
        <v>0.08</v>
      </c>
      <c r="BF38" s="119">
        <v>0.08</v>
      </c>
      <c r="BG38" s="119">
        <v>0.09</v>
      </c>
      <c r="BH38" s="119">
        <v>7.0000000000000007E-2</v>
      </c>
      <c r="BI38" s="119">
        <v>0.08</v>
      </c>
      <c r="BJ38" s="119">
        <v>0.08</v>
      </c>
      <c r="BK38" s="119">
        <v>0.09</v>
      </c>
      <c r="BL38" s="119">
        <v>0.08</v>
      </c>
      <c r="BM38" s="119">
        <v>0.08</v>
      </c>
      <c r="BN38" s="119">
        <v>0.08</v>
      </c>
      <c r="BO38" s="119">
        <v>0.09</v>
      </c>
      <c r="BP38" s="119">
        <v>0.08</v>
      </c>
      <c r="BQ38" s="119">
        <v>0.08</v>
      </c>
      <c r="BR38" s="119">
        <v>7.0000000000000007E-2</v>
      </c>
      <c r="BS38" s="119">
        <v>0.08</v>
      </c>
      <c r="BT38" s="119">
        <v>7.0000000000000007E-2</v>
      </c>
      <c r="BU38" s="119">
        <v>0.09</v>
      </c>
      <c r="BV38" s="119">
        <v>7.0000000000000007E-2</v>
      </c>
      <c r="BW38" s="119">
        <v>0.08</v>
      </c>
      <c r="BX38" s="119">
        <v>0.06</v>
      </c>
      <c r="BY38" s="119">
        <v>7.0000000000000007E-2</v>
      </c>
      <c r="BZ38" s="119">
        <v>0.06</v>
      </c>
      <c r="CA38" s="119">
        <v>7.0000000000000007E-2</v>
      </c>
      <c r="CB38" s="119">
        <v>7.0000000000000007E-2</v>
      </c>
      <c r="CC38" s="119">
        <v>0.06</v>
      </c>
      <c r="CD38" s="119">
        <v>0.06</v>
      </c>
      <c r="CE38" s="119">
        <v>0.06</v>
      </c>
    </row>
    <row r="39" spans="1:83" ht="13.5" customHeight="1" x14ac:dyDescent="0.75">
      <c r="A39" s="68"/>
      <c r="B39" s="67" t="s">
        <v>282</v>
      </c>
      <c r="C39" s="66" t="s">
        <v>283</v>
      </c>
      <c r="D39" s="119">
        <v>0.03</v>
      </c>
      <c r="E39" s="119">
        <v>0.02</v>
      </c>
      <c r="F39" s="119">
        <v>0.02</v>
      </c>
      <c r="G39" s="119">
        <v>0.02</v>
      </c>
      <c r="H39" s="119">
        <v>0.02</v>
      </c>
      <c r="I39" s="119">
        <v>0.02</v>
      </c>
      <c r="J39" s="119">
        <v>0.02</v>
      </c>
      <c r="K39" s="119">
        <v>0.02</v>
      </c>
      <c r="L39" s="119">
        <v>0.02</v>
      </c>
      <c r="M39" s="119">
        <v>0.02</v>
      </c>
      <c r="N39" s="119">
        <v>0.03</v>
      </c>
      <c r="O39" s="119">
        <v>0.02</v>
      </c>
      <c r="P39" s="119">
        <v>0.03</v>
      </c>
      <c r="Q39" s="119">
        <v>0.03</v>
      </c>
      <c r="R39" s="119">
        <v>0.03</v>
      </c>
      <c r="S39" s="119">
        <v>0.03</v>
      </c>
      <c r="T39" s="119">
        <v>0.03</v>
      </c>
      <c r="U39" s="119">
        <v>0.03</v>
      </c>
      <c r="V39" s="119">
        <v>0.03</v>
      </c>
      <c r="W39" s="119">
        <v>0.03</v>
      </c>
      <c r="X39" s="119">
        <v>0.02</v>
      </c>
      <c r="Y39" s="119">
        <v>0.02</v>
      </c>
      <c r="Z39" s="119">
        <v>0.02</v>
      </c>
      <c r="AA39" s="119">
        <v>0.02</v>
      </c>
      <c r="AB39" s="119">
        <v>0.02</v>
      </c>
      <c r="AC39" s="119">
        <v>0.02</v>
      </c>
      <c r="AD39" s="119">
        <v>0.02</v>
      </c>
      <c r="AE39" s="119">
        <v>0.02</v>
      </c>
      <c r="AF39" s="119">
        <v>0.02</v>
      </c>
      <c r="AG39" s="119">
        <v>0.02</v>
      </c>
      <c r="AH39" s="119">
        <v>0.02</v>
      </c>
      <c r="AI39" s="119">
        <v>0.02</v>
      </c>
      <c r="AJ39" s="119">
        <v>0.02</v>
      </c>
      <c r="AK39" s="119">
        <v>0.02</v>
      </c>
      <c r="AL39" s="119">
        <v>0.02</v>
      </c>
      <c r="AM39" s="119">
        <v>0.02</v>
      </c>
      <c r="AN39" s="119">
        <v>0.02</v>
      </c>
      <c r="AO39" s="119">
        <v>0.02</v>
      </c>
      <c r="AP39" s="119">
        <v>0.02</v>
      </c>
      <c r="AQ39" s="119">
        <v>0.02</v>
      </c>
      <c r="AR39" s="119">
        <v>0.02</v>
      </c>
      <c r="AS39" s="119">
        <v>0.02</v>
      </c>
      <c r="AT39" s="119">
        <v>0.02</v>
      </c>
      <c r="AU39" s="119">
        <v>0.02</v>
      </c>
      <c r="AV39" s="119">
        <v>0.02</v>
      </c>
      <c r="AW39" s="119">
        <v>0.02</v>
      </c>
      <c r="AX39" s="119">
        <v>0.02</v>
      </c>
      <c r="AY39" s="119">
        <v>0.02</v>
      </c>
      <c r="AZ39" s="119">
        <v>0.02</v>
      </c>
      <c r="BA39" s="119">
        <v>0.02</v>
      </c>
      <c r="BB39" s="119">
        <v>0.02</v>
      </c>
      <c r="BC39" s="119">
        <v>0.03</v>
      </c>
      <c r="BD39" s="119">
        <v>0.02</v>
      </c>
      <c r="BE39" s="119">
        <v>0.03</v>
      </c>
      <c r="BF39" s="119">
        <v>0.02</v>
      </c>
      <c r="BG39" s="119">
        <v>0.03</v>
      </c>
      <c r="BH39" s="119">
        <v>0.02</v>
      </c>
      <c r="BI39" s="119">
        <v>0.03</v>
      </c>
      <c r="BJ39" s="119">
        <v>0.03</v>
      </c>
      <c r="BK39" s="119">
        <v>0.03</v>
      </c>
      <c r="BL39" s="119">
        <v>0.03</v>
      </c>
      <c r="BM39" s="119">
        <v>0.03</v>
      </c>
      <c r="BN39" s="119">
        <v>0.03</v>
      </c>
      <c r="BO39" s="119">
        <v>0.03</v>
      </c>
      <c r="BP39" s="119">
        <v>0.03</v>
      </c>
      <c r="BQ39" s="119">
        <v>0.03</v>
      </c>
      <c r="BR39" s="119">
        <v>0.03</v>
      </c>
      <c r="BS39" s="119">
        <v>0.03</v>
      </c>
      <c r="BT39" s="119">
        <v>0.03</v>
      </c>
      <c r="BU39" s="119">
        <v>0.03</v>
      </c>
      <c r="BV39" s="119">
        <v>0.03</v>
      </c>
      <c r="BW39" s="119">
        <v>0.03</v>
      </c>
      <c r="BX39" s="119">
        <v>0.03</v>
      </c>
      <c r="BY39" s="119">
        <v>0.03</v>
      </c>
      <c r="BZ39" s="119">
        <v>0.03</v>
      </c>
      <c r="CA39" s="119">
        <v>0.03</v>
      </c>
      <c r="CB39" s="119">
        <v>0.03</v>
      </c>
      <c r="CC39" s="119">
        <v>0.03</v>
      </c>
      <c r="CD39" s="119">
        <v>0.03</v>
      </c>
      <c r="CE39" s="119">
        <v>0.03</v>
      </c>
    </row>
    <row r="40" spans="1:83" ht="13.5" customHeight="1" x14ac:dyDescent="0.75">
      <c r="A40" s="68"/>
      <c r="B40" s="67" t="s">
        <v>284</v>
      </c>
      <c r="C40" s="66" t="s">
        <v>285</v>
      </c>
      <c r="D40" s="119">
        <v>0.04</v>
      </c>
      <c r="E40" s="119">
        <v>0.03</v>
      </c>
      <c r="F40" s="119">
        <v>0.02</v>
      </c>
      <c r="G40" s="119">
        <v>0.02</v>
      </c>
      <c r="H40" s="119">
        <v>0.02</v>
      </c>
      <c r="I40" s="119">
        <v>0.03</v>
      </c>
      <c r="J40" s="119">
        <v>0.03</v>
      </c>
      <c r="K40" s="119">
        <v>0.03</v>
      </c>
      <c r="L40" s="119">
        <v>0.03</v>
      </c>
      <c r="M40" s="119">
        <v>0.03</v>
      </c>
      <c r="N40" s="119">
        <v>0.03</v>
      </c>
      <c r="O40" s="119">
        <v>0.03</v>
      </c>
      <c r="P40" s="119">
        <v>0.04</v>
      </c>
      <c r="Q40" s="119">
        <v>0.04</v>
      </c>
      <c r="R40" s="119">
        <v>0.04</v>
      </c>
      <c r="S40" s="119">
        <v>0.04</v>
      </c>
      <c r="T40" s="119">
        <v>0.04</v>
      </c>
      <c r="U40" s="119">
        <v>0.03</v>
      </c>
      <c r="V40" s="119">
        <v>0.04</v>
      </c>
      <c r="W40" s="119">
        <v>0.03</v>
      </c>
      <c r="X40" s="119">
        <v>0.03</v>
      </c>
      <c r="Y40" s="119">
        <v>0.03</v>
      </c>
      <c r="Z40" s="119">
        <v>0.03</v>
      </c>
      <c r="AA40" s="119">
        <v>0.03</v>
      </c>
      <c r="AB40" s="119">
        <v>0.03</v>
      </c>
      <c r="AC40" s="119">
        <v>0.03</v>
      </c>
      <c r="AD40" s="119">
        <v>0.03</v>
      </c>
      <c r="AE40" s="119">
        <v>0.03</v>
      </c>
      <c r="AF40" s="119">
        <v>0.03</v>
      </c>
      <c r="AG40" s="119">
        <v>0.03</v>
      </c>
      <c r="AH40" s="119">
        <v>0.03</v>
      </c>
      <c r="AI40" s="119">
        <v>0.03</v>
      </c>
      <c r="AJ40" s="119">
        <v>0.03</v>
      </c>
      <c r="AK40" s="119">
        <v>0.03</v>
      </c>
      <c r="AL40" s="119">
        <v>0.03</v>
      </c>
      <c r="AM40" s="119">
        <v>0.03</v>
      </c>
      <c r="AN40" s="119">
        <v>0.03</v>
      </c>
      <c r="AO40" s="119">
        <v>0.03</v>
      </c>
      <c r="AP40" s="119">
        <v>0.03</v>
      </c>
      <c r="AQ40" s="119">
        <v>0.04</v>
      </c>
      <c r="AR40" s="119">
        <v>0.04</v>
      </c>
      <c r="AS40" s="119">
        <v>0.04</v>
      </c>
      <c r="AT40" s="119">
        <v>0.04</v>
      </c>
      <c r="AU40" s="119">
        <v>0.04</v>
      </c>
      <c r="AV40" s="119">
        <v>0.03</v>
      </c>
      <c r="AW40" s="119">
        <v>0.04</v>
      </c>
      <c r="AX40" s="119">
        <v>0.03</v>
      </c>
      <c r="AY40" s="119">
        <v>0.04</v>
      </c>
      <c r="AZ40" s="119">
        <v>0.03</v>
      </c>
      <c r="BA40" s="119">
        <v>0.04</v>
      </c>
      <c r="BB40" s="119">
        <v>0.04</v>
      </c>
      <c r="BC40" s="119">
        <v>0.04</v>
      </c>
      <c r="BD40" s="119">
        <v>0.03</v>
      </c>
      <c r="BE40" s="119">
        <v>0.04</v>
      </c>
      <c r="BF40" s="119">
        <v>0.03</v>
      </c>
      <c r="BG40" s="119">
        <v>0.04</v>
      </c>
      <c r="BH40" s="119">
        <v>0.04</v>
      </c>
      <c r="BI40" s="119">
        <v>0.04</v>
      </c>
      <c r="BJ40" s="119">
        <v>0.04</v>
      </c>
      <c r="BK40" s="119">
        <v>0.05</v>
      </c>
      <c r="BL40" s="119">
        <v>0.03</v>
      </c>
      <c r="BM40" s="119">
        <v>0.04</v>
      </c>
      <c r="BN40" s="119">
        <v>0.04</v>
      </c>
      <c r="BO40" s="119">
        <v>0.04</v>
      </c>
      <c r="BP40" s="119">
        <v>0.04</v>
      </c>
      <c r="BQ40" s="119">
        <v>0.04</v>
      </c>
      <c r="BR40" s="119">
        <v>0.04</v>
      </c>
      <c r="BS40" s="119">
        <v>0.05</v>
      </c>
      <c r="BT40" s="119">
        <v>0.04</v>
      </c>
      <c r="BU40" s="119">
        <v>0.04</v>
      </c>
      <c r="BV40" s="119">
        <v>0.04</v>
      </c>
      <c r="BW40" s="119">
        <v>0.05</v>
      </c>
      <c r="BX40" s="119">
        <v>0.04</v>
      </c>
      <c r="BY40" s="119">
        <v>0.04</v>
      </c>
      <c r="BZ40" s="119">
        <v>0.04</v>
      </c>
      <c r="CA40" s="119">
        <v>0.05</v>
      </c>
      <c r="CB40" s="119">
        <v>0.04</v>
      </c>
      <c r="CC40" s="119">
        <v>0.04</v>
      </c>
      <c r="CD40" s="119">
        <v>0.04</v>
      </c>
      <c r="CE40" s="119">
        <v>0.05</v>
      </c>
    </row>
    <row r="41" spans="1:83" ht="13.5" customHeight="1" x14ac:dyDescent="0.75">
      <c r="A41" s="68"/>
      <c r="B41" s="67" t="s">
        <v>286</v>
      </c>
      <c r="C41" s="66" t="s">
        <v>287</v>
      </c>
      <c r="D41" s="119">
        <v>0.04</v>
      </c>
      <c r="E41" s="119">
        <v>0.05</v>
      </c>
      <c r="F41" s="119">
        <v>0.05</v>
      </c>
      <c r="G41" s="119">
        <v>0.05</v>
      </c>
      <c r="H41" s="119">
        <v>0.05</v>
      </c>
      <c r="I41" s="119">
        <v>0.06</v>
      </c>
      <c r="J41" s="119">
        <v>0.05</v>
      </c>
      <c r="K41" s="119">
        <v>0.05</v>
      </c>
      <c r="L41" s="119">
        <v>0.05</v>
      </c>
      <c r="M41" s="119">
        <v>0.05</v>
      </c>
      <c r="N41" s="119">
        <v>0.05</v>
      </c>
      <c r="O41" s="119">
        <v>0.05</v>
      </c>
      <c r="P41" s="119">
        <v>0.04</v>
      </c>
      <c r="Q41" s="119">
        <v>0.05</v>
      </c>
      <c r="R41" s="119">
        <v>0.05</v>
      </c>
      <c r="S41" s="119">
        <v>0.05</v>
      </c>
      <c r="T41" s="119">
        <v>0.04</v>
      </c>
      <c r="U41" s="119">
        <v>0.05</v>
      </c>
      <c r="V41" s="119">
        <v>0.05</v>
      </c>
      <c r="W41" s="119">
        <v>0.05</v>
      </c>
      <c r="X41" s="119">
        <v>0.05</v>
      </c>
      <c r="Y41" s="119">
        <v>0.05</v>
      </c>
      <c r="Z41" s="119">
        <v>0.04</v>
      </c>
      <c r="AA41" s="119">
        <v>0.06</v>
      </c>
      <c r="AB41" s="119">
        <v>0.06</v>
      </c>
      <c r="AC41" s="119">
        <v>0.06</v>
      </c>
      <c r="AD41" s="119">
        <v>0.05</v>
      </c>
      <c r="AE41" s="119">
        <v>0.06</v>
      </c>
      <c r="AF41" s="119">
        <v>0.06</v>
      </c>
      <c r="AG41" s="119">
        <v>0.06</v>
      </c>
      <c r="AH41" s="119">
        <v>0.06</v>
      </c>
      <c r="AI41" s="119">
        <v>0.06</v>
      </c>
      <c r="AJ41" s="119">
        <v>0.06</v>
      </c>
      <c r="AK41" s="119">
        <v>0.06</v>
      </c>
      <c r="AL41" s="119">
        <v>0.06</v>
      </c>
      <c r="AM41" s="119">
        <v>7.0000000000000007E-2</v>
      </c>
      <c r="AN41" s="119">
        <v>0.06</v>
      </c>
      <c r="AO41" s="119">
        <v>0.06</v>
      </c>
      <c r="AP41" s="119">
        <v>0.05</v>
      </c>
      <c r="AQ41" s="119">
        <v>0.06</v>
      </c>
      <c r="AR41" s="119">
        <v>0.06</v>
      </c>
      <c r="AS41" s="119">
        <v>0.06</v>
      </c>
      <c r="AT41" s="119">
        <v>0.06</v>
      </c>
      <c r="AU41" s="119">
        <v>7.0000000000000007E-2</v>
      </c>
      <c r="AV41" s="119">
        <v>0.06</v>
      </c>
      <c r="AW41" s="119">
        <v>0.06</v>
      </c>
      <c r="AX41" s="119">
        <v>0.06</v>
      </c>
      <c r="AY41" s="119">
        <v>7.0000000000000007E-2</v>
      </c>
      <c r="AZ41" s="119">
        <v>0.05</v>
      </c>
      <c r="BA41" s="119">
        <v>0.06</v>
      </c>
      <c r="BB41" s="119">
        <v>0.05</v>
      </c>
      <c r="BC41" s="119">
        <v>0.06</v>
      </c>
      <c r="BD41" s="119">
        <v>0.05</v>
      </c>
      <c r="BE41" s="119">
        <v>0.05</v>
      </c>
      <c r="BF41" s="119">
        <v>0.05</v>
      </c>
      <c r="BG41" s="119">
        <v>0.06</v>
      </c>
      <c r="BH41" s="119">
        <v>0.05</v>
      </c>
      <c r="BI41" s="119">
        <v>0.05</v>
      </c>
      <c r="BJ41" s="119">
        <v>0.05</v>
      </c>
      <c r="BK41" s="119">
        <v>0.06</v>
      </c>
      <c r="BL41" s="119">
        <v>0.04</v>
      </c>
      <c r="BM41" s="119">
        <v>0.05</v>
      </c>
      <c r="BN41" s="119">
        <v>0.04</v>
      </c>
      <c r="BO41" s="119">
        <v>0.05</v>
      </c>
      <c r="BP41" s="119">
        <v>0.04</v>
      </c>
      <c r="BQ41" s="119">
        <v>0.05</v>
      </c>
      <c r="BR41" s="119">
        <v>0.04</v>
      </c>
      <c r="BS41" s="119">
        <v>0.05</v>
      </c>
      <c r="BT41" s="119">
        <v>0.04</v>
      </c>
      <c r="BU41" s="119">
        <v>0.04</v>
      </c>
      <c r="BV41" s="119">
        <v>0.04</v>
      </c>
      <c r="BW41" s="119">
        <v>0.05</v>
      </c>
      <c r="BX41" s="119">
        <v>0.04</v>
      </c>
      <c r="BY41" s="119">
        <v>0.04</v>
      </c>
      <c r="BZ41" s="119">
        <v>0.04</v>
      </c>
      <c r="CA41" s="119">
        <v>0.05</v>
      </c>
      <c r="CB41" s="119">
        <v>0.04</v>
      </c>
      <c r="CC41" s="119">
        <v>0.04</v>
      </c>
      <c r="CD41" s="119">
        <v>0.04</v>
      </c>
      <c r="CE41" s="119">
        <v>0.05</v>
      </c>
    </row>
    <row r="42" spans="1:83" ht="13.5" customHeight="1" x14ac:dyDescent="0.75">
      <c r="A42" s="68"/>
      <c r="B42" s="67" t="s">
        <v>288</v>
      </c>
      <c r="C42" s="66" t="s">
        <v>289</v>
      </c>
      <c r="D42" s="119">
        <v>0.03</v>
      </c>
      <c r="E42" s="119">
        <v>0.03</v>
      </c>
      <c r="F42" s="119">
        <v>0.02</v>
      </c>
      <c r="G42" s="119">
        <v>0.02</v>
      </c>
      <c r="H42" s="119">
        <v>0.02</v>
      </c>
      <c r="I42" s="119">
        <v>0.02</v>
      </c>
      <c r="J42" s="119">
        <v>0.02</v>
      </c>
      <c r="K42" s="119">
        <v>0.02</v>
      </c>
      <c r="L42" s="119">
        <v>0.02</v>
      </c>
      <c r="M42" s="119">
        <v>0.02</v>
      </c>
      <c r="N42" s="119">
        <v>0.02</v>
      </c>
      <c r="O42" s="119">
        <v>0.02</v>
      </c>
      <c r="P42" s="119">
        <v>0.02</v>
      </c>
      <c r="Q42" s="119">
        <v>0.02</v>
      </c>
      <c r="R42" s="119">
        <v>0.02</v>
      </c>
      <c r="S42" s="119">
        <v>0.02</v>
      </c>
      <c r="T42" s="119">
        <v>0.02</v>
      </c>
      <c r="U42" s="119">
        <v>0.03</v>
      </c>
      <c r="V42" s="119">
        <v>0.03</v>
      </c>
      <c r="W42" s="119">
        <v>0.03</v>
      </c>
      <c r="X42" s="119">
        <v>0.02</v>
      </c>
      <c r="Y42" s="119">
        <v>0.03</v>
      </c>
      <c r="Z42" s="119">
        <v>0.03</v>
      </c>
      <c r="AA42" s="119">
        <v>0.03</v>
      </c>
      <c r="AB42" s="119">
        <v>0.03</v>
      </c>
      <c r="AC42" s="119">
        <v>0.03</v>
      </c>
      <c r="AD42" s="119">
        <v>0.03</v>
      </c>
      <c r="AE42" s="119">
        <v>0.03</v>
      </c>
      <c r="AF42" s="119">
        <v>0.03</v>
      </c>
      <c r="AG42" s="119">
        <v>0.04</v>
      </c>
      <c r="AH42" s="119">
        <v>0.04</v>
      </c>
      <c r="AI42" s="119">
        <v>0.04</v>
      </c>
      <c r="AJ42" s="119">
        <v>0.04</v>
      </c>
      <c r="AK42" s="119">
        <v>0.04</v>
      </c>
      <c r="AL42" s="119">
        <v>0.04</v>
      </c>
      <c r="AM42" s="119">
        <v>0.04</v>
      </c>
      <c r="AN42" s="119">
        <v>0.03</v>
      </c>
      <c r="AO42" s="119">
        <v>0.04</v>
      </c>
      <c r="AP42" s="119">
        <v>0.03</v>
      </c>
      <c r="AQ42" s="119">
        <v>0.04</v>
      </c>
      <c r="AR42" s="119">
        <v>0.03</v>
      </c>
      <c r="AS42" s="119">
        <v>0.03</v>
      </c>
      <c r="AT42" s="119">
        <v>0.04</v>
      </c>
      <c r="AU42" s="119">
        <v>0.04</v>
      </c>
      <c r="AV42" s="119">
        <v>0.03</v>
      </c>
      <c r="AW42" s="119">
        <v>0.03</v>
      </c>
      <c r="AX42" s="119">
        <v>0.03</v>
      </c>
      <c r="AY42" s="119">
        <v>0.03</v>
      </c>
      <c r="AZ42" s="119">
        <v>0.03</v>
      </c>
      <c r="BA42" s="119">
        <v>0.03</v>
      </c>
      <c r="BB42" s="119">
        <v>0.03</v>
      </c>
      <c r="BC42" s="119">
        <v>0.03</v>
      </c>
      <c r="BD42" s="119">
        <v>0.03</v>
      </c>
      <c r="BE42" s="119">
        <v>0.03</v>
      </c>
      <c r="BF42" s="119">
        <v>0.03</v>
      </c>
      <c r="BG42" s="119">
        <v>0.03</v>
      </c>
      <c r="BH42" s="119">
        <v>0.02</v>
      </c>
      <c r="BI42" s="119">
        <v>0.02</v>
      </c>
      <c r="BJ42" s="119">
        <v>0.02</v>
      </c>
      <c r="BK42" s="119">
        <v>0.02</v>
      </c>
      <c r="BL42" s="119">
        <v>0.01</v>
      </c>
      <c r="BM42" s="119">
        <v>0.02</v>
      </c>
      <c r="BN42" s="119">
        <v>0.03</v>
      </c>
      <c r="BO42" s="119">
        <v>0.03</v>
      </c>
      <c r="BP42" s="119">
        <v>0.03</v>
      </c>
      <c r="BQ42" s="119">
        <v>0.03</v>
      </c>
      <c r="BR42" s="119">
        <v>0.03</v>
      </c>
      <c r="BS42" s="119">
        <v>0.04</v>
      </c>
      <c r="BT42" s="119">
        <v>0.03</v>
      </c>
      <c r="BU42" s="119">
        <v>0.04</v>
      </c>
      <c r="BV42" s="119">
        <v>0.04</v>
      </c>
      <c r="BW42" s="119">
        <v>0.04</v>
      </c>
      <c r="BX42" s="119">
        <v>0.03</v>
      </c>
      <c r="BY42" s="119">
        <v>0.04</v>
      </c>
      <c r="BZ42" s="119">
        <v>0.03</v>
      </c>
      <c r="CA42" s="119">
        <v>0.04</v>
      </c>
      <c r="CB42" s="119">
        <v>0.03</v>
      </c>
      <c r="CC42" s="119">
        <v>0.03</v>
      </c>
      <c r="CD42" s="119">
        <v>0.03</v>
      </c>
      <c r="CE42" s="119">
        <v>0.03</v>
      </c>
    </row>
    <row r="43" spans="1:83" ht="13.5" customHeight="1" x14ac:dyDescent="0.75">
      <c r="A43" s="68"/>
      <c r="B43" s="67" t="s">
        <v>290</v>
      </c>
      <c r="C43" s="66" t="s">
        <v>291</v>
      </c>
      <c r="D43" s="119">
        <v>0.01</v>
      </c>
      <c r="E43" s="119">
        <v>0.02</v>
      </c>
      <c r="F43" s="119">
        <v>0.02</v>
      </c>
      <c r="G43" s="119">
        <v>0.02</v>
      </c>
      <c r="H43" s="119">
        <v>0.02</v>
      </c>
      <c r="I43" s="119">
        <v>0.02</v>
      </c>
      <c r="J43" s="119">
        <v>0.02</v>
      </c>
      <c r="K43" s="119">
        <v>0.02</v>
      </c>
      <c r="L43" s="119">
        <v>0.02</v>
      </c>
      <c r="M43" s="119">
        <v>0.02</v>
      </c>
      <c r="N43" s="119">
        <v>0.02</v>
      </c>
      <c r="O43" s="119">
        <v>0.02</v>
      </c>
      <c r="P43" s="119">
        <v>0.02</v>
      </c>
      <c r="Q43" s="119">
        <v>0.02</v>
      </c>
      <c r="R43" s="119">
        <v>0.02</v>
      </c>
      <c r="S43" s="119">
        <v>0.02</v>
      </c>
      <c r="T43" s="119">
        <v>0.02</v>
      </c>
      <c r="U43" s="119">
        <v>0.02</v>
      </c>
      <c r="V43" s="119">
        <v>0.02</v>
      </c>
      <c r="W43" s="119">
        <v>0.02</v>
      </c>
      <c r="X43" s="119">
        <v>0.02</v>
      </c>
      <c r="Y43" s="119">
        <v>0.02</v>
      </c>
      <c r="Z43" s="119">
        <v>0.02</v>
      </c>
      <c r="AA43" s="119">
        <v>0.02</v>
      </c>
      <c r="AB43" s="119">
        <v>0.02</v>
      </c>
      <c r="AC43" s="119">
        <v>0.02</v>
      </c>
      <c r="AD43" s="119">
        <v>0.02</v>
      </c>
      <c r="AE43" s="119">
        <v>0.02</v>
      </c>
      <c r="AF43" s="119">
        <v>0.02</v>
      </c>
      <c r="AG43" s="119">
        <v>0.02</v>
      </c>
      <c r="AH43" s="119">
        <v>0.02</v>
      </c>
      <c r="AI43" s="119">
        <v>0.02</v>
      </c>
      <c r="AJ43" s="119">
        <v>0.02</v>
      </c>
      <c r="AK43" s="119">
        <v>0.02</v>
      </c>
      <c r="AL43" s="119">
        <v>0.02</v>
      </c>
      <c r="AM43" s="119">
        <v>0.02</v>
      </c>
      <c r="AN43" s="119">
        <v>0.02</v>
      </c>
      <c r="AO43" s="119">
        <v>0.02</v>
      </c>
      <c r="AP43" s="119">
        <v>0.02</v>
      </c>
      <c r="AQ43" s="119">
        <v>0.02</v>
      </c>
      <c r="AR43" s="119">
        <v>0.02</v>
      </c>
      <c r="AS43" s="119">
        <v>0.02</v>
      </c>
      <c r="AT43" s="119">
        <v>0.02</v>
      </c>
      <c r="AU43" s="119">
        <v>0.02</v>
      </c>
      <c r="AV43" s="119">
        <v>0.02</v>
      </c>
      <c r="AW43" s="119">
        <v>0.02</v>
      </c>
      <c r="AX43" s="119">
        <v>0.02</v>
      </c>
      <c r="AY43" s="119">
        <v>0.02</v>
      </c>
      <c r="AZ43" s="119">
        <v>0.02</v>
      </c>
      <c r="BA43" s="119">
        <v>0.02</v>
      </c>
      <c r="BB43" s="119">
        <v>0.02</v>
      </c>
      <c r="BC43" s="119">
        <v>0.02</v>
      </c>
      <c r="BD43" s="119">
        <v>0.02</v>
      </c>
      <c r="BE43" s="119">
        <v>0.02</v>
      </c>
      <c r="BF43" s="119">
        <v>0.02</v>
      </c>
      <c r="BG43" s="119">
        <v>0.02</v>
      </c>
      <c r="BH43" s="119">
        <v>0.02</v>
      </c>
      <c r="BI43" s="119">
        <v>0.02</v>
      </c>
      <c r="BJ43" s="119">
        <v>0.02</v>
      </c>
      <c r="BK43" s="119">
        <v>0.03</v>
      </c>
      <c r="BL43" s="119">
        <v>0.02</v>
      </c>
      <c r="BM43" s="119">
        <v>0.02</v>
      </c>
      <c r="BN43" s="119">
        <v>0.02</v>
      </c>
      <c r="BO43" s="119">
        <v>0.02</v>
      </c>
      <c r="BP43" s="119">
        <v>0.02</v>
      </c>
      <c r="BQ43" s="119">
        <v>0.02</v>
      </c>
      <c r="BR43" s="119">
        <v>0.02</v>
      </c>
      <c r="BS43" s="119">
        <v>0.02</v>
      </c>
      <c r="BT43" s="119">
        <v>0.01</v>
      </c>
      <c r="BU43" s="119">
        <v>0.01</v>
      </c>
      <c r="BV43" s="119">
        <v>0.01</v>
      </c>
      <c r="BW43" s="119">
        <v>0.01</v>
      </c>
      <c r="BX43" s="119">
        <v>0.01</v>
      </c>
      <c r="BY43" s="119">
        <v>0.01</v>
      </c>
      <c r="BZ43" s="119">
        <v>0.01</v>
      </c>
      <c r="CA43" s="119">
        <v>0.01</v>
      </c>
      <c r="CB43" s="119">
        <v>0.01</v>
      </c>
      <c r="CC43" s="119">
        <v>0.01</v>
      </c>
      <c r="CD43" s="119">
        <v>0.01</v>
      </c>
      <c r="CE43" s="119">
        <v>0.02</v>
      </c>
    </row>
    <row r="44" spans="1:83" ht="13.5" customHeight="1" x14ac:dyDescent="0.75">
      <c r="A44" s="68"/>
      <c r="B44" s="67" t="s">
        <v>292</v>
      </c>
      <c r="C44" s="66" t="s">
        <v>293</v>
      </c>
      <c r="D44" s="119">
        <v>0.03</v>
      </c>
      <c r="E44" s="119">
        <v>7.0000000000000007E-2</v>
      </c>
      <c r="F44" s="119">
        <v>0.06</v>
      </c>
      <c r="G44" s="119">
        <v>0.06</v>
      </c>
      <c r="H44" s="119">
        <v>0.06</v>
      </c>
      <c r="I44" s="119">
        <v>0.06</v>
      </c>
      <c r="J44" s="119">
        <v>0.06</v>
      </c>
      <c r="K44" s="119">
        <v>0.06</v>
      </c>
      <c r="L44" s="119">
        <v>0.06</v>
      </c>
      <c r="M44" s="119">
        <v>0.06</v>
      </c>
      <c r="N44" s="119">
        <v>0.05</v>
      </c>
      <c r="O44" s="119">
        <v>0.05</v>
      </c>
      <c r="P44" s="119">
        <v>0.05</v>
      </c>
      <c r="Q44" s="119">
        <v>0.05</v>
      </c>
      <c r="R44" s="119">
        <v>0.05</v>
      </c>
      <c r="S44" s="119">
        <v>0.05</v>
      </c>
      <c r="T44" s="119">
        <v>0.05</v>
      </c>
      <c r="U44" s="119">
        <v>0.05</v>
      </c>
      <c r="V44" s="119">
        <v>0.05</v>
      </c>
      <c r="W44" s="119">
        <v>0.05</v>
      </c>
      <c r="X44" s="119">
        <v>0.04</v>
      </c>
      <c r="Y44" s="119">
        <v>0.05</v>
      </c>
      <c r="Z44" s="119">
        <v>0.04</v>
      </c>
      <c r="AA44" s="119">
        <v>0.04</v>
      </c>
      <c r="AB44" s="119">
        <v>0.04</v>
      </c>
      <c r="AC44" s="119">
        <v>0.04</v>
      </c>
      <c r="AD44" s="119">
        <v>0.04</v>
      </c>
      <c r="AE44" s="119">
        <v>0.04</v>
      </c>
      <c r="AF44" s="119">
        <v>0.04</v>
      </c>
      <c r="AG44" s="119">
        <v>0.05</v>
      </c>
      <c r="AH44" s="119">
        <v>0.05</v>
      </c>
      <c r="AI44" s="119">
        <v>0.04</v>
      </c>
      <c r="AJ44" s="119">
        <v>0.04</v>
      </c>
      <c r="AK44" s="119">
        <v>0.05</v>
      </c>
      <c r="AL44" s="119">
        <v>0.05</v>
      </c>
      <c r="AM44" s="119">
        <v>0.06</v>
      </c>
      <c r="AN44" s="119">
        <v>0.05</v>
      </c>
      <c r="AO44" s="119">
        <v>0.05</v>
      </c>
      <c r="AP44" s="119">
        <v>0.06</v>
      </c>
      <c r="AQ44" s="119">
        <v>0.06</v>
      </c>
      <c r="AR44" s="119">
        <v>0.05</v>
      </c>
      <c r="AS44" s="119">
        <v>0.05</v>
      </c>
      <c r="AT44" s="119">
        <v>0.05</v>
      </c>
      <c r="AU44" s="119">
        <v>0.06</v>
      </c>
      <c r="AV44" s="119">
        <v>0.05</v>
      </c>
      <c r="AW44" s="119">
        <v>0.05</v>
      </c>
      <c r="AX44" s="119">
        <v>0.05</v>
      </c>
      <c r="AY44" s="119">
        <v>0.06</v>
      </c>
      <c r="AZ44" s="119">
        <v>0.05</v>
      </c>
      <c r="BA44" s="119">
        <v>0.05</v>
      </c>
      <c r="BB44" s="119">
        <v>0.05</v>
      </c>
      <c r="BC44" s="119">
        <v>0.06</v>
      </c>
      <c r="BD44" s="119">
        <v>0.05</v>
      </c>
      <c r="BE44" s="119">
        <v>0.05</v>
      </c>
      <c r="BF44" s="119">
        <v>0.04</v>
      </c>
      <c r="BG44" s="119">
        <v>0.05</v>
      </c>
      <c r="BH44" s="119">
        <v>0.04</v>
      </c>
      <c r="BI44" s="119">
        <v>0.04</v>
      </c>
      <c r="BJ44" s="119">
        <v>0.04</v>
      </c>
      <c r="BK44" s="119">
        <v>0.05</v>
      </c>
      <c r="BL44" s="119">
        <v>0.04</v>
      </c>
      <c r="BM44" s="119">
        <v>0.04</v>
      </c>
      <c r="BN44" s="119">
        <v>0.04</v>
      </c>
      <c r="BO44" s="119">
        <v>0.04</v>
      </c>
      <c r="BP44" s="119">
        <v>0.04</v>
      </c>
      <c r="BQ44" s="119">
        <v>0.04</v>
      </c>
      <c r="BR44" s="119">
        <v>0.03</v>
      </c>
      <c r="BS44" s="119">
        <v>0.04</v>
      </c>
      <c r="BT44" s="119">
        <v>0.03</v>
      </c>
      <c r="BU44" s="119">
        <v>0.03</v>
      </c>
      <c r="BV44" s="119">
        <v>0.03</v>
      </c>
      <c r="BW44" s="119">
        <v>0.03</v>
      </c>
      <c r="BX44" s="119">
        <v>0.05</v>
      </c>
      <c r="BY44" s="119">
        <v>0.03</v>
      </c>
      <c r="BZ44" s="119">
        <v>0.03</v>
      </c>
      <c r="CA44" s="119">
        <v>0.04</v>
      </c>
      <c r="CB44" s="119">
        <v>0.03</v>
      </c>
      <c r="CC44" s="119">
        <v>0.03</v>
      </c>
      <c r="CD44" s="119">
        <v>0.03</v>
      </c>
      <c r="CE44" s="119">
        <v>0.03</v>
      </c>
    </row>
    <row r="45" spans="1:83" ht="6.75" customHeight="1" x14ac:dyDescent="0.75">
      <c r="A45" s="64"/>
      <c r="B45" s="64"/>
      <c r="C45" s="72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5"/>
      <c r="BQ45" s="95"/>
      <c r="BR45" s="95"/>
      <c r="BS45" s="95"/>
      <c r="BT45" s="95"/>
      <c r="BU45" s="95"/>
      <c r="BV45" s="95"/>
      <c r="BW45" s="95"/>
      <c r="BX45" s="95"/>
      <c r="BY45" s="95"/>
      <c r="BZ45" s="95"/>
      <c r="CA45" s="95"/>
      <c r="CB45" s="95"/>
      <c r="CC45" s="95"/>
      <c r="CD45" s="95"/>
      <c r="CE45" s="95"/>
    </row>
    <row r="46" spans="1:83" ht="14.25" customHeight="1" x14ac:dyDescent="0.75">
      <c r="A46" s="64"/>
      <c r="B46" s="81" t="s">
        <v>294</v>
      </c>
      <c r="C46" s="82"/>
      <c r="D46" s="117">
        <v>0.05</v>
      </c>
      <c r="E46" s="117">
        <v>0.09</v>
      </c>
      <c r="F46" s="117">
        <v>0.09</v>
      </c>
      <c r="G46" s="117">
        <v>0.09</v>
      </c>
      <c r="H46" s="117">
        <v>0.09</v>
      </c>
      <c r="I46" s="117">
        <v>0.09</v>
      </c>
      <c r="J46" s="117">
        <v>0.09</v>
      </c>
      <c r="K46" s="117">
        <v>0.09</v>
      </c>
      <c r="L46" s="117">
        <v>0.09</v>
      </c>
      <c r="M46" s="117">
        <v>0.1</v>
      </c>
      <c r="N46" s="117">
        <v>0.09</v>
      </c>
      <c r="O46" s="117">
        <v>0.1</v>
      </c>
      <c r="P46" s="117">
        <v>0.1</v>
      </c>
      <c r="Q46" s="117">
        <v>0.1</v>
      </c>
      <c r="R46" s="117">
        <v>0.1</v>
      </c>
      <c r="S46" s="117">
        <v>0.09</v>
      </c>
      <c r="T46" s="117">
        <v>0.09</v>
      </c>
      <c r="U46" s="117">
        <v>0.09</v>
      </c>
      <c r="V46" s="117">
        <v>0.09</v>
      </c>
      <c r="W46" s="117">
        <v>0.1</v>
      </c>
      <c r="X46" s="117">
        <v>0.1</v>
      </c>
      <c r="Y46" s="117">
        <v>0.11</v>
      </c>
      <c r="Z46" s="117">
        <v>0.11</v>
      </c>
      <c r="AA46" s="117">
        <v>0.1</v>
      </c>
      <c r="AB46" s="117">
        <v>0.09</v>
      </c>
      <c r="AC46" s="117">
        <v>0.09</v>
      </c>
      <c r="AD46" s="117">
        <v>0.08</v>
      </c>
      <c r="AE46" s="117">
        <v>0.08</v>
      </c>
      <c r="AF46" s="117">
        <v>7.0000000000000007E-2</v>
      </c>
      <c r="AG46" s="117">
        <v>7.0000000000000007E-2</v>
      </c>
      <c r="AH46" s="117">
        <v>0.08</v>
      </c>
      <c r="AI46" s="117">
        <v>0.08</v>
      </c>
      <c r="AJ46" s="117">
        <v>0.08</v>
      </c>
      <c r="AK46" s="117">
        <v>0.08</v>
      </c>
      <c r="AL46" s="117">
        <v>0.09</v>
      </c>
      <c r="AM46" s="117">
        <v>0.1</v>
      </c>
      <c r="AN46" s="117">
        <v>0.08</v>
      </c>
      <c r="AO46" s="117">
        <v>0.08</v>
      </c>
      <c r="AP46" s="117">
        <v>0.09</v>
      </c>
      <c r="AQ46" s="117">
        <v>0.1</v>
      </c>
      <c r="AR46" s="117">
        <v>0.09</v>
      </c>
      <c r="AS46" s="117">
        <v>0.09</v>
      </c>
      <c r="AT46" s="117">
        <v>0.09</v>
      </c>
      <c r="AU46" s="117">
        <v>0.1</v>
      </c>
      <c r="AV46" s="117">
        <v>0.08</v>
      </c>
      <c r="AW46" s="117">
        <v>0.09</v>
      </c>
      <c r="AX46" s="117">
        <v>0.09</v>
      </c>
      <c r="AY46" s="117">
        <v>0.09</v>
      </c>
      <c r="AZ46" s="117">
        <v>0.08</v>
      </c>
      <c r="BA46" s="117">
        <v>0.08</v>
      </c>
      <c r="BB46" s="117">
        <v>0.08</v>
      </c>
      <c r="BC46" s="117">
        <v>0.09</v>
      </c>
      <c r="BD46" s="117">
        <v>0.08</v>
      </c>
      <c r="BE46" s="117">
        <v>0.09</v>
      </c>
      <c r="BF46" s="117">
        <v>0.09</v>
      </c>
      <c r="BG46" s="117">
        <v>0.08</v>
      </c>
      <c r="BH46" s="117">
        <v>0.08</v>
      </c>
      <c r="BI46" s="117">
        <v>0.08</v>
      </c>
      <c r="BJ46" s="117">
        <v>0.08</v>
      </c>
      <c r="BK46" s="117">
        <v>0.09</v>
      </c>
      <c r="BL46" s="117">
        <v>7.0000000000000007E-2</v>
      </c>
      <c r="BM46" s="117">
        <v>0.06</v>
      </c>
      <c r="BN46" s="117">
        <v>0.06</v>
      </c>
      <c r="BO46" s="117">
        <v>0.05</v>
      </c>
      <c r="BP46" s="117">
        <v>0.05</v>
      </c>
      <c r="BQ46" s="117">
        <v>0.05</v>
      </c>
      <c r="BR46" s="117">
        <v>0.06</v>
      </c>
      <c r="BS46" s="117">
        <v>0.06</v>
      </c>
      <c r="BT46" s="117">
        <v>0.05</v>
      </c>
      <c r="BU46" s="117">
        <v>0.05</v>
      </c>
      <c r="BV46" s="117">
        <v>0.05</v>
      </c>
      <c r="BW46" s="117">
        <v>0.06</v>
      </c>
      <c r="BX46" s="117">
        <v>0.04</v>
      </c>
      <c r="BY46" s="117">
        <v>0.05</v>
      </c>
      <c r="BZ46" s="117">
        <v>0.05</v>
      </c>
      <c r="CA46" s="117">
        <v>0.06</v>
      </c>
      <c r="CB46" s="117">
        <v>0.04</v>
      </c>
      <c r="CC46" s="117">
        <v>0.05</v>
      </c>
      <c r="CD46" s="117">
        <v>0.05</v>
      </c>
      <c r="CE46" s="117">
        <v>0.06</v>
      </c>
    </row>
    <row r="47" spans="1:83" ht="7.5" customHeight="1" thickBot="1" x14ac:dyDescent="0.9">
      <c r="A47" s="64"/>
      <c r="B47" s="96"/>
      <c r="C47" s="97"/>
      <c r="D47" s="97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  <c r="AT47" s="96"/>
      <c r="AU47" s="96"/>
      <c r="AV47" s="96"/>
      <c r="AW47" s="96"/>
      <c r="AX47" s="96"/>
      <c r="AY47" s="96"/>
      <c r="AZ47" s="96"/>
      <c r="BA47" s="96"/>
      <c r="BB47" s="96"/>
      <c r="BC47" s="96"/>
      <c r="BD47" s="96"/>
      <c r="BE47" s="96"/>
      <c r="BF47" s="96"/>
      <c r="BG47" s="96"/>
      <c r="BH47" s="96"/>
      <c r="BI47" s="96"/>
      <c r="BJ47" s="96"/>
      <c r="BK47" s="96"/>
      <c r="BL47" s="96"/>
      <c r="BM47" s="96"/>
      <c r="BN47" s="96"/>
      <c r="BO47" s="96"/>
      <c r="BP47" s="96"/>
      <c r="BQ47" s="96"/>
      <c r="BR47" s="96"/>
      <c r="BS47" s="96"/>
      <c r="BT47" s="96"/>
      <c r="BU47" s="96"/>
      <c r="BV47" s="96"/>
      <c r="BW47" s="96"/>
      <c r="BX47" s="96"/>
      <c r="BY47" s="96"/>
      <c r="BZ47" s="96"/>
      <c r="CA47" s="96"/>
      <c r="CB47" s="96"/>
      <c r="CC47" s="96"/>
      <c r="CD47" s="96"/>
      <c r="CE47" s="96"/>
    </row>
    <row r="48" spans="1:83" s="100" customFormat="1" ht="12.75" customHeight="1" thickTop="1" x14ac:dyDescent="0.55000000000000004">
      <c r="A48" s="98"/>
      <c r="B48" s="20" t="str">
        <f>QGDP_CP!B48</f>
        <v>Source: National Institute of Statistics of Rwanda</v>
      </c>
      <c r="C48" s="99"/>
    </row>
    <row r="49" spans="1:83" s="100" customFormat="1" ht="12.75" customHeight="1" x14ac:dyDescent="0.55000000000000004">
      <c r="A49" s="98"/>
      <c r="B49" s="22">
        <f>QGDP_CP!B49</f>
        <v>46007</v>
      </c>
      <c r="C49" s="99"/>
    </row>
    <row r="50" spans="1:83" ht="17.75" x14ac:dyDescent="0.75">
      <c r="A50" s="64"/>
    </row>
    <row r="51" spans="1:83" ht="17.75" x14ac:dyDescent="0.75">
      <c r="A51" s="64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3"/>
      <c r="BN51" s="103"/>
      <c r="BO51" s="103"/>
      <c r="BP51" s="103"/>
      <c r="BQ51" s="103"/>
      <c r="BR51" s="103"/>
      <c r="BS51" s="103"/>
      <c r="BT51" s="103"/>
      <c r="BU51" s="103"/>
      <c r="BV51" s="103"/>
      <c r="BW51" s="103"/>
      <c r="BX51" s="103"/>
      <c r="BY51" s="103"/>
      <c r="BZ51" s="103"/>
      <c r="CA51" s="103"/>
      <c r="CB51" s="103"/>
      <c r="CC51" s="103"/>
      <c r="CD51" s="103"/>
      <c r="CE51" s="103"/>
    </row>
    <row r="52" spans="1:83" ht="17.75" x14ac:dyDescent="0.75">
      <c r="A52" s="64"/>
      <c r="B52" s="104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5"/>
      <c r="BK52" s="105"/>
      <c r="BL52" s="105"/>
      <c r="BM52" s="105"/>
      <c r="BN52" s="105"/>
      <c r="BO52" s="105"/>
      <c r="BP52" s="105"/>
      <c r="BQ52" s="105"/>
      <c r="BR52" s="105"/>
      <c r="BS52" s="105"/>
      <c r="BT52" s="105"/>
      <c r="BU52" s="105"/>
      <c r="BV52" s="105"/>
      <c r="BW52" s="105"/>
      <c r="BX52" s="105"/>
      <c r="BY52" s="105"/>
      <c r="BZ52" s="105"/>
      <c r="CA52" s="105"/>
      <c r="CB52" s="105"/>
      <c r="CC52" s="105"/>
      <c r="CD52" s="105"/>
      <c r="CE52" s="105"/>
    </row>
    <row r="53" spans="1:83" ht="17.75" x14ac:dyDescent="0.75">
      <c r="A53" s="64"/>
    </row>
    <row r="54" spans="1:83" ht="17.75" x14ac:dyDescent="0.75">
      <c r="A54" s="64"/>
    </row>
    <row r="55" spans="1:83" ht="17.75" x14ac:dyDescent="0.75">
      <c r="A55" s="64"/>
    </row>
    <row r="56" spans="1:83" ht="17.75" x14ac:dyDescent="0.75">
      <c r="A56" s="64"/>
    </row>
    <row r="57" spans="1:83" ht="17.75" x14ac:dyDescent="0.75">
      <c r="A57" s="64"/>
    </row>
    <row r="58" spans="1:83" ht="17.75" x14ac:dyDescent="0.75">
      <c r="A58" s="64"/>
    </row>
    <row r="59" spans="1:83" ht="17.75" x14ac:dyDescent="0.75">
      <c r="A59" s="64"/>
    </row>
    <row r="60" spans="1:83" ht="17.75" x14ac:dyDescent="0.75">
      <c r="A60" s="64"/>
    </row>
    <row r="61" spans="1:83" ht="17.75" x14ac:dyDescent="0.75">
      <c r="A61" s="64"/>
    </row>
    <row r="62" spans="1:83" ht="17.75" x14ac:dyDescent="0.75">
      <c r="A62" s="64"/>
    </row>
    <row r="63" spans="1:83" ht="17.75" x14ac:dyDescent="0.75">
      <c r="A63" s="64"/>
    </row>
    <row r="64" spans="1:83" ht="17.75" x14ac:dyDescent="0.75">
      <c r="A64" s="64"/>
    </row>
    <row r="65" spans="1:1" ht="17.75" x14ac:dyDescent="0.75">
      <c r="A65" s="64"/>
    </row>
  </sheetData>
  <pageMargins left="0.7" right="0.7" top="0.75" bottom="0.75" header="0.3" footer="0.3"/>
  <pageSetup paperSize="9" scale="5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01EA-D7FF-42C3-BFBC-2A7D21DF9430}">
  <sheetPr codeName="Sheet4">
    <pageSetUpPr fitToPage="1"/>
  </sheetPr>
  <dimension ref="A1:CE66"/>
  <sheetViews>
    <sheetView showGridLines="0" zoomScale="99" zoomScaleNormal="99" workbookViewId="0">
      <pane xSplit="4" ySplit="7" topLeftCell="BP8" activePane="bottomRight" state="frozen"/>
      <selection activeCell="CF28" sqref="CF28"/>
      <selection pane="topRight" activeCell="CF28" sqref="CF28"/>
      <selection pane="bottomLeft" activeCell="CF28" sqref="CF28"/>
      <selection pane="bottomRight" activeCell="CF8" sqref="CF8"/>
    </sheetView>
  </sheetViews>
  <sheetFormatPr defaultColWidth="9.1328125" defaultRowHeight="14.25" x14ac:dyDescent="0.65"/>
  <cols>
    <col min="1" max="1" width="1.40625" style="102" customWidth="1"/>
    <col min="2" max="2" width="48.54296875" style="102" customWidth="1"/>
    <col min="3" max="3" width="6.40625" style="103" bestFit="1" customWidth="1"/>
    <col min="4" max="4" width="10.26953125" style="102" customWidth="1"/>
    <col min="5" max="80" width="8.40625" style="102" customWidth="1"/>
    <col min="81" max="81" width="9.1328125" style="102" customWidth="1"/>
    <col min="82" max="83" width="8.40625" style="102" customWidth="1"/>
    <col min="84" max="16384" width="9.1328125" style="102"/>
  </cols>
  <sheetData>
    <row r="1" spans="1:83" s="67" customFormat="1" ht="15" customHeight="1" x14ac:dyDescent="0.75">
      <c r="A1" s="64"/>
      <c r="B1" s="65" t="s">
        <v>295</v>
      </c>
      <c r="C1" s="6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</row>
    <row r="2" spans="1:83" s="71" customFormat="1" ht="15" customHeight="1" x14ac:dyDescent="0.6">
      <c r="A2" s="69"/>
      <c r="B2" s="69" t="s">
        <v>165</v>
      </c>
      <c r="C2" s="70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</row>
    <row r="3" spans="1:83" s="68" customFormat="1" ht="15" customHeight="1" thickBot="1" x14ac:dyDescent="0.9">
      <c r="A3" s="64"/>
      <c r="B3" s="107" t="str">
        <f>"     at constant "&amp;QGDP_KP!$D$5&amp;" prices"</f>
        <v xml:space="preserve">     at constant 2024 prices</v>
      </c>
      <c r="C3" s="108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109"/>
      <c r="BU3" s="109"/>
      <c r="BV3" s="109"/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s="68" customFormat="1" ht="15" customHeight="1" thickTop="1" thickBot="1" x14ac:dyDescent="0.9">
      <c r="A4" s="64"/>
      <c r="B4" s="73" t="s">
        <v>296</v>
      </c>
      <c r="C4" s="72"/>
      <c r="D4" s="110" t="s">
        <v>168</v>
      </c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  <c r="BM4" s="109"/>
      <c r="BN4" s="109"/>
      <c r="BO4" s="112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09"/>
      <c r="CC4" s="109"/>
      <c r="CD4" s="109"/>
      <c r="CE4" s="109"/>
    </row>
    <row r="5" spans="1:83" s="77" customFormat="1" ht="17.25" customHeight="1" thickTop="1" thickBot="1" x14ac:dyDescent="0.75">
      <c r="A5" s="69"/>
      <c r="B5" s="75" t="s">
        <v>169</v>
      </c>
      <c r="C5" s="76" t="s">
        <v>170</v>
      </c>
      <c r="D5" s="74">
        <v>2024</v>
      </c>
      <c r="E5" s="74" t="s">
        <v>116</v>
      </c>
      <c r="F5" s="74" t="s">
        <v>117</v>
      </c>
      <c r="G5" s="74" t="s">
        <v>118</v>
      </c>
      <c r="H5" s="74" t="s">
        <v>119</v>
      </c>
      <c r="I5" s="74" t="s">
        <v>120</v>
      </c>
      <c r="J5" s="74" t="s">
        <v>121</v>
      </c>
      <c r="K5" s="74" t="s">
        <v>122</v>
      </c>
      <c r="L5" s="74" t="s">
        <v>123</v>
      </c>
      <c r="M5" s="74" t="s">
        <v>124</v>
      </c>
      <c r="N5" s="74" t="s">
        <v>125</v>
      </c>
      <c r="O5" s="74" t="s">
        <v>126</v>
      </c>
      <c r="P5" s="74" t="s">
        <v>127</v>
      </c>
      <c r="Q5" s="74" t="s">
        <v>128</v>
      </c>
      <c r="R5" s="74" t="s">
        <v>129</v>
      </c>
      <c r="S5" s="74" t="s">
        <v>130</v>
      </c>
      <c r="T5" s="74" t="s">
        <v>131</v>
      </c>
      <c r="U5" s="74" t="s">
        <v>132</v>
      </c>
      <c r="V5" s="74" t="s">
        <v>133</v>
      </c>
      <c r="W5" s="74" t="s">
        <v>134</v>
      </c>
      <c r="X5" s="74" t="s">
        <v>135</v>
      </c>
      <c r="Y5" s="74" t="s">
        <v>136</v>
      </c>
      <c r="Z5" s="74" t="s">
        <v>137</v>
      </c>
      <c r="AA5" s="74" t="s">
        <v>138</v>
      </c>
      <c r="AB5" s="74" t="s">
        <v>139</v>
      </c>
      <c r="AC5" s="74" t="s">
        <v>140</v>
      </c>
      <c r="AD5" s="74" t="s">
        <v>141</v>
      </c>
      <c r="AE5" s="74" t="s">
        <v>142</v>
      </c>
      <c r="AF5" s="74" t="s">
        <v>143</v>
      </c>
      <c r="AG5" s="74" t="s">
        <v>144</v>
      </c>
      <c r="AH5" s="74" t="s">
        <v>145</v>
      </c>
      <c r="AI5" s="74" t="s">
        <v>146</v>
      </c>
      <c r="AJ5" s="74" t="s">
        <v>147</v>
      </c>
      <c r="AK5" s="74" t="s">
        <v>171</v>
      </c>
      <c r="AL5" s="74" t="s">
        <v>172</v>
      </c>
      <c r="AM5" s="74" t="s">
        <v>173</v>
      </c>
      <c r="AN5" s="74" t="s">
        <v>174</v>
      </c>
      <c r="AO5" s="74" t="s">
        <v>175</v>
      </c>
      <c r="AP5" s="74" t="s">
        <v>176</v>
      </c>
      <c r="AQ5" s="74" t="s">
        <v>177</v>
      </c>
      <c r="AR5" s="74" t="s">
        <v>178</v>
      </c>
      <c r="AS5" s="74" t="s">
        <v>179</v>
      </c>
      <c r="AT5" s="74" t="s">
        <v>180</v>
      </c>
      <c r="AU5" s="74" t="s">
        <v>181</v>
      </c>
      <c r="AV5" s="74" t="s">
        <v>182</v>
      </c>
      <c r="AW5" s="74" t="s">
        <v>183</v>
      </c>
      <c r="AX5" s="74" t="s">
        <v>184</v>
      </c>
      <c r="AY5" s="74" t="s">
        <v>185</v>
      </c>
      <c r="AZ5" s="74" t="s">
        <v>186</v>
      </c>
      <c r="BA5" s="74" t="s">
        <v>187</v>
      </c>
      <c r="BB5" s="74" t="s">
        <v>188</v>
      </c>
      <c r="BC5" s="74" t="s">
        <v>189</v>
      </c>
      <c r="BD5" s="74" t="s">
        <v>190</v>
      </c>
      <c r="BE5" s="74" t="s">
        <v>191</v>
      </c>
      <c r="BF5" s="74" t="s">
        <v>192</v>
      </c>
      <c r="BG5" s="74" t="s">
        <v>193</v>
      </c>
      <c r="BH5" s="74" t="s">
        <v>194</v>
      </c>
      <c r="BI5" s="74" t="s">
        <v>195</v>
      </c>
      <c r="BJ5" s="74" t="s">
        <v>196</v>
      </c>
      <c r="BK5" s="74" t="s">
        <v>197</v>
      </c>
      <c r="BL5" s="74" t="s">
        <v>198</v>
      </c>
      <c r="BM5" s="74" t="s">
        <v>199</v>
      </c>
      <c r="BN5" s="74" t="s">
        <v>200</v>
      </c>
      <c r="BO5" s="74" t="s">
        <v>201</v>
      </c>
      <c r="BP5" s="74" t="s">
        <v>202</v>
      </c>
      <c r="BQ5" s="74" t="s">
        <v>203</v>
      </c>
      <c r="BR5" s="74" t="s">
        <v>204</v>
      </c>
      <c r="BS5" s="74" t="s">
        <v>205</v>
      </c>
      <c r="BT5" s="74" t="s">
        <v>206</v>
      </c>
      <c r="BU5" s="74" t="s">
        <v>207</v>
      </c>
      <c r="BV5" s="74" t="s">
        <v>208</v>
      </c>
      <c r="BW5" s="74" t="s">
        <v>209</v>
      </c>
      <c r="BX5" s="74" t="s">
        <v>210</v>
      </c>
      <c r="BY5" s="74" t="s">
        <v>211</v>
      </c>
      <c r="BZ5" s="74" t="s">
        <v>212</v>
      </c>
      <c r="CA5" s="74" t="s">
        <v>213</v>
      </c>
      <c r="CB5" s="74" t="s">
        <v>214</v>
      </c>
      <c r="CC5" s="74" t="s">
        <v>215</v>
      </c>
      <c r="CD5" s="74" t="s">
        <v>216</v>
      </c>
      <c r="CE5" s="74" t="s">
        <v>217</v>
      </c>
    </row>
    <row r="6" spans="1:83" s="77" customFormat="1" ht="7.5" customHeight="1" thickTop="1" x14ac:dyDescent="0.75">
      <c r="A6" s="64"/>
      <c r="B6" s="79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</row>
    <row r="7" spans="1:83" ht="14.25" customHeight="1" x14ac:dyDescent="0.75">
      <c r="A7" s="64"/>
      <c r="B7" s="81" t="s">
        <v>219</v>
      </c>
      <c r="C7" s="82"/>
      <c r="D7" s="83">
        <v>19918</v>
      </c>
      <c r="E7" s="83">
        <v>1323</v>
      </c>
      <c r="F7" s="83">
        <v>1421</v>
      </c>
      <c r="G7" s="83">
        <v>1561</v>
      </c>
      <c r="H7" s="83">
        <v>1564</v>
      </c>
      <c r="I7" s="83">
        <v>1500</v>
      </c>
      <c r="J7" s="83">
        <v>1531</v>
      </c>
      <c r="K7" s="83">
        <v>1619</v>
      </c>
      <c r="L7" s="83">
        <v>1666</v>
      </c>
      <c r="M7" s="83">
        <v>1642</v>
      </c>
      <c r="N7" s="83">
        <v>1736</v>
      </c>
      <c r="O7" s="83">
        <v>1810</v>
      </c>
      <c r="P7" s="83">
        <v>1833</v>
      </c>
      <c r="Q7" s="83">
        <v>1842</v>
      </c>
      <c r="R7" s="83">
        <v>1824</v>
      </c>
      <c r="S7" s="83">
        <v>1874</v>
      </c>
      <c r="T7" s="83">
        <v>1920</v>
      </c>
      <c r="U7" s="83">
        <v>1937</v>
      </c>
      <c r="V7" s="83">
        <v>1940</v>
      </c>
      <c r="W7" s="83">
        <v>2024</v>
      </c>
      <c r="X7" s="83">
        <v>2105</v>
      </c>
      <c r="Y7" s="83">
        <v>2101</v>
      </c>
      <c r="Z7" s="83">
        <v>2055</v>
      </c>
      <c r="AA7" s="83">
        <v>2234</v>
      </c>
      <c r="AB7" s="83">
        <v>2254</v>
      </c>
      <c r="AC7" s="83">
        <v>2277</v>
      </c>
      <c r="AD7" s="83">
        <v>2275</v>
      </c>
      <c r="AE7" s="83">
        <v>2393</v>
      </c>
      <c r="AF7" s="83">
        <v>2445</v>
      </c>
      <c r="AG7" s="83">
        <v>2384</v>
      </c>
      <c r="AH7" s="83">
        <v>2456</v>
      </c>
      <c r="AI7" s="83">
        <v>2455</v>
      </c>
      <c r="AJ7" s="83">
        <v>2539</v>
      </c>
      <c r="AK7" s="83">
        <v>2504</v>
      </c>
      <c r="AL7" s="83">
        <v>2610</v>
      </c>
      <c r="AM7" s="83">
        <v>2368</v>
      </c>
      <c r="AN7" s="83">
        <v>2910</v>
      </c>
      <c r="AO7" s="83">
        <v>2723</v>
      </c>
      <c r="AP7" s="83">
        <v>2858</v>
      </c>
      <c r="AQ7" s="83">
        <v>2569</v>
      </c>
      <c r="AR7" s="83">
        <v>3164</v>
      </c>
      <c r="AS7" s="83">
        <v>2955</v>
      </c>
      <c r="AT7" s="83">
        <v>3059</v>
      </c>
      <c r="AU7" s="83">
        <v>2689</v>
      </c>
      <c r="AV7" s="83">
        <v>3251</v>
      </c>
      <c r="AW7" s="83">
        <v>3016</v>
      </c>
      <c r="AX7" s="83">
        <v>3214</v>
      </c>
      <c r="AY7" s="83">
        <v>2808</v>
      </c>
      <c r="AZ7" s="83">
        <v>3479</v>
      </c>
      <c r="BA7" s="83">
        <v>3264</v>
      </c>
      <c r="BB7" s="83">
        <v>3433</v>
      </c>
      <c r="BC7" s="83">
        <v>3026</v>
      </c>
      <c r="BD7" s="83">
        <v>3804</v>
      </c>
      <c r="BE7" s="83">
        <v>3468</v>
      </c>
      <c r="BF7" s="83">
        <v>3885</v>
      </c>
      <c r="BG7" s="83">
        <v>3383</v>
      </c>
      <c r="BH7" s="83">
        <v>4046</v>
      </c>
      <c r="BI7" s="83">
        <v>3621</v>
      </c>
      <c r="BJ7" s="83">
        <v>3451</v>
      </c>
      <c r="BK7" s="83">
        <v>3258</v>
      </c>
      <c r="BL7" s="83">
        <v>4042</v>
      </c>
      <c r="BM7" s="83">
        <v>3707</v>
      </c>
      <c r="BN7" s="83">
        <v>4070</v>
      </c>
      <c r="BO7" s="83">
        <v>3454</v>
      </c>
      <c r="BP7" s="83">
        <v>4350</v>
      </c>
      <c r="BQ7" s="83">
        <v>4074</v>
      </c>
      <c r="BR7" s="83">
        <v>4541</v>
      </c>
      <c r="BS7" s="83">
        <v>3852</v>
      </c>
      <c r="BT7" s="83">
        <v>4644</v>
      </c>
      <c r="BU7" s="83">
        <v>4386</v>
      </c>
      <c r="BV7" s="83">
        <v>4659</v>
      </c>
      <c r="BW7" s="83">
        <v>4261</v>
      </c>
      <c r="BX7" s="83">
        <v>5270</v>
      </c>
      <c r="BY7" s="83">
        <v>4741</v>
      </c>
      <c r="BZ7" s="83">
        <v>5137</v>
      </c>
      <c r="CA7" s="83">
        <v>4550</v>
      </c>
      <c r="CB7" s="83">
        <v>5489</v>
      </c>
      <c r="CC7" s="83">
        <v>5052</v>
      </c>
      <c r="CD7" s="83">
        <v>5540</v>
      </c>
      <c r="CE7" s="83">
        <v>5089</v>
      </c>
    </row>
    <row r="8" spans="1:83" s="77" customFormat="1" ht="7.5" customHeight="1" x14ac:dyDescent="0.75">
      <c r="A8" s="64"/>
      <c r="B8" s="79"/>
      <c r="C8" s="80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</row>
    <row r="9" spans="1:83" ht="14.25" customHeight="1" x14ac:dyDescent="0.75">
      <c r="A9" s="64"/>
      <c r="B9" s="81" t="s">
        <v>222</v>
      </c>
      <c r="C9" s="82" t="s">
        <v>223</v>
      </c>
      <c r="D9" s="83">
        <v>4142</v>
      </c>
      <c r="E9" s="83">
        <v>431</v>
      </c>
      <c r="F9" s="83">
        <v>435</v>
      </c>
      <c r="G9" s="83">
        <v>506</v>
      </c>
      <c r="H9" s="83">
        <v>509</v>
      </c>
      <c r="I9" s="83">
        <v>463</v>
      </c>
      <c r="J9" s="83">
        <v>463</v>
      </c>
      <c r="K9" s="83">
        <v>502</v>
      </c>
      <c r="L9" s="83">
        <v>501</v>
      </c>
      <c r="M9" s="83">
        <v>503</v>
      </c>
      <c r="N9" s="83">
        <v>509</v>
      </c>
      <c r="O9" s="83">
        <v>521</v>
      </c>
      <c r="P9" s="83">
        <v>520</v>
      </c>
      <c r="Q9" s="83">
        <v>542</v>
      </c>
      <c r="R9" s="83">
        <v>545</v>
      </c>
      <c r="S9" s="83">
        <v>563</v>
      </c>
      <c r="T9" s="83">
        <v>562</v>
      </c>
      <c r="U9" s="83">
        <v>564</v>
      </c>
      <c r="V9" s="83">
        <v>567</v>
      </c>
      <c r="W9" s="83">
        <v>597</v>
      </c>
      <c r="X9" s="83">
        <v>594</v>
      </c>
      <c r="Y9" s="83">
        <v>589</v>
      </c>
      <c r="Z9" s="83">
        <v>591</v>
      </c>
      <c r="AA9" s="83">
        <v>634</v>
      </c>
      <c r="AB9" s="83">
        <v>610</v>
      </c>
      <c r="AC9" s="83">
        <v>627</v>
      </c>
      <c r="AD9" s="83">
        <v>636</v>
      </c>
      <c r="AE9" s="83">
        <v>652</v>
      </c>
      <c r="AF9" s="83">
        <v>673</v>
      </c>
      <c r="AG9" s="83">
        <v>668</v>
      </c>
      <c r="AH9" s="83">
        <v>682</v>
      </c>
      <c r="AI9" s="83">
        <v>658</v>
      </c>
      <c r="AJ9" s="83">
        <v>666</v>
      </c>
      <c r="AK9" s="83">
        <v>678</v>
      </c>
      <c r="AL9" s="83">
        <v>757</v>
      </c>
      <c r="AM9" s="83">
        <v>420</v>
      </c>
      <c r="AN9" s="83">
        <v>958</v>
      </c>
      <c r="AO9" s="83">
        <v>724</v>
      </c>
      <c r="AP9" s="83">
        <v>802</v>
      </c>
      <c r="AQ9" s="83">
        <v>441</v>
      </c>
      <c r="AR9" s="83">
        <v>973</v>
      </c>
      <c r="AS9" s="83">
        <v>734</v>
      </c>
      <c r="AT9" s="83">
        <v>803</v>
      </c>
      <c r="AU9" s="83">
        <v>469</v>
      </c>
      <c r="AV9" s="83">
        <v>1014</v>
      </c>
      <c r="AW9" s="83">
        <v>792</v>
      </c>
      <c r="AX9" s="83">
        <v>929</v>
      </c>
      <c r="AY9" s="83">
        <v>441</v>
      </c>
      <c r="AZ9" s="83">
        <v>1095</v>
      </c>
      <c r="BA9" s="83">
        <v>819</v>
      </c>
      <c r="BB9" s="83">
        <v>965</v>
      </c>
      <c r="BC9" s="83">
        <v>472</v>
      </c>
      <c r="BD9" s="83">
        <v>1145</v>
      </c>
      <c r="BE9" s="83">
        <v>855</v>
      </c>
      <c r="BF9" s="83">
        <v>1050</v>
      </c>
      <c r="BG9" s="83">
        <v>513</v>
      </c>
      <c r="BH9" s="83">
        <v>1130</v>
      </c>
      <c r="BI9" s="83">
        <v>871</v>
      </c>
      <c r="BJ9" s="83">
        <v>1069</v>
      </c>
      <c r="BK9" s="83">
        <v>547</v>
      </c>
      <c r="BL9" s="83">
        <v>1181</v>
      </c>
      <c r="BM9" s="83">
        <v>892</v>
      </c>
      <c r="BN9" s="83">
        <v>1112</v>
      </c>
      <c r="BO9" s="83">
        <v>595</v>
      </c>
      <c r="BP9" s="83">
        <v>1210</v>
      </c>
      <c r="BQ9" s="83">
        <v>888</v>
      </c>
      <c r="BR9" s="83">
        <v>1121</v>
      </c>
      <c r="BS9" s="83">
        <v>606</v>
      </c>
      <c r="BT9" s="83">
        <v>1211</v>
      </c>
      <c r="BU9" s="83">
        <v>924</v>
      </c>
      <c r="BV9" s="83">
        <v>1138</v>
      </c>
      <c r="BW9" s="83">
        <v>658</v>
      </c>
      <c r="BX9" s="83">
        <v>1293</v>
      </c>
      <c r="BY9" s="83">
        <v>978</v>
      </c>
      <c r="BZ9" s="83">
        <v>1180</v>
      </c>
      <c r="CA9" s="83">
        <v>677</v>
      </c>
      <c r="CB9" s="83">
        <v>1307</v>
      </c>
      <c r="CC9" s="83">
        <v>1014</v>
      </c>
      <c r="CD9" s="83">
        <v>1269</v>
      </c>
      <c r="CE9" s="83">
        <v>747</v>
      </c>
    </row>
    <row r="10" spans="1:83" ht="13.5" customHeight="1" x14ac:dyDescent="0.75">
      <c r="A10" s="68"/>
      <c r="B10" s="67" t="s">
        <v>224</v>
      </c>
      <c r="C10" s="66" t="s">
        <v>225</v>
      </c>
      <c r="D10" s="87">
        <v>2373</v>
      </c>
      <c r="E10" s="87">
        <v>259</v>
      </c>
      <c r="F10" s="87">
        <v>259</v>
      </c>
      <c r="G10" s="87">
        <v>312</v>
      </c>
      <c r="H10" s="87">
        <v>312</v>
      </c>
      <c r="I10" s="87">
        <v>284</v>
      </c>
      <c r="J10" s="87">
        <v>284</v>
      </c>
      <c r="K10" s="87">
        <v>310</v>
      </c>
      <c r="L10" s="87">
        <v>310</v>
      </c>
      <c r="M10" s="87">
        <v>310</v>
      </c>
      <c r="N10" s="87">
        <v>310</v>
      </c>
      <c r="O10" s="87">
        <v>320</v>
      </c>
      <c r="P10" s="87">
        <v>320</v>
      </c>
      <c r="Q10" s="87">
        <v>339</v>
      </c>
      <c r="R10" s="87">
        <v>339</v>
      </c>
      <c r="S10" s="87">
        <v>351</v>
      </c>
      <c r="T10" s="87">
        <v>351</v>
      </c>
      <c r="U10" s="87">
        <v>352</v>
      </c>
      <c r="V10" s="87">
        <v>352</v>
      </c>
      <c r="W10" s="87">
        <v>371</v>
      </c>
      <c r="X10" s="87">
        <v>371</v>
      </c>
      <c r="Y10" s="87">
        <v>378</v>
      </c>
      <c r="Z10" s="87">
        <v>378</v>
      </c>
      <c r="AA10" s="87">
        <v>372</v>
      </c>
      <c r="AB10" s="87">
        <v>372</v>
      </c>
      <c r="AC10" s="87">
        <v>419</v>
      </c>
      <c r="AD10" s="87">
        <v>419</v>
      </c>
      <c r="AE10" s="87">
        <v>393</v>
      </c>
      <c r="AF10" s="87">
        <v>393</v>
      </c>
      <c r="AG10" s="87">
        <v>448</v>
      </c>
      <c r="AH10" s="87">
        <v>448</v>
      </c>
      <c r="AI10" s="87">
        <v>396</v>
      </c>
      <c r="AJ10" s="87">
        <v>396</v>
      </c>
      <c r="AK10" s="87">
        <v>444</v>
      </c>
      <c r="AL10" s="87">
        <v>510</v>
      </c>
      <c r="AM10" s="87">
        <v>151</v>
      </c>
      <c r="AN10" s="87">
        <v>680</v>
      </c>
      <c r="AO10" s="87">
        <v>477</v>
      </c>
      <c r="AP10" s="87">
        <v>535</v>
      </c>
      <c r="AQ10" s="87">
        <v>152</v>
      </c>
      <c r="AR10" s="87">
        <v>680</v>
      </c>
      <c r="AS10" s="87">
        <v>454</v>
      </c>
      <c r="AT10" s="87">
        <v>535</v>
      </c>
      <c r="AU10" s="87">
        <v>174</v>
      </c>
      <c r="AV10" s="87">
        <v>709</v>
      </c>
      <c r="AW10" s="87">
        <v>514</v>
      </c>
      <c r="AX10" s="87">
        <v>639</v>
      </c>
      <c r="AY10" s="87">
        <v>140</v>
      </c>
      <c r="AZ10" s="87">
        <v>765</v>
      </c>
      <c r="BA10" s="87">
        <v>511</v>
      </c>
      <c r="BB10" s="87">
        <v>661</v>
      </c>
      <c r="BC10" s="87">
        <v>152</v>
      </c>
      <c r="BD10" s="87">
        <v>799</v>
      </c>
      <c r="BE10" s="87">
        <v>533</v>
      </c>
      <c r="BF10" s="87">
        <v>722</v>
      </c>
      <c r="BG10" s="87">
        <v>160</v>
      </c>
      <c r="BH10" s="87">
        <v>770</v>
      </c>
      <c r="BI10" s="87">
        <v>543</v>
      </c>
      <c r="BJ10" s="87">
        <v>745</v>
      </c>
      <c r="BK10" s="87">
        <v>189</v>
      </c>
      <c r="BL10" s="87">
        <v>804</v>
      </c>
      <c r="BM10" s="87">
        <v>543</v>
      </c>
      <c r="BN10" s="87">
        <v>750</v>
      </c>
      <c r="BO10" s="87">
        <v>195</v>
      </c>
      <c r="BP10" s="87">
        <v>801</v>
      </c>
      <c r="BQ10" s="87">
        <v>537</v>
      </c>
      <c r="BR10" s="87">
        <v>723</v>
      </c>
      <c r="BS10" s="87">
        <v>203</v>
      </c>
      <c r="BT10" s="87">
        <v>778</v>
      </c>
      <c r="BU10" s="87">
        <v>554</v>
      </c>
      <c r="BV10" s="87">
        <v>736</v>
      </c>
      <c r="BW10" s="87">
        <v>242</v>
      </c>
      <c r="BX10" s="87">
        <v>831</v>
      </c>
      <c r="BY10" s="87">
        <v>574</v>
      </c>
      <c r="BZ10" s="87">
        <v>752</v>
      </c>
      <c r="CA10" s="87">
        <v>219</v>
      </c>
      <c r="CB10" s="87">
        <v>828</v>
      </c>
      <c r="CC10" s="87">
        <v>583</v>
      </c>
      <c r="CD10" s="87">
        <v>777</v>
      </c>
      <c r="CE10" s="87">
        <v>228</v>
      </c>
    </row>
    <row r="11" spans="1:83" ht="13.5" customHeight="1" x14ac:dyDescent="0.75">
      <c r="A11" s="68"/>
      <c r="B11" s="67" t="s">
        <v>226</v>
      </c>
      <c r="C11" s="66" t="s">
        <v>227</v>
      </c>
      <c r="D11" s="87">
        <v>351</v>
      </c>
      <c r="E11" s="87">
        <v>59</v>
      </c>
      <c r="F11" s="87">
        <v>74</v>
      </c>
      <c r="G11" s="87">
        <v>68</v>
      </c>
      <c r="H11" s="87">
        <v>77</v>
      </c>
      <c r="I11" s="87">
        <v>44</v>
      </c>
      <c r="J11" s="87">
        <v>46</v>
      </c>
      <c r="K11" s="87">
        <v>56</v>
      </c>
      <c r="L11" s="87">
        <v>51</v>
      </c>
      <c r="M11" s="87">
        <v>52</v>
      </c>
      <c r="N11" s="87">
        <v>74</v>
      </c>
      <c r="O11" s="87">
        <v>68</v>
      </c>
      <c r="P11" s="87">
        <v>60</v>
      </c>
      <c r="Q11" s="87">
        <v>44</v>
      </c>
      <c r="R11" s="87">
        <v>57</v>
      </c>
      <c r="S11" s="87">
        <v>61</v>
      </c>
      <c r="T11" s="87">
        <v>54</v>
      </c>
      <c r="U11" s="87">
        <v>51</v>
      </c>
      <c r="V11" s="87">
        <v>62</v>
      </c>
      <c r="W11" s="87">
        <v>75</v>
      </c>
      <c r="X11" s="87">
        <v>58</v>
      </c>
      <c r="Y11" s="87">
        <v>39</v>
      </c>
      <c r="Z11" s="87">
        <v>43</v>
      </c>
      <c r="AA11" s="87">
        <v>105</v>
      </c>
      <c r="AB11" s="87">
        <v>67</v>
      </c>
      <c r="AC11" s="87">
        <v>32</v>
      </c>
      <c r="AD11" s="87">
        <v>41</v>
      </c>
      <c r="AE11" s="87">
        <v>91</v>
      </c>
      <c r="AF11" s="87">
        <v>112</v>
      </c>
      <c r="AG11" s="87">
        <v>38</v>
      </c>
      <c r="AH11" s="87">
        <v>54</v>
      </c>
      <c r="AI11" s="87">
        <v>81</v>
      </c>
      <c r="AJ11" s="87">
        <v>89</v>
      </c>
      <c r="AK11" s="87">
        <v>39</v>
      </c>
      <c r="AL11" s="87">
        <v>51</v>
      </c>
      <c r="AM11" s="87">
        <v>84</v>
      </c>
      <c r="AN11" s="87">
        <v>83</v>
      </c>
      <c r="AO11" s="87">
        <v>42</v>
      </c>
      <c r="AP11" s="87">
        <v>65</v>
      </c>
      <c r="AQ11" s="87">
        <v>98</v>
      </c>
      <c r="AR11" s="87">
        <v>90</v>
      </c>
      <c r="AS11" s="87">
        <v>71</v>
      </c>
      <c r="AT11" s="87">
        <v>51</v>
      </c>
      <c r="AU11" s="87">
        <v>89</v>
      </c>
      <c r="AV11" s="87">
        <v>91</v>
      </c>
      <c r="AW11" s="87">
        <v>54</v>
      </c>
      <c r="AX11" s="87">
        <v>63</v>
      </c>
      <c r="AY11" s="87">
        <v>82</v>
      </c>
      <c r="AZ11" s="87">
        <v>107</v>
      </c>
      <c r="BA11" s="87">
        <v>75</v>
      </c>
      <c r="BB11" s="87">
        <v>62</v>
      </c>
      <c r="BC11" s="87">
        <v>86</v>
      </c>
      <c r="BD11" s="87">
        <v>104</v>
      </c>
      <c r="BE11" s="87">
        <v>70</v>
      </c>
      <c r="BF11" s="87">
        <v>67</v>
      </c>
      <c r="BG11" s="87">
        <v>106</v>
      </c>
      <c r="BH11" s="87">
        <v>99</v>
      </c>
      <c r="BI11" s="87">
        <v>59</v>
      </c>
      <c r="BJ11" s="87">
        <v>55</v>
      </c>
      <c r="BK11" s="87">
        <v>97</v>
      </c>
      <c r="BL11" s="87">
        <v>99</v>
      </c>
      <c r="BM11" s="87">
        <v>63</v>
      </c>
      <c r="BN11" s="87">
        <v>78</v>
      </c>
      <c r="BO11" s="87">
        <v>101</v>
      </c>
      <c r="BP11" s="87">
        <v>117</v>
      </c>
      <c r="BQ11" s="87">
        <v>47</v>
      </c>
      <c r="BR11" s="87">
        <v>84</v>
      </c>
      <c r="BS11" s="87">
        <v>96</v>
      </c>
      <c r="BT11" s="87">
        <v>119</v>
      </c>
      <c r="BU11" s="87">
        <v>57</v>
      </c>
      <c r="BV11" s="87">
        <v>83</v>
      </c>
      <c r="BW11" s="87">
        <v>85</v>
      </c>
      <c r="BX11" s="87">
        <v>120</v>
      </c>
      <c r="BY11" s="87">
        <v>63</v>
      </c>
      <c r="BZ11" s="87">
        <v>81</v>
      </c>
      <c r="CA11" s="87">
        <v>99</v>
      </c>
      <c r="CB11" s="87">
        <v>109</v>
      </c>
      <c r="CC11" s="87">
        <v>63</v>
      </c>
      <c r="CD11" s="87">
        <v>115</v>
      </c>
      <c r="CE11" s="87">
        <v>133</v>
      </c>
    </row>
    <row r="12" spans="1:83" ht="13.5" customHeight="1" x14ac:dyDescent="0.75">
      <c r="A12" s="68"/>
      <c r="B12" s="67" t="s">
        <v>228</v>
      </c>
      <c r="C12" s="66" t="s">
        <v>229</v>
      </c>
      <c r="D12" s="87">
        <v>581</v>
      </c>
      <c r="E12" s="87">
        <v>42</v>
      </c>
      <c r="F12" s="87">
        <v>42</v>
      </c>
      <c r="G12" s="87">
        <v>42</v>
      </c>
      <c r="H12" s="87">
        <v>43</v>
      </c>
      <c r="I12" s="87">
        <v>43</v>
      </c>
      <c r="J12" s="87">
        <v>43</v>
      </c>
      <c r="K12" s="87">
        <v>44</v>
      </c>
      <c r="L12" s="87">
        <v>44</v>
      </c>
      <c r="M12" s="87">
        <v>44</v>
      </c>
      <c r="N12" s="87">
        <v>44</v>
      </c>
      <c r="O12" s="87">
        <v>45</v>
      </c>
      <c r="P12" s="87">
        <v>45</v>
      </c>
      <c r="Q12" s="87">
        <v>45</v>
      </c>
      <c r="R12" s="87">
        <v>46</v>
      </c>
      <c r="S12" s="87">
        <v>46</v>
      </c>
      <c r="T12" s="87">
        <v>47</v>
      </c>
      <c r="U12" s="87">
        <v>47</v>
      </c>
      <c r="V12" s="87">
        <v>48</v>
      </c>
      <c r="W12" s="87">
        <v>48</v>
      </c>
      <c r="X12" s="87">
        <v>49</v>
      </c>
      <c r="Y12" s="87">
        <v>48</v>
      </c>
      <c r="Z12" s="87">
        <v>49</v>
      </c>
      <c r="AA12" s="87">
        <v>50</v>
      </c>
      <c r="AB12" s="87">
        <v>51</v>
      </c>
      <c r="AC12" s="87">
        <v>51</v>
      </c>
      <c r="AD12" s="87">
        <v>53</v>
      </c>
      <c r="AE12" s="87">
        <v>53</v>
      </c>
      <c r="AF12" s="87">
        <v>54</v>
      </c>
      <c r="AG12" s="87">
        <v>55</v>
      </c>
      <c r="AH12" s="87">
        <v>55</v>
      </c>
      <c r="AI12" s="87">
        <v>57</v>
      </c>
      <c r="AJ12" s="87">
        <v>57</v>
      </c>
      <c r="AK12" s="87">
        <v>58</v>
      </c>
      <c r="AL12" s="87">
        <v>60</v>
      </c>
      <c r="AM12" s="87">
        <v>62</v>
      </c>
      <c r="AN12" s="87">
        <v>63</v>
      </c>
      <c r="AO12" s="87">
        <v>64</v>
      </c>
      <c r="AP12" s="87">
        <v>65</v>
      </c>
      <c r="AQ12" s="87">
        <v>67</v>
      </c>
      <c r="AR12" s="87">
        <v>68</v>
      </c>
      <c r="AS12" s="87">
        <v>70</v>
      </c>
      <c r="AT12" s="87">
        <v>72</v>
      </c>
      <c r="AU12" s="87">
        <v>73</v>
      </c>
      <c r="AV12" s="87">
        <v>75</v>
      </c>
      <c r="AW12" s="87">
        <v>76</v>
      </c>
      <c r="AX12" s="87">
        <v>78</v>
      </c>
      <c r="AY12" s="87">
        <v>80</v>
      </c>
      <c r="AZ12" s="87">
        <v>82</v>
      </c>
      <c r="BA12" s="87">
        <v>84</v>
      </c>
      <c r="BB12" s="87">
        <v>86</v>
      </c>
      <c r="BC12" s="87">
        <v>89</v>
      </c>
      <c r="BD12" s="87">
        <v>91</v>
      </c>
      <c r="BE12" s="87">
        <v>93</v>
      </c>
      <c r="BF12" s="87">
        <v>96</v>
      </c>
      <c r="BG12" s="87">
        <v>98</v>
      </c>
      <c r="BH12" s="87">
        <v>101</v>
      </c>
      <c r="BI12" s="87">
        <v>101</v>
      </c>
      <c r="BJ12" s="87">
        <v>104</v>
      </c>
      <c r="BK12" s="87">
        <v>107</v>
      </c>
      <c r="BL12" s="87">
        <v>110</v>
      </c>
      <c r="BM12" s="87">
        <v>110</v>
      </c>
      <c r="BN12" s="87">
        <v>107</v>
      </c>
      <c r="BO12" s="87">
        <v>119</v>
      </c>
      <c r="BP12" s="87">
        <v>110</v>
      </c>
      <c r="BQ12" s="87">
        <v>117</v>
      </c>
      <c r="BR12" s="87">
        <v>123</v>
      </c>
      <c r="BS12" s="87">
        <v>116</v>
      </c>
      <c r="BT12" s="87">
        <v>120</v>
      </c>
      <c r="BU12" s="87">
        <v>119</v>
      </c>
      <c r="BV12" s="87">
        <v>122</v>
      </c>
      <c r="BW12" s="87">
        <v>130</v>
      </c>
      <c r="BX12" s="87">
        <v>139</v>
      </c>
      <c r="BY12" s="87">
        <v>137</v>
      </c>
      <c r="BZ12" s="87">
        <v>139</v>
      </c>
      <c r="CA12" s="87">
        <v>148</v>
      </c>
      <c r="CB12" s="87">
        <v>157</v>
      </c>
      <c r="CC12" s="87">
        <v>152</v>
      </c>
      <c r="CD12" s="87">
        <v>157</v>
      </c>
      <c r="CE12" s="87">
        <v>157</v>
      </c>
    </row>
    <row r="13" spans="1:83" ht="13.5" customHeight="1" x14ac:dyDescent="0.75">
      <c r="A13" s="68"/>
      <c r="B13" s="67" t="s">
        <v>230</v>
      </c>
      <c r="C13" s="66" t="s">
        <v>231</v>
      </c>
      <c r="D13" s="87">
        <v>782</v>
      </c>
      <c r="E13" s="87">
        <v>95</v>
      </c>
      <c r="F13" s="87">
        <v>96</v>
      </c>
      <c r="G13" s="87">
        <v>97</v>
      </c>
      <c r="H13" s="87">
        <v>98</v>
      </c>
      <c r="I13" s="87">
        <v>98</v>
      </c>
      <c r="J13" s="87">
        <v>99</v>
      </c>
      <c r="K13" s="87">
        <v>100</v>
      </c>
      <c r="L13" s="87">
        <v>102</v>
      </c>
      <c r="M13" s="87">
        <v>102</v>
      </c>
      <c r="N13" s="87">
        <v>103</v>
      </c>
      <c r="O13" s="87">
        <v>104</v>
      </c>
      <c r="P13" s="87">
        <v>105</v>
      </c>
      <c r="Q13" s="87">
        <v>104</v>
      </c>
      <c r="R13" s="87">
        <v>105</v>
      </c>
      <c r="S13" s="87">
        <v>106</v>
      </c>
      <c r="T13" s="87">
        <v>108</v>
      </c>
      <c r="U13" s="87">
        <v>107</v>
      </c>
      <c r="V13" s="87">
        <v>108</v>
      </c>
      <c r="W13" s="87">
        <v>110</v>
      </c>
      <c r="X13" s="87">
        <v>112</v>
      </c>
      <c r="Y13" s="87">
        <v>112</v>
      </c>
      <c r="Z13" s="87">
        <v>110</v>
      </c>
      <c r="AA13" s="87">
        <v>112</v>
      </c>
      <c r="AB13" s="87">
        <v>114</v>
      </c>
      <c r="AC13" s="87">
        <v>115</v>
      </c>
      <c r="AD13" s="87">
        <v>115</v>
      </c>
      <c r="AE13" s="87">
        <v>117</v>
      </c>
      <c r="AF13" s="87">
        <v>119</v>
      </c>
      <c r="AG13" s="87">
        <v>118</v>
      </c>
      <c r="AH13" s="87">
        <v>119</v>
      </c>
      <c r="AI13" s="87">
        <v>120</v>
      </c>
      <c r="AJ13" s="87">
        <v>121</v>
      </c>
      <c r="AK13" s="87">
        <v>122</v>
      </c>
      <c r="AL13" s="87">
        <v>123</v>
      </c>
      <c r="AM13" s="87">
        <v>124</v>
      </c>
      <c r="AN13" s="87">
        <v>125</v>
      </c>
      <c r="AO13" s="87">
        <v>126</v>
      </c>
      <c r="AP13" s="87">
        <v>127</v>
      </c>
      <c r="AQ13" s="87">
        <v>129</v>
      </c>
      <c r="AR13" s="87">
        <v>130</v>
      </c>
      <c r="AS13" s="87">
        <v>131</v>
      </c>
      <c r="AT13" s="87">
        <v>132</v>
      </c>
      <c r="AU13" s="87">
        <v>134</v>
      </c>
      <c r="AV13" s="87">
        <v>134</v>
      </c>
      <c r="AW13" s="87">
        <v>135</v>
      </c>
      <c r="AX13" s="87">
        <v>136</v>
      </c>
      <c r="AY13" s="87">
        <v>138</v>
      </c>
      <c r="AZ13" s="87">
        <v>139</v>
      </c>
      <c r="BA13" s="87">
        <v>140</v>
      </c>
      <c r="BB13" s="87">
        <v>142</v>
      </c>
      <c r="BC13" s="87">
        <v>144</v>
      </c>
      <c r="BD13" s="87">
        <v>146</v>
      </c>
      <c r="BE13" s="87">
        <v>148</v>
      </c>
      <c r="BF13" s="87">
        <v>151</v>
      </c>
      <c r="BG13" s="87">
        <v>152</v>
      </c>
      <c r="BH13" s="87">
        <v>154</v>
      </c>
      <c r="BI13" s="87">
        <v>154</v>
      </c>
      <c r="BJ13" s="87">
        <v>154</v>
      </c>
      <c r="BK13" s="87">
        <v>158</v>
      </c>
      <c r="BL13" s="87">
        <v>160</v>
      </c>
      <c r="BM13" s="87">
        <v>162</v>
      </c>
      <c r="BN13" s="87">
        <v>162</v>
      </c>
      <c r="BO13" s="87">
        <v>166</v>
      </c>
      <c r="BP13" s="87">
        <v>168</v>
      </c>
      <c r="BQ13" s="87">
        <v>172</v>
      </c>
      <c r="BR13" s="87">
        <v>175</v>
      </c>
      <c r="BS13" s="87">
        <v>177</v>
      </c>
      <c r="BT13" s="87">
        <v>180</v>
      </c>
      <c r="BU13" s="87">
        <v>180</v>
      </c>
      <c r="BV13" s="87">
        <v>184</v>
      </c>
      <c r="BW13" s="87">
        <v>188</v>
      </c>
      <c r="BX13" s="87">
        <v>190</v>
      </c>
      <c r="BY13" s="87">
        <v>192</v>
      </c>
      <c r="BZ13" s="87">
        <v>194</v>
      </c>
      <c r="CA13" s="87">
        <v>197</v>
      </c>
      <c r="CB13" s="87">
        <v>200</v>
      </c>
      <c r="CC13" s="87">
        <v>202</v>
      </c>
      <c r="CD13" s="87">
        <v>205</v>
      </c>
      <c r="CE13" s="87">
        <v>209</v>
      </c>
    </row>
    <row r="14" spans="1:83" ht="13.5" customHeight="1" x14ac:dyDescent="0.75">
      <c r="A14" s="68"/>
      <c r="B14" s="67" t="s">
        <v>232</v>
      </c>
      <c r="C14" s="66" t="s">
        <v>233</v>
      </c>
      <c r="D14" s="87">
        <v>54</v>
      </c>
      <c r="E14" s="87">
        <v>9</v>
      </c>
      <c r="F14" s="87">
        <v>9</v>
      </c>
      <c r="G14" s="87">
        <v>9</v>
      </c>
      <c r="H14" s="87">
        <v>9</v>
      </c>
      <c r="I14" s="87">
        <v>9</v>
      </c>
      <c r="J14" s="87">
        <v>9</v>
      </c>
      <c r="K14" s="87">
        <v>9</v>
      </c>
      <c r="L14" s="87">
        <v>9</v>
      </c>
      <c r="M14" s="87">
        <v>9</v>
      </c>
      <c r="N14" s="87">
        <v>10</v>
      </c>
      <c r="O14" s="87">
        <v>10</v>
      </c>
      <c r="P14" s="87">
        <v>10</v>
      </c>
      <c r="Q14" s="87">
        <v>10</v>
      </c>
      <c r="R14" s="87">
        <v>10</v>
      </c>
      <c r="S14" s="87">
        <v>10</v>
      </c>
      <c r="T14" s="87">
        <v>10</v>
      </c>
      <c r="U14" s="87">
        <v>10</v>
      </c>
      <c r="V14" s="87">
        <v>10</v>
      </c>
      <c r="W14" s="87">
        <v>10</v>
      </c>
      <c r="X14" s="87">
        <v>10</v>
      </c>
      <c r="Y14" s="87">
        <v>11</v>
      </c>
      <c r="Z14" s="87">
        <v>11</v>
      </c>
      <c r="AA14" s="87">
        <v>10</v>
      </c>
      <c r="AB14" s="87">
        <v>10</v>
      </c>
      <c r="AC14" s="87">
        <v>10</v>
      </c>
      <c r="AD14" s="87">
        <v>10</v>
      </c>
      <c r="AE14" s="87">
        <v>10</v>
      </c>
      <c r="AF14" s="87">
        <v>10</v>
      </c>
      <c r="AG14" s="87">
        <v>10</v>
      </c>
      <c r="AH14" s="87">
        <v>11</v>
      </c>
      <c r="AI14" s="87">
        <v>11</v>
      </c>
      <c r="AJ14" s="87">
        <v>11</v>
      </c>
      <c r="AK14" s="87">
        <v>11</v>
      </c>
      <c r="AL14" s="87">
        <v>11</v>
      </c>
      <c r="AM14" s="87">
        <v>11</v>
      </c>
      <c r="AN14" s="87">
        <v>11</v>
      </c>
      <c r="AO14" s="87">
        <v>11</v>
      </c>
      <c r="AP14" s="87">
        <v>11</v>
      </c>
      <c r="AQ14" s="87">
        <v>11</v>
      </c>
      <c r="AR14" s="87">
        <v>11</v>
      </c>
      <c r="AS14" s="87">
        <v>12</v>
      </c>
      <c r="AT14" s="87">
        <v>12</v>
      </c>
      <c r="AU14" s="87">
        <v>12</v>
      </c>
      <c r="AV14" s="87">
        <v>12</v>
      </c>
      <c r="AW14" s="87">
        <v>12</v>
      </c>
      <c r="AX14" s="87">
        <v>12</v>
      </c>
      <c r="AY14" s="87">
        <v>12</v>
      </c>
      <c r="AZ14" s="87">
        <v>13</v>
      </c>
      <c r="BA14" s="87">
        <v>13</v>
      </c>
      <c r="BB14" s="87">
        <v>13</v>
      </c>
      <c r="BC14" s="87">
        <v>13</v>
      </c>
      <c r="BD14" s="87">
        <v>13</v>
      </c>
      <c r="BE14" s="87">
        <v>13</v>
      </c>
      <c r="BF14" s="87">
        <v>13</v>
      </c>
      <c r="BG14" s="87">
        <v>13</v>
      </c>
      <c r="BH14" s="87">
        <v>14</v>
      </c>
      <c r="BI14" s="87">
        <v>14</v>
      </c>
      <c r="BJ14" s="87">
        <v>7</v>
      </c>
      <c r="BK14" s="87">
        <v>11</v>
      </c>
      <c r="BL14" s="87">
        <v>14</v>
      </c>
      <c r="BM14" s="87">
        <v>14</v>
      </c>
      <c r="BN14" s="87">
        <v>14</v>
      </c>
      <c r="BO14" s="87">
        <v>14</v>
      </c>
      <c r="BP14" s="87">
        <v>14</v>
      </c>
      <c r="BQ14" s="87">
        <v>14</v>
      </c>
      <c r="BR14" s="87">
        <v>14</v>
      </c>
      <c r="BS14" s="87">
        <v>14</v>
      </c>
      <c r="BT14" s="87">
        <v>14</v>
      </c>
      <c r="BU14" s="87">
        <v>14</v>
      </c>
      <c r="BV14" s="87">
        <v>14</v>
      </c>
      <c r="BW14" s="87">
        <v>14</v>
      </c>
      <c r="BX14" s="87">
        <v>13</v>
      </c>
      <c r="BY14" s="87">
        <v>12</v>
      </c>
      <c r="BZ14" s="87">
        <v>13</v>
      </c>
      <c r="CA14" s="87">
        <v>14</v>
      </c>
      <c r="CB14" s="87">
        <v>14</v>
      </c>
      <c r="CC14" s="87">
        <v>15</v>
      </c>
      <c r="CD14" s="87">
        <v>16</v>
      </c>
      <c r="CE14" s="87">
        <v>19</v>
      </c>
    </row>
    <row r="15" spans="1:83" ht="14.25" customHeight="1" x14ac:dyDescent="0.75">
      <c r="A15" s="64"/>
      <c r="B15" s="81" t="s">
        <v>234</v>
      </c>
      <c r="C15" s="82" t="s">
        <v>235</v>
      </c>
      <c r="D15" s="83">
        <v>4396</v>
      </c>
      <c r="E15" s="83">
        <v>221</v>
      </c>
      <c r="F15" s="83">
        <v>251</v>
      </c>
      <c r="G15" s="83">
        <v>280</v>
      </c>
      <c r="H15" s="83">
        <v>293</v>
      </c>
      <c r="I15" s="83">
        <v>270</v>
      </c>
      <c r="J15" s="83">
        <v>264</v>
      </c>
      <c r="K15" s="83">
        <v>296</v>
      </c>
      <c r="L15" s="83">
        <v>308</v>
      </c>
      <c r="M15" s="83">
        <v>297</v>
      </c>
      <c r="N15" s="83">
        <v>321</v>
      </c>
      <c r="O15" s="83">
        <v>346</v>
      </c>
      <c r="P15" s="83">
        <v>347</v>
      </c>
      <c r="Q15" s="83">
        <v>340</v>
      </c>
      <c r="R15" s="83">
        <v>317</v>
      </c>
      <c r="S15" s="83">
        <v>323</v>
      </c>
      <c r="T15" s="83">
        <v>348</v>
      </c>
      <c r="U15" s="83">
        <v>365</v>
      </c>
      <c r="V15" s="83">
        <v>331</v>
      </c>
      <c r="W15" s="83">
        <v>353</v>
      </c>
      <c r="X15" s="83">
        <v>392</v>
      </c>
      <c r="Y15" s="83">
        <v>419</v>
      </c>
      <c r="Z15" s="83">
        <v>377</v>
      </c>
      <c r="AA15" s="83">
        <v>430</v>
      </c>
      <c r="AB15" s="83">
        <v>471</v>
      </c>
      <c r="AC15" s="83">
        <v>432</v>
      </c>
      <c r="AD15" s="83">
        <v>415</v>
      </c>
      <c r="AE15" s="83">
        <v>473</v>
      </c>
      <c r="AF15" s="83">
        <v>518</v>
      </c>
      <c r="AG15" s="83">
        <v>491</v>
      </c>
      <c r="AH15" s="83">
        <v>491</v>
      </c>
      <c r="AI15" s="83">
        <v>511</v>
      </c>
      <c r="AJ15" s="83">
        <v>516</v>
      </c>
      <c r="AK15" s="83">
        <v>491</v>
      </c>
      <c r="AL15" s="83">
        <v>493</v>
      </c>
      <c r="AM15" s="83">
        <v>555</v>
      </c>
      <c r="AN15" s="83">
        <v>522</v>
      </c>
      <c r="AO15" s="83">
        <v>522</v>
      </c>
      <c r="AP15" s="83">
        <v>538</v>
      </c>
      <c r="AQ15" s="83">
        <v>582</v>
      </c>
      <c r="AR15" s="83">
        <v>603</v>
      </c>
      <c r="AS15" s="83">
        <v>608</v>
      </c>
      <c r="AT15" s="83">
        <v>603</v>
      </c>
      <c r="AU15" s="83">
        <v>586</v>
      </c>
      <c r="AV15" s="83">
        <v>598</v>
      </c>
      <c r="AW15" s="83">
        <v>592</v>
      </c>
      <c r="AX15" s="83">
        <v>596</v>
      </c>
      <c r="AY15" s="83">
        <v>612</v>
      </c>
      <c r="AZ15" s="83">
        <v>631</v>
      </c>
      <c r="BA15" s="83">
        <v>616</v>
      </c>
      <c r="BB15" s="83">
        <v>644</v>
      </c>
      <c r="BC15" s="83">
        <v>674</v>
      </c>
      <c r="BD15" s="83">
        <v>708</v>
      </c>
      <c r="BE15" s="83">
        <v>707</v>
      </c>
      <c r="BF15" s="83">
        <v>781</v>
      </c>
      <c r="BG15" s="83">
        <v>782</v>
      </c>
      <c r="BH15" s="83">
        <v>808</v>
      </c>
      <c r="BI15" s="83">
        <v>721</v>
      </c>
      <c r="BJ15" s="83">
        <v>633</v>
      </c>
      <c r="BK15" s="83">
        <v>771</v>
      </c>
      <c r="BL15" s="83">
        <v>823</v>
      </c>
      <c r="BM15" s="83">
        <v>790</v>
      </c>
      <c r="BN15" s="83">
        <v>731</v>
      </c>
      <c r="BO15" s="83">
        <v>736</v>
      </c>
      <c r="BP15" s="83">
        <v>842</v>
      </c>
      <c r="BQ15" s="83">
        <v>943</v>
      </c>
      <c r="BR15" s="83">
        <v>1015</v>
      </c>
      <c r="BS15" s="83">
        <v>849</v>
      </c>
      <c r="BT15" s="83">
        <v>960</v>
      </c>
      <c r="BU15" s="83">
        <v>966</v>
      </c>
      <c r="BV15" s="83">
        <v>989</v>
      </c>
      <c r="BW15" s="83">
        <v>982</v>
      </c>
      <c r="BX15" s="83">
        <v>1152</v>
      </c>
      <c r="BY15" s="83">
        <v>1136</v>
      </c>
      <c r="BZ15" s="83">
        <v>1120</v>
      </c>
      <c r="CA15" s="83">
        <v>993</v>
      </c>
      <c r="CB15" s="83">
        <v>1147</v>
      </c>
      <c r="CC15" s="83">
        <v>1193</v>
      </c>
      <c r="CD15" s="83">
        <v>1198</v>
      </c>
      <c r="CE15" s="83">
        <v>1159</v>
      </c>
    </row>
    <row r="16" spans="1:83" ht="13.5" customHeight="1" x14ac:dyDescent="0.75">
      <c r="A16" s="68"/>
      <c r="B16" s="67" t="s">
        <v>236</v>
      </c>
      <c r="C16" s="66" t="s">
        <v>237</v>
      </c>
      <c r="D16" s="87">
        <v>354</v>
      </c>
      <c r="E16" s="87">
        <v>24</v>
      </c>
      <c r="F16" s="87">
        <v>34</v>
      </c>
      <c r="G16" s="87">
        <v>37</v>
      </c>
      <c r="H16" s="87">
        <v>42</v>
      </c>
      <c r="I16" s="87">
        <v>50</v>
      </c>
      <c r="J16" s="87">
        <v>48</v>
      </c>
      <c r="K16" s="87">
        <v>43</v>
      </c>
      <c r="L16" s="87">
        <v>54</v>
      </c>
      <c r="M16" s="87">
        <v>38</v>
      </c>
      <c r="N16" s="87">
        <v>49</v>
      </c>
      <c r="O16" s="87">
        <v>39</v>
      </c>
      <c r="P16" s="87">
        <v>39</v>
      </c>
      <c r="Q16" s="87">
        <v>35</v>
      </c>
      <c r="R16" s="87">
        <v>33</v>
      </c>
      <c r="S16" s="87">
        <v>38</v>
      </c>
      <c r="T16" s="87">
        <v>30</v>
      </c>
      <c r="U16" s="87">
        <v>20</v>
      </c>
      <c r="V16" s="87">
        <v>34</v>
      </c>
      <c r="W16" s="87">
        <v>34</v>
      </c>
      <c r="X16" s="87">
        <v>33</v>
      </c>
      <c r="Y16" s="87">
        <v>44</v>
      </c>
      <c r="Z16" s="87">
        <v>38</v>
      </c>
      <c r="AA16" s="87">
        <v>47</v>
      </c>
      <c r="AB16" s="87">
        <v>52</v>
      </c>
      <c r="AC16" s="87">
        <v>43</v>
      </c>
      <c r="AD16" s="87">
        <v>37</v>
      </c>
      <c r="AE16" s="87">
        <v>42</v>
      </c>
      <c r="AF16" s="87">
        <v>46</v>
      </c>
      <c r="AG16" s="87">
        <v>47</v>
      </c>
      <c r="AH16" s="87">
        <v>49</v>
      </c>
      <c r="AI16" s="87">
        <v>51</v>
      </c>
      <c r="AJ16" s="87">
        <v>53</v>
      </c>
      <c r="AK16" s="87">
        <v>55</v>
      </c>
      <c r="AL16" s="87">
        <v>52</v>
      </c>
      <c r="AM16" s="87">
        <v>87</v>
      </c>
      <c r="AN16" s="87">
        <v>58</v>
      </c>
      <c r="AO16" s="87">
        <v>53</v>
      </c>
      <c r="AP16" s="87">
        <v>53</v>
      </c>
      <c r="AQ16" s="87">
        <v>67</v>
      </c>
      <c r="AR16" s="87">
        <v>66</v>
      </c>
      <c r="AS16" s="87">
        <v>60</v>
      </c>
      <c r="AT16" s="87">
        <v>68</v>
      </c>
      <c r="AU16" s="87">
        <v>68</v>
      </c>
      <c r="AV16" s="87">
        <v>69</v>
      </c>
      <c r="AW16" s="87">
        <v>70</v>
      </c>
      <c r="AX16" s="87">
        <v>72</v>
      </c>
      <c r="AY16" s="87">
        <v>84</v>
      </c>
      <c r="AZ16" s="87">
        <v>92</v>
      </c>
      <c r="BA16" s="87">
        <v>68</v>
      </c>
      <c r="BB16" s="87">
        <v>77</v>
      </c>
      <c r="BC16" s="87">
        <v>89</v>
      </c>
      <c r="BD16" s="87">
        <v>94</v>
      </c>
      <c r="BE16" s="87">
        <v>78</v>
      </c>
      <c r="BF16" s="87">
        <v>88</v>
      </c>
      <c r="BG16" s="87">
        <v>77</v>
      </c>
      <c r="BH16" s="87">
        <v>82</v>
      </c>
      <c r="BI16" s="87">
        <v>58</v>
      </c>
      <c r="BJ16" s="87">
        <v>42</v>
      </c>
      <c r="BK16" s="87">
        <v>58</v>
      </c>
      <c r="BL16" s="87">
        <v>67</v>
      </c>
      <c r="BM16" s="87">
        <v>60</v>
      </c>
      <c r="BN16" s="87">
        <v>54</v>
      </c>
      <c r="BO16" s="87">
        <v>61</v>
      </c>
      <c r="BP16" s="87">
        <v>63</v>
      </c>
      <c r="BQ16" s="87">
        <v>74</v>
      </c>
      <c r="BR16" s="87">
        <v>81</v>
      </c>
      <c r="BS16" s="87">
        <v>72</v>
      </c>
      <c r="BT16" s="87">
        <v>78</v>
      </c>
      <c r="BU16" s="87">
        <v>73</v>
      </c>
      <c r="BV16" s="87">
        <v>78</v>
      </c>
      <c r="BW16" s="87">
        <v>83</v>
      </c>
      <c r="BX16" s="87">
        <v>93</v>
      </c>
      <c r="BY16" s="87">
        <v>94</v>
      </c>
      <c r="BZ16" s="87">
        <v>86</v>
      </c>
      <c r="CA16" s="87">
        <v>87</v>
      </c>
      <c r="CB16" s="87">
        <v>87</v>
      </c>
      <c r="CC16" s="87">
        <v>94</v>
      </c>
      <c r="CD16" s="87">
        <v>96</v>
      </c>
      <c r="CE16" s="87">
        <v>99</v>
      </c>
    </row>
    <row r="17" spans="1:83" ht="14.25" customHeight="1" x14ac:dyDescent="0.75">
      <c r="A17" s="64"/>
      <c r="B17" s="88" t="s">
        <v>238</v>
      </c>
      <c r="C17" s="89" t="s">
        <v>239</v>
      </c>
      <c r="D17" s="90">
        <v>1618</v>
      </c>
      <c r="E17" s="90">
        <v>120</v>
      </c>
      <c r="F17" s="90">
        <v>136</v>
      </c>
      <c r="G17" s="90">
        <v>168</v>
      </c>
      <c r="H17" s="90">
        <v>170</v>
      </c>
      <c r="I17" s="90">
        <v>131</v>
      </c>
      <c r="J17" s="90">
        <v>135</v>
      </c>
      <c r="K17" s="90">
        <v>167</v>
      </c>
      <c r="L17" s="90">
        <v>165</v>
      </c>
      <c r="M17" s="90">
        <v>142</v>
      </c>
      <c r="N17" s="90">
        <v>155</v>
      </c>
      <c r="O17" s="90">
        <v>169</v>
      </c>
      <c r="P17" s="90">
        <v>164</v>
      </c>
      <c r="Q17" s="90">
        <v>147</v>
      </c>
      <c r="R17" s="90">
        <v>156</v>
      </c>
      <c r="S17" s="90">
        <v>171</v>
      </c>
      <c r="T17" s="90">
        <v>174</v>
      </c>
      <c r="U17" s="90">
        <v>170</v>
      </c>
      <c r="V17" s="90">
        <v>164</v>
      </c>
      <c r="W17" s="90">
        <v>185</v>
      </c>
      <c r="X17" s="90">
        <v>189</v>
      </c>
      <c r="Y17" s="90">
        <v>171</v>
      </c>
      <c r="Z17" s="90">
        <v>176</v>
      </c>
      <c r="AA17" s="90">
        <v>213</v>
      </c>
      <c r="AB17" s="90">
        <v>209</v>
      </c>
      <c r="AC17" s="90">
        <v>187</v>
      </c>
      <c r="AD17" s="90">
        <v>189</v>
      </c>
      <c r="AE17" s="90">
        <v>219</v>
      </c>
      <c r="AF17" s="90">
        <v>219</v>
      </c>
      <c r="AG17" s="90">
        <v>205</v>
      </c>
      <c r="AH17" s="90">
        <v>210</v>
      </c>
      <c r="AI17" s="90">
        <v>224</v>
      </c>
      <c r="AJ17" s="90">
        <v>212</v>
      </c>
      <c r="AK17" s="90">
        <v>176</v>
      </c>
      <c r="AL17" s="90">
        <v>182</v>
      </c>
      <c r="AM17" s="90">
        <v>194</v>
      </c>
      <c r="AN17" s="90">
        <v>192</v>
      </c>
      <c r="AO17" s="90">
        <v>193</v>
      </c>
      <c r="AP17" s="90">
        <v>196</v>
      </c>
      <c r="AQ17" s="90">
        <v>208</v>
      </c>
      <c r="AR17" s="90">
        <v>208</v>
      </c>
      <c r="AS17" s="90">
        <v>218</v>
      </c>
      <c r="AT17" s="90">
        <v>219</v>
      </c>
      <c r="AU17" s="90">
        <v>211</v>
      </c>
      <c r="AV17" s="90">
        <v>212</v>
      </c>
      <c r="AW17" s="90">
        <v>225</v>
      </c>
      <c r="AX17" s="90">
        <v>232</v>
      </c>
      <c r="AY17" s="90">
        <v>225</v>
      </c>
      <c r="AZ17" s="90">
        <v>233</v>
      </c>
      <c r="BA17" s="90">
        <v>251</v>
      </c>
      <c r="BB17" s="90">
        <v>264</v>
      </c>
      <c r="BC17" s="90">
        <v>257</v>
      </c>
      <c r="BD17" s="90">
        <v>268</v>
      </c>
      <c r="BE17" s="90">
        <v>268</v>
      </c>
      <c r="BF17" s="90">
        <v>304</v>
      </c>
      <c r="BG17" s="90">
        <v>291</v>
      </c>
      <c r="BH17" s="90">
        <v>293</v>
      </c>
      <c r="BI17" s="90">
        <v>283</v>
      </c>
      <c r="BJ17" s="90">
        <v>266</v>
      </c>
      <c r="BK17" s="90">
        <v>310</v>
      </c>
      <c r="BL17" s="90">
        <v>321</v>
      </c>
      <c r="BM17" s="90">
        <v>307</v>
      </c>
      <c r="BN17" s="90">
        <v>342</v>
      </c>
      <c r="BO17" s="90">
        <v>274</v>
      </c>
      <c r="BP17" s="90">
        <v>349</v>
      </c>
      <c r="BQ17" s="90">
        <v>338</v>
      </c>
      <c r="BR17" s="90">
        <v>383</v>
      </c>
      <c r="BS17" s="90">
        <v>296</v>
      </c>
      <c r="BT17" s="90">
        <v>373</v>
      </c>
      <c r="BU17" s="90">
        <v>391</v>
      </c>
      <c r="BV17" s="90">
        <v>387</v>
      </c>
      <c r="BW17" s="90">
        <v>329</v>
      </c>
      <c r="BX17" s="90">
        <v>418</v>
      </c>
      <c r="BY17" s="90">
        <v>388</v>
      </c>
      <c r="BZ17" s="90">
        <v>427</v>
      </c>
      <c r="CA17" s="90">
        <v>356</v>
      </c>
      <c r="CB17" s="90">
        <v>448</v>
      </c>
      <c r="CC17" s="90">
        <v>422</v>
      </c>
      <c r="CD17" s="90">
        <v>459</v>
      </c>
      <c r="CE17" s="90">
        <v>406</v>
      </c>
    </row>
    <row r="18" spans="1:83" s="114" customFormat="1" ht="13.5" customHeight="1" x14ac:dyDescent="0.55000000000000004">
      <c r="A18" s="91"/>
      <c r="B18" s="92" t="s">
        <v>240</v>
      </c>
      <c r="C18" s="93" t="s">
        <v>241</v>
      </c>
      <c r="D18" s="113">
        <v>383</v>
      </c>
      <c r="E18" s="113">
        <v>18</v>
      </c>
      <c r="F18" s="113">
        <v>22</v>
      </c>
      <c r="G18" s="113">
        <v>29</v>
      </c>
      <c r="H18" s="113">
        <v>30</v>
      </c>
      <c r="I18" s="113">
        <v>20</v>
      </c>
      <c r="J18" s="113">
        <v>20</v>
      </c>
      <c r="K18" s="113">
        <v>28</v>
      </c>
      <c r="L18" s="113">
        <v>26</v>
      </c>
      <c r="M18" s="113">
        <v>23</v>
      </c>
      <c r="N18" s="113">
        <v>25</v>
      </c>
      <c r="O18" s="113">
        <v>28</v>
      </c>
      <c r="P18" s="113">
        <v>26</v>
      </c>
      <c r="Q18" s="113">
        <v>25</v>
      </c>
      <c r="R18" s="113">
        <v>27</v>
      </c>
      <c r="S18" s="113">
        <v>30</v>
      </c>
      <c r="T18" s="113">
        <v>27</v>
      </c>
      <c r="U18" s="113">
        <v>27</v>
      </c>
      <c r="V18" s="113">
        <v>28</v>
      </c>
      <c r="W18" s="113">
        <v>33</v>
      </c>
      <c r="X18" s="113">
        <v>30</v>
      </c>
      <c r="Y18" s="113">
        <v>25</v>
      </c>
      <c r="Z18" s="113">
        <v>25</v>
      </c>
      <c r="AA18" s="113">
        <v>36</v>
      </c>
      <c r="AB18" s="113">
        <v>37</v>
      </c>
      <c r="AC18" s="113">
        <v>25</v>
      </c>
      <c r="AD18" s="113">
        <v>27</v>
      </c>
      <c r="AE18" s="113">
        <v>35</v>
      </c>
      <c r="AF18" s="113">
        <v>37</v>
      </c>
      <c r="AG18" s="113">
        <v>34</v>
      </c>
      <c r="AH18" s="113">
        <v>33</v>
      </c>
      <c r="AI18" s="113">
        <v>34</v>
      </c>
      <c r="AJ18" s="113">
        <v>34</v>
      </c>
      <c r="AK18" s="113">
        <v>34</v>
      </c>
      <c r="AL18" s="113">
        <v>35</v>
      </c>
      <c r="AM18" s="113">
        <v>37</v>
      </c>
      <c r="AN18" s="113">
        <v>37</v>
      </c>
      <c r="AO18" s="113">
        <v>36</v>
      </c>
      <c r="AP18" s="113">
        <v>35</v>
      </c>
      <c r="AQ18" s="113">
        <v>34</v>
      </c>
      <c r="AR18" s="113">
        <v>38</v>
      </c>
      <c r="AS18" s="113">
        <v>42</v>
      </c>
      <c r="AT18" s="113">
        <v>41</v>
      </c>
      <c r="AU18" s="113">
        <v>34</v>
      </c>
      <c r="AV18" s="113">
        <v>38</v>
      </c>
      <c r="AW18" s="113">
        <v>43</v>
      </c>
      <c r="AX18" s="113">
        <v>43</v>
      </c>
      <c r="AY18" s="113">
        <v>41</v>
      </c>
      <c r="AZ18" s="113">
        <v>45</v>
      </c>
      <c r="BA18" s="113">
        <v>51</v>
      </c>
      <c r="BB18" s="113">
        <v>54</v>
      </c>
      <c r="BC18" s="113">
        <v>42</v>
      </c>
      <c r="BD18" s="113">
        <v>49</v>
      </c>
      <c r="BE18" s="113">
        <v>50</v>
      </c>
      <c r="BF18" s="113">
        <v>56</v>
      </c>
      <c r="BG18" s="113">
        <v>48</v>
      </c>
      <c r="BH18" s="113">
        <v>50</v>
      </c>
      <c r="BI18" s="113">
        <v>56</v>
      </c>
      <c r="BJ18" s="113">
        <v>56</v>
      </c>
      <c r="BK18" s="113">
        <v>52</v>
      </c>
      <c r="BL18" s="113">
        <v>55</v>
      </c>
      <c r="BM18" s="113">
        <v>60</v>
      </c>
      <c r="BN18" s="113">
        <v>89</v>
      </c>
      <c r="BO18" s="113">
        <v>52</v>
      </c>
      <c r="BP18" s="113">
        <v>92</v>
      </c>
      <c r="BQ18" s="113">
        <v>65</v>
      </c>
      <c r="BR18" s="113">
        <v>107</v>
      </c>
      <c r="BS18" s="113">
        <v>58</v>
      </c>
      <c r="BT18" s="113">
        <v>103</v>
      </c>
      <c r="BU18" s="113">
        <v>79</v>
      </c>
      <c r="BV18" s="113">
        <v>109</v>
      </c>
      <c r="BW18" s="113">
        <v>63</v>
      </c>
      <c r="BX18" s="113">
        <v>125</v>
      </c>
      <c r="BY18" s="113">
        <v>82</v>
      </c>
      <c r="BZ18" s="113">
        <v>115</v>
      </c>
      <c r="CA18" s="113">
        <v>67</v>
      </c>
      <c r="CB18" s="113">
        <v>119</v>
      </c>
      <c r="CC18" s="113">
        <v>86</v>
      </c>
      <c r="CD18" s="113">
        <v>127</v>
      </c>
      <c r="CE18" s="113">
        <v>75</v>
      </c>
    </row>
    <row r="19" spans="1:83" s="114" customFormat="1" ht="13.5" customHeight="1" x14ac:dyDescent="0.55000000000000004">
      <c r="A19" s="91"/>
      <c r="B19" s="92" t="s">
        <v>242</v>
      </c>
      <c r="C19" s="93" t="s">
        <v>243</v>
      </c>
      <c r="D19" s="113">
        <v>486</v>
      </c>
      <c r="E19" s="113">
        <v>65</v>
      </c>
      <c r="F19" s="113">
        <v>65</v>
      </c>
      <c r="G19" s="113">
        <v>92</v>
      </c>
      <c r="H19" s="113">
        <v>91</v>
      </c>
      <c r="I19" s="113">
        <v>67</v>
      </c>
      <c r="J19" s="113">
        <v>68</v>
      </c>
      <c r="K19" s="113">
        <v>86</v>
      </c>
      <c r="L19" s="113">
        <v>87</v>
      </c>
      <c r="M19" s="113">
        <v>73</v>
      </c>
      <c r="N19" s="113">
        <v>75</v>
      </c>
      <c r="O19" s="113">
        <v>86</v>
      </c>
      <c r="P19" s="113">
        <v>83</v>
      </c>
      <c r="Q19" s="113">
        <v>75</v>
      </c>
      <c r="R19" s="113">
        <v>75</v>
      </c>
      <c r="S19" s="113">
        <v>91</v>
      </c>
      <c r="T19" s="113">
        <v>90</v>
      </c>
      <c r="U19" s="113">
        <v>75</v>
      </c>
      <c r="V19" s="113">
        <v>74</v>
      </c>
      <c r="W19" s="113">
        <v>96</v>
      </c>
      <c r="X19" s="113">
        <v>92</v>
      </c>
      <c r="Y19" s="113">
        <v>83</v>
      </c>
      <c r="Z19" s="113">
        <v>86</v>
      </c>
      <c r="AA19" s="113">
        <v>101</v>
      </c>
      <c r="AB19" s="113">
        <v>94</v>
      </c>
      <c r="AC19" s="113">
        <v>90</v>
      </c>
      <c r="AD19" s="113">
        <v>88</v>
      </c>
      <c r="AE19" s="113">
        <v>102</v>
      </c>
      <c r="AF19" s="113">
        <v>98</v>
      </c>
      <c r="AG19" s="113">
        <v>91</v>
      </c>
      <c r="AH19" s="113">
        <v>97</v>
      </c>
      <c r="AI19" s="113">
        <v>106</v>
      </c>
      <c r="AJ19" s="113">
        <v>99</v>
      </c>
      <c r="AK19" s="113">
        <v>102</v>
      </c>
      <c r="AL19" s="113">
        <v>99</v>
      </c>
      <c r="AM19" s="113">
        <v>111</v>
      </c>
      <c r="AN19" s="113">
        <v>110</v>
      </c>
      <c r="AO19" s="113">
        <v>108</v>
      </c>
      <c r="AP19" s="113">
        <v>107</v>
      </c>
      <c r="AQ19" s="113">
        <v>120</v>
      </c>
      <c r="AR19" s="113">
        <v>111</v>
      </c>
      <c r="AS19" s="113">
        <v>114</v>
      </c>
      <c r="AT19" s="113">
        <v>115</v>
      </c>
      <c r="AU19" s="113">
        <v>122</v>
      </c>
      <c r="AV19" s="113">
        <v>110</v>
      </c>
      <c r="AW19" s="113">
        <v>111</v>
      </c>
      <c r="AX19" s="113">
        <v>108</v>
      </c>
      <c r="AY19" s="113">
        <v>104</v>
      </c>
      <c r="AZ19" s="113">
        <v>100</v>
      </c>
      <c r="BA19" s="113">
        <v>103</v>
      </c>
      <c r="BB19" s="113">
        <v>106</v>
      </c>
      <c r="BC19" s="113">
        <v>118</v>
      </c>
      <c r="BD19" s="113">
        <v>112</v>
      </c>
      <c r="BE19" s="113">
        <v>111</v>
      </c>
      <c r="BF19" s="113">
        <v>125</v>
      </c>
      <c r="BG19" s="113">
        <v>128</v>
      </c>
      <c r="BH19" s="113">
        <v>123</v>
      </c>
      <c r="BI19" s="113">
        <v>117</v>
      </c>
      <c r="BJ19" s="113">
        <v>110</v>
      </c>
      <c r="BK19" s="113">
        <v>134</v>
      </c>
      <c r="BL19" s="113">
        <v>132</v>
      </c>
      <c r="BM19" s="113">
        <v>122</v>
      </c>
      <c r="BN19" s="113">
        <v>98</v>
      </c>
      <c r="BO19" s="113">
        <v>76</v>
      </c>
      <c r="BP19" s="113">
        <v>115</v>
      </c>
      <c r="BQ19" s="113">
        <v>137</v>
      </c>
      <c r="BR19" s="113">
        <v>122</v>
      </c>
      <c r="BS19" s="113">
        <v>86</v>
      </c>
      <c r="BT19" s="113">
        <v>117</v>
      </c>
      <c r="BU19" s="113">
        <v>139</v>
      </c>
      <c r="BV19" s="113">
        <v>117</v>
      </c>
      <c r="BW19" s="113">
        <v>88</v>
      </c>
      <c r="BX19" s="113">
        <v>116</v>
      </c>
      <c r="BY19" s="113">
        <v>142</v>
      </c>
      <c r="BZ19" s="113">
        <v>125</v>
      </c>
      <c r="CA19" s="113">
        <v>92</v>
      </c>
      <c r="CB19" s="113">
        <v>127</v>
      </c>
      <c r="CC19" s="113">
        <v>146</v>
      </c>
      <c r="CD19" s="113">
        <v>121</v>
      </c>
      <c r="CE19" s="113">
        <v>99</v>
      </c>
    </row>
    <row r="20" spans="1:83" s="114" customFormat="1" ht="13.5" customHeight="1" x14ac:dyDescent="0.55000000000000004">
      <c r="A20" s="91"/>
      <c r="B20" s="92" t="s">
        <v>244</v>
      </c>
      <c r="C20" s="93" t="s">
        <v>245</v>
      </c>
      <c r="D20" s="113">
        <v>135</v>
      </c>
      <c r="E20" s="113">
        <v>28</v>
      </c>
      <c r="F20" s="113">
        <v>30</v>
      </c>
      <c r="G20" s="113">
        <v>29</v>
      </c>
      <c r="H20" s="113">
        <v>29</v>
      </c>
      <c r="I20" s="113">
        <v>29</v>
      </c>
      <c r="J20" s="113">
        <v>31</v>
      </c>
      <c r="K20" s="113">
        <v>32</v>
      </c>
      <c r="L20" s="113">
        <v>35</v>
      </c>
      <c r="M20" s="113">
        <v>30</v>
      </c>
      <c r="N20" s="113">
        <v>34</v>
      </c>
      <c r="O20" s="113">
        <v>31</v>
      </c>
      <c r="P20" s="113">
        <v>30</v>
      </c>
      <c r="Q20" s="113">
        <v>31</v>
      </c>
      <c r="R20" s="113">
        <v>30</v>
      </c>
      <c r="S20" s="113">
        <v>31</v>
      </c>
      <c r="T20" s="113">
        <v>32</v>
      </c>
      <c r="U20" s="113">
        <v>31</v>
      </c>
      <c r="V20" s="113">
        <v>32</v>
      </c>
      <c r="W20" s="113">
        <v>32</v>
      </c>
      <c r="X20" s="113">
        <v>33</v>
      </c>
      <c r="Y20" s="113">
        <v>33</v>
      </c>
      <c r="Z20" s="113">
        <v>29</v>
      </c>
      <c r="AA20" s="113">
        <v>30</v>
      </c>
      <c r="AB20" s="113">
        <v>32</v>
      </c>
      <c r="AC20" s="113">
        <v>34</v>
      </c>
      <c r="AD20" s="113">
        <v>36</v>
      </c>
      <c r="AE20" s="113">
        <v>32</v>
      </c>
      <c r="AF20" s="113">
        <v>32</v>
      </c>
      <c r="AG20" s="113">
        <v>7</v>
      </c>
      <c r="AH20" s="113">
        <v>7</v>
      </c>
      <c r="AI20" s="113">
        <v>8</v>
      </c>
      <c r="AJ20" s="113">
        <v>8</v>
      </c>
      <c r="AK20" s="113">
        <v>8</v>
      </c>
      <c r="AL20" s="113">
        <v>8</v>
      </c>
      <c r="AM20" s="113">
        <v>8</v>
      </c>
      <c r="AN20" s="113">
        <v>8</v>
      </c>
      <c r="AO20" s="113">
        <v>8</v>
      </c>
      <c r="AP20" s="113">
        <v>8</v>
      </c>
      <c r="AQ20" s="113">
        <v>8</v>
      </c>
      <c r="AR20" s="113">
        <v>8</v>
      </c>
      <c r="AS20" s="113">
        <v>9</v>
      </c>
      <c r="AT20" s="113">
        <v>9</v>
      </c>
      <c r="AU20" s="113">
        <v>9</v>
      </c>
      <c r="AV20" s="113">
        <v>10</v>
      </c>
      <c r="AW20" s="113">
        <v>12</v>
      </c>
      <c r="AX20" s="113">
        <v>14</v>
      </c>
      <c r="AY20" s="113">
        <v>12</v>
      </c>
      <c r="AZ20" s="113">
        <v>12</v>
      </c>
      <c r="BA20" s="113">
        <v>18</v>
      </c>
      <c r="BB20" s="113">
        <v>20</v>
      </c>
      <c r="BC20" s="113">
        <v>21</v>
      </c>
      <c r="BD20" s="113">
        <v>22</v>
      </c>
      <c r="BE20" s="113">
        <v>20</v>
      </c>
      <c r="BF20" s="113">
        <v>22</v>
      </c>
      <c r="BG20" s="113">
        <v>25</v>
      </c>
      <c r="BH20" s="113">
        <v>28</v>
      </c>
      <c r="BI20" s="113">
        <v>22</v>
      </c>
      <c r="BJ20" s="113">
        <v>19</v>
      </c>
      <c r="BK20" s="113">
        <v>24</v>
      </c>
      <c r="BL20" s="113">
        <v>26</v>
      </c>
      <c r="BM20" s="113">
        <v>22</v>
      </c>
      <c r="BN20" s="113">
        <v>25</v>
      </c>
      <c r="BO20" s="113">
        <v>25</v>
      </c>
      <c r="BP20" s="113">
        <v>27</v>
      </c>
      <c r="BQ20" s="113">
        <v>24</v>
      </c>
      <c r="BR20" s="113">
        <v>27</v>
      </c>
      <c r="BS20" s="113">
        <v>28</v>
      </c>
      <c r="BT20" s="113">
        <v>30</v>
      </c>
      <c r="BU20" s="113">
        <v>27</v>
      </c>
      <c r="BV20" s="113">
        <v>30</v>
      </c>
      <c r="BW20" s="113">
        <v>32</v>
      </c>
      <c r="BX20" s="113">
        <v>35</v>
      </c>
      <c r="BY20" s="113">
        <v>30</v>
      </c>
      <c r="BZ20" s="113">
        <v>36</v>
      </c>
      <c r="CA20" s="113">
        <v>36</v>
      </c>
      <c r="CB20" s="113">
        <v>34</v>
      </c>
      <c r="CC20" s="113">
        <v>30</v>
      </c>
      <c r="CD20" s="113">
        <v>32</v>
      </c>
      <c r="CE20" s="113">
        <v>34</v>
      </c>
    </row>
    <row r="21" spans="1:83" s="114" customFormat="1" ht="13.5" customHeight="1" x14ac:dyDescent="0.55000000000000004">
      <c r="A21" s="91"/>
      <c r="B21" s="92" t="s">
        <v>246</v>
      </c>
      <c r="C21" s="93" t="s">
        <v>247</v>
      </c>
      <c r="D21" s="113">
        <v>79</v>
      </c>
      <c r="E21" s="113">
        <v>3</v>
      </c>
      <c r="F21" s="113">
        <v>3</v>
      </c>
      <c r="G21" s="113">
        <v>3</v>
      </c>
      <c r="H21" s="113">
        <v>4</v>
      </c>
      <c r="I21" s="113">
        <v>3</v>
      </c>
      <c r="J21" s="113">
        <v>3</v>
      </c>
      <c r="K21" s="113">
        <v>4</v>
      </c>
      <c r="L21" s="113">
        <v>5</v>
      </c>
      <c r="M21" s="113">
        <v>3</v>
      </c>
      <c r="N21" s="113">
        <v>4</v>
      </c>
      <c r="O21" s="113">
        <v>4</v>
      </c>
      <c r="P21" s="113">
        <v>4</v>
      </c>
      <c r="Q21" s="113">
        <v>4</v>
      </c>
      <c r="R21" s="113">
        <v>4</v>
      </c>
      <c r="S21" s="113">
        <v>4</v>
      </c>
      <c r="T21" s="113">
        <v>5</v>
      </c>
      <c r="U21" s="113">
        <v>4</v>
      </c>
      <c r="V21" s="113">
        <v>4</v>
      </c>
      <c r="W21" s="113">
        <v>5</v>
      </c>
      <c r="X21" s="113">
        <v>5</v>
      </c>
      <c r="Y21" s="113">
        <v>4</v>
      </c>
      <c r="Z21" s="113">
        <v>4</v>
      </c>
      <c r="AA21" s="113">
        <v>4</v>
      </c>
      <c r="AB21" s="113">
        <v>5</v>
      </c>
      <c r="AC21" s="113">
        <v>4</v>
      </c>
      <c r="AD21" s="113">
        <v>4</v>
      </c>
      <c r="AE21" s="113">
        <v>5</v>
      </c>
      <c r="AF21" s="113">
        <v>5</v>
      </c>
      <c r="AG21" s="113">
        <v>5</v>
      </c>
      <c r="AH21" s="113">
        <v>5</v>
      </c>
      <c r="AI21" s="113">
        <v>6</v>
      </c>
      <c r="AJ21" s="113">
        <v>5</v>
      </c>
      <c r="AK21" s="113">
        <v>6</v>
      </c>
      <c r="AL21" s="113">
        <v>6</v>
      </c>
      <c r="AM21" s="113">
        <v>6</v>
      </c>
      <c r="AN21" s="113">
        <v>6</v>
      </c>
      <c r="AO21" s="113">
        <v>6</v>
      </c>
      <c r="AP21" s="113">
        <v>6</v>
      </c>
      <c r="AQ21" s="113">
        <v>6</v>
      </c>
      <c r="AR21" s="113">
        <v>7</v>
      </c>
      <c r="AS21" s="113">
        <v>7</v>
      </c>
      <c r="AT21" s="113">
        <v>7</v>
      </c>
      <c r="AU21" s="113">
        <v>8</v>
      </c>
      <c r="AV21" s="113">
        <v>6</v>
      </c>
      <c r="AW21" s="113">
        <v>6</v>
      </c>
      <c r="AX21" s="113">
        <v>7</v>
      </c>
      <c r="AY21" s="113">
        <v>6</v>
      </c>
      <c r="AZ21" s="113">
        <v>7</v>
      </c>
      <c r="BA21" s="113">
        <v>7</v>
      </c>
      <c r="BB21" s="113">
        <v>7</v>
      </c>
      <c r="BC21" s="113">
        <v>7</v>
      </c>
      <c r="BD21" s="113">
        <v>8</v>
      </c>
      <c r="BE21" s="113">
        <v>9</v>
      </c>
      <c r="BF21" s="113">
        <v>10</v>
      </c>
      <c r="BG21" s="113">
        <v>9</v>
      </c>
      <c r="BH21" s="113">
        <v>9</v>
      </c>
      <c r="BI21" s="113">
        <v>8</v>
      </c>
      <c r="BJ21" s="113">
        <v>7</v>
      </c>
      <c r="BK21" s="113">
        <v>9</v>
      </c>
      <c r="BL21" s="113">
        <v>10</v>
      </c>
      <c r="BM21" s="113">
        <v>9</v>
      </c>
      <c r="BN21" s="113">
        <v>11</v>
      </c>
      <c r="BO21" s="113">
        <v>11</v>
      </c>
      <c r="BP21" s="113">
        <v>12</v>
      </c>
      <c r="BQ21" s="113">
        <v>11</v>
      </c>
      <c r="BR21" s="113">
        <v>14</v>
      </c>
      <c r="BS21" s="113">
        <v>15</v>
      </c>
      <c r="BT21" s="113">
        <v>17</v>
      </c>
      <c r="BU21" s="113">
        <v>14</v>
      </c>
      <c r="BV21" s="113">
        <v>17</v>
      </c>
      <c r="BW21" s="113">
        <v>18</v>
      </c>
      <c r="BX21" s="113">
        <v>18</v>
      </c>
      <c r="BY21" s="113">
        <v>17</v>
      </c>
      <c r="BZ21" s="113">
        <v>18</v>
      </c>
      <c r="CA21" s="113">
        <v>22</v>
      </c>
      <c r="CB21" s="113">
        <v>21</v>
      </c>
      <c r="CC21" s="113">
        <v>19</v>
      </c>
      <c r="CD21" s="113">
        <v>22</v>
      </c>
      <c r="CE21" s="113">
        <v>25</v>
      </c>
    </row>
    <row r="22" spans="1:83" s="114" customFormat="1" ht="13.5" customHeight="1" x14ac:dyDescent="0.55000000000000004">
      <c r="A22" s="91"/>
      <c r="B22" s="92" t="s">
        <v>248</v>
      </c>
      <c r="C22" s="93" t="s">
        <v>249</v>
      </c>
      <c r="D22" s="113">
        <v>187</v>
      </c>
      <c r="E22" s="113">
        <v>8</v>
      </c>
      <c r="F22" s="113">
        <v>8</v>
      </c>
      <c r="G22" s="113">
        <v>9</v>
      </c>
      <c r="H22" s="113">
        <v>8</v>
      </c>
      <c r="I22" s="113">
        <v>8</v>
      </c>
      <c r="J22" s="113">
        <v>8</v>
      </c>
      <c r="K22" s="113">
        <v>8</v>
      </c>
      <c r="L22" s="113">
        <v>8</v>
      </c>
      <c r="M22" s="113">
        <v>7</v>
      </c>
      <c r="N22" s="113">
        <v>8</v>
      </c>
      <c r="O22" s="113">
        <v>8</v>
      </c>
      <c r="P22" s="113">
        <v>9</v>
      </c>
      <c r="Q22" s="113">
        <v>8</v>
      </c>
      <c r="R22" s="113">
        <v>8</v>
      </c>
      <c r="S22" s="113">
        <v>8</v>
      </c>
      <c r="T22" s="113">
        <v>8</v>
      </c>
      <c r="U22" s="113">
        <v>8</v>
      </c>
      <c r="V22" s="113">
        <v>8</v>
      </c>
      <c r="W22" s="113">
        <v>9</v>
      </c>
      <c r="X22" s="113">
        <v>10</v>
      </c>
      <c r="Y22" s="113">
        <v>9</v>
      </c>
      <c r="Z22" s="113">
        <v>10</v>
      </c>
      <c r="AA22" s="113">
        <v>10</v>
      </c>
      <c r="AB22" s="113">
        <v>10</v>
      </c>
      <c r="AC22" s="113">
        <v>11</v>
      </c>
      <c r="AD22" s="113">
        <v>10</v>
      </c>
      <c r="AE22" s="113">
        <v>10</v>
      </c>
      <c r="AF22" s="113">
        <v>10</v>
      </c>
      <c r="AG22" s="113">
        <v>10</v>
      </c>
      <c r="AH22" s="113">
        <v>10</v>
      </c>
      <c r="AI22" s="113">
        <v>10</v>
      </c>
      <c r="AJ22" s="113">
        <v>9</v>
      </c>
      <c r="AK22" s="113">
        <v>9</v>
      </c>
      <c r="AL22" s="113">
        <v>10</v>
      </c>
      <c r="AM22" s="113">
        <v>10</v>
      </c>
      <c r="AN22" s="113">
        <v>10</v>
      </c>
      <c r="AO22" s="113">
        <v>11</v>
      </c>
      <c r="AP22" s="113">
        <v>11</v>
      </c>
      <c r="AQ22" s="113">
        <v>11</v>
      </c>
      <c r="AR22" s="113">
        <v>11</v>
      </c>
      <c r="AS22" s="113">
        <v>11</v>
      </c>
      <c r="AT22" s="113">
        <v>10</v>
      </c>
      <c r="AU22" s="113">
        <v>12</v>
      </c>
      <c r="AV22" s="113">
        <v>12</v>
      </c>
      <c r="AW22" s="113">
        <v>13</v>
      </c>
      <c r="AX22" s="113">
        <v>16</v>
      </c>
      <c r="AY22" s="113">
        <v>15</v>
      </c>
      <c r="AZ22" s="113">
        <v>16</v>
      </c>
      <c r="BA22" s="113">
        <v>17</v>
      </c>
      <c r="BB22" s="113">
        <v>18</v>
      </c>
      <c r="BC22" s="113">
        <v>18</v>
      </c>
      <c r="BD22" s="113">
        <v>20</v>
      </c>
      <c r="BE22" s="113">
        <v>20</v>
      </c>
      <c r="BF22" s="113">
        <v>26</v>
      </c>
      <c r="BG22" s="113">
        <v>24</v>
      </c>
      <c r="BH22" s="113">
        <v>24</v>
      </c>
      <c r="BI22" s="113">
        <v>22</v>
      </c>
      <c r="BJ22" s="113">
        <v>23</v>
      </c>
      <c r="BK22" s="113">
        <v>23</v>
      </c>
      <c r="BL22" s="113">
        <v>28</v>
      </c>
      <c r="BM22" s="113">
        <v>26</v>
      </c>
      <c r="BN22" s="113">
        <v>45</v>
      </c>
      <c r="BO22" s="113">
        <v>27</v>
      </c>
      <c r="BP22" s="113">
        <v>29</v>
      </c>
      <c r="BQ22" s="113">
        <v>27</v>
      </c>
      <c r="BR22" s="113">
        <v>36</v>
      </c>
      <c r="BS22" s="113">
        <v>27</v>
      </c>
      <c r="BT22" s="113">
        <v>31</v>
      </c>
      <c r="BU22" s="113">
        <v>56</v>
      </c>
      <c r="BV22" s="113">
        <v>35</v>
      </c>
      <c r="BW22" s="113">
        <v>40</v>
      </c>
      <c r="BX22" s="113">
        <v>42</v>
      </c>
      <c r="BY22" s="113">
        <v>42</v>
      </c>
      <c r="BZ22" s="113">
        <v>45</v>
      </c>
      <c r="CA22" s="113">
        <v>49</v>
      </c>
      <c r="CB22" s="113">
        <v>51</v>
      </c>
      <c r="CC22" s="113">
        <v>51</v>
      </c>
      <c r="CD22" s="113">
        <v>56</v>
      </c>
      <c r="CE22" s="113">
        <v>61</v>
      </c>
    </row>
    <row r="23" spans="1:83" s="114" customFormat="1" ht="13.5" customHeight="1" x14ac:dyDescent="0.55000000000000004">
      <c r="A23" s="91"/>
      <c r="B23" s="92" t="s">
        <v>250</v>
      </c>
      <c r="C23" s="93" t="s">
        <v>251</v>
      </c>
      <c r="D23" s="113">
        <v>122</v>
      </c>
      <c r="E23" s="113">
        <v>6</v>
      </c>
      <c r="F23" s="113">
        <v>6</v>
      </c>
      <c r="G23" s="113">
        <v>6</v>
      </c>
      <c r="H23" s="113">
        <v>6</v>
      </c>
      <c r="I23" s="113">
        <v>6</v>
      </c>
      <c r="J23" s="113">
        <v>6</v>
      </c>
      <c r="K23" s="113">
        <v>7</v>
      </c>
      <c r="L23" s="113">
        <v>6</v>
      </c>
      <c r="M23" s="113">
        <v>7</v>
      </c>
      <c r="N23" s="113">
        <v>6</v>
      </c>
      <c r="O23" s="113">
        <v>6</v>
      </c>
      <c r="P23" s="113">
        <v>7</v>
      </c>
      <c r="Q23" s="113">
        <v>5</v>
      </c>
      <c r="R23" s="113">
        <v>6</v>
      </c>
      <c r="S23" s="113">
        <v>6</v>
      </c>
      <c r="T23" s="113">
        <v>7</v>
      </c>
      <c r="U23" s="113">
        <v>6</v>
      </c>
      <c r="V23" s="113">
        <v>7</v>
      </c>
      <c r="W23" s="113">
        <v>5</v>
      </c>
      <c r="X23" s="113">
        <v>9</v>
      </c>
      <c r="Y23" s="113">
        <v>7</v>
      </c>
      <c r="Z23" s="113">
        <v>7</v>
      </c>
      <c r="AA23" s="113">
        <v>8</v>
      </c>
      <c r="AB23" s="113">
        <v>9</v>
      </c>
      <c r="AC23" s="113">
        <v>8</v>
      </c>
      <c r="AD23" s="113">
        <v>9</v>
      </c>
      <c r="AE23" s="113">
        <v>10</v>
      </c>
      <c r="AF23" s="113">
        <v>10</v>
      </c>
      <c r="AG23" s="113">
        <v>10</v>
      </c>
      <c r="AH23" s="113">
        <v>9</v>
      </c>
      <c r="AI23" s="113">
        <v>10</v>
      </c>
      <c r="AJ23" s="113">
        <v>10</v>
      </c>
      <c r="AK23" s="113">
        <v>10</v>
      </c>
      <c r="AL23" s="113">
        <v>11</v>
      </c>
      <c r="AM23" s="113">
        <v>12</v>
      </c>
      <c r="AN23" s="113">
        <v>12</v>
      </c>
      <c r="AO23" s="113">
        <v>11</v>
      </c>
      <c r="AP23" s="113">
        <v>11</v>
      </c>
      <c r="AQ23" s="113">
        <v>15</v>
      </c>
      <c r="AR23" s="113">
        <v>16</v>
      </c>
      <c r="AS23" s="113">
        <v>15</v>
      </c>
      <c r="AT23" s="113">
        <v>16</v>
      </c>
      <c r="AU23" s="113">
        <v>16</v>
      </c>
      <c r="AV23" s="113">
        <v>18</v>
      </c>
      <c r="AW23" s="113">
        <v>16</v>
      </c>
      <c r="AX23" s="113">
        <v>17</v>
      </c>
      <c r="AY23" s="113">
        <v>19</v>
      </c>
      <c r="AZ23" s="113">
        <v>19</v>
      </c>
      <c r="BA23" s="113">
        <v>16</v>
      </c>
      <c r="BB23" s="113">
        <v>15</v>
      </c>
      <c r="BC23" s="113">
        <v>24</v>
      </c>
      <c r="BD23" s="113">
        <v>23</v>
      </c>
      <c r="BE23" s="113">
        <v>22</v>
      </c>
      <c r="BF23" s="113">
        <v>23</v>
      </c>
      <c r="BG23" s="113">
        <v>25</v>
      </c>
      <c r="BH23" s="113">
        <v>23</v>
      </c>
      <c r="BI23" s="113">
        <v>20</v>
      </c>
      <c r="BJ23" s="113">
        <v>20</v>
      </c>
      <c r="BK23" s="113">
        <v>26</v>
      </c>
      <c r="BL23" s="113">
        <v>26</v>
      </c>
      <c r="BM23" s="113">
        <v>20</v>
      </c>
      <c r="BN23" s="113">
        <v>25</v>
      </c>
      <c r="BO23" s="113">
        <v>32</v>
      </c>
      <c r="BP23" s="113">
        <v>25</v>
      </c>
      <c r="BQ23" s="113">
        <v>26</v>
      </c>
      <c r="BR23" s="113">
        <v>26</v>
      </c>
      <c r="BS23" s="113">
        <v>31</v>
      </c>
      <c r="BT23" s="113">
        <v>27</v>
      </c>
      <c r="BU23" s="113">
        <v>29</v>
      </c>
      <c r="BV23" s="113">
        <v>30</v>
      </c>
      <c r="BW23" s="113">
        <v>35</v>
      </c>
      <c r="BX23" s="113">
        <v>33</v>
      </c>
      <c r="BY23" s="113">
        <v>22</v>
      </c>
      <c r="BZ23" s="113">
        <v>32</v>
      </c>
      <c r="CA23" s="113">
        <v>31</v>
      </c>
      <c r="CB23" s="113">
        <v>37</v>
      </c>
      <c r="CC23" s="113">
        <v>30</v>
      </c>
      <c r="CD23" s="113">
        <v>39</v>
      </c>
      <c r="CE23" s="113">
        <v>45</v>
      </c>
    </row>
    <row r="24" spans="1:83" s="114" customFormat="1" ht="13.5" customHeight="1" x14ac:dyDescent="0.55000000000000004">
      <c r="A24" s="91"/>
      <c r="B24" s="92" t="s">
        <v>252</v>
      </c>
      <c r="C24" s="93" t="s">
        <v>253</v>
      </c>
      <c r="D24" s="113">
        <v>117</v>
      </c>
      <c r="E24" s="113">
        <v>1</v>
      </c>
      <c r="F24" s="113">
        <v>2</v>
      </c>
      <c r="G24" s="113">
        <v>2</v>
      </c>
      <c r="H24" s="113">
        <v>2</v>
      </c>
      <c r="I24" s="113">
        <v>2</v>
      </c>
      <c r="J24" s="113">
        <v>2</v>
      </c>
      <c r="K24" s="113">
        <v>2</v>
      </c>
      <c r="L24" s="113">
        <v>3</v>
      </c>
      <c r="M24" s="113">
        <v>2</v>
      </c>
      <c r="N24" s="113">
        <v>2</v>
      </c>
      <c r="O24" s="113">
        <v>3</v>
      </c>
      <c r="P24" s="113">
        <v>3</v>
      </c>
      <c r="Q24" s="113">
        <v>2</v>
      </c>
      <c r="R24" s="113">
        <v>2</v>
      </c>
      <c r="S24" s="113">
        <v>2</v>
      </c>
      <c r="T24" s="113">
        <v>3</v>
      </c>
      <c r="U24" s="113">
        <v>5</v>
      </c>
      <c r="V24" s="113">
        <v>3</v>
      </c>
      <c r="W24" s="113">
        <v>3</v>
      </c>
      <c r="X24" s="113">
        <v>4</v>
      </c>
      <c r="Y24" s="113">
        <v>3</v>
      </c>
      <c r="Z24" s="113">
        <v>4</v>
      </c>
      <c r="AA24" s="113">
        <v>6</v>
      </c>
      <c r="AB24" s="113">
        <v>6</v>
      </c>
      <c r="AC24" s="113">
        <v>5</v>
      </c>
      <c r="AD24" s="113">
        <v>5</v>
      </c>
      <c r="AE24" s="113">
        <v>7</v>
      </c>
      <c r="AF24" s="113">
        <v>6</v>
      </c>
      <c r="AG24" s="113">
        <v>4</v>
      </c>
      <c r="AH24" s="113">
        <v>5</v>
      </c>
      <c r="AI24" s="113">
        <v>6</v>
      </c>
      <c r="AJ24" s="113">
        <v>5</v>
      </c>
      <c r="AK24" s="113">
        <v>6</v>
      </c>
      <c r="AL24" s="113">
        <v>6</v>
      </c>
      <c r="AM24" s="113">
        <v>7</v>
      </c>
      <c r="AN24" s="113">
        <v>7</v>
      </c>
      <c r="AO24" s="113">
        <v>8</v>
      </c>
      <c r="AP24" s="113">
        <v>9</v>
      </c>
      <c r="AQ24" s="113">
        <v>11</v>
      </c>
      <c r="AR24" s="113">
        <v>9</v>
      </c>
      <c r="AS24" s="113">
        <v>9</v>
      </c>
      <c r="AT24" s="113">
        <v>11</v>
      </c>
      <c r="AU24" s="113">
        <v>11</v>
      </c>
      <c r="AV24" s="113">
        <v>11</v>
      </c>
      <c r="AW24" s="113">
        <v>11</v>
      </c>
      <c r="AX24" s="113">
        <v>12</v>
      </c>
      <c r="AY24" s="113">
        <v>12</v>
      </c>
      <c r="AZ24" s="113">
        <v>12</v>
      </c>
      <c r="BA24" s="113">
        <v>12</v>
      </c>
      <c r="BB24" s="113">
        <v>16</v>
      </c>
      <c r="BC24" s="113">
        <v>16</v>
      </c>
      <c r="BD24" s="113">
        <v>13</v>
      </c>
      <c r="BE24" s="113">
        <v>14</v>
      </c>
      <c r="BF24" s="113">
        <v>20</v>
      </c>
      <c r="BG24" s="113">
        <v>18</v>
      </c>
      <c r="BH24" s="113">
        <v>17</v>
      </c>
      <c r="BI24" s="113">
        <v>14</v>
      </c>
      <c r="BJ24" s="113">
        <v>14</v>
      </c>
      <c r="BK24" s="113">
        <v>24</v>
      </c>
      <c r="BL24" s="113">
        <v>23</v>
      </c>
      <c r="BM24" s="113">
        <v>18</v>
      </c>
      <c r="BN24" s="113">
        <v>18</v>
      </c>
      <c r="BO24" s="113">
        <v>20</v>
      </c>
      <c r="BP24" s="113">
        <v>18</v>
      </c>
      <c r="BQ24" s="113">
        <v>19</v>
      </c>
      <c r="BR24" s="113">
        <v>23</v>
      </c>
      <c r="BS24" s="113">
        <v>22</v>
      </c>
      <c r="BT24" s="113">
        <v>21</v>
      </c>
      <c r="BU24" s="113">
        <v>23</v>
      </c>
      <c r="BV24" s="113">
        <v>23</v>
      </c>
      <c r="BW24" s="113">
        <v>26</v>
      </c>
      <c r="BX24" s="113">
        <v>25</v>
      </c>
      <c r="BY24" s="113">
        <v>27</v>
      </c>
      <c r="BZ24" s="113">
        <v>29</v>
      </c>
      <c r="CA24" s="113">
        <v>31</v>
      </c>
      <c r="CB24" s="113">
        <v>31</v>
      </c>
      <c r="CC24" s="113">
        <v>31</v>
      </c>
      <c r="CD24" s="113">
        <v>35</v>
      </c>
      <c r="CE24" s="113">
        <v>39</v>
      </c>
    </row>
    <row r="25" spans="1:83" s="114" customFormat="1" ht="13.5" customHeight="1" x14ac:dyDescent="0.55000000000000004">
      <c r="A25" s="91"/>
      <c r="B25" s="92" t="s">
        <v>254</v>
      </c>
      <c r="C25" s="93" t="s">
        <v>255</v>
      </c>
      <c r="D25" s="113">
        <v>110</v>
      </c>
      <c r="E25" s="113">
        <v>4</v>
      </c>
      <c r="F25" s="113">
        <v>6</v>
      </c>
      <c r="G25" s="113">
        <v>8</v>
      </c>
      <c r="H25" s="113">
        <v>6</v>
      </c>
      <c r="I25" s="113">
        <v>6</v>
      </c>
      <c r="J25" s="113">
        <v>7</v>
      </c>
      <c r="K25" s="113">
        <v>7</v>
      </c>
      <c r="L25" s="113">
        <v>9</v>
      </c>
      <c r="M25" s="113">
        <v>6</v>
      </c>
      <c r="N25" s="113">
        <v>8</v>
      </c>
      <c r="O25" s="113">
        <v>9</v>
      </c>
      <c r="P25" s="113">
        <v>10</v>
      </c>
      <c r="Q25" s="113">
        <v>6</v>
      </c>
      <c r="R25" s="113">
        <v>7</v>
      </c>
      <c r="S25" s="113">
        <v>7</v>
      </c>
      <c r="T25" s="113">
        <v>11</v>
      </c>
      <c r="U25" s="113">
        <v>15</v>
      </c>
      <c r="V25" s="113">
        <v>8</v>
      </c>
      <c r="W25" s="113">
        <v>9</v>
      </c>
      <c r="X25" s="113">
        <v>11</v>
      </c>
      <c r="Y25" s="113">
        <v>14</v>
      </c>
      <c r="Z25" s="113">
        <v>15</v>
      </c>
      <c r="AA25" s="113">
        <v>15</v>
      </c>
      <c r="AB25" s="113">
        <v>15</v>
      </c>
      <c r="AC25" s="113">
        <v>15</v>
      </c>
      <c r="AD25" s="113">
        <v>18</v>
      </c>
      <c r="AE25" s="113">
        <v>16</v>
      </c>
      <c r="AF25" s="113">
        <v>16</v>
      </c>
      <c r="AG25" s="113">
        <v>17</v>
      </c>
      <c r="AH25" s="113">
        <v>19</v>
      </c>
      <c r="AI25" s="113">
        <v>19</v>
      </c>
      <c r="AJ25" s="113">
        <v>19</v>
      </c>
      <c r="AK25" s="113">
        <v>19</v>
      </c>
      <c r="AL25" s="113">
        <v>20</v>
      </c>
      <c r="AM25" s="113">
        <v>21</v>
      </c>
      <c r="AN25" s="113">
        <v>21</v>
      </c>
      <c r="AO25" s="113">
        <v>22</v>
      </c>
      <c r="AP25" s="113">
        <v>24</v>
      </c>
      <c r="AQ25" s="113">
        <v>25</v>
      </c>
      <c r="AR25" s="113">
        <v>24</v>
      </c>
      <c r="AS25" s="113">
        <v>22</v>
      </c>
      <c r="AT25" s="113">
        <v>22</v>
      </c>
      <c r="AU25" s="113">
        <v>21</v>
      </c>
      <c r="AV25" s="113">
        <v>21</v>
      </c>
      <c r="AW25" s="113">
        <v>22</v>
      </c>
      <c r="AX25" s="113">
        <v>24</v>
      </c>
      <c r="AY25" s="113">
        <v>25</v>
      </c>
      <c r="AZ25" s="113">
        <v>26</v>
      </c>
      <c r="BA25" s="113">
        <v>27</v>
      </c>
      <c r="BB25" s="113">
        <v>26</v>
      </c>
      <c r="BC25" s="113">
        <v>27</v>
      </c>
      <c r="BD25" s="113">
        <v>26</v>
      </c>
      <c r="BE25" s="113">
        <v>27</v>
      </c>
      <c r="BF25" s="113">
        <v>27</v>
      </c>
      <c r="BG25" s="113">
        <v>27</v>
      </c>
      <c r="BH25" s="113">
        <v>28</v>
      </c>
      <c r="BI25" s="113">
        <v>27</v>
      </c>
      <c r="BJ25" s="113">
        <v>16</v>
      </c>
      <c r="BK25" s="113">
        <v>31</v>
      </c>
      <c r="BL25" s="113">
        <v>31</v>
      </c>
      <c r="BM25" s="113">
        <v>31</v>
      </c>
      <c r="BN25" s="113">
        <v>32</v>
      </c>
      <c r="BO25" s="113">
        <v>32</v>
      </c>
      <c r="BP25" s="113">
        <v>32</v>
      </c>
      <c r="BQ25" s="113">
        <v>30</v>
      </c>
      <c r="BR25" s="113">
        <v>29</v>
      </c>
      <c r="BS25" s="113">
        <v>28</v>
      </c>
      <c r="BT25" s="113">
        <v>26</v>
      </c>
      <c r="BU25" s="113">
        <v>25</v>
      </c>
      <c r="BV25" s="113">
        <v>27</v>
      </c>
      <c r="BW25" s="113">
        <v>27</v>
      </c>
      <c r="BX25" s="113">
        <v>26</v>
      </c>
      <c r="BY25" s="113">
        <v>26</v>
      </c>
      <c r="BZ25" s="113">
        <v>27</v>
      </c>
      <c r="CA25" s="113">
        <v>28</v>
      </c>
      <c r="CB25" s="113">
        <v>29</v>
      </c>
      <c r="CC25" s="113">
        <v>29</v>
      </c>
      <c r="CD25" s="113">
        <v>28</v>
      </c>
      <c r="CE25" s="113">
        <v>28</v>
      </c>
    </row>
    <row r="26" spans="1:83" ht="13.5" customHeight="1" x14ac:dyDescent="0.75">
      <c r="A26" s="68"/>
      <c r="B26" s="67" t="s">
        <v>256</v>
      </c>
      <c r="C26" s="66" t="s">
        <v>257</v>
      </c>
      <c r="D26" s="87">
        <v>147</v>
      </c>
      <c r="E26" s="87">
        <v>5</v>
      </c>
      <c r="F26" s="87">
        <v>5</v>
      </c>
      <c r="G26" s="87">
        <v>6</v>
      </c>
      <c r="H26" s="87">
        <v>6</v>
      </c>
      <c r="I26" s="87">
        <v>6</v>
      </c>
      <c r="J26" s="87">
        <v>6</v>
      </c>
      <c r="K26" s="87">
        <v>6</v>
      </c>
      <c r="L26" s="87">
        <v>6</v>
      </c>
      <c r="M26" s="87">
        <v>6</v>
      </c>
      <c r="N26" s="87">
        <v>7</v>
      </c>
      <c r="O26" s="87">
        <v>7</v>
      </c>
      <c r="P26" s="87">
        <v>7</v>
      </c>
      <c r="Q26" s="87">
        <v>7</v>
      </c>
      <c r="R26" s="87">
        <v>7</v>
      </c>
      <c r="S26" s="87">
        <v>8</v>
      </c>
      <c r="T26" s="87">
        <v>8</v>
      </c>
      <c r="U26" s="87">
        <v>8</v>
      </c>
      <c r="V26" s="87">
        <v>9</v>
      </c>
      <c r="W26" s="87">
        <v>9</v>
      </c>
      <c r="X26" s="87">
        <v>9</v>
      </c>
      <c r="Y26" s="87">
        <v>9</v>
      </c>
      <c r="Z26" s="87">
        <v>10</v>
      </c>
      <c r="AA26" s="87">
        <v>11</v>
      </c>
      <c r="AB26" s="87">
        <v>11</v>
      </c>
      <c r="AC26" s="87">
        <v>11</v>
      </c>
      <c r="AD26" s="87">
        <v>12</v>
      </c>
      <c r="AE26" s="87">
        <v>12</v>
      </c>
      <c r="AF26" s="87">
        <v>13</v>
      </c>
      <c r="AG26" s="87">
        <v>12</v>
      </c>
      <c r="AH26" s="87">
        <v>13</v>
      </c>
      <c r="AI26" s="87">
        <v>13</v>
      </c>
      <c r="AJ26" s="87">
        <v>14</v>
      </c>
      <c r="AK26" s="87">
        <v>13</v>
      </c>
      <c r="AL26" s="87">
        <v>14</v>
      </c>
      <c r="AM26" s="87">
        <v>14</v>
      </c>
      <c r="AN26" s="87">
        <v>15</v>
      </c>
      <c r="AO26" s="87">
        <v>14</v>
      </c>
      <c r="AP26" s="87">
        <v>15</v>
      </c>
      <c r="AQ26" s="87">
        <v>15</v>
      </c>
      <c r="AR26" s="87">
        <v>16</v>
      </c>
      <c r="AS26" s="87">
        <v>17</v>
      </c>
      <c r="AT26" s="87">
        <v>17</v>
      </c>
      <c r="AU26" s="87">
        <v>17</v>
      </c>
      <c r="AV26" s="87">
        <v>18</v>
      </c>
      <c r="AW26" s="87">
        <v>18</v>
      </c>
      <c r="AX26" s="87">
        <v>18</v>
      </c>
      <c r="AY26" s="87">
        <v>19</v>
      </c>
      <c r="AZ26" s="87">
        <v>19</v>
      </c>
      <c r="BA26" s="87">
        <v>19</v>
      </c>
      <c r="BB26" s="87">
        <v>20</v>
      </c>
      <c r="BC26" s="87">
        <v>21</v>
      </c>
      <c r="BD26" s="87">
        <v>21</v>
      </c>
      <c r="BE26" s="87">
        <v>21</v>
      </c>
      <c r="BF26" s="87">
        <v>22</v>
      </c>
      <c r="BG26" s="87">
        <v>23</v>
      </c>
      <c r="BH26" s="87">
        <v>22</v>
      </c>
      <c r="BI26" s="87">
        <v>22</v>
      </c>
      <c r="BJ26" s="87">
        <v>20</v>
      </c>
      <c r="BK26" s="87">
        <v>23</v>
      </c>
      <c r="BL26" s="87">
        <v>24</v>
      </c>
      <c r="BM26" s="87">
        <v>22</v>
      </c>
      <c r="BN26" s="87">
        <v>25</v>
      </c>
      <c r="BO26" s="87">
        <v>26</v>
      </c>
      <c r="BP26" s="87">
        <v>26</v>
      </c>
      <c r="BQ26" s="87">
        <v>27</v>
      </c>
      <c r="BR26" s="87">
        <v>28</v>
      </c>
      <c r="BS26" s="87">
        <v>29</v>
      </c>
      <c r="BT26" s="87">
        <v>29</v>
      </c>
      <c r="BU26" s="87">
        <v>27</v>
      </c>
      <c r="BV26" s="87">
        <v>30</v>
      </c>
      <c r="BW26" s="87">
        <v>33</v>
      </c>
      <c r="BX26" s="87">
        <v>32</v>
      </c>
      <c r="BY26" s="87">
        <v>32</v>
      </c>
      <c r="BZ26" s="87">
        <v>37</v>
      </c>
      <c r="CA26" s="87">
        <v>39</v>
      </c>
      <c r="CB26" s="87">
        <v>39</v>
      </c>
      <c r="CC26" s="87">
        <v>39</v>
      </c>
      <c r="CD26" s="87">
        <v>42</v>
      </c>
      <c r="CE26" s="87">
        <v>43</v>
      </c>
    </row>
    <row r="27" spans="1:83" ht="13.5" customHeight="1" x14ac:dyDescent="0.75">
      <c r="A27" s="68"/>
      <c r="B27" s="67" t="s">
        <v>258</v>
      </c>
      <c r="C27" s="66" t="s">
        <v>259</v>
      </c>
      <c r="D27" s="87">
        <v>78</v>
      </c>
      <c r="E27" s="87">
        <v>6</v>
      </c>
      <c r="F27" s="87">
        <v>6</v>
      </c>
      <c r="G27" s="87">
        <v>6</v>
      </c>
      <c r="H27" s="87">
        <v>7</v>
      </c>
      <c r="I27" s="87">
        <v>6</v>
      </c>
      <c r="J27" s="87">
        <v>7</v>
      </c>
      <c r="K27" s="87">
        <v>6</v>
      </c>
      <c r="L27" s="87">
        <v>7</v>
      </c>
      <c r="M27" s="87">
        <v>7</v>
      </c>
      <c r="N27" s="87">
        <v>8</v>
      </c>
      <c r="O27" s="87">
        <v>8</v>
      </c>
      <c r="P27" s="87">
        <v>8</v>
      </c>
      <c r="Q27" s="87">
        <v>8</v>
      </c>
      <c r="R27" s="87">
        <v>8</v>
      </c>
      <c r="S27" s="87">
        <v>9</v>
      </c>
      <c r="T27" s="87">
        <v>10</v>
      </c>
      <c r="U27" s="87">
        <v>10</v>
      </c>
      <c r="V27" s="87">
        <v>10</v>
      </c>
      <c r="W27" s="87">
        <v>10</v>
      </c>
      <c r="X27" s="87">
        <v>11</v>
      </c>
      <c r="Y27" s="87">
        <v>11</v>
      </c>
      <c r="Z27" s="87">
        <v>12</v>
      </c>
      <c r="AA27" s="87">
        <v>12</v>
      </c>
      <c r="AB27" s="87">
        <v>12</v>
      </c>
      <c r="AC27" s="87">
        <v>13</v>
      </c>
      <c r="AD27" s="87">
        <v>12</v>
      </c>
      <c r="AE27" s="87">
        <v>13</v>
      </c>
      <c r="AF27" s="87">
        <v>13</v>
      </c>
      <c r="AG27" s="87">
        <v>13</v>
      </c>
      <c r="AH27" s="87">
        <v>13</v>
      </c>
      <c r="AI27" s="87">
        <v>14</v>
      </c>
      <c r="AJ27" s="87">
        <v>14</v>
      </c>
      <c r="AK27" s="87">
        <v>14</v>
      </c>
      <c r="AL27" s="87">
        <v>14</v>
      </c>
      <c r="AM27" s="87">
        <v>14</v>
      </c>
      <c r="AN27" s="87">
        <v>14</v>
      </c>
      <c r="AO27" s="87">
        <v>14</v>
      </c>
      <c r="AP27" s="87">
        <v>14</v>
      </c>
      <c r="AQ27" s="87">
        <v>14</v>
      </c>
      <c r="AR27" s="87">
        <v>14</v>
      </c>
      <c r="AS27" s="87">
        <v>15</v>
      </c>
      <c r="AT27" s="87">
        <v>15</v>
      </c>
      <c r="AU27" s="87">
        <v>15</v>
      </c>
      <c r="AV27" s="87">
        <v>15</v>
      </c>
      <c r="AW27" s="87">
        <v>15</v>
      </c>
      <c r="AX27" s="87">
        <v>15</v>
      </c>
      <c r="AY27" s="87">
        <v>15</v>
      </c>
      <c r="AZ27" s="87">
        <v>15</v>
      </c>
      <c r="BA27" s="87">
        <v>15</v>
      </c>
      <c r="BB27" s="87">
        <v>15</v>
      </c>
      <c r="BC27" s="87">
        <v>16</v>
      </c>
      <c r="BD27" s="87">
        <v>16</v>
      </c>
      <c r="BE27" s="87">
        <v>15</v>
      </c>
      <c r="BF27" s="87">
        <v>16</v>
      </c>
      <c r="BG27" s="87">
        <v>16</v>
      </c>
      <c r="BH27" s="87">
        <v>16</v>
      </c>
      <c r="BI27" s="87">
        <v>16</v>
      </c>
      <c r="BJ27" s="87">
        <v>16</v>
      </c>
      <c r="BK27" s="87">
        <v>16</v>
      </c>
      <c r="BL27" s="87">
        <v>16</v>
      </c>
      <c r="BM27" s="87">
        <v>16</v>
      </c>
      <c r="BN27" s="87">
        <v>17</v>
      </c>
      <c r="BO27" s="87">
        <v>18</v>
      </c>
      <c r="BP27" s="87">
        <v>18</v>
      </c>
      <c r="BQ27" s="87">
        <v>18</v>
      </c>
      <c r="BR27" s="87">
        <v>18</v>
      </c>
      <c r="BS27" s="87">
        <v>18</v>
      </c>
      <c r="BT27" s="87">
        <v>18</v>
      </c>
      <c r="BU27" s="87">
        <v>18</v>
      </c>
      <c r="BV27" s="87">
        <v>18</v>
      </c>
      <c r="BW27" s="87">
        <v>19</v>
      </c>
      <c r="BX27" s="87">
        <v>19</v>
      </c>
      <c r="BY27" s="87">
        <v>19</v>
      </c>
      <c r="BZ27" s="87">
        <v>19</v>
      </c>
      <c r="CA27" s="87">
        <v>20</v>
      </c>
      <c r="CB27" s="87">
        <v>20</v>
      </c>
      <c r="CC27" s="87">
        <v>20</v>
      </c>
      <c r="CD27" s="87">
        <v>20</v>
      </c>
      <c r="CE27" s="87">
        <v>21</v>
      </c>
    </row>
    <row r="28" spans="1:83" ht="13.5" customHeight="1" x14ac:dyDescent="0.75">
      <c r="A28" s="68"/>
      <c r="B28" s="67" t="s">
        <v>260</v>
      </c>
      <c r="C28" s="66" t="s">
        <v>261</v>
      </c>
      <c r="D28" s="87">
        <v>2198</v>
      </c>
      <c r="E28" s="87">
        <v>77</v>
      </c>
      <c r="F28" s="87">
        <v>86</v>
      </c>
      <c r="G28" s="87">
        <v>86</v>
      </c>
      <c r="H28" s="87">
        <v>93</v>
      </c>
      <c r="I28" s="87">
        <v>99</v>
      </c>
      <c r="J28" s="87">
        <v>92</v>
      </c>
      <c r="K28" s="87">
        <v>97</v>
      </c>
      <c r="L28" s="87">
        <v>104</v>
      </c>
      <c r="M28" s="87">
        <v>114</v>
      </c>
      <c r="N28" s="87">
        <v>120</v>
      </c>
      <c r="O28" s="87">
        <v>133</v>
      </c>
      <c r="P28" s="87">
        <v>136</v>
      </c>
      <c r="Q28" s="87">
        <v>143</v>
      </c>
      <c r="R28" s="87">
        <v>121</v>
      </c>
      <c r="S28" s="87">
        <v>114</v>
      </c>
      <c r="T28" s="87">
        <v>132</v>
      </c>
      <c r="U28" s="87">
        <v>149</v>
      </c>
      <c r="V28" s="87">
        <v>124</v>
      </c>
      <c r="W28" s="87">
        <v>127</v>
      </c>
      <c r="X28" s="87">
        <v>153</v>
      </c>
      <c r="Y28" s="87">
        <v>185</v>
      </c>
      <c r="Z28" s="87">
        <v>149</v>
      </c>
      <c r="AA28" s="87">
        <v>159</v>
      </c>
      <c r="AB28" s="87">
        <v>193</v>
      </c>
      <c r="AC28" s="87">
        <v>184</v>
      </c>
      <c r="AD28" s="87">
        <v>173</v>
      </c>
      <c r="AE28" s="87">
        <v>196</v>
      </c>
      <c r="AF28" s="87">
        <v>232</v>
      </c>
      <c r="AG28" s="87">
        <v>219</v>
      </c>
      <c r="AH28" s="87">
        <v>210</v>
      </c>
      <c r="AI28" s="87">
        <v>214</v>
      </c>
      <c r="AJ28" s="87">
        <v>227</v>
      </c>
      <c r="AK28" s="87">
        <v>235</v>
      </c>
      <c r="AL28" s="87">
        <v>235</v>
      </c>
      <c r="AM28" s="87">
        <v>240</v>
      </c>
      <c r="AN28" s="87">
        <v>245</v>
      </c>
      <c r="AO28" s="87">
        <v>252</v>
      </c>
      <c r="AP28" s="87">
        <v>265</v>
      </c>
      <c r="AQ28" s="87">
        <v>281</v>
      </c>
      <c r="AR28" s="87">
        <v>305</v>
      </c>
      <c r="AS28" s="87">
        <v>305</v>
      </c>
      <c r="AT28" s="87">
        <v>286</v>
      </c>
      <c r="AU28" s="87">
        <v>277</v>
      </c>
      <c r="AV28" s="87">
        <v>288</v>
      </c>
      <c r="AW28" s="87">
        <v>262</v>
      </c>
      <c r="AX28" s="87">
        <v>251</v>
      </c>
      <c r="AY28" s="87">
        <v>264</v>
      </c>
      <c r="AZ28" s="87">
        <v>266</v>
      </c>
      <c r="BA28" s="87">
        <v>250</v>
      </c>
      <c r="BB28" s="87">
        <v>253</v>
      </c>
      <c r="BC28" s="87">
        <v>282</v>
      </c>
      <c r="BD28" s="87">
        <v>304</v>
      </c>
      <c r="BE28" s="87">
        <v>320</v>
      </c>
      <c r="BF28" s="87">
        <v>346</v>
      </c>
      <c r="BG28" s="87">
        <v>377</v>
      </c>
      <c r="BH28" s="87">
        <v>402</v>
      </c>
      <c r="BI28" s="87">
        <v>338</v>
      </c>
      <c r="BJ28" s="87">
        <v>277</v>
      </c>
      <c r="BK28" s="87">
        <v>357</v>
      </c>
      <c r="BL28" s="87">
        <v>393</v>
      </c>
      <c r="BM28" s="87">
        <v>385</v>
      </c>
      <c r="BN28" s="87">
        <v>293</v>
      </c>
      <c r="BO28" s="87">
        <v>358</v>
      </c>
      <c r="BP28" s="87">
        <v>386</v>
      </c>
      <c r="BQ28" s="87">
        <v>486</v>
      </c>
      <c r="BR28" s="87">
        <v>505</v>
      </c>
      <c r="BS28" s="87">
        <v>434</v>
      </c>
      <c r="BT28" s="87">
        <v>462</v>
      </c>
      <c r="BU28" s="87">
        <v>456</v>
      </c>
      <c r="BV28" s="87">
        <v>475</v>
      </c>
      <c r="BW28" s="87">
        <v>517</v>
      </c>
      <c r="BX28" s="87">
        <v>591</v>
      </c>
      <c r="BY28" s="87">
        <v>603</v>
      </c>
      <c r="BZ28" s="87">
        <v>551</v>
      </c>
      <c r="CA28" s="87">
        <v>492</v>
      </c>
      <c r="CB28" s="87">
        <v>553</v>
      </c>
      <c r="CC28" s="87">
        <v>617</v>
      </c>
      <c r="CD28" s="87">
        <v>580</v>
      </c>
      <c r="CE28" s="87">
        <v>590</v>
      </c>
    </row>
    <row r="29" spans="1:83" ht="14.25" customHeight="1" x14ac:dyDescent="0.75">
      <c r="A29" s="64"/>
      <c r="B29" s="81" t="s">
        <v>262</v>
      </c>
      <c r="C29" s="82" t="s">
        <v>263</v>
      </c>
      <c r="D29" s="83">
        <v>10396</v>
      </c>
      <c r="E29" s="83">
        <v>549</v>
      </c>
      <c r="F29" s="83">
        <v>625</v>
      </c>
      <c r="G29" s="83">
        <v>649</v>
      </c>
      <c r="H29" s="83">
        <v>637</v>
      </c>
      <c r="I29" s="83">
        <v>637</v>
      </c>
      <c r="J29" s="83">
        <v>687</v>
      </c>
      <c r="K29" s="83">
        <v>703</v>
      </c>
      <c r="L29" s="83">
        <v>734</v>
      </c>
      <c r="M29" s="83">
        <v>704</v>
      </c>
      <c r="N29" s="83">
        <v>788</v>
      </c>
      <c r="O29" s="83">
        <v>810</v>
      </c>
      <c r="P29" s="83">
        <v>840</v>
      </c>
      <c r="Q29" s="83">
        <v>823</v>
      </c>
      <c r="R29" s="83">
        <v>820</v>
      </c>
      <c r="S29" s="83">
        <v>838</v>
      </c>
      <c r="T29" s="83">
        <v>856</v>
      </c>
      <c r="U29" s="83">
        <v>870</v>
      </c>
      <c r="V29" s="83">
        <v>887</v>
      </c>
      <c r="W29" s="83">
        <v>917</v>
      </c>
      <c r="X29" s="83">
        <v>970</v>
      </c>
      <c r="Y29" s="83">
        <v>948</v>
      </c>
      <c r="Z29" s="83">
        <v>935</v>
      </c>
      <c r="AA29" s="83">
        <v>1022</v>
      </c>
      <c r="AB29" s="83">
        <v>1031</v>
      </c>
      <c r="AC29" s="83">
        <v>1065</v>
      </c>
      <c r="AD29" s="83">
        <v>1076</v>
      </c>
      <c r="AE29" s="83">
        <v>1121</v>
      </c>
      <c r="AF29" s="83">
        <v>1130</v>
      </c>
      <c r="AG29" s="83">
        <v>1108</v>
      </c>
      <c r="AH29" s="83">
        <v>1149</v>
      </c>
      <c r="AI29" s="83">
        <v>1151</v>
      </c>
      <c r="AJ29" s="83">
        <v>1214</v>
      </c>
      <c r="AK29" s="83">
        <v>1195</v>
      </c>
      <c r="AL29" s="83">
        <v>1217</v>
      </c>
      <c r="AM29" s="83">
        <v>1256</v>
      </c>
      <c r="AN29" s="83">
        <v>1276</v>
      </c>
      <c r="AO29" s="83">
        <v>1318</v>
      </c>
      <c r="AP29" s="83">
        <v>1347</v>
      </c>
      <c r="AQ29" s="83">
        <v>1383</v>
      </c>
      <c r="AR29" s="83">
        <v>1412</v>
      </c>
      <c r="AS29" s="83">
        <v>1442</v>
      </c>
      <c r="AT29" s="83">
        <v>1468</v>
      </c>
      <c r="AU29" s="83">
        <v>1465</v>
      </c>
      <c r="AV29" s="83">
        <v>1475</v>
      </c>
      <c r="AW29" s="83">
        <v>1474</v>
      </c>
      <c r="AX29" s="83">
        <v>1528</v>
      </c>
      <c r="AY29" s="83">
        <v>1596</v>
      </c>
      <c r="AZ29" s="83">
        <v>1579</v>
      </c>
      <c r="BA29" s="83">
        <v>1653</v>
      </c>
      <c r="BB29" s="83">
        <v>1649</v>
      </c>
      <c r="BC29" s="83">
        <v>1714</v>
      </c>
      <c r="BD29" s="83">
        <v>1760</v>
      </c>
      <c r="BE29" s="83">
        <v>1718</v>
      </c>
      <c r="BF29" s="83">
        <v>1832</v>
      </c>
      <c r="BG29" s="83">
        <v>1893</v>
      </c>
      <c r="BH29" s="83">
        <v>1894</v>
      </c>
      <c r="BI29" s="83">
        <v>1816</v>
      </c>
      <c r="BJ29" s="83">
        <v>1531</v>
      </c>
      <c r="BK29" s="83">
        <v>1751</v>
      </c>
      <c r="BL29" s="83">
        <v>1832</v>
      </c>
      <c r="BM29" s="83">
        <v>1809</v>
      </c>
      <c r="BN29" s="83">
        <v>1975</v>
      </c>
      <c r="BO29" s="83">
        <v>1930</v>
      </c>
      <c r="BP29" s="83">
        <v>2054</v>
      </c>
      <c r="BQ29" s="83">
        <v>2013</v>
      </c>
      <c r="BR29" s="83">
        <v>2144</v>
      </c>
      <c r="BS29" s="83">
        <v>2162</v>
      </c>
      <c r="BT29" s="83">
        <v>2248</v>
      </c>
      <c r="BU29" s="83">
        <v>2276</v>
      </c>
      <c r="BV29" s="83">
        <v>2288</v>
      </c>
      <c r="BW29" s="83">
        <v>2390</v>
      </c>
      <c r="BX29" s="83">
        <v>2608</v>
      </c>
      <c r="BY29" s="83">
        <v>2398</v>
      </c>
      <c r="BZ29" s="83">
        <v>2564</v>
      </c>
      <c r="CA29" s="83">
        <v>2628</v>
      </c>
      <c r="CB29" s="83">
        <v>2805</v>
      </c>
      <c r="CC29" s="83">
        <v>2600</v>
      </c>
      <c r="CD29" s="83">
        <v>2784</v>
      </c>
      <c r="CE29" s="83">
        <v>2878</v>
      </c>
    </row>
    <row r="30" spans="1:83" ht="14.25" customHeight="1" x14ac:dyDescent="0.75">
      <c r="A30" s="64"/>
      <c r="B30" s="81" t="s">
        <v>264</v>
      </c>
      <c r="C30" s="82" t="s">
        <v>265</v>
      </c>
      <c r="D30" s="83">
        <v>3594</v>
      </c>
      <c r="E30" s="83">
        <v>140</v>
      </c>
      <c r="F30" s="83">
        <v>175</v>
      </c>
      <c r="G30" s="83">
        <v>181</v>
      </c>
      <c r="H30" s="83">
        <v>176</v>
      </c>
      <c r="I30" s="83">
        <v>174</v>
      </c>
      <c r="J30" s="83">
        <v>194</v>
      </c>
      <c r="K30" s="83">
        <v>194</v>
      </c>
      <c r="L30" s="83">
        <v>211</v>
      </c>
      <c r="M30" s="83">
        <v>193</v>
      </c>
      <c r="N30" s="83">
        <v>236</v>
      </c>
      <c r="O30" s="83">
        <v>249</v>
      </c>
      <c r="P30" s="83">
        <v>253</v>
      </c>
      <c r="Q30" s="83">
        <v>244</v>
      </c>
      <c r="R30" s="83">
        <v>244</v>
      </c>
      <c r="S30" s="83">
        <v>241</v>
      </c>
      <c r="T30" s="83">
        <v>253</v>
      </c>
      <c r="U30" s="83">
        <v>252</v>
      </c>
      <c r="V30" s="83">
        <v>259</v>
      </c>
      <c r="W30" s="83">
        <v>272</v>
      </c>
      <c r="X30" s="83">
        <v>288</v>
      </c>
      <c r="Y30" s="83">
        <v>266</v>
      </c>
      <c r="Z30" s="83">
        <v>263</v>
      </c>
      <c r="AA30" s="83">
        <v>306</v>
      </c>
      <c r="AB30" s="83">
        <v>309</v>
      </c>
      <c r="AC30" s="83">
        <v>309</v>
      </c>
      <c r="AD30" s="83">
        <v>314</v>
      </c>
      <c r="AE30" s="83">
        <v>354</v>
      </c>
      <c r="AF30" s="83">
        <v>338</v>
      </c>
      <c r="AG30" s="83">
        <v>317</v>
      </c>
      <c r="AH30" s="83">
        <v>340</v>
      </c>
      <c r="AI30" s="83">
        <v>361</v>
      </c>
      <c r="AJ30" s="83">
        <v>374</v>
      </c>
      <c r="AK30" s="83">
        <v>358</v>
      </c>
      <c r="AL30" s="83">
        <v>359</v>
      </c>
      <c r="AM30" s="83">
        <v>381</v>
      </c>
      <c r="AN30" s="83">
        <v>388</v>
      </c>
      <c r="AO30" s="83">
        <v>403</v>
      </c>
      <c r="AP30" s="83">
        <v>402</v>
      </c>
      <c r="AQ30" s="83">
        <v>421</v>
      </c>
      <c r="AR30" s="83">
        <v>431</v>
      </c>
      <c r="AS30" s="83">
        <v>442</v>
      </c>
      <c r="AT30" s="83">
        <v>461</v>
      </c>
      <c r="AU30" s="83">
        <v>442</v>
      </c>
      <c r="AV30" s="83">
        <v>424</v>
      </c>
      <c r="AW30" s="83">
        <v>430</v>
      </c>
      <c r="AX30" s="83">
        <v>467</v>
      </c>
      <c r="AY30" s="83">
        <v>494</v>
      </c>
      <c r="AZ30" s="83">
        <v>495</v>
      </c>
      <c r="BA30" s="83">
        <v>540</v>
      </c>
      <c r="BB30" s="83">
        <v>527</v>
      </c>
      <c r="BC30" s="83">
        <v>567</v>
      </c>
      <c r="BD30" s="83">
        <v>593</v>
      </c>
      <c r="BE30" s="83">
        <v>572</v>
      </c>
      <c r="BF30" s="83">
        <v>624</v>
      </c>
      <c r="BG30" s="83">
        <v>677</v>
      </c>
      <c r="BH30" s="83">
        <v>669</v>
      </c>
      <c r="BI30" s="83">
        <v>612</v>
      </c>
      <c r="BJ30" s="83">
        <v>443</v>
      </c>
      <c r="BK30" s="83">
        <v>599</v>
      </c>
      <c r="BL30" s="83">
        <v>620</v>
      </c>
      <c r="BM30" s="83">
        <v>587</v>
      </c>
      <c r="BN30" s="83">
        <v>670</v>
      </c>
      <c r="BO30" s="83">
        <v>617</v>
      </c>
      <c r="BP30" s="83">
        <v>691</v>
      </c>
      <c r="BQ30" s="83">
        <v>665</v>
      </c>
      <c r="BR30" s="83">
        <v>761</v>
      </c>
      <c r="BS30" s="83">
        <v>704</v>
      </c>
      <c r="BT30" s="83">
        <v>775</v>
      </c>
      <c r="BU30" s="83">
        <v>804</v>
      </c>
      <c r="BV30" s="83">
        <v>791</v>
      </c>
      <c r="BW30" s="83">
        <v>825</v>
      </c>
      <c r="BX30" s="83">
        <v>886</v>
      </c>
      <c r="BY30" s="83">
        <v>835</v>
      </c>
      <c r="BZ30" s="83">
        <v>894</v>
      </c>
      <c r="CA30" s="83">
        <v>898</v>
      </c>
      <c r="CB30" s="83">
        <v>967</v>
      </c>
      <c r="CC30" s="83">
        <v>908</v>
      </c>
      <c r="CD30" s="83">
        <v>985</v>
      </c>
      <c r="CE30" s="83">
        <v>1032</v>
      </c>
    </row>
    <row r="31" spans="1:83" ht="13.5" customHeight="1" x14ac:dyDescent="0.75">
      <c r="A31" s="68"/>
      <c r="B31" s="67" t="s">
        <v>266</v>
      </c>
      <c r="C31" s="66" t="s">
        <v>267</v>
      </c>
      <c r="D31" s="87">
        <v>128</v>
      </c>
      <c r="E31" s="87">
        <v>5</v>
      </c>
      <c r="F31" s="87">
        <v>6</v>
      </c>
      <c r="G31" s="87">
        <v>6</v>
      </c>
      <c r="H31" s="87">
        <v>6</v>
      </c>
      <c r="I31" s="87">
        <v>6</v>
      </c>
      <c r="J31" s="87">
        <v>7</v>
      </c>
      <c r="K31" s="87">
        <v>7</v>
      </c>
      <c r="L31" s="87">
        <v>7</v>
      </c>
      <c r="M31" s="87">
        <v>7</v>
      </c>
      <c r="N31" s="87">
        <v>8</v>
      </c>
      <c r="O31" s="87">
        <v>9</v>
      </c>
      <c r="P31" s="87">
        <v>9</v>
      </c>
      <c r="Q31" s="87">
        <v>8</v>
      </c>
      <c r="R31" s="87">
        <v>8</v>
      </c>
      <c r="S31" s="87">
        <v>8</v>
      </c>
      <c r="T31" s="87">
        <v>8</v>
      </c>
      <c r="U31" s="87">
        <v>9</v>
      </c>
      <c r="V31" s="87">
        <v>9</v>
      </c>
      <c r="W31" s="87">
        <v>9</v>
      </c>
      <c r="X31" s="87">
        <v>10</v>
      </c>
      <c r="Y31" s="87">
        <v>10</v>
      </c>
      <c r="Z31" s="87">
        <v>10</v>
      </c>
      <c r="AA31" s="87">
        <v>10</v>
      </c>
      <c r="AB31" s="87">
        <v>10</v>
      </c>
      <c r="AC31" s="87">
        <v>10</v>
      </c>
      <c r="AD31" s="87">
        <v>10</v>
      </c>
      <c r="AE31" s="87">
        <v>11</v>
      </c>
      <c r="AF31" s="87">
        <v>11</v>
      </c>
      <c r="AG31" s="87">
        <v>11</v>
      </c>
      <c r="AH31" s="87">
        <v>11</v>
      </c>
      <c r="AI31" s="87">
        <v>11</v>
      </c>
      <c r="AJ31" s="87">
        <v>11</v>
      </c>
      <c r="AK31" s="87">
        <v>12</v>
      </c>
      <c r="AL31" s="87">
        <v>12</v>
      </c>
      <c r="AM31" s="87">
        <v>12</v>
      </c>
      <c r="AN31" s="87">
        <v>12</v>
      </c>
      <c r="AO31" s="87">
        <v>12</v>
      </c>
      <c r="AP31" s="87">
        <v>12</v>
      </c>
      <c r="AQ31" s="87">
        <v>12</v>
      </c>
      <c r="AR31" s="87">
        <v>12</v>
      </c>
      <c r="AS31" s="87">
        <v>13</v>
      </c>
      <c r="AT31" s="87">
        <v>13</v>
      </c>
      <c r="AU31" s="87">
        <v>13</v>
      </c>
      <c r="AV31" s="87">
        <v>13</v>
      </c>
      <c r="AW31" s="87">
        <v>14</v>
      </c>
      <c r="AX31" s="87">
        <v>14</v>
      </c>
      <c r="AY31" s="87">
        <v>14</v>
      </c>
      <c r="AZ31" s="87">
        <v>14</v>
      </c>
      <c r="BA31" s="87">
        <v>14</v>
      </c>
      <c r="BB31" s="87">
        <v>15</v>
      </c>
      <c r="BC31" s="87">
        <v>15</v>
      </c>
      <c r="BD31" s="87">
        <v>15</v>
      </c>
      <c r="BE31" s="87">
        <v>15</v>
      </c>
      <c r="BF31" s="87">
        <v>16</v>
      </c>
      <c r="BG31" s="87">
        <v>16</v>
      </c>
      <c r="BH31" s="87">
        <v>16</v>
      </c>
      <c r="BI31" s="87">
        <v>15</v>
      </c>
      <c r="BJ31" s="87">
        <v>9</v>
      </c>
      <c r="BK31" s="87">
        <v>18</v>
      </c>
      <c r="BL31" s="87">
        <v>19</v>
      </c>
      <c r="BM31" s="87">
        <v>20</v>
      </c>
      <c r="BN31" s="87">
        <v>22</v>
      </c>
      <c r="BO31" s="87">
        <v>22</v>
      </c>
      <c r="BP31" s="87">
        <v>23</v>
      </c>
      <c r="BQ31" s="87">
        <v>23</v>
      </c>
      <c r="BR31" s="87">
        <v>24</v>
      </c>
      <c r="BS31" s="87">
        <v>25</v>
      </c>
      <c r="BT31" s="87">
        <v>26</v>
      </c>
      <c r="BU31" s="87">
        <v>26</v>
      </c>
      <c r="BV31" s="87">
        <v>28</v>
      </c>
      <c r="BW31" s="87">
        <v>29</v>
      </c>
      <c r="BX31" s="87">
        <v>30</v>
      </c>
      <c r="BY31" s="87">
        <v>30</v>
      </c>
      <c r="BZ31" s="87">
        <v>30</v>
      </c>
      <c r="CA31" s="87">
        <v>32</v>
      </c>
      <c r="CB31" s="87">
        <v>37</v>
      </c>
      <c r="CC31" s="87">
        <v>40</v>
      </c>
      <c r="CD31" s="87">
        <v>40</v>
      </c>
      <c r="CE31" s="87">
        <v>42</v>
      </c>
    </row>
    <row r="32" spans="1:83" ht="13.5" customHeight="1" x14ac:dyDescent="0.75">
      <c r="A32" s="68"/>
      <c r="B32" s="67" t="s">
        <v>268</v>
      </c>
      <c r="C32" s="66" t="s">
        <v>269</v>
      </c>
      <c r="D32" s="87">
        <v>1822</v>
      </c>
      <c r="E32" s="87">
        <v>70</v>
      </c>
      <c r="F32" s="87">
        <v>90</v>
      </c>
      <c r="G32" s="87">
        <v>93</v>
      </c>
      <c r="H32" s="87">
        <v>90</v>
      </c>
      <c r="I32" s="87">
        <v>89</v>
      </c>
      <c r="J32" s="87">
        <v>100</v>
      </c>
      <c r="K32" s="87">
        <v>99</v>
      </c>
      <c r="L32" s="87">
        <v>107</v>
      </c>
      <c r="M32" s="87">
        <v>97</v>
      </c>
      <c r="N32" s="87">
        <v>121</v>
      </c>
      <c r="O32" s="87">
        <v>126</v>
      </c>
      <c r="P32" s="87">
        <v>127</v>
      </c>
      <c r="Q32" s="87">
        <v>124</v>
      </c>
      <c r="R32" s="87">
        <v>122</v>
      </c>
      <c r="S32" s="87">
        <v>120</v>
      </c>
      <c r="T32" s="87">
        <v>124</v>
      </c>
      <c r="U32" s="87">
        <v>125</v>
      </c>
      <c r="V32" s="87">
        <v>128</v>
      </c>
      <c r="W32" s="87">
        <v>136</v>
      </c>
      <c r="X32" s="87">
        <v>145</v>
      </c>
      <c r="Y32" s="87">
        <v>133</v>
      </c>
      <c r="Z32" s="87">
        <v>131</v>
      </c>
      <c r="AA32" s="87">
        <v>155</v>
      </c>
      <c r="AB32" s="87">
        <v>157</v>
      </c>
      <c r="AC32" s="87">
        <v>156</v>
      </c>
      <c r="AD32" s="87">
        <v>157</v>
      </c>
      <c r="AE32" s="87">
        <v>177</v>
      </c>
      <c r="AF32" s="87">
        <v>168</v>
      </c>
      <c r="AG32" s="87">
        <v>155</v>
      </c>
      <c r="AH32" s="87">
        <v>171</v>
      </c>
      <c r="AI32" s="87">
        <v>180</v>
      </c>
      <c r="AJ32" s="87">
        <v>189</v>
      </c>
      <c r="AK32" s="87">
        <v>183</v>
      </c>
      <c r="AL32" s="87">
        <v>180</v>
      </c>
      <c r="AM32" s="87">
        <v>193</v>
      </c>
      <c r="AN32" s="87">
        <v>198</v>
      </c>
      <c r="AO32" s="87">
        <v>208</v>
      </c>
      <c r="AP32" s="87">
        <v>207</v>
      </c>
      <c r="AQ32" s="87">
        <v>215</v>
      </c>
      <c r="AR32" s="87">
        <v>220</v>
      </c>
      <c r="AS32" s="87">
        <v>229</v>
      </c>
      <c r="AT32" s="87">
        <v>240</v>
      </c>
      <c r="AU32" s="87">
        <v>226</v>
      </c>
      <c r="AV32" s="87">
        <v>207</v>
      </c>
      <c r="AW32" s="87">
        <v>212</v>
      </c>
      <c r="AX32" s="87">
        <v>227</v>
      </c>
      <c r="AY32" s="87">
        <v>239</v>
      </c>
      <c r="AZ32" s="87">
        <v>241</v>
      </c>
      <c r="BA32" s="87">
        <v>269</v>
      </c>
      <c r="BB32" s="87">
        <v>255</v>
      </c>
      <c r="BC32" s="87">
        <v>271</v>
      </c>
      <c r="BD32" s="87">
        <v>291</v>
      </c>
      <c r="BE32" s="87">
        <v>281</v>
      </c>
      <c r="BF32" s="87">
        <v>316</v>
      </c>
      <c r="BG32" s="87">
        <v>329</v>
      </c>
      <c r="BH32" s="87">
        <v>331</v>
      </c>
      <c r="BI32" s="87">
        <v>313</v>
      </c>
      <c r="BJ32" s="87">
        <v>247</v>
      </c>
      <c r="BK32" s="87">
        <v>329</v>
      </c>
      <c r="BL32" s="87">
        <v>325</v>
      </c>
      <c r="BM32" s="87">
        <v>312</v>
      </c>
      <c r="BN32" s="87">
        <v>365</v>
      </c>
      <c r="BO32" s="87">
        <v>312</v>
      </c>
      <c r="BP32" s="87">
        <v>347</v>
      </c>
      <c r="BQ32" s="87">
        <v>336</v>
      </c>
      <c r="BR32" s="87">
        <v>396</v>
      </c>
      <c r="BS32" s="87">
        <v>336</v>
      </c>
      <c r="BT32" s="87">
        <v>379</v>
      </c>
      <c r="BU32" s="87">
        <v>412</v>
      </c>
      <c r="BV32" s="87">
        <v>401</v>
      </c>
      <c r="BW32" s="87">
        <v>392</v>
      </c>
      <c r="BX32" s="87">
        <v>438</v>
      </c>
      <c r="BY32" s="87">
        <v>418</v>
      </c>
      <c r="BZ32" s="87">
        <v>467</v>
      </c>
      <c r="CA32" s="87">
        <v>441</v>
      </c>
      <c r="CB32" s="87">
        <v>496</v>
      </c>
      <c r="CC32" s="87">
        <v>472</v>
      </c>
      <c r="CD32" s="87">
        <v>529</v>
      </c>
      <c r="CE32" s="87">
        <v>527</v>
      </c>
    </row>
    <row r="33" spans="1:83" ht="13.5" customHeight="1" x14ac:dyDescent="0.75">
      <c r="A33" s="68"/>
      <c r="B33" s="67" t="s">
        <v>270</v>
      </c>
      <c r="C33" s="66" t="s">
        <v>271</v>
      </c>
      <c r="D33" s="87">
        <v>1644</v>
      </c>
      <c r="E33" s="87">
        <v>68</v>
      </c>
      <c r="F33" s="87">
        <v>78</v>
      </c>
      <c r="G33" s="87">
        <v>83</v>
      </c>
      <c r="H33" s="87">
        <v>79</v>
      </c>
      <c r="I33" s="87">
        <v>79</v>
      </c>
      <c r="J33" s="87">
        <v>86</v>
      </c>
      <c r="K33" s="87">
        <v>90</v>
      </c>
      <c r="L33" s="87">
        <v>99</v>
      </c>
      <c r="M33" s="87">
        <v>92</v>
      </c>
      <c r="N33" s="87">
        <v>108</v>
      </c>
      <c r="O33" s="87">
        <v>116</v>
      </c>
      <c r="P33" s="87">
        <v>121</v>
      </c>
      <c r="Q33" s="87">
        <v>113</v>
      </c>
      <c r="R33" s="87">
        <v>119</v>
      </c>
      <c r="S33" s="87">
        <v>118</v>
      </c>
      <c r="T33" s="87">
        <v>128</v>
      </c>
      <c r="U33" s="87">
        <v>124</v>
      </c>
      <c r="V33" s="87">
        <v>128</v>
      </c>
      <c r="W33" s="87">
        <v>132</v>
      </c>
      <c r="X33" s="87">
        <v>136</v>
      </c>
      <c r="Y33" s="87">
        <v>130</v>
      </c>
      <c r="Z33" s="87">
        <v>128</v>
      </c>
      <c r="AA33" s="87">
        <v>142</v>
      </c>
      <c r="AB33" s="87">
        <v>144</v>
      </c>
      <c r="AC33" s="87">
        <v>147</v>
      </c>
      <c r="AD33" s="87">
        <v>153</v>
      </c>
      <c r="AE33" s="87">
        <v>175</v>
      </c>
      <c r="AF33" s="87">
        <v>171</v>
      </c>
      <c r="AG33" s="87">
        <v>162</v>
      </c>
      <c r="AH33" s="87">
        <v>166</v>
      </c>
      <c r="AI33" s="87">
        <v>180</v>
      </c>
      <c r="AJ33" s="87">
        <v>182</v>
      </c>
      <c r="AK33" s="87">
        <v>171</v>
      </c>
      <c r="AL33" s="87">
        <v>176</v>
      </c>
      <c r="AM33" s="87">
        <v>185</v>
      </c>
      <c r="AN33" s="87">
        <v>186</v>
      </c>
      <c r="AO33" s="87">
        <v>189</v>
      </c>
      <c r="AP33" s="87">
        <v>189</v>
      </c>
      <c r="AQ33" s="87">
        <v>203</v>
      </c>
      <c r="AR33" s="87">
        <v>207</v>
      </c>
      <c r="AS33" s="87">
        <v>207</v>
      </c>
      <c r="AT33" s="87">
        <v>214</v>
      </c>
      <c r="AU33" s="87">
        <v>210</v>
      </c>
      <c r="AV33" s="87">
        <v>219</v>
      </c>
      <c r="AW33" s="87">
        <v>217</v>
      </c>
      <c r="AX33" s="87">
        <v>243</v>
      </c>
      <c r="AY33" s="87">
        <v>261</v>
      </c>
      <c r="AZ33" s="87">
        <v>258</v>
      </c>
      <c r="BA33" s="87">
        <v>274</v>
      </c>
      <c r="BB33" s="87">
        <v>279</v>
      </c>
      <c r="BC33" s="87">
        <v>308</v>
      </c>
      <c r="BD33" s="87">
        <v>311</v>
      </c>
      <c r="BE33" s="87">
        <v>297</v>
      </c>
      <c r="BF33" s="87">
        <v>309</v>
      </c>
      <c r="BG33" s="87">
        <v>363</v>
      </c>
      <c r="BH33" s="87">
        <v>347</v>
      </c>
      <c r="BI33" s="87">
        <v>297</v>
      </c>
      <c r="BJ33" s="87">
        <v>182</v>
      </c>
      <c r="BK33" s="87">
        <v>245</v>
      </c>
      <c r="BL33" s="87">
        <v>280</v>
      </c>
      <c r="BM33" s="87">
        <v>256</v>
      </c>
      <c r="BN33" s="87">
        <v>283</v>
      </c>
      <c r="BO33" s="87">
        <v>283</v>
      </c>
      <c r="BP33" s="87">
        <v>321</v>
      </c>
      <c r="BQ33" s="87">
        <v>305</v>
      </c>
      <c r="BR33" s="87">
        <v>340</v>
      </c>
      <c r="BS33" s="87">
        <v>343</v>
      </c>
      <c r="BT33" s="87">
        <v>370</v>
      </c>
      <c r="BU33" s="87">
        <v>366</v>
      </c>
      <c r="BV33" s="87">
        <v>362</v>
      </c>
      <c r="BW33" s="87">
        <v>404</v>
      </c>
      <c r="BX33" s="87">
        <v>418</v>
      </c>
      <c r="BY33" s="87">
        <v>387</v>
      </c>
      <c r="BZ33" s="87">
        <v>397</v>
      </c>
      <c r="CA33" s="87">
        <v>426</v>
      </c>
      <c r="CB33" s="87">
        <v>434</v>
      </c>
      <c r="CC33" s="87">
        <v>396</v>
      </c>
      <c r="CD33" s="87">
        <v>416</v>
      </c>
      <c r="CE33" s="87">
        <v>463</v>
      </c>
    </row>
    <row r="34" spans="1:83" ht="14.25" customHeight="1" x14ac:dyDescent="0.75">
      <c r="A34" s="64"/>
      <c r="B34" s="81" t="s">
        <v>272</v>
      </c>
      <c r="C34" s="82" t="s">
        <v>273</v>
      </c>
      <c r="D34" s="83">
        <v>6802</v>
      </c>
      <c r="E34" s="83">
        <v>417</v>
      </c>
      <c r="F34" s="83">
        <v>452</v>
      </c>
      <c r="G34" s="83">
        <v>470</v>
      </c>
      <c r="H34" s="83">
        <v>464</v>
      </c>
      <c r="I34" s="83">
        <v>468</v>
      </c>
      <c r="J34" s="83">
        <v>495</v>
      </c>
      <c r="K34" s="83">
        <v>512</v>
      </c>
      <c r="L34" s="83">
        <v>522</v>
      </c>
      <c r="M34" s="83">
        <v>515</v>
      </c>
      <c r="N34" s="83">
        <v>546</v>
      </c>
      <c r="O34" s="83">
        <v>553</v>
      </c>
      <c r="P34" s="83">
        <v>580</v>
      </c>
      <c r="Q34" s="83">
        <v>575</v>
      </c>
      <c r="R34" s="83">
        <v>571</v>
      </c>
      <c r="S34" s="83">
        <v>597</v>
      </c>
      <c r="T34" s="83">
        <v>599</v>
      </c>
      <c r="U34" s="83">
        <v>616</v>
      </c>
      <c r="V34" s="83">
        <v>626</v>
      </c>
      <c r="W34" s="83">
        <v>641</v>
      </c>
      <c r="X34" s="83">
        <v>677</v>
      </c>
      <c r="Y34" s="83">
        <v>682</v>
      </c>
      <c r="Z34" s="83">
        <v>672</v>
      </c>
      <c r="AA34" s="83">
        <v>712</v>
      </c>
      <c r="AB34" s="83">
        <v>717</v>
      </c>
      <c r="AC34" s="83">
        <v>754</v>
      </c>
      <c r="AD34" s="83">
        <v>760</v>
      </c>
      <c r="AE34" s="83">
        <v>760</v>
      </c>
      <c r="AF34" s="83">
        <v>787</v>
      </c>
      <c r="AG34" s="83">
        <v>783</v>
      </c>
      <c r="AH34" s="83">
        <v>803</v>
      </c>
      <c r="AI34" s="83">
        <v>789</v>
      </c>
      <c r="AJ34" s="83">
        <v>837</v>
      </c>
      <c r="AK34" s="83">
        <v>832</v>
      </c>
      <c r="AL34" s="83">
        <v>852</v>
      </c>
      <c r="AM34" s="83">
        <v>871</v>
      </c>
      <c r="AN34" s="83">
        <v>884</v>
      </c>
      <c r="AO34" s="83">
        <v>911</v>
      </c>
      <c r="AP34" s="83">
        <v>939</v>
      </c>
      <c r="AQ34" s="83">
        <v>958</v>
      </c>
      <c r="AR34" s="83">
        <v>977</v>
      </c>
      <c r="AS34" s="83">
        <v>996</v>
      </c>
      <c r="AT34" s="83">
        <v>1005</v>
      </c>
      <c r="AU34" s="83">
        <v>1018</v>
      </c>
      <c r="AV34" s="83">
        <v>1043</v>
      </c>
      <c r="AW34" s="83">
        <v>1036</v>
      </c>
      <c r="AX34" s="83">
        <v>1057</v>
      </c>
      <c r="AY34" s="83">
        <v>1098</v>
      </c>
      <c r="AZ34" s="83">
        <v>1082</v>
      </c>
      <c r="BA34" s="83">
        <v>1114</v>
      </c>
      <c r="BB34" s="83">
        <v>1121</v>
      </c>
      <c r="BC34" s="83">
        <v>1148</v>
      </c>
      <c r="BD34" s="83">
        <v>1171</v>
      </c>
      <c r="BE34" s="83">
        <v>1149</v>
      </c>
      <c r="BF34" s="83">
        <v>1213</v>
      </c>
      <c r="BG34" s="83">
        <v>1226</v>
      </c>
      <c r="BH34" s="83">
        <v>1234</v>
      </c>
      <c r="BI34" s="83">
        <v>1208</v>
      </c>
      <c r="BJ34" s="83">
        <v>1080</v>
      </c>
      <c r="BK34" s="83">
        <v>1157</v>
      </c>
      <c r="BL34" s="83">
        <v>1216</v>
      </c>
      <c r="BM34" s="83">
        <v>1222</v>
      </c>
      <c r="BN34" s="83">
        <v>1305</v>
      </c>
      <c r="BO34" s="83">
        <v>1313</v>
      </c>
      <c r="BP34" s="83">
        <v>1363</v>
      </c>
      <c r="BQ34" s="83">
        <v>1348</v>
      </c>
      <c r="BR34" s="83">
        <v>1383</v>
      </c>
      <c r="BS34" s="83">
        <v>1458</v>
      </c>
      <c r="BT34" s="83">
        <v>1473</v>
      </c>
      <c r="BU34" s="83">
        <v>1472</v>
      </c>
      <c r="BV34" s="83">
        <v>1498</v>
      </c>
      <c r="BW34" s="83">
        <v>1566</v>
      </c>
      <c r="BX34" s="83">
        <v>1722</v>
      </c>
      <c r="BY34" s="83">
        <v>1563</v>
      </c>
      <c r="BZ34" s="83">
        <v>1671</v>
      </c>
      <c r="CA34" s="83">
        <v>1730</v>
      </c>
      <c r="CB34" s="83">
        <v>1838</v>
      </c>
      <c r="CC34" s="83">
        <v>1691</v>
      </c>
      <c r="CD34" s="83">
        <v>1800</v>
      </c>
      <c r="CE34" s="83">
        <v>1846</v>
      </c>
    </row>
    <row r="35" spans="1:83" ht="13.5" customHeight="1" x14ac:dyDescent="0.75">
      <c r="A35" s="68"/>
      <c r="B35" s="67" t="s">
        <v>274</v>
      </c>
      <c r="C35" s="66" t="s">
        <v>275</v>
      </c>
      <c r="D35" s="87">
        <v>681</v>
      </c>
      <c r="E35" s="87">
        <v>65</v>
      </c>
      <c r="F35" s="87">
        <v>71</v>
      </c>
      <c r="G35" s="87">
        <v>73</v>
      </c>
      <c r="H35" s="87">
        <v>70</v>
      </c>
      <c r="I35" s="87">
        <v>70</v>
      </c>
      <c r="J35" s="87">
        <v>70</v>
      </c>
      <c r="K35" s="87">
        <v>72</v>
      </c>
      <c r="L35" s="87">
        <v>77</v>
      </c>
      <c r="M35" s="87">
        <v>82</v>
      </c>
      <c r="N35" s="87">
        <v>73</v>
      </c>
      <c r="O35" s="87">
        <v>76</v>
      </c>
      <c r="P35" s="87">
        <v>73</v>
      </c>
      <c r="Q35" s="87">
        <v>69</v>
      </c>
      <c r="R35" s="87">
        <v>69</v>
      </c>
      <c r="S35" s="87">
        <v>72</v>
      </c>
      <c r="T35" s="87">
        <v>76</v>
      </c>
      <c r="U35" s="87">
        <v>74</v>
      </c>
      <c r="V35" s="87">
        <v>76</v>
      </c>
      <c r="W35" s="87">
        <v>77</v>
      </c>
      <c r="X35" s="87">
        <v>82</v>
      </c>
      <c r="Y35" s="87">
        <v>78</v>
      </c>
      <c r="Z35" s="87">
        <v>79</v>
      </c>
      <c r="AA35" s="87">
        <v>81</v>
      </c>
      <c r="AB35" s="87">
        <v>83</v>
      </c>
      <c r="AC35" s="87">
        <v>83</v>
      </c>
      <c r="AD35" s="87">
        <v>85</v>
      </c>
      <c r="AE35" s="87">
        <v>86</v>
      </c>
      <c r="AF35" s="87">
        <v>86</v>
      </c>
      <c r="AG35" s="87">
        <v>82</v>
      </c>
      <c r="AH35" s="87">
        <v>87</v>
      </c>
      <c r="AI35" s="87">
        <v>89</v>
      </c>
      <c r="AJ35" s="87">
        <v>92</v>
      </c>
      <c r="AK35" s="87">
        <v>93</v>
      </c>
      <c r="AL35" s="87">
        <v>97</v>
      </c>
      <c r="AM35" s="87">
        <v>103</v>
      </c>
      <c r="AN35" s="87">
        <v>101</v>
      </c>
      <c r="AO35" s="87">
        <v>102</v>
      </c>
      <c r="AP35" s="87">
        <v>106</v>
      </c>
      <c r="AQ35" s="87">
        <v>110</v>
      </c>
      <c r="AR35" s="87">
        <v>113</v>
      </c>
      <c r="AS35" s="87">
        <v>115</v>
      </c>
      <c r="AT35" s="87">
        <v>118</v>
      </c>
      <c r="AU35" s="87">
        <v>123</v>
      </c>
      <c r="AV35" s="87">
        <v>124</v>
      </c>
      <c r="AW35" s="87">
        <v>132</v>
      </c>
      <c r="AX35" s="87">
        <v>125</v>
      </c>
      <c r="AY35" s="87">
        <v>127</v>
      </c>
      <c r="AZ35" s="87">
        <v>131</v>
      </c>
      <c r="BA35" s="87">
        <v>134</v>
      </c>
      <c r="BB35" s="87">
        <v>135</v>
      </c>
      <c r="BC35" s="87">
        <v>141</v>
      </c>
      <c r="BD35" s="87">
        <v>143</v>
      </c>
      <c r="BE35" s="87">
        <v>142</v>
      </c>
      <c r="BF35" s="87">
        <v>146</v>
      </c>
      <c r="BG35" s="87">
        <v>157</v>
      </c>
      <c r="BH35" s="87">
        <v>161</v>
      </c>
      <c r="BI35" s="87">
        <v>147</v>
      </c>
      <c r="BJ35" s="87">
        <v>55</v>
      </c>
      <c r="BK35" s="87">
        <v>71</v>
      </c>
      <c r="BL35" s="87">
        <v>90</v>
      </c>
      <c r="BM35" s="87">
        <v>96</v>
      </c>
      <c r="BN35" s="87">
        <v>109</v>
      </c>
      <c r="BO35" s="87">
        <v>110</v>
      </c>
      <c r="BP35" s="87">
        <v>122</v>
      </c>
      <c r="BQ35" s="87">
        <v>118</v>
      </c>
      <c r="BR35" s="87">
        <v>132</v>
      </c>
      <c r="BS35" s="87">
        <v>141</v>
      </c>
      <c r="BT35" s="87">
        <v>143</v>
      </c>
      <c r="BU35" s="87">
        <v>139</v>
      </c>
      <c r="BV35" s="87">
        <v>143</v>
      </c>
      <c r="BW35" s="87">
        <v>162</v>
      </c>
      <c r="BX35" s="87">
        <v>168</v>
      </c>
      <c r="BY35" s="87">
        <v>158</v>
      </c>
      <c r="BZ35" s="87">
        <v>169</v>
      </c>
      <c r="CA35" s="87">
        <v>178</v>
      </c>
      <c r="CB35" s="87">
        <v>176</v>
      </c>
      <c r="CC35" s="87">
        <v>166</v>
      </c>
      <c r="CD35" s="87">
        <v>156</v>
      </c>
      <c r="CE35" s="87">
        <v>172</v>
      </c>
    </row>
    <row r="36" spans="1:83" ht="13.5" customHeight="1" x14ac:dyDescent="0.75">
      <c r="A36" s="68"/>
      <c r="B36" s="67" t="s">
        <v>276</v>
      </c>
      <c r="C36" s="66" t="s">
        <v>277</v>
      </c>
      <c r="D36" s="87">
        <v>433</v>
      </c>
      <c r="E36" s="87">
        <v>7</v>
      </c>
      <c r="F36" s="87">
        <v>8</v>
      </c>
      <c r="G36" s="87">
        <v>9</v>
      </c>
      <c r="H36" s="87">
        <v>8</v>
      </c>
      <c r="I36" s="87">
        <v>8</v>
      </c>
      <c r="J36" s="87">
        <v>9</v>
      </c>
      <c r="K36" s="87">
        <v>10</v>
      </c>
      <c r="L36" s="87">
        <v>11</v>
      </c>
      <c r="M36" s="87">
        <v>10</v>
      </c>
      <c r="N36" s="87">
        <v>11</v>
      </c>
      <c r="O36" s="87">
        <v>12</v>
      </c>
      <c r="P36" s="87">
        <v>13</v>
      </c>
      <c r="Q36" s="87">
        <v>12</v>
      </c>
      <c r="R36" s="87">
        <v>13</v>
      </c>
      <c r="S36" s="87">
        <v>13</v>
      </c>
      <c r="T36" s="87">
        <v>14</v>
      </c>
      <c r="U36" s="87">
        <v>13</v>
      </c>
      <c r="V36" s="87">
        <v>14</v>
      </c>
      <c r="W36" s="87">
        <v>14</v>
      </c>
      <c r="X36" s="87">
        <v>14</v>
      </c>
      <c r="Y36" s="87">
        <v>13</v>
      </c>
      <c r="Z36" s="87">
        <v>13</v>
      </c>
      <c r="AA36" s="87">
        <v>15</v>
      </c>
      <c r="AB36" s="87">
        <v>16</v>
      </c>
      <c r="AC36" s="87">
        <v>17</v>
      </c>
      <c r="AD36" s="87">
        <v>19</v>
      </c>
      <c r="AE36" s="87">
        <v>20</v>
      </c>
      <c r="AF36" s="87">
        <v>20</v>
      </c>
      <c r="AG36" s="87">
        <v>17</v>
      </c>
      <c r="AH36" s="87">
        <v>19</v>
      </c>
      <c r="AI36" s="87">
        <v>19</v>
      </c>
      <c r="AJ36" s="87">
        <v>20</v>
      </c>
      <c r="AK36" s="87">
        <v>17</v>
      </c>
      <c r="AL36" s="87">
        <v>21</v>
      </c>
      <c r="AM36" s="87">
        <v>22</v>
      </c>
      <c r="AN36" s="87">
        <v>21</v>
      </c>
      <c r="AO36" s="87">
        <v>22</v>
      </c>
      <c r="AP36" s="87">
        <v>23</v>
      </c>
      <c r="AQ36" s="87">
        <v>25</v>
      </c>
      <c r="AR36" s="87">
        <v>26</v>
      </c>
      <c r="AS36" s="87">
        <v>24</v>
      </c>
      <c r="AT36" s="87">
        <v>27</v>
      </c>
      <c r="AU36" s="87">
        <v>25</v>
      </c>
      <c r="AV36" s="87">
        <v>28</v>
      </c>
      <c r="AW36" s="87">
        <v>25</v>
      </c>
      <c r="AX36" s="87">
        <v>28</v>
      </c>
      <c r="AY36" s="87">
        <v>30</v>
      </c>
      <c r="AZ36" s="87">
        <v>32</v>
      </c>
      <c r="BA36" s="87">
        <v>29</v>
      </c>
      <c r="BB36" s="87">
        <v>32</v>
      </c>
      <c r="BC36" s="87">
        <v>35</v>
      </c>
      <c r="BD36" s="87">
        <v>34</v>
      </c>
      <c r="BE36" s="87">
        <v>30</v>
      </c>
      <c r="BF36" s="87">
        <v>35</v>
      </c>
      <c r="BG36" s="87">
        <v>35</v>
      </c>
      <c r="BH36" s="87">
        <v>43</v>
      </c>
      <c r="BI36" s="87">
        <v>40</v>
      </c>
      <c r="BJ36" s="87">
        <v>46</v>
      </c>
      <c r="BK36" s="87">
        <v>50</v>
      </c>
      <c r="BL36" s="87">
        <v>48</v>
      </c>
      <c r="BM36" s="87">
        <v>47</v>
      </c>
      <c r="BN36" s="87">
        <v>64</v>
      </c>
      <c r="BO36" s="87">
        <v>56</v>
      </c>
      <c r="BP36" s="87">
        <v>58</v>
      </c>
      <c r="BQ36" s="87">
        <v>57</v>
      </c>
      <c r="BR36" s="87">
        <v>66</v>
      </c>
      <c r="BS36" s="87">
        <v>78</v>
      </c>
      <c r="BT36" s="87">
        <v>71</v>
      </c>
      <c r="BU36" s="87">
        <v>80</v>
      </c>
      <c r="BV36" s="87">
        <v>91</v>
      </c>
      <c r="BW36" s="87">
        <v>90</v>
      </c>
      <c r="BX36" s="87">
        <v>99</v>
      </c>
      <c r="BY36" s="87">
        <v>98</v>
      </c>
      <c r="BZ36" s="87">
        <v>114</v>
      </c>
      <c r="CA36" s="87">
        <v>107</v>
      </c>
      <c r="CB36" s="87">
        <v>114</v>
      </c>
      <c r="CC36" s="87">
        <v>110</v>
      </c>
      <c r="CD36" s="87">
        <v>127</v>
      </c>
      <c r="CE36" s="87">
        <v>125</v>
      </c>
    </row>
    <row r="37" spans="1:83" ht="13.5" customHeight="1" x14ac:dyDescent="0.75">
      <c r="A37" s="68"/>
      <c r="B37" s="67" t="s">
        <v>278</v>
      </c>
      <c r="C37" s="66" t="s">
        <v>279</v>
      </c>
      <c r="D37" s="87">
        <v>498</v>
      </c>
      <c r="E37" s="87">
        <v>23</v>
      </c>
      <c r="F37" s="87">
        <v>33</v>
      </c>
      <c r="G37" s="87">
        <v>36</v>
      </c>
      <c r="H37" s="87">
        <v>34</v>
      </c>
      <c r="I37" s="87">
        <v>23</v>
      </c>
      <c r="J37" s="87">
        <v>38</v>
      </c>
      <c r="K37" s="87">
        <v>42</v>
      </c>
      <c r="L37" s="87">
        <v>38</v>
      </c>
      <c r="M37" s="87">
        <v>27</v>
      </c>
      <c r="N37" s="87">
        <v>42</v>
      </c>
      <c r="O37" s="87">
        <v>34</v>
      </c>
      <c r="P37" s="87">
        <v>40</v>
      </c>
      <c r="Q37" s="87">
        <v>37</v>
      </c>
      <c r="R37" s="87">
        <v>34</v>
      </c>
      <c r="S37" s="87">
        <v>35</v>
      </c>
      <c r="T37" s="87">
        <v>31</v>
      </c>
      <c r="U37" s="87">
        <v>42</v>
      </c>
      <c r="V37" s="87">
        <v>37</v>
      </c>
      <c r="W37" s="87">
        <v>40</v>
      </c>
      <c r="X37" s="87">
        <v>51</v>
      </c>
      <c r="Y37" s="87">
        <v>54</v>
      </c>
      <c r="Z37" s="87">
        <v>49</v>
      </c>
      <c r="AA37" s="87">
        <v>56</v>
      </c>
      <c r="AB37" s="87">
        <v>46</v>
      </c>
      <c r="AC37" s="87">
        <v>54</v>
      </c>
      <c r="AD37" s="87">
        <v>59</v>
      </c>
      <c r="AE37" s="87">
        <v>54</v>
      </c>
      <c r="AF37" s="87">
        <v>63</v>
      </c>
      <c r="AG37" s="87">
        <v>62</v>
      </c>
      <c r="AH37" s="87">
        <v>67</v>
      </c>
      <c r="AI37" s="87">
        <v>57</v>
      </c>
      <c r="AJ37" s="87">
        <v>68</v>
      </c>
      <c r="AK37" s="87">
        <v>64</v>
      </c>
      <c r="AL37" s="87">
        <v>67</v>
      </c>
      <c r="AM37" s="87">
        <v>62</v>
      </c>
      <c r="AN37" s="87">
        <v>69</v>
      </c>
      <c r="AO37" s="87">
        <v>69</v>
      </c>
      <c r="AP37" s="87">
        <v>73</v>
      </c>
      <c r="AQ37" s="87">
        <v>76</v>
      </c>
      <c r="AR37" s="87">
        <v>76</v>
      </c>
      <c r="AS37" s="87">
        <v>75</v>
      </c>
      <c r="AT37" s="87">
        <v>75</v>
      </c>
      <c r="AU37" s="87">
        <v>77</v>
      </c>
      <c r="AV37" s="87">
        <v>77</v>
      </c>
      <c r="AW37" s="87">
        <v>77</v>
      </c>
      <c r="AX37" s="87">
        <v>79</v>
      </c>
      <c r="AY37" s="87">
        <v>84</v>
      </c>
      <c r="AZ37" s="87">
        <v>84</v>
      </c>
      <c r="BA37" s="87">
        <v>88</v>
      </c>
      <c r="BB37" s="87">
        <v>88</v>
      </c>
      <c r="BC37" s="87">
        <v>92</v>
      </c>
      <c r="BD37" s="87">
        <v>89</v>
      </c>
      <c r="BE37" s="87">
        <v>94</v>
      </c>
      <c r="BF37" s="87">
        <v>97</v>
      </c>
      <c r="BG37" s="87">
        <v>96</v>
      </c>
      <c r="BH37" s="87">
        <v>101</v>
      </c>
      <c r="BI37" s="87">
        <v>89</v>
      </c>
      <c r="BJ37" s="87">
        <v>89</v>
      </c>
      <c r="BK37" s="87">
        <v>93</v>
      </c>
      <c r="BL37" s="87">
        <v>106</v>
      </c>
      <c r="BM37" s="87">
        <v>98</v>
      </c>
      <c r="BN37" s="87">
        <v>102</v>
      </c>
      <c r="BO37" s="87">
        <v>104</v>
      </c>
      <c r="BP37" s="87">
        <v>106</v>
      </c>
      <c r="BQ37" s="87">
        <v>103</v>
      </c>
      <c r="BR37" s="87">
        <v>109</v>
      </c>
      <c r="BS37" s="87">
        <v>104</v>
      </c>
      <c r="BT37" s="87">
        <v>139</v>
      </c>
      <c r="BU37" s="87">
        <v>106</v>
      </c>
      <c r="BV37" s="87">
        <v>111</v>
      </c>
      <c r="BW37" s="87">
        <v>109</v>
      </c>
      <c r="BX37" s="87">
        <v>120</v>
      </c>
      <c r="BY37" s="87">
        <v>117</v>
      </c>
      <c r="BZ37" s="87">
        <v>128</v>
      </c>
      <c r="CA37" s="87">
        <v>123</v>
      </c>
      <c r="CB37" s="87">
        <v>130</v>
      </c>
      <c r="CC37" s="87">
        <v>127</v>
      </c>
      <c r="CD37" s="87">
        <v>139</v>
      </c>
      <c r="CE37" s="87">
        <v>135</v>
      </c>
    </row>
    <row r="38" spans="1:83" ht="13.5" customHeight="1" x14ac:dyDescent="0.75">
      <c r="A38" s="68"/>
      <c r="B38" s="67" t="s">
        <v>280</v>
      </c>
      <c r="C38" s="66" t="s">
        <v>281</v>
      </c>
      <c r="D38" s="87">
        <v>1372</v>
      </c>
      <c r="E38" s="87">
        <v>154</v>
      </c>
      <c r="F38" s="87">
        <v>151</v>
      </c>
      <c r="G38" s="87">
        <v>158</v>
      </c>
      <c r="H38" s="87">
        <v>157</v>
      </c>
      <c r="I38" s="87">
        <v>162</v>
      </c>
      <c r="J38" s="87">
        <v>164</v>
      </c>
      <c r="K38" s="87">
        <v>176</v>
      </c>
      <c r="L38" s="87">
        <v>185</v>
      </c>
      <c r="M38" s="87">
        <v>182</v>
      </c>
      <c r="N38" s="87">
        <v>189</v>
      </c>
      <c r="O38" s="87">
        <v>198</v>
      </c>
      <c r="P38" s="87">
        <v>225</v>
      </c>
      <c r="Q38" s="87">
        <v>206</v>
      </c>
      <c r="R38" s="87">
        <v>197</v>
      </c>
      <c r="S38" s="87">
        <v>226</v>
      </c>
      <c r="T38" s="87">
        <v>229</v>
      </c>
      <c r="U38" s="87">
        <v>206</v>
      </c>
      <c r="V38" s="87">
        <v>215</v>
      </c>
      <c r="W38" s="87">
        <v>220</v>
      </c>
      <c r="X38" s="87">
        <v>226</v>
      </c>
      <c r="Y38" s="87">
        <v>220</v>
      </c>
      <c r="Z38" s="87">
        <v>216</v>
      </c>
      <c r="AA38" s="87">
        <v>216</v>
      </c>
      <c r="AB38" s="87">
        <v>213</v>
      </c>
      <c r="AC38" s="87">
        <v>224</v>
      </c>
      <c r="AD38" s="87">
        <v>222</v>
      </c>
      <c r="AE38" s="87">
        <v>209</v>
      </c>
      <c r="AF38" s="87">
        <v>207</v>
      </c>
      <c r="AG38" s="87">
        <v>219</v>
      </c>
      <c r="AH38" s="87">
        <v>213</v>
      </c>
      <c r="AI38" s="87">
        <v>219</v>
      </c>
      <c r="AJ38" s="87">
        <v>218</v>
      </c>
      <c r="AK38" s="87">
        <v>232</v>
      </c>
      <c r="AL38" s="87">
        <v>225</v>
      </c>
      <c r="AM38" s="87">
        <v>230</v>
      </c>
      <c r="AN38" s="87">
        <v>231</v>
      </c>
      <c r="AO38" s="87">
        <v>238</v>
      </c>
      <c r="AP38" s="87">
        <v>233</v>
      </c>
      <c r="AQ38" s="87">
        <v>247</v>
      </c>
      <c r="AR38" s="87">
        <v>241</v>
      </c>
      <c r="AS38" s="87">
        <v>249</v>
      </c>
      <c r="AT38" s="87">
        <v>249</v>
      </c>
      <c r="AU38" s="87">
        <v>257</v>
      </c>
      <c r="AV38" s="87">
        <v>264</v>
      </c>
      <c r="AW38" s="87">
        <v>273</v>
      </c>
      <c r="AX38" s="87">
        <v>266</v>
      </c>
      <c r="AY38" s="87">
        <v>276</v>
      </c>
      <c r="AZ38" s="87">
        <v>275</v>
      </c>
      <c r="BA38" s="87">
        <v>283</v>
      </c>
      <c r="BB38" s="87">
        <v>282</v>
      </c>
      <c r="BC38" s="87">
        <v>290</v>
      </c>
      <c r="BD38" s="87">
        <v>288</v>
      </c>
      <c r="BE38" s="87">
        <v>294</v>
      </c>
      <c r="BF38" s="87">
        <v>310</v>
      </c>
      <c r="BG38" s="87">
        <v>295</v>
      </c>
      <c r="BH38" s="87">
        <v>288</v>
      </c>
      <c r="BI38" s="87">
        <v>294</v>
      </c>
      <c r="BJ38" s="87">
        <v>287</v>
      </c>
      <c r="BK38" s="87">
        <v>299</v>
      </c>
      <c r="BL38" s="87">
        <v>310</v>
      </c>
      <c r="BM38" s="87">
        <v>303</v>
      </c>
      <c r="BN38" s="87">
        <v>305</v>
      </c>
      <c r="BO38" s="87">
        <v>313</v>
      </c>
      <c r="BP38" s="87">
        <v>318</v>
      </c>
      <c r="BQ38" s="87">
        <v>317</v>
      </c>
      <c r="BR38" s="87">
        <v>312</v>
      </c>
      <c r="BS38" s="87">
        <v>313</v>
      </c>
      <c r="BT38" s="87">
        <v>315</v>
      </c>
      <c r="BU38" s="87">
        <v>347</v>
      </c>
      <c r="BV38" s="87">
        <v>317</v>
      </c>
      <c r="BW38" s="87">
        <v>324</v>
      </c>
      <c r="BX38" s="87">
        <v>329</v>
      </c>
      <c r="BY38" s="87">
        <v>327</v>
      </c>
      <c r="BZ38" s="87">
        <v>326</v>
      </c>
      <c r="CA38" s="87">
        <v>334</v>
      </c>
      <c r="CB38" s="87">
        <v>385</v>
      </c>
      <c r="CC38" s="87">
        <v>334</v>
      </c>
      <c r="CD38" s="87">
        <v>335</v>
      </c>
      <c r="CE38" s="87">
        <v>346</v>
      </c>
    </row>
    <row r="39" spans="1:83" ht="13.5" customHeight="1" x14ac:dyDescent="0.75">
      <c r="A39" s="68"/>
      <c r="B39" s="67" t="s">
        <v>282</v>
      </c>
      <c r="C39" s="66" t="s">
        <v>283</v>
      </c>
      <c r="D39" s="87">
        <v>588</v>
      </c>
      <c r="E39" s="87">
        <v>42</v>
      </c>
      <c r="F39" s="87">
        <v>41</v>
      </c>
      <c r="G39" s="87">
        <v>43</v>
      </c>
      <c r="H39" s="87">
        <v>42</v>
      </c>
      <c r="I39" s="87">
        <v>44</v>
      </c>
      <c r="J39" s="87">
        <v>44</v>
      </c>
      <c r="K39" s="87">
        <v>47</v>
      </c>
      <c r="L39" s="87">
        <v>50</v>
      </c>
      <c r="M39" s="87">
        <v>49</v>
      </c>
      <c r="N39" s="87">
        <v>51</v>
      </c>
      <c r="O39" s="87">
        <v>53</v>
      </c>
      <c r="P39" s="87">
        <v>61</v>
      </c>
      <c r="Q39" s="87">
        <v>56</v>
      </c>
      <c r="R39" s="87">
        <v>53</v>
      </c>
      <c r="S39" s="87">
        <v>61</v>
      </c>
      <c r="T39" s="87">
        <v>62</v>
      </c>
      <c r="U39" s="87">
        <v>56</v>
      </c>
      <c r="V39" s="87">
        <v>58</v>
      </c>
      <c r="W39" s="87">
        <v>59</v>
      </c>
      <c r="X39" s="87">
        <v>61</v>
      </c>
      <c r="Y39" s="87">
        <v>58</v>
      </c>
      <c r="Z39" s="87">
        <v>59</v>
      </c>
      <c r="AA39" s="87">
        <v>57</v>
      </c>
      <c r="AB39" s="87">
        <v>59</v>
      </c>
      <c r="AC39" s="87">
        <v>64</v>
      </c>
      <c r="AD39" s="87">
        <v>62</v>
      </c>
      <c r="AE39" s="87">
        <v>60</v>
      </c>
      <c r="AF39" s="87">
        <v>62</v>
      </c>
      <c r="AG39" s="87">
        <v>58</v>
      </c>
      <c r="AH39" s="87">
        <v>68</v>
      </c>
      <c r="AI39" s="87">
        <v>61</v>
      </c>
      <c r="AJ39" s="87">
        <v>69</v>
      </c>
      <c r="AK39" s="87">
        <v>58</v>
      </c>
      <c r="AL39" s="87">
        <v>62</v>
      </c>
      <c r="AM39" s="87">
        <v>58</v>
      </c>
      <c r="AN39" s="87">
        <v>59</v>
      </c>
      <c r="AO39" s="87">
        <v>69</v>
      </c>
      <c r="AP39" s="87">
        <v>71</v>
      </c>
      <c r="AQ39" s="87">
        <v>63</v>
      </c>
      <c r="AR39" s="87">
        <v>70</v>
      </c>
      <c r="AS39" s="87">
        <v>69</v>
      </c>
      <c r="AT39" s="87">
        <v>75</v>
      </c>
      <c r="AU39" s="87">
        <v>71</v>
      </c>
      <c r="AV39" s="87">
        <v>73</v>
      </c>
      <c r="AW39" s="87">
        <v>72</v>
      </c>
      <c r="AX39" s="87">
        <v>78</v>
      </c>
      <c r="AY39" s="87">
        <v>77</v>
      </c>
      <c r="AZ39" s="87">
        <v>83</v>
      </c>
      <c r="BA39" s="87">
        <v>82</v>
      </c>
      <c r="BB39" s="87">
        <v>84</v>
      </c>
      <c r="BC39" s="87">
        <v>85</v>
      </c>
      <c r="BD39" s="87">
        <v>90</v>
      </c>
      <c r="BE39" s="87">
        <v>91</v>
      </c>
      <c r="BF39" s="87">
        <v>95</v>
      </c>
      <c r="BG39" s="87">
        <v>91</v>
      </c>
      <c r="BH39" s="87">
        <v>98</v>
      </c>
      <c r="BI39" s="87">
        <v>90</v>
      </c>
      <c r="BJ39" s="87">
        <v>89</v>
      </c>
      <c r="BK39" s="87">
        <v>93</v>
      </c>
      <c r="BL39" s="87">
        <v>100</v>
      </c>
      <c r="BM39" s="87">
        <v>99</v>
      </c>
      <c r="BN39" s="87">
        <v>107</v>
      </c>
      <c r="BO39" s="87">
        <v>108</v>
      </c>
      <c r="BP39" s="87">
        <v>116</v>
      </c>
      <c r="BQ39" s="87">
        <v>114</v>
      </c>
      <c r="BR39" s="87">
        <v>117</v>
      </c>
      <c r="BS39" s="87">
        <v>115</v>
      </c>
      <c r="BT39" s="87">
        <v>121</v>
      </c>
      <c r="BU39" s="87">
        <v>117</v>
      </c>
      <c r="BV39" s="87">
        <v>126</v>
      </c>
      <c r="BW39" s="87">
        <v>134</v>
      </c>
      <c r="BX39" s="87">
        <v>138</v>
      </c>
      <c r="BY39" s="87">
        <v>135</v>
      </c>
      <c r="BZ39" s="87">
        <v>146</v>
      </c>
      <c r="CA39" s="87">
        <v>147</v>
      </c>
      <c r="CB39" s="87">
        <v>160</v>
      </c>
      <c r="CC39" s="87">
        <v>162</v>
      </c>
      <c r="CD39" s="87">
        <v>168</v>
      </c>
      <c r="CE39" s="87">
        <v>175</v>
      </c>
    </row>
    <row r="40" spans="1:83" ht="13.5" customHeight="1" x14ac:dyDescent="0.75">
      <c r="A40" s="68"/>
      <c r="B40" s="67" t="s">
        <v>284</v>
      </c>
      <c r="C40" s="66" t="s">
        <v>285</v>
      </c>
      <c r="D40" s="87">
        <v>840</v>
      </c>
      <c r="E40" s="87">
        <v>54</v>
      </c>
      <c r="F40" s="87">
        <v>53</v>
      </c>
      <c r="G40" s="87">
        <v>55</v>
      </c>
      <c r="H40" s="87">
        <v>55</v>
      </c>
      <c r="I40" s="87">
        <v>56</v>
      </c>
      <c r="J40" s="87">
        <v>57</v>
      </c>
      <c r="K40" s="87">
        <v>61</v>
      </c>
      <c r="L40" s="87">
        <v>64</v>
      </c>
      <c r="M40" s="87">
        <v>63</v>
      </c>
      <c r="N40" s="87">
        <v>66</v>
      </c>
      <c r="O40" s="87">
        <v>69</v>
      </c>
      <c r="P40" s="87">
        <v>78</v>
      </c>
      <c r="Q40" s="87">
        <v>72</v>
      </c>
      <c r="R40" s="87">
        <v>69</v>
      </c>
      <c r="S40" s="87">
        <v>79</v>
      </c>
      <c r="T40" s="87">
        <v>80</v>
      </c>
      <c r="U40" s="87">
        <v>72</v>
      </c>
      <c r="V40" s="87">
        <v>75</v>
      </c>
      <c r="W40" s="87">
        <v>76</v>
      </c>
      <c r="X40" s="87">
        <v>78</v>
      </c>
      <c r="Y40" s="87">
        <v>74</v>
      </c>
      <c r="Z40" s="87">
        <v>74</v>
      </c>
      <c r="AA40" s="87">
        <v>75</v>
      </c>
      <c r="AB40" s="87">
        <v>78</v>
      </c>
      <c r="AC40" s="87">
        <v>79</v>
      </c>
      <c r="AD40" s="87">
        <v>79</v>
      </c>
      <c r="AE40" s="87">
        <v>80</v>
      </c>
      <c r="AF40" s="87">
        <v>82</v>
      </c>
      <c r="AG40" s="87">
        <v>83</v>
      </c>
      <c r="AH40" s="87">
        <v>82</v>
      </c>
      <c r="AI40" s="87">
        <v>78</v>
      </c>
      <c r="AJ40" s="87">
        <v>89</v>
      </c>
      <c r="AK40" s="87">
        <v>93</v>
      </c>
      <c r="AL40" s="87">
        <v>93</v>
      </c>
      <c r="AM40" s="87">
        <v>93</v>
      </c>
      <c r="AN40" s="87">
        <v>102</v>
      </c>
      <c r="AO40" s="87">
        <v>97</v>
      </c>
      <c r="AP40" s="87">
        <v>107</v>
      </c>
      <c r="AQ40" s="87">
        <v>116</v>
      </c>
      <c r="AR40" s="87">
        <v>123</v>
      </c>
      <c r="AS40" s="87">
        <v>121</v>
      </c>
      <c r="AT40" s="87">
        <v>121</v>
      </c>
      <c r="AU40" s="87">
        <v>122</v>
      </c>
      <c r="AV40" s="87">
        <v>122</v>
      </c>
      <c r="AW40" s="87">
        <v>122</v>
      </c>
      <c r="AX40" s="87">
        <v>124</v>
      </c>
      <c r="AY40" s="87">
        <v>128</v>
      </c>
      <c r="AZ40" s="87">
        <v>131</v>
      </c>
      <c r="BA40" s="87">
        <v>130</v>
      </c>
      <c r="BB40" s="87">
        <v>129</v>
      </c>
      <c r="BC40" s="87">
        <v>135</v>
      </c>
      <c r="BD40" s="87">
        <v>134</v>
      </c>
      <c r="BE40" s="87">
        <v>133</v>
      </c>
      <c r="BF40" s="87">
        <v>134</v>
      </c>
      <c r="BG40" s="87">
        <v>142</v>
      </c>
      <c r="BH40" s="87">
        <v>143</v>
      </c>
      <c r="BI40" s="87">
        <v>133</v>
      </c>
      <c r="BJ40" s="87">
        <v>124</v>
      </c>
      <c r="BK40" s="87">
        <v>129</v>
      </c>
      <c r="BL40" s="87">
        <v>128</v>
      </c>
      <c r="BM40" s="87">
        <v>129</v>
      </c>
      <c r="BN40" s="87">
        <v>146</v>
      </c>
      <c r="BO40" s="87">
        <v>150</v>
      </c>
      <c r="BP40" s="87">
        <v>153</v>
      </c>
      <c r="BQ40" s="87">
        <v>151</v>
      </c>
      <c r="BR40" s="87">
        <v>154</v>
      </c>
      <c r="BS40" s="87">
        <v>177</v>
      </c>
      <c r="BT40" s="87">
        <v>171</v>
      </c>
      <c r="BU40" s="87">
        <v>172</v>
      </c>
      <c r="BV40" s="87">
        <v>170</v>
      </c>
      <c r="BW40" s="87">
        <v>194</v>
      </c>
      <c r="BX40" s="87">
        <v>201</v>
      </c>
      <c r="BY40" s="87">
        <v>178</v>
      </c>
      <c r="BZ40" s="87">
        <v>216</v>
      </c>
      <c r="CA40" s="87">
        <v>232</v>
      </c>
      <c r="CB40" s="87">
        <v>214</v>
      </c>
      <c r="CC40" s="87">
        <v>184</v>
      </c>
      <c r="CD40" s="87">
        <v>231</v>
      </c>
      <c r="CE40" s="87">
        <v>248</v>
      </c>
    </row>
    <row r="41" spans="1:83" ht="13.5" customHeight="1" x14ac:dyDescent="0.75">
      <c r="A41" s="68"/>
      <c r="B41" s="67" t="s">
        <v>286</v>
      </c>
      <c r="C41" s="66" t="s">
        <v>287</v>
      </c>
      <c r="D41" s="87">
        <v>826</v>
      </c>
      <c r="E41" s="87">
        <v>43</v>
      </c>
      <c r="F41" s="87">
        <v>49</v>
      </c>
      <c r="G41" s="87">
        <v>51</v>
      </c>
      <c r="H41" s="87">
        <v>52</v>
      </c>
      <c r="I41" s="87">
        <v>52</v>
      </c>
      <c r="J41" s="87">
        <v>51</v>
      </c>
      <c r="K41" s="87">
        <v>50</v>
      </c>
      <c r="L41" s="87">
        <v>52</v>
      </c>
      <c r="M41" s="87">
        <v>53</v>
      </c>
      <c r="N41" s="87">
        <v>53</v>
      </c>
      <c r="O41" s="87">
        <v>55</v>
      </c>
      <c r="P41" s="87">
        <v>54</v>
      </c>
      <c r="Q41" s="87">
        <v>57</v>
      </c>
      <c r="R41" s="87">
        <v>59</v>
      </c>
      <c r="S41" s="87">
        <v>58</v>
      </c>
      <c r="T41" s="87">
        <v>57</v>
      </c>
      <c r="U41" s="87">
        <v>60</v>
      </c>
      <c r="V41" s="87">
        <v>67</v>
      </c>
      <c r="W41" s="87">
        <v>67</v>
      </c>
      <c r="X41" s="87">
        <v>71</v>
      </c>
      <c r="Y41" s="87">
        <v>64</v>
      </c>
      <c r="Z41" s="87">
        <v>64</v>
      </c>
      <c r="AA41" s="87">
        <v>86</v>
      </c>
      <c r="AB41" s="87">
        <v>90</v>
      </c>
      <c r="AC41" s="87">
        <v>91</v>
      </c>
      <c r="AD41" s="87">
        <v>80</v>
      </c>
      <c r="AE41" s="87">
        <v>95</v>
      </c>
      <c r="AF41" s="87">
        <v>104</v>
      </c>
      <c r="AG41" s="87">
        <v>97</v>
      </c>
      <c r="AH41" s="87">
        <v>95</v>
      </c>
      <c r="AI41" s="87">
        <v>101</v>
      </c>
      <c r="AJ41" s="87">
        <v>111</v>
      </c>
      <c r="AK41" s="87">
        <v>103</v>
      </c>
      <c r="AL41" s="87">
        <v>103</v>
      </c>
      <c r="AM41" s="87">
        <v>115</v>
      </c>
      <c r="AN41" s="87">
        <v>112</v>
      </c>
      <c r="AO41" s="87">
        <v>114</v>
      </c>
      <c r="AP41" s="87">
        <v>105</v>
      </c>
      <c r="AQ41" s="87">
        <v>115</v>
      </c>
      <c r="AR41" s="87">
        <v>121</v>
      </c>
      <c r="AS41" s="87">
        <v>124</v>
      </c>
      <c r="AT41" s="87">
        <v>118</v>
      </c>
      <c r="AU41" s="87">
        <v>131</v>
      </c>
      <c r="AV41" s="87">
        <v>132</v>
      </c>
      <c r="AW41" s="87">
        <v>122</v>
      </c>
      <c r="AX41" s="87">
        <v>128</v>
      </c>
      <c r="AY41" s="87">
        <v>147</v>
      </c>
      <c r="AZ41" s="87">
        <v>120</v>
      </c>
      <c r="BA41" s="87">
        <v>136</v>
      </c>
      <c r="BB41" s="87">
        <v>131</v>
      </c>
      <c r="BC41" s="87">
        <v>141</v>
      </c>
      <c r="BD41" s="87">
        <v>145</v>
      </c>
      <c r="BE41" s="87">
        <v>131</v>
      </c>
      <c r="BF41" s="87">
        <v>143</v>
      </c>
      <c r="BG41" s="87">
        <v>159</v>
      </c>
      <c r="BH41" s="87">
        <v>146</v>
      </c>
      <c r="BI41" s="87">
        <v>151</v>
      </c>
      <c r="BJ41" s="87">
        <v>137</v>
      </c>
      <c r="BK41" s="87">
        <v>159</v>
      </c>
      <c r="BL41" s="87">
        <v>148</v>
      </c>
      <c r="BM41" s="87">
        <v>148</v>
      </c>
      <c r="BN41" s="87">
        <v>149</v>
      </c>
      <c r="BO41" s="87">
        <v>163</v>
      </c>
      <c r="BP41" s="87">
        <v>155</v>
      </c>
      <c r="BQ41" s="87">
        <v>160</v>
      </c>
      <c r="BR41" s="87">
        <v>153</v>
      </c>
      <c r="BS41" s="87">
        <v>193</v>
      </c>
      <c r="BT41" s="87">
        <v>170</v>
      </c>
      <c r="BU41" s="87">
        <v>170</v>
      </c>
      <c r="BV41" s="87">
        <v>181</v>
      </c>
      <c r="BW41" s="87">
        <v>200</v>
      </c>
      <c r="BX41" s="87">
        <v>197</v>
      </c>
      <c r="BY41" s="87">
        <v>180</v>
      </c>
      <c r="BZ41" s="87">
        <v>182</v>
      </c>
      <c r="CA41" s="87">
        <v>223</v>
      </c>
      <c r="CB41" s="87">
        <v>240</v>
      </c>
      <c r="CC41" s="87">
        <v>207</v>
      </c>
      <c r="CD41" s="87">
        <v>213</v>
      </c>
      <c r="CE41" s="87">
        <v>238</v>
      </c>
    </row>
    <row r="42" spans="1:83" ht="13.5" customHeight="1" x14ac:dyDescent="0.75">
      <c r="A42" s="68"/>
      <c r="B42" s="67" t="s">
        <v>288</v>
      </c>
      <c r="C42" s="66" t="s">
        <v>289</v>
      </c>
      <c r="D42" s="87">
        <v>676</v>
      </c>
      <c r="E42" s="87">
        <v>60</v>
      </c>
      <c r="F42" s="87">
        <v>60</v>
      </c>
      <c r="G42" s="87">
        <v>60</v>
      </c>
      <c r="H42" s="87">
        <v>60</v>
      </c>
      <c r="I42" s="87">
        <v>69</v>
      </c>
      <c r="J42" s="87">
        <v>69</v>
      </c>
      <c r="K42" s="87">
        <v>69</v>
      </c>
      <c r="L42" s="87">
        <v>69</v>
      </c>
      <c r="M42" s="87">
        <v>73</v>
      </c>
      <c r="N42" s="87">
        <v>73</v>
      </c>
      <c r="O42" s="87">
        <v>73</v>
      </c>
      <c r="P42" s="87">
        <v>73</v>
      </c>
      <c r="Q42" s="87">
        <v>85</v>
      </c>
      <c r="R42" s="87">
        <v>85</v>
      </c>
      <c r="S42" s="87">
        <v>85</v>
      </c>
      <c r="T42" s="87">
        <v>85</v>
      </c>
      <c r="U42" s="87">
        <v>92</v>
      </c>
      <c r="V42" s="87">
        <v>92</v>
      </c>
      <c r="W42" s="87">
        <v>92</v>
      </c>
      <c r="X42" s="87">
        <v>92</v>
      </c>
      <c r="Y42" s="87">
        <v>109</v>
      </c>
      <c r="Z42" s="87">
        <v>109</v>
      </c>
      <c r="AA42" s="87">
        <v>109</v>
      </c>
      <c r="AB42" s="87">
        <v>109</v>
      </c>
      <c r="AC42" s="87">
        <v>116</v>
      </c>
      <c r="AD42" s="87">
        <v>116</v>
      </c>
      <c r="AE42" s="87">
        <v>116</v>
      </c>
      <c r="AF42" s="87">
        <v>117</v>
      </c>
      <c r="AG42" s="87">
        <v>121</v>
      </c>
      <c r="AH42" s="87">
        <v>121</v>
      </c>
      <c r="AI42" s="87">
        <v>121</v>
      </c>
      <c r="AJ42" s="87">
        <v>121</v>
      </c>
      <c r="AK42" s="87">
        <v>126</v>
      </c>
      <c r="AL42" s="87">
        <v>126</v>
      </c>
      <c r="AM42" s="87">
        <v>126</v>
      </c>
      <c r="AN42" s="87">
        <v>126</v>
      </c>
      <c r="AO42" s="87">
        <v>128</v>
      </c>
      <c r="AP42" s="87">
        <v>128</v>
      </c>
      <c r="AQ42" s="87">
        <v>128</v>
      </c>
      <c r="AR42" s="87">
        <v>128</v>
      </c>
      <c r="AS42" s="87">
        <v>132</v>
      </c>
      <c r="AT42" s="87">
        <v>132</v>
      </c>
      <c r="AU42" s="87">
        <v>132</v>
      </c>
      <c r="AV42" s="87">
        <v>132</v>
      </c>
      <c r="AW42" s="87">
        <v>135</v>
      </c>
      <c r="AX42" s="87">
        <v>135</v>
      </c>
      <c r="AY42" s="87">
        <v>135</v>
      </c>
      <c r="AZ42" s="87">
        <v>135</v>
      </c>
      <c r="BA42" s="87">
        <v>140</v>
      </c>
      <c r="BB42" s="87">
        <v>140</v>
      </c>
      <c r="BC42" s="87">
        <v>140</v>
      </c>
      <c r="BD42" s="87">
        <v>140</v>
      </c>
      <c r="BE42" s="87">
        <v>143</v>
      </c>
      <c r="BF42" s="87">
        <v>143</v>
      </c>
      <c r="BG42" s="87">
        <v>143</v>
      </c>
      <c r="BH42" s="87">
        <v>143</v>
      </c>
      <c r="BI42" s="87">
        <v>139</v>
      </c>
      <c r="BJ42" s="87">
        <v>48</v>
      </c>
      <c r="BK42" s="87">
        <v>61</v>
      </c>
      <c r="BL42" s="87">
        <v>110</v>
      </c>
      <c r="BM42" s="87">
        <v>147</v>
      </c>
      <c r="BN42" s="87">
        <v>147</v>
      </c>
      <c r="BO42" s="87">
        <v>147</v>
      </c>
      <c r="BP42" s="87">
        <v>147</v>
      </c>
      <c r="BQ42" s="87">
        <v>155</v>
      </c>
      <c r="BR42" s="87">
        <v>155</v>
      </c>
      <c r="BS42" s="87">
        <v>155</v>
      </c>
      <c r="BT42" s="87">
        <v>155</v>
      </c>
      <c r="BU42" s="87">
        <v>162</v>
      </c>
      <c r="BV42" s="87">
        <v>162</v>
      </c>
      <c r="BW42" s="87">
        <v>162</v>
      </c>
      <c r="BX42" s="87">
        <v>162</v>
      </c>
      <c r="BY42" s="87">
        <v>169</v>
      </c>
      <c r="BZ42" s="87">
        <v>169</v>
      </c>
      <c r="CA42" s="87">
        <v>169</v>
      </c>
      <c r="CB42" s="87">
        <v>169</v>
      </c>
      <c r="CC42" s="87">
        <v>178</v>
      </c>
      <c r="CD42" s="87">
        <v>178</v>
      </c>
      <c r="CE42" s="87">
        <v>178</v>
      </c>
    </row>
    <row r="43" spans="1:83" ht="13.5" customHeight="1" x14ac:dyDescent="0.75">
      <c r="A43" s="68"/>
      <c r="B43" s="67" t="s">
        <v>290</v>
      </c>
      <c r="C43" s="66" t="s">
        <v>291</v>
      </c>
      <c r="D43" s="87">
        <v>249</v>
      </c>
      <c r="E43" s="87">
        <v>12</v>
      </c>
      <c r="F43" s="87">
        <v>12</v>
      </c>
      <c r="G43" s="87">
        <v>12</v>
      </c>
      <c r="H43" s="87">
        <v>12</v>
      </c>
      <c r="I43" s="87">
        <v>14</v>
      </c>
      <c r="J43" s="87">
        <v>14</v>
      </c>
      <c r="K43" s="87">
        <v>14</v>
      </c>
      <c r="L43" s="87">
        <v>14</v>
      </c>
      <c r="M43" s="87">
        <v>15</v>
      </c>
      <c r="N43" s="87">
        <v>16</v>
      </c>
      <c r="O43" s="87">
        <v>16</v>
      </c>
      <c r="P43" s="87">
        <v>16</v>
      </c>
      <c r="Q43" s="87">
        <v>17</v>
      </c>
      <c r="R43" s="87">
        <v>17</v>
      </c>
      <c r="S43" s="87">
        <v>19</v>
      </c>
      <c r="T43" s="87">
        <v>18</v>
      </c>
      <c r="U43" s="87">
        <v>21</v>
      </c>
      <c r="V43" s="87">
        <v>19</v>
      </c>
      <c r="W43" s="87">
        <v>21</v>
      </c>
      <c r="X43" s="87">
        <v>22</v>
      </c>
      <c r="Y43" s="87">
        <v>19</v>
      </c>
      <c r="Z43" s="87">
        <v>19</v>
      </c>
      <c r="AA43" s="87">
        <v>21</v>
      </c>
      <c r="AB43" s="87">
        <v>25</v>
      </c>
      <c r="AC43" s="87">
        <v>25</v>
      </c>
      <c r="AD43" s="87">
        <v>30</v>
      </c>
      <c r="AE43" s="87">
        <v>23</v>
      </c>
      <c r="AF43" s="87">
        <v>26</v>
      </c>
      <c r="AG43" s="87">
        <v>28</v>
      </c>
      <c r="AH43" s="87">
        <v>28</v>
      </c>
      <c r="AI43" s="87">
        <v>28</v>
      </c>
      <c r="AJ43" s="87">
        <v>27</v>
      </c>
      <c r="AK43" s="87">
        <v>28</v>
      </c>
      <c r="AL43" s="87">
        <v>28</v>
      </c>
      <c r="AM43" s="87">
        <v>30</v>
      </c>
      <c r="AN43" s="87">
        <v>34</v>
      </c>
      <c r="AO43" s="87">
        <v>31</v>
      </c>
      <c r="AP43" s="87">
        <v>37</v>
      </c>
      <c r="AQ43" s="87">
        <v>32</v>
      </c>
      <c r="AR43" s="87">
        <v>31</v>
      </c>
      <c r="AS43" s="87">
        <v>36</v>
      </c>
      <c r="AT43" s="87">
        <v>38</v>
      </c>
      <c r="AU43" s="87">
        <v>31</v>
      </c>
      <c r="AV43" s="87">
        <v>35</v>
      </c>
      <c r="AW43" s="87">
        <v>35</v>
      </c>
      <c r="AX43" s="87">
        <v>39</v>
      </c>
      <c r="AY43" s="87">
        <v>34</v>
      </c>
      <c r="AZ43" s="87">
        <v>38</v>
      </c>
      <c r="BA43" s="87">
        <v>37</v>
      </c>
      <c r="BB43" s="87">
        <v>40</v>
      </c>
      <c r="BC43" s="87">
        <v>33</v>
      </c>
      <c r="BD43" s="87">
        <v>36</v>
      </c>
      <c r="BE43" s="87">
        <v>36</v>
      </c>
      <c r="BF43" s="87">
        <v>42</v>
      </c>
      <c r="BG43" s="87">
        <v>37</v>
      </c>
      <c r="BH43" s="87">
        <v>36</v>
      </c>
      <c r="BI43" s="87">
        <v>47</v>
      </c>
      <c r="BJ43" s="87">
        <v>44</v>
      </c>
      <c r="BK43" s="87">
        <v>39</v>
      </c>
      <c r="BL43" s="87">
        <v>44</v>
      </c>
      <c r="BM43" s="87">
        <v>41</v>
      </c>
      <c r="BN43" s="87">
        <v>56</v>
      </c>
      <c r="BO43" s="87">
        <v>42</v>
      </c>
      <c r="BP43" s="87">
        <v>56</v>
      </c>
      <c r="BQ43" s="87">
        <v>52</v>
      </c>
      <c r="BR43" s="87">
        <v>59</v>
      </c>
      <c r="BS43" s="87">
        <v>48</v>
      </c>
      <c r="BT43" s="87">
        <v>54</v>
      </c>
      <c r="BU43" s="87">
        <v>51</v>
      </c>
      <c r="BV43" s="87">
        <v>65</v>
      </c>
      <c r="BW43" s="87">
        <v>48</v>
      </c>
      <c r="BX43" s="87">
        <v>49</v>
      </c>
      <c r="BY43" s="87">
        <v>59</v>
      </c>
      <c r="BZ43" s="87">
        <v>65</v>
      </c>
      <c r="CA43" s="87">
        <v>52</v>
      </c>
      <c r="CB43" s="87">
        <v>73</v>
      </c>
      <c r="CC43" s="87">
        <v>59</v>
      </c>
      <c r="CD43" s="87">
        <v>71</v>
      </c>
      <c r="CE43" s="87">
        <v>44</v>
      </c>
    </row>
    <row r="44" spans="1:83" ht="13.5" customHeight="1" x14ac:dyDescent="0.75">
      <c r="A44" s="68"/>
      <c r="B44" s="67" t="s">
        <v>292</v>
      </c>
      <c r="C44" s="66" t="s">
        <v>293</v>
      </c>
      <c r="D44" s="87">
        <v>640</v>
      </c>
      <c r="E44" s="87">
        <v>40</v>
      </c>
      <c r="F44" s="87">
        <v>42</v>
      </c>
      <c r="G44" s="87">
        <v>42</v>
      </c>
      <c r="H44" s="87">
        <v>44</v>
      </c>
      <c r="I44" s="87">
        <v>47</v>
      </c>
      <c r="J44" s="87">
        <v>47</v>
      </c>
      <c r="K44" s="87">
        <v>49</v>
      </c>
      <c r="L44" s="87">
        <v>48</v>
      </c>
      <c r="M44" s="87">
        <v>49</v>
      </c>
      <c r="N44" s="87">
        <v>47</v>
      </c>
      <c r="O44" s="87">
        <v>50</v>
      </c>
      <c r="P44" s="87">
        <v>49</v>
      </c>
      <c r="Q44" s="87">
        <v>45</v>
      </c>
      <c r="R44" s="87">
        <v>45</v>
      </c>
      <c r="S44" s="87">
        <v>46</v>
      </c>
      <c r="T44" s="87">
        <v>48</v>
      </c>
      <c r="U44" s="87">
        <v>49</v>
      </c>
      <c r="V44" s="87">
        <v>48</v>
      </c>
      <c r="W44" s="87">
        <v>50</v>
      </c>
      <c r="X44" s="87">
        <v>50</v>
      </c>
      <c r="Y44" s="87">
        <v>50</v>
      </c>
      <c r="Z44" s="87">
        <v>47</v>
      </c>
      <c r="AA44" s="87">
        <v>48</v>
      </c>
      <c r="AB44" s="87">
        <v>50</v>
      </c>
      <c r="AC44" s="87">
        <v>52</v>
      </c>
      <c r="AD44" s="87">
        <v>52</v>
      </c>
      <c r="AE44" s="87">
        <v>55</v>
      </c>
      <c r="AF44" s="87">
        <v>58</v>
      </c>
      <c r="AG44" s="87">
        <v>58</v>
      </c>
      <c r="AH44" s="87">
        <v>62</v>
      </c>
      <c r="AI44" s="87">
        <v>60</v>
      </c>
      <c r="AJ44" s="87">
        <v>63</v>
      </c>
      <c r="AK44" s="87">
        <v>66</v>
      </c>
      <c r="AL44" s="87">
        <v>71</v>
      </c>
      <c r="AM44" s="87">
        <v>75</v>
      </c>
      <c r="AN44" s="87">
        <v>71</v>
      </c>
      <c r="AO44" s="87">
        <v>79</v>
      </c>
      <c r="AP44" s="87">
        <v>86</v>
      </c>
      <c r="AQ44" s="87">
        <v>85</v>
      </c>
      <c r="AR44" s="87">
        <v>87</v>
      </c>
      <c r="AS44" s="87">
        <v>88</v>
      </c>
      <c r="AT44" s="87">
        <v>88</v>
      </c>
      <c r="AU44" s="87">
        <v>91</v>
      </c>
      <c r="AV44" s="87">
        <v>93</v>
      </c>
      <c r="AW44" s="87">
        <v>93</v>
      </c>
      <c r="AX44" s="87">
        <v>93</v>
      </c>
      <c r="AY44" s="87">
        <v>96</v>
      </c>
      <c r="AZ44" s="87">
        <v>97</v>
      </c>
      <c r="BA44" s="87">
        <v>99</v>
      </c>
      <c r="BB44" s="87">
        <v>101</v>
      </c>
      <c r="BC44" s="87">
        <v>102</v>
      </c>
      <c r="BD44" s="87">
        <v>110</v>
      </c>
      <c r="BE44" s="87">
        <v>107</v>
      </c>
      <c r="BF44" s="87">
        <v>111</v>
      </c>
      <c r="BG44" s="87">
        <v>113</v>
      </c>
      <c r="BH44" s="87">
        <v>116</v>
      </c>
      <c r="BI44" s="87">
        <v>107</v>
      </c>
      <c r="BJ44" s="87">
        <v>107</v>
      </c>
      <c r="BK44" s="87">
        <v>114</v>
      </c>
      <c r="BL44" s="87">
        <v>114</v>
      </c>
      <c r="BM44" s="87">
        <v>114</v>
      </c>
      <c r="BN44" s="87">
        <v>120</v>
      </c>
      <c r="BO44" s="87">
        <v>121</v>
      </c>
      <c r="BP44" s="87">
        <v>131</v>
      </c>
      <c r="BQ44" s="87">
        <v>122</v>
      </c>
      <c r="BR44" s="87">
        <v>126</v>
      </c>
      <c r="BS44" s="87">
        <v>132</v>
      </c>
      <c r="BT44" s="87">
        <v>135</v>
      </c>
      <c r="BU44" s="87">
        <v>130</v>
      </c>
      <c r="BV44" s="87">
        <v>132</v>
      </c>
      <c r="BW44" s="87">
        <v>143</v>
      </c>
      <c r="BX44" s="87">
        <v>261</v>
      </c>
      <c r="BY44" s="87">
        <v>143</v>
      </c>
      <c r="BZ44" s="87">
        <v>157</v>
      </c>
      <c r="CA44" s="87">
        <v>164</v>
      </c>
      <c r="CB44" s="87">
        <v>176</v>
      </c>
      <c r="CC44" s="87">
        <v>166</v>
      </c>
      <c r="CD44" s="87">
        <v>182</v>
      </c>
      <c r="CE44" s="87">
        <v>185</v>
      </c>
    </row>
    <row r="45" spans="1:83" ht="6.75" customHeight="1" x14ac:dyDescent="0.75">
      <c r="A45" s="64"/>
      <c r="B45" s="64"/>
      <c r="C45" s="72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5"/>
      <c r="BQ45" s="95"/>
      <c r="BR45" s="95"/>
      <c r="BS45" s="95"/>
      <c r="BT45" s="95"/>
      <c r="BU45" s="95"/>
      <c r="BV45" s="95"/>
      <c r="BW45" s="95"/>
      <c r="BX45" s="95"/>
      <c r="BY45" s="95"/>
      <c r="BZ45" s="95"/>
      <c r="CA45" s="95"/>
      <c r="CB45" s="95"/>
      <c r="CC45" s="95"/>
      <c r="CD45" s="95"/>
      <c r="CE45" s="95"/>
    </row>
    <row r="46" spans="1:83" ht="14.25" customHeight="1" x14ac:dyDescent="0.75">
      <c r="A46" s="64"/>
      <c r="B46" s="81" t="s">
        <v>294</v>
      </c>
      <c r="C46" s="82"/>
      <c r="D46" s="83">
        <v>985</v>
      </c>
      <c r="E46" s="83">
        <v>99</v>
      </c>
      <c r="F46" s="83">
        <v>91</v>
      </c>
      <c r="G46" s="83">
        <v>101</v>
      </c>
      <c r="H46" s="83">
        <v>103</v>
      </c>
      <c r="I46" s="83">
        <v>114</v>
      </c>
      <c r="J46" s="83">
        <v>95</v>
      </c>
      <c r="K46" s="83">
        <v>97</v>
      </c>
      <c r="L46" s="83">
        <v>105</v>
      </c>
      <c r="M46" s="83">
        <v>120</v>
      </c>
      <c r="N46" s="83">
        <v>102</v>
      </c>
      <c r="O46" s="83">
        <v>121</v>
      </c>
      <c r="P46" s="83">
        <v>116</v>
      </c>
      <c r="Q46" s="83">
        <v>121</v>
      </c>
      <c r="R46" s="83">
        <v>119</v>
      </c>
      <c r="S46" s="83">
        <v>126</v>
      </c>
      <c r="T46" s="83">
        <v>137</v>
      </c>
      <c r="U46" s="83">
        <v>124</v>
      </c>
      <c r="V46" s="83">
        <v>133</v>
      </c>
      <c r="W46" s="83">
        <v>134</v>
      </c>
      <c r="X46" s="83">
        <v>137</v>
      </c>
      <c r="Y46" s="83">
        <v>129</v>
      </c>
      <c r="Z46" s="83">
        <v>131</v>
      </c>
      <c r="AA46" s="83">
        <v>138</v>
      </c>
      <c r="AB46" s="83">
        <v>139</v>
      </c>
      <c r="AC46" s="83">
        <v>138</v>
      </c>
      <c r="AD46" s="83">
        <v>133</v>
      </c>
      <c r="AE46" s="83">
        <v>147</v>
      </c>
      <c r="AF46" s="83">
        <v>127</v>
      </c>
      <c r="AG46" s="83">
        <v>119</v>
      </c>
      <c r="AH46" s="83">
        <v>132</v>
      </c>
      <c r="AI46" s="83">
        <v>135</v>
      </c>
      <c r="AJ46" s="83">
        <v>141</v>
      </c>
      <c r="AK46" s="83">
        <v>138</v>
      </c>
      <c r="AL46" s="83">
        <v>140</v>
      </c>
      <c r="AM46" s="83">
        <v>144</v>
      </c>
      <c r="AN46" s="83">
        <v>148</v>
      </c>
      <c r="AO46" s="83">
        <v>154</v>
      </c>
      <c r="AP46" s="83">
        <v>163</v>
      </c>
      <c r="AQ46" s="83">
        <v>164</v>
      </c>
      <c r="AR46" s="83">
        <v>170</v>
      </c>
      <c r="AS46" s="83">
        <v>170</v>
      </c>
      <c r="AT46" s="83">
        <v>178</v>
      </c>
      <c r="AU46" s="83">
        <v>169</v>
      </c>
      <c r="AV46" s="83">
        <v>162</v>
      </c>
      <c r="AW46" s="83">
        <v>161</v>
      </c>
      <c r="AX46" s="83">
        <v>162</v>
      </c>
      <c r="AY46" s="83">
        <v>167</v>
      </c>
      <c r="AZ46" s="83">
        <v>172</v>
      </c>
      <c r="BA46" s="83">
        <v>176</v>
      </c>
      <c r="BB46" s="83">
        <v>176</v>
      </c>
      <c r="BC46" s="83">
        <v>178</v>
      </c>
      <c r="BD46" s="83">
        <v>192</v>
      </c>
      <c r="BE46" s="83">
        <v>191</v>
      </c>
      <c r="BF46" s="83">
        <v>218</v>
      </c>
      <c r="BG46" s="83">
        <v>207</v>
      </c>
      <c r="BH46" s="83">
        <v>215</v>
      </c>
      <c r="BI46" s="83">
        <v>209</v>
      </c>
      <c r="BJ46" s="83">
        <v>199</v>
      </c>
      <c r="BK46" s="83">
        <v>199</v>
      </c>
      <c r="BL46" s="83">
        <v>210</v>
      </c>
      <c r="BM46" s="83">
        <v>215</v>
      </c>
      <c r="BN46" s="83">
        <v>252</v>
      </c>
      <c r="BO46" s="83">
        <v>192</v>
      </c>
      <c r="BP46" s="83">
        <v>244</v>
      </c>
      <c r="BQ46" s="83">
        <v>230</v>
      </c>
      <c r="BR46" s="83">
        <v>261</v>
      </c>
      <c r="BS46" s="83">
        <v>235</v>
      </c>
      <c r="BT46" s="83">
        <v>224</v>
      </c>
      <c r="BU46" s="83">
        <v>220</v>
      </c>
      <c r="BV46" s="83">
        <v>244</v>
      </c>
      <c r="BW46" s="83">
        <v>231</v>
      </c>
      <c r="BX46" s="83">
        <v>217</v>
      </c>
      <c r="BY46" s="83">
        <v>229</v>
      </c>
      <c r="BZ46" s="83">
        <v>273</v>
      </c>
      <c r="CA46" s="83">
        <v>253</v>
      </c>
      <c r="CB46" s="83">
        <v>230</v>
      </c>
      <c r="CC46" s="83">
        <v>245</v>
      </c>
      <c r="CD46" s="83">
        <v>288</v>
      </c>
      <c r="CE46" s="83">
        <v>305</v>
      </c>
    </row>
    <row r="47" spans="1:83" ht="7.5" customHeight="1" thickBot="1" x14ac:dyDescent="0.9">
      <c r="A47" s="64"/>
      <c r="B47" s="96"/>
      <c r="C47" s="97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  <c r="AT47" s="96"/>
      <c r="AU47" s="96"/>
      <c r="AV47" s="96"/>
      <c r="AW47" s="96"/>
      <c r="AX47" s="96"/>
      <c r="AY47" s="96"/>
      <c r="AZ47" s="96"/>
      <c r="BA47" s="96"/>
      <c r="BB47" s="96"/>
      <c r="BC47" s="96"/>
      <c r="BD47" s="96"/>
      <c r="BE47" s="96"/>
      <c r="BF47" s="96"/>
      <c r="BG47" s="96"/>
      <c r="BH47" s="96"/>
      <c r="BI47" s="96"/>
      <c r="BJ47" s="96"/>
      <c r="BK47" s="96"/>
      <c r="BL47" s="96"/>
      <c r="BM47" s="96"/>
      <c r="BN47" s="96"/>
      <c r="BO47" s="96"/>
      <c r="BP47" s="96"/>
      <c r="BQ47" s="96"/>
      <c r="BR47" s="96"/>
      <c r="BS47" s="96"/>
      <c r="BT47" s="96"/>
      <c r="BU47" s="96"/>
      <c r="BV47" s="96"/>
      <c r="BW47" s="96"/>
      <c r="BX47" s="96"/>
      <c r="BY47" s="96"/>
      <c r="BZ47" s="96"/>
      <c r="CA47" s="96"/>
      <c r="CB47" s="96"/>
      <c r="CC47" s="96"/>
      <c r="CD47" s="96"/>
      <c r="CE47" s="96"/>
    </row>
    <row r="48" spans="1:83" s="100" customFormat="1" ht="12.75" customHeight="1" thickTop="1" x14ac:dyDescent="0.55000000000000004">
      <c r="A48" s="98"/>
      <c r="B48" s="22" t="str">
        <f>QGDP_CP!B48</f>
        <v>Source: National Institute of Statistics of Rwanda</v>
      </c>
      <c r="C48" s="99"/>
    </row>
    <row r="49" spans="1:83" s="100" customFormat="1" ht="12.75" customHeight="1" x14ac:dyDescent="0.55000000000000004">
      <c r="A49" s="98"/>
      <c r="B49" s="22">
        <f>QGDP_CP!B49</f>
        <v>46007</v>
      </c>
      <c r="C49" s="99"/>
      <c r="D49" s="115"/>
    </row>
    <row r="50" spans="1:83" ht="17.75" x14ac:dyDescent="0.75">
      <c r="A50" s="64"/>
    </row>
    <row r="51" spans="1:83" ht="17.75" x14ac:dyDescent="0.75">
      <c r="A51" s="64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  <c r="AL51" s="116"/>
      <c r="AM51" s="116"/>
      <c r="AN51" s="116"/>
      <c r="AO51" s="116"/>
      <c r="AP51" s="116"/>
      <c r="AQ51" s="116"/>
      <c r="AR51" s="116"/>
      <c r="AS51" s="116"/>
      <c r="AT51" s="116"/>
      <c r="AU51" s="116"/>
      <c r="AV51" s="116"/>
      <c r="AW51" s="116"/>
      <c r="AX51" s="116"/>
      <c r="AY51" s="116"/>
      <c r="AZ51" s="116"/>
      <c r="BA51" s="116"/>
      <c r="BB51" s="116"/>
      <c r="BC51" s="116"/>
      <c r="BD51" s="116"/>
      <c r="BE51" s="116"/>
      <c r="BF51" s="116"/>
      <c r="BG51" s="116"/>
      <c r="BH51" s="116"/>
      <c r="BI51" s="116"/>
      <c r="BJ51" s="116"/>
      <c r="BK51" s="116"/>
      <c r="BL51" s="116"/>
      <c r="BM51" s="116"/>
      <c r="BN51" s="116"/>
      <c r="BO51" s="116"/>
      <c r="BP51" s="116"/>
      <c r="BQ51" s="116"/>
      <c r="BR51" s="116"/>
      <c r="BS51" s="116"/>
      <c r="BT51" s="116"/>
      <c r="BU51" s="116"/>
      <c r="BV51" s="116"/>
      <c r="BW51" s="116"/>
      <c r="BX51" s="116"/>
      <c r="BY51" s="116"/>
      <c r="BZ51" s="116"/>
      <c r="CA51" s="116"/>
      <c r="CB51" s="116"/>
      <c r="CC51" s="116"/>
      <c r="CD51" s="116"/>
      <c r="CE51" s="116"/>
    </row>
    <row r="52" spans="1:83" ht="17.75" x14ac:dyDescent="0.75">
      <c r="A52" s="64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  <c r="AN52" s="103"/>
      <c r="AO52" s="103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3"/>
      <c r="BN52" s="103"/>
      <c r="BO52" s="103"/>
      <c r="BP52" s="103"/>
      <c r="BQ52" s="103"/>
      <c r="BR52" s="103"/>
      <c r="BS52" s="103"/>
      <c r="BT52" s="103"/>
      <c r="BU52" s="103"/>
      <c r="BV52" s="103"/>
      <c r="BW52" s="103"/>
      <c r="BX52" s="103"/>
      <c r="BY52" s="103"/>
      <c r="BZ52" s="103"/>
      <c r="CA52" s="103"/>
      <c r="CB52" s="103"/>
      <c r="CC52" s="103"/>
      <c r="CD52" s="103"/>
      <c r="CE52" s="103"/>
    </row>
    <row r="53" spans="1:83" ht="17.75" x14ac:dyDescent="0.75">
      <c r="A53" s="64"/>
      <c r="B53" s="104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 s="105"/>
      <c r="BK53" s="105"/>
      <c r="BL53" s="105"/>
      <c r="BM53" s="105"/>
      <c r="BN53" s="105"/>
      <c r="BO53" s="105"/>
      <c r="BP53" s="105"/>
      <c r="BQ53" s="105"/>
      <c r="BR53" s="105"/>
      <c r="BS53" s="105"/>
      <c r="BT53" s="105"/>
      <c r="BU53" s="105"/>
      <c r="BV53" s="105"/>
      <c r="BW53" s="105"/>
      <c r="BX53" s="105"/>
      <c r="BY53" s="105"/>
      <c r="BZ53" s="105"/>
      <c r="CA53" s="105"/>
      <c r="CB53" s="105"/>
      <c r="CC53" s="105"/>
      <c r="CD53" s="105"/>
      <c r="CE53" s="105"/>
    </row>
    <row r="54" spans="1:83" ht="17.75" x14ac:dyDescent="0.75">
      <c r="A54" s="64"/>
    </row>
    <row r="55" spans="1:83" ht="17.75" x14ac:dyDescent="0.75">
      <c r="A55" s="64"/>
    </row>
    <row r="56" spans="1:83" ht="17.75" x14ac:dyDescent="0.75">
      <c r="A56" s="64"/>
    </row>
    <row r="57" spans="1:83" ht="17.75" x14ac:dyDescent="0.75">
      <c r="A57" s="64"/>
    </row>
    <row r="58" spans="1:83" ht="17.75" x14ac:dyDescent="0.75">
      <c r="A58" s="64"/>
    </row>
    <row r="59" spans="1:83" ht="17.75" x14ac:dyDescent="0.75">
      <c r="A59" s="64"/>
    </row>
    <row r="60" spans="1:83" ht="17.75" x14ac:dyDescent="0.75">
      <c r="A60" s="64"/>
    </row>
    <row r="61" spans="1:83" ht="17.75" x14ac:dyDescent="0.75">
      <c r="A61" s="64"/>
    </row>
    <row r="62" spans="1:83" ht="17.75" x14ac:dyDescent="0.75">
      <c r="A62" s="64"/>
    </row>
    <row r="63" spans="1:83" ht="17.75" x14ac:dyDescent="0.75">
      <c r="A63" s="64"/>
    </row>
    <row r="64" spans="1:83" ht="17.75" x14ac:dyDescent="0.75">
      <c r="A64" s="64"/>
    </row>
    <row r="65" spans="1:1" ht="17.75" x14ac:dyDescent="0.75">
      <c r="A65" s="64"/>
    </row>
    <row r="66" spans="1:1" ht="17.75" x14ac:dyDescent="0.75">
      <c r="A66" s="64"/>
    </row>
  </sheetData>
  <conditionalFormatting sqref="A7:CE46">
    <cfRule type="cellIs" dxfId="11" priority="1" operator="lessThan">
      <formula>0</formula>
    </cfRule>
  </conditionalFormatting>
  <pageMargins left="0.7" right="0.7" top="0.75" bottom="0.75" header="0.3" footer="0.3"/>
  <pageSetup paperSize="9" scale="5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80F55-D7A2-4967-AE0C-2C12B605C1F8}">
  <sheetPr codeName="Sheet5">
    <pageSetUpPr fitToPage="1"/>
  </sheetPr>
  <dimension ref="A1:DX65"/>
  <sheetViews>
    <sheetView showGridLines="0" tabSelected="1" zoomScaleNormal="100" zoomScaleSheetLayoutView="80" workbookViewId="0">
      <pane xSplit="3" ySplit="8" topLeftCell="BZ27" activePane="bottomRight" state="frozen"/>
      <selection activeCell="CF28" sqref="CF28"/>
      <selection pane="topRight" activeCell="CF28" sqref="CF28"/>
      <selection pane="bottomLeft" activeCell="CF28" sqref="CF28"/>
      <selection pane="bottomRight" activeCell="A35" sqref="A35:XFD35"/>
    </sheetView>
  </sheetViews>
  <sheetFormatPr defaultColWidth="3" defaultRowHeight="14.25" x14ac:dyDescent="0.65"/>
  <cols>
    <col min="1" max="1" width="3" style="102"/>
    <col min="2" max="2" width="49.54296875" style="102" customWidth="1"/>
    <col min="3" max="3" width="5.86328125" style="103" bestFit="1" customWidth="1"/>
    <col min="4" max="4" width="0" style="102" hidden="1" customWidth="1"/>
    <col min="5" max="64" width="7.86328125" style="102" hidden="1" customWidth="1"/>
    <col min="65" max="83" width="7.86328125" style="102" bestFit="1" customWidth="1"/>
    <col min="84" max="86" width="7.86328125" style="102" customWidth="1"/>
    <col min="87" max="87" width="3" style="100"/>
    <col min="88" max="91" width="9.54296875" style="100" customWidth="1"/>
    <col min="92" max="92" width="6.26953125" style="100" customWidth="1"/>
    <col min="93" max="93" width="7.26953125" style="100" customWidth="1"/>
    <col min="94" max="94" width="9" style="102" bestFit="1" customWidth="1"/>
    <col min="95" max="95" width="3" style="100"/>
    <col min="96" max="96" width="7.1328125" style="100" bestFit="1" customWidth="1"/>
    <col min="97" max="99" width="3" style="100"/>
    <col min="100" max="100" width="12.86328125" style="100" bestFit="1" customWidth="1"/>
    <col min="101" max="101" width="4.54296875" style="100" bestFit="1" customWidth="1"/>
    <col min="102" max="102" width="8.86328125" style="100" bestFit="1" customWidth="1"/>
    <col min="103" max="103" width="43.26953125" style="100" bestFit="1" customWidth="1"/>
    <col min="104" max="105" width="11.7265625" style="100" bestFit="1" customWidth="1"/>
    <col min="106" max="106" width="104.40625" style="100" bestFit="1" customWidth="1"/>
    <col min="107" max="107" width="5.40625" style="100" bestFit="1" customWidth="1"/>
    <col min="108" max="108" width="7.54296875" style="100" bestFit="1" customWidth="1"/>
    <col min="109" max="109" width="8.40625" style="100" bestFit="1" customWidth="1"/>
    <col min="110" max="110" width="4.54296875" style="100" bestFit="1" customWidth="1"/>
    <col min="111" max="111" width="3" style="100"/>
    <col min="112" max="112" width="5.54296875" style="130" bestFit="1" customWidth="1"/>
    <col min="113" max="113" width="7" style="130" bestFit="1" customWidth="1"/>
    <col min="114" max="114" width="5.1328125" style="130" bestFit="1" customWidth="1"/>
    <col min="115" max="115" width="23.26953125" style="130" bestFit="1" customWidth="1"/>
    <col min="116" max="116" width="4.1328125" style="130" bestFit="1" customWidth="1"/>
    <col min="117" max="117" width="11.7265625" style="130" bestFit="1" customWidth="1"/>
    <col min="118" max="118" width="5.1328125" style="130" bestFit="1" customWidth="1"/>
    <col min="119" max="119" width="17.26953125" style="130" bestFit="1" customWidth="1"/>
    <col min="120" max="120" width="4.1328125" style="130" bestFit="1" customWidth="1"/>
    <col min="121" max="126" width="3" style="130"/>
    <col min="127" max="16384" width="3" style="102"/>
  </cols>
  <sheetData>
    <row r="1" spans="1:128" s="67" customFormat="1" ht="15" customHeight="1" x14ac:dyDescent="0.75">
      <c r="A1" s="64"/>
      <c r="B1" s="65" t="s">
        <v>300</v>
      </c>
      <c r="C1" s="66"/>
      <c r="CI1" s="100"/>
      <c r="CJ1" s="100"/>
      <c r="CK1" s="100"/>
      <c r="CL1" s="100"/>
      <c r="CM1" s="100"/>
      <c r="CN1" s="100"/>
      <c r="CO1" s="100"/>
      <c r="CQ1" s="100"/>
      <c r="CR1" s="100"/>
      <c r="CS1" s="100"/>
      <c r="CT1" s="100"/>
      <c r="CU1" s="100"/>
      <c r="CV1" s="100"/>
      <c r="CW1" s="100"/>
      <c r="CX1" s="100"/>
      <c r="CY1" s="100"/>
      <c r="CZ1" s="100"/>
      <c r="DA1" s="100"/>
      <c r="DB1" s="100"/>
      <c r="DC1" s="100"/>
      <c r="DD1" s="100"/>
      <c r="DE1" s="100"/>
      <c r="DF1" s="100"/>
      <c r="DG1" s="100"/>
      <c r="DH1" s="124"/>
      <c r="DI1" s="124"/>
      <c r="DJ1" s="124"/>
      <c r="DK1" s="124"/>
      <c r="DL1" s="124"/>
      <c r="DM1" s="124"/>
      <c r="DN1" s="124"/>
      <c r="DO1" s="124"/>
      <c r="DP1" s="124"/>
      <c r="DQ1" s="124"/>
      <c r="DR1" s="124"/>
      <c r="DS1" s="124"/>
      <c r="DT1" s="124"/>
      <c r="DU1" s="124"/>
      <c r="DV1" s="124"/>
    </row>
    <row r="2" spans="1:128" s="71" customFormat="1" ht="15" customHeight="1" x14ac:dyDescent="0.55000000000000004">
      <c r="A2" s="69"/>
      <c r="B2" s="69" t="s">
        <v>165</v>
      </c>
      <c r="C2" s="70"/>
      <c r="CI2" s="100"/>
      <c r="CJ2" s="100"/>
      <c r="CK2" s="100"/>
      <c r="CL2" s="100"/>
      <c r="CM2" s="100"/>
      <c r="CN2" s="100"/>
      <c r="CO2" s="100"/>
      <c r="CQ2" s="100"/>
      <c r="CR2" s="100"/>
      <c r="CS2" s="100"/>
      <c r="CT2" s="100"/>
      <c r="CU2" s="100"/>
      <c r="CV2" s="100"/>
      <c r="CW2" s="100"/>
      <c r="CX2" s="100"/>
      <c r="CY2" s="100"/>
      <c r="CZ2" s="100"/>
      <c r="DA2" s="100"/>
      <c r="DB2" s="100"/>
      <c r="DC2" s="100"/>
      <c r="DD2" s="100"/>
      <c r="DE2" s="100"/>
      <c r="DF2" s="100"/>
      <c r="DG2" s="100"/>
      <c r="DH2" s="125"/>
      <c r="DI2" s="125"/>
      <c r="DJ2" s="125"/>
      <c r="DK2" s="125"/>
      <c r="DL2" s="125"/>
      <c r="DM2" s="125"/>
      <c r="DN2" s="125"/>
      <c r="DO2" s="125"/>
      <c r="DP2" s="125"/>
      <c r="DQ2" s="125"/>
      <c r="DR2" s="125"/>
      <c r="DS2" s="125"/>
      <c r="DT2" s="125"/>
      <c r="DU2" s="126"/>
      <c r="DV2" s="126"/>
      <c r="DW2" s="127"/>
      <c r="DX2" s="127"/>
    </row>
    <row r="3" spans="1:128" s="68" customFormat="1" ht="17.75" x14ac:dyDescent="0.75">
      <c r="A3" s="64"/>
      <c r="B3" s="107" t="str">
        <f>"Growthrates at constant "&amp;QGDP_KP!$D$5&amp;" prices"</f>
        <v>Growthrates at constant 2024 prices</v>
      </c>
      <c r="C3" s="72"/>
      <c r="CI3" s="100"/>
      <c r="CJ3" s="100"/>
      <c r="CK3" s="100"/>
      <c r="CL3" s="100"/>
      <c r="CM3" s="100"/>
      <c r="CN3" s="100"/>
      <c r="CO3" s="100"/>
      <c r="CQ3" s="100"/>
      <c r="CR3" s="100"/>
      <c r="CS3" s="100"/>
      <c r="CT3" s="100"/>
      <c r="CU3" s="100"/>
      <c r="CV3" s="100"/>
      <c r="CW3" s="100"/>
      <c r="CX3" s="100"/>
      <c r="CY3" s="100"/>
      <c r="CZ3" s="100"/>
      <c r="DA3" s="100"/>
      <c r="DB3" s="100"/>
      <c r="DC3" s="100"/>
      <c r="DD3" s="100"/>
      <c r="DE3" s="100"/>
      <c r="DF3" s="100"/>
      <c r="DG3" s="100"/>
      <c r="DH3" s="124"/>
      <c r="DI3" s="124"/>
      <c r="DJ3" s="124"/>
      <c r="DK3" s="124"/>
      <c r="DL3" s="124"/>
      <c r="DM3" s="124"/>
      <c r="DN3" s="124"/>
      <c r="DO3" s="124"/>
      <c r="DP3" s="124"/>
      <c r="DQ3" s="124"/>
      <c r="DR3" s="124"/>
      <c r="DS3" s="124"/>
      <c r="DT3" s="124"/>
      <c r="DU3" s="124"/>
      <c r="DV3" s="124"/>
    </row>
    <row r="4" spans="1:128" s="68" customFormat="1" ht="28.15" customHeight="1" thickBot="1" x14ac:dyDescent="0.9">
      <c r="A4" s="64"/>
      <c r="B4" s="73" t="s">
        <v>301</v>
      </c>
      <c r="C4" s="72"/>
      <c r="CF4" s="100"/>
      <c r="CG4" s="100"/>
      <c r="CH4" s="100"/>
      <c r="CI4" s="100"/>
      <c r="CJ4" s="100"/>
      <c r="CK4" s="100"/>
      <c r="CL4" s="100"/>
      <c r="CM4" s="100"/>
      <c r="CN4" s="100"/>
      <c r="CO4" s="100"/>
      <c r="CP4" s="100"/>
      <c r="CQ4" s="100"/>
      <c r="CR4" s="100"/>
      <c r="CS4" s="100"/>
      <c r="CT4" s="100"/>
      <c r="CU4" s="100"/>
      <c r="CV4" s="100"/>
      <c r="CW4" s="100"/>
      <c r="CX4" s="100"/>
      <c r="CY4" s="100"/>
      <c r="CZ4" s="100"/>
      <c r="DA4" s="100"/>
      <c r="DB4" s="100"/>
      <c r="DC4" s="100"/>
      <c r="DD4" s="100"/>
      <c r="DE4" s="100"/>
      <c r="DF4" s="100"/>
      <c r="DG4" s="100"/>
      <c r="DH4" s="100"/>
      <c r="DI4" s="100"/>
      <c r="DJ4" s="100"/>
      <c r="DK4" s="100"/>
      <c r="DL4" s="124"/>
      <c r="DM4" s="124"/>
      <c r="DN4" s="124"/>
      <c r="DO4" s="124"/>
      <c r="DP4" s="124"/>
      <c r="DQ4" s="124"/>
      <c r="DR4" s="124"/>
      <c r="DS4" s="124"/>
      <c r="DT4" s="124"/>
      <c r="DU4" s="124"/>
      <c r="DV4" s="124"/>
    </row>
    <row r="5" spans="1:128" s="77" customFormat="1" ht="23.25" customHeight="1" thickTop="1" thickBot="1" x14ac:dyDescent="0.7">
      <c r="A5" s="69"/>
      <c r="B5" s="75" t="s">
        <v>169</v>
      </c>
      <c r="C5" s="76" t="s">
        <v>170</v>
      </c>
      <c r="D5" s="74"/>
      <c r="E5" s="74" t="s">
        <v>116</v>
      </c>
      <c r="F5" s="74" t="s">
        <v>117</v>
      </c>
      <c r="G5" s="74" t="s">
        <v>118</v>
      </c>
      <c r="H5" s="74" t="s">
        <v>119</v>
      </c>
      <c r="I5" s="74" t="s">
        <v>120</v>
      </c>
      <c r="J5" s="74" t="s">
        <v>121</v>
      </c>
      <c r="K5" s="74" t="s">
        <v>122</v>
      </c>
      <c r="L5" s="74" t="s">
        <v>123</v>
      </c>
      <c r="M5" s="74" t="s">
        <v>124</v>
      </c>
      <c r="N5" s="74" t="s">
        <v>125</v>
      </c>
      <c r="O5" s="74" t="s">
        <v>126</v>
      </c>
      <c r="P5" s="74" t="s">
        <v>127</v>
      </c>
      <c r="Q5" s="74" t="s">
        <v>128</v>
      </c>
      <c r="R5" s="74" t="s">
        <v>129</v>
      </c>
      <c r="S5" s="74" t="s">
        <v>130</v>
      </c>
      <c r="T5" s="74" t="s">
        <v>131</v>
      </c>
      <c r="U5" s="74" t="s">
        <v>132</v>
      </c>
      <c r="V5" s="74" t="s">
        <v>133</v>
      </c>
      <c r="W5" s="74" t="s">
        <v>134</v>
      </c>
      <c r="X5" s="74" t="s">
        <v>135</v>
      </c>
      <c r="Y5" s="74" t="s">
        <v>136</v>
      </c>
      <c r="Z5" s="74" t="s">
        <v>137</v>
      </c>
      <c r="AA5" s="74" t="s">
        <v>138</v>
      </c>
      <c r="AB5" s="74" t="s">
        <v>139</v>
      </c>
      <c r="AC5" s="74" t="s">
        <v>140</v>
      </c>
      <c r="AD5" s="74" t="s">
        <v>141</v>
      </c>
      <c r="AE5" s="74" t="s">
        <v>142</v>
      </c>
      <c r="AF5" s="74" t="s">
        <v>143</v>
      </c>
      <c r="AG5" s="74" t="s">
        <v>144</v>
      </c>
      <c r="AH5" s="74" t="s">
        <v>145</v>
      </c>
      <c r="AI5" s="74" t="s">
        <v>146</v>
      </c>
      <c r="AJ5" s="74" t="s">
        <v>147</v>
      </c>
      <c r="AK5" s="74" t="s">
        <v>171</v>
      </c>
      <c r="AL5" s="74" t="s">
        <v>172</v>
      </c>
      <c r="AM5" s="74" t="s">
        <v>173</v>
      </c>
      <c r="AN5" s="74" t="s">
        <v>174</v>
      </c>
      <c r="AO5" s="74" t="s">
        <v>175</v>
      </c>
      <c r="AP5" s="74" t="s">
        <v>176</v>
      </c>
      <c r="AQ5" s="74" t="s">
        <v>177</v>
      </c>
      <c r="AR5" s="74" t="s">
        <v>178</v>
      </c>
      <c r="AS5" s="74" t="s">
        <v>179</v>
      </c>
      <c r="AT5" s="74" t="s">
        <v>180</v>
      </c>
      <c r="AU5" s="74" t="s">
        <v>181</v>
      </c>
      <c r="AV5" s="74" t="s">
        <v>182</v>
      </c>
      <c r="AW5" s="74" t="s">
        <v>183</v>
      </c>
      <c r="AX5" s="74" t="s">
        <v>184</v>
      </c>
      <c r="AY5" s="74" t="s">
        <v>185</v>
      </c>
      <c r="AZ5" s="74" t="s">
        <v>186</v>
      </c>
      <c r="BA5" s="74" t="s">
        <v>187</v>
      </c>
      <c r="BB5" s="74" t="s">
        <v>188</v>
      </c>
      <c r="BC5" s="74" t="s">
        <v>189</v>
      </c>
      <c r="BD5" s="74" t="s">
        <v>190</v>
      </c>
      <c r="BE5" s="74" t="s">
        <v>191</v>
      </c>
      <c r="BF5" s="74" t="s">
        <v>192</v>
      </c>
      <c r="BG5" s="74" t="s">
        <v>193</v>
      </c>
      <c r="BH5" s="74" t="s">
        <v>194</v>
      </c>
      <c r="BI5" s="74" t="s">
        <v>195</v>
      </c>
      <c r="BJ5" s="74" t="s">
        <v>196</v>
      </c>
      <c r="BK5" s="74" t="s">
        <v>197</v>
      </c>
      <c r="BL5" s="74" t="s">
        <v>198</v>
      </c>
      <c r="BM5" s="74" t="s">
        <v>199</v>
      </c>
      <c r="BN5" s="74" t="s">
        <v>200</v>
      </c>
      <c r="BO5" s="74" t="s">
        <v>201</v>
      </c>
      <c r="BP5" s="74" t="s">
        <v>202</v>
      </c>
      <c r="BQ5" s="74" t="s">
        <v>203</v>
      </c>
      <c r="BR5" s="74" t="s">
        <v>204</v>
      </c>
      <c r="BS5" s="74" t="s">
        <v>205</v>
      </c>
      <c r="BT5" s="74" t="s">
        <v>206</v>
      </c>
      <c r="BU5" s="74" t="s">
        <v>207</v>
      </c>
      <c r="BV5" s="74" t="s">
        <v>208</v>
      </c>
      <c r="BW5" s="74" t="s">
        <v>209</v>
      </c>
      <c r="BX5" s="74" t="s">
        <v>210</v>
      </c>
      <c r="BY5" s="74" t="s">
        <v>211</v>
      </c>
      <c r="BZ5" s="74" t="s">
        <v>212</v>
      </c>
      <c r="CA5" s="74" t="s">
        <v>213</v>
      </c>
      <c r="CB5" s="74" t="s">
        <v>214</v>
      </c>
      <c r="CC5" s="74" t="s">
        <v>215</v>
      </c>
      <c r="CD5" s="74" t="s">
        <v>216</v>
      </c>
      <c r="CE5" s="74" t="s">
        <v>217</v>
      </c>
      <c r="CF5" s="100"/>
      <c r="CG5" s="100"/>
      <c r="CH5" s="100"/>
      <c r="CI5" s="100"/>
      <c r="CJ5" s="100"/>
      <c r="CK5" s="100"/>
      <c r="CL5" s="100"/>
      <c r="CM5" s="100"/>
      <c r="CN5" s="100"/>
      <c r="CO5" s="100"/>
      <c r="CP5" s="100"/>
      <c r="CQ5" s="100"/>
      <c r="CR5" s="100"/>
      <c r="CS5" s="100"/>
      <c r="CT5" s="100"/>
      <c r="CU5" s="100"/>
      <c r="CV5" s="100"/>
      <c r="CW5" s="100"/>
      <c r="CX5" s="100"/>
      <c r="CY5" s="100"/>
      <c r="CZ5" s="100"/>
      <c r="DA5" s="100"/>
      <c r="DB5" s="100"/>
      <c r="DC5" s="100"/>
      <c r="DD5" s="100"/>
      <c r="DE5" s="100"/>
      <c r="DF5" s="100"/>
      <c r="DG5" s="100"/>
      <c r="DH5" s="100"/>
      <c r="DI5" s="100"/>
      <c r="DJ5" s="100"/>
      <c r="DK5" s="100"/>
      <c r="DL5" s="128"/>
      <c r="DM5" s="128"/>
      <c r="DN5" s="128"/>
      <c r="DO5" s="128"/>
      <c r="DP5" s="128"/>
      <c r="DQ5" s="128"/>
      <c r="DR5" s="128"/>
      <c r="DS5" s="128"/>
      <c r="DT5" s="128"/>
      <c r="DU5" s="128"/>
      <c r="DV5" s="128"/>
    </row>
    <row r="6" spans="1:128" s="77" customFormat="1" ht="7.5" customHeight="1" thickTop="1" x14ac:dyDescent="0.75">
      <c r="A6" s="64"/>
      <c r="B6" s="79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100"/>
      <c r="CG6" s="100"/>
      <c r="CH6" s="100"/>
      <c r="CI6" s="100"/>
      <c r="CJ6" s="100"/>
      <c r="CK6" s="100"/>
      <c r="CL6" s="100"/>
      <c r="CM6" s="100"/>
      <c r="CN6" s="100"/>
      <c r="CO6" s="100"/>
      <c r="CP6" s="100"/>
      <c r="CQ6" s="100"/>
      <c r="CR6" s="100"/>
      <c r="CS6" s="100"/>
      <c r="CT6" s="100"/>
      <c r="CU6" s="100"/>
      <c r="CV6" s="100"/>
      <c r="CW6" s="100"/>
      <c r="CX6" s="100"/>
      <c r="CY6" s="100"/>
      <c r="CZ6" s="100"/>
      <c r="DA6" s="100"/>
      <c r="DB6" s="100"/>
      <c r="DC6" s="100"/>
      <c r="DD6" s="100"/>
      <c r="DE6" s="100"/>
      <c r="DF6" s="100"/>
      <c r="DG6" s="100"/>
      <c r="DH6" s="100"/>
      <c r="DI6" s="100"/>
      <c r="DJ6" s="100"/>
      <c r="DK6" s="100"/>
      <c r="DL6" s="128"/>
      <c r="DM6" s="128"/>
      <c r="DN6" s="128"/>
      <c r="DO6" s="128"/>
      <c r="DP6" s="128"/>
      <c r="DQ6" s="128"/>
      <c r="DR6" s="128"/>
      <c r="DS6" s="128"/>
      <c r="DT6" s="128"/>
      <c r="DU6" s="128"/>
      <c r="DV6" s="128"/>
    </row>
    <row r="7" spans="1:128" ht="14.25" customHeight="1" x14ac:dyDescent="0.75">
      <c r="A7" s="64"/>
      <c r="B7" s="81" t="s">
        <v>219</v>
      </c>
      <c r="C7" s="82"/>
      <c r="D7" s="129"/>
      <c r="E7" s="129"/>
      <c r="F7" s="129"/>
      <c r="G7" s="129"/>
      <c r="H7" s="129"/>
      <c r="I7" s="129">
        <v>0.13400000000000001</v>
      </c>
      <c r="J7" s="129">
        <v>7.6999999999999999E-2</v>
      </c>
      <c r="K7" s="129">
        <v>3.6999999999999998E-2</v>
      </c>
      <c r="L7" s="129">
        <v>6.6000000000000003E-2</v>
      </c>
      <c r="M7" s="129">
        <v>9.4E-2</v>
      </c>
      <c r="N7" s="129">
        <v>0.13400000000000001</v>
      </c>
      <c r="O7" s="129">
        <v>0.11799999999999999</v>
      </c>
      <c r="P7" s="129">
        <v>0.1</v>
      </c>
      <c r="Q7" s="129">
        <v>0.122</v>
      </c>
      <c r="R7" s="129">
        <v>0.05</v>
      </c>
      <c r="S7" s="129">
        <v>3.5000000000000003E-2</v>
      </c>
      <c r="T7" s="129">
        <v>4.7E-2</v>
      </c>
      <c r="U7" s="129">
        <v>5.1999999999999998E-2</v>
      </c>
      <c r="V7" s="129">
        <v>6.4000000000000001E-2</v>
      </c>
      <c r="W7" s="129">
        <v>0.08</v>
      </c>
      <c r="X7" s="129">
        <v>9.7000000000000003E-2</v>
      </c>
      <c r="Y7" s="129">
        <v>8.4000000000000005E-2</v>
      </c>
      <c r="Z7" s="129">
        <v>5.8999999999999997E-2</v>
      </c>
      <c r="AA7" s="129">
        <v>0.10299999999999999</v>
      </c>
      <c r="AB7" s="129">
        <v>7.0999999999999994E-2</v>
      </c>
      <c r="AC7" s="129">
        <v>8.4000000000000005E-2</v>
      </c>
      <c r="AD7" s="129">
        <v>0.107</v>
      </c>
      <c r="AE7" s="129">
        <v>7.1999999999999995E-2</v>
      </c>
      <c r="AF7" s="129">
        <v>8.5000000000000006E-2</v>
      </c>
      <c r="AG7" s="129">
        <v>4.7E-2</v>
      </c>
      <c r="AH7" s="129">
        <v>0.08</v>
      </c>
      <c r="AI7" s="129">
        <v>2.5999999999999999E-2</v>
      </c>
      <c r="AJ7" s="129">
        <v>3.7999999999999999E-2</v>
      </c>
      <c r="AK7" s="129">
        <v>0.05</v>
      </c>
      <c r="AL7" s="129">
        <v>6.2E-2</v>
      </c>
      <c r="AM7" s="129">
        <v>-3.5999999999999997E-2</v>
      </c>
      <c r="AN7" s="129">
        <v>0.14599999999999999</v>
      </c>
      <c r="AO7" s="129">
        <v>8.7999999999999995E-2</v>
      </c>
      <c r="AP7" s="129">
        <v>9.5000000000000001E-2</v>
      </c>
      <c r="AQ7" s="129">
        <v>8.5000000000000006E-2</v>
      </c>
      <c r="AR7" s="129">
        <v>8.6999999999999994E-2</v>
      </c>
      <c r="AS7" s="129">
        <v>8.5000000000000006E-2</v>
      </c>
      <c r="AT7" s="129">
        <v>7.0000000000000007E-2</v>
      </c>
      <c r="AU7" s="129">
        <v>4.7E-2</v>
      </c>
      <c r="AV7" s="129">
        <v>2.8000000000000001E-2</v>
      </c>
      <c r="AW7" s="129">
        <v>2.1000000000000001E-2</v>
      </c>
      <c r="AX7" s="129">
        <v>5.0999999999999997E-2</v>
      </c>
      <c r="AY7" s="129">
        <v>4.3999999999999997E-2</v>
      </c>
      <c r="AZ7" s="129">
        <v>7.0000000000000007E-2</v>
      </c>
      <c r="BA7" s="129">
        <v>8.2000000000000003E-2</v>
      </c>
      <c r="BB7" s="129">
        <v>6.8000000000000005E-2</v>
      </c>
      <c r="BC7" s="129">
        <v>7.8E-2</v>
      </c>
      <c r="BD7" s="129">
        <v>9.2999999999999999E-2</v>
      </c>
      <c r="BE7" s="129">
        <v>6.3E-2</v>
      </c>
      <c r="BF7" s="129">
        <v>0.13200000000000001</v>
      </c>
      <c r="BG7" s="129">
        <v>0.11799999999999999</v>
      </c>
      <c r="BH7" s="129">
        <v>6.4000000000000001E-2</v>
      </c>
      <c r="BI7" s="129">
        <v>4.3999999999999997E-2</v>
      </c>
      <c r="BJ7" s="129">
        <v>-0.112</v>
      </c>
      <c r="BK7" s="129">
        <v>-3.6999999999999998E-2</v>
      </c>
      <c r="BL7" s="129">
        <v>-1E-3</v>
      </c>
      <c r="BM7" s="129">
        <v>2.4E-2</v>
      </c>
      <c r="BN7" s="129">
        <v>0.17899999999999999</v>
      </c>
      <c r="BO7" s="129">
        <v>0.06</v>
      </c>
      <c r="BP7" s="129">
        <v>7.5999999999999998E-2</v>
      </c>
      <c r="BQ7" s="129">
        <v>9.9000000000000005E-2</v>
      </c>
      <c r="BR7" s="129">
        <v>0.11600000000000001</v>
      </c>
      <c r="BS7" s="129">
        <v>0.115</v>
      </c>
      <c r="BT7" s="129">
        <v>6.8000000000000005E-2</v>
      </c>
      <c r="BU7" s="129">
        <v>7.6999999999999999E-2</v>
      </c>
      <c r="BV7" s="129">
        <v>2.5999999999999999E-2</v>
      </c>
      <c r="BW7" s="129">
        <v>0.106</v>
      </c>
      <c r="BX7" s="129">
        <v>0.13500000000000001</v>
      </c>
      <c r="BY7" s="129">
        <v>8.1000000000000003E-2</v>
      </c>
      <c r="BZ7" s="129">
        <v>0.10299999999999999</v>
      </c>
      <c r="CA7" s="129">
        <v>6.8000000000000005E-2</v>
      </c>
      <c r="CB7" s="129">
        <v>4.2000000000000003E-2</v>
      </c>
      <c r="CC7" s="129">
        <v>6.5000000000000002E-2</v>
      </c>
      <c r="CD7" s="129">
        <v>7.8E-2</v>
      </c>
      <c r="CE7" s="129">
        <v>0.11799999999999999</v>
      </c>
      <c r="CF7" s="100"/>
      <c r="CG7" s="100"/>
      <c r="CH7" s="100"/>
      <c r="CP7" s="100"/>
      <c r="DH7" s="100"/>
      <c r="DI7" s="100"/>
      <c r="DJ7" s="100"/>
      <c r="DK7" s="100"/>
    </row>
    <row r="8" spans="1:128" s="77" customFormat="1" ht="7.5" customHeight="1" x14ac:dyDescent="0.75">
      <c r="A8" s="64"/>
      <c r="B8" s="79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100"/>
      <c r="CG8" s="100"/>
      <c r="CH8" s="100"/>
      <c r="CI8" s="100"/>
      <c r="CJ8" s="100"/>
      <c r="CK8" s="100"/>
      <c r="CL8" s="100"/>
      <c r="CM8" s="100"/>
      <c r="CN8" s="100"/>
      <c r="CO8" s="100"/>
      <c r="CP8" s="100"/>
      <c r="CQ8" s="100"/>
      <c r="CR8" s="100"/>
      <c r="CS8" s="100"/>
      <c r="CT8" s="100"/>
      <c r="CU8" s="100"/>
      <c r="CV8" s="100"/>
      <c r="CW8" s="100"/>
      <c r="CX8" s="100"/>
      <c r="CY8" s="100"/>
      <c r="CZ8" s="100"/>
      <c r="DA8" s="100"/>
      <c r="DB8" s="100"/>
      <c r="DC8" s="100"/>
      <c r="DD8" s="100"/>
      <c r="DE8" s="100"/>
      <c r="DF8" s="100"/>
      <c r="DG8" s="100"/>
      <c r="DH8" s="100"/>
      <c r="DI8" s="100"/>
      <c r="DJ8" s="100"/>
      <c r="DK8" s="100"/>
      <c r="DL8" s="128"/>
      <c r="DM8" s="128"/>
      <c r="DN8" s="128"/>
      <c r="DO8" s="128"/>
      <c r="DP8" s="128"/>
      <c r="DQ8" s="128"/>
      <c r="DR8" s="128"/>
      <c r="DS8" s="128"/>
      <c r="DT8" s="128"/>
      <c r="DU8" s="128"/>
      <c r="DV8" s="128"/>
    </row>
    <row r="9" spans="1:128" s="133" customFormat="1" ht="14.25" customHeight="1" x14ac:dyDescent="0.75">
      <c r="A9" s="131"/>
      <c r="B9" s="117" t="s">
        <v>222</v>
      </c>
      <c r="C9" s="82" t="s">
        <v>223</v>
      </c>
      <c r="D9" s="117"/>
      <c r="E9" s="117"/>
      <c r="F9" s="117"/>
      <c r="G9" s="117"/>
      <c r="H9" s="117"/>
      <c r="I9" s="117">
        <v>7.0000000000000007E-2</v>
      </c>
      <c r="J9" s="117">
        <v>7.0000000000000007E-2</v>
      </c>
      <c r="K9" s="117">
        <v>-0.01</v>
      </c>
      <c r="L9" s="117">
        <v>-0.01</v>
      </c>
      <c r="M9" s="117">
        <v>0.09</v>
      </c>
      <c r="N9" s="117">
        <v>0.1</v>
      </c>
      <c r="O9" s="117">
        <v>0.04</v>
      </c>
      <c r="P9" s="117">
        <v>0.04</v>
      </c>
      <c r="Q9" s="117">
        <v>0.08</v>
      </c>
      <c r="R9" s="117">
        <v>7.0000000000000007E-2</v>
      </c>
      <c r="S9" s="117">
        <v>0.08</v>
      </c>
      <c r="T9" s="117">
        <v>0.08</v>
      </c>
      <c r="U9" s="117">
        <v>0.04</v>
      </c>
      <c r="V9" s="117">
        <v>0.04</v>
      </c>
      <c r="W9" s="117">
        <v>0.06</v>
      </c>
      <c r="X9" s="117">
        <v>0.06</v>
      </c>
      <c r="Y9" s="117">
        <v>0.04</v>
      </c>
      <c r="Z9" s="117">
        <v>0.04</v>
      </c>
      <c r="AA9" s="117">
        <v>0.06</v>
      </c>
      <c r="AB9" s="117">
        <v>0.03</v>
      </c>
      <c r="AC9" s="117">
        <v>7.0000000000000007E-2</v>
      </c>
      <c r="AD9" s="117">
        <v>0.08</v>
      </c>
      <c r="AE9" s="117">
        <v>0.03</v>
      </c>
      <c r="AF9" s="117">
        <v>0.1</v>
      </c>
      <c r="AG9" s="117">
        <v>0.06</v>
      </c>
      <c r="AH9" s="117">
        <v>7.0000000000000007E-2</v>
      </c>
      <c r="AI9" s="117">
        <v>0.01</v>
      </c>
      <c r="AJ9" s="117">
        <v>-0.01</v>
      </c>
      <c r="AK9" s="117">
        <v>0.02</v>
      </c>
      <c r="AL9" s="117">
        <v>0.11</v>
      </c>
      <c r="AM9" s="117">
        <v>-0.36</v>
      </c>
      <c r="AN9" s="117">
        <v>0.44</v>
      </c>
      <c r="AO9" s="117">
        <v>7.0000000000000007E-2</v>
      </c>
      <c r="AP9" s="117">
        <v>0.06</v>
      </c>
      <c r="AQ9" s="117">
        <v>0.05</v>
      </c>
      <c r="AR9" s="117">
        <v>0.02</v>
      </c>
      <c r="AS9" s="117">
        <v>0.01</v>
      </c>
      <c r="AT9" s="117">
        <v>0</v>
      </c>
      <c r="AU9" s="117">
        <v>0.06</v>
      </c>
      <c r="AV9" s="117">
        <v>0.04</v>
      </c>
      <c r="AW9" s="117">
        <v>0.08</v>
      </c>
      <c r="AX9" s="117">
        <v>0.16</v>
      </c>
      <c r="AY9" s="117">
        <v>-0.06</v>
      </c>
      <c r="AZ9" s="117">
        <v>0.08</v>
      </c>
      <c r="BA9" s="117">
        <v>0.03</v>
      </c>
      <c r="BB9" s="117">
        <v>0.04</v>
      </c>
      <c r="BC9" s="117">
        <v>7.0000000000000007E-2</v>
      </c>
      <c r="BD9" s="117">
        <v>0.05</v>
      </c>
      <c r="BE9" s="117">
        <v>0.04</v>
      </c>
      <c r="BF9" s="117">
        <v>0.09</v>
      </c>
      <c r="BG9" s="117">
        <v>0.09</v>
      </c>
      <c r="BH9" s="117">
        <v>-0.01</v>
      </c>
      <c r="BI9" s="117">
        <v>0.02</v>
      </c>
      <c r="BJ9" s="117">
        <v>0.02</v>
      </c>
      <c r="BK9" s="117">
        <v>7.0000000000000007E-2</v>
      </c>
      <c r="BL9" s="117">
        <v>0.05</v>
      </c>
      <c r="BM9" s="117">
        <v>0.02</v>
      </c>
      <c r="BN9" s="117">
        <v>0.04</v>
      </c>
      <c r="BO9" s="117">
        <v>0.09</v>
      </c>
      <c r="BP9" s="117">
        <v>0.02</v>
      </c>
      <c r="BQ9" s="117">
        <v>0</v>
      </c>
      <c r="BR9" s="117">
        <v>0.01</v>
      </c>
      <c r="BS9" s="117">
        <v>0.02</v>
      </c>
      <c r="BT9" s="117">
        <v>0</v>
      </c>
      <c r="BU9" s="117">
        <v>0.04</v>
      </c>
      <c r="BV9" s="117">
        <v>0.02</v>
      </c>
      <c r="BW9" s="117">
        <v>0.09</v>
      </c>
      <c r="BX9" s="117">
        <v>7.0000000000000007E-2</v>
      </c>
      <c r="BY9" s="117">
        <v>0.06</v>
      </c>
      <c r="BZ9" s="117">
        <v>0.04</v>
      </c>
      <c r="CA9" s="117">
        <v>0.03</v>
      </c>
      <c r="CB9" s="117">
        <v>0.01</v>
      </c>
      <c r="CC9" s="117">
        <v>0.04</v>
      </c>
      <c r="CD9" s="117">
        <v>0.08</v>
      </c>
      <c r="CE9" s="117">
        <v>0.1</v>
      </c>
      <c r="CF9" s="100"/>
      <c r="CG9" s="100"/>
      <c r="CH9" s="100"/>
      <c r="CI9" s="100"/>
      <c r="CJ9" s="100"/>
      <c r="CK9" s="100"/>
      <c r="CL9" s="100"/>
      <c r="CM9" s="100"/>
      <c r="CN9" s="100"/>
      <c r="CO9" s="100"/>
      <c r="CP9" s="100"/>
      <c r="CQ9" s="100"/>
      <c r="CR9" s="100"/>
      <c r="CS9" s="100"/>
      <c r="CT9" s="100"/>
      <c r="CU9" s="100"/>
      <c r="CV9" s="100"/>
      <c r="CW9" s="100"/>
      <c r="CX9" s="100"/>
      <c r="CY9" s="100"/>
      <c r="CZ9" s="100"/>
      <c r="DA9" s="100"/>
      <c r="DB9" s="100"/>
      <c r="DC9" s="100"/>
      <c r="DD9" s="100"/>
      <c r="DE9" s="100"/>
      <c r="DF9" s="100"/>
      <c r="DG9" s="100"/>
      <c r="DH9" s="100"/>
      <c r="DI9" s="100"/>
      <c r="DJ9" s="100"/>
      <c r="DK9" s="100"/>
      <c r="DL9" s="132"/>
      <c r="DM9" s="132"/>
      <c r="DN9" s="132"/>
      <c r="DO9" s="132"/>
      <c r="DP9" s="132"/>
      <c r="DQ9" s="132"/>
      <c r="DR9" s="132"/>
      <c r="DS9" s="132"/>
      <c r="DT9" s="132"/>
      <c r="DU9" s="132"/>
      <c r="DV9" s="132"/>
    </row>
    <row r="10" spans="1:128" ht="13.5" customHeight="1" x14ac:dyDescent="0.75">
      <c r="A10" s="68"/>
      <c r="B10" s="67" t="s">
        <v>224</v>
      </c>
      <c r="C10" s="66" t="s">
        <v>225</v>
      </c>
      <c r="D10" s="119"/>
      <c r="E10" s="119"/>
      <c r="F10" s="119"/>
      <c r="G10" s="119"/>
      <c r="H10" s="119"/>
      <c r="I10" s="119">
        <v>0.1</v>
      </c>
      <c r="J10" s="119">
        <v>0.1</v>
      </c>
      <c r="K10" s="119">
        <v>-0.01</v>
      </c>
      <c r="L10" s="119">
        <v>-0.01</v>
      </c>
      <c r="M10" s="119">
        <v>0.09</v>
      </c>
      <c r="N10" s="119">
        <v>0.09</v>
      </c>
      <c r="O10" s="119">
        <v>0.03</v>
      </c>
      <c r="P10" s="119">
        <v>0.03</v>
      </c>
      <c r="Q10" s="119">
        <v>0.09</v>
      </c>
      <c r="R10" s="119">
        <v>0.09</v>
      </c>
      <c r="S10" s="119">
        <v>0.1</v>
      </c>
      <c r="T10" s="119">
        <v>0.1</v>
      </c>
      <c r="U10" s="119">
        <v>0.04</v>
      </c>
      <c r="V10" s="119">
        <v>0.04</v>
      </c>
      <c r="W10" s="119">
        <v>0.06</v>
      </c>
      <c r="X10" s="119">
        <v>0.06</v>
      </c>
      <c r="Y10" s="119">
        <v>7.0000000000000007E-2</v>
      </c>
      <c r="Z10" s="119">
        <v>7.0000000000000007E-2</v>
      </c>
      <c r="AA10" s="119">
        <v>0</v>
      </c>
      <c r="AB10" s="119">
        <v>0</v>
      </c>
      <c r="AC10" s="119">
        <v>0.11</v>
      </c>
      <c r="AD10" s="119">
        <v>0.11</v>
      </c>
      <c r="AE10" s="119">
        <v>0.06</v>
      </c>
      <c r="AF10" s="119">
        <v>0.06</v>
      </c>
      <c r="AG10" s="119">
        <v>7.0000000000000007E-2</v>
      </c>
      <c r="AH10" s="119">
        <v>7.0000000000000007E-2</v>
      </c>
      <c r="AI10" s="119">
        <v>0.01</v>
      </c>
      <c r="AJ10" s="119">
        <v>0.01</v>
      </c>
      <c r="AK10" s="119">
        <v>-0.01</v>
      </c>
      <c r="AL10" s="119">
        <v>0.14000000000000001</v>
      </c>
      <c r="AM10" s="119">
        <v>-0.62</v>
      </c>
      <c r="AN10" s="119">
        <v>0.72</v>
      </c>
      <c r="AO10" s="119">
        <v>7.0000000000000007E-2</v>
      </c>
      <c r="AP10" s="119">
        <v>0.05</v>
      </c>
      <c r="AQ10" s="119">
        <v>0</v>
      </c>
      <c r="AR10" s="119">
        <v>0</v>
      </c>
      <c r="AS10" s="119">
        <v>-0.05</v>
      </c>
      <c r="AT10" s="119">
        <v>0</v>
      </c>
      <c r="AU10" s="119">
        <v>0.15</v>
      </c>
      <c r="AV10" s="119">
        <v>0.04</v>
      </c>
      <c r="AW10" s="119">
        <v>0.13</v>
      </c>
      <c r="AX10" s="119">
        <v>0.2</v>
      </c>
      <c r="AY10" s="119">
        <v>-0.2</v>
      </c>
      <c r="AZ10" s="119">
        <v>0.08</v>
      </c>
      <c r="BA10" s="119">
        <v>0</v>
      </c>
      <c r="BB10" s="119">
        <v>0.03</v>
      </c>
      <c r="BC10" s="119">
        <v>0.09</v>
      </c>
      <c r="BD10" s="119">
        <v>0.05</v>
      </c>
      <c r="BE10" s="119">
        <v>0.04</v>
      </c>
      <c r="BF10" s="119">
        <v>0.09</v>
      </c>
      <c r="BG10" s="119">
        <v>0.05</v>
      </c>
      <c r="BH10" s="119">
        <v>-0.04</v>
      </c>
      <c r="BI10" s="119">
        <v>0.02</v>
      </c>
      <c r="BJ10" s="119">
        <v>0.03</v>
      </c>
      <c r="BK10" s="119">
        <v>0.18</v>
      </c>
      <c r="BL10" s="119">
        <v>0.04</v>
      </c>
      <c r="BM10" s="119">
        <v>0</v>
      </c>
      <c r="BN10" s="119">
        <v>0.01</v>
      </c>
      <c r="BO10" s="119">
        <v>0.03</v>
      </c>
      <c r="BP10" s="119">
        <v>0</v>
      </c>
      <c r="BQ10" s="119">
        <v>-0.01</v>
      </c>
      <c r="BR10" s="119">
        <v>-0.04</v>
      </c>
      <c r="BS10" s="119">
        <v>0.04</v>
      </c>
      <c r="BT10" s="119">
        <v>-0.03</v>
      </c>
      <c r="BU10" s="119">
        <v>0.03</v>
      </c>
      <c r="BV10" s="119">
        <v>0.02</v>
      </c>
      <c r="BW10" s="119">
        <v>0.19</v>
      </c>
      <c r="BX10" s="119">
        <v>7.0000000000000007E-2</v>
      </c>
      <c r="BY10" s="119">
        <v>0.04</v>
      </c>
      <c r="BZ10" s="119">
        <v>0.02</v>
      </c>
      <c r="CA10" s="119">
        <v>-0.1</v>
      </c>
      <c r="CB10" s="119">
        <v>0</v>
      </c>
      <c r="CC10" s="119">
        <v>0.01</v>
      </c>
      <c r="CD10" s="119">
        <v>0.03</v>
      </c>
      <c r="CE10" s="119">
        <v>0.04</v>
      </c>
      <c r="CF10" s="100"/>
      <c r="CG10" s="100"/>
      <c r="CH10" s="100"/>
      <c r="CP10" s="100"/>
      <c r="DH10" s="100"/>
      <c r="DI10" s="100"/>
      <c r="DJ10" s="100"/>
      <c r="DK10" s="100"/>
    </row>
    <row r="11" spans="1:128" ht="13.5" customHeight="1" x14ac:dyDescent="0.75">
      <c r="A11" s="68"/>
      <c r="B11" s="67" t="s">
        <v>226</v>
      </c>
      <c r="C11" s="66" t="s">
        <v>227</v>
      </c>
      <c r="D11" s="119"/>
      <c r="E11" s="119"/>
      <c r="F11" s="119"/>
      <c r="G11" s="119"/>
      <c r="H11" s="119"/>
      <c r="I11" s="119">
        <v>-0.25</v>
      </c>
      <c r="J11" s="119">
        <v>-0.38</v>
      </c>
      <c r="K11" s="119">
        <v>-0.19</v>
      </c>
      <c r="L11" s="119">
        <v>-0.33</v>
      </c>
      <c r="M11" s="119">
        <v>0.18</v>
      </c>
      <c r="N11" s="119">
        <v>0.61</v>
      </c>
      <c r="O11" s="119">
        <v>0.22</v>
      </c>
      <c r="P11" s="119">
        <v>0.18</v>
      </c>
      <c r="Q11" s="119">
        <v>-0.15</v>
      </c>
      <c r="R11" s="119">
        <v>-0.23</v>
      </c>
      <c r="S11" s="119">
        <v>-0.11</v>
      </c>
      <c r="T11" s="119">
        <v>-0.11</v>
      </c>
      <c r="U11" s="119">
        <v>0.16</v>
      </c>
      <c r="V11" s="119">
        <v>0.09</v>
      </c>
      <c r="W11" s="119">
        <v>0.23</v>
      </c>
      <c r="X11" s="119">
        <v>0.08</v>
      </c>
      <c r="Y11" s="119">
        <v>-0.24</v>
      </c>
      <c r="Z11" s="119">
        <v>-0.31</v>
      </c>
      <c r="AA11" s="119">
        <v>0.4</v>
      </c>
      <c r="AB11" s="119">
        <v>0.16</v>
      </c>
      <c r="AC11" s="119">
        <v>-0.19</v>
      </c>
      <c r="AD11" s="119">
        <v>-0.04</v>
      </c>
      <c r="AE11" s="119">
        <v>-0.13</v>
      </c>
      <c r="AF11" s="119">
        <v>0.67</v>
      </c>
      <c r="AG11" s="119">
        <v>0.2</v>
      </c>
      <c r="AH11" s="119">
        <v>0.33</v>
      </c>
      <c r="AI11" s="119">
        <v>-0.11</v>
      </c>
      <c r="AJ11" s="119">
        <v>-0.2</v>
      </c>
      <c r="AK11" s="119">
        <v>0.03</v>
      </c>
      <c r="AL11" s="119">
        <v>-0.05</v>
      </c>
      <c r="AM11" s="119">
        <v>0.03</v>
      </c>
      <c r="AN11" s="119">
        <v>-7.0000000000000007E-2</v>
      </c>
      <c r="AO11" s="119">
        <v>0.08</v>
      </c>
      <c r="AP11" s="119">
        <v>0.26</v>
      </c>
      <c r="AQ11" s="119">
        <v>0.17</v>
      </c>
      <c r="AR11" s="119">
        <v>7.0000000000000007E-2</v>
      </c>
      <c r="AS11" s="119">
        <v>0.7</v>
      </c>
      <c r="AT11" s="119">
        <v>-0.22</v>
      </c>
      <c r="AU11" s="119">
        <v>-0.1</v>
      </c>
      <c r="AV11" s="119">
        <v>0.02</v>
      </c>
      <c r="AW11" s="119">
        <v>-0.24</v>
      </c>
      <c r="AX11" s="119">
        <v>0.25</v>
      </c>
      <c r="AY11" s="119">
        <v>-7.0000000000000007E-2</v>
      </c>
      <c r="AZ11" s="119">
        <v>0.17</v>
      </c>
      <c r="BA11" s="119">
        <v>0.4</v>
      </c>
      <c r="BB11" s="119">
        <v>-0.01</v>
      </c>
      <c r="BC11" s="119">
        <v>0.04</v>
      </c>
      <c r="BD11" s="119">
        <v>-0.03</v>
      </c>
      <c r="BE11" s="119">
        <v>-7.0000000000000007E-2</v>
      </c>
      <c r="BF11" s="119">
        <v>0.08</v>
      </c>
      <c r="BG11" s="119">
        <v>0.23</v>
      </c>
      <c r="BH11" s="119">
        <v>-0.04</v>
      </c>
      <c r="BI11" s="119">
        <v>-0.16</v>
      </c>
      <c r="BJ11" s="119">
        <v>-0.19</v>
      </c>
      <c r="BK11" s="119">
        <v>-0.08</v>
      </c>
      <c r="BL11" s="119">
        <v>0</v>
      </c>
      <c r="BM11" s="119">
        <v>7.0000000000000007E-2</v>
      </c>
      <c r="BN11" s="119">
        <v>0.43</v>
      </c>
      <c r="BO11" s="119">
        <v>0.04</v>
      </c>
      <c r="BP11" s="119">
        <v>0.18</v>
      </c>
      <c r="BQ11" s="119">
        <v>-0.25</v>
      </c>
      <c r="BR11" s="119">
        <v>0.08</v>
      </c>
      <c r="BS11" s="119">
        <v>-0.04</v>
      </c>
      <c r="BT11" s="119">
        <v>0.02</v>
      </c>
      <c r="BU11" s="119">
        <v>0.21</v>
      </c>
      <c r="BV11" s="119">
        <v>-0.01</v>
      </c>
      <c r="BW11" s="119">
        <v>-0.12</v>
      </c>
      <c r="BX11" s="119">
        <v>0</v>
      </c>
      <c r="BY11" s="119">
        <v>0.09</v>
      </c>
      <c r="BZ11" s="119">
        <v>-0.03</v>
      </c>
      <c r="CA11" s="119">
        <v>0.17</v>
      </c>
      <c r="CB11" s="119">
        <v>-0.09</v>
      </c>
      <c r="CC11" s="119">
        <v>0</v>
      </c>
      <c r="CD11" s="119">
        <v>0.42</v>
      </c>
      <c r="CE11" s="119">
        <v>0.35</v>
      </c>
      <c r="CF11" s="100"/>
      <c r="CG11" s="100"/>
      <c r="CH11" s="100"/>
      <c r="CP11" s="100"/>
      <c r="DH11" s="100"/>
      <c r="DI11" s="100"/>
      <c r="DJ11" s="100"/>
      <c r="DK11" s="100"/>
    </row>
    <row r="12" spans="1:128" ht="13.5" customHeight="1" x14ac:dyDescent="0.75">
      <c r="A12" s="68"/>
      <c r="B12" s="67" t="s">
        <v>228</v>
      </c>
      <c r="C12" s="66" t="s">
        <v>229</v>
      </c>
      <c r="D12" s="119"/>
      <c r="E12" s="119"/>
      <c r="F12" s="119"/>
      <c r="G12" s="119"/>
      <c r="H12" s="119"/>
      <c r="I12" s="119">
        <v>0.02</v>
      </c>
      <c r="J12" s="119">
        <v>0.02</v>
      </c>
      <c r="K12" s="119">
        <v>0.02</v>
      </c>
      <c r="L12" s="119">
        <v>0.02</v>
      </c>
      <c r="M12" s="119">
        <v>0.03</v>
      </c>
      <c r="N12" s="119">
        <v>0.03</v>
      </c>
      <c r="O12" s="119">
        <v>0.03</v>
      </c>
      <c r="P12" s="119">
        <v>0.03</v>
      </c>
      <c r="Q12" s="119">
        <v>0.03</v>
      </c>
      <c r="R12" s="119">
        <v>0.03</v>
      </c>
      <c r="S12" s="119">
        <v>0.03</v>
      </c>
      <c r="T12" s="119">
        <v>0.04</v>
      </c>
      <c r="U12" s="119">
        <v>0.04</v>
      </c>
      <c r="V12" s="119">
        <v>0.04</v>
      </c>
      <c r="W12" s="119">
        <v>0.05</v>
      </c>
      <c r="X12" s="119">
        <v>0.05</v>
      </c>
      <c r="Y12" s="119">
        <v>0.02</v>
      </c>
      <c r="Z12" s="119">
        <v>0.03</v>
      </c>
      <c r="AA12" s="119">
        <v>0.04</v>
      </c>
      <c r="AB12" s="119">
        <v>0.03</v>
      </c>
      <c r="AC12" s="119">
        <v>0.06</v>
      </c>
      <c r="AD12" s="119">
        <v>7.0000000000000007E-2</v>
      </c>
      <c r="AE12" s="119">
        <v>0.05</v>
      </c>
      <c r="AF12" s="119">
        <v>0.06</v>
      </c>
      <c r="AG12" s="119">
        <v>0.06</v>
      </c>
      <c r="AH12" s="119">
        <v>0.05</v>
      </c>
      <c r="AI12" s="119">
        <v>0.08</v>
      </c>
      <c r="AJ12" s="119">
        <v>7.0000000000000007E-2</v>
      </c>
      <c r="AK12" s="119">
        <v>7.0000000000000007E-2</v>
      </c>
      <c r="AL12" s="119">
        <v>0.08</v>
      </c>
      <c r="AM12" s="119">
        <v>0.09</v>
      </c>
      <c r="AN12" s="119">
        <v>0.09</v>
      </c>
      <c r="AO12" s="119">
        <v>0.1</v>
      </c>
      <c r="AP12" s="119">
        <v>0.09</v>
      </c>
      <c r="AQ12" s="119">
        <v>0.09</v>
      </c>
      <c r="AR12" s="119">
        <v>0.09</v>
      </c>
      <c r="AS12" s="119">
        <v>0.1</v>
      </c>
      <c r="AT12" s="119">
        <v>0.1</v>
      </c>
      <c r="AU12" s="119">
        <v>0.1</v>
      </c>
      <c r="AV12" s="119">
        <v>0.09</v>
      </c>
      <c r="AW12" s="119">
        <v>0.08</v>
      </c>
      <c r="AX12" s="119">
        <v>0.09</v>
      </c>
      <c r="AY12" s="119">
        <v>0.09</v>
      </c>
      <c r="AZ12" s="119">
        <v>0.09</v>
      </c>
      <c r="BA12" s="119">
        <v>0.1</v>
      </c>
      <c r="BB12" s="119">
        <v>0.11</v>
      </c>
      <c r="BC12" s="119">
        <v>0.11</v>
      </c>
      <c r="BD12" s="119">
        <v>0.11</v>
      </c>
      <c r="BE12" s="119">
        <v>0.12</v>
      </c>
      <c r="BF12" s="119">
        <v>0.11</v>
      </c>
      <c r="BG12" s="119">
        <v>0.11</v>
      </c>
      <c r="BH12" s="119">
        <v>0.11</v>
      </c>
      <c r="BI12" s="119">
        <v>0.08</v>
      </c>
      <c r="BJ12" s="119">
        <v>0.08</v>
      </c>
      <c r="BK12" s="119">
        <v>0.08</v>
      </c>
      <c r="BL12" s="119">
        <v>0.09</v>
      </c>
      <c r="BM12" s="119">
        <v>0.09</v>
      </c>
      <c r="BN12" s="119">
        <v>0.03</v>
      </c>
      <c r="BO12" s="119">
        <v>0.12</v>
      </c>
      <c r="BP12" s="119">
        <v>0</v>
      </c>
      <c r="BQ12" s="119">
        <v>7.0000000000000007E-2</v>
      </c>
      <c r="BR12" s="119">
        <v>0.16</v>
      </c>
      <c r="BS12" s="119">
        <v>-0.03</v>
      </c>
      <c r="BT12" s="119">
        <v>0.09</v>
      </c>
      <c r="BU12" s="119">
        <v>0.01</v>
      </c>
      <c r="BV12" s="119">
        <v>-0.02</v>
      </c>
      <c r="BW12" s="119">
        <v>0.12</v>
      </c>
      <c r="BX12" s="119">
        <v>0.16</v>
      </c>
      <c r="BY12" s="119">
        <v>0.15</v>
      </c>
      <c r="BZ12" s="119">
        <v>0.14000000000000001</v>
      </c>
      <c r="CA12" s="119">
        <v>0.14000000000000001</v>
      </c>
      <c r="CB12" s="119">
        <v>0.12</v>
      </c>
      <c r="CC12" s="119">
        <v>0.11</v>
      </c>
      <c r="CD12" s="119">
        <v>0.13</v>
      </c>
      <c r="CE12" s="119">
        <v>0.06</v>
      </c>
      <c r="CF12" s="100"/>
      <c r="CG12" s="100"/>
      <c r="CH12" s="100"/>
      <c r="CP12" s="100"/>
      <c r="DH12" s="100"/>
      <c r="DI12" s="100"/>
      <c r="DJ12" s="100"/>
      <c r="DK12" s="100"/>
    </row>
    <row r="13" spans="1:128" ht="13.5" customHeight="1" x14ac:dyDescent="0.75">
      <c r="A13" s="68"/>
      <c r="B13" s="67" t="s">
        <v>230</v>
      </c>
      <c r="C13" s="66" t="s">
        <v>231</v>
      </c>
      <c r="D13" s="119"/>
      <c r="E13" s="119"/>
      <c r="F13" s="119"/>
      <c r="G13" s="119"/>
      <c r="H13" s="119"/>
      <c r="I13" s="119">
        <v>0.03</v>
      </c>
      <c r="J13" s="119">
        <v>0.03</v>
      </c>
      <c r="K13" s="119">
        <v>0.03</v>
      </c>
      <c r="L13" s="119">
        <v>0.04</v>
      </c>
      <c r="M13" s="119">
        <v>0.04</v>
      </c>
      <c r="N13" s="119">
        <v>0.04</v>
      </c>
      <c r="O13" s="119">
        <v>0.04</v>
      </c>
      <c r="P13" s="119">
        <v>0.03</v>
      </c>
      <c r="Q13" s="119">
        <v>0.03</v>
      </c>
      <c r="R13" s="119">
        <v>0.02</v>
      </c>
      <c r="S13" s="119">
        <v>0.02</v>
      </c>
      <c r="T13" s="119">
        <v>0.03</v>
      </c>
      <c r="U13" s="119">
        <v>0.03</v>
      </c>
      <c r="V13" s="119">
        <v>0.03</v>
      </c>
      <c r="W13" s="119">
        <v>0.04</v>
      </c>
      <c r="X13" s="119">
        <v>0.03</v>
      </c>
      <c r="Y13" s="119">
        <v>0.04</v>
      </c>
      <c r="Z13" s="119">
        <v>0.02</v>
      </c>
      <c r="AA13" s="119">
        <v>0.02</v>
      </c>
      <c r="AB13" s="119">
        <v>0.02</v>
      </c>
      <c r="AC13" s="119">
        <v>0.02</v>
      </c>
      <c r="AD13" s="119">
        <v>0.04</v>
      </c>
      <c r="AE13" s="119">
        <v>0.04</v>
      </c>
      <c r="AF13" s="119">
        <v>0.04</v>
      </c>
      <c r="AG13" s="119">
        <v>0.03</v>
      </c>
      <c r="AH13" s="119">
        <v>0.03</v>
      </c>
      <c r="AI13" s="119">
        <v>0.03</v>
      </c>
      <c r="AJ13" s="119">
        <v>0.02</v>
      </c>
      <c r="AK13" s="119">
        <v>0.03</v>
      </c>
      <c r="AL13" s="119">
        <v>0.04</v>
      </c>
      <c r="AM13" s="119">
        <v>0.03</v>
      </c>
      <c r="AN13" s="119">
        <v>0.04</v>
      </c>
      <c r="AO13" s="119">
        <v>0.03</v>
      </c>
      <c r="AP13" s="119">
        <v>0.04</v>
      </c>
      <c r="AQ13" s="119">
        <v>0.04</v>
      </c>
      <c r="AR13" s="119">
        <v>0.04</v>
      </c>
      <c r="AS13" s="119">
        <v>0.04</v>
      </c>
      <c r="AT13" s="119">
        <v>0.04</v>
      </c>
      <c r="AU13" s="119">
        <v>0.04</v>
      </c>
      <c r="AV13" s="119">
        <v>0.03</v>
      </c>
      <c r="AW13" s="119">
        <v>0.03</v>
      </c>
      <c r="AX13" s="119">
        <v>0.03</v>
      </c>
      <c r="AY13" s="119">
        <v>0.03</v>
      </c>
      <c r="AZ13" s="119">
        <v>0.04</v>
      </c>
      <c r="BA13" s="119">
        <v>0.04</v>
      </c>
      <c r="BB13" s="119">
        <v>0.04</v>
      </c>
      <c r="BC13" s="119">
        <v>0.04</v>
      </c>
      <c r="BD13" s="119">
        <v>0.05</v>
      </c>
      <c r="BE13" s="119">
        <v>0.05</v>
      </c>
      <c r="BF13" s="119">
        <v>0.06</v>
      </c>
      <c r="BG13" s="119">
        <v>0.06</v>
      </c>
      <c r="BH13" s="119">
        <v>0.05</v>
      </c>
      <c r="BI13" s="119">
        <v>0.04</v>
      </c>
      <c r="BJ13" s="119">
        <v>0.03</v>
      </c>
      <c r="BK13" s="119">
        <v>0.04</v>
      </c>
      <c r="BL13" s="119">
        <v>0.04</v>
      </c>
      <c r="BM13" s="119">
        <v>0.05</v>
      </c>
      <c r="BN13" s="119">
        <v>0.05</v>
      </c>
      <c r="BO13" s="119">
        <v>0.05</v>
      </c>
      <c r="BP13" s="119">
        <v>0.05</v>
      </c>
      <c r="BQ13" s="119">
        <v>0.06</v>
      </c>
      <c r="BR13" s="119">
        <v>0.08</v>
      </c>
      <c r="BS13" s="119">
        <v>7.0000000000000007E-2</v>
      </c>
      <c r="BT13" s="119">
        <v>7.0000000000000007E-2</v>
      </c>
      <c r="BU13" s="119">
        <v>0.05</v>
      </c>
      <c r="BV13" s="119">
        <v>0.05</v>
      </c>
      <c r="BW13" s="119">
        <v>0.06</v>
      </c>
      <c r="BX13" s="119">
        <v>0.06</v>
      </c>
      <c r="BY13" s="119">
        <v>7.0000000000000007E-2</v>
      </c>
      <c r="BZ13" s="119">
        <v>0.06</v>
      </c>
      <c r="CA13" s="119">
        <v>0.05</v>
      </c>
      <c r="CB13" s="119">
        <v>0.05</v>
      </c>
      <c r="CC13" s="119">
        <v>0.05</v>
      </c>
      <c r="CD13" s="119">
        <v>0.06</v>
      </c>
      <c r="CE13" s="119">
        <v>0.06</v>
      </c>
      <c r="CF13" s="100"/>
      <c r="CG13" s="100"/>
      <c r="CH13" s="100"/>
      <c r="CP13" s="100"/>
      <c r="DH13" s="100"/>
      <c r="DI13" s="100"/>
      <c r="DJ13" s="100"/>
      <c r="DK13" s="100"/>
      <c r="DL13" s="134"/>
      <c r="DM13" s="135"/>
      <c r="DN13" s="134"/>
      <c r="DO13" s="135"/>
      <c r="DP13" s="134"/>
    </row>
    <row r="14" spans="1:128" ht="13.5" customHeight="1" x14ac:dyDescent="0.75">
      <c r="A14" s="68"/>
      <c r="B14" s="67" t="s">
        <v>232</v>
      </c>
      <c r="C14" s="66" t="s">
        <v>233</v>
      </c>
      <c r="D14" s="119"/>
      <c r="E14" s="119"/>
      <c r="F14" s="119"/>
      <c r="G14" s="119"/>
      <c r="H14" s="119"/>
      <c r="I14" s="119">
        <v>0.03</v>
      </c>
      <c r="J14" s="119">
        <v>0.03</v>
      </c>
      <c r="K14" s="119">
        <v>0.03</v>
      </c>
      <c r="L14" s="119">
        <v>0.03</v>
      </c>
      <c r="M14" s="119">
        <v>0.03</v>
      </c>
      <c r="N14" s="119">
        <v>0.03</v>
      </c>
      <c r="O14" s="119">
        <v>0.03</v>
      </c>
      <c r="P14" s="119">
        <v>0.03</v>
      </c>
      <c r="Q14" s="119">
        <v>0.03</v>
      </c>
      <c r="R14" s="119">
        <v>0.03</v>
      </c>
      <c r="S14" s="119">
        <v>0.03</v>
      </c>
      <c r="T14" s="119">
        <v>0.03</v>
      </c>
      <c r="U14" s="119">
        <v>0.03</v>
      </c>
      <c r="V14" s="119">
        <v>0.03</v>
      </c>
      <c r="W14" s="119">
        <v>0.03</v>
      </c>
      <c r="X14" s="119">
        <v>0.03</v>
      </c>
      <c r="Y14" s="119">
        <v>7.0000000000000007E-2</v>
      </c>
      <c r="Z14" s="119">
        <v>7.0000000000000007E-2</v>
      </c>
      <c r="AA14" s="119">
        <v>-0.01</v>
      </c>
      <c r="AB14" s="119">
        <v>-0.02</v>
      </c>
      <c r="AC14" s="119">
        <v>-0.06</v>
      </c>
      <c r="AD14" s="119">
        <v>-0.06</v>
      </c>
      <c r="AE14" s="119">
        <v>0.01</v>
      </c>
      <c r="AF14" s="119">
        <v>0.02</v>
      </c>
      <c r="AG14" s="119">
        <v>0.03</v>
      </c>
      <c r="AH14" s="119">
        <v>0.04</v>
      </c>
      <c r="AI14" s="119">
        <v>0.05</v>
      </c>
      <c r="AJ14" s="119">
        <v>0.06</v>
      </c>
      <c r="AK14" s="119">
        <v>0.05</v>
      </c>
      <c r="AL14" s="119">
        <v>0.04</v>
      </c>
      <c r="AM14" s="119">
        <v>0.03</v>
      </c>
      <c r="AN14" s="119">
        <v>0.02</v>
      </c>
      <c r="AO14" s="119">
        <v>0.03</v>
      </c>
      <c r="AP14" s="119">
        <v>0.03</v>
      </c>
      <c r="AQ14" s="119">
        <v>0.03</v>
      </c>
      <c r="AR14" s="119">
        <v>0.03</v>
      </c>
      <c r="AS14" s="119">
        <v>0.03</v>
      </c>
      <c r="AT14" s="119">
        <v>0.02</v>
      </c>
      <c r="AU14" s="119">
        <v>0.03</v>
      </c>
      <c r="AV14" s="119">
        <v>0.02</v>
      </c>
      <c r="AW14" s="119">
        <v>0.03</v>
      </c>
      <c r="AX14" s="119">
        <v>0.05</v>
      </c>
      <c r="AY14" s="119">
        <v>0.05</v>
      </c>
      <c r="AZ14" s="119">
        <v>0.08</v>
      </c>
      <c r="BA14" s="119">
        <v>0.08</v>
      </c>
      <c r="BB14" s="119">
        <v>0.06</v>
      </c>
      <c r="BC14" s="119">
        <v>0.05</v>
      </c>
      <c r="BD14" s="119">
        <v>0.02</v>
      </c>
      <c r="BE14" s="119">
        <v>0.02</v>
      </c>
      <c r="BF14" s="119">
        <v>0.03</v>
      </c>
      <c r="BG14" s="119">
        <v>0.04</v>
      </c>
      <c r="BH14" s="119">
        <v>0.05</v>
      </c>
      <c r="BI14" s="119">
        <v>0.05</v>
      </c>
      <c r="BJ14" s="119">
        <v>-0.48</v>
      </c>
      <c r="BK14" s="119">
        <v>-0.2</v>
      </c>
      <c r="BL14" s="119">
        <v>0.01</v>
      </c>
      <c r="BM14" s="119">
        <v>0.01</v>
      </c>
      <c r="BN14" s="119">
        <v>1.03</v>
      </c>
      <c r="BO14" s="119">
        <v>0.32</v>
      </c>
      <c r="BP14" s="119">
        <v>0.04</v>
      </c>
      <c r="BQ14" s="119">
        <v>0.04</v>
      </c>
      <c r="BR14" s="119">
        <v>0.02</v>
      </c>
      <c r="BS14" s="119">
        <v>0</v>
      </c>
      <c r="BT14" s="119">
        <v>-0.01</v>
      </c>
      <c r="BU14" s="119">
        <v>-0.05</v>
      </c>
      <c r="BV14" s="119">
        <v>-0.01</v>
      </c>
      <c r="BW14" s="119">
        <v>-0.02</v>
      </c>
      <c r="BX14" s="119">
        <v>-0.1</v>
      </c>
      <c r="BY14" s="119">
        <v>-0.1</v>
      </c>
      <c r="BZ14" s="119">
        <v>-0.06</v>
      </c>
      <c r="CA14" s="119">
        <v>0.01</v>
      </c>
      <c r="CB14" s="119">
        <v>0.12</v>
      </c>
      <c r="CC14" s="119">
        <v>0.22</v>
      </c>
      <c r="CD14" s="119">
        <v>0.18</v>
      </c>
      <c r="CE14" s="119">
        <v>0.34</v>
      </c>
      <c r="CF14" s="100"/>
      <c r="CG14" s="100"/>
      <c r="CH14" s="100"/>
      <c r="CP14" s="100"/>
      <c r="DH14" s="100"/>
      <c r="DI14" s="100"/>
      <c r="DJ14" s="100"/>
      <c r="DK14" s="100"/>
      <c r="DL14" s="134"/>
    </row>
    <row r="15" spans="1:128" ht="14.25" customHeight="1" x14ac:dyDescent="0.75">
      <c r="A15" s="64"/>
      <c r="B15" s="81" t="s">
        <v>234</v>
      </c>
      <c r="C15" s="82" t="s">
        <v>235</v>
      </c>
      <c r="D15" s="117"/>
      <c r="E15" s="117"/>
      <c r="F15" s="117"/>
      <c r="G15" s="117"/>
      <c r="H15" s="117"/>
      <c r="I15" s="117">
        <v>0.22</v>
      </c>
      <c r="J15" s="117">
        <v>0.05</v>
      </c>
      <c r="K15" s="117">
        <v>0.06</v>
      </c>
      <c r="L15" s="117">
        <v>0.05</v>
      </c>
      <c r="M15" s="117">
        <v>0.1</v>
      </c>
      <c r="N15" s="117">
        <v>0.21</v>
      </c>
      <c r="O15" s="117">
        <v>0.17</v>
      </c>
      <c r="P15" s="117">
        <v>0.12</v>
      </c>
      <c r="Q15" s="117">
        <v>0.14000000000000001</v>
      </c>
      <c r="R15" s="117">
        <v>-0.01</v>
      </c>
      <c r="S15" s="117">
        <v>-7.0000000000000007E-2</v>
      </c>
      <c r="T15" s="117">
        <v>0</v>
      </c>
      <c r="U15" s="117">
        <v>7.0000000000000007E-2</v>
      </c>
      <c r="V15" s="117">
        <v>0.04</v>
      </c>
      <c r="W15" s="117">
        <v>0.09</v>
      </c>
      <c r="X15" s="117">
        <v>0.13</v>
      </c>
      <c r="Y15" s="117">
        <v>0.15</v>
      </c>
      <c r="Z15" s="117">
        <v>0.14000000000000001</v>
      </c>
      <c r="AA15" s="117">
        <v>0.22</v>
      </c>
      <c r="AB15" s="117">
        <v>0.2</v>
      </c>
      <c r="AC15" s="117">
        <v>0.03</v>
      </c>
      <c r="AD15" s="117">
        <v>0.1</v>
      </c>
      <c r="AE15" s="117">
        <v>0.1</v>
      </c>
      <c r="AF15" s="117">
        <v>0.1</v>
      </c>
      <c r="AG15" s="117">
        <v>0.14000000000000001</v>
      </c>
      <c r="AH15" s="117">
        <v>0.18</v>
      </c>
      <c r="AI15" s="117">
        <v>0.08</v>
      </c>
      <c r="AJ15" s="117">
        <v>0</v>
      </c>
      <c r="AK15" s="117">
        <v>0</v>
      </c>
      <c r="AL15" s="117">
        <v>0</v>
      </c>
      <c r="AM15" s="117">
        <v>0.09</v>
      </c>
      <c r="AN15" s="117">
        <v>0.01</v>
      </c>
      <c r="AO15" s="117">
        <v>0.06</v>
      </c>
      <c r="AP15" s="117">
        <v>0.09</v>
      </c>
      <c r="AQ15" s="117">
        <v>0.05</v>
      </c>
      <c r="AR15" s="117">
        <v>0.16</v>
      </c>
      <c r="AS15" s="117">
        <v>0.16</v>
      </c>
      <c r="AT15" s="117">
        <v>0.12</v>
      </c>
      <c r="AU15" s="117">
        <v>0.01</v>
      </c>
      <c r="AV15" s="117">
        <v>-0.01</v>
      </c>
      <c r="AW15" s="117">
        <v>-0.03</v>
      </c>
      <c r="AX15" s="117">
        <v>-0.01</v>
      </c>
      <c r="AY15" s="117">
        <v>0.04</v>
      </c>
      <c r="AZ15" s="117">
        <v>0.05</v>
      </c>
      <c r="BA15" s="117">
        <v>0.04</v>
      </c>
      <c r="BB15" s="117">
        <v>0.08</v>
      </c>
      <c r="BC15" s="117">
        <v>0.1</v>
      </c>
      <c r="BD15" s="117">
        <v>0.12</v>
      </c>
      <c r="BE15" s="117">
        <v>0.15</v>
      </c>
      <c r="BF15" s="117">
        <v>0.21</v>
      </c>
      <c r="BG15" s="117">
        <v>0.16</v>
      </c>
      <c r="BH15" s="117">
        <v>0.14000000000000001</v>
      </c>
      <c r="BI15" s="117">
        <v>0.02</v>
      </c>
      <c r="BJ15" s="117">
        <v>-0.19</v>
      </c>
      <c r="BK15" s="117">
        <v>-0.01</v>
      </c>
      <c r="BL15" s="117">
        <v>0.02</v>
      </c>
      <c r="BM15" s="117">
        <v>0.1</v>
      </c>
      <c r="BN15" s="117">
        <v>0.15</v>
      </c>
      <c r="BO15" s="117">
        <v>-0.05</v>
      </c>
      <c r="BP15" s="117">
        <v>0.02</v>
      </c>
      <c r="BQ15" s="117">
        <v>0.19</v>
      </c>
      <c r="BR15" s="117">
        <v>0.39</v>
      </c>
      <c r="BS15" s="117">
        <v>0.15</v>
      </c>
      <c r="BT15" s="117">
        <v>0.14000000000000001</v>
      </c>
      <c r="BU15" s="117">
        <v>0.02</v>
      </c>
      <c r="BV15" s="117">
        <v>-0.03</v>
      </c>
      <c r="BW15" s="117">
        <v>0.16</v>
      </c>
      <c r="BX15" s="117">
        <v>0.2</v>
      </c>
      <c r="BY15" s="117">
        <v>0.18</v>
      </c>
      <c r="BZ15" s="117">
        <v>0.13</v>
      </c>
      <c r="CA15" s="117">
        <v>0.01</v>
      </c>
      <c r="CB15" s="117">
        <v>-0.01</v>
      </c>
      <c r="CC15" s="117">
        <v>0.05</v>
      </c>
      <c r="CD15" s="117">
        <v>7.0000000000000007E-2</v>
      </c>
      <c r="CE15" s="117">
        <v>0.17</v>
      </c>
      <c r="CF15" s="100"/>
      <c r="CG15" s="100"/>
      <c r="CH15" s="100"/>
      <c r="CP15" s="100"/>
      <c r="DH15" s="100"/>
      <c r="DI15" s="100"/>
      <c r="DJ15" s="100"/>
      <c r="DK15" s="100"/>
      <c r="DL15" s="134"/>
    </row>
    <row r="16" spans="1:128" ht="13.5" customHeight="1" x14ac:dyDescent="0.75">
      <c r="A16" s="68"/>
      <c r="B16" s="67" t="s">
        <v>236</v>
      </c>
      <c r="C16" s="66" t="s">
        <v>237</v>
      </c>
      <c r="D16" s="120"/>
      <c r="E16" s="120"/>
      <c r="F16" s="120"/>
      <c r="G16" s="120"/>
      <c r="H16" s="120"/>
      <c r="I16" s="119">
        <v>1.0900000000000001</v>
      </c>
      <c r="J16" s="119">
        <v>0.42</v>
      </c>
      <c r="K16" s="119">
        <v>0.16</v>
      </c>
      <c r="L16" s="119">
        <v>0.28999999999999998</v>
      </c>
      <c r="M16" s="119">
        <v>-0.23</v>
      </c>
      <c r="N16" s="119">
        <v>0.02</v>
      </c>
      <c r="O16" s="119">
        <v>-0.11</v>
      </c>
      <c r="P16" s="119">
        <v>-0.28000000000000003</v>
      </c>
      <c r="Q16" s="119">
        <v>-0.09</v>
      </c>
      <c r="R16" s="119">
        <v>-0.33</v>
      </c>
      <c r="S16" s="119">
        <v>-0.02</v>
      </c>
      <c r="T16" s="119">
        <v>-0.23</v>
      </c>
      <c r="U16" s="119">
        <v>-0.42</v>
      </c>
      <c r="V16" s="119">
        <v>0.03</v>
      </c>
      <c r="W16" s="119">
        <v>-0.1</v>
      </c>
      <c r="X16" s="119">
        <v>0.1</v>
      </c>
      <c r="Y16" s="119">
        <v>1.18</v>
      </c>
      <c r="Z16" s="119">
        <v>0.14000000000000001</v>
      </c>
      <c r="AA16" s="119">
        <v>0.37</v>
      </c>
      <c r="AB16" s="119">
        <v>0.57999999999999996</v>
      </c>
      <c r="AC16" s="119">
        <v>-0.03</v>
      </c>
      <c r="AD16" s="119">
        <v>-0.02</v>
      </c>
      <c r="AE16" s="119">
        <v>-0.1</v>
      </c>
      <c r="AF16" s="119">
        <v>-0.12</v>
      </c>
      <c r="AG16" s="119">
        <v>0.11</v>
      </c>
      <c r="AH16" s="119">
        <v>0.32</v>
      </c>
      <c r="AI16" s="119">
        <v>0.2</v>
      </c>
      <c r="AJ16" s="119">
        <v>0.17</v>
      </c>
      <c r="AK16" s="119">
        <v>0.16</v>
      </c>
      <c r="AL16" s="119">
        <v>0.06</v>
      </c>
      <c r="AM16" s="119">
        <v>0.7</v>
      </c>
      <c r="AN16" s="119">
        <v>0.08</v>
      </c>
      <c r="AO16" s="119">
        <v>-0.03</v>
      </c>
      <c r="AP16" s="119">
        <v>0.02</v>
      </c>
      <c r="AQ16" s="119">
        <v>-0.23</v>
      </c>
      <c r="AR16" s="119">
        <v>0.15</v>
      </c>
      <c r="AS16" s="119">
        <v>0.12</v>
      </c>
      <c r="AT16" s="119">
        <v>0.27</v>
      </c>
      <c r="AU16" s="119">
        <v>0.02</v>
      </c>
      <c r="AV16" s="119">
        <v>0.04</v>
      </c>
      <c r="AW16" s="119">
        <v>0.17</v>
      </c>
      <c r="AX16" s="119">
        <v>0.06</v>
      </c>
      <c r="AY16" s="119">
        <v>0.24</v>
      </c>
      <c r="AZ16" s="119">
        <v>0.33</v>
      </c>
      <c r="BA16" s="119">
        <v>-0.03</v>
      </c>
      <c r="BB16" s="119">
        <v>7.0000000000000007E-2</v>
      </c>
      <c r="BC16" s="119">
        <v>0.06</v>
      </c>
      <c r="BD16" s="119">
        <v>0.02</v>
      </c>
      <c r="BE16" s="119">
        <v>0.16</v>
      </c>
      <c r="BF16" s="119">
        <v>0.15</v>
      </c>
      <c r="BG16" s="119">
        <v>-0.13</v>
      </c>
      <c r="BH16" s="119">
        <v>-0.12</v>
      </c>
      <c r="BI16" s="119">
        <v>-0.26</v>
      </c>
      <c r="BJ16" s="119">
        <v>-0.53</v>
      </c>
      <c r="BK16" s="119">
        <v>-0.24</v>
      </c>
      <c r="BL16" s="119">
        <v>-0.19</v>
      </c>
      <c r="BM16" s="119">
        <v>0.03</v>
      </c>
      <c r="BN16" s="119">
        <v>0.3</v>
      </c>
      <c r="BO16" s="119">
        <v>0.05</v>
      </c>
      <c r="BP16" s="119">
        <v>-0.05</v>
      </c>
      <c r="BQ16" s="119">
        <v>0.24</v>
      </c>
      <c r="BR16" s="119">
        <v>0.5</v>
      </c>
      <c r="BS16" s="119">
        <v>0.18</v>
      </c>
      <c r="BT16" s="119">
        <v>0.23</v>
      </c>
      <c r="BU16" s="119">
        <v>-0.02</v>
      </c>
      <c r="BV16" s="119">
        <v>-0.04</v>
      </c>
      <c r="BW16" s="119">
        <v>0.16</v>
      </c>
      <c r="BX16" s="119">
        <v>0.2</v>
      </c>
      <c r="BY16" s="119">
        <v>0.28999999999999998</v>
      </c>
      <c r="BZ16" s="119">
        <v>0.1</v>
      </c>
      <c r="CA16" s="119">
        <v>0.04</v>
      </c>
      <c r="CB16" s="119">
        <v>-7.0000000000000007E-2</v>
      </c>
      <c r="CC16" s="119">
        <v>-0.01</v>
      </c>
      <c r="CD16" s="119">
        <v>0.12</v>
      </c>
      <c r="CE16" s="119">
        <v>0.14000000000000001</v>
      </c>
      <c r="CF16" s="100"/>
      <c r="CG16" s="100"/>
      <c r="CH16" s="100"/>
      <c r="CP16" s="100"/>
      <c r="DH16" s="100"/>
      <c r="DI16" s="100"/>
      <c r="DJ16" s="100"/>
      <c r="DK16" s="100"/>
    </row>
    <row r="17" spans="1:126" ht="14.25" customHeight="1" x14ac:dyDescent="0.75">
      <c r="A17" s="64"/>
      <c r="B17" s="88" t="s">
        <v>238</v>
      </c>
      <c r="C17" s="89" t="s">
        <v>239</v>
      </c>
      <c r="D17" s="120"/>
      <c r="E17" s="120"/>
      <c r="F17" s="120"/>
      <c r="G17" s="120"/>
      <c r="H17" s="120"/>
      <c r="I17" s="120">
        <v>0.09</v>
      </c>
      <c r="J17" s="120">
        <v>-0.01</v>
      </c>
      <c r="K17" s="120">
        <v>-0.01</v>
      </c>
      <c r="L17" s="120">
        <v>-0.03</v>
      </c>
      <c r="M17" s="120">
        <v>0.09</v>
      </c>
      <c r="N17" s="120">
        <v>0.15</v>
      </c>
      <c r="O17" s="120">
        <v>0.01</v>
      </c>
      <c r="P17" s="120">
        <v>0</v>
      </c>
      <c r="Q17" s="120">
        <v>0.03</v>
      </c>
      <c r="R17" s="120">
        <v>0.01</v>
      </c>
      <c r="S17" s="120">
        <v>0.02</v>
      </c>
      <c r="T17" s="120">
        <v>0.06</v>
      </c>
      <c r="U17" s="120">
        <v>0.15</v>
      </c>
      <c r="V17" s="120">
        <v>0.06</v>
      </c>
      <c r="W17" s="120">
        <v>0.08</v>
      </c>
      <c r="X17" s="120">
        <v>0.09</v>
      </c>
      <c r="Y17" s="120">
        <v>0.01</v>
      </c>
      <c r="Z17" s="120">
        <v>7.0000000000000007E-2</v>
      </c>
      <c r="AA17" s="120">
        <v>0.15</v>
      </c>
      <c r="AB17" s="120">
        <v>0.1</v>
      </c>
      <c r="AC17" s="120">
        <v>0.09</v>
      </c>
      <c r="AD17" s="120">
        <v>7.0000000000000007E-2</v>
      </c>
      <c r="AE17" s="120">
        <v>0.03</v>
      </c>
      <c r="AF17" s="120">
        <v>0.05</v>
      </c>
      <c r="AG17" s="120">
        <v>0.09</v>
      </c>
      <c r="AH17" s="120">
        <v>0.11</v>
      </c>
      <c r="AI17" s="120">
        <v>0.02</v>
      </c>
      <c r="AJ17" s="120">
        <v>-0.03</v>
      </c>
      <c r="AK17" s="120">
        <v>-0.14000000000000001</v>
      </c>
      <c r="AL17" s="120">
        <v>-0.14000000000000001</v>
      </c>
      <c r="AM17" s="120">
        <v>-0.13</v>
      </c>
      <c r="AN17" s="120">
        <v>-0.09</v>
      </c>
      <c r="AO17" s="120">
        <v>0.1</v>
      </c>
      <c r="AP17" s="120">
        <v>0.08</v>
      </c>
      <c r="AQ17" s="120">
        <v>7.0000000000000007E-2</v>
      </c>
      <c r="AR17" s="120">
        <v>0.08</v>
      </c>
      <c r="AS17" s="120">
        <v>0.13</v>
      </c>
      <c r="AT17" s="120">
        <v>0.12</v>
      </c>
      <c r="AU17" s="120">
        <v>0.01</v>
      </c>
      <c r="AV17" s="120">
        <v>0.02</v>
      </c>
      <c r="AW17" s="120">
        <v>0.03</v>
      </c>
      <c r="AX17" s="120">
        <v>0.06</v>
      </c>
      <c r="AY17" s="120">
        <v>7.0000000000000007E-2</v>
      </c>
      <c r="AZ17" s="120">
        <v>0.1</v>
      </c>
      <c r="BA17" s="120">
        <v>0.12</v>
      </c>
      <c r="BB17" s="120">
        <v>0.14000000000000001</v>
      </c>
      <c r="BC17" s="120">
        <v>0.14000000000000001</v>
      </c>
      <c r="BD17" s="120">
        <v>0.15</v>
      </c>
      <c r="BE17" s="120">
        <v>7.0000000000000007E-2</v>
      </c>
      <c r="BF17" s="120">
        <v>0.15</v>
      </c>
      <c r="BG17" s="120">
        <v>0.13</v>
      </c>
      <c r="BH17" s="120">
        <v>0.09</v>
      </c>
      <c r="BI17" s="120">
        <v>0.06</v>
      </c>
      <c r="BJ17" s="120">
        <v>-0.13</v>
      </c>
      <c r="BK17" s="120">
        <v>0.06</v>
      </c>
      <c r="BL17" s="120">
        <v>0.1</v>
      </c>
      <c r="BM17" s="120">
        <v>0.08</v>
      </c>
      <c r="BN17" s="120">
        <v>0.28999999999999998</v>
      </c>
      <c r="BO17" s="120">
        <v>-0.12</v>
      </c>
      <c r="BP17" s="120">
        <v>0.09</v>
      </c>
      <c r="BQ17" s="120">
        <v>0.1</v>
      </c>
      <c r="BR17" s="120">
        <v>0.12</v>
      </c>
      <c r="BS17" s="120">
        <v>0.08</v>
      </c>
      <c r="BT17" s="120">
        <v>7.0000000000000007E-2</v>
      </c>
      <c r="BU17" s="120">
        <v>0.16</v>
      </c>
      <c r="BV17" s="120">
        <v>0.01</v>
      </c>
      <c r="BW17" s="120">
        <v>0.11</v>
      </c>
      <c r="BX17" s="120">
        <v>0.12</v>
      </c>
      <c r="BY17" s="120">
        <v>-0.01</v>
      </c>
      <c r="BZ17" s="120">
        <v>0.1</v>
      </c>
      <c r="CA17" s="120">
        <v>0.08</v>
      </c>
      <c r="CB17" s="120">
        <v>7.0000000000000007E-2</v>
      </c>
      <c r="CC17" s="120">
        <v>0.09</v>
      </c>
      <c r="CD17" s="120">
        <v>0.08</v>
      </c>
      <c r="CE17" s="120">
        <v>0.14000000000000001</v>
      </c>
      <c r="CF17" s="100"/>
      <c r="CG17" s="100"/>
      <c r="CH17" s="100"/>
      <c r="CP17" s="100"/>
      <c r="DH17" s="100"/>
      <c r="DI17" s="100"/>
      <c r="DJ17" s="100"/>
      <c r="DK17" s="100"/>
    </row>
    <row r="18" spans="1:126" s="123" customFormat="1" ht="13.5" customHeight="1" x14ac:dyDescent="0.75">
      <c r="A18" s="121"/>
      <c r="B18" s="63" t="s">
        <v>240</v>
      </c>
      <c r="C18" s="93" t="s">
        <v>241</v>
      </c>
      <c r="D18" s="122"/>
      <c r="E18" s="122"/>
      <c r="F18" s="122"/>
      <c r="G18" s="122"/>
      <c r="H18" s="122"/>
      <c r="I18" s="122">
        <v>0.12</v>
      </c>
      <c r="J18" s="122">
        <v>-0.09</v>
      </c>
      <c r="K18" s="122">
        <v>-0.02</v>
      </c>
      <c r="L18" s="122">
        <v>-0.13</v>
      </c>
      <c r="M18" s="122">
        <v>0.13</v>
      </c>
      <c r="N18" s="122">
        <v>0.25</v>
      </c>
      <c r="O18" s="122">
        <v>0</v>
      </c>
      <c r="P18" s="122">
        <v>-0.02</v>
      </c>
      <c r="Q18" s="122">
        <v>0.1</v>
      </c>
      <c r="R18" s="122">
        <v>7.0000000000000007E-2</v>
      </c>
      <c r="S18" s="122">
        <v>0.05</v>
      </c>
      <c r="T18" s="122">
        <v>0.04</v>
      </c>
      <c r="U18" s="122">
        <v>0.08</v>
      </c>
      <c r="V18" s="122">
        <v>0.05</v>
      </c>
      <c r="W18" s="122">
        <v>0.11</v>
      </c>
      <c r="X18" s="122">
        <v>0.12</v>
      </c>
      <c r="Y18" s="122">
        <v>-0.09</v>
      </c>
      <c r="Z18" s="122">
        <v>-0.11</v>
      </c>
      <c r="AA18" s="122">
        <v>0.1</v>
      </c>
      <c r="AB18" s="122">
        <v>0.24</v>
      </c>
      <c r="AC18" s="122">
        <v>0.04</v>
      </c>
      <c r="AD18" s="122">
        <v>0.05</v>
      </c>
      <c r="AE18" s="122">
        <v>-0.03</v>
      </c>
      <c r="AF18" s="122">
        <v>0</v>
      </c>
      <c r="AG18" s="122">
        <v>0.35</v>
      </c>
      <c r="AH18" s="122">
        <v>0.24</v>
      </c>
      <c r="AI18" s="122">
        <v>-0.05</v>
      </c>
      <c r="AJ18" s="122">
        <v>-0.09</v>
      </c>
      <c r="AK18" s="122">
        <v>-0.01</v>
      </c>
      <c r="AL18" s="122">
        <v>0.05</v>
      </c>
      <c r="AM18" s="122">
        <v>0.09</v>
      </c>
      <c r="AN18" s="122">
        <v>0.1</v>
      </c>
      <c r="AO18" s="122">
        <v>0.06</v>
      </c>
      <c r="AP18" s="122">
        <v>0.02</v>
      </c>
      <c r="AQ18" s="122">
        <v>-0.06</v>
      </c>
      <c r="AR18" s="122">
        <v>0.02</v>
      </c>
      <c r="AS18" s="122">
        <v>0.17</v>
      </c>
      <c r="AT18" s="122">
        <v>0.17</v>
      </c>
      <c r="AU18" s="122">
        <v>-0.02</v>
      </c>
      <c r="AV18" s="122">
        <v>0.01</v>
      </c>
      <c r="AW18" s="122">
        <v>0.03</v>
      </c>
      <c r="AX18" s="122">
        <v>0.06</v>
      </c>
      <c r="AY18" s="122">
        <v>0.22</v>
      </c>
      <c r="AZ18" s="122">
        <v>0.19</v>
      </c>
      <c r="BA18" s="122">
        <v>0.17</v>
      </c>
      <c r="BB18" s="122">
        <v>0.24</v>
      </c>
      <c r="BC18" s="122">
        <v>0.01</v>
      </c>
      <c r="BD18" s="122">
        <v>0.09</v>
      </c>
      <c r="BE18" s="122">
        <v>-0.01</v>
      </c>
      <c r="BF18" s="122">
        <v>0.04</v>
      </c>
      <c r="BG18" s="122">
        <v>0.15</v>
      </c>
      <c r="BH18" s="122">
        <v>0.02</v>
      </c>
      <c r="BI18" s="122">
        <v>0.11</v>
      </c>
      <c r="BJ18" s="122">
        <v>0</v>
      </c>
      <c r="BK18" s="122">
        <v>0.08</v>
      </c>
      <c r="BL18" s="122">
        <v>0.1</v>
      </c>
      <c r="BM18" s="122">
        <v>7.0000000000000007E-2</v>
      </c>
      <c r="BN18" s="122">
        <v>0.57999999999999996</v>
      </c>
      <c r="BO18" s="122">
        <v>0.01</v>
      </c>
      <c r="BP18" s="122">
        <v>0.67</v>
      </c>
      <c r="BQ18" s="122">
        <v>0.08</v>
      </c>
      <c r="BR18" s="122">
        <v>0.21</v>
      </c>
      <c r="BS18" s="122">
        <v>0.12</v>
      </c>
      <c r="BT18" s="122">
        <v>0.13</v>
      </c>
      <c r="BU18" s="122">
        <v>0.22</v>
      </c>
      <c r="BV18" s="122">
        <v>0.02</v>
      </c>
      <c r="BW18" s="122">
        <v>0.09</v>
      </c>
      <c r="BX18" s="122">
        <v>0.21</v>
      </c>
      <c r="BY18" s="122">
        <v>0.04</v>
      </c>
      <c r="BZ18" s="122">
        <v>0.05</v>
      </c>
      <c r="CA18" s="122">
        <v>0.06</v>
      </c>
      <c r="CB18" s="122">
        <v>-0.05</v>
      </c>
      <c r="CC18" s="122">
        <v>0.05</v>
      </c>
      <c r="CD18" s="122">
        <v>0.1</v>
      </c>
      <c r="CE18" s="122">
        <v>0.12</v>
      </c>
      <c r="CF18" s="100"/>
      <c r="CG18" s="100"/>
      <c r="CH18" s="100"/>
      <c r="CI18" s="100"/>
      <c r="CJ18" s="100"/>
      <c r="CK18" s="100"/>
      <c r="CL18" s="100"/>
      <c r="CM18" s="100"/>
      <c r="CN18" s="100"/>
      <c r="CO18" s="100"/>
      <c r="CP18" s="100"/>
      <c r="CQ18" s="100"/>
      <c r="CR18" s="100"/>
      <c r="CS18" s="100"/>
      <c r="CT18" s="100"/>
      <c r="CU18" s="100"/>
      <c r="CV18" s="100"/>
      <c r="CW18" s="100"/>
      <c r="CX18" s="100"/>
      <c r="CY18" s="100"/>
      <c r="CZ18" s="100"/>
      <c r="DA18" s="100"/>
      <c r="DB18" s="100"/>
      <c r="DC18" s="100"/>
      <c r="DD18" s="100"/>
      <c r="DE18" s="100"/>
      <c r="DF18" s="100"/>
      <c r="DG18" s="100"/>
      <c r="DH18" s="100"/>
      <c r="DI18" s="100"/>
      <c r="DJ18" s="100"/>
      <c r="DK18" s="100"/>
      <c r="DL18" s="100"/>
      <c r="DM18" s="100"/>
      <c r="DN18" s="100"/>
      <c r="DO18" s="100"/>
      <c r="DP18" s="100"/>
      <c r="DQ18" s="100"/>
      <c r="DR18" s="100"/>
      <c r="DS18" s="100"/>
      <c r="DT18" s="100"/>
      <c r="DU18" s="100"/>
      <c r="DV18" s="100"/>
    </row>
    <row r="19" spans="1:126" s="123" customFormat="1" ht="13.5" customHeight="1" x14ac:dyDescent="0.75">
      <c r="A19" s="121"/>
      <c r="B19" s="63" t="s">
        <v>242</v>
      </c>
      <c r="C19" s="93" t="s">
        <v>243</v>
      </c>
      <c r="D19" s="122"/>
      <c r="E19" s="122"/>
      <c r="F19" s="122"/>
      <c r="G19" s="122"/>
      <c r="H19" s="122"/>
      <c r="I19" s="122">
        <v>0.03</v>
      </c>
      <c r="J19" s="122">
        <v>0.04</v>
      </c>
      <c r="K19" s="122">
        <v>-0.06</v>
      </c>
      <c r="L19" s="122">
        <v>-0.04</v>
      </c>
      <c r="M19" s="122">
        <v>0.09</v>
      </c>
      <c r="N19" s="122">
        <v>0.11</v>
      </c>
      <c r="O19" s="122">
        <v>0</v>
      </c>
      <c r="P19" s="122">
        <v>-0.05</v>
      </c>
      <c r="Q19" s="122">
        <v>0.03</v>
      </c>
      <c r="R19" s="122">
        <v>0</v>
      </c>
      <c r="S19" s="122">
        <v>0.06</v>
      </c>
      <c r="T19" s="122">
        <v>0.08</v>
      </c>
      <c r="U19" s="122">
        <v>0</v>
      </c>
      <c r="V19" s="122">
        <v>-0.01</v>
      </c>
      <c r="W19" s="122">
        <v>0.06</v>
      </c>
      <c r="X19" s="122">
        <v>0.03</v>
      </c>
      <c r="Y19" s="122">
        <v>0.1</v>
      </c>
      <c r="Z19" s="122">
        <v>0.15</v>
      </c>
      <c r="AA19" s="122">
        <v>0.05</v>
      </c>
      <c r="AB19" s="122">
        <v>0.01</v>
      </c>
      <c r="AC19" s="122">
        <v>0.09</v>
      </c>
      <c r="AD19" s="122">
        <v>0.03</v>
      </c>
      <c r="AE19" s="122">
        <v>0.01</v>
      </c>
      <c r="AF19" s="122">
        <v>0.05</v>
      </c>
      <c r="AG19" s="122">
        <v>0.01</v>
      </c>
      <c r="AH19" s="122">
        <v>0.1</v>
      </c>
      <c r="AI19" s="122">
        <v>0.04</v>
      </c>
      <c r="AJ19" s="122">
        <v>0</v>
      </c>
      <c r="AK19" s="122">
        <v>0.11</v>
      </c>
      <c r="AL19" s="122">
        <v>0.02</v>
      </c>
      <c r="AM19" s="122">
        <v>0.05</v>
      </c>
      <c r="AN19" s="122">
        <v>0.12</v>
      </c>
      <c r="AO19" s="122">
        <v>7.0000000000000007E-2</v>
      </c>
      <c r="AP19" s="122">
        <v>0.09</v>
      </c>
      <c r="AQ19" s="122">
        <v>0.08</v>
      </c>
      <c r="AR19" s="122">
        <v>0</v>
      </c>
      <c r="AS19" s="122">
        <v>0.05</v>
      </c>
      <c r="AT19" s="122">
        <v>7.0000000000000007E-2</v>
      </c>
      <c r="AU19" s="122">
        <v>0.02</v>
      </c>
      <c r="AV19" s="122">
        <v>0</v>
      </c>
      <c r="AW19" s="122">
        <v>-0.03</v>
      </c>
      <c r="AX19" s="122">
        <v>-0.06</v>
      </c>
      <c r="AY19" s="122">
        <v>-0.14000000000000001</v>
      </c>
      <c r="AZ19" s="122">
        <v>-0.1</v>
      </c>
      <c r="BA19" s="122">
        <v>-7.0000000000000007E-2</v>
      </c>
      <c r="BB19" s="122">
        <v>-0.02</v>
      </c>
      <c r="BC19" s="122">
        <v>0.13</v>
      </c>
      <c r="BD19" s="122">
        <v>0.13</v>
      </c>
      <c r="BE19" s="122">
        <v>0.08</v>
      </c>
      <c r="BF19" s="122">
        <v>0.19</v>
      </c>
      <c r="BG19" s="122">
        <v>0.08</v>
      </c>
      <c r="BH19" s="122">
        <v>0.09</v>
      </c>
      <c r="BI19" s="122">
        <v>0.06</v>
      </c>
      <c r="BJ19" s="122">
        <v>-0.13</v>
      </c>
      <c r="BK19" s="122">
        <v>0.04</v>
      </c>
      <c r="BL19" s="122">
        <v>0.08</v>
      </c>
      <c r="BM19" s="122">
        <v>0.04</v>
      </c>
      <c r="BN19" s="122">
        <v>-0.1</v>
      </c>
      <c r="BO19" s="122">
        <v>-0.44</v>
      </c>
      <c r="BP19" s="122">
        <v>-0.13</v>
      </c>
      <c r="BQ19" s="122">
        <v>0.12</v>
      </c>
      <c r="BR19" s="122">
        <v>0.24</v>
      </c>
      <c r="BS19" s="122">
        <v>0.14000000000000001</v>
      </c>
      <c r="BT19" s="122">
        <v>0.02</v>
      </c>
      <c r="BU19" s="122">
        <v>0.01</v>
      </c>
      <c r="BV19" s="122">
        <v>-0.04</v>
      </c>
      <c r="BW19" s="122">
        <v>0.02</v>
      </c>
      <c r="BX19" s="122">
        <v>-0.01</v>
      </c>
      <c r="BY19" s="122">
        <v>0.02</v>
      </c>
      <c r="BZ19" s="122">
        <v>7.0000000000000007E-2</v>
      </c>
      <c r="CA19" s="122">
        <v>0.05</v>
      </c>
      <c r="CB19" s="122">
        <v>0.09</v>
      </c>
      <c r="CC19" s="122">
        <v>0.03</v>
      </c>
      <c r="CD19" s="122">
        <v>-0.04</v>
      </c>
      <c r="CE19" s="122">
        <v>0.08</v>
      </c>
      <c r="CF19" s="100"/>
      <c r="CG19" s="100"/>
      <c r="CH19" s="100"/>
      <c r="CI19" s="100"/>
      <c r="CJ19" s="100"/>
      <c r="CK19" s="100"/>
      <c r="CL19" s="100"/>
      <c r="CM19" s="100"/>
      <c r="CN19" s="100"/>
      <c r="CO19" s="100"/>
      <c r="CP19" s="100"/>
      <c r="CQ19" s="100"/>
      <c r="CR19" s="100"/>
      <c r="CS19" s="100"/>
      <c r="CT19" s="100"/>
      <c r="CU19" s="100"/>
      <c r="CV19" s="100"/>
      <c r="CW19" s="100"/>
      <c r="CX19" s="100"/>
      <c r="CY19" s="100"/>
      <c r="CZ19" s="100"/>
      <c r="DA19" s="100"/>
      <c r="DB19" s="100"/>
      <c r="DC19" s="100"/>
      <c r="DD19" s="100"/>
      <c r="DE19" s="100"/>
      <c r="DF19" s="100"/>
      <c r="DG19" s="100"/>
      <c r="DH19" s="100"/>
      <c r="DI19" s="100"/>
      <c r="DJ19" s="100"/>
      <c r="DK19" s="100"/>
      <c r="DL19" s="100"/>
      <c r="DM19" s="100"/>
      <c r="DN19" s="100"/>
      <c r="DO19" s="100"/>
      <c r="DP19" s="100"/>
      <c r="DQ19" s="100"/>
      <c r="DR19" s="100"/>
      <c r="DS19" s="100"/>
      <c r="DT19" s="100"/>
      <c r="DU19" s="100"/>
      <c r="DV19" s="100"/>
    </row>
    <row r="20" spans="1:126" s="123" customFormat="1" ht="13.5" customHeight="1" x14ac:dyDescent="0.75">
      <c r="A20" s="121"/>
      <c r="B20" s="63" t="s">
        <v>244</v>
      </c>
      <c r="C20" s="93" t="s">
        <v>245</v>
      </c>
      <c r="D20" s="122"/>
      <c r="E20" s="122"/>
      <c r="F20" s="122"/>
      <c r="G20" s="122"/>
      <c r="H20" s="122"/>
      <c r="I20" s="122">
        <v>0.04</v>
      </c>
      <c r="J20" s="122">
        <v>0.03</v>
      </c>
      <c r="K20" s="122">
        <v>0.1</v>
      </c>
      <c r="L20" s="122">
        <v>0.19</v>
      </c>
      <c r="M20" s="122">
        <v>0.04</v>
      </c>
      <c r="N20" s="122">
        <v>0.08</v>
      </c>
      <c r="O20" s="122">
        <v>-0.03</v>
      </c>
      <c r="P20" s="122">
        <v>-0.13</v>
      </c>
      <c r="Q20" s="122">
        <v>0.01</v>
      </c>
      <c r="R20" s="122">
        <v>-0.12</v>
      </c>
      <c r="S20" s="122">
        <v>-0.02</v>
      </c>
      <c r="T20" s="122">
        <v>0.05</v>
      </c>
      <c r="U20" s="122">
        <v>-0.01</v>
      </c>
      <c r="V20" s="122">
        <v>0.06</v>
      </c>
      <c r="W20" s="122">
        <v>0.03</v>
      </c>
      <c r="X20" s="122">
        <v>0.02</v>
      </c>
      <c r="Y20" s="122">
        <v>0.08</v>
      </c>
      <c r="Z20" s="122">
        <v>-7.0000000000000007E-2</v>
      </c>
      <c r="AA20" s="122">
        <v>-0.06</v>
      </c>
      <c r="AB20" s="122">
        <v>0</v>
      </c>
      <c r="AC20" s="122">
        <v>0.02</v>
      </c>
      <c r="AD20" s="122">
        <v>0.24</v>
      </c>
      <c r="AE20" s="122">
        <v>0.09</v>
      </c>
      <c r="AF20" s="122">
        <v>0</v>
      </c>
      <c r="AG20" s="122">
        <v>-0.8</v>
      </c>
      <c r="AH20" s="122">
        <v>-0.79</v>
      </c>
      <c r="AI20" s="122">
        <v>-0.77</v>
      </c>
      <c r="AJ20" s="122">
        <v>-0.76</v>
      </c>
      <c r="AK20" s="122">
        <v>0.11</v>
      </c>
      <c r="AL20" s="122">
        <v>0.09</v>
      </c>
      <c r="AM20" s="122">
        <v>0.08</v>
      </c>
      <c r="AN20" s="122">
        <v>0.03</v>
      </c>
      <c r="AO20" s="122">
        <v>0.06</v>
      </c>
      <c r="AP20" s="122">
        <v>0.03</v>
      </c>
      <c r="AQ20" s="122">
        <v>-0.01</v>
      </c>
      <c r="AR20" s="122">
        <v>0.04</v>
      </c>
      <c r="AS20" s="122">
        <v>0.12</v>
      </c>
      <c r="AT20" s="122">
        <v>0.06</v>
      </c>
      <c r="AU20" s="122">
        <v>0.06</v>
      </c>
      <c r="AV20" s="122">
        <v>0.15</v>
      </c>
      <c r="AW20" s="122">
        <v>0.31</v>
      </c>
      <c r="AX20" s="122">
        <v>0.57999999999999996</v>
      </c>
      <c r="AY20" s="122">
        <v>0.43</v>
      </c>
      <c r="AZ20" s="122">
        <v>0.28000000000000003</v>
      </c>
      <c r="BA20" s="122">
        <v>0.56000000000000005</v>
      </c>
      <c r="BB20" s="122">
        <v>0.42</v>
      </c>
      <c r="BC20" s="122">
        <v>0.68</v>
      </c>
      <c r="BD20" s="122">
        <v>0.74</v>
      </c>
      <c r="BE20" s="122">
        <v>0.09</v>
      </c>
      <c r="BF20" s="122">
        <v>0.12</v>
      </c>
      <c r="BG20" s="122">
        <v>0.21</v>
      </c>
      <c r="BH20" s="122">
        <v>0.3</v>
      </c>
      <c r="BI20" s="122">
        <v>0.11</v>
      </c>
      <c r="BJ20" s="122">
        <v>-0.13</v>
      </c>
      <c r="BK20" s="122">
        <v>-0.05</v>
      </c>
      <c r="BL20" s="122">
        <v>-0.08</v>
      </c>
      <c r="BM20" s="122">
        <v>-0.02</v>
      </c>
      <c r="BN20" s="122">
        <v>0.28999999999999998</v>
      </c>
      <c r="BO20" s="122">
        <v>7.0000000000000007E-2</v>
      </c>
      <c r="BP20" s="122">
        <v>7.0000000000000007E-2</v>
      </c>
      <c r="BQ20" s="122">
        <v>0.1</v>
      </c>
      <c r="BR20" s="122">
        <v>0.09</v>
      </c>
      <c r="BS20" s="122">
        <v>0.1</v>
      </c>
      <c r="BT20" s="122">
        <v>0.09</v>
      </c>
      <c r="BU20" s="122">
        <v>0.13</v>
      </c>
      <c r="BV20" s="122">
        <v>0.09</v>
      </c>
      <c r="BW20" s="122">
        <v>0.15</v>
      </c>
      <c r="BX20" s="122">
        <v>0.15</v>
      </c>
      <c r="BY20" s="122">
        <v>0.1</v>
      </c>
      <c r="BZ20" s="122">
        <v>0.2</v>
      </c>
      <c r="CA20" s="122">
        <v>0.11</v>
      </c>
      <c r="CB20" s="122">
        <v>-0.02</v>
      </c>
      <c r="CC20" s="122">
        <v>0</v>
      </c>
      <c r="CD20" s="122">
        <v>-0.09</v>
      </c>
      <c r="CE20" s="122">
        <v>-0.05</v>
      </c>
      <c r="CF20" s="100"/>
      <c r="CG20" s="100"/>
      <c r="CH20" s="100"/>
      <c r="CI20" s="100"/>
      <c r="CJ20" s="100"/>
      <c r="CK20" s="100"/>
      <c r="CL20" s="100"/>
      <c r="CM20" s="100"/>
      <c r="CN20" s="100"/>
      <c r="CO20" s="100"/>
      <c r="CP20" s="100"/>
      <c r="CQ20" s="100"/>
      <c r="CR20" s="100"/>
      <c r="CS20" s="100"/>
      <c r="CT20" s="100"/>
      <c r="CU20" s="100"/>
      <c r="CV20" s="100"/>
      <c r="CW20" s="100"/>
      <c r="CX20" s="100"/>
      <c r="CY20" s="100"/>
      <c r="CZ20" s="100"/>
      <c r="DA20" s="100"/>
      <c r="DB20" s="100"/>
      <c r="DC20" s="100"/>
      <c r="DD20" s="100"/>
      <c r="DE20" s="100"/>
      <c r="DF20" s="100"/>
      <c r="DG20" s="100"/>
      <c r="DH20" s="100"/>
      <c r="DI20" s="100"/>
      <c r="DJ20" s="100"/>
      <c r="DK20" s="100"/>
      <c r="DL20" s="100"/>
      <c r="DM20" s="100"/>
      <c r="DN20" s="100"/>
      <c r="DO20" s="100"/>
      <c r="DP20" s="100"/>
      <c r="DQ20" s="100"/>
      <c r="DR20" s="100"/>
      <c r="DS20" s="100"/>
      <c r="DT20" s="100"/>
      <c r="DU20" s="100"/>
      <c r="DV20" s="100"/>
    </row>
    <row r="21" spans="1:126" s="123" customFormat="1" ht="13.5" customHeight="1" x14ac:dyDescent="0.75">
      <c r="A21" s="121"/>
      <c r="B21" s="63" t="s">
        <v>246</v>
      </c>
      <c r="C21" s="93" t="s">
        <v>247</v>
      </c>
      <c r="D21" s="122"/>
      <c r="E21" s="122"/>
      <c r="F21" s="122"/>
      <c r="G21" s="122"/>
      <c r="H21" s="122"/>
      <c r="I21" s="122">
        <v>0.14000000000000001</v>
      </c>
      <c r="J21" s="122">
        <v>0.05</v>
      </c>
      <c r="K21" s="122">
        <v>0.18</v>
      </c>
      <c r="L21" s="122">
        <v>0.32</v>
      </c>
      <c r="M21" s="122">
        <v>7.0000000000000007E-2</v>
      </c>
      <c r="N21" s="122">
        <v>0.24</v>
      </c>
      <c r="O21" s="122">
        <v>0.13</v>
      </c>
      <c r="P21" s="122">
        <v>-0.09</v>
      </c>
      <c r="Q21" s="122">
        <v>0.15</v>
      </c>
      <c r="R21" s="122">
        <v>0.03</v>
      </c>
      <c r="S21" s="122">
        <v>-0.03</v>
      </c>
      <c r="T21" s="122">
        <v>0.17</v>
      </c>
      <c r="U21" s="122">
        <v>0.11</v>
      </c>
      <c r="V21" s="122">
        <v>0.05</v>
      </c>
      <c r="W21" s="122">
        <v>0.15</v>
      </c>
      <c r="X21" s="122">
        <v>-7.0000000000000007E-2</v>
      </c>
      <c r="Y21" s="122">
        <v>-0.04</v>
      </c>
      <c r="Z21" s="122">
        <v>-0.18</v>
      </c>
      <c r="AA21" s="122">
        <v>-0.18</v>
      </c>
      <c r="AB21" s="122">
        <v>-0.03</v>
      </c>
      <c r="AC21" s="122">
        <v>-0.02</v>
      </c>
      <c r="AD21" s="122">
        <v>0.19</v>
      </c>
      <c r="AE21" s="122">
        <v>0.24</v>
      </c>
      <c r="AF21" s="122">
        <v>0.19</v>
      </c>
      <c r="AG21" s="122">
        <v>0.18</v>
      </c>
      <c r="AH21" s="122">
        <v>0.08</v>
      </c>
      <c r="AI21" s="122">
        <v>0.28000000000000003</v>
      </c>
      <c r="AJ21" s="122">
        <v>-0.02</v>
      </c>
      <c r="AK21" s="122">
        <v>0.14000000000000001</v>
      </c>
      <c r="AL21" s="122">
        <v>0.23</v>
      </c>
      <c r="AM21" s="122">
        <v>-0.04</v>
      </c>
      <c r="AN21" s="122">
        <v>0.11</v>
      </c>
      <c r="AO21" s="122">
        <v>0.02</v>
      </c>
      <c r="AP21" s="122">
        <v>0.08</v>
      </c>
      <c r="AQ21" s="122">
        <v>0.1</v>
      </c>
      <c r="AR21" s="122">
        <v>0.22</v>
      </c>
      <c r="AS21" s="122">
        <v>0.12</v>
      </c>
      <c r="AT21" s="122">
        <v>0.12</v>
      </c>
      <c r="AU21" s="122">
        <v>0.33</v>
      </c>
      <c r="AV21" s="122">
        <v>-0.11</v>
      </c>
      <c r="AW21" s="122">
        <v>-0.05</v>
      </c>
      <c r="AX21" s="122">
        <v>-0.06</v>
      </c>
      <c r="AY21" s="122">
        <v>-0.25</v>
      </c>
      <c r="AZ21" s="122">
        <v>0.09</v>
      </c>
      <c r="BA21" s="122">
        <v>0.11</v>
      </c>
      <c r="BB21" s="122">
        <v>0.06</v>
      </c>
      <c r="BC21" s="122">
        <v>0.16</v>
      </c>
      <c r="BD21" s="122">
        <v>0.17</v>
      </c>
      <c r="BE21" s="122">
        <v>0.24</v>
      </c>
      <c r="BF21" s="122">
        <v>0.47</v>
      </c>
      <c r="BG21" s="122">
        <v>0.27</v>
      </c>
      <c r="BH21" s="122">
        <v>0.12</v>
      </c>
      <c r="BI21" s="122">
        <v>-0.11</v>
      </c>
      <c r="BJ21" s="122">
        <v>-0.27</v>
      </c>
      <c r="BK21" s="122">
        <v>-0.01</v>
      </c>
      <c r="BL21" s="122">
        <v>0.05</v>
      </c>
      <c r="BM21" s="122">
        <v>0.17</v>
      </c>
      <c r="BN21" s="122">
        <v>0.41</v>
      </c>
      <c r="BO21" s="122">
        <v>0.2</v>
      </c>
      <c r="BP21" s="122">
        <v>0.23</v>
      </c>
      <c r="BQ21" s="122">
        <v>0.26</v>
      </c>
      <c r="BR21" s="122">
        <v>0.3</v>
      </c>
      <c r="BS21" s="122">
        <v>0.39</v>
      </c>
      <c r="BT21" s="122">
        <v>0.39</v>
      </c>
      <c r="BU21" s="122">
        <v>0.26</v>
      </c>
      <c r="BV21" s="122">
        <v>0.23</v>
      </c>
      <c r="BW21" s="122">
        <v>0.2</v>
      </c>
      <c r="BX21" s="122">
        <v>0.06</v>
      </c>
      <c r="BY21" s="122">
        <v>0.21</v>
      </c>
      <c r="BZ21" s="122">
        <v>0.1</v>
      </c>
      <c r="CA21" s="122">
        <v>0.22</v>
      </c>
      <c r="CB21" s="122">
        <v>0.2</v>
      </c>
      <c r="CC21" s="122">
        <v>0.11</v>
      </c>
      <c r="CD21" s="122">
        <v>0.17</v>
      </c>
      <c r="CE21" s="122">
        <v>0.13</v>
      </c>
      <c r="CF21" s="100"/>
      <c r="CG21" s="100"/>
      <c r="CH21" s="100"/>
      <c r="CI21" s="100"/>
      <c r="CJ21" s="100"/>
      <c r="CK21" s="100"/>
      <c r="CL21" s="100"/>
      <c r="CM21" s="100"/>
      <c r="CN21" s="100"/>
      <c r="CO21" s="100"/>
      <c r="CP21" s="100"/>
      <c r="CQ21" s="100"/>
      <c r="CR21" s="100"/>
      <c r="CS21" s="100"/>
      <c r="CT21" s="100"/>
      <c r="CU21" s="100"/>
      <c r="CV21" s="100"/>
      <c r="CW21" s="100"/>
      <c r="CX21" s="100"/>
      <c r="CY21" s="100"/>
      <c r="CZ21" s="100"/>
      <c r="DA21" s="100"/>
      <c r="DB21" s="100"/>
      <c r="DC21" s="100"/>
      <c r="DD21" s="100"/>
      <c r="DE21" s="100"/>
      <c r="DF21" s="100"/>
      <c r="DG21" s="100"/>
      <c r="DH21" s="100"/>
      <c r="DI21" s="100"/>
      <c r="DJ21" s="100"/>
      <c r="DK21" s="100"/>
      <c r="DL21" s="100"/>
      <c r="DM21" s="100"/>
      <c r="DN21" s="100"/>
      <c r="DO21" s="100"/>
      <c r="DP21" s="100"/>
      <c r="DQ21" s="100"/>
      <c r="DR21" s="100"/>
      <c r="DS21" s="100"/>
      <c r="DT21" s="100"/>
      <c r="DU21" s="100"/>
      <c r="DV21" s="100"/>
    </row>
    <row r="22" spans="1:126" s="123" customFormat="1" ht="13.5" customHeight="1" x14ac:dyDescent="0.75">
      <c r="A22" s="121"/>
      <c r="B22" s="63" t="s">
        <v>248</v>
      </c>
      <c r="C22" s="93" t="s">
        <v>249</v>
      </c>
      <c r="D22" s="122"/>
      <c r="E22" s="122"/>
      <c r="F22" s="122"/>
      <c r="G22" s="122"/>
      <c r="H22" s="122"/>
      <c r="I22" s="122">
        <v>0.01</v>
      </c>
      <c r="J22" s="122">
        <v>0.03</v>
      </c>
      <c r="K22" s="122">
        <v>-0.01</v>
      </c>
      <c r="L22" s="122">
        <v>-0.01</v>
      </c>
      <c r="M22" s="122">
        <v>-0.04</v>
      </c>
      <c r="N22" s="122">
        <v>0</v>
      </c>
      <c r="O22" s="122">
        <v>-0.01</v>
      </c>
      <c r="P22" s="122">
        <v>0.19</v>
      </c>
      <c r="Q22" s="122">
        <v>0.08</v>
      </c>
      <c r="R22" s="122">
        <v>0.04</v>
      </c>
      <c r="S22" s="122">
        <v>-0.01</v>
      </c>
      <c r="T22" s="122">
        <v>-0.08</v>
      </c>
      <c r="U22" s="122">
        <v>0.04</v>
      </c>
      <c r="V22" s="122">
        <v>-0.08</v>
      </c>
      <c r="W22" s="122">
        <v>7.0000000000000007E-2</v>
      </c>
      <c r="X22" s="122">
        <v>0.19</v>
      </c>
      <c r="Y22" s="122">
        <v>0.11</v>
      </c>
      <c r="Z22" s="122">
        <v>0.33</v>
      </c>
      <c r="AA22" s="122">
        <v>0.19</v>
      </c>
      <c r="AB22" s="122">
        <v>-0.03</v>
      </c>
      <c r="AC22" s="122">
        <v>0.18</v>
      </c>
      <c r="AD22" s="122">
        <v>-0.02</v>
      </c>
      <c r="AE22" s="122">
        <v>-7.0000000000000007E-2</v>
      </c>
      <c r="AF22" s="122">
        <v>-0.01</v>
      </c>
      <c r="AG22" s="122">
        <v>-0.08</v>
      </c>
      <c r="AH22" s="122">
        <v>-0.02</v>
      </c>
      <c r="AI22" s="122">
        <v>0.03</v>
      </c>
      <c r="AJ22" s="122">
        <v>-0.05</v>
      </c>
      <c r="AK22" s="122">
        <v>-0.13</v>
      </c>
      <c r="AL22" s="122">
        <v>0.01</v>
      </c>
      <c r="AM22" s="122">
        <v>0</v>
      </c>
      <c r="AN22" s="122">
        <v>7.0000000000000007E-2</v>
      </c>
      <c r="AO22" s="122">
        <v>0.21</v>
      </c>
      <c r="AP22" s="122">
        <v>0.09</v>
      </c>
      <c r="AQ22" s="122">
        <v>0.11</v>
      </c>
      <c r="AR22" s="122">
        <v>0.13</v>
      </c>
      <c r="AS22" s="122">
        <v>0.03</v>
      </c>
      <c r="AT22" s="122">
        <v>-0.03</v>
      </c>
      <c r="AU22" s="122">
        <v>0.1</v>
      </c>
      <c r="AV22" s="122">
        <v>0.11</v>
      </c>
      <c r="AW22" s="122">
        <v>0.22</v>
      </c>
      <c r="AX22" s="122">
        <v>0.5</v>
      </c>
      <c r="AY22" s="122">
        <v>0.24</v>
      </c>
      <c r="AZ22" s="122">
        <v>0.36</v>
      </c>
      <c r="BA22" s="122">
        <v>0.25</v>
      </c>
      <c r="BB22" s="122">
        <v>0.14000000000000001</v>
      </c>
      <c r="BC22" s="122">
        <v>0.17</v>
      </c>
      <c r="BD22" s="122">
        <v>0.2</v>
      </c>
      <c r="BE22" s="122">
        <v>0.24</v>
      </c>
      <c r="BF22" s="122">
        <v>0.44</v>
      </c>
      <c r="BG22" s="122">
        <v>0.34</v>
      </c>
      <c r="BH22" s="122">
        <v>0.24</v>
      </c>
      <c r="BI22" s="122">
        <v>0.05</v>
      </c>
      <c r="BJ22" s="122">
        <v>-0.09</v>
      </c>
      <c r="BK22" s="122">
        <v>-0.03</v>
      </c>
      <c r="BL22" s="122">
        <v>0.13</v>
      </c>
      <c r="BM22" s="122">
        <v>0.2</v>
      </c>
      <c r="BN22" s="122">
        <v>0.92</v>
      </c>
      <c r="BO22" s="122">
        <v>0.15</v>
      </c>
      <c r="BP22" s="122">
        <v>0.03</v>
      </c>
      <c r="BQ22" s="122">
        <v>0.03</v>
      </c>
      <c r="BR22" s="122">
        <v>-0.2</v>
      </c>
      <c r="BS22" s="122">
        <v>0.02</v>
      </c>
      <c r="BT22" s="122">
        <v>0.08</v>
      </c>
      <c r="BU22" s="122">
        <v>1.0900000000000001</v>
      </c>
      <c r="BV22" s="122">
        <v>-0.01</v>
      </c>
      <c r="BW22" s="122">
        <v>0.45</v>
      </c>
      <c r="BX22" s="122">
        <v>0.35</v>
      </c>
      <c r="BY22" s="122">
        <v>-0.24</v>
      </c>
      <c r="BZ22" s="122">
        <v>0.28000000000000003</v>
      </c>
      <c r="CA22" s="122">
        <v>0.23</v>
      </c>
      <c r="CB22" s="122">
        <v>0.23</v>
      </c>
      <c r="CC22" s="122">
        <v>0.21</v>
      </c>
      <c r="CD22" s="122">
        <v>0.24</v>
      </c>
      <c r="CE22" s="122">
        <v>0.25</v>
      </c>
      <c r="CF22" s="100"/>
      <c r="CG22" s="100"/>
      <c r="CH22" s="100"/>
      <c r="CI22" s="100"/>
      <c r="CJ22" s="100"/>
      <c r="CK22" s="100"/>
      <c r="CL22" s="100"/>
      <c r="CM22" s="100"/>
      <c r="CN22" s="100"/>
      <c r="CO22" s="100"/>
      <c r="CP22" s="100"/>
      <c r="CQ22" s="100"/>
      <c r="CR22" s="100"/>
      <c r="CS22" s="100"/>
      <c r="CT22" s="100"/>
      <c r="CU22" s="100"/>
      <c r="CV22" s="100"/>
      <c r="CW22" s="100"/>
      <c r="CX22" s="100"/>
      <c r="CY22" s="100"/>
      <c r="CZ22" s="100"/>
      <c r="DA22" s="100"/>
      <c r="DB22" s="100"/>
      <c r="DC22" s="100"/>
      <c r="DD22" s="100"/>
      <c r="DE22" s="100"/>
      <c r="DF22" s="100"/>
      <c r="DG22" s="100"/>
      <c r="DH22" s="100"/>
      <c r="DI22" s="100"/>
      <c r="DJ22" s="100"/>
      <c r="DK22" s="100"/>
      <c r="DL22" s="100"/>
      <c r="DM22" s="100"/>
      <c r="DN22" s="100"/>
      <c r="DO22" s="100"/>
      <c r="DP22" s="100"/>
      <c r="DQ22" s="100"/>
      <c r="DR22" s="100"/>
      <c r="DS22" s="100"/>
      <c r="DT22" s="100"/>
      <c r="DU22" s="100"/>
      <c r="DV22" s="100"/>
    </row>
    <row r="23" spans="1:126" s="123" customFormat="1" ht="13.5" customHeight="1" x14ac:dyDescent="0.75">
      <c r="A23" s="121"/>
      <c r="B23" s="63" t="s">
        <v>250</v>
      </c>
      <c r="C23" s="93" t="s">
        <v>251</v>
      </c>
      <c r="D23" s="122"/>
      <c r="E23" s="122"/>
      <c r="F23" s="122"/>
      <c r="G23" s="122"/>
      <c r="H23" s="122"/>
      <c r="I23" s="122">
        <v>-0.02</v>
      </c>
      <c r="J23" s="122">
        <v>0.02</v>
      </c>
      <c r="K23" s="122">
        <v>0.11</v>
      </c>
      <c r="L23" s="122">
        <v>-0.06</v>
      </c>
      <c r="M23" s="122">
        <v>0.18</v>
      </c>
      <c r="N23" s="122">
        <v>0.02</v>
      </c>
      <c r="O23" s="122">
        <v>-0.06</v>
      </c>
      <c r="P23" s="122">
        <v>0.08</v>
      </c>
      <c r="Q23" s="122">
        <v>-0.24</v>
      </c>
      <c r="R23" s="122">
        <v>-0.05</v>
      </c>
      <c r="S23" s="122">
        <v>-0.04</v>
      </c>
      <c r="T23" s="122">
        <v>0.12</v>
      </c>
      <c r="U23" s="122">
        <v>0.18</v>
      </c>
      <c r="V23" s="122">
        <v>0.17</v>
      </c>
      <c r="W23" s="122">
        <v>-0.14000000000000001</v>
      </c>
      <c r="X23" s="122">
        <v>0.2</v>
      </c>
      <c r="Y23" s="122">
        <v>0.23</v>
      </c>
      <c r="Z23" s="122">
        <v>0.06</v>
      </c>
      <c r="AA23" s="122">
        <v>0.6</v>
      </c>
      <c r="AB23" s="122">
        <v>-0.01</v>
      </c>
      <c r="AC23" s="122">
        <v>0.11</v>
      </c>
      <c r="AD23" s="122">
        <v>0.19</v>
      </c>
      <c r="AE23" s="122">
        <v>0.18</v>
      </c>
      <c r="AF23" s="122">
        <v>0.09</v>
      </c>
      <c r="AG23" s="122">
        <v>0.19</v>
      </c>
      <c r="AH23" s="122">
        <v>0.08</v>
      </c>
      <c r="AI23" s="122">
        <v>-0.03</v>
      </c>
      <c r="AJ23" s="122">
        <v>7.0000000000000007E-2</v>
      </c>
      <c r="AK23" s="122">
        <v>0.08</v>
      </c>
      <c r="AL23" s="122">
        <v>0.21</v>
      </c>
      <c r="AM23" s="122">
        <v>0.22</v>
      </c>
      <c r="AN23" s="122">
        <v>0.15</v>
      </c>
      <c r="AO23" s="122">
        <v>0.09</v>
      </c>
      <c r="AP23" s="122">
        <v>0</v>
      </c>
      <c r="AQ23" s="122">
        <v>0.28000000000000003</v>
      </c>
      <c r="AR23" s="122">
        <v>0.4</v>
      </c>
      <c r="AS23" s="122">
        <v>0.33</v>
      </c>
      <c r="AT23" s="122">
        <v>0.45</v>
      </c>
      <c r="AU23" s="122">
        <v>0.06</v>
      </c>
      <c r="AV23" s="122">
        <v>0.11</v>
      </c>
      <c r="AW23" s="122">
        <v>0.09</v>
      </c>
      <c r="AX23" s="122">
        <v>0.05</v>
      </c>
      <c r="AY23" s="122">
        <v>0.18</v>
      </c>
      <c r="AZ23" s="122">
        <v>0.02</v>
      </c>
      <c r="BA23" s="122">
        <v>0</v>
      </c>
      <c r="BB23" s="122">
        <v>-0.13</v>
      </c>
      <c r="BC23" s="122">
        <v>0.28000000000000003</v>
      </c>
      <c r="BD23" s="122">
        <v>0.22</v>
      </c>
      <c r="BE23" s="122">
        <v>0.31</v>
      </c>
      <c r="BF23" s="122">
        <v>0.55000000000000004</v>
      </c>
      <c r="BG23" s="122">
        <v>0.05</v>
      </c>
      <c r="BH23" s="122">
        <v>0.01</v>
      </c>
      <c r="BI23" s="122">
        <v>-0.06</v>
      </c>
      <c r="BJ23" s="122">
        <v>-0.14000000000000001</v>
      </c>
      <c r="BK23" s="122">
        <v>0.06</v>
      </c>
      <c r="BL23" s="122">
        <v>0.11</v>
      </c>
      <c r="BM23" s="122">
        <v>-0.03</v>
      </c>
      <c r="BN23" s="122">
        <v>0.24</v>
      </c>
      <c r="BO23" s="122">
        <v>0.23</v>
      </c>
      <c r="BP23" s="122">
        <v>-0.02</v>
      </c>
      <c r="BQ23" s="122">
        <v>0.3</v>
      </c>
      <c r="BR23" s="122">
        <v>0.05</v>
      </c>
      <c r="BS23" s="122">
        <v>-0.04</v>
      </c>
      <c r="BT23" s="122">
        <v>0.08</v>
      </c>
      <c r="BU23" s="122">
        <v>0.12</v>
      </c>
      <c r="BV23" s="122">
        <v>0.16</v>
      </c>
      <c r="BW23" s="122">
        <v>0.14000000000000001</v>
      </c>
      <c r="BX23" s="122">
        <v>0.22</v>
      </c>
      <c r="BY23" s="122">
        <v>-0.23</v>
      </c>
      <c r="BZ23" s="122">
        <v>0.06</v>
      </c>
      <c r="CA23" s="122">
        <v>-0.12</v>
      </c>
      <c r="CB23" s="122">
        <v>0.12</v>
      </c>
      <c r="CC23" s="122">
        <v>0.37</v>
      </c>
      <c r="CD23" s="122">
        <v>0.23</v>
      </c>
      <c r="CE23" s="122">
        <v>0.44</v>
      </c>
      <c r="CF23" s="100"/>
      <c r="CG23" s="100"/>
      <c r="CH23" s="100"/>
      <c r="CI23" s="100"/>
      <c r="CJ23" s="100"/>
      <c r="CK23" s="100"/>
      <c r="CL23" s="100"/>
      <c r="CM23" s="100"/>
      <c r="CN23" s="100"/>
      <c r="CO23" s="100"/>
      <c r="CP23" s="100"/>
      <c r="CQ23" s="100"/>
      <c r="CR23" s="100"/>
      <c r="CS23" s="100"/>
      <c r="CT23" s="100"/>
      <c r="CU23" s="100"/>
      <c r="CV23" s="100"/>
      <c r="CW23" s="100"/>
      <c r="CX23" s="100"/>
      <c r="CY23" s="100"/>
      <c r="CZ23" s="100"/>
      <c r="DA23" s="100"/>
      <c r="DB23" s="100"/>
      <c r="DC23" s="100"/>
      <c r="DD23" s="100"/>
      <c r="DE23" s="100"/>
      <c r="DF23" s="100"/>
      <c r="DG23" s="100"/>
      <c r="DH23" s="100"/>
      <c r="DI23" s="100"/>
      <c r="DJ23" s="100"/>
      <c r="DK23" s="100"/>
      <c r="DL23" s="100"/>
      <c r="DM23" s="100"/>
      <c r="DN23" s="100"/>
      <c r="DO23" s="100"/>
      <c r="DP23" s="100"/>
      <c r="DQ23" s="100"/>
      <c r="DR23" s="100"/>
      <c r="DS23" s="100"/>
      <c r="DT23" s="100"/>
      <c r="DU23" s="100"/>
      <c r="DV23" s="100"/>
    </row>
    <row r="24" spans="1:126" s="123" customFormat="1" ht="13.5" customHeight="1" x14ac:dyDescent="0.75">
      <c r="A24" s="121"/>
      <c r="B24" s="63" t="s">
        <v>252</v>
      </c>
      <c r="C24" s="93" t="s">
        <v>253</v>
      </c>
      <c r="D24" s="122"/>
      <c r="E24" s="122"/>
      <c r="F24" s="122"/>
      <c r="G24" s="122"/>
      <c r="H24" s="122"/>
      <c r="I24" s="122">
        <v>0.59</v>
      </c>
      <c r="J24" s="122">
        <v>0.16</v>
      </c>
      <c r="K24" s="122">
        <v>-0.05</v>
      </c>
      <c r="L24" s="122">
        <v>0.35</v>
      </c>
      <c r="M24" s="122">
        <v>-0.05</v>
      </c>
      <c r="N24" s="122">
        <v>0.1</v>
      </c>
      <c r="O24" s="122">
        <v>0.23</v>
      </c>
      <c r="P24" s="122">
        <v>0.14000000000000001</v>
      </c>
      <c r="Q24" s="122">
        <v>-0.01</v>
      </c>
      <c r="R24" s="122">
        <v>-0.14000000000000001</v>
      </c>
      <c r="S24" s="122">
        <v>-0.17</v>
      </c>
      <c r="T24" s="122">
        <v>0.1</v>
      </c>
      <c r="U24" s="122">
        <v>1.52</v>
      </c>
      <c r="V24" s="122">
        <v>0.28999999999999998</v>
      </c>
      <c r="W24" s="122">
        <v>0.25</v>
      </c>
      <c r="X24" s="122">
        <v>0.04</v>
      </c>
      <c r="Y24" s="122">
        <v>-0.38</v>
      </c>
      <c r="Z24" s="122">
        <v>0.59</v>
      </c>
      <c r="AA24" s="122">
        <v>1.02</v>
      </c>
      <c r="AB24" s="122">
        <v>0.56000000000000005</v>
      </c>
      <c r="AC24" s="122">
        <v>0.81</v>
      </c>
      <c r="AD24" s="122">
        <v>0.28000000000000003</v>
      </c>
      <c r="AE24" s="122">
        <v>0.15</v>
      </c>
      <c r="AF24" s="122">
        <v>0.06</v>
      </c>
      <c r="AG24" s="122">
        <v>-0.2</v>
      </c>
      <c r="AH24" s="122">
        <v>-0.04</v>
      </c>
      <c r="AI24" s="122">
        <v>-0.14000000000000001</v>
      </c>
      <c r="AJ24" s="122">
        <v>-0.17</v>
      </c>
      <c r="AK24" s="122">
        <v>0.28999999999999998</v>
      </c>
      <c r="AL24" s="122">
        <v>0.24</v>
      </c>
      <c r="AM24" s="122">
        <v>0.28000000000000003</v>
      </c>
      <c r="AN24" s="122">
        <v>0.38</v>
      </c>
      <c r="AO24" s="122">
        <v>0.4</v>
      </c>
      <c r="AP24" s="122">
        <v>0.35</v>
      </c>
      <c r="AQ24" s="122">
        <v>0.45</v>
      </c>
      <c r="AR24" s="122">
        <v>0.33</v>
      </c>
      <c r="AS24" s="122">
        <v>0.19</v>
      </c>
      <c r="AT24" s="122">
        <v>0.25</v>
      </c>
      <c r="AU24" s="122">
        <v>0.04</v>
      </c>
      <c r="AV24" s="122">
        <v>0.19</v>
      </c>
      <c r="AW24" s="122">
        <v>0.18</v>
      </c>
      <c r="AX24" s="122">
        <v>0.1</v>
      </c>
      <c r="AY24" s="122">
        <v>0.08</v>
      </c>
      <c r="AZ24" s="122">
        <v>0.1</v>
      </c>
      <c r="BA24" s="122">
        <v>0.08</v>
      </c>
      <c r="BB24" s="122">
        <v>0.31</v>
      </c>
      <c r="BC24" s="122">
        <v>0.36</v>
      </c>
      <c r="BD24" s="122">
        <v>0.14000000000000001</v>
      </c>
      <c r="BE24" s="122">
        <v>0.19</v>
      </c>
      <c r="BF24" s="122">
        <v>0.28000000000000003</v>
      </c>
      <c r="BG24" s="122">
        <v>0.11</v>
      </c>
      <c r="BH24" s="122">
        <v>0.23</v>
      </c>
      <c r="BI24" s="122">
        <v>-0.02</v>
      </c>
      <c r="BJ24" s="122">
        <v>-0.31</v>
      </c>
      <c r="BK24" s="122">
        <v>0.31</v>
      </c>
      <c r="BL24" s="122">
        <v>0.39</v>
      </c>
      <c r="BM24" s="122">
        <v>0.28999999999999998</v>
      </c>
      <c r="BN24" s="122">
        <v>0.33</v>
      </c>
      <c r="BO24" s="122">
        <v>-0.17</v>
      </c>
      <c r="BP24" s="122">
        <v>-0.23</v>
      </c>
      <c r="BQ24" s="122">
        <v>0.1</v>
      </c>
      <c r="BR24" s="122">
        <v>0.24</v>
      </c>
      <c r="BS24" s="122">
        <v>0.14000000000000001</v>
      </c>
      <c r="BT24" s="122">
        <v>0.21</v>
      </c>
      <c r="BU24" s="122">
        <v>0.16</v>
      </c>
      <c r="BV24" s="122">
        <v>0.02</v>
      </c>
      <c r="BW24" s="122">
        <v>0.19</v>
      </c>
      <c r="BX24" s="122">
        <v>0.17</v>
      </c>
      <c r="BY24" s="122">
        <v>0.18</v>
      </c>
      <c r="BZ24" s="122">
        <v>0.26</v>
      </c>
      <c r="CA24" s="122">
        <v>0.15</v>
      </c>
      <c r="CB24" s="122">
        <v>0.22</v>
      </c>
      <c r="CC24" s="122">
        <v>0.16</v>
      </c>
      <c r="CD24" s="122">
        <v>0.19</v>
      </c>
      <c r="CE24" s="122">
        <v>0.28000000000000003</v>
      </c>
      <c r="CF24" s="100"/>
      <c r="CG24" s="100"/>
      <c r="CH24" s="100"/>
      <c r="CI24" s="100"/>
      <c r="CJ24" s="100"/>
      <c r="CK24" s="100"/>
      <c r="CL24" s="100"/>
      <c r="CM24" s="100"/>
      <c r="CN24" s="100"/>
      <c r="CO24" s="100"/>
      <c r="CP24" s="100"/>
      <c r="CQ24" s="100"/>
      <c r="CR24" s="100"/>
      <c r="CS24" s="100"/>
      <c r="CT24" s="100"/>
      <c r="CU24" s="100"/>
      <c r="CV24" s="100"/>
      <c r="CW24" s="100"/>
      <c r="CX24" s="100"/>
      <c r="CY24" s="100"/>
      <c r="CZ24" s="100"/>
      <c r="DA24" s="100"/>
      <c r="DB24" s="100"/>
      <c r="DC24" s="100"/>
      <c r="DD24" s="100"/>
      <c r="DE24" s="100"/>
      <c r="DF24" s="100"/>
      <c r="DG24" s="100"/>
      <c r="DH24" s="100"/>
      <c r="DI24" s="100"/>
      <c r="DJ24" s="100"/>
      <c r="DK24" s="100"/>
      <c r="DL24" s="100"/>
      <c r="DM24" s="100"/>
      <c r="DN24" s="100"/>
      <c r="DO24" s="100"/>
      <c r="DP24" s="100"/>
      <c r="DQ24" s="100"/>
      <c r="DR24" s="100"/>
      <c r="DS24" s="100"/>
      <c r="DT24" s="100"/>
      <c r="DU24" s="100"/>
      <c r="DV24" s="100"/>
    </row>
    <row r="25" spans="1:126" s="123" customFormat="1" ht="13.5" customHeight="1" x14ac:dyDescent="0.75">
      <c r="A25" s="121"/>
      <c r="B25" s="63" t="s">
        <v>254</v>
      </c>
      <c r="C25" s="93" t="s">
        <v>255</v>
      </c>
      <c r="D25" s="122"/>
      <c r="E25" s="122"/>
      <c r="F25" s="122"/>
      <c r="G25" s="122"/>
      <c r="H25" s="122"/>
      <c r="I25" s="122">
        <v>0.59</v>
      </c>
      <c r="J25" s="122">
        <v>0.16</v>
      </c>
      <c r="K25" s="122">
        <v>-0.05</v>
      </c>
      <c r="L25" s="122">
        <v>0.35</v>
      </c>
      <c r="M25" s="122">
        <v>-0.05</v>
      </c>
      <c r="N25" s="122">
        <v>0.1</v>
      </c>
      <c r="O25" s="122">
        <v>0.23</v>
      </c>
      <c r="P25" s="122">
        <v>0.14000000000000001</v>
      </c>
      <c r="Q25" s="122">
        <v>-0.01</v>
      </c>
      <c r="R25" s="122">
        <v>-0.14000000000000001</v>
      </c>
      <c r="S25" s="122">
        <v>-0.17</v>
      </c>
      <c r="T25" s="122">
        <v>0.1</v>
      </c>
      <c r="U25" s="122">
        <v>1.52</v>
      </c>
      <c r="V25" s="122">
        <v>0.28999999999999998</v>
      </c>
      <c r="W25" s="122">
        <v>0.25</v>
      </c>
      <c r="X25" s="122">
        <v>0.04</v>
      </c>
      <c r="Y25" s="122">
        <v>-7.0000000000000007E-2</v>
      </c>
      <c r="Z25" s="122">
        <v>0.77</v>
      </c>
      <c r="AA25" s="122">
        <v>0.66</v>
      </c>
      <c r="AB25" s="122">
        <v>0.28999999999999998</v>
      </c>
      <c r="AC25" s="122">
        <v>0.05</v>
      </c>
      <c r="AD25" s="122">
        <v>0.18</v>
      </c>
      <c r="AE25" s="122">
        <v>0.06</v>
      </c>
      <c r="AF25" s="122">
        <v>0.1</v>
      </c>
      <c r="AG25" s="122">
        <v>0.11</v>
      </c>
      <c r="AH25" s="122">
        <v>0.05</v>
      </c>
      <c r="AI25" s="122">
        <v>0.16</v>
      </c>
      <c r="AJ25" s="122">
        <v>0.16</v>
      </c>
      <c r="AK25" s="122">
        <v>0.16</v>
      </c>
      <c r="AL25" s="122">
        <v>0.09</v>
      </c>
      <c r="AM25" s="122">
        <v>0.13</v>
      </c>
      <c r="AN25" s="122">
        <v>0.15</v>
      </c>
      <c r="AO25" s="122">
        <v>0.15</v>
      </c>
      <c r="AP25" s="122">
        <v>0.19</v>
      </c>
      <c r="AQ25" s="122">
        <v>0.19</v>
      </c>
      <c r="AR25" s="122">
        <v>0.13</v>
      </c>
      <c r="AS25" s="122">
        <v>0</v>
      </c>
      <c r="AT25" s="122">
        <v>-7.0000000000000007E-2</v>
      </c>
      <c r="AU25" s="122">
        <v>-0.18</v>
      </c>
      <c r="AV25" s="122">
        <v>-0.14000000000000001</v>
      </c>
      <c r="AW25" s="122">
        <v>-0.04</v>
      </c>
      <c r="AX25" s="122">
        <v>0.06</v>
      </c>
      <c r="AY25" s="122">
        <v>0.2</v>
      </c>
      <c r="AZ25" s="122">
        <v>0.25</v>
      </c>
      <c r="BA25" s="122">
        <v>0.23</v>
      </c>
      <c r="BB25" s="122">
        <v>0.12</v>
      </c>
      <c r="BC25" s="122">
        <v>0.09</v>
      </c>
      <c r="BD25" s="122">
        <v>0.01</v>
      </c>
      <c r="BE25" s="122">
        <v>0.01</v>
      </c>
      <c r="BF25" s="122">
        <v>0.02</v>
      </c>
      <c r="BG25" s="122">
        <v>0.02</v>
      </c>
      <c r="BH25" s="122">
        <v>0.06</v>
      </c>
      <c r="BI25" s="122">
        <v>0</v>
      </c>
      <c r="BJ25" s="122">
        <v>-0.42</v>
      </c>
      <c r="BK25" s="122">
        <v>0.14000000000000001</v>
      </c>
      <c r="BL25" s="122">
        <v>0.13</v>
      </c>
      <c r="BM25" s="122">
        <v>0.16</v>
      </c>
      <c r="BN25" s="122">
        <v>1.04</v>
      </c>
      <c r="BO25" s="122">
        <v>0.01</v>
      </c>
      <c r="BP25" s="122">
        <v>0.01</v>
      </c>
      <c r="BQ25" s="122">
        <v>-0.04</v>
      </c>
      <c r="BR25" s="122">
        <v>-0.09</v>
      </c>
      <c r="BS25" s="122">
        <v>-0.11</v>
      </c>
      <c r="BT25" s="122">
        <v>-0.16</v>
      </c>
      <c r="BU25" s="122">
        <v>-0.15</v>
      </c>
      <c r="BV25" s="122">
        <v>-0.08</v>
      </c>
      <c r="BW25" s="122">
        <v>-0.05</v>
      </c>
      <c r="BX25" s="122">
        <v>-0.03</v>
      </c>
      <c r="BY25" s="122">
        <v>0.01</v>
      </c>
      <c r="BZ25" s="122">
        <v>0.01</v>
      </c>
      <c r="CA25" s="122">
        <v>7.0000000000000007E-2</v>
      </c>
      <c r="CB25" s="122">
        <v>0.13</v>
      </c>
      <c r="CC25" s="122">
        <v>0.12</v>
      </c>
      <c r="CD25" s="122">
        <v>0.05</v>
      </c>
      <c r="CE25" s="122">
        <v>-0.03</v>
      </c>
      <c r="CF25" s="100"/>
      <c r="CG25" s="100"/>
      <c r="CH25" s="100"/>
      <c r="CI25" s="100"/>
      <c r="CJ25" s="100"/>
      <c r="CK25" s="100"/>
      <c r="CL25" s="100"/>
      <c r="CM25" s="100"/>
      <c r="CN25" s="100"/>
      <c r="CO25" s="100"/>
      <c r="CP25" s="100"/>
      <c r="CQ25" s="100"/>
      <c r="CR25" s="100"/>
      <c r="CS25" s="100"/>
      <c r="CT25" s="100"/>
      <c r="CU25" s="100"/>
      <c r="CV25" s="100"/>
      <c r="CW25" s="100"/>
      <c r="CX25" s="100"/>
      <c r="CY25" s="100"/>
      <c r="CZ25" s="100"/>
      <c r="DA25" s="100"/>
      <c r="DB25" s="100"/>
      <c r="DC25" s="100"/>
      <c r="DD25" s="100"/>
      <c r="DE25" s="100"/>
      <c r="DF25" s="100"/>
      <c r="DG25" s="100"/>
      <c r="DH25" s="100"/>
      <c r="DI25" s="100"/>
      <c r="DJ25" s="100"/>
      <c r="DK25" s="100"/>
      <c r="DL25" s="100"/>
      <c r="DM25" s="100"/>
      <c r="DN25" s="100"/>
      <c r="DO25" s="100"/>
      <c r="DP25" s="100"/>
      <c r="DQ25" s="100"/>
      <c r="DR25" s="100"/>
      <c r="DS25" s="100"/>
      <c r="DT25" s="100"/>
      <c r="DU25" s="100"/>
      <c r="DV25" s="100"/>
    </row>
    <row r="26" spans="1:126" ht="13.5" customHeight="1" x14ac:dyDescent="0.75">
      <c r="A26" s="68"/>
      <c r="B26" s="67" t="s">
        <v>256</v>
      </c>
      <c r="C26" s="66" t="s">
        <v>257</v>
      </c>
      <c r="D26" s="119"/>
      <c r="E26" s="119"/>
      <c r="F26" s="119"/>
      <c r="G26" s="119"/>
      <c r="H26" s="119"/>
      <c r="I26" s="119">
        <v>0.1</v>
      </c>
      <c r="J26" s="119">
        <v>0.06</v>
      </c>
      <c r="K26" s="119">
        <v>0</v>
      </c>
      <c r="L26" s="119">
        <v>0.05</v>
      </c>
      <c r="M26" s="119">
        <v>0.16</v>
      </c>
      <c r="N26" s="119">
        <v>0.15</v>
      </c>
      <c r="O26" s="119">
        <v>0.24</v>
      </c>
      <c r="P26" s="119">
        <v>0.18</v>
      </c>
      <c r="Q26" s="119">
        <v>0.13</v>
      </c>
      <c r="R26" s="119">
        <v>0.09</v>
      </c>
      <c r="S26" s="119">
        <v>0.18</v>
      </c>
      <c r="T26" s="119">
        <v>0.18</v>
      </c>
      <c r="U26" s="119">
        <v>0.16</v>
      </c>
      <c r="V26" s="119">
        <v>0.22</v>
      </c>
      <c r="W26" s="119">
        <v>0.1</v>
      </c>
      <c r="X26" s="119">
        <v>0.14000000000000001</v>
      </c>
      <c r="Y26" s="119">
        <v>0.05</v>
      </c>
      <c r="Z26" s="119">
        <v>0.14000000000000001</v>
      </c>
      <c r="AA26" s="119">
        <v>0.2</v>
      </c>
      <c r="AB26" s="119">
        <v>0.21</v>
      </c>
      <c r="AC26" s="119">
        <v>0.27</v>
      </c>
      <c r="AD26" s="119">
        <v>0.18</v>
      </c>
      <c r="AE26" s="119">
        <v>0.14000000000000001</v>
      </c>
      <c r="AF26" s="119">
        <v>0.1</v>
      </c>
      <c r="AG26" s="119">
        <v>0.1</v>
      </c>
      <c r="AH26" s="119">
        <v>7.0000000000000007E-2</v>
      </c>
      <c r="AI26" s="119">
        <v>0.06</v>
      </c>
      <c r="AJ26" s="119">
        <v>0.09</v>
      </c>
      <c r="AK26" s="119">
        <v>0.09</v>
      </c>
      <c r="AL26" s="119">
        <v>0.09</v>
      </c>
      <c r="AM26" s="119">
        <v>0.08</v>
      </c>
      <c r="AN26" s="119">
        <v>0.09</v>
      </c>
      <c r="AO26" s="119">
        <v>0.08</v>
      </c>
      <c r="AP26" s="119">
        <v>0.09</v>
      </c>
      <c r="AQ26" s="119">
        <v>0.08</v>
      </c>
      <c r="AR26" s="119">
        <v>7.0000000000000007E-2</v>
      </c>
      <c r="AS26" s="119">
        <v>0.16</v>
      </c>
      <c r="AT26" s="119">
        <v>0.13</v>
      </c>
      <c r="AU26" s="119">
        <v>0.14000000000000001</v>
      </c>
      <c r="AV26" s="119">
        <v>0.12</v>
      </c>
      <c r="AW26" s="119">
        <v>0.05</v>
      </c>
      <c r="AX26" s="119">
        <v>0.06</v>
      </c>
      <c r="AY26" s="119">
        <v>0.12</v>
      </c>
      <c r="AZ26" s="119">
        <v>0.09</v>
      </c>
      <c r="BA26" s="119">
        <v>0.11</v>
      </c>
      <c r="BB26" s="119">
        <v>0.09</v>
      </c>
      <c r="BC26" s="119">
        <v>0.11</v>
      </c>
      <c r="BD26" s="119">
        <v>0.08</v>
      </c>
      <c r="BE26" s="119">
        <v>0.08</v>
      </c>
      <c r="BF26" s="119">
        <v>0.09</v>
      </c>
      <c r="BG26" s="119">
        <v>0.06</v>
      </c>
      <c r="BH26" s="119">
        <v>0.06</v>
      </c>
      <c r="BI26" s="119">
        <v>0.04</v>
      </c>
      <c r="BJ26" s="119">
        <v>-0.06</v>
      </c>
      <c r="BK26" s="119">
        <v>0.02</v>
      </c>
      <c r="BL26" s="119">
        <v>0.08</v>
      </c>
      <c r="BM26" s="119">
        <v>0.02</v>
      </c>
      <c r="BN26" s="119">
        <v>0.23</v>
      </c>
      <c r="BO26" s="119">
        <v>0.12</v>
      </c>
      <c r="BP26" s="119">
        <v>0.11</v>
      </c>
      <c r="BQ26" s="119">
        <v>0.21</v>
      </c>
      <c r="BR26" s="119">
        <v>0.12</v>
      </c>
      <c r="BS26" s="119">
        <v>0.13</v>
      </c>
      <c r="BT26" s="119">
        <v>0.11</v>
      </c>
      <c r="BU26" s="119">
        <v>0.02</v>
      </c>
      <c r="BV26" s="119">
        <v>7.0000000000000007E-2</v>
      </c>
      <c r="BW26" s="119">
        <v>0.13</v>
      </c>
      <c r="BX26" s="119">
        <v>7.0000000000000007E-2</v>
      </c>
      <c r="BY26" s="119">
        <v>0.17</v>
      </c>
      <c r="BZ26" s="119">
        <v>0.23</v>
      </c>
      <c r="CA26" s="119">
        <v>0.18</v>
      </c>
      <c r="CB26" s="119">
        <v>0.23</v>
      </c>
      <c r="CC26" s="119">
        <v>0.23</v>
      </c>
      <c r="CD26" s="119">
        <v>0.14000000000000001</v>
      </c>
      <c r="CE26" s="119">
        <v>0.12</v>
      </c>
      <c r="CF26" s="100"/>
      <c r="CG26" s="100"/>
      <c r="CH26" s="100"/>
      <c r="CP26" s="100"/>
      <c r="DH26" s="100"/>
      <c r="DI26" s="100"/>
      <c r="DJ26" s="100"/>
      <c r="DK26" s="100"/>
    </row>
    <row r="27" spans="1:126" ht="13.5" customHeight="1" x14ac:dyDescent="0.75">
      <c r="A27" s="68"/>
      <c r="B27" s="67" t="s">
        <v>258</v>
      </c>
      <c r="C27" s="66" t="s">
        <v>259</v>
      </c>
      <c r="D27" s="119"/>
      <c r="E27" s="119"/>
      <c r="F27" s="119"/>
      <c r="G27" s="119"/>
      <c r="H27" s="119"/>
      <c r="I27" s="119">
        <v>0.1</v>
      </c>
      <c r="J27" s="119">
        <v>0.06</v>
      </c>
      <c r="K27" s="119">
        <v>0</v>
      </c>
      <c r="L27" s="119">
        <v>0.05</v>
      </c>
      <c r="M27" s="119">
        <v>0.16</v>
      </c>
      <c r="N27" s="119">
        <v>0.15</v>
      </c>
      <c r="O27" s="119">
        <v>0.24</v>
      </c>
      <c r="P27" s="119">
        <v>0.18</v>
      </c>
      <c r="Q27" s="119">
        <v>0.13</v>
      </c>
      <c r="R27" s="119">
        <v>0.09</v>
      </c>
      <c r="S27" s="119">
        <v>0.18</v>
      </c>
      <c r="T27" s="119">
        <v>0.18</v>
      </c>
      <c r="U27" s="119">
        <v>0.16</v>
      </c>
      <c r="V27" s="119">
        <v>0.22</v>
      </c>
      <c r="W27" s="119">
        <v>0.1</v>
      </c>
      <c r="X27" s="119">
        <v>0.14000000000000001</v>
      </c>
      <c r="Y27" s="119">
        <v>0.16</v>
      </c>
      <c r="Z27" s="119">
        <v>0.13</v>
      </c>
      <c r="AA27" s="119">
        <v>0.18</v>
      </c>
      <c r="AB27" s="119">
        <v>0.14000000000000001</v>
      </c>
      <c r="AC27" s="119">
        <v>0.12</v>
      </c>
      <c r="AD27" s="119">
        <v>7.0000000000000007E-2</v>
      </c>
      <c r="AE27" s="119">
        <v>0.08</v>
      </c>
      <c r="AF27" s="119">
        <v>7.0000000000000007E-2</v>
      </c>
      <c r="AG27" s="119">
        <v>0.05</v>
      </c>
      <c r="AH27" s="119">
        <v>7.0000000000000007E-2</v>
      </c>
      <c r="AI27" s="119">
        <v>0.04</v>
      </c>
      <c r="AJ27" s="119">
        <v>0.03</v>
      </c>
      <c r="AK27" s="119">
        <v>0.04</v>
      </c>
      <c r="AL27" s="119">
        <v>0.04</v>
      </c>
      <c r="AM27" s="119">
        <v>0.02</v>
      </c>
      <c r="AN27" s="119">
        <v>0.02</v>
      </c>
      <c r="AO27" s="119">
        <v>0.02</v>
      </c>
      <c r="AP27" s="119">
        <v>0</v>
      </c>
      <c r="AQ27" s="119">
        <v>0</v>
      </c>
      <c r="AR27" s="119">
        <v>0.01</v>
      </c>
      <c r="AS27" s="119">
        <v>0.04</v>
      </c>
      <c r="AT27" s="119">
        <v>0.06</v>
      </c>
      <c r="AU27" s="119">
        <v>0.06</v>
      </c>
      <c r="AV27" s="119">
        <v>0.06</v>
      </c>
      <c r="AW27" s="119">
        <v>0.02</v>
      </c>
      <c r="AX27" s="119">
        <v>0.02</v>
      </c>
      <c r="AY27" s="119">
        <v>0.02</v>
      </c>
      <c r="AZ27" s="119">
        <v>0.01</v>
      </c>
      <c r="BA27" s="119">
        <v>0.02</v>
      </c>
      <c r="BB27" s="119">
        <v>0.01</v>
      </c>
      <c r="BC27" s="119">
        <v>0.03</v>
      </c>
      <c r="BD27" s="119">
        <v>0.03</v>
      </c>
      <c r="BE27" s="119">
        <v>0.03</v>
      </c>
      <c r="BF27" s="119">
        <v>0.03</v>
      </c>
      <c r="BG27" s="119">
        <v>0.02</v>
      </c>
      <c r="BH27" s="119">
        <v>0.01</v>
      </c>
      <c r="BI27" s="119">
        <v>0.02</v>
      </c>
      <c r="BJ27" s="119">
        <v>0.01</v>
      </c>
      <c r="BK27" s="119">
        <v>0.03</v>
      </c>
      <c r="BL27" s="119">
        <v>0.03</v>
      </c>
      <c r="BM27" s="119">
        <v>0.03</v>
      </c>
      <c r="BN27" s="119">
        <v>0.05</v>
      </c>
      <c r="BO27" s="119">
        <v>0.08</v>
      </c>
      <c r="BP27" s="119">
        <v>0.09</v>
      </c>
      <c r="BQ27" s="119">
        <v>0.08</v>
      </c>
      <c r="BR27" s="119">
        <v>0.08</v>
      </c>
      <c r="BS27" s="119">
        <v>0.04</v>
      </c>
      <c r="BT27" s="119">
        <v>0.03</v>
      </c>
      <c r="BU27" s="119">
        <v>0.04</v>
      </c>
      <c r="BV27" s="119">
        <v>0.03</v>
      </c>
      <c r="BW27" s="119">
        <v>0.04</v>
      </c>
      <c r="BX27" s="119">
        <v>0.04</v>
      </c>
      <c r="BY27" s="119">
        <v>0.02</v>
      </c>
      <c r="BZ27" s="119">
        <v>0.06</v>
      </c>
      <c r="CA27" s="119">
        <v>7.0000000000000007E-2</v>
      </c>
      <c r="CB27" s="119">
        <v>7.0000000000000007E-2</v>
      </c>
      <c r="CC27" s="119">
        <v>0.08</v>
      </c>
      <c r="CD27" s="119">
        <v>0.05</v>
      </c>
      <c r="CE27" s="119">
        <v>0.02</v>
      </c>
      <c r="CF27" s="100"/>
      <c r="CG27" s="100"/>
      <c r="CH27" s="100"/>
      <c r="CP27" s="100"/>
      <c r="DH27" s="100"/>
      <c r="DI27" s="100"/>
      <c r="DJ27" s="100"/>
      <c r="DK27" s="100"/>
    </row>
    <row r="28" spans="1:126" ht="13.5" customHeight="1" x14ac:dyDescent="0.75">
      <c r="A28" s="68"/>
      <c r="B28" s="67" t="s">
        <v>260</v>
      </c>
      <c r="C28" s="66" t="s">
        <v>261</v>
      </c>
      <c r="D28" s="119"/>
      <c r="E28" s="119"/>
      <c r="F28" s="119"/>
      <c r="G28" s="119"/>
      <c r="H28" s="119"/>
      <c r="I28" s="119">
        <v>0.28999999999999998</v>
      </c>
      <c r="J28" s="119">
        <v>0.08</v>
      </c>
      <c r="K28" s="119">
        <v>0.13</v>
      </c>
      <c r="L28" s="119">
        <v>0.12</v>
      </c>
      <c r="M28" s="119">
        <v>0.15</v>
      </c>
      <c r="N28" s="119">
        <v>0.3</v>
      </c>
      <c r="O28" s="119">
        <v>0.37</v>
      </c>
      <c r="P28" s="119">
        <v>0.31</v>
      </c>
      <c r="Q28" s="119">
        <v>0.25</v>
      </c>
      <c r="R28" s="119">
        <v>0</v>
      </c>
      <c r="S28" s="119">
        <v>-0.14000000000000001</v>
      </c>
      <c r="T28" s="119">
        <v>-0.03</v>
      </c>
      <c r="U28" s="119">
        <v>0.05</v>
      </c>
      <c r="V28" s="119">
        <v>0.03</v>
      </c>
      <c r="W28" s="119">
        <v>0.11</v>
      </c>
      <c r="X28" s="119">
        <v>0.16</v>
      </c>
      <c r="Y28" s="119">
        <v>0.24</v>
      </c>
      <c r="Z28" s="119">
        <v>0.2</v>
      </c>
      <c r="AA28" s="119">
        <v>0.25</v>
      </c>
      <c r="AB28" s="119">
        <v>0.26</v>
      </c>
      <c r="AC28" s="119">
        <v>0</v>
      </c>
      <c r="AD28" s="119">
        <v>0.16</v>
      </c>
      <c r="AE28" s="119">
        <v>0.24</v>
      </c>
      <c r="AF28" s="119">
        <v>0.2</v>
      </c>
      <c r="AG28" s="119">
        <v>0.19</v>
      </c>
      <c r="AH28" s="119">
        <v>0.21</v>
      </c>
      <c r="AI28" s="119">
        <v>0.09</v>
      </c>
      <c r="AJ28" s="119">
        <v>-0.02</v>
      </c>
      <c r="AK28" s="119">
        <v>7.0000000000000007E-2</v>
      </c>
      <c r="AL28" s="119">
        <v>0.12</v>
      </c>
      <c r="AM28" s="119">
        <v>0.13</v>
      </c>
      <c r="AN28" s="119">
        <v>0.08</v>
      </c>
      <c r="AO28" s="119">
        <v>7.0000000000000007E-2</v>
      </c>
      <c r="AP28" s="119">
        <v>0.13</v>
      </c>
      <c r="AQ28" s="119">
        <v>0.17</v>
      </c>
      <c r="AR28" s="119">
        <v>0.24</v>
      </c>
      <c r="AS28" s="119">
        <v>0.21</v>
      </c>
      <c r="AT28" s="119">
        <v>0.08</v>
      </c>
      <c r="AU28" s="119">
        <v>-0.02</v>
      </c>
      <c r="AV28" s="119">
        <v>-0.05</v>
      </c>
      <c r="AW28" s="119">
        <v>-0.14000000000000001</v>
      </c>
      <c r="AX28" s="119">
        <v>-0.12</v>
      </c>
      <c r="AY28" s="119">
        <v>-0.05</v>
      </c>
      <c r="AZ28" s="119">
        <v>-0.08</v>
      </c>
      <c r="BA28" s="119">
        <v>-0.05</v>
      </c>
      <c r="BB28" s="119">
        <v>0.01</v>
      </c>
      <c r="BC28" s="119">
        <v>7.0000000000000007E-2</v>
      </c>
      <c r="BD28" s="119">
        <v>0.14000000000000001</v>
      </c>
      <c r="BE28" s="119">
        <v>0.28000000000000003</v>
      </c>
      <c r="BF28" s="119">
        <v>0.37</v>
      </c>
      <c r="BG28" s="119">
        <v>0.34</v>
      </c>
      <c r="BH28" s="119">
        <v>0.32</v>
      </c>
      <c r="BI28" s="119">
        <v>0.06</v>
      </c>
      <c r="BJ28" s="119">
        <v>-0.2</v>
      </c>
      <c r="BK28" s="119">
        <v>-0.05</v>
      </c>
      <c r="BL28" s="119">
        <v>-0.02</v>
      </c>
      <c r="BM28" s="119">
        <v>0.14000000000000001</v>
      </c>
      <c r="BN28" s="119">
        <v>0.06</v>
      </c>
      <c r="BO28" s="119">
        <v>0</v>
      </c>
      <c r="BP28" s="119">
        <v>-0.02</v>
      </c>
      <c r="BQ28" s="119">
        <v>0.26</v>
      </c>
      <c r="BR28" s="119">
        <v>0.72</v>
      </c>
      <c r="BS28" s="119">
        <v>0.21</v>
      </c>
      <c r="BT28" s="119">
        <v>0.2</v>
      </c>
      <c r="BU28" s="119">
        <v>-0.06</v>
      </c>
      <c r="BV28" s="119">
        <v>-0.06</v>
      </c>
      <c r="BW28" s="119">
        <v>0.19</v>
      </c>
      <c r="BX28" s="119">
        <v>0.28000000000000003</v>
      </c>
      <c r="BY28" s="119">
        <v>0.32</v>
      </c>
      <c r="BZ28" s="119">
        <v>0.16</v>
      </c>
      <c r="CA28" s="119">
        <v>-0.05</v>
      </c>
      <c r="CB28" s="119">
        <v>-7.0000000000000007E-2</v>
      </c>
      <c r="CC28" s="119">
        <v>0.02</v>
      </c>
      <c r="CD28" s="119">
        <v>0.05</v>
      </c>
      <c r="CE28" s="119">
        <v>0.2</v>
      </c>
      <c r="CF28" s="100"/>
      <c r="CG28" s="100"/>
      <c r="CH28" s="100"/>
      <c r="CP28" s="100"/>
      <c r="DH28" s="100"/>
      <c r="DI28" s="100"/>
      <c r="DJ28" s="100"/>
      <c r="DK28" s="100"/>
    </row>
    <row r="29" spans="1:126" ht="14.25" customHeight="1" x14ac:dyDescent="0.75">
      <c r="A29" s="64"/>
      <c r="B29" s="81" t="s">
        <v>262</v>
      </c>
      <c r="C29" s="82" t="s">
        <v>263</v>
      </c>
      <c r="D29" s="117"/>
      <c r="E29" s="117"/>
      <c r="F29" s="117"/>
      <c r="G29" s="117"/>
      <c r="H29" s="117"/>
      <c r="I29" s="117">
        <v>0.16</v>
      </c>
      <c r="J29" s="117">
        <v>0.1</v>
      </c>
      <c r="K29" s="117">
        <v>0.08</v>
      </c>
      <c r="L29" s="117">
        <v>0.15</v>
      </c>
      <c r="M29" s="117">
        <v>0.11</v>
      </c>
      <c r="N29" s="117">
        <v>0.15</v>
      </c>
      <c r="O29" s="117">
        <v>0.15</v>
      </c>
      <c r="P29" s="117">
        <v>0.14000000000000001</v>
      </c>
      <c r="Q29" s="117">
        <v>0.17</v>
      </c>
      <c r="R29" s="117">
        <v>0.04</v>
      </c>
      <c r="S29" s="117">
        <v>0.03</v>
      </c>
      <c r="T29" s="117">
        <v>0.02</v>
      </c>
      <c r="U29" s="117">
        <v>0.06</v>
      </c>
      <c r="V29" s="117">
        <v>0.08</v>
      </c>
      <c r="W29" s="117">
        <v>0.09</v>
      </c>
      <c r="X29" s="117">
        <v>0.13</v>
      </c>
      <c r="Y29" s="117">
        <v>0.09</v>
      </c>
      <c r="Z29" s="117">
        <v>0.05</v>
      </c>
      <c r="AA29" s="117">
        <v>0.11</v>
      </c>
      <c r="AB29" s="117">
        <v>0.06</v>
      </c>
      <c r="AC29" s="117">
        <v>0.12</v>
      </c>
      <c r="AD29" s="117">
        <v>0.15</v>
      </c>
      <c r="AE29" s="117">
        <v>0.1</v>
      </c>
      <c r="AF29" s="117">
        <v>0.1</v>
      </c>
      <c r="AG29" s="117">
        <v>0.04</v>
      </c>
      <c r="AH29" s="117">
        <v>7.0000000000000007E-2</v>
      </c>
      <c r="AI29" s="117">
        <v>0.03</v>
      </c>
      <c r="AJ29" s="117">
        <v>7.0000000000000007E-2</v>
      </c>
      <c r="AK29" s="117">
        <v>0.08</v>
      </c>
      <c r="AL29" s="117">
        <v>0.06</v>
      </c>
      <c r="AM29" s="117">
        <v>0.09</v>
      </c>
      <c r="AN29" s="117">
        <v>0.05</v>
      </c>
      <c r="AO29" s="117">
        <v>0.1</v>
      </c>
      <c r="AP29" s="117">
        <v>0.11</v>
      </c>
      <c r="AQ29" s="117">
        <v>0.1</v>
      </c>
      <c r="AR29" s="117">
        <v>0.11</v>
      </c>
      <c r="AS29" s="117">
        <v>0.09</v>
      </c>
      <c r="AT29" s="117">
        <v>0.09</v>
      </c>
      <c r="AU29" s="117">
        <v>0.06</v>
      </c>
      <c r="AV29" s="117">
        <v>0.05</v>
      </c>
      <c r="AW29" s="117">
        <v>0.02</v>
      </c>
      <c r="AX29" s="117">
        <v>0.04</v>
      </c>
      <c r="AY29" s="117">
        <v>0.09</v>
      </c>
      <c r="AZ29" s="117">
        <v>7.0000000000000007E-2</v>
      </c>
      <c r="BA29" s="117">
        <v>0.12</v>
      </c>
      <c r="BB29" s="117">
        <v>0.08</v>
      </c>
      <c r="BC29" s="117">
        <v>7.0000000000000007E-2</v>
      </c>
      <c r="BD29" s="117">
        <v>0.11</v>
      </c>
      <c r="BE29" s="117">
        <v>0.04</v>
      </c>
      <c r="BF29" s="117">
        <v>0.11</v>
      </c>
      <c r="BG29" s="117">
        <v>0.1</v>
      </c>
      <c r="BH29" s="117">
        <v>0.08</v>
      </c>
      <c r="BI29" s="117">
        <v>0.06</v>
      </c>
      <c r="BJ29" s="117">
        <v>-0.16</v>
      </c>
      <c r="BK29" s="117">
        <v>-7.0000000000000007E-2</v>
      </c>
      <c r="BL29" s="117">
        <v>-0.03</v>
      </c>
      <c r="BM29" s="117">
        <v>0</v>
      </c>
      <c r="BN29" s="117">
        <v>0.28999999999999998</v>
      </c>
      <c r="BO29" s="117">
        <v>0.1</v>
      </c>
      <c r="BP29" s="117">
        <v>0.12</v>
      </c>
      <c r="BQ29" s="117">
        <v>0.11</v>
      </c>
      <c r="BR29" s="117">
        <v>0.09</v>
      </c>
      <c r="BS29" s="117">
        <v>0.12</v>
      </c>
      <c r="BT29" s="117">
        <v>0.09</v>
      </c>
      <c r="BU29" s="117">
        <v>0.13</v>
      </c>
      <c r="BV29" s="117">
        <v>7.0000000000000007E-2</v>
      </c>
      <c r="BW29" s="117">
        <v>0.11</v>
      </c>
      <c r="BX29" s="117">
        <v>0.16</v>
      </c>
      <c r="BY29" s="117">
        <v>0.05</v>
      </c>
      <c r="BZ29" s="117">
        <v>0.12</v>
      </c>
      <c r="CA29" s="117">
        <v>0.1</v>
      </c>
      <c r="CB29" s="117">
        <v>0.08</v>
      </c>
      <c r="CC29" s="117">
        <v>0.08</v>
      </c>
      <c r="CD29" s="117">
        <v>0.09</v>
      </c>
      <c r="CE29" s="117">
        <v>0.1</v>
      </c>
      <c r="CF29" s="100"/>
      <c r="CG29" s="100"/>
      <c r="CH29" s="100"/>
      <c r="CP29" s="100"/>
      <c r="DH29" s="100"/>
      <c r="DI29" s="100"/>
      <c r="DJ29" s="100"/>
      <c r="DK29" s="100"/>
    </row>
    <row r="30" spans="1:126" ht="14.25" customHeight="1" x14ac:dyDescent="0.75">
      <c r="A30" s="64"/>
      <c r="B30" s="81" t="s">
        <v>264</v>
      </c>
      <c r="C30" s="82" t="s">
        <v>265</v>
      </c>
      <c r="D30" s="117"/>
      <c r="E30" s="117"/>
      <c r="F30" s="117"/>
      <c r="G30" s="117"/>
      <c r="H30" s="117"/>
      <c r="I30" s="117">
        <v>0.24</v>
      </c>
      <c r="J30" s="117">
        <v>0.11</v>
      </c>
      <c r="K30" s="117">
        <v>7.0000000000000007E-2</v>
      </c>
      <c r="L30" s="117">
        <v>0.2</v>
      </c>
      <c r="M30" s="117">
        <v>0.11</v>
      </c>
      <c r="N30" s="117">
        <v>0.22</v>
      </c>
      <c r="O30" s="117">
        <v>0.28000000000000003</v>
      </c>
      <c r="P30" s="117">
        <v>0.2</v>
      </c>
      <c r="Q30" s="117">
        <v>0.26</v>
      </c>
      <c r="R30" s="117">
        <v>0.03</v>
      </c>
      <c r="S30" s="117">
        <v>-0.03</v>
      </c>
      <c r="T30" s="117">
        <v>0</v>
      </c>
      <c r="U30" s="117">
        <v>0.03</v>
      </c>
      <c r="V30" s="117">
        <v>0.06</v>
      </c>
      <c r="W30" s="117">
        <v>0.13</v>
      </c>
      <c r="X30" s="117">
        <v>0.14000000000000001</v>
      </c>
      <c r="Y30" s="117">
        <v>0.05</v>
      </c>
      <c r="Z30" s="117">
        <v>0.01</v>
      </c>
      <c r="AA30" s="117">
        <v>0.13</v>
      </c>
      <c r="AB30" s="117">
        <v>0.08</v>
      </c>
      <c r="AC30" s="117">
        <v>0.16</v>
      </c>
      <c r="AD30" s="117">
        <v>0.19</v>
      </c>
      <c r="AE30" s="117">
        <v>0.16</v>
      </c>
      <c r="AF30" s="117">
        <v>0.09</v>
      </c>
      <c r="AG30" s="117">
        <v>0.03</v>
      </c>
      <c r="AH30" s="117">
        <v>0.08</v>
      </c>
      <c r="AI30" s="117">
        <v>0.02</v>
      </c>
      <c r="AJ30" s="117">
        <v>0.11</v>
      </c>
      <c r="AK30" s="117">
        <v>0.13</v>
      </c>
      <c r="AL30" s="117">
        <v>0.05</v>
      </c>
      <c r="AM30" s="117">
        <v>0.06</v>
      </c>
      <c r="AN30" s="117">
        <v>0.04</v>
      </c>
      <c r="AO30" s="117">
        <v>0.12</v>
      </c>
      <c r="AP30" s="117">
        <v>0.12</v>
      </c>
      <c r="AQ30" s="117">
        <v>0.1</v>
      </c>
      <c r="AR30" s="117">
        <v>0.11</v>
      </c>
      <c r="AS30" s="117">
        <v>0.1</v>
      </c>
      <c r="AT30" s="117">
        <v>0.15</v>
      </c>
      <c r="AU30" s="117">
        <v>0.05</v>
      </c>
      <c r="AV30" s="117">
        <v>-0.02</v>
      </c>
      <c r="AW30" s="117">
        <v>-0.03</v>
      </c>
      <c r="AX30" s="117">
        <v>0.01</v>
      </c>
      <c r="AY30" s="117">
        <v>0.12</v>
      </c>
      <c r="AZ30" s="117">
        <v>0.17</v>
      </c>
      <c r="BA30" s="117">
        <v>0.26</v>
      </c>
      <c r="BB30" s="117">
        <v>0.13</v>
      </c>
      <c r="BC30" s="117">
        <v>0.15</v>
      </c>
      <c r="BD30" s="117">
        <v>0.2</v>
      </c>
      <c r="BE30" s="117">
        <v>0.06</v>
      </c>
      <c r="BF30" s="117">
        <v>0.18</v>
      </c>
      <c r="BG30" s="117">
        <v>0.19</v>
      </c>
      <c r="BH30" s="117">
        <v>0.13</v>
      </c>
      <c r="BI30" s="117">
        <v>7.0000000000000007E-2</v>
      </c>
      <c r="BJ30" s="117">
        <v>-0.28999999999999998</v>
      </c>
      <c r="BK30" s="117">
        <v>-0.12</v>
      </c>
      <c r="BL30" s="117">
        <v>-7.0000000000000007E-2</v>
      </c>
      <c r="BM30" s="117">
        <v>-0.04</v>
      </c>
      <c r="BN30" s="117">
        <v>0.51</v>
      </c>
      <c r="BO30" s="117">
        <v>0.03</v>
      </c>
      <c r="BP30" s="117">
        <v>0.12</v>
      </c>
      <c r="BQ30" s="117">
        <v>0.13</v>
      </c>
      <c r="BR30" s="117">
        <v>0.14000000000000001</v>
      </c>
      <c r="BS30" s="117">
        <v>0.14000000000000001</v>
      </c>
      <c r="BT30" s="117">
        <v>0.12</v>
      </c>
      <c r="BU30" s="117">
        <v>0.21</v>
      </c>
      <c r="BV30" s="117">
        <v>0.04</v>
      </c>
      <c r="BW30" s="117">
        <v>0.17</v>
      </c>
      <c r="BX30" s="117">
        <v>0.14000000000000001</v>
      </c>
      <c r="BY30" s="117">
        <v>0.04</v>
      </c>
      <c r="BZ30" s="117">
        <v>0.13</v>
      </c>
      <c r="CA30" s="117">
        <v>0.09</v>
      </c>
      <c r="CB30" s="117">
        <v>0.09</v>
      </c>
      <c r="CC30" s="117">
        <v>0.09</v>
      </c>
      <c r="CD30" s="117">
        <v>0.1</v>
      </c>
      <c r="CE30" s="117">
        <v>0.15</v>
      </c>
      <c r="CF30" s="100"/>
      <c r="CG30" s="100"/>
      <c r="CH30" s="100"/>
      <c r="CP30" s="100"/>
      <c r="DH30" s="100"/>
      <c r="DI30" s="100"/>
      <c r="DJ30" s="100"/>
      <c r="DK30" s="100"/>
    </row>
    <row r="31" spans="1:126" ht="13.5" customHeight="1" x14ac:dyDescent="0.75">
      <c r="A31" s="68"/>
      <c r="B31" s="67" t="s">
        <v>266</v>
      </c>
      <c r="C31" s="66" t="s">
        <v>267</v>
      </c>
      <c r="D31" s="119"/>
      <c r="E31" s="119"/>
      <c r="F31" s="119"/>
      <c r="G31" s="119"/>
      <c r="H31" s="119"/>
      <c r="I31" s="119">
        <v>0.26</v>
      </c>
      <c r="J31" s="119">
        <v>0.11</v>
      </c>
      <c r="K31" s="119">
        <v>7.0000000000000007E-2</v>
      </c>
      <c r="L31" s="119">
        <v>0.18</v>
      </c>
      <c r="M31" s="119">
        <v>0.1</v>
      </c>
      <c r="N31" s="119">
        <v>0.21</v>
      </c>
      <c r="O31" s="119">
        <v>0.28000000000000003</v>
      </c>
      <c r="P31" s="119">
        <v>0.19</v>
      </c>
      <c r="Q31" s="119">
        <v>0.28000000000000003</v>
      </c>
      <c r="R31" s="119">
        <v>0.01</v>
      </c>
      <c r="S31" s="119">
        <v>-0.05</v>
      </c>
      <c r="T31" s="119">
        <v>-0.02</v>
      </c>
      <c r="U31" s="119">
        <v>0.01</v>
      </c>
      <c r="V31" s="119">
        <v>0.05</v>
      </c>
      <c r="W31" s="119">
        <v>0.13</v>
      </c>
      <c r="X31" s="119">
        <v>0.17</v>
      </c>
      <c r="Y31" s="119">
        <v>0.12</v>
      </c>
      <c r="Z31" s="119">
        <v>0.11</v>
      </c>
      <c r="AA31" s="119">
        <v>7.0000000000000007E-2</v>
      </c>
      <c r="AB31" s="119">
        <v>0.02</v>
      </c>
      <c r="AC31" s="119">
        <v>7.0000000000000007E-2</v>
      </c>
      <c r="AD31" s="119">
        <v>0.08</v>
      </c>
      <c r="AE31" s="119">
        <v>0.09</v>
      </c>
      <c r="AF31" s="119">
        <v>0.08</v>
      </c>
      <c r="AG31" s="119">
        <v>7.0000000000000007E-2</v>
      </c>
      <c r="AH31" s="119">
        <v>0.06</v>
      </c>
      <c r="AI31" s="119">
        <v>0.05</v>
      </c>
      <c r="AJ31" s="119">
        <v>0.04</v>
      </c>
      <c r="AK31" s="119">
        <v>0.04</v>
      </c>
      <c r="AL31" s="119">
        <v>0.04</v>
      </c>
      <c r="AM31" s="119">
        <v>0.04</v>
      </c>
      <c r="AN31" s="119">
        <v>0.04</v>
      </c>
      <c r="AO31" s="119">
        <v>0.05</v>
      </c>
      <c r="AP31" s="119">
        <v>0.05</v>
      </c>
      <c r="AQ31" s="119">
        <v>0.05</v>
      </c>
      <c r="AR31" s="119">
        <v>0.05</v>
      </c>
      <c r="AS31" s="119">
        <v>0.05</v>
      </c>
      <c r="AT31" s="119">
        <v>7.0000000000000007E-2</v>
      </c>
      <c r="AU31" s="119">
        <v>0.08</v>
      </c>
      <c r="AV31" s="119">
        <v>7.0000000000000007E-2</v>
      </c>
      <c r="AW31" s="119">
        <v>7.0000000000000007E-2</v>
      </c>
      <c r="AX31" s="119">
        <v>0.06</v>
      </c>
      <c r="AY31" s="119">
        <v>0.05</v>
      </c>
      <c r="AZ31" s="119">
        <v>0.06</v>
      </c>
      <c r="BA31" s="119">
        <v>0.06</v>
      </c>
      <c r="BB31" s="119">
        <v>7.0000000000000007E-2</v>
      </c>
      <c r="BC31" s="119">
        <v>0.06</v>
      </c>
      <c r="BD31" s="119">
        <v>7.0000000000000007E-2</v>
      </c>
      <c r="BE31" s="119">
        <v>0.06</v>
      </c>
      <c r="BF31" s="119">
        <v>0.06</v>
      </c>
      <c r="BG31" s="119">
        <v>7.0000000000000007E-2</v>
      </c>
      <c r="BH31" s="119">
        <v>0.09</v>
      </c>
      <c r="BI31" s="119">
        <v>0.01</v>
      </c>
      <c r="BJ31" s="119">
        <v>-0.43</v>
      </c>
      <c r="BK31" s="119">
        <v>0.14000000000000001</v>
      </c>
      <c r="BL31" s="119">
        <v>0.15</v>
      </c>
      <c r="BM31" s="119">
        <v>0.28999999999999998</v>
      </c>
      <c r="BN31" s="119">
        <v>1.47</v>
      </c>
      <c r="BO31" s="119">
        <v>0.23</v>
      </c>
      <c r="BP31" s="119">
        <v>0.24</v>
      </c>
      <c r="BQ31" s="119">
        <v>0.19</v>
      </c>
      <c r="BR31" s="119">
        <v>0.1</v>
      </c>
      <c r="BS31" s="119">
        <v>0.14000000000000001</v>
      </c>
      <c r="BT31" s="119">
        <v>0.12</v>
      </c>
      <c r="BU31" s="119">
        <v>0.11</v>
      </c>
      <c r="BV31" s="119">
        <v>0.16</v>
      </c>
      <c r="BW31" s="119">
        <v>0.15</v>
      </c>
      <c r="BX31" s="119">
        <v>0.16</v>
      </c>
      <c r="BY31" s="119">
        <v>0.14000000000000001</v>
      </c>
      <c r="BZ31" s="119">
        <v>7.0000000000000007E-2</v>
      </c>
      <c r="CA31" s="119">
        <v>0.08</v>
      </c>
      <c r="CB31" s="119">
        <v>0.23</v>
      </c>
      <c r="CC31" s="119">
        <v>0.35</v>
      </c>
      <c r="CD31" s="119">
        <v>0.34</v>
      </c>
      <c r="CE31" s="119">
        <v>0.34</v>
      </c>
      <c r="CF31" s="100"/>
      <c r="CG31" s="100"/>
      <c r="CH31" s="100"/>
      <c r="CP31" s="100"/>
      <c r="DH31" s="100"/>
      <c r="DI31" s="100"/>
      <c r="DJ31" s="100"/>
      <c r="DK31" s="100"/>
    </row>
    <row r="32" spans="1:126" ht="13.5" customHeight="1" x14ac:dyDescent="0.75">
      <c r="A32" s="68"/>
      <c r="B32" s="67" t="s">
        <v>268</v>
      </c>
      <c r="C32" s="66" t="s">
        <v>269</v>
      </c>
      <c r="D32" s="119"/>
      <c r="E32" s="119"/>
      <c r="F32" s="119"/>
      <c r="G32" s="119"/>
      <c r="H32" s="119"/>
      <c r="I32" s="119">
        <v>0.26</v>
      </c>
      <c r="J32" s="119">
        <v>0.11</v>
      </c>
      <c r="K32" s="119">
        <v>7.0000000000000007E-2</v>
      </c>
      <c r="L32" s="119">
        <v>0.18</v>
      </c>
      <c r="M32" s="119">
        <v>0.1</v>
      </c>
      <c r="N32" s="119">
        <v>0.21</v>
      </c>
      <c r="O32" s="119">
        <v>0.28000000000000003</v>
      </c>
      <c r="P32" s="119">
        <v>0.19</v>
      </c>
      <c r="Q32" s="119">
        <v>0.28000000000000003</v>
      </c>
      <c r="R32" s="119">
        <v>0.01</v>
      </c>
      <c r="S32" s="119">
        <v>-0.05</v>
      </c>
      <c r="T32" s="119">
        <v>-0.02</v>
      </c>
      <c r="U32" s="119">
        <v>0.01</v>
      </c>
      <c r="V32" s="119">
        <v>0.05</v>
      </c>
      <c r="W32" s="119">
        <v>0.13</v>
      </c>
      <c r="X32" s="119">
        <v>0.17</v>
      </c>
      <c r="Y32" s="119">
        <v>0.06</v>
      </c>
      <c r="Z32" s="119">
        <v>0.02</v>
      </c>
      <c r="AA32" s="119">
        <v>0.14000000000000001</v>
      </c>
      <c r="AB32" s="119">
        <v>0.08</v>
      </c>
      <c r="AC32" s="119">
        <v>0.17</v>
      </c>
      <c r="AD32" s="119">
        <v>0.2</v>
      </c>
      <c r="AE32" s="119">
        <v>0.14000000000000001</v>
      </c>
      <c r="AF32" s="119">
        <v>7.0000000000000007E-2</v>
      </c>
      <c r="AG32" s="119">
        <v>0</v>
      </c>
      <c r="AH32" s="119">
        <v>0.09</v>
      </c>
      <c r="AI32" s="119">
        <v>0.02</v>
      </c>
      <c r="AJ32" s="119">
        <v>0.12</v>
      </c>
      <c r="AK32" s="119">
        <v>0.18</v>
      </c>
      <c r="AL32" s="119">
        <v>0.05</v>
      </c>
      <c r="AM32" s="119">
        <v>7.0000000000000007E-2</v>
      </c>
      <c r="AN32" s="119">
        <v>0.05</v>
      </c>
      <c r="AO32" s="119">
        <v>0.14000000000000001</v>
      </c>
      <c r="AP32" s="119">
        <v>0.15</v>
      </c>
      <c r="AQ32" s="119">
        <v>0.11</v>
      </c>
      <c r="AR32" s="119">
        <v>0.11</v>
      </c>
      <c r="AS32" s="119">
        <v>0.1</v>
      </c>
      <c r="AT32" s="119">
        <v>0.16</v>
      </c>
      <c r="AU32" s="119">
        <v>0.06</v>
      </c>
      <c r="AV32" s="119">
        <v>-0.06</v>
      </c>
      <c r="AW32" s="119">
        <v>-7.0000000000000007E-2</v>
      </c>
      <c r="AX32" s="119">
        <v>-0.05</v>
      </c>
      <c r="AY32" s="119">
        <v>0.06</v>
      </c>
      <c r="AZ32" s="119">
        <v>0.17</v>
      </c>
      <c r="BA32" s="119">
        <v>0.27</v>
      </c>
      <c r="BB32" s="119">
        <v>0.12</v>
      </c>
      <c r="BC32" s="119">
        <v>0.13</v>
      </c>
      <c r="BD32" s="119">
        <v>0.21</v>
      </c>
      <c r="BE32" s="119">
        <v>0.05</v>
      </c>
      <c r="BF32" s="119">
        <v>0.24</v>
      </c>
      <c r="BG32" s="119">
        <v>0.21</v>
      </c>
      <c r="BH32" s="119">
        <v>0.14000000000000001</v>
      </c>
      <c r="BI32" s="119">
        <v>0.11</v>
      </c>
      <c r="BJ32" s="119">
        <v>-0.22</v>
      </c>
      <c r="BK32" s="119">
        <v>0</v>
      </c>
      <c r="BL32" s="119">
        <v>-0.02</v>
      </c>
      <c r="BM32" s="119">
        <v>0</v>
      </c>
      <c r="BN32" s="119">
        <v>0.47</v>
      </c>
      <c r="BO32" s="119">
        <v>-0.05</v>
      </c>
      <c r="BP32" s="119">
        <v>7.0000000000000007E-2</v>
      </c>
      <c r="BQ32" s="119">
        <v>0.08</v>
      </c>
      <c r="BR32" s="119">
        <v>0.09</v>
      </c>
      <c r="BS32" s="119">
        <v>0.08</v>
      </c>
      <c r="BT32" s="119">
        <v>0.09</v>
      </c>
      <c r="BU32" s="119">
        <v>0.22</v>
      </c>
      <c r="BV32" s="119">
        <v>0.01</v>
      </c>
      <c r="BW32" s="119">
        <v>0.17</v>
      </c>
      <c r="BX32" s="119">
        <v>0.15</v>
      </c>
      <c r="BY32" s="119">
        <v>0.02</v>
      </c>
      <c r="BZ32" s="119">
        <v>0.16</v>
      </c>
      <c r="CA32" s="119">
        <v>0.12</v>
      </c>
      <c r="CB32" s="119">
        <v>0.13</v>
      </c>
      <c r="CC32" s="119">
        <v>0.13</v>
      </c>
      <c r="CD32" s="119">
        <v>0.13</v>
      </c>
      <c r="CE32" s="119">
        <v>0.2</v>
      </c>
      <c r="CF32" s="100"/>
      <c r="CG32" s="100"/>
      <c r="CH32" s="100"/>
      <c r="CP32" s="100"/>
      <c r="DH32" s="100"/>
      <c r="DI32" s="100"/>
      <c r="DJ32" s="100"/>
      <c r="DK32" s="100"/>
    </row>
    <row r="33" spans="1:115" ht="13.5" customHeight="1" x14ac:dyDescent="0.75">
      <c r="A33" s="68"/>
      <c r="B33" s="67" t="s">
        <v>270</v>
      </c>
      <c r="C33" s="66" t="s">
        <v>271</v>
      </c>
      <c r="D33" s="119"/>
      <c r="E33" s="119"/>
      <c r="F33" s="119"/>
      <c r="G33" s="119"/>
      <c r="H33" s="119"/>
      <c r="I33" s="119">
        <v>0.17</v>
      </c>
      <c r="J33" s="119">
        <v>0.1</v>
      </c>
      <c r="K33" s="119">
        <v>0.08</v>
      </c>
      <c r="L33" s="119">
        <v>0.25</v>
      </c>
      <c r="M33" s="119">
        <v>0.17</v>
      </c>
      <c r="N33" s="119">
        <v>0.26</v>
      </c>
      <c r="O33" s="119">
        <v>0.3</v>
      </c>
      <c r="P33" s="119">
        <v>0.23</v>
      </c>
      <c r="Q33" s="119">
        <v>0.22</v>
      </c>
      <c r="R33" s="119">
        <v>0.1</v>
      </c>
      <c r="S33" s="119">
        <v>0.02</v>
      </c>
      <c r="T33" s="119">
        <v>0.06</v>
      </c>
      <c r="U33" s="119">
        <v>0.1</v>
      </c>
      <c r="V33" s="119">
        <v>0.08</v>
      </c>
      <c r="W33" s="119">
        <v>0.12</v>
      </c>
      <c r="X33" s="119">
        <v>7.0000000000000007E-2</v>
      </c>
      <c r="Y33" s="119">
        <v>0.04</v>
      </c>
      <c r="Z33" s="119">
        <v>0</v>
      </c>
      <c r="AA33" s="119">
        <v>7.0000000000000007E-2</v>
      </c>
      <c r="AB33" s="119">
        <v>0.06</v>
      </c>
      <c r="AC33" s="119">
        <v>0.14000000000000001</v>
      </c>
      <c r="AD33" s="119">
        <v>0.2</v>
      </c>
      <c r="AE33" s="119">
        <v>0.24</v>
      </c>
      <c r="AF33" s="119">
        <v>0.19</v>
      </c>
      <c r="AG33" s="119">
        <v>0.1</v>
      </c>
      <c r="AH33" s="119">
        <v>0.08</v>
      </c>
      <c r="AI33" s="119">
        <v>0.03</v>
      </c>
      <c r="AJ33" s="119">
        <v>7.0000000000000007E-2</v>
      </c>
      <c r="AK33" s="119">
        <v>0.05</v>
      </c>
      <c r="AL33" s="119">
        <v>0.06</v>
      </c>
      <c r="AM33" s="119">
        <v>0.03</v>
      </c>
      <c r="AN33" s="119">
        <v>0.02</v>
      </c>
      <c r="AO33" s="119">
        <v>0.1</v>
      </c>
      <c r="AP33" s="119">
        <v>7.0000000000000007E-2</v>
      </c>
      <c r="AQ33" s="119">
        <v>0.1</v>
      </c>
      <c r="AR33" s="119">
        <v>0.12</v>
      </c>
      <c r="AS33" s="119">
        <v>0.1</v>
      </c>
      <c r="AT33" s="119">
        <v>0.13</v>
      </c>
      <c r="AU33" s="119">
        <v>0.03</v>
      </c>
      <c r="AV33" s="119">
        <v>0.06</v>
      </c>
      <c r="AW33" s="119">
        <v>0.05</v>
      </c>
      <c r="AX33" s="119">
        <v>0.13</v>
      </c>
      <c r="AY33" s="119">
        <v>0.24</v>
      </c>
      <c r="AZ33" s="119">
        <v>0.18</v>
      </c>
      <c r="BA33" s="119">
        <v>0.26</v>
      </c>
      <c r="BB33" s="119">
        <v>0.15</v>
      </c>
      <c r="BC33" s="119">
        <v>0.18</v>
      </c>
      <c r="BD33" s="119">
        <v>0.2</v>
      </c>
      <c r="BE33" s="119">
        <v>0.08</v>
      </c>
      <c r="BF33" s="119">
        <v>0.11</v>
      </c>
      <c r="BG33" s="119">
        <v>0.18</v>
      </c>
      <c r="BH33" s="119">
        <v>0.12</v>
      </c>
      <c r="BI33" s="119">
        <v>0</v>
      </c>
      <c r="BJ33" s="119">
        <v>-0.41</v>
      </c>
      <c r="BK33" s="119">
        <v>-0.33</v>
      </c>
      <c r="BL33" s="119">
        <v>-0.19</v>
      </c>
      <c r="BM33" s="119">
        <v>-0.14000000000000001</v>
      </c>
      <c r="BN33" s="119">
        <v>0.55000000000000004</v>
      </c>
      <c r="BO33" s="119">
        <v>0.15</v>
      </c>
      <c r="BP33" s="119">
        <v>0.15</v>
      </c>
      <c r="BQ33" s="119">
        <v>0.19</v>
      </c>
      <c r="BR33" s="119">
        <v>0.2</v>
      </c>
      <c r="BS33" s="119">
        <v>0.21</v>
      </c>
      <c r="BT33" s="119">
        <v>0.15</v>
      </c>
      <c r="BU33" s="119">
        <v>0.2</v>
      </c>
      <c r="BV33" s="119">
        <v>0.06</v>
      </c>
      <c r="BW33" s="119">
        <v>0.18</v>
      </c>
      <c r="BX33" s="119">
        <v>0.13</v>
      </c>
      <c r="BY33" s="119">
        <v>0.06</v>
      </c>
      <c r="BZ33" s="119">
        <v>0.1</v>
      </c>
      <c r="CA33" s="119">
        <v>0.06</v>
      </c>
      <c r="CB33" s="119">
        <v>0.04</v>
      </c>
      <c r="CC33" s="119">
        <v>0.02</v>
      </c>
      <c r="CD33" s="119">
        <v>0.05</v>
      </c>
      <c r="CE33" s="119">
        <v>0.09</v>
      </c>
      <c r="CF33" s="100"/>
      <c r="CG33" s="100"/>
      <c r="CH33" s="100"/>
      <c r="CP33" s="100"/>
      <c r="DH33" s="100"/>
      <c r="DI33" s="100"/>
      <c r="DJ33" s="100"/>
      <c r="DK33" s="100"/>
    </row>
    <row r="34" spans="1:115" ht="14.25" customHeight="1" x14ac:dyDescent="0.75">
      <c r="A34" s="64"/>
      <c r="B34" s="81" t="s">
        <v>272</v>
      </c>
      <c r="C34" s="82" t="s">
        <v>273</v>
      </c>
      <c r="D34" s="117"/>
      <c r="E34" s="117"/>
      <c r="F34" s="117"/>
      <c r="G34" s="117"/>
      <c r="H34" s="117"/>
      <c r="I34" s="117">
        <v>0.12</v>
      </c>
      <c r="J34" s="117">
        <v>0.09</v>
      </c>
      <c r="K34" s="117">
        <v>0.09</v>
      </c>
      <c r="L34" s="117">
        <v>0.13</v>
      </c>
      <c r="M34" s="117">
        <v>0.1</v>
      </c>
      <c r="N34" s="117">
        <v>0.1</v>
      </c>
      <c r="O34" s="117">
        <v>0.08</v>
      </c>
      <c r="P34" s="117">
        <v>0.11</v>
      </c>
      <c r="Q34" s="117">
        <v>0.12</v>
      </c>
      <c r="R34" s="117">
        <v>0.05</v>
      </c>
      <c r="S34" s="117">
        <v>0.08</v>
      </c>
      <c r="T34" s="117">
        <v>0.03</v>
      </c>
      <c r="U34" s="117">
        <v>7.0000000000000007E-2</v>
      </c>
      <c r="V34" s="117">
        <v>0.1</v>
      </c>
      <c r="W34" s="117">
        <v>7.0000000000000007E-2</v>
      </c>
      <c r="X34" s="117">
        <v>0.13</v>
      </c>
      <c r="Y34" s="117">
        <v>0.11</v>
      </c>
      <c r="Z34" s="117">
        <v>7.0000000000000007E-2</v>
      </c>
      <c r="AA34" s="117">
        <v>0.11</v>
      </c>
      <c r="AB34" s="117">
        <v>0.06</v>
      </c>
      <c r="AC34" s="117">
        <v>0.1</v>
      </c>
      <c r="AD34" s="117">
        <v>0.13</v>
      </c>
      <c r="AE34" s="117">
        <v>7.0000000000000007E-2</v>
      </c>
      <c r="AF34" s="117">
        <v>0.1</v>
      </c>
      <c r="AG34" s="117">
        <v>0.04</v>
      </c>
      <c r="AH34" s="117">
        <v>0.06</v>
      </c>
      <c r="AI34" s="117">
        <v>0.04</v>
      </c>
      <c r="AJ34" s="117">
        <v>0.06</v>
      </c>
      <c r="AK34" s="117">
        <v>0.06</v>
      </c>
      <c r="AL34" s="117">
        <v>0.06</v>
      </c>
      <c r="AM34" s="117">
        <v>0.1</v>
      </c>
      <c r="AN34" s="117">
        <v>0.06</v>
      </c>
      <c r="AO34" s="117">
        <v>0.1</v>
      </c>
      <c r="AP34" s="117">
        <v>0.1</v>
      </c>
      <c r="AQ34" s="117">
        <v>0.1</v>
      </c>
      <c r="AR34" s="117">
        <v>0.11</v>
      </c>
      <c r="AS34" s="117">
        <v>0.09</v>
      </c>
      <c r="AT34" s="117">
        <v>7.0000000000000007E-2</v>
      </c>
      <c r="AU34" s="117">
        <v>0.06</v>
      </c>
      <c r="AV34" s="117">
        <v>7.0000000000000007E-2</v>
      </c>
      <c r="AW34" s="117">
        <v>0.04</v>
      </c>
      <c r="AX34" s="117">
        <v>0.05</v>
      </c>
      <c r="AY34" s="117">
        <v>0.08</v>
      </c>
      <c r="AZ34" s="117">
        <v>0.04</v>
      </c>
      <c r="BA34" s="117">
        <v>0.08</v>
      </c>
      <c r="BB34" s="117">
        <v>0.06</v>
      </c>
      <c r="BC34" s="117">
        <v>0.05</v>
      </c>
      <c r="BD34" s="117">
        <v>0.08</v>
      </c>
      <c r="BE34" s="117">
        <v>0.03</v>
      </c>
      <c r="BF34" s="117">
        <v>0.08</v>
      </c>
      <c r="BG34" s="117">
        <v>7.0000000000000007E-2</v>
      </c>
      <c r="BH34" s="117">
        <v>0.05</v>
      </c>
      <c r="BI34" s="117">
        <v>0.05</v>
      </c>
      <c r="BJ34" s="117">
        <v>-0.11</v>
      </c>
      <c r="BK34" s="117">
        <v>-0.06</v>
      </c>
      <c r="BL34" s="117">
        <v>-0.01</v>
      </c>
      <c r="BM34" s="117">
        <v>0.01</v>
      </c>
      <c r="BN34" s="117">
        <v>0.21</v>
      </c>
      <c r="BO34" s="117">
        <v>0.13</v>
      </c>
      <c r="BP34" s="117">
        <v>0.12</v>
      </c>
      <c r="BQ34" s="117">
        <v>0.1</v>
      </c>
      <c r="BR34" s="117">
        <v>0.06</v>
      </c>
      <c r="BS34" s="117">
        <v>0.11</v>
      </c>
      <c r="BT34" s="117">
        <v>0.08</v>
      </c>
      <c r="BU34" s="117">
        <v>0.09</v>
      </c>
      <c r="BV34" s="117">
        <v>0.08</v>
      </c>
      <c r="BW34" s="117">
        <v>7.0000000000000007E-2</v>
      </c>
      <c r="BX34" s="117">
        <v>0.17</v>
      </c>
      <c r="BY34" s="117">
        <v>0.06</v>
      </c>
      <c r="BZ34" s="117">
        <v>0.12</v>
      </c>
      <c r="CA34" s="117">
        <v>0.1</v>
      </c>
      <c r="CB34" s="117">
        <v>7.0000000000000007E-2</v>
      </c>
      <c r="CC34" s="117">
        <v>0.08</v>
      </c>
      <c r="CD34" s="117">
        <v>0.08</v>
      </c>
      <c r="CE34" s="117">
        <v>7.0000000000000007E-2</v>
      </c>
      <c r="CF34" s="100"/>
      <c r="CG34" s="100"/>
      <c r="CH34" s="100"/>
      <c r="CP34" s="100"/>
      <c r="DH34" s="100"/>
      <c r="DI34" s="100"/>
      <c r="DJ34" s="100"/>
      <c r="DK34" s="100"/>
    </row>
    <row r="35" spans="1:115" ht="13.5" customHeight="1" x14ac:dyDescent="0.75">
      <c r="A35" s="68"/>
      <c r="B35" s="67" t="s">
        <v>274</v>
      </c>
      <c r="C35" s="66" t="s">
        <v>275</v>
      </c>
      <c r="D35" s="119"/>
      <c r="E35" s="119"/>
      <c r="F35" s="119"/>
      <c r="G35" s="119"/>
      <c r="H35" s="119"/>
      <c r="I35" s="119">
        <v>0.08</v>
      </c>
      <c r="J35" s="119">
        <v>-0.01</v>
      </c>
      <c r="K35" s="119">
        <v>-0.03</v>
      </c>
      <c r="L35" s="119">
        <v>0.1</v>
      </c>
      <c r="M35" s="119">
        <v>0.17</v>
      </c>
      <c r="N35" s="119">
        <v>0.06</v>
      </c>
      <c r="O35" s="119">
        <v>0.06</v>
      </c>
      <c r="P35" s="119">
        <v>-0.05</v>
      </c>
      <c r="Q35" s="119">
        <v>-0.16</v>
      </c>
      <c r="R35" s="119">
        <v>-0.06</v>
      </c>
      <c r="S35" s="119">
        <v>-0.05</v>
      </c>
      <c r="T35" s="119">
        <v>0.04</v>
      </c>
      <c r="U35" s="119">
        <v>7.0000000000000007E-2</v>
      </c>
      <c r="V35" s="119">
        <v>0.1</v>
      </c>
      <c r="W35" s="119">
        <v>7.0000000000000007E-2</v>
      </c>
      <c r="X35" s="119">
        <v>0.08</v>
      </c>
      <c r="Y35" s="119">
        <v>0.06</v>
      </c>
      <c r="Z35" s="119">
        <v>0.03</v>
      </c>
      <c r="AA35" s="119">
        <v>0.05</v>
      </c>
      <c r="AB35" s="119">
        <v>0.01</v>
      </c>
      <c r="AC35" s="119">
        <v>7.0000000000000007E-2</v>
      </c>
      <c r="AD35" s="119">
        <v>0.08</v>
      </c>
      <c r="AE35" s="119">
        <v>0.05</v>
      </c>
      <c r="AF35" s="119">
        <v>0.03</v>
      </c>
      <c r="AG35" s="119">
        <v>-0.01</v>
      </c>
      <c r="AH35" s="119">
        <v>0.03</v>
      </c>
      <c r="AI35" s="119">
        <v>0.04</v>
      </c>
      <c r="AJ35" s="119">
        <v>7.0000000000000007E-2</v>
      </c>
      <c r="AK35" s="119">
        <v>0.13</v>
      </c>
      <c r="AL35" s="119">
        <v>0.11</v>
      </c>
      <c r="AM35" s="119">
        <v>0.16</v>
      </c>
      <c r="AN35" s="119">
        <v>0.1</v>
      </c>
      <c r="AO35" s="119">
        <v>0.1</v>
      </c>
      <c r="AP35" s="119">
        <v>0.1</v>
      </c>
      <c r="AQ35" s="119">
        <v>0.06</v>
      </c>
      <c r="AR35" s="119">
        <v>0.12</v>
      </c>
      <c r="AS35" s="119">
        <v>0.12</v>
      </c>
      <c r="AT35" s="119">
        <v>0.11</v>
      </c>
      <c r="AU35" s="119">
        <v>0.12</v>
      </c>
      <c r="AV35" s="119">
        <v>0.09</v>
      </c>
      <c r="AW35" s="119">
        <v>0.15</v>
      </c>
      <c r="AX35" s="119">
        <v>0.06</v>
      </c>
      <c r="AY35" s="119">
        <v>0.03</v>
      </c>
      <c r="AZ35" s="119">
        <v>0.06</v>
      </c>
      <c r="BA35" s="119">
        <v>0.01</v>
      </c>
      <c r="BB35" s="119">
        <v>0.08</v>
      </c>
      <c r="BC35" s="119">
        <v>0.11</v>
      </c>
      <c r="BD35" s="119">
        <v>0.1</v>
      </c>
      <c r="BE35" s="119">
        <v>7.0000000000000007E-2</v>
      </c>
      <c r="BF35" s="119">
        <v>0.09</v>
      </c>
      <c r="BG35" s="119">
        <v>0.11</v>
      </c>
      <c r="BH35" s="119">
        <v>0.12</v>
      </c>
      <c r="BI35" s="119">
        <v>0.03</v>
      </c>
      <c r="BJ35" s="119">
        <v>-0.62</v>
      </c>
      <c r="BK35" s="119">
        <v>-0.55000000000000004</v>
      </c>
      <c r="BL35" s="119">
        <v>-0.44</v>
      </c>
      <c r="BM35" s="119">
        <v>-0.34</v>
      </c>
      <c r="BN35" s="119">
        <v>0.99</v>
      </c>
      <c r="BO35" s="119">
        <v>0.54</v>
      </c>
      <c r="BP35" s="119">
        <v>0.36</v>
      </c>
      <c r="BQ35" s="119">
        <v>0.22</v>
      </c>
      <c r="BR35" s="119">
        <v>0.2</v>
      </c>
      <c r="BS35" s="119">
        <v>0.28999999999999998</v>
      </c>
      <c r="BT35" s="119">
        <v>0.17</v>
      </c>
      <c r="BU35" s="119">
        <v>0.18</v>
      </c>
      <c r="BV35" s="119">
        <v>0.09</v>
      </c>
      <c r="BW35" s="119">
        <v>0.15</v>
      </c>
      <c r="BX35" s="119">
        <v>0.18</v>
      </c>
      <c r="BY35" s="119">
        <v>0.14000000000000001</v>
      </c>
      <c r="BZ35" s="119">
        <v>0.18</v>
      </c>
      <c r="CA35" s="119">
        <v>0.09</v>
      </c>
      <c r="CB35" s="119">
        <v>0.05</v>
      </c>
      <c r="CC35" s="119">
        <v>0.05</v>
      </c>
      <c r="CD35" s="119">
        <v>-7.0000000000000007E-2</v>
      </c>
      <c r="CE35" s="119">
        <v>-0.03</v>
      </c>
      <c r="CF35" s="100"/>
      <c r="CG35" s="100"/>
      <c r="CH35" s="100"/>
      <c r="CP35" s="100"/>
      <c r="DH35" s="100"/>
      <c r="DI35" s="100"/>
      <c r="DJ35" s="100"/>
      <c r="DK35" s="100"/>
    </row>
    <row r="36" spans="1:115" ht="13.5" customHeight="1" x14ac:dyDescent="0.75">
      <c r="A36" s="68"/>
      <c r="B36" s="67" t="s">
        <v>276</v>
      </c>
      <c r="C36" s="66" t="s">
        <v>277</v>
      </c>
      <c r="D36" s="119"/>
      <c r="E36" s="119"/>
      <c r="F36" s="119"/>
      <c r="G36" s="119"/>
      <c r="H36" s="119"/>
      <c r="I36" s="119">
        <v>0.17</v>
      </c>
      <c r="J36" s="119">
        <v>0.1</v>
      </c>
      <c r="K36" s="119">
        <v>0.09</v>
      </c>
      <c r="L36" s="119">
        <v>0.25</v>
      </c>
      <c r="M36" s="119">
        <v>0.16</v>
      </c>
      <c r="N36" s="119">
        <v>0.25</v>
      </c>
      <c r="O36" s="119">
        <v>0.28999999999999998</v>
      </c>
      <c r="P36" s="119">
        <v>0.22</v>
      </c>
      <c r="Q36" s="119">
        <v>0.21</v>
      </c>
      <c r="R36" s="119">
        <v>0.1</v>
      </c>
      <c r="S36" s="119">
        <v>0.02</v>
      </c>
      <c r="T36" s="119">
        <v>0.06</v>
      </c>
      <c r="U36" s="119">
        <v>0.1</v>
      </c>
      <c r="V36" s="119">
        <v>0.08</v>
      </c>
      <c r="W36" s="119">
        <v>0.11</v>
      </c>
      <c r="X36" s="119">
        <v>0.06</v>
      </c>
      <c r="Y36" s="119">
        <v>-0.05</v>
      </c>
      <c r="Z36" s="119">
        <v>-0.03</v>
      </c>
      <c r="AA36" s="119">
        <v>0.09</v>
      </c>
      <c r="AB36" s="119">
        <v>0.13</v>
      </c>
      <c r="AC36" s="119">
        <v>0.37</v>
      </c>
      <c r="AD36" s="119">
        <v>0.42</v>
      </c>
      <c r="AE36" s="119">
        <v>0.33</v>
      </c>
      <c r="AF36" s="119">
        <v>0.22</v>
      </c>
      <c r="AG36" s="119">
        <v>-0.01</v>
      </c>
      <c r="AH36" s="119">
        <v>0.03</v>
      </c>
      <c r="AI36" s="119">
        <v>-0.06</v>
      </c>
      <c r="AJ36" s="119">
        <v>0.02</v>
      </c>
      <c r="AK36" s="119">
        <v>0.02</v>
      </c>
      <c r="AL36" s="119">
        <v>0.08</v>
      </c>
      <c r="AM36" s="119">
        <v>0.14000000000000001</v>
      </c>
      <c r="AN36" s="119">
        <v>0.03</v>
      </c>
      <c r="AO36" s="119">
        <v>0.26</v>
      </c>
      <c r="AP36" s="119">
        <v>0.09</v>
      </c>
      <c r="AQ36" s="119">
        <v>0.14000000000000001</v>
      </c>
      <c r="AR36" s="119">
        <v>0.24</v>
      </c>
      <c r="AS36" s="119">
        <v>0.12</v>
      </c>
      <c r="AT36" s="119">
        <v>0.17</v>
      </c>
      <c r="AU36" s="119">
        <v>-0.01</v>
      </c>
      <c r="AV36" s="119">
        <v>0.08</v>
      </c>
      <c r="AW36" s="119">
        <v>0.01</v>
      </c>
      <c r="AX36" s="119">
        <v>0.03</v>
      </c>
      <c r="AY36" s="119">
        <v>0.23</v>
      </c>
      <c r="AZ36" s="119">
        <v>0.14000000000000001</v>
      </c>
      <c r="BA36" s="119">
        <v>0.18</v>
      </c>
      <c r="BB36" s="119">
        <v>0.15</v>
      </c>
      <c r="BC36" s="119">
        <v>0.17</v>
      </c>
      <c r="BD36" s="119">
        <v>0.08</v>
      </c>
      <c r="BE36" s="119">
        <v>0.02</v>
      </c>
      <c r="BF36" s="119">
        <v>0.09</v>
      </c>
      <c r="BG36" s="119">
        <v>-0.01</v>
      </c>
      <c r="BH36" s="119">
        <v>0.25</v>
      </c>
      <c r="BI36" s="119">
        <v>0.34</v>
      </c>
      <c r="BJ36" s="119">
        <v>0.33</v>
      </c>
      <c r="BK36" s="119">
        <v>0.43</v>
      </c>
      <c r="BL36" s="119">
        <v>0.12</v>
      </c>
      <c r="BM36" s="119">
        <v>0.18</v>
      </c>
      <c r="BN36" s="119">
        <v>0.39</v>
      </c>
      <c r="BO36" s="119">
        <v>0.13</v>
      </c>
      <c r="BP36" s="119">
        <v>0.2</v>
      </c>
      <c r="BQ36" s="119">
        <v>0.21</v>
      </c>
      <c r="BR36" s="119">
        <v>0.03</v>
      </c>
      <c r="BS36" s="119">
        <v>0.4</v>
      </c>
      <c r="BT36" s="119">
        <v>0.22</v>
      </c>
      <c r="BU36" s="119">
        <v>0.39</v>
      </c>
      <c r="BV36" s="119">
        <v>0.37</v>
      </c>
      <c r="BW36" s="119">
        <v>0.15</v>
      </c>
      <c r="BX36" s="119">
        <v>0.4</v>
      </c>
      <c r="BY36" s="119">
        <v>0.23</v>
      </c>
      <c r="BZ36" s="119">
        <v>0.26</v>
      </c>
      <c r="CA36" s="119">
        <v>0.19</v>
      </c>
      <c r="CB36" s="119">
        <v>0.16</v>
      </c>
      <c r="CC36" s="119">
        <v>0.12</v>
      </c>
      <c r="CD36" s="119">
        <v>0.11</v>
      </c>
      <c r="CE36" s="119">
        <v>0.17</v>
      </c>
      <c r="CF36" s="100"/>
      <c r="CG36" s="100"/>
      <c r="CH36" s="100"/>
      <c r="CP36" s="100"/>
      <c r="DH36" s="100"/>
      <c r="DI36" s="100"/>
      <c r="DJ36" s="100"/>
      <c r="DK36" s="100"/>
    </row>
    <row r="37" spans="1:115" ht="13.5" customHeight="1" x14ac:dyDescent="0.75">
      <c r="A37" s="68"/>
      <c r="B37" s="67" t="s">
        <v>278</v>
      </c>
      <c r="C37" s="66" t="s">
        <v>279</v>
      </c>
      <c r="D37" s="119"/>
      <c r="E37" s="119"/>
      <c r="F37" s="119"/>
      <c r="G37" s="119"/>
      <c r="H37" s="119"/>
      <c r="I37" s="119">
        <v>0.01</v>
      </c>
      <c r="J37" s="119">
        <v>0.14000000000000001</v>
      </c>
      <c r="K37" s="119">
        <v>0.17</v>
      </c>
      <c r="L37" s="119">
        <v>0.1</v>
      </c>
      <c r="M37" s="119">
        <v>0.19</v>
      </c>
      <c r="N37" s="119">
        <v>0.11</v>
      </c>
      <c r="O37" s="119">
        <v>-0.2</v>
      </c>
      <c r="P37" s="119">
        <v>0.06</v>
      </c>
      <c r="Q37" s="119">
        <v>0.36</v>
      </c>
      <c r="R37" s="119">
        <v>-0.19</v>
      </c>
      <c r="S37" s="119">
        <v>0.03</v>
      </c>
      <c r="T37" s="119">
        <v>-0.22</v>
      </c>
      <c r="U37" s="119">
        <v>0.13</v>
      </c>
      <c r="V37" s="119">
        <v>7.0000000000000007E-2</v>
      </c>
      <c r="W37" s="119">
        <v>0.15</v>
      </c>
      <c r="X37" s="119">
        <v>0.65</v>
      </c>
      <c r="Y37" s="119">
        <v>0.28000000000000003</v>
      </c>
      <c r="Z37" s="119">
        <v>0.35</v>
      </c>
      <c r="AA37" s="119">
        <v>0.38</v>
      </c>
      <c r="AB37" s="119">
        <v>-0.1</v>
      </c>
      <c r="AC37" s="119">
        <v>0.01</v>
      </c>
      <c r="AD37" s="119">
        <v>0.2</v>
      </c>
      <c r="AE37" s="119">
        <v>-0.04</v>
      </c>
      <c r="AF37" s="119">
        <v>0.39</v>
      </c>
      <c r="AG37" s="119">
        <v>0.14000000000000001</v>
      </c>
      <c r="AH37" s="119">
        <v>0.12</v>
      </c>
      <c r="AI37" s="119">
        <v>0.06</v>
      </c>
      <c r="AJ37" s="119">
        <v>7.0000000000000007E-2</v>
      </c>
      <c r="AK37" s="119">
        <v>0.03</v>
      </c>
      <c r="AL37" s="119">
        <v>0.01</v>
      </c>
      <c r="AM37" s="119">
        <v>0.09</v>
      </c>
      <c r="AN37" s="119">
        <v>0.02</v>
      </c>
      <c r="AO37" s="119">
        <v>0.09</v>
      </c>
      <c r="AP37" s="119">
        <v>0.09</v>
      </c>
      <c r="AQ37" s="119">
        <v>0.22</v>
      </c>
      <c r="AR37" s="119">
        <v>0.1</v>
      </c>
      <c r="AS37" s="119">
        <v>0.08</v>
      </c>
      <c r="AT37" s="119">
        <v>0.03</v>
      </c>
      <c r="AU37" s="119">
        <v>0.02</v>
      </c>
      <c r="AV37" s="119">
        <v>0.02</v>
      </c>
      <c r="AW37" s="119">
        <v>0.03</v>
      </c>
      <c r="AX37" s="119">
        <v>0.05</v>
      </c>
      <c r="AY37" s="119">
        <v>0.09</v>
      </c>
      <c r="AZ37" s="119">
        <v>0.09</v>
      </c>
      <c r="BA37" s="119">
        <v>0.15</v>
      </c>
      <c r="BB37" s="119">
        <v>0.11</v>
      </c>
      <c r="BC37" s="119">
        <v>0.09</v>
      </c>
      <c r="BD37" s="119">
        <v>0.06</v>
      </c>
      <c r="BE37" s="119">
        <v>0.06</v>
      </c>
      <c r="BF37" s="119">
        <v>0.1</v>
      </c>
      <c r="BG37" s="119">
        <v>0.05</v>
      </c>
      <c r="BH37" s="119">
        <v>0.13</v>
      </c>
      <c r="BI37" s="119">
        <v>-0.05</v>
      </c>
      <c r="BJ37" s="119">
        <v>-0.08</v>
      </c>
      <c r="BK37" s="119">
        <v>-0.03</v>
      </c>
      <c r="BL37" s="119">
        <v>0.06</v>
      </c>
      <c r="BM37" s="119">
        <v>0.1</v>
      </c>
      <c r="BN37" s="119">
        <v>0.14000000000000001</v>
      </c>
      <c r="BO37" s="119">
        <v>0.12</v>
      </c>
      <c r="BP37" s="119">
        <v>0</v>
      </c>
      <c r="BQ37" s="119">
        <v>0.04</v>
      </c>
      <c r="BR37" s="119">
        <v>7.0000000000000007E-2</v>
      </c>
      <c r="BS37" s="119">
        <v>0</v>
      </c>
      <c r="BT37" s="119">
        <v>0.31</v>
      </c>
      <c r="BU37" s="119">
        <v>0.03</v>
      </c>
      <c r="BV37" s="119">
        <v>0.02</v>
      </c>
      <c r="BW37" s="119">
        <v>0.04</v>
      </c>
      <c r="BX37" s="119">
        <v>-0.14000000000000001</v>
      </c>
      <c r="BY37" s="119">
        <v>0.1</v>
      </c>
      <c r="BZ37" s="119">
        <v>0.16</v>
      </c>
      <c r="CA37" s="119">
        <v>0.13</v>
      </c>
      <c r="CB37" s="119">
        <v>0.09</v>
      </c>
      <c r="CC37" s="119">
        <v>0.09</v>
      </c>
      <c r="CD37" s="119">
        <v>0.08</v>
      </c>
      <c r="CE37" s="119">
        <v>0.1</v>
      </c>
      <c r="CF37" s="100"/>
      <c r="CG37" s="100"/>
      <c r="CH37" s="100"/>
      <c r="CP37" s="100"/>
      <c r="DH37" s="100"/>
      <c r="DI37" s="100"/>
      <c r="DJ37" s="100"/>
      <c r="DK37" s="100"/>
    </row>
    <row r="38" spans="1:115" ht="13.5" customHeight="1" x14ac:dyDescent="0.75">
      <c r="A38" s="68"/>
      <c r="B38" s="67" t="s">
        <v>280</v>
      </c>
      <c r="C38" s="66" t="s">
        <v>281</v>
      </c>
      <c r="D38" s="119"/>
      <c r="E38" s="119"/>
      <c r="F38" s="119"/>
      <c r="G38" s="119"/>
      <c r="H38" s="119"/>
      <c r="I38" s="119">
        <v>0.05</v>
      </c>
      <c r="J38" s="119">
        <v>0.09</v>
      </c>
      <c r="K38" s="119">
        <v>0.11</v>
      </c>
      <c r="L38" s="119">
        <v>0.18</v>
      </c>
      <c r="M38" s="119">
        <v>0.12</v>
      </c>
      <c r="N38" s="119">
        <v>0.15</v>
      </c>
      <c r="O38" s="119">
        <v>0.12</v>
      </c>
      <c r="P38" s="119">
        <v>0.22</v>
      </c>
      <c r="Q38" s="119">
        <v>0.13</v>
      </c>
      <c r="R38" s="119">
        <v>0.05</v>
      </c>
      <c r="S38" s="119">
        <v>0.14000000000000001</v>
      </c>
      <c r="T38" s="119">
        <v>0.02</v>
      </c>
      <c r="U38" s="119">
        <v>0</v>
      </c>
      <c r="V38" s="119">
        <v>0.09</v>
      </c>
      <c r="W38" s="119">
        <v>-0.03</v>
      </c>
      <c r="X38" s="119">
        <v>-0.01</v>
      </c>
      <c r="Y38" s="119">
        <v>7.0000000000000007E-2</v>
      </c>
      <c r="Z38" s="119">
        <v>0</v>
      </c>
      <c r="AA38" s="119">
        <v>-0.02</v>
      </c>
      <c r="AB38" s="119">
        <v>-0.05</v>
      </c>
      <c r="AC38" s="119">
        <v>0.02</v>
      </c>
      <c r="AD38" s="119">
        <v>0.03</v>
      </c>
      <c r="AE38" s="119">
        <v>-0.03</v>
      </c>
      <c r="AF38" s="119">
        <v>-0.03</v>
      </c>
      <c r="AG38" s="119">
        <v>-0.03</v>
      </c>
      <c r="AH38" s="119">
        <v>-0.04</v>
      </c>
      <c r="AI38" s="119">
        <v>0.05</v>
      </c>
      <c r="AJ38" s="119">
        <v>0.05</v>
      </c>
      <c r="AK38" s="119">
        <v>0.06</v>
      </c>
      <c r="AL38" s="119">
        <v>0.06</v>
      </c>
      <c r="AM38" s="119">
        <v>0.05</v>
      </c>
      <c r="AN38" s="119">
        <v>0.06</v>
      </c>
      <c r="AO38" s="119">
        <v>0.03</v>
      </c>
      <c r="AP38" s="119">
        <v>0.03</v>
      </c>
      <c r="AQ38" s="119">
        <v>7.0000000000000007E-2</v>
      </c>
      <c r="AR38" s="119">
        <v>0.05</v>
      </c>
      <c r="AS38" s="119">
        <v>0.04</v>
      </c>
      <c r="AT38" s="119">
        <v>7.0000000000000007E-2</v>
      </c>
      <c r="AU38" s="119">
        <v>0.04</v>
      </c>
      <c r="AV38" s="119">
        <v>0.09</v>
      </c>
      <c r="AW38" s="119">
        <v>0.1</v>
      </c>
      <c r="AX38" s="119">
        <v>7.0000000000000007E-2</v>
      </c>
      <c r="AY38" s="119">
        <v>7.0000000000000007E-2</v>
      </c>
      <c r="AZ38" s="119">
        <v>0.04</v>
      </c>
      <c r="BA38" s="119">
        <v>0.03</v>
      </c>
      <c r="BB38" s="119">
        <v>0.06</v>
      </c>
      <c r="BC38" s="119">
        <v>0.05</v>
      </c>
      <c r="BD38" s="119">
        <v>0.05</v>
      </c>
      <c r="BE38" s="119">
        <v>0.04</v>
      </c>
      <c r="BF38" s="119">
        <v>0.1</v>
      </c>
      <c r="BG38" s="119">
        <v>0.02</v>
      </c>
      <c r="BH38" s="119">
        <v>0</v>
      </c>
      <c r="BI38" s="119">
        <v>0</v>
      </c>
      <c r="BJ38" s="119">
        <v>-7.0000000000000007E-2</v>
      </c>
      <c r="BK38" s="119">
        <v>0.01</v>
      </c>
      <c r="BL38" s="119">
        <v>0.08</v>
      </c>
      <c r="BM38" s="119">
        <v>0.03</v>
      </c>
      <c r="BN38" s="119">
        <v>0.06</v>
      </c>
      <c r="BO38" s="119">
        <v>0.05</v>
      </c>
      <c r="BP38" s="119">
        <v>0.03</v>
      </c>
      <c r="BQ38" s="119">
        <v>0.05</v>
      </c>
      <c r="BR38" s="119">
        <v>0.02</v>
      </c>
      <c r="BS38" s="119">
        <v>0</v>
      </c>
      <c r="BT38" s="119">
        <v>-0.01</v>
      </c>
      <c r="BU38" s="119">
        <v>0.1</v>
      </c>
      <c r="BV38" s="119">
        <v>0.02</v>
      </c>
      <c r="BW38" s="119">
        <v>0.03</v>
      </c>
      <c r="BX38" s="119">
        <v>0.04</v>
      </c>
      <c r="BY38" s="119">
        <v>-0.06</v>
      </c>
      <c r="BZ38" s="119">
        <v>0.03</v>
      </c>
      <c r="CA38" s="119">
        <v>0.03</v>
      </c>
      <c r="CB38" s="119">
        <v>0.17</v>
      </c>
      <c r="CC38" s="119">
        <v>0.02</v>
      </c>
      <c r="CD38" s="119">
        <v>0.03</v>
      </c>
      <c r="CE38" s="119">
        <v>0.04</v>
      </c>
      <c r="CF38" s="100"/>
      <c r="CG38" s="100"/>
      <c r="CH38" s="100"/>
      <c r="CP38" s="100"/>
      <c r="DH38" s="100"/>
      <c r="DI38" s="100"/>
      <c r="DJ38" s="100"/>
      <c r="DK38" s="100"/>
    </row>
    <row r="39" spans="1:115" ht="13.5" customHeight="1" x14ac:dyDescent="0.75">
      <c r="A39" s="68"/>
      <c r="B39" s="67" t="s">
        <v>282</v>
      </c>
      <c r="C39" s="66" t="s">
        <v>283</v>
      </c>
      <c r="D39" s="119"/>
      <c r="E39" s="119"/>
      <c r="F39" s="119"/>
      <c r="G39" s="119"/>
      <c r="H39" s="119"/>
      <c r="I39" s="119">
        <v>0.05</v>
      </c>
      <c r="J39" s="119">
        <v>0.09</v>
      </c>
      <c r="K39" s="119">
        <v>0.11</v>
      </c>
      <c r="L39" s="119">
        <v>0.18</v>
      </c>
      <c r="M39" s="119">
        <v>0.12</v>
      </c>
      <c r="N39" s="119">
        <v>0.15</v>
      </c>
      <c r="O39" s="119">
        <v>0.12</v>
      </c>
      <c r="P39" s="119">
        <v>0.22</v>
      </c>
      <c r="Q39" s="119">
        <v>0.13</v>
      </c>
      <c r="R39" s="119">
        <v>0.05</v>
      </c>
      <c r="S39" s="119">
        <v>0.14000000000000001</v>
      </c>
      <c r="T39" s="119">
        <v>0.02</v>
      </c>
      <c r="U39" s="119">
        <v>0</v>
      </c>
      <c r="V39" s="119">
        <v>0.09</v>
      </c>
      <c r="W39" s="119">
        <v>-0.03</v>
      </c>
      <c r="X39" s="119">
        <v>-0.01</v>
      </c>
      <c r="Y39" s="119">
        <v>0.05</v>
      </c>
      <c r="Z39" s="119">
        <v>0.01</v>
      </c>
      <c r="AA39" s="119">
        <v>-0.03</v>
      </c>
      <c r="AB39" s="119">
        <v>-0.03</v>
      </c>
      <c r="AC39" s="119">
        <v>0.09</v>
      </c>
      <c r="AD39" s="119">
        <v>0.06</v>
      </c>
      <c r="AE39" s="119">
        <v>0.04</v>
      </c>
      <c r="AF39" s="119">
        <v>0.05</v>
      </c>
      <c r="AG39" s="119">
        <v>-0.09</v>
      </c>
      <c r="AH39" s="119">
        <v>0.1</v>
      </c>
      <c r="AI39" s="119">
        <v>0.03</v>
      </c>
      <c r="AJ39" s="119">
        <v>0.12</v>
      </c>
      <c r="AK39" s="119">
        <v>0</v>
      </c>
      <c r="AL39" s="119">
        <v>-0.09</v>
      </c>
      <c r="AM39" s="119">
        <v>-0.06</v>
      </c>
      <c r="AN39" s="119">
        <v>-0.15</v>
      </c>
      <c r="AO39" s="119">
        <v>0.17</v>
      </c>
      <c r="AP39" s="119">
        <v>0.13</v>
      </c>
      <c r="AQ39" s="119">
        <v>0.08</v>
      </c>
      <c r="AR39" s="119">
        <v>0.18</v>
      </c>
      <c r="AS39" s="119">
        <v>0</v>
      </c>
      <c r="AT39" s="119">
        <v>7.0000000000000007E-2</v>
      </c>
      <c r="AU39" s="119">
        <v>0.13</v>
      </c>
      <c r="AV39" s="119">
        <v>0.05</v>
      </c>
      <c r="AW39" s="119">
        <v>0.05</v>
      </c>
      <c r="AX39" s="119">
        <v>0.04</v>
      </c>
      <c r="AY39" s="119">
        <v>0.09</v>
      </c>
      <c r="AZ39" s="119">
        <v>0.14000000000000001</v>
      </c>
      <c r="BA39" s="119">
        <v>0.13</v>
      </c>
      <c r="BB39" s="119">
        <v>7.0000000000000007E-2</v>
      </c>
      <c r="BC39" s="119">
        <v>0.1</v>
      </c>
      <c r="BD39" s="119">
        <v>0.08</v>
      </c>
      <c r="BE39" s="119">
        <v>0.11</v>
      </c>
      <c r="BF39" s="119">
        <v>0.13</v>
      </c>
      <c r="BG39" s="119">
        <v>0.06</v>
      </c>
      <c r="BH39" s="119">
        <v>0.09</v>
      </c>
      <c r="BI39" s="119">
        <v>-0.01</v>
      </c>
      <c r="BJ39" s="119">
        <v>-0.06</v>
      </c>
      <c r="BK39" s="119">
        <v>0.02</v>
      </c>
      <c r="BL39" s="119">
        <v>0.01</v>
      </c>
      <c r="BM39" s="119">
        <v>0.1</v>
      </c>
      <c r="BN39" s="119">
        <v>0.2</v>
      </c>
      <c r="BO39" s="119">
        <v>0.17</v>
      </c>
      <c r="BP39" s="119">
        <v>0.17</v>
      </c>
      <c r="BQ39" s="119">
        <v>0.15</v>
      </c>
      <c r="BR39" s="119">
        <v>0.1</v>
      </c>
      <c r="BS39" s="119">
        <v>7.0000000000000007E-2</v>
      </c>
      <c r="BT39" s="119">
        <v>0.04</v>
      </c>
      <c r="BU39" s="119">
        <v>0.02</v>
      </c>
      <c r="BV39" s="119">
        <v>0.08</v>
      </c>
      <c r="BW39" s="119">
        <v>0.16</v>
      </c>
      <c r="BX39" s="119">
        <v>0.14000000000000001</v>
      </c>
      <c r="BY39" s="119">
        <v>0.16</v>
      </c>
      <c r="BZ39" s="119">
        <v>0.15</v>
      </c>
      <c r="CA39" s="119">
        <v>0.1</v>
      </c>
      <c r="CB39" s="119">
        <v>0.16</v>
      </c>
      <c r="CC39" s="119">
        <v>0.2</v>
      </c>
      <c r="CD39" s="119">
        <v>0.15</v>
      </c>
      <c r="CE39" s="119">
        <v>0.19</v>
      </c>
      <c r="CF39" s="100"/>
      <c r="CG39" s="100"/>
      <c r="CH39" s="100"/>
      <c r="CP39" s="100"/>
      <c r="DH39" s="100"/>
      <c r="DI39" s="100"/>
      <c r="DJ39" s="100"/>
      <c r="DK39" s="100"/>
    </row>
    <row r="40" spans="1:115" ht="13.5" customHeight="1" x14ac:dyDescent="0.75">
      <c r="A40" s="68"/>
      <c r="B40" s="67" t="s">
        <v>284</v>
      </c>
      <c r="C40" s="66" t="s">
        <v>285</v>
      </c>
      <c r="D40" s="119"/>
      <c r="E40" s="119"/>
      <c r="F40" s="119"/>
      <c r="G40" s="119"/>
      <c r="H40" s="119"/>
      <c r="I40" s="119">
        <v>0.05</v>
      </c>
      <c r="J40" s="119">
        <v>0.09</v>
      </c>
      <c r="K40" s="119">
        <v>0.11</v>
      </c>
      <c r="L40" s="119">
        <v>0.18</v>
      </c>
      <c r="M40" s="119">
        <v>0.12</v>
      </c>
      <c r="N40" s="119">
        <v>0.15</v>
      </c>
      <c r="O40" s="119">
        <v>0.12</v>
      </c>
      <c r="P40" s="119">
        <v>0.22</v>
      </c>
      <c r="Q40" s="119">
        <v>0.13</v>
      </c>
      <c r="R40" s="119">
        <v>0.04</v>
      </c>
      <c r="S40" s="119">
        <v>0.14000000000000001</v>
      </c>
      <c r="T40" s="119">
        <v>0.02</v>
      </c>
      <c r="U40" s="119">
        <v>0</v>
      </c>
      <c r="V40" s="119">
        <v>0.09</v>
      </c>
      <c r="W40" s="119">
        <v>-0.03</v>
      </c>
      <c r="X40" s="119">
        <v>-0.01</v>
      </c>
      <c r="Y40" s="119">
        <v>0.04</v>
      </c>
      <c r="Z40" s="119">
        <v>-0.02</v>
      </c>
      <c r="AA40" s="119">
        <v>-0.01</v>
      </c>
      <c r="AB40" s="119">
        <v>-0.01</v>
      </c>
      <c r="AC40" s="119">
        <v>0.06</v>
      </c>
      <c r="AD40" s="119">
        <v>0.08</v>
      </c>
      <c r="AE40" s="119">
        <v>7.0000000000000007E-2</v>
      </c>
      <c r="AF40" s="119">
        <v>0.05</v>
      </c>
      <c r="AG40" s="119">
        <v>0.05</v>
      </c>
      <c r="AH40" s="119">
        <v>0.03</v>
      </c>
      <c r="AI40" s="119">
        <v>-0.03</v>
      </c>
      <c r="AJ40" s="119">
        <v>0.09</v>
      </c>
      <c r="AK40" s="119">
        <v>0.12</v>
      </c>
      <c r="AL40" s="119">
        <v>0.14000000000000001</v>
      </c>
      <c r="AM40" s="119">
        <v>0.2</v>
      </c>
      <c r="AN40" s="119">
        <v>0.14000000000000001</v>
      </c>
      <c r="AO40" s="119">
        <v>0.05</v>
      </c>
      <c r="AP40" s="119">
        <v>0.14000000000000001</v>
      </c>
      <c r="AQ40" s="119">
        <v>0.24</v>
      </c>
      <c r="AR40" s="119">
        <v>0.21</v>
      </c>
      <c r="AS40" s="119">
        <v>0.25</v>
      </c>
      <c r="AT40" s="119">
        <v>0.14000000000000001</v>
      </c>
      <c r="AU40" s="119">
        <v>0.06</v>
      </c>
      <c r="AV40" s="119">
        <v>-0.01</v>
      </c>
      <c r="AW40" s="119">
        <v>0.01</v>
      </c>
      <c r="AX40" s="119">
        <v>0.03</v>
      </c>
      <c r="AY40" s="119">
        <v>0.05</v>
      </c>
      <c r="AZ40" s="119">
        <v>0.08</v>
      </c>
      <c r="BA40" s="119">
        <v>0.06</v>
      </c>
      <c r="BB40" s="119">
        <v>0.04</v>
      </c>
      <c r="BC40" s="119">
        <v>0.05</v>
      </c>
      <c r="BD40" s="119">
        <v>0.02</v>
      </c>
      <c r="BE40" s="119">
        <v>0.02</v>
      </c>
      <c r="BF40" s="119">
        <v>0.03</v>
      </c>
      <c r="BG40" s="119">
        <v>0.06</v>
      </c>
      <c r="BH40" s="119">
        <v>7.0000000000000007E-2</v>
      </c>
      <c r="BI40" s="119">
        <v>0.01</v>
      </c>
      <c r="BJ40" s="119">
        <v>-0.08</v>
      </c>
      <c r="BK40" s="119">
        <v>-0.09</v>
      </c>
      <c r="BL40" s="119">
        <v>-0.11</v>
      </c>
      <c r="BM40" s="119">
        <v>-0.04</v>
      </c>
      <c r="BN40" s="119">
        <v>0.18</v>
      </c>
      <c r="BO40" s="119">
        <v>0.16</v>
      </c>
      <c r="BP40" s="119">
        <v>0.2</v>
      </c>
      <c r="BQ40" s="119">
        <v>0.17</v>
      </c>
      <c r="BR40" s="119">
        <v>0.06</v>
      </c>
      <c r="BS40" s="119">
        <v>0.18</v>
      </c>
      <c r="BT40" s="119">
        <v>0.11</v>
      </c>
      <c r="BU40" s="119">
        <v>0.14000000000000001</v>
      </c>
      <c r="BV40" s="119">
        <v>0.1</v>
      </c>
      <c r="BW40" s="119">
        <v>0.1</v>
      </c>
      <c r="BX40" s="119">
        <v>0.18</v>
      </c>
      <c r="BY40" s="119">
        <v>0.03</v>
      </c>
      <c r="BZ40" s="119">
        <v>0.27</v>
      </c>
      <c r="CA40" s="119">
        <v>0.2</v>
      </c>
      <c r="CB40" s="119">
        <v>0.06</v>
      </c>
      <c r="CC40" s="119">
        <v>0.03</v>
      </c>
      <c r="CD40" s="119">
        <v>7.0000000000000007E-2</v>
      </c>
      <c r="CE40" s="119">
        <v>7.0000000000000007E-2</v>
      </c>
      <c r="CF40" s="100"/>
      <c r="CG40" s="100"/>
      <c r="CH40" s="100"/>
      <c r="CP40" s="100"/>
      <c r="DH40" s="100"/>
      <c r="DI40" s="100"/>
      <c r="DJ40" s="100"/>
      <c r="DK40" s="100"/>
    </row>
    <row r="41" spans="1:115" ht="13.5" customHeight="1" x14ac:dyDescent="0.75">
      <c r="A41" s="68"/>
      <c r="B41" s="67" t="s">
        <v>286</v>
      </c>
      <c r="C41" s="66" t="s">
        <v>287</v>
      </c>
      <c r="D41" s="119"/>
      <c r="E41" s="119"/>
      <c r="F41" s="119"/>
      <c r="G41" s="119"/>
      <c r="H41" s="119"/>
      <c r="I41" s="119">
        <v>0.22</v>
      </c>
      <c r="J41" s="119">
        <v>0.06</v>
      </c>
      <c r="K41" s="119">
        <v>-0.01</v>
      </c>
      <c r="L41" s="119">
        <v>0</v>
      </c>
      <c r="M41" s="119">
        <v>0.02</v>
      </c>
      <c r="N41" s="119">
        <v>0.03</v>
      </c>
      <c r="O41" s="119">
        <v>0.1</v>
      </c>
      <c r="P41" s="119">
        <v>0.05</v>
      </c>
      <c r="Q41" s="119">
        <v>0.08</v>
      </c>
      <c r="R41" s="119">
        <v>0.11</v>
      </c>
      <c r="S41" s="119">
        <v>0.05</v>
      </c>
      <c r="T41" s="119">
        <v>0.06</v>
      </c>
      <c r="U41" s="119">
        <v>0.05</v>
      </c>
      <c r="V41" s="119">
        <v>0.14000000000000001</v>
      </c>
      <c r="W41" s="119">
        <v>0.15</v>
      </c>
      <c r="X41" s="119">
        <v>0.24</v>
      </c>
      <c r="Y41" s="119">
        <v>0.06</v>
      </c>
      <c r="Z41" s="119">
        <v>-0.04</v>
      </c>
      <c r="AA41" s="119">
        <v>0.28999999999999998</v>
      </c>
      <c r="AB41" s="119">
        <v>0.27</v>
      </c>
      <c r="AC41" s="119">
        <v>0.42</v>
      </c>
      <c r="AD41" s="119">
        <v>0.25</v>
      </c>
      <c r="AE41" s="119">
        <v>0.11</v>
      </c>
      <c r="AF41" s="119">
        <v>0.15</v>
      </c>
      <c r="AG41" s="119">
        <v>7.0000000000000007E-2</v>
      </c>
      <c r="AH41" s="119">
        <v>0.18</v>
      </c>
      <c r="AI41" s="119">
        <v>0.06</v>
      </c>
      <c r="AJ41" s="119">
        <v>7.0000000000000007E-2</v>
      </c>
      <c r="AK41" s="119">
        <v>0.06</v>
      </c>
      <c r="AL41" s="119">
        <v>0.08</v>
      </c>
      <c r="AM41" s="119">
        <v>0.13</v>
      </c>
      <c r="AN41" s="119">
        <v>0.01</v>
      </c>
      <c r="AO41" s="119">
        <v>0.1</v>
      </c>
      <c r="AP41" s="119">
        <v>0.02</v>
      </c>
      <c r="AQ41" s="119">
        <v>0</v>
      </c>
      <c r="AR41" s="119">
        <v>0.08</v>
      </c>
      <c r="AS41" s="119">
        <v>0.09</v>
      </c>
      <c r="AT41" s="119">
        <v>0.12</v>
      </c>
      <c r="AU41" s="119">
        <v>0.14000000000000001</v>
      </c>
      <c r="AV41" s="119">
        <v>0.1</v>
      </c>
      <c r="AW41" s="119">
        <v>-0.02</v>
      </c>
      <c r="AX41" s="119">
        <v>0.08</v>
      </c>
      <c r="AY41" s="119">
        <v>0.12</v>
      </c>
      <c r="AZ41" s="119">
        <v>-0.1</v>
      </c>
      <c r="BA41" s="119">
        <v>0.11</v>
      </c>
      <c r="BB41" s="119">
        <v>0.02</v>
      </c>
      <c r="BC41" s="119">
        <v>-0.04</v>
      </c>
      <c r="BD41" s="119">
        <v>0.21</v>
      </c>
      <c r="BE41" s="119">
        <v>-0.04</v>
      </c>
      <c r="BF41" s="119">
        <v>0.09</v>
      </c>
      <c r="BG41" s="119">
        <v>0.13</v>
      </c>
      <c r="BH41" s="119">
        <v>0.01</v>
      </c>
      <c r="BI41" s="119">
        <v>0.15</v>
      </c>
      <c r="BJ41" s="119">
        <v>-0.04</v>
      </c>
      <c r="BK41" s="119">
        <v>0</v>
      </c>
      <c r="BL41" s="119">
        <v>0.01</v>
      </c>
      <c r="BM41" s="119">
        <v>-0.02</v>
      </c>
      <c r="BN41" s="119">
        <v>0.09</v>
      </c>
      <c r="BO41" s="119">
        <v>0.02</v>
      </c>
      <c r="BP41" s="119">
        <v>0.05</v>
      </c>
      <c r="BQ41" s="119">
        <v>0.08</v>
      </c>
      <c r="BR41" s="119">
        <v>0.02</v>
      </c>
      <c r="BS41" s="119">
        <v>0.18</v>
      </c>
      <c r="BT41" s="119">
        <v>0.1</v>
      </c>
      <c r="BU41" s="119">
        <v>0.06</v>
      </c>
      <c r="BV41" s="119">
        <v>0.19</v>
      </c>
      <c r="BW41" s="119">
        <v>0.04</v>
      </c>
      <c r="BX41" s="119">
        <v>0.16</v>
      </c>
      <c r="BY41" s="119">
        <v>0.06</v>
      </c>
      <c r="BZ41" s="119">
        <v>0.01</v>
      </c>
      <c r="CA41" s="119">
        <v>0.11</v>
      </c>
      <c r="CB41" s="119">
        <v>0.22</v>
      </c>
      <c r="CC41" s="119">
        <v>0.15</v>
      </c>
      <c r="CD41" s="119">
        <v>0.17</v>
      </c>
      <c r="CE41" s="119">
        <v>7.0000000000000007E-2</v>
      </c>
      <c r="CF41" s="100"/>
      <c r="CG41" s="100"/>
      <c r="CH41" s="100"/>
      <c r="CP41" s="100"/>
      <c r="DH41" s="100"/>
      <c r="DI41" s="100"/>
      <c r="DJ41" s="100"/>
      <c r="DK41" s="100"/>
    </row>
    <row r="42" spans="1:115" ht="13.5" customHeight="1" x14ac:dyDescent="0.75">
      <c r="A42" s="68"/>
      <c r="B42" s="67" t="s">
        <v>288</v>
      </c>
      <c r="C42" s="66" t="s">
        <v>289</v>
      </c>
      <c r="D42" s="119"/>
      <c r="E42" s="119"/>
      <c r="F42" s="119"/>
      <c r="G42" s="119"/>
      <c r="H42" s="119"/>
      <c r="I42" s="119">
        <v>0.15</v>
      </c>
      <c r="J42" s="119">
        <v>0.15</v>
      </c>
      <c r="K42" s="119">
        <v>0.15</v>
      </c>
      <c r="L42" s="119">
        <v>0.15</v>
      </c>
      <c r="M42" s="119">
        <v>7.0000000000000007E-2</v>
      </c>
      <c r="N42" s="119">
        <v>7.0000000000000007E-2</v>
      </c>
      <c r="O42" s="119">
        <v>7.0000000000000007E-2</v>
      </c>
      <c r="P42" s="119">
        <v>7.0000000000000007E-2</v>
      </c>
      <c r="Q42" s="119">
        <v>0.15</v>
      </c>
      <c r="R42" s="119">
        <v>0.15</v>
      </c>
      <c r="S42" s="119">
        <v>0.15</v>
      </c>
      <c r="T42" s="119">
        <v>0.15</v>
      </c>
      <c r="U42" s="119">
        <v>0.09</v>
      </c>
      <c r="V42" s="119">
        <v>0.09</v>
      </c>
      <c r="W42" s="119">
        <v>0.09</v>
      </c>
      <c r="X42" s="119">
        <v>0.09</v>
      </c>
      <c r="Y42" s="119">
        <v>0.18</v>
      </c>
      <c r="Z42" s="119">
        <v>0.18</v>
      </c>
      <c r="AA42" s="119">
        <v>0.18</v>
      </c>
      <c r="AB42" s="119">
        <v>0.18</v>
      </c>
      <c r="AC42" s="119">
        <v>7.0000000000000007E-2</v>
      </c>
      <c r="AD42" s="119">
        <v>7.0000000000000007E-2</v>
      </c>
      <c r="AE42" s="119">
        <v>7.0000000000000007E-2</v>
      </c>
      <c r="AF42" s="119">
        <v>7.0000000000000007E-2</v>
      </c>
      <c r="AG42" s="119">
        <v>0.05</v>
      </c>
      <c r="AH42" s="119">
        <v>0.05</v>
      </c>
      <c r="AI42" s="119">
        <v>0.04</v>
      </c>
      <c r="AJ42" s="119">
        <v>0.04</v>
      </c>
      <c r="AK42" s="119">
        <v>0.03</v>
      </c>
      <c r="AL42" s="119">
        <v>0.03</v>
      </c>
      <c r="AM42" s="119">
        <v>0.03</v>
      </c>
      <c r="AN42" s="119">
        <v>0.03</v>
      </c>
      <c r="AO42" s="119">
        <v>0.02</v>
      </c>
      <c r="AP42" s="119">
        <v>0.02</v>
      </c>
      <c r="AQ42" s="119">
        <v>0.02</v>
      </c>
      <c r="AR42" s="119">
        <v>0.02</v>
      </c>
      <c r="AS42" s="119">
        <v>0.04</v>
      </c>
      <c r="AT42" s="119">
        <v>0.04</v>
      </c>
      <c r="AU42" s="119">
        <v>0.04</v>
      </c>
      <c r="AV42" s="119">
        <v>0.04</v>
      </c>
      <c r="AW42" s="119">
        <v>0.02</v>
      </c>
      <c r="AX42" s="119">
        <v>0.02</v>
      </c>
      <c r="AY42" s="119">
        <v>0.02</v>
      </c>
      <c r="AZ42" s="119">
        <v>0.02</v>
      </c>
      <c r="BA42" s="119">
        <v>0.04</v>
      </c>
      <c r="BB42" s="119">
        <v>0.04</v>
      </c>
      <c r="BC42" s="119">
        <v>0.04</v>
      </c>
      <c r="BD42" s="119">
        <v>0.04</v>
      </c>
      <c r="BE42" s="119">
        <v>0.02</v>
      </c>
      <c r="BF42" s="119">
        <v>0.02</v>
      </c>
      <c r="BG42" s="119">
        <v>0.02</v>
      </c>
      <c r="BH42" s="119">
        <v>0.02</v>
      </c>
      <c r="BI42" s="119">
        <v>-0.03</v>
      </c>
      <c r="BJ42" s="119">
        <v>-0.67</v>
      </c>
      <c r="BK42" s="119">
        <v>-0.56999999999999995</v>
      </c>
      <c r="BL42" s="119">
        <v>-0.23</v>
      </c>
      <c r="BM42" s="119">
        <v>0.05</v>
      </c>
      <c r="BN42" s="119">
        <v>2.0699999999999998</v>
      </c>
      <c r="BO42" s="119">
        <v>1.4</v>
      </c>
      <c r="BP42" s="119">
        <v>0.33</v>
      </c>
      <c r="BQ42" s="119">
        <v>0.06</v>
      </c>
      <c r="BR42" s="119">
        <v>0.06</v>
      </c>
      <c r="BS42" s="119">
        <v>0.06</v>
      </c>
      <c r="BT42" s="119">
        <v>0.06</v>
      </c>
      <c r="BU42" s="119">
        <v>0.05</v>
      </c>
      <c r="BV42" s="119">
        <v>0.05</v>
      </c>
      <c r="BW42" s="119">
        <v>0.05</v>
      </c>
      <c r="BX42" s="119">
        <v>0.05</v>
      </c>
      <c r="BY42" s="119">
        <v>0.04</v>
      </c>
      <c r="BZ42" s="119">
        <v>0.04</v>
      </c>
      <c r="CA42" s="119">
        <v>0.04</v>
      </c>
      <c r="CB42" s="119">
        <v>0.04</v>
      </c>
      <c r="CC42" s="119">
        <v>0.05</v>
      </c>
      <c r="CD42" s="119">
        <v>0.05</v>
      </c>
      <c r="CE42" s="119">
        <v>0.05</v>
      </c>
      <c r="CF42" s="100"/>
      <c r="CG42" s="100"/>
      <c r="CH42" s="100"/>
      <c r="CP42" s="100"/>
      <c r="DH42" s="100"/>
      <c r="DI42" s="100"/>
      <c r="DJ42" s="100"/>
      <c r="DK42" s="100"/>
    </row>
    <row r="43" spans="1:115" ht="13.5" customHeight="1" x14ac:dyDescent="0.75">
      <c r="A43" s="68"/>
      <c r="B43" s="67" t="s">
        <v>290</v>
      </c>
      <c r="C43" s="66" t="s">
        <v>291</v>
      </c>
      <c r="D43" s="119"/>
      <c r="E43" s="119"/>
      <c r="F43" s="119"/>
      <c r="G43" s="119"/>
      <c r="H43" s="119"/>
      <c r="I43" s="119">
        <v>0.14000000000000001</v>
      </c>
      <c r="J43" s="119">
        <v>0.14000000000000001</v>
      </c>
      <c r="K43" s="119">
        <v>0.14000000000000001</v>
      </c>
      <c r="L43" s="119">
        <v>0.14000000000000001</v>
      </c>
      <c r="M43" s="119">
        <v>0.12</v>
      </c>
      <c r="N43" s="119">
        <v>0.12</v>
      </c>
      <c r="O43" s="119">
        <v>0.12</v>
      </c>
      <c r="P43" s="119">
        <v>0.12</v>
      </c>
      <c r="Q43" s="119">
        <v>0.11</v>
      </c>
      <c r="R43" s="119">
        <v>0.11</v>
      </c>
      <c r="S43" s="119">
        <v>0.22</v>
      </c>
      <c r="T43" s="119">
        <v>0.16</v>
      </c>
      <c r="U43" s="119">
        <v>0.2</v>
      </c>
      <c r="V43" s="119">
        <v>0.1</v>
      </c>
      <c r="W43" s="119">
        <v>0.09</v>
      </c>
      <c r="X43" s="119">
        <v>0.24</v>
      </c>
      <c r="Y43" s="119">
        <v>-0.09</v>
      </c>
      <c r="Z43" s="119">
        <v>-0.01</v>
      </c>
      <c r="AA43" s="119">
        <v>0.03</v>
      </c>
      <c r="AB43" s="119">
        <v>0.14000000000000001</v>
      </c>
      <c r="AC43" s="119">
        <v>0.31</v>
      </c>
      <c r="AD43" s="119">
        <v>0.56999999999999995</v>
      </c>
      <c r="AE43" s="119">
        <v>0.09</v>
      </c>
      <c r="AF43" s="119">
        <v>0.04</v>
      </c>
      <c r="AG43" s="119">
        <v>0.12</v>
      </c>
      <c r="AH43" s="119">
        <v>-7.0000000000000007E-2</v>
      </c>
      <c r="AI43" s="119">
        <v>0.18</v>
      </c>
      <c r="AJ43" s="119">
        <v>0.03</v>
      </c>
      <c r="AK43" s="119">
        <v>0.01</v>
      </c>
      <c r="AL43" s="119">
        <v>0.01</v>
      </c>
      <c r="AM43" s="119">
        <v>0.09</v>
      </c>
      <c r="AN43" s="119">
        <v>0.22</v>
      </c>
      <c r="AO43" s="119">
        <v>0.12</v>
      </c>
      <c r="AP43" s="119">
        <v>0.32</v>
      </c>
      <c r="AQ43" s="119">
        <v>0.08</v>
      </c>
      <c r="AR43" s="119">
        <v>-0.08</v>
      </c>
      <c r="AS43" s="119">
        <v>0.15</v>
      </c>
      <c r="AT43" s="119">
        <v>0.03</v>
      </c>
      <c r="AU43" s="119">
        <v>-0.05</v>
      </c>
      <c r="AV43" s="119">
        <v>0.13</v>
      </c>
      <c r="AW43" s="119">
        <v>-0.01</v>
      </c>
      <c r="AX43" s="119">
        <v>0.03</v>
      </c>
      <c r="AY43" s="119">
        <v>0.1</v>
      </c>
      <c r="AZ43" s="119">
        <v>0.09</v>
      </c>
      <c r="BA43" s="119">
        <v>0.05</v>
      </c>
      <c r="BB43" s="119">
        <v>0.02</v>
      </c>
      <c r="BC43" s="119">
        <v>-0.03</v>
      </c>
      <c r="BD43" s="119">
        <v>-0.05</v>
      </c>
      <c r="BE43" s="119">
        <v>-0.04</v>
      </c>
      <c r="BF43" s="119">
        <v>0.05</v>
      </c>
      <c r="BG43" s="119">
        <v>0.14000000000000001</v>
      </c>
      <c r="BH43" s="119">
        <v>-0.01</v>
      </c>
      <c r="BI43" s="119">
        <v>0.32</v>
      </c>
      <c r="BJ43" s="119">
        <v>0.05</v>
      </c>
      <c r="BK43" s="119">
        <v>0.06</v>
      </c>
      <c r="BL43" s="119">
        <v>0.24</v>
      </c>
      <c r="BM43" s="119">
        <v>-0.12</v>
      </c>
      <c r="BN43" s="119">
        <v>0.28000000000000003</v>
      </c>
      <c r="BO43" s="119">
        <v>0.06</v>
      </c>
      <c r="BP43" s="119">
        <v>0.26</v>
      </c>
      <c r="BQ43" s="119">
        <v>0.26</v>
      </c>
      <c r="BR43" s="119">
        <v>0.05</v>
      </c>
      <c r="BS43" s="119">
        <v>0.16</v>
      </c>
      <c r="BT43" s="119">
        <v>-0.03</v>
      </c>
      <c r="BU43" s="119">
        <v>-0.03</v>
      </c>
      <c r="BV43" s="119">
        <v>0.09</v>
      </c>
      <c r="BW43" s="119">
        <v>-0.02</v>
      </c>
      <c r="BX43" s="119">
        <v>-0.1</v>
      </c>
      <c r="BY43" s="119">
        <v>0.16</v>
      </c>
      <c r="BZ43" s="119">
        <v>0</v>
      </c>
      <c r="CA43" s="119">
        <v>0.09</v>
      </c>
      <c r="CB43" s="119">
        <v>0.51</v>
      </c>
      <c r="CC43" s="119">
        <v>0</v>
      </c>
      <c r="CD43" s="119">
        <v>0.1</v>
      </c>
      <c r="CE43" s="119">
        <v>-0.16</v>
      </c>
      <c r="CF43" s="100"/>
      <c r="CG43" s="100"/>
      <c r="CH43" s="100"/>
      <c r="CP43" s="100"/>
      <c r="DH43" s="100"/>
      <c r="DI43" s="100"/>
      <c r="DJ43" s="100"/>
      <c r="DK43" s="100"/>
    </row>
    <row r="44" spans="1:115" ht="13.5" customHeight="1" x14ac:dyDescent="0.75">
      <c r="A44" s="68"/>
      <c r="B44" s="67" t="s">
        <v>292</v>
      </c>
      <c r="C44" s="66" t="s">
        <v>293</v>
      </c>
      <c r="D44" s="119"/>
      <c r="E44" s="119"/>
      <c r="F44" s="119"/>
      <c r="G44" s="119"/>
      <c r="H44" s="119"/>
      <c r="I44" s="119">
        <v>0.17</v>
      </c>
      <c r="J44" s="119">
        <v>0.12</v>
      </c>
      <c r="K44" s="119">
        <v>0.18</v>
      </c>
      <c r="L44" s="119">
        <v>0.1</v>
      </c>
      <c r="M44" s="119">
        <v>0.04</v>
      </c>
      <c r="N44" s="119">
        <v>0</v>
      </c>
      <c r="O44" s="119">
        <v>0.03</v>
      </c>
      <c r="P44" s="119">
        <v>0.02</v>
      </c>
      <c r="Q44" s="119">
        <v>-7.0000000000000007E-2</v>
      </c>
      <c r="R44" s="119">
        <v>-0.04</v>
      </c>
      <c r="S44" s="119">
        <v>-0.08</v>
      </c>
      <c r="T44" s="119">
        <v>-0.02</v>
      </c>
      <c r="U44" s="119">
        <v>0.09</v>
      </c>
      <c r="V44" s="119">
        <v>0.06</v>
      </c>
      <c r="W44" s="119">
        <v>0.08</v>
      </c>
      <c r="X44" s="119">
        <v>0.04</v>
      </c>
      <c r="Y44" s="119">
        <v>0.02</v>
      </c>
      <c r="Z44" s="119">
        <v>-0.01</v>
      </c>
      <c r="AA44" s="119">
        <v>-0.04</v>
      </c>
      <c r="AB44" s="119">
        <v>0</v>
      </c>
      <c r="AC44" s="119">
        <v>0.03</v>
      </c>
      <c r="AD44" s="119">
        <v>0.1</v>
      </c>
      <c r="AE44" s="119">
        <v>0.15</v>
      </c>
      <c r="AF44" s="119">
        <v>0.16</v>
      </c>
      <c r="AG44" s="119">
        <v>0.13</v>
      </c>
      <c r="AH44" s="119">
        <v>0.2</v>
      </c>
      <c r="AI44" s="119">
        <v>0.08</v>
      </c>
      <c r="AJ44" s="119">
        <v>0.09</v>
      </c>
      <c r="AK44" s="119">
        <v>0.13</v>
      </c>
      <c r="AL44" s="119">
        <v>0.15</v>
      </c>
      <c r="AM44" s="119">
        <v>0.24</v>
      </c>
      <c r="AN44" s="119">
        <v>0.13</v>
      </c>
      <c r="AO44" s="119">
        <v>0.2</v>
      </c>
      <c r="AP44" s="119">
        <v>0.2</v>
      </c>
      <c r="AQ44" s="119">
        <v>0.14000000000000001</v>
      </c>
      <c r="AR44" s="119">
        <v>0.23</v>
      </c>
      <c r="AS44" s="119">
        <v>0.11</v>
      </c>
      <c r="AT44" s="119">
        <v>0.03</v>
      </c>
      <c r="AU44" s="119">
        <v>7.0000000000000007E-2</v>
      </c>
      <c r="AV44" s="119">
        <v>7.0000000000000007E-2</v>
      </c>
      <c r="AW44" s="119">
        <v>0.05</v>
      </c>
      <c r="AX44" s="119">
        <v>0.05</v>
      </c>
      <c r="AY44" s="119">
        <v>0.05</v>
      </c>
      <c r="AZ44" s="119">
        <v>0.04</v>
      </c>
      <c r="BA44" s="119">
        <v>7.0000000000000007E-2</v>
      </c>
      <c r="BB44" s="119">
        <v>0.09</v>
      </c>
      <c r="BC44" s="119">
        <v>7.0000000000000007E-2</v>
      </c>
      <c r="BD44" s="119">
        <v>0.14000000000000001</v>
      </c>
      <c r="BE44" s="119">
        <v>0.08</v>
      </c>
      <c r="BF44" s="119">
        <v>0.09</v>
      </c>
      <c r="BG44" s="119">
        <v>0.1</v>
      </c>
      <c r="BH44" s="119">
        <v>0.05</v>
      </c>
      <c r="BI44" s="119">
        <v>-0.01</v>
      </c>
      <c r="BJ44" s="119">
        <v>-0.04</v>
      </c>
      <c r="BK44" s="119">
        <v>0.01</v>
      </c>
      <c r="BL44" s="119">
        <v>-0.02</v>
      </c>
      <c r="BM44" s="119">
        <v>0.06</v>
      </c>
      <c r="BN44" s="119">
        <v>0.12</v>
      </c>
      <c r="BO44" s="119">
        <v>7.0000000000000007E-2</v>
      </c>
      <c r="BP44" s="119">
        <v>0.15</v>
      </c>
      <c r="BQ44" s="119">
        <v>0.08</v>
      </c>
      <c r="BR44" s="119">
        <v>0.06</v>
      </c>
      <c r="BS44" s="119">
        <v>0.09</v>
      </c>
      <c r="BT44" s="119">
        <v>0.03</v>
      </c>
      <c r="BU44" s="119">
        <v>0.06</v>
      </c>
      <c r="BV44" s="119">
        <v>0.05</v>
      </c>
      <c r="BW44" s="119">
        <v>0.08</v>
      </c>
      <c r="BX44" s="119">
        <v>0.92</v>
      </c>
      <c r="BY44" s="119">
        <v>0.1</v>
      </c>
      <c r="BZ44" s="119">
        <v>0.18</v>
      </c>
      <c r="CA44" s="119">
        <v>0.14000000000000001</v>
      </c>
      <c r="CB44" s="119">
        <v>-0.32</v>
      </c>
      <c r="CC44" s="119">
        <v>0.16</v>
      </c>
      <c r="CD44" s="119">
        <v>0.16</v>
      </c>
      <c r="CE44" s="119">
        <v>0.13</v>
      </c>
      <c r="CF44" s="100"/>
      <c r="CG44" s="100"/>
      <c r="CH44" s="100"/>
      <c r="CP44" s="100"/>
      <c r="DH44" s="100"/>
      <c r="DI44" s="100"/>
      <c r="DJ44" s="100"/>
      <c r="DK44" s="100"/>
    </row>
    <row r="45" spans="1:115" ht="6.75" customHeight="1" x14ac:dyDescent="0.75">
      <c r="A45" s="64"/>
      <c r="B45" s="64"/>
      <c r="C45" s="72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5"/>
      <c r="BQ45" s="95"/>
      <c r="BR45" s="95"/>
      <c r="BS45" s="95"/>
      <c r="BT45" s="95"/>
      <c r="BU45" s="95"/>
      <c r="BV45" s="95"/>
      <c r="BW45" s="95"/>
      <c r="BX45" s="95"/>
      <c r="BY45" s="95"/>
      <c r="BZ45" s="95"/>
      <c r="CA45" s="95"/>
      <c r="CB45" s="95"/>
      <c r="CC45" s="95"/>
      <c r="CD45" s="95"/>
      <c r="CE45" s="95"/>
      <c r="CF45" s="100"/>
      <c r="CG45" s="100"/>
      <c r="CH45" s="100"/>
      <c r="CP45" s="100"/>
      <c r="DH45" s="100"/>
      <c r="DI45" s="100"/>
      <c r="DJ45" s="100"/>
      <c r="DK45" s="100"/>
    </row>
    <row r="46" spans="1:115" ht="14.25" customHeight="1" x14ac:dyDescent="0.75">
      <c r="A46" s="64"/>
      <c r="B46" s="81" t="s">
        <v>294</v>
      </c>
      <c r="C46" s="82"/>
      <c r="D46" s="117"/>
      <c r="E46" s="117"/>
      <c r="F46" s="117"/>
      <c r="G46" s="117"/>
      <c r="H46" s="117"/>
      <c r="I46" s="117">
        <v>0.15</v>
      </c>
      <c r="J46" s="117">
        <v>0.05</v>
      </c>
      <c r="K46" s="117">
        <v>-0.04</v>
      </c>
      <c r="L46" s="117">
        <v>0.02</v>
      </c>
      <c r="M46" s="117">
        <v>0.05</v>
      </c>
      <c r="N46" s="117">
        <v>7.0000000000000007E-2</v>
      </c>
      <c r="O46" s="117">
        <v>0.25</v>
      </c>
      <c r="P46" s="117">
        <v>0.1</v>
      </c>
      <c r="Q46" s="117">
        <v>0.01</v>
      </c>
      <c r="R46" s="117">
        <v>0.17</v>
      </c>
      <c r="S46" s="117">
        <v>0.04</v>
      </c>
      <c r="T46" s="117">
        <v>0.19</v>
      </c>
      <c r="U46" s="117">
        <v>0.03</v>
      </c>
      <c r="V46" s="117">
        <v>0.11</v>
      </c>
      <c r="W46" s="117">
        <v>0.06</v>
      </c>
      <c r="X46" s="117">
        <v>-0.01</v>
      </c>
      <c r="Y46" s="117">
        <v>0.04</v>
      </c>
      <c r="Z46" s="117">
        <v>-0.02</v>
      </c>
      <c r="AA46" s="117">
        <v>0.03</v>
      </c>
      <c r="AB46" s="117">
        <v>0.02</v>
      </c>
      <c r="AC46" s="117">
        <v>0.08</v>
      </c>
      <c r="AD46" s="117">
        <v>0.02</v>
      </c>
      <c r="AE46" s="117">
        <v>7.0000000000000007E-2</v>
      </c>
      <c r="AF46" s="117">
        <v>-0.09</v>
      </c>
      <c r="AG46" s="117">
        <v>-0.14000000000000001</v>
      </c>
      <c r="AH46" s="117">
        <v>-0.01</v>
      </c>
      <c r="AI46" s="117">
        <v>-0.08</v>
      </c>
      <c r="AJ46" s="117">
        <v>0.11</v>
      </c>
      <c r="AK46" s="117">
        <v>0.16</v>
      </c>
      <c r="AL46" s="117">
        <v>0.06</v>
      </c>
      <c r="AM46" s="117">
        <v>0.06</v>
      </c>
      <c r="AN46" s="117">
        <v>0.05</v>
      </c>
      <c r="AO46" s="117">
        <v>0.12</v>
      </c>
      <c r="AP46" s="117">
        <v>0.17</v>
      </c>
      <c r="AQ46" s="117">
        <v>0.14000000000000001</v>
      </c>
      <c r="AR46" s="117">
        <v>0.14000000000000001</v>
      </c>
      <c r="AS46" s="117">
        <v>0.1</v>
      </c>
      <c r="AT46" s="117">
        <v>0.09</v>
      </c>
      <c r="AU46" s="117">
        <v>0.03</v>
      </c>
      <c r="AV46" s="117">
        <v>-0.04</v>
      </c>
      <c r="AW46" s="117">
        <v>-0.05</v>
      </c>
      <c r="AX46" s="117">
        <v>-0.09</v>
      </c>
      <c r="AY46" s="117">
        <v>-0.01</v>
      </c>
      <c r="AZ46" s="117">
        <v>0.06</v>
      </c>
      <c r="BA46" s="117">
        <v>0.1</v>
      </c>
      <c r="BB46" s="117">
        <v>0.09</v>
      </c>
      <c r="BC46" s="117">
        <v>7.0000000000000007E-2</v>
      </c>
      <c r="BD46" s="117">
        <v>0.11</v>
      </c>
      <c r="BE46" s="117">
        <v>0.08</v>
      </c>
      <c r="BF46" s="117">
        <v>0.24</v>
      </c>
      <c r="BG46" s="117">
        <v>0.16</v>
      </c>
      <c r="BH46" s="117">
        <v>0.12</v>
      </c>
      <c r="BI46" s="117">
        <v>0.09</v>
      </c>
      <c r="BJ46" s="117">
        <v>-0.09</v>
      </c>
      <c r="BK46" s="117">
        <v>-0.04</v>
      </c>
      <c r="BL46" s="117">
        <v>-0.02</v>
      </c>
      <c r="BM46" s="117">
        <v>0.03</v>
      </c>
      <c r="BN46" s="117">
        <v>0.26</v>
      </c>
      <c r="BO46" s="117">
        <v>-0.03</v>
      </c>
      <c r="BP46" s="117">
        <v>0.16</v>
      </c>
      <c r="BQ46" s="117">
        <v>7.0000000000000007E-2</v>
      </c>
      <c r="BR46" s="117">
        <v>0.04</v>
      </c>
      <c r="BS46" s="117">
        <v>0.22</v>
      </c>
      <c r="BT46" s="117">
        <v>-0.08</v>
      </c>
      <c r="BU46" s="117">
        <v>-0.05</v>
      </c>
      <c r="BV46" s="117">
        <v>-7.0000000000000007E-2</v>
      </c>
      <c r="BW46" s="117">
        <v>-0.02</v>
      </c>
      <c r="BX46" s="117">
        <v>-0.03</v>
      </c>
      <c r="BY46" s="117">
        <v>0.04</v>
      </c>
      <c r="BZ46" s="117">
        <v>0.12</v>
      </c>
      <c r="CA46" s="117">
        <v>0.09</v>
      </c>
      <c r="CB46" s="117">
        <v>0.06</v>
      </c>
      <c r="CC46" s="117">
        <v>7.0000000000000007E-2</v>
      </c>
      <c r="CD46" s="117">
        <v>0.05</v>
      </c>
      <c r="CE46" s="117">
        <v>0.21</v>
      </c>
      <c r="CF46" s="100"/>
      <c r="CG46" s="100"/>
      <c r="CH46" s="100"/>
      <c r="CP46" s="100"/>
      <c r="DH46" s="100"/>
      <c r="DI46" s="100"/>
      <c r="DJ46" s="100"/>
      <c r="DK46" s="100"/>
    </row>
    <row r="47" spans="1:115" ht="7.5" customHeight="1" thickBot="1" x14ac:dyDescent="0.9">
      <c r="A47" s="64"/>
      <c r="B47" s="96"/>
      <c r="C47" s="97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  <c r="AT47" s="96"/>
      <c r="AU47" s="96"/>
      <c r="AV47" s="96"/>
      <c r="AW47" s="96"/>
      <c r="AX47" s="96"/>
      <c r="AY47" s="96"/>
      <c r="AZ47" s="96"/>
      <c r="BA47" s="96"/>
      <c r="BB47" s="96"/>
      <c r="BC47" s="96"/>
      <c r="BD47" s="96"/>
      <c r="BE47" s="96"/>
      <c r="BF47" s="96"/>
      <c r="BG47" s="96"/>
      <c r="BH47" s="96"/>
      <c r="BI47" s="96"/>
      <c r="BJ47" s="96"/>
      <c r="BK47" s="96"/>
      <c r="BL47" s="96"/>
      <c r="BM47" s="96"/>
      <c r="BN47" s="96"/>
      <c r="BO47" s="96"/>
      <c r="BP47" s="96"/>
      <c r="BQ47" s="96"/>
      <c r="BR47" s="96"/>
      <c r="BS47" s="96"/>
      <c r="BT47" s="96"/>
      <c r="BU47" s="96"/>
      <c r="BV47" s="96"/>
      <c r="BW47" s="96"/>
      <c r="BX47" s="96"/>
      <c r="BY47" s="96"/>
      <c r="BZ47" s="96"/>
      <c r="CA47" s="96"/>
      <c r="CB47" s="96"/>
      <c r="CC47" s="96"/>
      <c r="CD47" s="96"/>
      <c r="CE47" s="96"/>
      <c r="CF47" s="100"/>
      <c r="CG47" s="100"/>
      <c r="CH47" s="100"/>
      <c r="CP47" s="100"/>
      <c r="DH47" s="100"/>
      <c r="DI47" s="100"/>
      <c r="DJ47" s="100"/>
      <c r="DK47" s="100"/>
    </row>
    <row r="48" spans="1:115" s="100" customFormat="1" ht="12.75" customHeight="1" thickTop="1" x14ac:dyDescent="0.55000000000000004">
      <c r="A48" s="98"/>
      <c r="B48" s="20" t="str">
        <f>QGDP_CP!B48</f>
        <v>Source: National Institute of Statistics of Rwanda</v>
      </c>
      <c r="C48" s="99"/>
    </row>
    <row r="49" spans="1:115" s="100" customFormat="1" ht="11.75" x14ac:dyDescent="0.55000000000000004">
      <c r="A49" s="98"/>
      <c r="B49" s="22">
        <f>QGDP_CP!B49</f>
        <v>46007</v>
      </c>
      <c r="C49" s="99"/>
    </row>
    <row r="50" spans="1:115" ht="17.75" x14ac:dyDescent="0.75">
      <c r="A50" s="64"/>
      <c r="CF50" s="100"/>
      <c r="CG50" s="100"/>
      <c r="CH50" s="100"/>
      <c r="CP50" s="100"/>
      <c r="DH50" s="100"/>
      <c r="DI50" s="100"/>
      <c r="DJ50" s="100"/>
      <c r="DK50" s="100"/>
    </row>
    <row r="51" spans="1:115" ht="17.75" x14ac:dyDescent="0.75">
      <c r="A51" s="64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3"/>
      <c r="BN51" s="103"/>
      <c r="BO51" s="103"/>
      <c r="BP51" s="103"/>
      <c r="BQ51" s="103"/>
      <c r="BR51" s="103"/>
      <c r="BS51" s="103"/>
      <c r="BT51" s="103"/>
      <c r="BU51" s="103"/>
      <c r="BV51" s="103"/>
      <c r="BW51" s="103"/>
      <c r="BX51" s="103"/>
      <c r="BY51" s="103"/>
      <c r="BZ51" s="103"/>
      <c r="CA51" s="103"/>
      <c r="CB51" s="103"/>
      <c r="CC51" s="103"/>
      <c r="CD51" s="103"/>
      <c r="CE51" s="103"/>
      <c r="CF51" s="100"/>
      <c r="CG51" s="100"/>
      <c r="CH51" s="100"/>
      <c r="CP51" s="100"/>
      <c r="DH51" s="100"/>
      <c r="DI51" s="100"/>
      <c r="DJ51" s="100"/>
      <c r="DK51" s="100"/>
    </row>
    <row r="52" spans="1:115" ht="17.75" x14ac:dyDescent="0.75">
      <c r="A52" s="64"/>
      <c r="B52" s="104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5"/>
      <c r="BK52" s="105"/>
      <c r="BL52" s="105"/>
      <c r="BM52" s="105"/>
      <c r="BN52" s="105"/>
      <c r="BO52" s="105"/>
      <c r="BP52" s="105"/>
      <c r="BQ52" s="105"/>
      <c r="BR52" s="105"/>
      <c r="BS52" s="105"/>
      <c r="BT52" s="105"/>
      <c r="BU52" s="105"/>
      <c r="BV52" s="105"/>
      <c r="BW52" s="105"/>
      <c r="BX52" s="105"/>
      <c r="BY52" s="105"/>
      <c r="BZ52" s="105"/>
      <c r="CA52" s="105"/>
      <c r="CB52" s="105"/>
      <c r="CC52" s="105"/>
      <c r="CD52" s="105"/>
      <c r="CE52" s="105"/>
      <c r="CF52" s="100"/>
      <c r="CG52" s="100"/>
      <c r="CH52" s="100"/>
      <c r="CP52" s="100"/>
      <c r="DH52" s="100"/>
      <c r="DI52" s="100"/>
      <c r="DJ52" s="100"/>
      <c r="DK52" s="100"/>
    </row>
    <row r="53" spans="1:115" ht="17.75" x14ac:dyDescent="0.75">
      <c r="A53" s="64"/>
      <c r="CF53" s="100"/>
      <c r="CG53" s="100"/>
      <c r="CH53" s="100"/>
      <c r="CP53" s="100"/>
      <c r="DH53" s="100"/>
      <c r="DI53" s="100"/>
      <c r="DJ53" s="100"/>
      <c r="DK53" s="100"/>
    </row>
    <row r="54" spans="1:115" ht="17.75" x14ac:dyDescent="0.75">
      <c r="A54" s="64"/>
      <c r="CF54" s="100"/>
      <c r="CG54" s="100"/>
      <c r="CH54" s="100"/>
      <c r="CP54" s="100"/>
      <c r="DH54" s="100"/>
      <c r="DI54" s="100"/>
      <c r="DJ54" s="100"/>
      <c r="DK54" s="100"/>
    </row>
    <row r="55" spans="1:115" ht="17.75" x14ac:dyDescent="0.75">
      <c r="A55" s="64"/>
      <c r="CF55" s="100"/>
      <c r="CG55" s="100"/>
      <c r="CH55" s="100"/>
      <c r="CP55" s="100"/>
      <c r="DH55" s="100"/>
      <c r="DI55" s="100"/>
      <c r="DJ55" s="100"/>
      <c r="DK55" s="100"/>
    </row>
    <row r="56" spans="1:115" ht="17.75" x14ac:dyDescent="0.75">
      <c r="A56" s="64"/>
      <c r="CF56" s="100"/>
      <c r="CG56" s="100"/>
      <c r="CH56" s="100"/>
      <c r="CP56" s="100"/>
      <c r="DH56" s="100"/>
      <c r="DI56" s="100"/>
      <c r="DJ56" s="100"/>
      <c r="DK56" s="100"/>
    </row>
    <row r="57" spans="1:115" ht="17.75" x14ac:dyDescent="0.75">
      <c r="A57" s="64"/>
      <c r="CF57" s="100"/>
      <c r="CG57" s="100"/>
      <c r="CH57" s="100"/>
      <c r="CP57" s="100"/>
      <c r="DH57" s="100"/>
      <c r="DI57" s="100"/>
      <c r="DJ57" s="100"/>
      <c r="DK57" s="100"/>
    </row>
    <row r="58" spans="1:115" ht="17.75" x14ac:dyDescent="0.75">
      <c r="A58" s="64"/>
    </row>
    <row r="59" spans="1:115" ht="17.75" x14ac:dyDescent="0.75">
      <c r="A59" s="64"/>
    </row>
    <row r="60" spans="1:115" ht="17.75" x14ac:dyDescent="0.75">
      <c r="A60" s="64"/>
    </row>
    <row r="61" spans="1:115" ht="17.75" x14ac:dyDescent="0.75">
      <c r="A61" s="64"/>
    </row>
    <row r="62" spans="1:115" ht="17.75" x14ac:dyDescent="0.75">
      <c r="A62" s="64"/>
    </row>
    <row r="63" spans="1:115" ht="17.75" x14ac:dyDescent="0.75">
      <c r="A63" s="64"/>
    </row>
    <row r="64" spans="1:115" ht="17.75" x14ac:dyDescent="0.75">
      <c r="A64" s="64"/>
    </row>
    <row r="65" spans="1:1" ht="17.75" x14ac:dyDescent="0.75">
      <c r="A65" s="64"/>
    </row>
  </sheetData>
  <pageMargins left="0.7" right="0.7" top="0.75" bottom="0.75" header="0.3" footer="0.3"/>
  <pageSetup paperSize="9" scale="6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EA3D7-D075-420C-8C6D-0579896FCEA9}">
  <sheetPr codeName="Sheet6">
    <pageSetUpPr fitToPage="1"/>
  </sheetPr>
  <dimension ref="A1:CE52"/>
  <sheetViews>
    <sheetView showGridLines="0" zoomScaleNormal="100" workbookViewId="0">
      <pane xSplit="3" ySplit="8" topLeftCell="BT9" activePane="bottomRight" state="frozen"/>
      <selection activeCell="CF28" sqref="CF28"/>
      <selection pane="topRight" activeCell="CF28" sqref="CF28"/>
      <selection pane="bottomLeft" activeCell="CF28" sqref="CF28"/>
      <selection pane="bottomRight" activeCell="B2" sqref="B2"/>
    </sheetView>
  </sheetViews>
  <sheetFormatPr defaultColWidth="9.1328125" defaultRowHeight="14.25" x14ac:dyDescent="0.65"/>
  <cols>
    <col min="1" max="1" width="1.40625" style="102" customWidth="1"/>
    <col min="2" max="2" width="51.1328125" style="102" customWidth="1"/>
    <col min="3" max="3" width="6.40625" style="103" bestFit="1" customWidth="1"/>
    <col min="4" max="4" width="8.1328125" style="103" hidden="1" customWidth="1"/>
    <col min="5" max="64" width="8.40625" style="102" hidden="1" customWidth="1"/>
    <col min="65" max="83" width="8.40625" style="102" bestFit="1" customWidth="1"/>
    <col min="84" max="16384" width="9.1328125" style="102"/>
  </cols>
  <sheetData>
    <row r="1" spans="1:83" s="67" customFormat="1" ht="15" customHeight="1" x14ac:dyDescent="0.75">
      <c r="A1" s="64"/>
      <c r="B1" s="65" t="s">
        <v>302</v>
      </c>
      <c r="C1" s="66"/>
    </row>
    <row r="2" spans="1:83" s="71" customFormat="1" ht="15" customHeight="1" x14ac:dyDescent="0.6">
      <c r="A2" s="69"/>
      <c r="B2" s="69" t="s">
        <v>165</v>
      </c>
      <c r="C2" s="70"/>
    </row>
    <row r="3" spans="1:83" s="68" customFormat="1" ht="15" customHeight="1" x14ac:dyDescent="0.75">
      <c r="A3" s="64"/>
      <c r="B3" s="65" t="s">
        <v>303</v>
      </c>
      <c r="C3" s="72"/>
    </row>
    <row r="4" spans="1:83" s="68" customFormat="1" ht="15" customHeight="1" thickBot="1" x14ac:dyDescent="0.9">
      <c r="A4" s="64"/>
      <c r="B4" s="73" t="s">
        <v>304</v>
      </c>
      <c r="C4" s="72"/>
    </row>
    <row r="5" spans="1:83" s="77" customFormat="1" ht="17.25" customHeight="1" thickTop="1" thickBot="1" x14ac:dyDescent="0.75">
      <c r="A5" s="69"/>
      <c r="B5" s="75" t="s">
        <v>169</v>
      </c>
      <c r="C5" s="76" t="s">
        <v>170</v>
      </c>
      <c r="D5" s="74"/>
      <c r="E5" s="74" t="s">
        <v>116</v>
      </c>
      <c r="F5" s="74" t="s">
        <v>117</v>
      </c>
      <c r="G5" s="74" t="s">
        <v>118</v>
      </c>
      <c r="H5" s="74" t="s">
        <v>119</v>
      </c>
      <c r="I5" s="74" t="s">
        <v>120</v>
      </c>
      <c r="J5" s="74" t="s">
        <v>121</v>
      </c>
      <c r="K5" s="74" t="s">
        <v>122</v>
      </c>
      <c r="L5" s="74" t="s">
        <v>123</v>
      </c>
      <c r="M5" s="74" t="s">
        <v>124</v>
      </c>
      <c r="N5" s="74" t="s">
        <v>125</v>
      </c>
      <c r="O5" s="74" t="s">
        <v>126</v>
      </c>
      <c r="P5" s="74" t="s">
        <v>127</v>
      </c>
      <c r="Q5" s="74" t="s">
        <v>128</v>
      </c>
      <c r="R5" s="74" t="s">
        <v>129</v>
      </c>
      <c r="S5" s="74" t="s">
        <v>130</v>
      </c>
      <c r="T5" s="74" t="s">
        <v>131</v>
      </c>
      <c r="U5" s="74" t="s">
        <v>132</v>
      </c>
      <c r="V5" s="74" t="s">
        <v>133</v>
      </c>
      <c r="W5" s="74" t="s">
        <v>134</v>
      </c>
      <c r="X5" s="74" t="s">
        <v>135</v>
      </c>
      <c r="Y5" s="74" t="s">
        <v>136</v>
      </c>
      <c r="Z5" s="74" t="s">
        <v>137</v>
      </c>
      <c r="AA5" s="74" t="s">
        <v>138</v>
      </c>
      <c r="AB5" s="74" t="s">
        <v>139</v>
      </c>
      <c r="AC5" s="74" t="s">
        <v>140</v>
      </c>
      <c r="AD5" s="74" t="s">
        <v>141</v>
      </c>
      <c r="AE5" s="74" t="s">
        <v>142</v>
      </c>
      <c r="AF5" s="74" t="s">
        <v>143</v>
      </c>
      <c r="AG5" s="74" t="s">
        <v>144</v>
      </c>
      <c r="AH5" s="74" t="s">
        <v>145</v>
      </c>
      <c r="AI5" s="74" t="s">
        <v>146</v>
      </c>
      <c r="AJ5" s="74" t="s">
        <v>147</v>
      </c>
      <c r="AK5" s="74" t="s">
        <v>171</v>
      </c>
      <c r="AL5" s="74" t="s">
        <v>172</v>
      </c>
      <c r="AM5" s="74" t="s">
        <v>173</v>
      </c>
      <c r="AN5" s="74" t="s">
        <v>174</v>
      </c>
      <c r="AO5" s="74" t="s">
        <v>175</v>
      </c>
      <c r="AP5" s="74" t="s">
        <v>176</v>
      </c>
      <c r="AQ5" s="74" t="s">
        <v>177</v>
      </c>
      <c r="AR5" s="74" t="s">
        <v>178</v>
      </c>
      <c r="AS5" s="74" t="s">
        <v>179</v>
      </c>
      <c r="AT5" s="74" t="s">
        <v>180</v>
      </c>
      <c r="AU5" s="74" t="s">
        <v>181</v>
      </c>
      <c r="AV5" s="74" t="s">
        <v>182</v>
      </c>
      <c r="AW5" s="74" t="s">
        <v>183</v>
      </c>
      <c r="AX5" s="74" t="s">
        <v>184</v>
      </c>
      <c r="AY5" s="74" t="s">
        <v>185</v>
      </c>
      <c r="AZ5" s="74" t="s">
        <v>186</v>
      </c>
      <c r="BA5" s="74" t="s">
        <v>187</v>
      </c>
      <c r="BB5" s="74" t="s">
        <v>188</v>
      </c>
      <c r="BC5" s="74" t="s">
        <v>189</v>
      </c>
      <c r="BD5" s="74" t="s">
        <v>190</v>
      </c>
      <c r="BE5" s="74" t="s">
        <v>191</v>
      </c>
      <c r="BF5" s="74" t="s">
        <v>192</v>
      </c>
      <c r="BG5" s="74" t="s">
        <v>193</v>
      </c>
      <c r="BH5" s="74" t="s">
        <v>194</v>
      </c>
      <c r="BI5" s="74" t="s">
        <v>195</v>
      </c>
      <c r="BJ5" s="74" t="s">
        <v>196</v>
      </c>
      <c r="BK5" s="74" t="s">
        <v>197</v>
      </c>
      <c r="BL5" s="74" t="s">
        <v>198</v>
      </c>
      <c r="BM5" s="74" t="s">
        <v>199</v>
      </c>
      <c r="BN5" s="74" t="s">
        <v>200</v>
      </c>
      <c r="BO5" s="74" t="s">
        <v>201</v>
      </c>
      <c r="BP5" s="74" t="s">
        <v>202</v>
      </c>
      <c r="BQ5" s="74" t="s">
        <v>203</v>
      </c>
      <c r="BR5" s="74" t="s">
        <v>204</v>
      </c>
      <c r="BS5" s="74" t="s">
        <v>205</v>
      </c>
      <c r="BT5" s="74" t="s">
        <v>206</v>
      </c>
      <c r="BU5" s="74" t="s">
        <v>207</v>
      </c>
      <c r="BV5" s="74" t="s">
        <v>208</v>
      </c>
      <c r="BW5" s="74" t="s">
        <v>209</v>
      </c>
      <c r="BX5" s="74" t="s">
        <v>210</v>
      </c>
      <c r="BY5" s="74" t="s">
        <v>211</v>
      </c>
      <c r="BZ5" s="74" t="s">
        <v>212</v>
      </c>
      <c r="CA5" s="74" t="s">
        <v>213</v>
      </c>
      <c r="CB5" s="74" t="s">
        <v>214</v>
      </c>
      <c r="CC5" s="74" t="s">
        <v>215</v>
      </c>
      <c r="CD5" s="74" t="s">
        <v>216</v>
      </c>
      <c r="CE5" s="74" t="s">
        <v>217</v>
      </c>
    </row>
    <row r="6" spans="1:83" s="77" customFormat="1" ht="7.5" customHeight="1" thickTop="1" x14ac:dyDescent="0.75">
      <c r="A6" s="64"/>
      <c r="B6" s="79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</row>
    <row r="7" spans="1:83" ht="14.25" customHeight="1" x14ac:dyDescent="0.75">
      <c r="A7" s="64"/>
      <c r="B7" s="81" t="s">
        <v>219</v>
      </c>
      <c r="C7" s="82"/>
      <c r="D7" s="82"/>
      <c r="E7" s="136"/>
      <c r="F7" s="136"/>
      <c r="G7" s="136"/>
      <c r="H7" s="136"/>
      <c r="I7" s="136">
        <v>12.4</v>
      </c>
      <c r="J7" s="136">
        <v>6.6</v>
      </c>
      <c r="K7" s="136">
        <v>4.0999999999999996</v>
      </c>
      <c r="L7" s="136">
        <v>7.4</v>
      </c>
      <c r="M7" s="136">
        <v>9.4</v>
      </c>
      <c r="N7" s="136">
        <v>14.2</v>
      </c>
      <c r="O7" s="136">
        <v>11.8</v>
      </c>
      <c r="P7" s="136">
        <v>10</v>
      </c>
      <c r="Q7" s="136">
        <v>9.6999999999999993</v>
      </c>
      <c r="R7" s="136">
        <v>2.6</v>
      </c>
      <c r="S7" s="136">
        <v>3.9</v>
      </c>
      <c r="T7" s="136">
        <v>4</v>
      </c>
      <c r="U7" s="136">
        <v>4.4000000000000004</v>
      </c>
      <c r="V7" s="136">
        <v>7</v>
      </c>
      <c r="W7" s="136">
        <v>6.7</v>
      </c>
      <c r="X7" s="136">
        <v>7.6</v>
      </c>
      <c r="Y7" s="136">
        <v>8.3000000000000007</v>
      </c>
      <c r="Z7" s="136">
        <v>4.5</v>
      </c>
      <c r="AA7" s="136">
        <v>9</v>
      </c>
      <c r="AB7" s="136">
        <v>6.3</v>
      </c>
      <c r="AC7" s="136">
        <v>8.1999999999999993</v>
      </c>
      <c r="AD7" s="136">
        <v>10.6</v>
      </c>
      <c r="AE7" s="136">
        <v>7</v>
      </c>
      <c r="AF7" s="136">
        <v>8.9</v>
      </c>
      <c r="AG7" s="136">
        <v>3.7</v>
      </c>
      <c r="AH7" s="136">
        <v>6.7</v>
      </c>
      <c r="AI7" s="136">
        <v>1.7</v>
      </c>
      <c r="AJ7" s="136">
        <v>2.7</v>
      </c>
      <c r="AK7" s="136">
        <v>6.5</v>
      </c>
      <c r="AL7" s="136">
        <v>7.6</v>
      </c>
      <c r="AM7" s="136">
        <v>-2</v>
      </c>
      <c r="AN7" s="136">
        <v>15.8</v>
      </c>
      <c r="AO7" s="136">
        <v>8.4</v>
      </c>
      <c r="AP7" s="136">
        <v>9</v>
      </c>
      <c r="AQ7" s="136">
        <v>8.8000000000000007</v>
      </c>
      <c r="AR7" s="136">
        <v>8.8000000000000007</v>
      </c>
      <c r="AS7" s="136">
        <v>8.8000000000000007</v>
      </c>
      <c r="AT7" s="136">
        <v>7.1</v>
      </c>
      <c r="AU7" s="136">
        <v>4.5</v>
      </c>
      <c r="AV7" s="136">
        <v>2.8</v>
      </c>
      <c r="AW7" s="136">
        <v>2.2000000000000002</v>
      </c>
      <c r="AX7" s="136">
        <v>5.3</v>
      </c>
      <c r="AY7" s="136">
        <v>4.3</v>
      </c>
      <c r="AZ7" s="136">
        <v>7</v>
      </c>
      <c r="BA7" s="136">
        <v>7.9</v>
      </c>
      <c r="BB7" s="136">
        <v>6.5</v>
      </c>
      <c r="BC7" s="136">
        <v>8.8000000000000007</v>
      </c>
      <c r="BD7" s="136">
        <v>9.5</v>
      </c>
      <c r="BE7" s="136">
        <v>7.1</v>
      </c>
      <c r="BF7" s="136">
        <v>13.6</v>
      </c>
      <c r="BG7" s="136">
        <v>12.5</v>
      </c>
      <c r="BH7" s="136">
        <v>7.1</v>
      </c>
      <c r="BI7" s="136">
        <v>3.2</v>
      </c>
      <c r="BJ7" s="136">
        <v>-15.4</v>
      </c>
      <c r="BK7" s="136">
        <v>-8.1</v>
      </c>
      <c r="BL7" s="136">
        <v>-2.4</v>
      </c>
      <c r="BM7" s="136">
        <v>1.3</v>
      </c>
      <c r="BN7" s="136">
        <v>20.9</v>
      </c>
      <c r="BO7" s="136">
        <v>6.6</v>
      </c>
      <c r="BP7" s="136">
        <v>7.4</v>
      </c>
      <c r="BQ7" s="136">
        <v>9.9</v>
      </c>
      <c r="BR7" s="136">
        <v>11.6</v>
      </c>
      <c r="BS7" s="136">
        <v>11.5</v>
      </c>
      <c r="BT7" s="136">
        <v>6.8</v>
      </c>
      <c r="BU7" s="136">
        <v>7.7</v>
      </c>
      <c r="BV7" s="136">
        <v>2.6</v>
      </c>
      <c r="BW7" s="136">
        <v>10.6</v>
      </c>
      <c r="BX7" s="136">
        <v>13.5</v>
      </c>
      <c r="BY7" s="136">
        <v>8.1</v>
      </c>
      <c r="BZ7" s="136">
        <v>10.3</v>
      </c>
      <c r="CA7" s="136">
        <v>6.8</v>
      </c>
      <c r="CB7" s="136">
        <v>4.2</v>
      </c>
      <c r="CC7" s="136">
        <v>6.5</v>
      </c>
      <c r="CD7" s="136">
        <v>7.8</v>
      </c>
      <c r="CE7" s="136">
        <v>11.8</v>
      </c>
    </row>
    <row r="8" spans="1:83" s="77" customFormat="1" ht="7.5" customHeight="1" x14ac:dyDescent="0.75">
      <c r="A8" s="64"/>
      <c r="B8" s="79"/>
      <c r="C8" s="80"/>
      <c r="D8" s="80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7"/>
      <c r="BF8" s="137"/>
      <c r="BG8" s="137"/>
      <c r="BH8" s="137"/>
      <c r="BI8" s="137"/>
      <c r="BJ8" s="137"/>
      <c r="BK8" s="137"/>
      <c r="BL8" s="137"/>
      <c r="BM8" s="137"/>
      <c r="BN8" s="137"/>
      <c r="BO8" s="137"/>
      <c r="BP8" s="137"/>
      <c r="BQ8" s="137"/>
      <c r="BR8" s="137"/>
      <c r="BS8" s="137"/>
      <c r="BT8" s="137"/>
      <c r="BU8" s="137"/>
      <c r="BV8" s="137"/>
      <c r="BW8" s="137"/>
      <c r="BX8" s="137"/>
      <c r="BY8" s="137"/>
      <c r="BZ8" s="137"/>
      <c r="CA8" s="137"/>
      <c r="CB8" s="137"/>
      <c r="CC8" s="137"/>
      <c r="CD8" s="137"/>
      <c r="CE8" s="137"/>
    </row>
    <row r="9" spans="1:83" ht="14.25" customHeight="1" x14ac:dyDescent="0.75">
      <c r="A9" s="64"/>
      <c r="B9" s="81" t="s">
        <v>222</v>
      </c>
      <c r="C9" s="82" t="s">
        <v>223</v>
      </c>
      <c r="D9" s="82"/>
      <c r="E9" s="136"/>
      <c r="F9" s="136"/>
      <c r="G9" s="136"/>
      <c r="H9" s="136"/>
      <c r="I9" s="136">
        <v>1.1000000000000001</v>
      </c>
      <c r="J9" s="136">
        <v>0.1</v>
      </c>
      <c r="K9" s="136">
        <v>-0.7</v>
      </c>
      <c r="L9" s="136">
        <v>-1.4</v>
      </c>
      <c r="M9" s="136">
        <v>2.6</v>
      </c>
      <c r="N9" s="136">
        <v>3.9</v>
      </c>
      <c r="O9" s="136">
        <v>1.8</v>
      </c>
      <c r="P9" s="136">
        <v>1.4</v>
      </c>
      <c r="Q9" s="136">
        <v>1.5</v>
      </c>
      <c r="R9" s="136">
        <v>0.9</v>
      </c>
      <c r="S9" s="136">
        <v>1.5</v>
      </c>
      <c r="T9" s="136">
        <v>1.6</v>
      </c>
      <c r="U9" s="136">
        <v>1.4</v>
      </c>
      <c r="V9" s="136">
        <v>1.3</v>
      </c>
      <c r="W9" s="136">
        <v>2.2000000000000002</v>
      </c>
      <c r="X9" s="136">
        <v>1.6</v>
      </c>
      <c r="Y9" s="136">
        <v>1</v>
      </c>
      <c r="Z9" s="136">
        <v>0.5</v>
      </c>
      <c r="AA9" s="136">
        <v>1.7</v>
      </c>
      <c r="AB9" s="136">
        <v>0.7</v>
      </c>
      <c r="AC9" s="136">
        <v>1.8</v>
      </c>
      <c r="AD9" s="136">
        <v>2.2000000000000002</v>
      </c>
      <c r="AE9" s="136">
        <v>0.7</v>
      </c>
      <c r="AF9" s="136">
        <v>3.3</v>
      </c>
      <c r="AG9" s="136">
        <v>1.9</v>
      </c>
      <c r="AH9" s="136">
        <v>2.2000000000000002</v>
      </c>
      <c r="AI9" s="136">
        <v>0.1</v>
      </c>
      <c r="AJ9" s="136">
        <v>-0.6</v>
      </c>
      <c r="AK9" s="136">
        <v>0.2</v>
      </c>
      <c r="AL9" s="136">
        <v>2.8</v>
      </c>
      <c r="AM9" s="136">
        <v>-9.5</v>
      </c>
      <c r="AN9" s="136">
        <v>11.4</v>
      </c>
      <c r="AO9" s="136">
        <v>1.8</v>
      </c>
      <c r="AP9" s="136">
        <v>1.8</v>
      </c>
      <c r="AQ9" s="136">
        <v>1.1000000000000001</v>
      </c>
      <c r="AR9" s="136">
        <v>0.6</v>
      </c>
      <c r="AS9" s="136">
        <v>0.7</v>
      </c>
      <c r="AT9" s="136">
        <v>-0.1</v>
      </c>
      <c r="AU9" s="136">
        <v>1</v>
      </c>
      <c r="AV9" s="136">
        <v>1.3</v>
      </c>
      <c r="AW9" s="136">
        <v>1.8</v>
      </c>
      <c r="AX9" s="136">
        <v>4.2</v>
      </c>
      <c r="AY9" s="136">
        <v>-1.1000000000000001</v>
      </c>
      <c r="AZ9" s="136">
        <v>2.6</v>
      </c>
      <c r="BA9" s="136">
        <v>1.1000000000000001</v>
      </c>
      <c r="BB9" s="136">
        <v>1.1000000000000001</v>
      </c>
      <c r="BC9" s="136">
        <v>1.1000000000000001</v>
      </c>
      <c r="BD9" s="136">
        <v>1.4</v>
      </c>
      <c r="BE9" s="136">
        <v>1</v>
      </c>
      <c r="BF9" s="136">
        <v>2.5</v>
      </c>
      <c r="BG9" s="136">
        <v>1.5</v>
      </c>
      <c r="BH9" s="136">
        <v>-0.4</v>
      </c>
      <c r="BI9" s="136">
        <v>0.4</v>
      </c>
      <c r="BJ9" s="136">
        <v>0.4</v>
      </c>
      <c r="BK9" s="136">
        <v>0.9</v>
      </c>
      <c r="BL9" s="136">
        <v>1.2</v>
      </c>
      <c r="BM9" s="136">
        <v>0.6</v>
      </c>
      <c r="BN9" s="136">
        <v>1.4</v>
      </c>
      <c r="BO9" s="136">
        <v>1</v>
      </c>
      <c r="BP9" s="136">
        <v>0.6</v>
      </c>
      <c r="BQ9" s="136">
        <v>-0.1</v>
      </c>
      <c r="BR9" s="136">
        <v>0.2</v>
      </c>
      <c r="BS9" s="136">
        <v>0.3</v>
      </c>
      <c r="BT9" s="136">
        <v>0</v>
      </c>
      <c r="BU9" s="136">
        <v>0.9</v>
      </c>
      <c r="BV9" s="136">
        <v>0.4</v>
      </c>
      <c r="BW9" s="136">
        <v>1.3</v>
      </c>
      <c r="BX9" s="136">
        <v>1.8</v>
      </c>
      <c r="BY9" s="136">
        <v>1.2</v>
      </c>
      <c r="BZ9" s="136">
        <v>0.9</v>
      </c>
      <c r="CA9" s="136">
        <v>0.4</v>
      </c>
      <c r="CB9" s="136">
        <v>0.3</v>
      </c>
      <c r="CC9" s="136">
        <v>0.8</v>
      </c>
      <c r="CD9" s="136">
        <v>1.7</v>
      </c>
      <c r="CE9" s="136">
        <v>1.5</v>
      </c>
    </row>
    <row r="10" spans="1:83" ht="13.5" customHeight="1" x14ac:dyDescent="0.75">
      <c r="A10" s="68"/>
      <c r="B10" s="67" t="s">
        <v>224</v>
      </c>
      <c r="C10" s="66" t="s">
        <v>225</v>
      </c>
      <c r="D10" s="66"/>
      <c r="E10" s="138"/>
      <c r="F10" s="138"/>
      <c r="G10" s="138"/>
      <c r="H10" s="138"/>
      <c r="I10" s="138">
        <v>1.9</v>
      </c>
      <c r="J10" s="138">
        <v>1.8</v>
      </c>
      <c r="K10" s="138">
        <v>-0.1</v>
      </c>
      <c r="L10" s="138">
        <v>-0.1</v>
      </c>
      <c r="M10" s="138">
        <v>1.8</v>
      </c>
      <c r="N10" s="138">
        <v>1.7</v>
      </c>
      <c r="O10" s="138">
        <v>0.6</v>
      </c>
      <c r="P10" s="138">
        <v>0.6</v>
      </c>
      <c r="Q10" s="138">
        <v>1.7</v>
      </c>
      <c r="R10" s="138">
        <v>1.6</v>
      </c>
      <c r="S10" s="138">
        <v>1.7</v>
      </c>
      <c r="T10" s="138">
        <v>1.7</v>
      </c>
      <c r="U10" s="138">
        <v>0.7</v>
      </c>
      <c r="V10" s="138">
        <v>0.7</v>
      </c>
      <c r="W10" s="138">
        <v>1.1000000000000001</v>
      </c>
      <c r="X10" s="138">
        <v>1.1000000000000001</v>
      </c>
      <c r="Y10" s="138">
        <v>1.3</v>
      </c>
      <c r="Z10" s="138">
        <v>1.3</v>
      </c>
      <c r="AA10" s="138">
        <v>0</v>
      </c>
      <c r="AB10" s="138">
        <v>0</v>
      </c>
      <c r="AC10" s="138">
        <v>1.9</v>
      </c>
      <c r="AD10" s="138">
        <v>2</v>
      </c>
      <c r="AE10" s="138">
        <v>0.9</v>
      </c>
      <c r="AF10" s="138">
        <v>0.9</v>
      </c>
      <c r="AG10" s="138">
        <v>1.3</v>
      </c>
      <c r="AH10" s="138">
        <v>1.3</v>
      </c>
      <c r="AI10" s="138">
        <v>0.1</v>
      </c>
      <c r="AJ10" s="138">
        <v>0.1</v>
      </c>
      <c r="AK10" s="138">
        <v>-0.2</v>
      </c>
      <c r="AL10" s="138">
        <v>2.6</v>
      </c>
      <c r="AM10" s="138">
        <v>-10</v>
      </c>
      <c r="AN10" s="138">
        <v>11.2</v>
      </c>
      <c r="AO10" s="138">
        <v>1.3</v>
      </c>
      <c r="AP10" s="138">
        <v>0.9</v>
      </c>
      <c r="AQ10" s="138">
        <v>0</v>
      </c>
      <c r="AR10" s="138">
        <v>0</v>
      </c>
      <c r="AS10" s="138">
        <v>-0.8</v>
      </c>
      <c r="AT10" s="138">
        <v>0</v>
      </c>
      <c r="AU10" s="138">
        <v>0.9</v>
      </c>
      <c r="AV10" s="138">
        <v>0.9</v>
      </c>
      <c r="AW10" s="138">
        <v>2</v>
      </c>
      <c r="AX10" s="138">
        <v>3.4</v>
      </c>
      <c r="AY10" s="138">
        <v>-1.3</v>
      </c>
      <c r="AZ10" s="138">
        <v>1.7</v>
      </c>
      <c r="BA10" s="138">
        <v>-0.1</v>
      </c>
      <c r="BB10" s="138">
        <v>0.7</v>
      </c>
      <c r="BC10" s="138">
        <v>0.4</v>
      </c>
      <c r="BD10" s="138">
        <v>1</v>
      </c>
      <c r="BE10" s="138">
        <v>0.7</v>
      </c>
      <c r="BF10" s="138">
        <v>1.8</v>
      </c>
      <c r="BG10" s="138">
        <v>0.3</v>
      </c>
      <c r="BH10" s="138">
        <v>-0.8</v>
      </c>
      <c r="BI10" s="138">
        <v>0.3</v>
      </c>
      <c r="BJ10" s="138">
        <v>0.6</v>
      </c>
      <c r="BK10" s="138">
        <v>0.8</v>
      </c>
      <c r="BL10" s="138">
        <v>0.9</v>
      </c>
      <c r="BM10" s="138">
        <v>0</v>
      </c>
      <c r="BN10" s="138">
        <v>0.2</v>
      </c>
      <c r="BO10" s="138">
        <v>0.2</v>
      </c>
      <c r="BP10" s="138">
        <v>-0.1</v>
      </c>
      <c r="BQ10" s="138">
        <v>-0.2</v>
      </c>
      <c r="BR10" s="138">
        <v>-0.7</v>
      </c>
      <c r="BS10" s="138">
        <v>0.2</v>
      </c>
      <c r="BT10" s="138">
        <v>-0.5</v>
      </c>
      <c r="BU10" s="138">
        <v>0.4</v>
      </c>
      <c r="BV10" s="138">
        <v>0.3</v>
      </c>
      <c r="BW10" s="138">
        <v>1</v>
      </c>
      <c r="BX10" s="138">
        <v>1.1000000000000001</v>
      </c>
      <c r="BY10" s="138">
        <v>0.5</v>
      </c>
      <c r="BZ10" s="138">
        <v>0.4</v>
      </c>
      <c r="CA10" s="138">
        <v>-0.5</v>
      </c>
      <c r="CB10" s="138">
        <v>-0.1</v>
      </c>
      <c r="CC10" s="138">
        <v>0.2</v>
      </c>
      <c r="CD10" s="138">
        <v>0.5</v>
      </c>
      <c r="CE10" s="138">
        <v>0.2</v>
      </c>
    </row>
    <row r="11" spans="1:83" ht="13.5" customHeight="1" x14ac:dyDescent="0.75">
      <c r="A11" s="68"/>
      <c r="B11" s="67" t="s">
        <v>226</v>
      </c>
      <c r="C11" s="66" t="s">
        <v>227</v>
      </c>
      <c r="D11" s="66"/>
      <c r="E11" s="138"/>
      <c r="F11" s="138"/>
      <c r="G11" s="138"/>
      <c r="H11" s="138"/>
      <c r="I11" s="138">
        <v>-1.1000000000000001</v>
      </c>
      <c r="J11" s="138">
        <v>-2</v>
      </c>
      <c r="K11" s="138">
        <v>-0.8</v>
      </c>
      <c r="L11" s="138">
        <v>-1.6</v>
      </c>
      <c r="M11" s="138">
        <v>0.5</v>
      </c>
      <c r="N11" s="138">
        <v>1.8</v>
      </c>
      <c r="O11" s="138">
        <v>0.8</v>
      </c>
      <c r="P11" s="138">
        <v>0.5</v>
      </c>
      <c r="Q11" s="138">
        <v>-0.5</v>
      </c>
      <c r="R11" s="138">
        <v>-1</v>
      </c>
      <c r="S11" s="138">
        <v>-0.4</v>
      </c>
      <c r="T11" s="138">
        <v>-0.4</v>
      </c>
      <c r="U11" s="138">
        <v>0.4</v>
      </c>
      <c r="V11" s="138">
        <v>0.3</v>
      </c>
      <c r="W11" s="138">
        <v>0.8</v>
      </c>
      <c r="X11" s="138">
        <v>0.2</v>
      </c>
      <c r="Y11" s="138">
        <v>-0.6</v>
      </c>
      <c r="Z11" s="138">
        <v>-1</v>
      </c>
      <c r="AA11" s="138">
        <v>1.5</v>
      </c>
      <c r="AB11" s="138">
        <v>0.4</v>
      </c>
      <c r="AC11" s="138">
        <v>-0.4</v>
      </c>
      <c r="AD11" s="138">
        <v>-0.1</v>
      </c>
      <c r="AE11" s="138">
        <v>-0.6</v>
      </c>
      <c r="AF11" s="138">
        <v>2</v>
      </c>
      <c r="AG11" s="138">
        <v>0.3</v>
      </c>
      <c r="AH11" s="138">
        <v>0.6</v>
      </c>
      <c r="AI11" s="138">
        <v>-0.4</v>
      </c>
      <c r="AJ11" s="138">
        <v>-0.9</v>
      </c>
      <c r="AK11" s="138">
        <v>0</v>
      </c>
      <c r="AL11" s="138">
        <v>-0.1</v>
      </c>
      <c r="AM11" s="138">
        <v>0.1</v>
      </c>
      <c r="AN11" s="138">
        <v>-0.2</v>
      </c>
      <c r="AO11" s="138">
        <v>0.1</v>
      </c>
      <c r="AP11" s="138">
        <v>0.5</v>
      </c>
      <c r="AQ11" s="138">
        <v>0.6</v>
      </c>
      <c r="AR11" s="138">
        <v>0.2</v>
      </c>
      <c r="AS11" s="138">
        <v>1.1000000000000001</v>
      </c>
      <c r="AT11" s="138">
        <v>-0.5</v>
      </c>
      <c r="AU11" s="138">
        <v>-0.4</v>
      </c>
      <c r="AV11" s="138">
        <v>0</v>
      </c>
      <c r="AW11" s="138">
        <v>-0.6</v>
      </c>
      <c r="AX11" s="138">
        <v>0.4</v>
      </c>
      <c r="AY11" s="138">
        <v>-0.2</v>
      </c>
      <c r="AZ11" s="138">
        <v>0.5</v>
      </c>
      <c r="BA11" s="138">
        <v>0.7</v>
      </c>
      <c r="BB11" s="138">
        <v>0</v>
      </c>
      <c r="BC11" s="138">
        <v>0.1</v>
      </c>
      <c r="BD11" s="138">
        <v>-0.1</v>
      </c>
      <c r="BE11" s="138">
        <v>-0.2</v>
      </c>
      <c r="BF11" s="138">
        <v>0.1</v>
      </c>
      <c r="BG11" s="138">
        <v>0.6</v>
      </c>
      <c r="BH11" s="138">
        <v>-0.1</v>
      </c>
      <c r="BI11" s="138">
        <v>-0.3</v>
      </c>
      <c r="BJ11" s="138">
        <v>-0.3</v>
      </c>
      <c r="BK11" s="138">
        <v>-0.3</v>
      </c>
      <c r="BL11" s="138">
        <v>0</v>
      </c>
      <c r="BM11" s="138">
        <v>0.1</v>
      </c>
      <c r="BN11" s="138">
        <v>0.7</v>
      </c>
      <c r="BO11" s="138">
        <v>0.1</v>
      </c>
      <c r="BP11" s="138">
        <v>0.4</v>
      </c>
      <c r="BQ11" s="138">
        <v>-0.4</v>
      </c>
      <c r="BR11" s="138">
        <v>0.1</v>
      </c>
      <c r="BS11" s="138">
        <v>-0.1</v>
      </c>
      <c r="BT11" s="138">
        <v>0.1</v>
      </c>
      <c r="BU11" s="138">
        <v>0.2</v>
      </c>
      <c r="BV11" s="138">
        <v>0</v>
      </c>
      <c r="BW11" s="138">
        <v>-0.3</v>
      </c>
      <c r="BX11" s="138">
        <v>0</v>
      </c>
      <c r="BY11" s="138">
        <v>0.1</v>
      </c>
      <c r="BZ11" s="138">
        <v>0</v>
      </c>
      <c r="CA11" s="138">
        <v>0.3</v>
      </c>
      <c r="CB11" s="138">
        <v>-0.2</v>
      </c>
      <c r="CC11" s="138">
        <v>0</v>
      </c>
      <c r="CD11" s="138">
        <v>0.7</v>
      </c>
      <c r="CE11" s="138">
        <v>0.8</v>
      </c>
    </row>
    <row r="12" spans="1:83" ht="13.5" customHeight="1" x14ac:dyDescent="0.75">
      <c r="A12" s="68"/>
      <c r="B12" s="67" t="s">
        <v>228</v>
      </c>
      <c r="C12" s="66" t="s">
        <v>229</v>
      </c>
      <c r="D12" s="66"/>
      <c r="E12" s="138"/>
      <c r="F12" s="138"/>
      <c r="G12" s="138"/>
      <c r="H12" s="138"/>
      <c r="I12" s="138">
        <v>0.1</v>
      </c>
      <c r="J12" s="138">
        <v>0.1</v>
      </c>
      <c r="K12" s="138">
        <v>0.1</v>
      </c>
      <c r="L12" s="138">
        <v>0.1</v>
      </c>
      <c r="M12" s="138">
        <v>0.1</v>
      </c>
      <c r="N12" s="138">
        <v>0.1</v>
      </c>
      <c r="O12" s="138">
        <v>0.1</v>
      </c>
      <c r="P12" s="138">
        <v>0.1</v>
      </c>
      <c r="Q12" s="138">
        <v>0.1</v>
      </c>
      <c r="R12" s="138">
        <v>0.1</v>
      </c>
      <c r="S12" s="138">
        <v>0.1</v>
      </c>
      <c r="T12" s="138">
        <v>0.1</v>
      </c>
      <c r="U12" s="138">
        <v>0.1</v>
      </c>
      <c r="V12" s="138">
        <v>0.1</v>
      </c>
      <c r="W12" s="138">
        <v>0.1</v>
      </c>
      <c r="X12" s="138">
        <v>0.1</v>
      </c>
      <c r="Y12" s="138">
        <v>0.1</v>
      </c>
      <c r="Z12" s="138">
        <v>0.1</v>
      </c>
      <c r="AA12" s="138">
        <v>0.1</v>
      </c>
      <c r="AB12" s="138">
        <v>0.1</v>
      </c>
      <c r="AC12" s="138">
        <v>0.1</v>
      </c>
      <c r="AD12" s="138">
        <v>0.2</v>
      </c>
      <c r="AE12" s="138">
        <v>0.1</v>
      </c>
      <c r="AF12" s="138">
        <v>0.1</v>
      </c>
      <c r="AG12" s="138">
        <v>0.1</v>
      </c>
      <c r="AH12" s="138">
        <v>0.1</v>
      </c>
      <c r="AI12" s="138">
        <v>0.2</v>
      </c>
      <c r="AJ12" s="138">
        <v>0.2</v>
      </c>
      <c r="AK12" s="138">
        <v>0.2</v>
      </c>
      <c r="AL12" s="138">
        <v>0.2</v>
      </c>
      <c r="AM12" s="138">
        <v>0.2</v>
      </c>
      <c r="AN12" s="138">
        <v>0.2</v>
      </c>
      <c r="AO12" s="138">
        <v>0.2</v>
      </c>
      <c r="AP12" s="138">
        <v>0.2</v>
      </c>
      <c r="AQ12" s="138">
        <v>0.2</v>
      </c>
      <c r="AR12" s="138">
        <v>0.2</v>
      </c>
      <c r="AS12" s="138">
        <v>0.2</v>
      </c>
      <c r="AT12" s="138">
        <v>0.2</v>
      </c>
      <c r="AU12" s="138">
        <v>0.2</v>
      </c>
      <c r="AV12" s="138">
        <v>0.2</v>
      </c>
      <c r="AW12" s="138">
        <v>0.2</v>
      </c>
      <c r="AX12" s="138">
        <v>0.2</v>
      </c>
      <c r="AY12" s="138">
        <v>0.3</v>
      </c>
      <c r="AZ12" s="138">
        <v>0.2</v>
      </c>
      <c r="BA12" s="138">
        <v>0.2</v>
      </c>
      <c r="BB12" s="138">
        <v>0.3</v>
      </c>
      <c r="BC12" s="138">
        <v>0.3</v>
      </c>
      <c r="BD12" s="138">
        <v>0.3</v>
      </c>
      <c r="BE12" s="138">
        <v>0.3</v>
      </c>
      <c r="BF12" s="138">
        <v>0.3</v>
      </c>
      <c r="BG12" s="138">
        <v>0.3</v>
      </c>
      <c r="BH12" s="138">
        <v>0.3</v>
      </c>
      <c r="BI12" s="138">
        <v>0.2</v>
      </c>
      <c r="BJ12" s="138">
        <v>0.2</v>
      </c>
      <c r="BK12" s="138">
        <v>0.2</v>
      </c>
      <c r="BL12" s="138">
        <v>0.2</v>
      </c>
      <c r="BM12" s="138">
        <v>0.2</v>
      </c>
      <c r="BN12" s="138">
        <v>0.1</v>
      </c>
      <c r="BO12" s="138">
        <v>0.4</v>
      </c>
      <c r="BP12" s="138">
        <v>0</v>
      </c>
      <c r="BQ12" s="138">
        <v>0.2</v>
      </c>
      <c r="BR12" s="138">
        <v>0.4</v>
      </c>
      <c r="BS12" s="138">
        <v>-0.1</v>
      </c>
      <c r="BT12" s="138">
        <v>0.2</v>
      </c>
      <c r="BU12" s="138">
        <v>0</v>
      </c>
      <c r="BV12" s="138">
        <v>0</v>
      </c>
      <c r="BW12" s="138">
        <v>0.4</v>
      </c>
      <c r="BX12" s="138">
        <v>0.4</v>
      </c>
      <c r="BY12" s="138">
        <v>0.4</v>
      </c>
      <c r="BZ12" s="138">
        <v>0.4</v>
      </c>
      <c r="CA12" s="138">
        <v>0.4</v>
      </c>
      <c r="CB12" s="138">
        <v>0.3</v>
      </c>
      <c r="CC12" s="138">
        <v>0.3</v>
      </c>
      <c r="CD12" s="138">
        <v>0.3</v>
      </c>
      <c r="CE12" s="138">
        <v>0.2</v>
      </c>
    </row>
    <row r="13" spans="1:83" ht="13.5" customHeight="1" x14ac:dyDescent="0.75">
      <c r="A13" s="68"/>
      <c r="B13" s="67" t="s">
        <v>230</v>
      </c>
      <c r="C13" s="66" t="s">
        <v>231</v>
      </c>
      <c r="D13" s="66"/>
      <c r="E13" s="138"/>
      <c r="F13" s="138"/>
      <c r="G13" s="138"/>
      <c r="H13" s="138"/>
      <c r="I13" s="138">
        <v>0.2</v>
      </c>
      <c r="J13" s="138">
        <v>0.2</v>
      </c>
      <c r="K13" s="138">
        <v>0.2</v>
      </c>
      <c r="L13" s="138">
        <v>0.3</v>
      </c>
      <c r="M13" s="138">
        <v>0.2</v>
      </c>
      <c r="N13" s="138">
        <v>0.3</v>
      </c>
      <c r="O13" s="138">
        <v>0.2</v>
      </c>
      <c r="P13" s="138">
        <v>0.2</v>
      </c>
      <c r="Q13" s="138">
        <v>0.2</v>
      </c>
      <c r="R13" s="138">
        <v>0.1</v>
      </c>
      <c r="S13" s="138">
        <v>0.1</v>
      </c>
      <c r="T13" s="138">
        <v>0.2</v>
      </c>
      <c r="U13" s="138">
        <v>0.2</v>
      </c>
      <c r="V13" s="138">
        <v>0.2</v>
      </c>
      <c r="W13" s="138">
        <v>0.2</v>
      </c>
      <c r="X13" s="138">
        <v>0.2</v>
      </c>
      <c r="Y13" s="138">
        <v>0.2</v>
      </c>
      <c r="Z13" s="138">
        <v>0.1</v>
      </c>
      <c r="AA13" s="138">
        <v>0.1</v>
      </c>
      <c r="AB13" s="138">
        <v>0.1</v>
      </c>
      <c r="AC13" s="138">
        <v>0.1</v>
      </c>
      <c r="AD13" s="138">
        <v>0.2</v>
      </c>
      <c r="AE13" s="138">
        <v>0.2</v>
      </c>
      <c r="AF13" s="138">
        <v>0.2</v>
      </c>
      <c r="AG13" s="138">
        <v>0.2</v>
      </c>
      <c r="AH13" s="138">
        <v>0.2</v>
      </c>
      <c r="AI13" s="138">
        <v>0.2</v>
      </c>
      <c r="AJ13" s="138">
        <v>0.1</v>
      </c>
      <c r="AK13" s="138">
        <v>0.2</v>
      </c>
      <c r="AL13" s="138">
        <v>0.2</v>
      </c>
      <c r="AM13" s="138">
        <v>0.2</v>
      </c>
      <c r="AN13" s="138">
        <v>0.2</v>
      </c>
      <c r="AO13" s="138">
        <v>0.2</v>
      </c>
      <c r="AP13" s="138">
        <v>0.2</v>
      </c>
      <c r="AQ13" s="138">
        <v>0.2</v>
      </c>
      <c r="AR13" s="138">
        <v>0.2</v>
      </c>
      <c r="AS13" s="138">
        <v>0.2</v>
      </c>
      <c r="AT13" s="138">
        <v>0.2</v>
      </c>
      <c r="AU13" s="138">
        <v>0.2</v>
      </c>
      <c r="AV13" s="138">
        <v>0.1</v>
      </c>
      <c r="AW13" s="138">
        <v>0.1</v>
      </c>
      <c r="AX13" s="138">
        <v>0.1</v>
      </c>
      <c r="AY13" s="138">
        <v>0.1</v>
      </c>
      <c r="AZ13" s="138">
        <v>0.2</v>
      </c>
      <c r="BA13" s="138">
        <v>0.2</v>
      </c>
      <c r="BB13" s="138">
        <v>0.2</v>
      </c>
      <c r="BC13" s="138">
        <v>0.2</v>
      </c>
      <c r="BD13" s="138">
        <v>0.2</v>
      </c>
      <c r="BE13" s="138">
        <v>0.2</v>
      </c>
      <c r="BF13" s="138">
        <v>0.3</v>
      </c>
      <c r="BG13" s="138">
        <v>0.3</v>
      </c>
      <c r="BH13" s="138">
        <v>0.2</v>
      </c>
      <c r="BI13" s="138">
        <v>0.2</v>
      </c>
      <c r="BJ13" s="138">
        <v>0.1</v>
      </c>
      <c r="BK13" s="138">
        <v>0.2</v>
      </c>
      <c r="BL13" s="138">
        <v>0.2</v>
      </c>
      <c r="BM13" s="138">
        <v>0.2</v>
      </c>
      <c r="BN13" s="138">
        <v>0.2</v>
      </c>
      <c r="BO13" s="138">
        <v>0.2</v>
      </c>
      <c r="BP13" s="138">
        <v>0.2</v>
      </c>
      <c r="BQ13" s="138">
        <v>0.3</v>
      </c>
      <c r="BR13" s="138">
        <v>0.3</v>
      </c>
      <c r="BS13" s="138">
        <v>0.3</v>
      </c>
      <c r="BT13" s="138">
        <v>0.3</v>
      </c>
      <c r="BU13" s="138">
        <v>0.2</v>
      </c>
      <c r="BV13" s="138">
        <v>0.2</v>
      </c>
      <c r="BW13" s="138">
        <v>0.3</v>
      </c>
      <c r="BX13" s="138">
        <v>0.2</v>
      </c>
      <c r="BY13" s="138">
        <v>0.3</v>
      </c>
      <c r="BZ13" s="138">
        <v>0.2</v>
      </c>
      <c r="CA13" s="138">
        <v>0.2</v>
      </c>
      <c r="CB13" s="138">
        <v>0.2</v>
      </c>
      <c r="CC13" s="138">
        <v>0.2</v>
      </c>
      <c r="CD13" s="138">
        <v>0.2</v>
      </c>
      <c r="CE13" s="138">
        <v>0.3</v>
      </c>
    </row>
    <row r="14" spans="1:83" ht="13.5" customHeight="1" x14ac:dyDescent="0.75">
      <c r="A14" s="68"/>
      <c r="B14" s="67" t="s">
        <v>232</v>
      </c>
      <c r="C14" s="66" t="s">
        <v>233</v>
      </c>
      <c r="D14" s="66"/>
      <c r="E14" s="138"/>
      <c r="F14" s="138"/>
      <c r="G14" s="138"/>
      <c r="H14" s="138"/>
      <c r="I14" s="138">
        <v>0</v>
      </c>
      <c r="J14" s="138">
        <v>0</v>
      </c>
      <c r="K14" s="138">
        <v>0</v>
      </c>
      <c r="L14" s="138">
        <v>0</v>
      </c>
      <c r="M14" s="138">
        <v>0</v>
      </c>
      <c r="N14" s="138">
        <v>0</v>
      </c>
      <c r="O14" s="138">
        <v>0</v>
      </c>
      <c r="P14" s="138">
        <v>0</v>
      </c>
      <c r="Q14" s="138">
        <v>0</v>
      </c>
      <c r="R14" s="138">
        <v>0</v>
      </c>
      <c r="S14" s="138">
        <v>0</v>
      </c>
      <c r="T14" s="138">
        <v>0</v>
      </c>
      <c r="U14" s="138">
        <v>0</v>
      </c>
      <c r="V14" s="138">
        <v>0</v>
      </c>
      <c r="W14" s="138">
        <v>0</v>
      </c>
      <c r="X14" s="138">
        <v>0</v>
      </c>
      <c r="Y14" s="138">
        <v>0</v>
      </c>
      <c r="Z14" s="138">
        <v>0</v>
      </c>
      <c r="AA14" s="138">
        <v>0</v>
      </c>
      <c r="AB14" s="138">
        <v>0</v>
      </c>
      <c r="AC14" s="138">
        <v>0</v>
      </c>
      <c r="AD14" s="138">
        <v>0</v>
      </c>
      <c r="AE14" s="138">
        <v>0</v>
      </c>
      <c r="AF14" s="138">
        <v>0</v>
      </c>
      <c r="AG14" s="138">
        <v>0</v>
      </c>
      <c r="AH14" s="138">
        <v>0</v>
      </c>
      <c r="AI14" s="138">
        <v>0</v>
      </c>
      <c r="AJ14" s="138">
        <v>0</v>
      </c>
      <c r="AK14" s="138">
        <v>0</v>
      </c>
      <c r="AL14" s="138">
        <v>0</v>
      </c>
      <c r="AM14" s="138">
        <v>0</v>
      </c>
      <c r="AN14" s="138">
        <v>0</v>
      </c>
      <c r="AO14" s="138">
        <v>0</v>
      </c>
      <c r="AP14" s="138">
        <v>0</v>
      </c>
      <c r="AQ14" s="138">
        <v>0</v>
      </c>
      <c r="AR14" s="138">
        <v>0</v>
      </c>
      <c r="AS14" s="138">
        <v>0</v>
      </c>
      <c r="AT14" s="138">
        <v>0</v>
      </c>
      <c r="AU14" s="138">
        <v>0</v>
      </c>
      <c r="AV14" s="138">
        <v>0</v>
      </c>
      <c r="AW14" s="138">
        <v>0</v>
      </c>
      <c r="AX14" s="138">
        <v>0</v>
      </c>
      <c r="AY14" s="138">
        <v>0</v>
      </c>
      <c r="AZ14" s="138">
        <v>0</v>
      </c>
      <c r="BA14" s="138">
        <v>0</v>
      </c>
      <c r="BB14" s="138">
        <v>0</v>
      </c>
      <c r="BC14" s="138">
        <v>0</v>
      </c>
      <c r="BD14" s="138">
        <v>0</v>
      </c>
      <c r="BE14" s="138">
        <v>0</v>
      </c>
      <c r="BF14" s="138">
        <v>0</v>
      </c>
      <c r="BG14" s="138">
        <v>0</v>
      </c>
      <c r="BH14" s="138">
        <v>0</v>
      </c>
      <c r="BI14" s="138">
        <v>0</v>
      </c>
      <c r="BJ14" s="138">
        <v>-0.2</v>
      </c>
      <c r="BK14" s="138">
        <v>-0.1</v>
      </c>
      <c r="BL14" s="138">
        <v>0</v>
      </c>
      <c r="BM14" s="138">
        <v>0</v>
      </c>
      <c r="BN14" s="138">
        <v>0.2</v>
      </c>
      <c r="BO14" s="138">
        <v>0.1</v>
      </c>
      <c r="BP14" s="138">
        <v>0</v>
      </c>
      <c r="BQ14" s="138">
        <v>0</v>
      </c>
      <c r="BR14" s="138">
        <v>0</v>
      </c>
      <c r="BS14" s="138">
        <v>0</v>
      </c>
      <c r="BT14" s="138">
        <v>0</v>
      </c>
      <c r="BU14" s="138">
        <v>0</v>
      </c>
      <c r="BV14" s="138">
        <v>0</v>
      </c>
      <c r="BW14" s="138">
        <v>0</v>
      </c>
      <c r="BX14" s="138">
        <v>0</v>
      </c>
      <c r="BY14" s="138">
        <v>0</v>
      </c>
      <c r="BZ14" s="138">
        <v>0</v>
      </c>
      <c r="CA14" s="138">
        <v>0</v>
      </c>
      <c r="CB14" s="138">
        <v>0</v>
      </c>
      <c r="CC14" s="138">
        <v>0.1</v>
      </c>
      <c r="CD14" s="138">
        <v>0</v>
      </c>
      <c r="CE14" s="138">
        <v>0.1</v>
      </c>
    </row>
    <row r="15" spans="1:83" ht="14.25" customHeight="1" x14ac:dyDescent="0.75">
      <c r="A15" s="64"/>
      <c r="B15" s="81" t="s">
        <v>234</v>
      </c>
      <c r="C15" s="82" t="s">
        <v>235</v>
      </c>
      <c r="D15" s="82"/>
      <c r="E15" s="136"/>
      <c r="F15" s="136"/>
      <c r="G15" s="136"/>
      <c r="H15" s="136"/>
      <c r="I15" s="136">
        <v>4.4000000000000004</v>
      </c>
      <c r="J15" s="136">
        <v>1.8</v>
      </c>
      <c r="K15" s="136">
        <v>0.9</v>
      </c>
      <c r="L15" s="136">
        <v>1.6</v>
      </c>
      <c r="M15" s="136">
        <v>1</v>
      </c>
      <c r="N15" s="136">
        <v>3.1</v>
      </c>
      <c r="O15" s="136">
        <v>2.1</v>
      </c>
      <c r="P15" s="136">
        <v>0.8</v>
      </c>
      <c r="Q15" s="136">
        <v>1.9</v>
      </c>
      <c r="R15" s="136">
        <v>-1.1000000000000001</v>
      </c>
      <c r="S15" s="136">
        <v>-0.7</v>
      </c>
      <c r="T15" s="136">
        <v>0.1</v>
      </c>
      <c r="U15" s="136">
        <v>0.5</v>
      </c>
      <c r="V15" s="136">
        <v>0.7</v>
      </c>
      <c r="W15" s="136">
        <v>1.2</v>
      </c>
      <c r="X15" s="136">
        <v>1.9</v>
      </c>
      <c r="Y15" s="136">
        <v>3.5</v>
      </c>
      <c r="Z15" s="136">
        <v>2.5</v>
      </c>
      <c r="AA15" s="136">
        <v>3.3</v>
      </c>
      <c r="AB15" s="136">
        <v>3.6</v>
      </c>
      <c r="AC15" s="136">
        <v>0.8</v>
      </c>
      <c r="AD15" s="136">
        <v>2</v>
      </c>
      <c r="AE15" s="136">
        <v>1.9</v>
      </c>
      <c r="AF15" s="136">
        <v>1.9</v>
      </c>
      <c r="AG15" s="136">
        <v>1.2</v>
      </c>
      <c r="AH15" s="136">
        <v>1.7</v>
      </c>
      <c r="AI15" s="136">
        <v>0.3</v>
      </c>
      <c r="AJ15" s="136">
        <v>-0.9</v>
      </c>
      <c r="AK15" s="136">
        <v>1.7</v>
      </c>
      <c r="AL15" s="136">
        <v>1.6</v>
      </c>
      <c r="AM15" s="136">
        <v>3.2</v>
      </c>
      <c r="AN15" s="136">
        <v>1.8</v>
      </c>
      <c r="AO15" s="136">
        <v>1.3</v>
      </c>
      <c r="AP15" s="136">
        <v>1.9</v>
      </c>
      <c r="AQ15" s="136">
        <v>1.7</v>
      </c>
      <c r="AR15" s="136">
        <v>2.8</v>
      </c>
      <c r="AS15" s="136">
        <v>3</v>
      </c>
      <c r="AT15" s="136">
        <v>2</v>
      </c>
      <c r="AU15" s="136">
        <v>0.1</v>
      </c>
      <c r="AV15" s="136">
        <v>-0.3</v>
      </c>
      <c r="AW15" s="136">
        <v>-0.9</v>
      </c>
      <c r="AX15" s="136">
        <v>-0.7</v>
      </c>
      <c r="AY15" s="136">
        <v>0.3</v>
      </c>
      <c r="AZ15" s="136">
        <v>0.4</v>
      </c>
      <c r="BA15" s="136">
        <v>0.2</v>
      </c>
      <c r="BB15" s="136">
        <v>0.9</v>
      </c>
      <c r="BC15" s="136">
        <v>2.2999999999999998</v>
      </c>
      <c r="BD15" s="136">
        <v>2.2999999999999998</v>
      </c>
      <c r="BE15" s="136">
        <v>3.2</v>
      </c>
      <c r="BF15" s="136">
        <v>4.5</v>
      </c>
      <c r="BG15" s="136">
        <v>3.9</v>
      </c>
      <c r="BH15" s="136">
        <v>3.1</v>
      </c>
      <c r="BI15" s="136">
        <v>0.3</v>
      </c>
      <c r="BJ15" s="136">
        <v>-4.0999999999999996</v>
      </c>
      <c r="BK15" s="136">
        <v>-0.6</v>
      </c>
      <c r="BL15" s="136">
        <v>0.1</v>
      </c>
      <c r="BM15" s="136">
        <v>2</v>
      </c>
      <c r="BN15" s="136">
        <v>3.2</v>
      </c>
      <c r="BO15" s="136">
        <v>-1.2</v>
      </c>
      <c r="BP15" s="136">
        <v>0.3</v>
      </c>
      <c r="BQ15" s="136">
        <v>4.0999999999999996</v>
      </c>
      <c r="BR15" s="136">
        <v>7</v>
      </c>
      <c r="BS15" s="136">
        <v>3.3</v>
      </c>
      <c r="BT15" s="136">
        <v>2.7</v>
      </c>
      <c r="BU15" s="136">
        <v>0.6</v>
      </c>
      <c r="BV15" s="136">
        <v>-0.6</v>
      </c>
      <c r="BW15" s="136">
        <v>3.4</v>
      </c>
      <c r="BX15" s="136">
        <v>4.0999999999999996</v>
      </c>
      <c r="BY15" s="136">
        <v>3.9</v>
      </c>
      <c r="BZ15" s="136">
        <v>2.8</v>
      </c>
      <c r="CA15" s="136">
        <v>0.3</v>
      </c>
      <c r="CB15" s="136">
        <v>-0.1</v>
      </c>
      <c r="CC15" s="136">
        <v>1.2</v>
      </c>
      <c r="CD15" s="136">
        <v>1.5</v>
      </c>
      <c r="CE15" s="136">
        <v>3.7</v>
      </c>
    </row>
    <row r="16" spans="1:83" ht="13.5" customHeight="1" x14ac:dyDescent="0.75">
      <c r="A16" s="68"/>
      <c r="B16" s="67" t="s">
        <v>236</v>
      </c>
      <c r="C16" s="66" t="s">
        <v>237</v>
      </c>
      <c r="D16" s="66"/>
      <c r="E16" s="138"/>
      <c r="F16" s="138"/>
      <c r="G16" s="138"/>
      <c r="H16" s="138"/>
      <c r="I16" s="138">
        <v>2</v>
      </c>
      <c r="J16" s="138">
        <v>1</v>
      </c>
      <c r="K16" s="138">
        <v>0.4</v>
      </c>
      <c r="L16" s="138">
        <v>0.8</v>
      </c>
      <c r="M16" s="138">
        <v>-0.8</v>
      </c>
      <c r="N16" s="138">
        <v>0</v>
      </c>
      <c r="O16" s="138">
        <v>-0.3</v>
      </c>
      <c r="P16" s="138">
        <v>-0.9</v>
      </c>
      <c r="Q16" s="138">
        <v>-0.2</v>
      </c>
      <c r="R16" s="138">
        <v>-0.9</v>
      </c>
      <c r="S16" s="138">
        <v>0</v>
      </c>
      <c r="T16" s="138">
        <v>-0.5</v>
      </c>
      <c r="U16" s="138">
        <v>-0.8</v>
      </c>
      <c r="V16" s="138">
        <v>0</v>
      </c>
      <c r="W16" s="138">
        <v>-0.2</v>
      </c>
      <c r="X16" s="138">
        <v>0.2</v>
      </c>
      <c r="Y16" s="138">
        <v>1.2</v>
      </c>
      <c r="Z16" s="138">
        <v>0.2</v>
      </c>
      <c r="AA16" s="138">
        <v>0.6</v>
      </c>
      <c r="AB16" s="138">
        <v>0.9</v>
      </c>
      <c r="AC16" s="138">
        <v>-0.1</v>
      </c>
      <c r="AD16" s="138">
        <v>0</v>
      </c>
      <c r="AE16" s="138">
        <v>-0.2</v>
      </c>
      <c r="AF16" s="138">
        <v>-0.3</v>
      </c>
      <c r="AG16" s="138">
        <v>0.2</v>
      </c>
      <c r="AH16" s="138">
        <v>0.5</v>
      </c>
      <c r="AI16" s="138">
        <v>0.4</v>
      </c>
      <c r="AJ16" s="138">
        <v>0.3</v>
      </c>
      <c r="AK16" s="138">
        <v>0.3</v>
      </c>
      <c r="AL16" s="138">
        <v>0.1</v>
      </c>
      <c r="AM16" s="138">
        <v>1.5</v>
      </c>
      <c r="AN16" s="138">
        <v>0.2</v>
      </c>
      <c r="AO16" s="138">
        <v>-0.1</v>
      </c>
      <c r="AP16" s="138">
        <v>0</v>
      </c>
      <c r="AQ16" s="138">
        <v>-0.8</v>
      </c>
      <c r="AR16" s="138">
        <v>0.3</v>
      </c>
      <c r="AS16" s="138">
        <v>0.2</v>
      </c>
      <c r="AT16" s="138">
        <v>0.5</v>
      </c>
      <c r="AU16" s="138">
        <v>0.1</v>
      </c>
      <c r="AV16" s="138">
        <v>0.1</v>
      </c>
      <c r="AW16" s="138">
        <v>0.3</v>
      </c>
      <c r="AX16" s="138">
        <v>0.1</v>
      </c>
      <c r="AY16" s="138">
        <v>0.6</v>
      </c>
      <c r="AZ16" s="138">
        <v>0.7</v>
      </c>
      <c r="BA16" s="138">
        <v>-0.1</v>
      </c>
      <c r="BB16" s="138">
        <v>0.2</v>
      </c>
      <c r="BC16" s="138">
        <v>0.2</v>
      </c>
      <c r="BD16" s="138">
        <v>0</v>
      </c>
      <c r="BE16" s="138">
        <v>0.3</v>
      </c>
      <c r="BF16" s="138">
        <v>0.3</v>
      </c>
      <c r="BG16" s="138">
        <v>-0.4</v>
      </c>
      <c r="BH16" s="138">
        <v>-0.3</v>
      </c>
      <c r="BI16" s="138">
        <v>-0.6</v>
      </c>
      <c r="BJ16" s="138">
        <v>-1.2</v>
      </c>
      <c r="BK16" s="138">
        <v>-0.6</v>
      </c>
      <c r="BL16" s="138">
        <v>-0.4</v>
      </c>
      <c r="BM16" s="138">
        <v>0.1</v>
      </c>
      <c r="BN16" s="138">
        <v>0.4</v>
      </c>
      <c r="BO16" s="138">
        <v>0.1</v>
      </c>
      <c r="BP16" s="138">
        <v>-0.1</v>
      </c>
      <c r="BQ16" s="138">
        <v>0.4</v>
      </c>
      <c r="BR16" s="138">
        <v>0.7</v>
      </c>
      <c r="BS16" s="138">
        <v>0.3</v>
      </c>
      <c r="BT16" s="138">
        <v>0.3</v>
      </c>
      <c r="BU16" s="138">
        <v>0</v>
      </c>
      <c r="BV16" s="138">
        <v>-0.1</v>
      </c>
      <c r="BW16" s="138">
        <v>0.3</v>
      </c>
      <c r="BX16" s="138">
        <v>0.3</v>
      </c>
      <c r="BY16" s="138">
        <v>0.5</v>
      </c>
      <c r="BZ16" s="138">
        <v>0.2</v>
      </c>
      <c r="CA16" s="138">
        <v>0.1</v>
      </c>
      <c r="CB16" s="138">
        <v>-0.1</v>
      </c>
      <c r="CC16" s="138">
        <v>0</v>
      </c>
      <c r="CD16" s="138">
        <v>0.2</v>
      </c>
      <c r="CE16" s="138">
        <v>0.3</v>
      </c>
    </row>
    <row r="17" spans="1:83" ht="14.25" customHeight="1" x14ac:dyDescent="0.75">
      <c r="A17" s="64"/>
      <c r="B17" s="88" t="s">
        <v>238</v>
      </c>
      <c r="C17" s="89" t="s">
        <v>239</v>
      </c>
      <c r="D17" s="89"/>
      <c r="E17" s="139"/>
      <c r="F17" s="139"/>
      <c r="G17" s="139"/>
      <c r="H17" s="139"/>
      <c r="I17" s="139">
        <v>0.7</v>
      </c>
      <c r="J17" s="139">
        <v>0.2</v>
      </c>
      <c r="K17" s="139">
        <v>-0.2</v>
      </c>
      <c r="L17" s="139">
        <v>0.1</v>
      </c>
      <c r="M17" s="139">
        <v>0.7</v>
      </c>
      <c r="N17" s="139">
        <v>1.1000000000000001</v>
      </c>
      <c r="O17" s="139">
        <v>0.1</v>
      </c>
      <c r="P17" s="139">
        <v>-0.4</v>
      </c>
      <c r="Q17" s="139">
        <v>0.3</v>
      </c>
      <c r="R17" s="139">
        <v>-0.2</v>
      </c>
      <c r="S17" s="139">
        <v>0.2</v>
      </c>
      <c r="T17" s="139">
        <v>0.6</v>
      </c>
      <c r="U17" s="139">
        <v>0.8</v>
      </c>
      <c r="V17" s="139">
        <v>0.3</v>
      </c>
      <c r="W17" s="139">
        <v>0.7</v>
      </c>
      <c r="X17" s="139">
        <v>0.5</v>
      </c>
      <c r="Y17" s="139">
        <v>0.4</v>
      </c>
      <c r="Z17" s="139">
        <v>0.8</v>
      </c>
      <c r="AA17" s="139">
        <v>0.9</v>
      </c>
      <c r="AB17" s="139">
        <v>0.6</v>
      </c>
      <c r="AC17" s="139">
        <v>0.7</v>
      </c>
      <c r="AD17" s="139">
        <v>0.8</v>
      </c>
      <c r="AE17" s="139">
        <v>0.3</v>
      </c>
      <c r="AF17" s="139">
        <v>0.4</v>
      </c>
      <c r="AG17" s="139">
        <v>-0.7</v>
      </c>
      <c r="AH17" s="139">
        <v>-0.5</v>
      </c>
      <c r="AI17" s="139">
        <v>-0.8</v>
      </c>
      <c r="AJ17" s="139">
        <v>-1.1000000000000001</v>
      </c>
      <c r="AK17" s="139">
        <v>0.6</v>
      </c>
      <c r="AL17" s="139">
        <v>0.4</v>
      </c>
      <c r="AM17" s="139">
        <v>0.6</v>
      </c>
      <c r="AN17" s="139">
        <v>0.9</v>
      </c>
      <c r="AO17" s="139">
        <v>0.7</v>
      </c>
      <c r="AP17" s="139">
        <v>0.6</v>
      </c>
      <c r="AQ17" s="139">
        <v>0.8</v>
      </c>
      <c r="AR17" s="139">
        <v>0.5</v>
      </c>
      <c r="AS17" s="139">
        <v>0.7</v>
      </c>
      <c r="AT17" s="139">
        <v>0.7</v>
      </c>
      <c r="AU17" s="139">
        <v>0.1</v>
      </c>
      <c r="AV17" s="139">
        <v>0.1</v>
      </c>
      <c r="AW17" s="139">
        <v>0.2</v>
      </c>
      <c r="AX17" s="139">
        <v>0.3</v>
      </c>
      <c r="AY17" s="139">
        <v>0.1</v>
      </c>
      <c r="AZ17" s="139">
        <v>0.3</v>
      </c>
      <c r="BA17" s="139">
        <v>0.5</v>
      </c>
      <c r="BB17" s="139">
        <v>0.6</v>
      </c>
      <c r="BC17" s="139">
        <v>1.4</v>
      </c>
      <c r="BD17" s="139">
        <v>1.1000000000000001</v>
      </c>
      <c r="BE17" s="139">
        <v>0.7</v>
      </c>
      <c r="BF17" s="139">
        <v>1.4</v>
      </c>
      <c r="BG17" s="139">
        <v>1.1000000000000001</v>
      </c>
      <c r="BH17" s="139">
        <v>0.7</v>
      </c>
      <c r="BI17" s="139">
        <v>0.4</v>
      </c>
      <c r="BJ17" s="139">
        <v>-1.1000000000000001</v>
      </c>
      <c r="BK17" s="139">
        <v>0.5</v>
      </c>
      <c r="BL17" s="139">
        <v>0.7</v>
      </c>
      <c r="BM17" s="139">
        <v>0.6</v>
      </c>
      <c r="BN17" s="139">
        <v>2.2000000000000002</v>
      </c>
      <c r="BO17" s="139">
        <v>-1.5</v>
      </c>
      <c r="BP17" s="139">
        <v>0.5</v>
      </c>
      <c r="BQ17" s="139">
        <v>0.9</v>
      </c>
      <c r="BR17" s="139">
        <v>1</v>
      </c>
      <c r="BS17" s="139">
        <v>0.6</v>
      </c>
      <c r="BT17" s="139">
        <v>0.6</v>
      </c>
      <c r="BU17" s="139">
        <v>1.3</v>
      </c>
      <c r="BV17" s="139">
        <v>0.1</v>
      </c>
      <c r="BW17" s="139">
        <v>0.9</v>
      </c>
      <c r="BX17" s="139">
        <v>1</v>
      </c>
      <c r="BY17" s="139">
        <v>-0.1</v>
      </c>
      <c r="BZ17" s="139">
        <v>0.9</v>
      </c>
      <c r="CA17" s="139">
        <v>0.6</v>
      </c>
      <c r="CB17" s="139">
        <v>0.6</v>
      </c>
      <c r="CC17" s="139">
        <v>0.7</v>
      </c>
      <c r="CD17" s="139">
        <v>0.6</v>
      </c>
      <c r="CE17" s="139">
        <v>1.1000000000000001</v>
      </c>
    </row>
    <row r="18" spans="1:83" s="114" customFormat="1" ht="13.5" customHeight="1" x14ac:dyDescent="0.6">
      <c r="A18" s="91"/>
      <c r="B18" s="92" t="s">
        <v>240</v>
      </c>
      <c r="C18" s="93" t="s">
        <v>241</v>
      </c>
      <c r="D18" s="93"/>
      <c r="E18" s="138"/>
      <c r="F18" s="138"/>
      <c r="G18" s="138"/>
      <c r="H18" s="138"/>
      <c r="I18" s="138">
        <v>0.2</v>
      </c>
      <c r="J18" s="138">
        <v>-0.1</v>
      </c>
      <c r="K18" s="138">
        <v>0</v>
      </c>
      <c r="L18" s="138">
        <v>-0.2</v>
      </c>
      <c r="M18" s="138">
        <v>0.2</v>
      </c>
      <c r="N18" s="138">
        <v>0.3</v>
      </c>
      <c r="O18" s="138">
        <v>0</v>
      </c>
      <c r="P18" s="138">
        <v>0</v>
      </c>
      <c r="Q18" s="138">
        <v>0.1</v>
      </c>
      <c r="R18" s="138">
        <v>0.1</v>
      </c>
      <c r="S18" s="138">
        <v>0.1</v>
      </c>
      <c r="T18" s="138">
        <v>0.1</v>
      </c>
      <c r="U18" s="138">
        <v>0.1</v>
      </c>
      <c r="V18" s="138">
        <v>0.1</v>
      </c>
      <c r="W18" s="138">
        <v>0.2</v>
      </c>
      <c r="X18" s="138">
        <v>0.2</v>
      </c>
      <c r="Y18" s="138">
        <v>-0.1</v>
      </c>
      <c r="Z18" s="138">
        <v>-0.2</v>
      </c>
      <c r="AA18" s="138">
        <v>0.2</v>
      </c>
      <c r="AB18" s="138">
        <v>0.3</v>
      </c>
      <c r="AC18" s="138">
        <v>0</v>
      </c>
      <c r="AD18" s="138">
        <v>0.1</v>
      </c>
      <c r="AE18" s="138">
        <v>0</v>
      </c>
      <c r="AF18" s="138">
        <v>0</v>
      </c>
      <c r="AG18" s="138">
        <v>0.4</v>
      </c>
      <c r="AH18" s="138">
        <v>0.3</v>
      </c>
      <c r="AI18" s="138">
        <v>-0.1</v>
      </c>
      <c r="AJ18" s="138">
        <v>-0.1</v>
      </c>
      <c r="AK18" s="138">
        <v>0</v>
      </c>
      <c r="AL18" s="138">
        <v>0.1</v>
      </c>
      <c r="AM18" s="138">
        <v>0.1</v>
      </c>
      <c r="AN18" s="138">
        <v>0.1</v>
      </c>
      <c r="AO18" s="138">
        <v>0.1</v>
      </c>
      <c r="AP18" s="138">
        <v>0</v>
      </c>
      <c r="AQ18" s="138">
        <v>-0.1</v>
      </c>
      <c r="AR18" s="138">
        <v>0</v>
      </c>
      <c r="AS18" s="138">
        <v>0.2</v>
      </c>
      <c r="AT18" s="138">
        <v>0.2</v>
      </c>
      <c r="AU18" s="138">
        <v>0</v>
      </c>
      <c r="AV18" s="138">
        <v>0</v>
      </c>
      <c r="AW18" s="138">
        <v>0</v>
      </c>
      <c r="AX18" s="138">
        <v>0.1</v>
      </c>
      <c r="AY18" s="138">
        <v>0.3</v>
      </c>
      <c r="AZ18" s="138">
        <v>0.2</v>
      </c>
      <c r="BA18" s="138">
        <v>0.2</v>
      </c>
      <c r="BB18" s="138">
        <v>0.3</v>
      </c>
      <c r="BC18" s="138">
        <v>0</v>
      </c>
      <c r="BD18" s="138">
        <v>0.1</v>
      </c>
      <c r="BE18" s="138">
        <v>0</v>
      </c>
      <c r="BF18" s="138">
        <v>0.1</v>
      </c>
      <c r="BG18" s="138">
        <v>0.2</v>
      </c>
      <c r="BH18" s="138">
        <v>0</v>
      </c>
      <c r="BI18" s="138">
        <v>0.2</v>
      </c>
      <c r="BJ18" s="138">
        <v>0</v>
      </c>
      <c r="BK18" s="138">
        <v>0.1</v>
      </c>
      <c r="BL18" s="138">
        <v>0.1</v>
      </c>
      <c r="BM18" s="138">
        <v>0.1</v>
      </c>
      <c r="BN18" s="138">
        <v>0.9</v>
      </c>
      <c r="BO18" s="138">
        <v>0</v>
      </c>
      <c r="BP18" s="138">
        <v>0.9</v>
      </c>
      <c r="BQ18" s="138">
        <v>0.1</v>
      </c>
      <c r="BR18" s="138">
        <v>0.5</v>
      </c>
      <c r="BS18" s="138">
        <v>0.2</v>
      </c>
      <c r="BT18" s="138">
        <v>0.3</v>
      </c>
      <c r="BU18" s="138">
        <v>0.3</v>
      </c>
      <c r="BV18" s="138">
        <v>0</v>
      </c>
      <c r="BW18" s="138">
        <v>0.1</v>
      </c>
      <c r="BX18" s="138">
        <v>0.5</v>
      </c>
      <c r="BY18" s="138">
        <v>0.1</v>
      </c>
      <c r="BZ18" s="138">
        <v>0.1</v>
      </c>
      <c r="CA18" s="138">
        <v>0.1</v>
      </c>
      <c r="CB18" s="138">
        <v>-0.1</v>
      </c>
      <c r="CC18" s="138">
        <v>0.1</v>
      </c>
      <c r="CD18" s="138">
        <v>0.2</v>
      </c>
      <c r="CE18" s="138">
        <v>0.2</v>
      </c>
    </row>
    <row r="19" spans="1:83" s="114" customFormat="1" ht="13.5" customHeight="1" x14ac:dyDescent="0.6">
      <c r="A19" s="91"/>
      <c r="B19" s="92" t="s">
        <v>242</v>
      </c>
      <c r="C19" s="93" t="s">
        <v>243</v>
      </c>
      <c r="D19" s="93"/>
      <c r="E19" s="138"/>
      <c r="F19" s="138"/>
      <c r="G19" s="138"/>
      <c r="H19" s="138"/>
      <c r="I19" s="138">
        <v>0.2</v>
      </c>
      <c r="J19" s="138">
        <v>0.2</v>
      </c>
      <c r="K19" s="138">
        <v>-0.4</v>
      </c>
      <c r="L19" s="138">
        <v>-0.3</v>
      </c>
      <c r="M19" s="138">
        <v>0.4</v>
      </c>
      <c r="N19" s="138">
        <v>0.5</v>
      </c>
      <c r="O19" s="138">
        <v>0</v>
      </c>
      <c r="P19" s="138">
        <v>-0.2</v>
      </c>
      <c r="Q19" s="138">
        <v>0.2</v>
      </c>
      <c r="R19" s="138">
        <v>0</v>
      </c>
      <c r="S19" s="138">
        <v>0.3</v>
      </c>
      <c r="T19" s="138">
        <v>0.3</v>
      </c>
      <c r="U19" s="138">
        <v>0</v>
      </c>
      <c r="V19" s="138">
        <v>0</v>
      </c>
      <c r="W19" s="138">
        <v>0.3</v>
      </c>
      <c r="X19" s="138">
        <v>0.1</v>
      </c>
      <c r="Y19" s="138">
        <v>0.4</v>
      </c>
      <c r="Z19" s="138">
        <v>0.6</v>
      </c>
      <c r="AA19" s="138">
        <v>0.2</v>
      </c>
      <c r="AB19" s="138">
        <v>0.1</v>
      </c>
      <c r="AC19" s="138">
        <v>0.4</v>
      </c>
      <c r="AD19" s="138">
        <v>0.1</v>
      </c>
      <c r="AE19" s="138">
        <v>0.1</v>
      </c>
      <c r="AF19" s="138">
        <v>0.2</v>
      </c>
      <c r="AG19" s="138">
        <v>0</v>
      </c>
      <c r="AH19" s="138">
        <v>0.4</v>
      </c>
      <c r="AI19" s="138">
        <v>0.2</v>
      </c>
      <c r="AJ19" s="138">
        <v>0</v>
      </c>
      <c r="AK19" s="138">
        <v>0.4</v>
      </c>
      <c r="AL19" s="138">
        <v>0.1</v>
      </c>
      <c r="AM19" s="138">
        <v>0.2</v>
      </c>
      <c r="AN19" s="138">
        <v>0.5</v>
      </c>
      <c r="AO19" s="138">
        <v>0.3</v>
      </c>
      <c r="AP19" s="138">
        <v>0.3</v>
      </c>
      <c r="AQ19" s="138">
        <v>0.4</v>
      </c>
      <c r="AR19" s="138">
        <v>0</v>
      </c>
      <c r="AS19" s="138">
        <v>0.2</v>
      </c>
      <c r="AT19" s="138">
        <v>0.3</v>
      </c>
      <c r="AU19" s="138">
        <v>0.1</v>
      </c>
      <c r="AV19" s="138">
        <v>0</v>
      </c>
      <c r="AW19" s="138">
        <v>-0.1</v>
      </c>
      <c r="AX19" s="138">
        <v>-0.2</v>
      </c>
      <c r="AY19" s="138">
        <v>-0.6</v>
      </c>
      <c r="AZ19" s="138">
        <v>-0.3</v>
      </c>
      <c r="BA19" s="138">
        <v>-0.3</v>
      </c>
      <c r="BB19" s="138">
        <v>-0.1</v>
      </c>
      <c r="BC19" s="138">
        <v>0.5</v>
      </c>
      <c r="BD19" s="138">
        <v>0.4</v>
      </c>
      <c r="BE19" s="138">
        <v>0.2</v>
      </c>
      <c r="BF19" s="138">
        <v>0.6</v>
      </c>
      <c r="BG19" s="138">
        <v>0.3</v>
      </c>
      <c r="BH19" s="138">
        <v>0.3</v>
      </c>
      <c r="BI19" s="138">
        <v>0.2</v>
      </c>
      <c r="BJ19" s="138">
        <v>-0.4</v>
      </c>
      <c r="BK19" s="138">
        <v>0.2</v>
      </c>
      <c r="BL19" s="138">
        <v>0.2</v>
      </c>
      <c r="BM19" s="138">
        <v>0.1</v>
      </c>
      <c r="BN19" s="138">
        <v>-0.3</v>
      </c>
      <c r="BO19" s="138">
        <v>-1.8</v>
      </c>
      <c r="BP19" s="138">
        <v>-0.4</v>
      </c>
      <c r="BQ19" s="138">
        <v>0.4</v>
      </c>
      <c r="BR19" s="138">
        <v>0.6</v>
      </c>
      <c r="BS19" s="138">
        <v>0.3</v>
      </c>
      <c r="BT19" s="138">
        <v>0.1</v>
      </c>
      <c r="BU19" s="138">
        <v>0</v>
      </c>
      <c r="BV19" s="138">
        <v>-0.1</v>
      </c>
      <c r="BW19" s="138">
        <v>0</v>
      </c>
      <c r="BX19" s="138">
        <v>0</v>
      </c>
      <c r="BY19" s="138">
        <v>0.1</v>
      </c>
      <c r="BZ19" s="138">
        <v>0.2</v>
      </c>
      <c r="CA19" s="138">
        <v>0.1</v>
      </c>
      <c r="CB19" s="138">
        <v>0.2</v>
      </c>
      <c r="CC19" s="138">
        <v>0.1</v>
      </c>
      <c r="CD19" s="138">
        <v>-0.1</v>
      </c>
      <c r="CE19" s="138">
        <v>0.2</v>
      </c>
    </row>
    <row r="20" spans="1:83" s="114" customFormat="1" ht="13.5" customHeight="1" x14ac:dyDescent="0.6">
      <c r="A20" s="91"/>
      <c r="B20" s="92" t="s">
        <v>244</v>
      </c>
      <c r="C20" s="93" t="s">
        <v>245</v>
      </c>
      <c r="D20" s="93"/>
      <c r="E20" s="138"/>
      <c r="F20" s="138"/>
      <c r="G20" s="138"/>
      <c r="H20" s="138"/>
      <c r="I20" s="138">
        <v>0.1</v>
      </c>
      <c r="J20" s="138">
        <v>0.1</v>
      </c>
      <c r="K20" s="138">
        <v>0.2</v>
      </c>
      <c r="L20" s="138">
        <v>0.4</v>
      </c>
      <c r="M20" s="138">
        <v>0.1</v>
      </c>
      <c r="N20" s="138">
        <v>0.2</v>
      </c>
      <c r="O20" s="138">
        <v>-0.1</v>
      </c>
      <c r="P20" s="138">
        <v>-0.3</v>
      </c>
      <c r="Q20" s="138">
        <v>0</v>
      </c>
      <c r="R20" s="138">
        <v>-0.2</v>
      </c>
      <c r="S20" s="138">
        <v>0</v>
      </c>
      <c r="T20" s="138">
        <v>0.1</v>
      </c>
      <c r="U20" s="138">
        <v>0</v>
      </c>
      <c r="V20" s="138">
        <v>0.1</v>
      </c>
      <c r="W20" s="138">
        <v>0</v>
      </c>
      <c r="X20" s="138">
        <v>0</v>
      </c>
      <c r="Y20" s="138">
        <v>0.1</v>
      </c>
      <c r="Z20" s="138">
        <v>-0.1</v>
      </c>
      <c r="AA20" s="138">
        <v>-0.1</v>
      </c>
      <c r="AB20" s="138">
        <v>0</v>
      </c>
      <c r="AC20" s="138">
        <v>0</v>
      </c>
      <c r="AD20" s="138">
        <v>0.3</v>
      </c>
      <c r="AE20" s="138">
        <v>0.1</v>
      </c>
      <c r="AF20" s="138">
        <v>0</v>
      </c>
      <c r="AG20" s="138">
        <v>-1.2</v>
      </c>
      <c r="AH20" s="138">
        <v>-1.3</v>
      </c>
      <c r="AI20" s="138">
        <v>-1</v>
      </c>
      <c r="AJ20" s="138">
        <v>-1</v>
      </c>
      <c r="AK20" s="138">
        <v>0</v>
      </c>
      <c r="AL20" s="138">
        <v>0</v>
      </c>
      <c r="AM20" s="138">
        <v>0</v>
      </c>
      <c r="AN20" s="138">
        <v>0</v>
      </c>
      <c r="AO20" s="138">
        <v>0</v>
      </c>
      <c r="AP20" s="138">
        <v>0</v>
      </c>
      <c r="AQ20" s="138">
        <v>0</v>
      </c>
      <c r="AR20" s="138">
        <v>0</v>
      </c>
      <c r="AS20" s="138">
        <v>0</v>
      </c>
      <c r="AT20" s="138">
        <v>0</v>
      </c>
      <c r="AU20" s="138">
        <v>0</v>
      </c>
      <c r="AV20" s="138">
        <v>0</v>
      </c>
      <c r="AW20" s="138">
        <v>0.1</v>
      </c>
      <c r="AX20" s="138">
        <v>0.2</v>
      </c>
      <c r="AY20" s="138">
        <v>0.1</v>
      </c>
      <c r="AZ20" s="138">
        <v>0.1</v>
      </c>
      <c r="BA20" s="138">
        <v>0.2</v>
      </c>
      <c r="BB20" s="138">
        <v>0.2</v>
      </c>
      <c r="BC20" s="138">
        <v>0.3</v>
      </c>
      <c r="BD20" s="138">
        <v>0.3</v>
      </c>
      <c r="BE20" s="138">
        <v>0.1</v>
      </c>
      <c r="BF20" s="138">
        <v>0.1</v>
      </c>
      <c r="BG20" s="138">
        <v>0.1</v>
      </c>
      <c r="BH20" s="138">
        <v>0.2</v>
      </c>
      <c r="BI20" s="138">
        <v>0.1</v>
      </c>
      <c r="BJ20" s="138">
        <v>-0.1</v>
      </c>
      <c r="BK20" s="138">
        <v>0</v>
      </c>
      <c r="BL20" s="138">
        <v>-0.1</v>
      </c>
      <c r="BM20" s="138">
        <v>0</v>
      </c>
      <c r="BN20" s="138">
        <v>0.2</v>
      </c>
      <c r="BO20" s="138">
        <v>0</v>
      </c>
      <c r="BP20" s="138">
        <v>0</v>
      </c>
      <c r="BQ20" s="138">
        <v>0.1</v>
      </c>
      <c r="BR20" s="138">
        <v>0.1</v>
      </c>
      <c r="BS20" s="138">
        <v>0.1</v>
      </c>
      <c r="BT20" s="138">
        <v>0.1</v>
      </c>
      <c r="BU20" s="138">
        <v>0.1</v>
      </c>
      <c r="BV20" s="138">
        <v>0.1</v>
      </c>
      <c r="BW20" s="138">
        <v>0.1</v>
      </c>
      <c r="BX20" s="138">
        <v>0.1</v>
      </c>
      <c r="BY20" s="138">
        <v>0.1</v>
      </c>
      <c r="BZ20" s="138">
        <v>0.1</v>
      </c>
      <c r="CA20" s="138">
        <v>0.1</v>
      </c>
      <c r="CB20" s="138">
        <v>0</v>
      </c>
      <c r="CC20" s="138">
        <v>0</v>
      </c>
      <c r="CD20" s="138">
        <v>-0.1</v>
      </c>
      <c r="CE20" s="138">
        <v>0</v>
      </c>
    </row>
    <row r="21" spans="1:83" s="114" customFormat="1" ht="13.5" customHeight="1" x14ac:dyDescent="0.6">
      <c r="A21" s="91"/>
      <c r="B21" s="92" t="s">
        <v>246</v>
      </c>
      <c r="C21" s="93" t="s">
        <v>247</v>
      </c>
      <c r="D21" s="93"/>
      <c r="E21" s="138"/>
      <c r="F21" s="138"/>
      <c r="G21" s="138"/>
      <c r="H21" s="138"/>
      <c r="I21" s="138">
        <v>0</v>
      </c>
      <c r="J21" s="138">
        <v>0</v>
      </c>
      <c r="K21" s="138">
        <v>0</v>
      </c>
      <c r="L21" s="138">
        <v>0.1</v>
      </c>
      <c r="M21" s="138">
        <v>0</v>
      </c>
      <c r="N21" s="138">
        <v>0.1</v>
      </c>
      <c r="O21" s="138">
        <v>0</v>
      </c>
      <c r="P21" s="138">
        <v>0</v>
      </c>
      <c r="Q21" s="138">
        <v>0</v>
      </c>
      <c r="R21" s="138">
        <v>0</v>
      </c>
      <c r="S21" s="138">
        <v>0</v>
      </c>
      <c r="T21" s="138">
        <v>0</v>
      </c>
      <c r="U21" s="138">
        <v>0</v>
      </c>
      <c r="V21" s="138">
        <v>0</v>
      </c>
      <c r="W21" s="138">
        <v>0</v>
      </c>
      <c r="X21" s="138">
        <v>0</v>
      </c>
      <c r="Y21" s="138">
        <v>0</v>
      </c>
      <c r="Z21" s="138">
        <v>0</v>
      </c>
      <c r="AA21" s="138">
        <v>0</v>
      </c>
      <c r="AB21" s="138">
        <v>0</v>
      </c>
      <c r="AC21" s="138">
        <v>0</v>
      </c>
      <c r="AD21" s="138">
        <v>0</v>
      </c>
      <c r="AE21" s="138">
        <v>0</v>
      </c>
      <c r="AF21" s="138">
        <v>0</v>
      </c>
      <c r="AG21" s="138">
        <v>0</v>
      </c>
      <c r="AH21" s="138">
        <v>0</v>
      </c>
      <c r="AI21" s="138">
        <v>0.1</v>
      </c>
      <c r="AJ21" s="138">
        <v>0</v>
      </c>
      <c r="AK21" s="138">
        <v>0</v>
      </c>
      <c r="AL21" s="138">
        <v>0</v>
      </c>
      <c r="AM21" s="138">
        <v>0</v>
      </c>
      <c r="AN21" s="138">
        <v>0</v>
      </c>
      <c r="AO21" s="138">
        <v>0</v>
      </c>
      <c r="AP21" s="138">
        <v>0</v>
      </c>
      <c r="AQ21" s="138">
        <v>0</v>
      </c>
      <c r="AR21" s="138">
        <v>0</v>
      </c>
      <c r="AS21" s="138">
        <v>0</v>
      </c>
      <c r="AT21" s="138">
        <v>0</v>
      </c>
      <c r="AU21" s="138">
        <v>0.1</v>
      </c>
      <c r="AV21" s="138">
        <v>0</v>
      </c>
      <c r="AW21" s="138">
        <v>0</v>
      </c>
      <c r="AX21" s="138">
        <v>0</v>
      </c>
      <c r="AY21" s="138">
        <v>-0.1</v>
      </c>
      <c r="AZ21" s="138">
        <v>0</v>
      </c>
      <c r="BA21" s="138">
        <v>0</v>
      </c>
      <c r="BB21" s="138">
        <v>0</v>
      </c>
      <c r="BC21" s="138">
        <v>0</v>
      </c>
      <c r="BD21" s="138">
        <v>0</v>
      </c>
      <c r="BE21" s="138">
        <v>0.1</v>
      </c>
      <c r="BF21" s="138">
        <v>0.1</v>
      </c>
      <c r="BG21" s="138">
        <v>0.1</v>
      </c>
      <c r="BH21" s="138">
        <v>0</v>
      </c>
      <c r="BI21" s="138">
        <v>0</v>
      </c>
      <c r="BJ21" s="138">
        <v>-0.1</v>
      </c>
      <c r="BK21" s="138">
        <v>0</v>
      </c>
      <c r="BL21" s="138">
        <v>0</v>
      </c>
      <c r="BM21" s="138">
        <v>0</v>
      </c>
      <c r="BN21" s="138">
        <v>0.1</v>
      </c>
      <c r="BO21" s="138">
        <v>0.1</v>
      </c>
      <c r="BP21" s="138">
        <v>0.1</v>
      </c>
      <c r="BQ21" s="138">
        <v>0.1</v>
      </c>
      <c r="BR21" s="138">
        <v>0.1</v>
      </c>
      <c r="BS21" s="138">
        <v>0.1</v>
      </c>
      <c r="BT21" s="138">
        <v>0.1</v>
      </c>
      <c r="BU21" s="138">
        <v>0.1</v>
      </c>
      <c r="BV21" s="138">
        <v>0.1</v>
      </c>
      <c r="BW21" s="138">
        <v>0.1</v>
      </c>
      <c r="BX21" s="138">
        <v>0</v>
      </c>
      <c r="BY21" s="138">
        <v>0.1</v>
      </c>
      <c r="BZ21" s="138">
        <v>0</v>
      </c>
      <c r="CA21" s="138">
        <v>0.1</v>
      </c>
      <c r="CB21" s="138">
        <v>0.1</v>
      </c>
      <c r="CC21" s="138">
        <v>0</v>
      </c>
      <c r="CD21" s="138">
        <v>0.1</v>
      </c>
      <c r="CE21" s="138">
        <v>0.1</v>
      </c>
    </row>
    <row r="22" spans="1:83" s="114" customFormat="1" ht="13.5" customHeight="1" x14ac:dyDescent="0.6">
      <c r="A22" s="91"/>
      <c r="B22" s="92" t="s">
        <v>248</v>
      </c>
      <c r="C22" s="93" t="s">
        <v>249</v>
      </c>
      <c r="D22" s="93"/>
      <c r="E22" s="138"/>
      <c r="F22" s="138"/>
      <c r="G22" s="138"/>
      <c r="H22" s="138"/>
      <c r="I22" s="138">
        <v>0</v>
      </c>
      <c r="J22" s="138">
        <v>0</v>
      </c>
      <c r="K22" s="138">
        <v>0</v>
      </c>
      <c r="L22" s="138">
        <v>0</v>
      </c>
      <c r="M22" s="138">
        <v>0</v>
      </c>
      <c r="N22" s="138">
        <v>0</v>
      </c>
      <c r="O22" s="138">
        <v>0</v>
      </c>
      <c r="P22" s="138">
        <v>0.1</v>
      </c>
      <c r="Q22" s="138">
        <v>0</v>
      </c>
      <c r="R22" s="138">
        <v>0</v>
      </c>
      <c r="S22" s="138">
        <v>0</v>
      </c>
      <c r="T22" s="138">
        <v>0</v>
      </c>
      <c r="U22" s="138">
        <v>0</v>
      </c>
      <c r="V22" s="138">
        <v>0</v>
      </c>
      <c r="W22" s="138">
        <v>0</v>
      </c>
      <c r="X22" s="138">
        <v>0.1</v>
      </c>
      <c r="Y22" s="138">
        <v>0</v>
      </c>
      <c r="Z22" s="138">
        <v>0.1</v>
      </c>
      <c r="AA22" s="138">
        <v>0.1</v>
      </c>
      <c r="AB22" s="138">
        <v>0</v>
      </c>
      <c r="AC22" s="138">
        <v>0.1</v>
      </c>
      <c r="AD22" s="138">
        <v>0</v>
      </c>
      <c r="AE22" s="138">
        <v>0</v>
      </c>
      <c r="AF22" s="138">
        <v>0</v>
      </c>
      <c r="AG22" s="138">
        <v>0</v>
      </c>
      <c r="AH22" s="138">
        <v>0</v>
      </c>
      <c r="AI22" s="138">
        <v>0</v>
      </c>
      <c r="AJ22" s="138">
        <v>0</v>
      </c>
      <c r="AK22" s="138">
        <v>-0.1</v>
      </c>
      <c r="AL22" s="138">
        <v>0</v>
      </c>
      <c r="AM22" s="138">
        <v>0</v>
      </c>
      <c r="AN22" s="138">
        <v>0</v>
      </c>
      <c r="AO22" s="138">
        <v>0.1</v>
      </c>
      <c r="AP22" s="138">
        <v>0</v>
      </c>
      <c r="AQ22" s="138">
        <v>0</v>
      </c>
      <c r="AR22" s="138">
        <v>0</v>
      </c>
      <c r="AS22" s="138">
        <v>0</v>
      </c>
      <c r="AT22" s="138">
        <v>0</v>
      </c>
      <c r="AU22" s="138">
        <v>0</v>
      </c>
      <c r="AV22" s="138">
        <v>0</v>
      </c>
      <c r="AW22" s="138">
        <v>0.1</v>
      </c>
      <c r="AX22" s="138">
        <v>0.2</v>
      </c>
      <c r="AY22" s="138">
        <v>0.1</v>
      </c>
      <c r="AZ22" s="138">
        <v>0.1</v>
      </c>
      <c r="BA22" s="138">
        <v>0.1</v>
      </c>
      <c r="BB22" s="138">
        <v>0.1</v>
      </c>
      <c r="BC22" s="138">
        <v>0.1</v>
      </c>
      <c r="BD22" s="138">
        <v>0.1</v>
      </c>
      <c r="BE22" s="138">
        <v>0.1</v>
      </c>
      <c r="BF22" s="138">
        <v>0.2</v>
      </c>
      <c r="BG22" s="138">
        <v>0.2</v>
      </c>
      <c r="BH22" s="138">
        <v>0.1</v>
      </c>
      <c r="BI22" s="138">
        <v>0</v>
      </c>
      <c r="BJ22" s="138">
        <v>-0.1</v>
      </c>
      <c r="BK22" s="138">
        <v>0</v>
      </c>
      <c r="BL22" s="138">
        <v>0.1</v>
      </c>
      <c r="BM22" s="138">
        <v>0.1</v>
      </c>
      <c r="BN22" s="138">
        <v>0.6</v>
      </c>
      <c r="BO22" s="138">
        <v>0.1</v>
      </c>
      <c r="BP22" s="138">
        <v>0</v>
      </c>
      <c r="BQ22" s="138">
        <v>0</v>
      </c>
      <c r="BR22" s="138">
        <v>-0.2</v>
      </c>
      <c r="BS22" s="138">
        <v>0</v>
      </c>
      <c r="BT22" s="138">
        <v>0.1</v>
      </c>
      <c r="BU22" s="138">
        <v>0.7</v>
      </c>
      <c r="BV22" s="138">
        <v>0</v>
      </c>
      <c r="BW22" s="138">
        <v>0.3</v>
      </c>
      <c r="BX22" s="138">
        <v>0.2</v>
      </c>
      <c r="BY22" s="138">
        <v>-0.3</v>
      </c>
      <c r="BZ22" s="138">
        <v>0.2</v>
      </c>
      <c r="CA22" s="138">
        <v>0.2</v>
      </c>
      <c r="CB22" s="138">
        <v>0.2</v>
      </c>
      <c r="CC22" s="138">
        <v>0.2</v>
      </c>
      <c r="CD22" s="138">
        <v>0.2</v>
      </c>
      <c r="CE22" s="138">
        <v>0.3</v>
      </c>
    </row>
    <row r="23" spans="1:83" s="114" customFormat="1" ht="13.5" customHeight="1" x14ac:dyDescent="0.6">
      <c r="A23" s="91"/>
      <c r="B23" s="92" t="s">
        <v>250</v>
      </c>
      <c r="C23" s="93" t="s">
        <v>251</v>
      </c>
      <c r="D23" s="93"/>
      <c r="E23" s="138"/>
      <c r="F23" s="138"/>
      <c r="G23" s="138"/>
      <c r="H23" s="138"/>
      <c r="I23" s="138">
        <v>0</v>
      </c>
      <c r="J23" s="138">
        <v>0</v>
      </c>
      <c r="K23" s="138">
        <v>0</v>
      </c>
      <c r="L23" s="138">
        <v>0</v>
      </c>
      <c r="M23" s="138">
        <v>0.1</v>
      </c>
      <c r="N23" s="138">
        <v>0</v>
      </c>
      <c r="O23" s="138">
        <v>0</v>
      </c>
      <c r="P23" s="138">
        <v>0</v>
      </c>
      <c r="Q23" s="138">
        <v>-0.1</v>
      </c>
      <c r="R23" s="138">
        <v>0</v>
      </c>
      <c r="S23" s="138">
        <v>0</v>
      </c>
      <c r="T23" s="138">
        <v>0</v>
      </c>
      <c r="U23" s="138">
        <v>0</v>
      </c>
      <c r="V23" s="138">
        <v>0.1</v>
      </c>
      <c r="W23" s="138">
        <v>0</v>
      </c>
      <c r="X23" s="138">
        <v>0.1</v>
      </c>
      <c r="Y23" s="138">
        <v>0.1</v>
      </c>
      <c r="Z23" s="138">
        <v>0</v>
      </c>
      <c r="AA23" s="138">
        <v>0.2</v>
      </c>
      <c r="AB23" s="138">
        <v>0</v>
      </c>
      <c r="AC23" s="138">
        <v>0</v>
      </c>
      <c r="AD23" s="138">
        <v>0.1</v>
      </c>
      <c r="AE23" s="138">
        <v>0.1</v>
      </c>
      <c r="AF23" s="138">
        <v>0</v>
      </c>
      <c r="AG23" s="138">
        <v>0.1</v>
      </c>
      <c r="AH23" s="138">
        <v>0</v>
      </c>
      <c r="AI23" s="138">
        <v>0</v>
      </c>
      <c r="AJ23" s="138">
        <v>0</v>
      </c>
      <c r="AK23" s="138">
        <v>0</v>
      </c>
      <c r="AL23" s="138">
        <v>0.1</v>
      </c>
      <c r="AM23" s="138">
        <v>0.1</v>
      </c>
      <c r="AN23" s="138">
        <v>0.1</v>
      </c>
      <c r="AO23" s="138">
        <v>0</v>
      </c>
      <c r="AP23" s="138">
        <v>0</v>
      </c>
      <c r="AQ23" s="138">
        <v>0.1</v>
      </c>
      <c r="AR23" s="138">
        <v>0.2</v>
      </c>
      <c r="AS23" s="138">
        <v>0.1</v>
      </c>
      <c r="AT23" s="138">
        <v>0.2</v>
      </c>
      <c r="AU23" s="138">
        <v>0</v>
      </c>
      <c r="AV23" s="138">
        <v>0.1</v>
      </c>
      <c r="AW23" s="138">
        <v>0</v>
      </c>
      <c r="AX23" s="138">
        <v>0</v>
      </c>
      <c r="AY23" s="138">
        <v>0.1</v>
      </c>
      <c r="AZ23" s="138">
        <v>0</v>
      </c>
      <c r="BA23" s="138">
        <v>0</v>
      </c>
      <c r="BB23" s="138">
        <v>-0.1</v>
      </c>
      <c r="BC23" s="138">
        <v>0.2</v>
      </c>
      <c r="BD23" s="138">
        <v>0.1</v>
      </c>
      <c r="BE23" s="138">
        <v>0.2</v>
      </c>
      <c r="BF23" s="138">
        <v>0.2</v>
      </c>
      <c r="BG23" s="138">
        <v>0</v>
      </c>
      <c r="BH23" s="138">
        <v>0</v>
      </c>
      <c r="BI23" s="138">
        <v>0</v>
      </c>
      <c r="BJ23" s="138">
        <v>-0.1</v>
      </c>
      <c r="BK23" s="138">
        <v>0</v>
      </c>
      <c r="BL23" s="138">
        <v>0.1</v>
      </c>
      <c r="BM23" s="138">
        <v>0</v>
      </c>
      <c r="BN23" s="138">
        <v>0.1</v>
      </c>
      <c r="BO23" s="138">
        <v>0.2</v>
      </c>
      <c r="BP23" s="138">
        <v>0</v>
      </c>
      <c r="BQ23" s="138">
        <v>0.2</v>
      </c>
      <c r="BR23" s="138">
        <v>0</v>
      </c>
      <c r="BS23" s="138">
        <v>0</v>
      </c>
      <c r="BT23" s="138">
        <v>0</v>
      </c>
      <c r="BU23" s="138">
        <v>0.1</v>
      </c>
      <c r="BV23" s="138">
        <v>0.1</v>
      </c>
      <c r="BW23" s="138">
        <v>0.1</v>
      </c>
      <c r="BX23" s="138">
        <v>0.1</v>
      </c>
      <c r="BY23" s="138">
        <v>-0.2</v>
      </c>
      <c r="BZ23" s="138">
        <v>0</v>
      </c>
      <c r="CA23" s="138">
        <v>-0.1</v>
      </c>
      <c r="CB23" s="138">
        <v>0.1</v>
      </c>
      <c r="CC23" s="138">
        <v>0.2</v>
      </c>
      <c r="CD23" s="138">
        <v>0.1</v>
      </c>
      <c r="CE23" s="138">
        <v>0.3</v>
      </c>
    </row>
    <row r="24" spans="1:83" s="114" customFormat="1" ht="13.5" customHeight="1" x14ac:dyDescent="0.6">
      <c r="A24" s="91"/>
      <c r="B24" s="92" t="s">
        <v>252</v>
      </c>
      <c r="C24" s="93" t="s">
        <v>253</v>
      </c>
      <c r="D24" s="93"/>
      <c r="E24" s="138"/>
      <c r="F24" s="138"/>
      <c r="G24" s="138"/>
      <c r="H24" s="138"/>
      <c r="I24" s="138">
        <v>0.1</v>
      </c>
      <c r="J24" s="138">
        <v>0</v>
      </c>
      <c r="K24" s="138">
        <v>0</v>
      </c>
      <c r="L24" s="138">
        <v>0</v>
      </c>
      <c r="M24" s="138">
        <v>0</v>
      </c>
      <c r="N24" s="138">
        <v>0</v>
      </c>
      <c r="O24" s="138">
        <v>0</v>
      </c>
      <c r="P24" s="138">
        <v>0</v>
      </c>
      <c r="Q24" s="138">
        <v>0</v>
      </c>
      <c r="R24" s="138">
        <v>0</v>
      </c>
      <c r="S24" s="138">
        <v>0</v>
      </c>
      <c r="T24" s="138">
        <v>0</v>
      </c>
      <c r="U24" s="138">
        <v>0.2</v>
      </c>
      <c r="V24" s="138">
        <v>0</v>
      </c>
      <c r="W24" s="138">
        <v>0</v>
      </c>
      <c r="X24" s="138">
        <v>0</v>
      </c>
      <c r="Y24" s="138">
        <v>-0.1</v>
      </c>
      <c r="Z24" s="138">
        <v>0.1</v>
      </c>
      <c r="AA24" s="138">
        <v>0.1</v>
      </c>
      <c r="AB24" s="138">
        <v>0.1</v>
      </c>
      <c r="AC24" s="138">
        <v>0.1</v>
      </c>
      <c r="AD24" s="138">
        <v>0.1</v>
      </c>
      <c r="AE24" s="138">
        <v>0</v>
      </c>
      <c r="AF24" s="138">
        <v>0</v>
      </c>
      <c r="AG24" s="138">
        <v>0</v>
      </c>
      <c r="AH24" s="138">
        <v>0</v>
      </c>
      <c r="AI24" s="138">
        <v>0</v>
      </c>
      <c r="AJ24" s="138">
        <v>0</v>
      </c>
      <c r="AK24" s="138">
        <v>0.1</v>
      </c>
      <c r="AL24" s="138">
        <v>0.1</v>
      </c>
      <c r="AM24" s="138">
        <v>0.1</v>
      </c>
      <c r="AN24" s="138">
        <v>0.1</v>
      </c>
      <c r="AO24" s="138">
        <v>0.1</v>
      </c>
      <c r="AP24" s="138">
        <v>0.1</v>
      </c>
      <c r="AQ24" s="138">
        <v>0.1</v>
      </c>
      <c r="AR24" s="138">
        <v>0.1</v>
      </c>
      <c r="AS24" s="138">
        <v>0.1</v>
      </c>
      <c r="AT24" s="138">
        <v>0.1</v>
      </c>
      <c r="AU24" s="138">
        <v>0</v>
      </c>
      <c r="AV24" s="138">
        <v>0.1</v>
      </c>
      <c r="AW24" s="138">
        <v>0.1</v>
      </c>
      <c r="AX24" s="138">
        <v>0</v>
      </c>
      <c r="AY24" s="138">
        <v>0</v>
      </c>
      <c r="AZ24" s="138">
        <v>0</v>
      </c>
      <c r="BA24" s="138">
        <v>0</v>
      </c>
      <c r="BB24" s="138">
        <v>0.1</v>
      </c>
      <c r="BC24" s="138">
        <v>0.2</v>
      </c>
      <c r="BD24" s="138">
        <v>0</v>
      </c>
      <c r="BE24" s="138">
        <v>0.1</v>
      </c>
      <c r="BF24" s="138">
        <v>0.1</v>
      </c>
      <c r="BG24" s="138">
        <v>0.1</v>
      </c>
      <c r="BH24" s="138">
        <v>0.1</v>
      </c>
      <c r="BI24" s="138">
        <v>0</v>
      </c>
      <c r="BJ24" s="138">
        <v>-0.2</v>
      </c>
      <c r="BK24" s="138">
        <v>0.2</v>
      </c>
      <c r="BL24" s="138">
        <v>0.2</v>
      </c>
      <c r="BM24" s="138">
        <v>0.1</v>
      </c>
      <c r="BN24" s="138">
        <v>0.1</v>
      </c>
      <c r="BO24" s="138">
        <v>-0.1</v>
      </c>
      <c r="BP24" s="138">
        <v>-0.1</v>
      </c>
      <c r="BQ24" s="138">
        <v>0</v>
      </c>
      <c r="BR24" s="138">
        <v>0.1</v>
      </c>
      <c r="BS24" s="138">
        <v>0.1</v>
      </c>
      <c r="BT24" s="138">
        <v>0.1</v>
      </c>
      <c r="BU24" s="138">
        <v>0.1</v>
      </c>
      <c r="BV24" s="138">
        <v>0</v>
      </c>
      <c r="BW24" s="138">
        <v>0.1</v>
      </c>
      <c r="BX24" s="138">
        <v>0.1</v>
      </c>
      <c r="BY24" s="138">
        <v>0.1</v>
      </c>
      <c r="BZ24" s="138">
        <v>0.1</v>
      </c>
      <c r="CA24" s="138">
        <v>0.1</v>
      </c>
      <c r="CB24" s="138">
        <v>0.1</v>
      </c>
      <c r="CC24" s="138">
        <v>0.1</v>
      </c>
      <c r="CD24" s="138">
        <v>0.1</v>
      </c>
      <c r="CE24" s="138">
        <v>0.2</v>
      </c>
    </row>
    <row r="25" spans="1:83" s="114" customFormat="1" ht="13.5" customHeight="1" x14ac:dyDescent="0.6">
      <c r="A25" s="91"/>
      <c r="B25" s="92" t="s">
        <v>254</v>
      </c>
      <c r="C25" s="93" t="s">
        <v>255</v>
      </c>
      <c r="D25" s="93"/>
      <c r="E25" s="138"/>
      <c r="F25" s="138"/>
      <c r="G25" s="138"/>
      <c r="H25" s="138"/>
      <c r="I25" s="138">
        <v>0.2</v>
      </c>
      <c r="J25" s="138">
        <v>0.1</v>
      </c>
      <c r="K25" s="138">
        <v>0</v>
      </c>
      <c r="L25" s="138">
        <v>0.1</v>
      </c>
      <c r="M25" s="138">
        <v>0</v>
      </c>
      <c r="N25" s="138">
        <v>0</v>
      </c>
      <c r="O25" s="138">
        <v>0.1</v>
      </c>
      <c r="P25" s="138">
        <v>0.1</v>
      </c>
      <c r="Q25" s="138">
        <v>0</v>
      </c>
      <c r="R25" s="138">
        <v>-0.1</v>
      </c>
      <c r="S25" s="138">
        <v>-0.1</v>
      </c>
      <c r="T25" s="138">
        <v>0.1</v>
      </c>
      <c r="U25" s="138">
        <v>0.5</v>
      </c>
      <c r="V25" s="138">
        <v>0.1</v>
      </c>
      <c r="W25" s="138">
        <v>0.1</v>
      </c>
      <c r="X25" s="138">
        <v>0</v>
      </c>
      <c r="Y25" s="138">
        <v>-0.1</v>
      </c>
      <c r="Z25" s="138">
        <v>0.3</v>
      </c>
      <c r="AA25" s="138">
        <v>0.3</v>
      </c>
      <c r="AB25" s="138">
        <v>0.2</v>
      </c>
      <c r="AC25" s="138">
        <v>0</v>
      </c>
      <c r="AD25" s="138">
        <v>0.1</v>
      </c>
      <c r="AE25" s="138">
        <v>0</v>
      </c>
      <c r="AF25" s="138">
        <v>0.1</v>
      </c>
      <c r="AG25" s="138">
        <v>0.1</v>
      </c>
      <c r="AH25" s="138">
        <v>0</v>
      </c>
      <c r="AI25" s="138">
        <v>0.1</v>
      </c>
      <c r="AJ25" s="138">
        <v>0.1</v>
      </c>
      <c r="AK25" s="138">
        <v>0.1</v>
      </c>
      <c r="AL25" s="138">
        <v>0.1</v>
      </c>
      <c r="AM25" s="138">
        <v>0.1</v>
      </c>
      <c r="AN25" s="138">
        <v>0.1</v>
      </c>
      <c r="AO25" s="138">
        <v>0.1</v>
      </c>
      <c r="AP25" s="138">
        <v>0.1</v>
      </c>
      <c r="AQ25" s="138">
        <v>0.2</v>
      </c>
      <c r="AR25" s="138">
        <v>0.1</v>
      </c>
      <c r="AS25" s="138">
        <v>0</v>
      </c>
      <c r="AT25" s="138">
        <v>-0.1</v>
      </c>
      <c r="AU25" s="138">
        <v>-0.2</v>
      </c>
      <c r="AV25" s="138">
        <v>-0.1</v>
      </c>
      <c r="AW25" s="138">
        <v>0</v>
      </c>
      <c r="AX25" s="138">
        <v>0</v>
      </c>
      <c r="AY25" s="138">
        <v>0.2</v>
      </c>
      <c r="AZ25" s="138">
        <v>0.2</v>
      </c>
      <c r="BA25" s="138">
        <v>0.2</v>
      </c>
      <c r="BB25" s="138">
        <v>0.1</v>
      </c>
      <c r="BC25" s="138">
        <v>0.1</v>
      </c>
      <c r="BD25" s="138">
        <v>0</v>
      </c>
      <c r="BE25" s="138">
        <v>0</v>
      </c>
      <c r="BF25" s="138">
        <v>0</v>
      </c>
      <c r="BG25" s="138">
        <v>0</v>
      </c>
      <c r="BH25" s="138">
        <v>0</v>
      </c>
      <c r="BI25" s="138">
        <v>0</v>
      </c>
      <c r="BJ25" s="138">
        <v>-0.3</v>
      </c>
      <c r="BK25" s="138">
        <v>0.1</v>
      </c>
      <c r="BL25" s="138">
        <v>0.1</v>
      </c>
      <c r="BM25" s="138">
        <v>0.1</v>
      </c>
      <c r="BN25" s="138">
        <v>0.5</v>
      </c>
      <c r="BO25" s="138">
        <v>0</v>
      </c>
      <c r="BP25" s="138">
        <v>0</v>
      </c>
      <c r="BQ25" s="138">
        <v>0</v>
      </c>
      <c r="BR25" s="138">
        <v>-0.1</v>
      </c>
      <c r="BS25" s="138">
        <v>-0.1</v>
      </c>
      <c r="BT25" s="138">
        <v>-0.1</v>
      </c>
      <c r="BU25" s="138">
        <v>-0.1</v>
      </c>
      <c r="BV25" s="138">
        <v>-0.1</v>
      </c>
      <c r="BW25" s="138">
        <v>0</v>
      </c>
      <c r="BX25" s="138">
        <v>0</v>
      </c>
      <c r="BY25" s="138">
        <v>0</v>
      </c>
      <c r="BZ25" s="138">
        <v>0</v>
      </c>
      <c r="CA25" s="138">
        <v>0</v>
      </c>
      <c r="CB25" s="138">
        <v>0.1</v>
      </c>
      <c r="CC25" s="138">
        <v>0.1</v>
      </c>
      <c r="CD25" s="138">
        <v>0</v>
      </c>
      <c r="CE25" s="138">
        <v>0</v>
      </c>
    </row>
    <row r="26" spans="1:83" ht="13.5" customHeight="1" x14ac:dyDescent="0.75">
      <c r="A26" s="68"/>
      <c r="B26" s="67" t="s">
        <v>256</v>
      </c>
      <c r="C26" s="66" t="s">
        <v>257</v>
      </c>
      <c r="D26" s="66"/>
      <c r="E26" s="138"/>
      <c r="F26" s="138"/>
      <c r="G26" s="138"/>
      <c r="H26" s="138"/>
      <c r="I26" s="138">
        <v>0</v>
      </c>
      <c r="J26" s="138">
        <v>0</v>
      </c>
      <c r="K26" s="138">
        <v>0</v>
      </c>
      <c r="L26" s="138">
        <v>0</v>
      </c>
      <c r="M26" s="138">
        <v>0.1</v>
      </c>
      <c r="N26" s="138">
        <v>0.1</v>
      </c>
      <c r="O26" s="138">
        <v>0.1</v>
      </c>
      <c r="P26" s="138">
        <v>0.1</v>
      </c>
      <c r="Q26" s="138">
        <v>0.1</v>
      </c>
      <c r="R26" s="138">
        <v>0</v>
      </c>
      <c r="S26" s="138">
        <v>0.1</v>
      </c>
      <c r="T26" s="138">
        <v>0.1</v>
      </c>
      <c r="U26" s="138">
        <v>0.1</v>
      </c>
      <c r="V26" s="138">
        <v>0.1</v>
      </c>
      <c r="W26" s="138">
        <v>0</v>
      </c>
      <c r="X26" s="138">
        <v>0.1</v>
      </c>
      <c r="Y26" s="138">
        <v>0</v>
      </c>
      <c r="Z26" s="138">
        <v>0.1</v>
      </c>
      <c r="AA26" s="138">
        <v>0.1</v>
      </c>
      <c r="AB26" s="138">
        <v>0.1</v>
      </c>
      <c r="AC26" s="138">
        <v>0.1</v>
      </c>
      <c r="AD26" s="138">
        <v>0.1</v>
      </c>
      <c r="AE26" s="138">
        <v>0.1</v>
      </c>
      <c r="AF26" s="138">
        <v>0.1</v>
      </c>
      <c r="AG26" s="138">
        <v>0</v>
      </c>
      <c r="AH26" s="138">
        <v>0</v>
      </c>
      <c r="AI26" s="138">
        <v>0</v>
      </c>
      <c r="AJ26" s="138">
        <v>0</v>
      </c>
      <c r="AK26" s="138">
        <v>0</v>
      </c>
      <c r="AL26" s="138">
        <v>0</v>
      </c>
      <c r="AM26" s="138">
        <v>0</v>
      </c>
      <c r="AN26" s="138">
        <v>0</v>
      </c>
      <c r="AO26" s="138">
        <v>0</v>
      </c>
      <c r="AP26" s="138">
        <v>0</v>
      </c>
      <c r="AQ26" s="138">
        <v>0</v>
      </c>
      <c r="AR26" s="138">
        <v>0</v>
      </c>
      <c r="AS26" s="138">
        <v>0.1</v>
      </c>
      <c r="AT26" s="138">
        <v>0.1</v>
      </c>
      <c r="AU26" s="138">
        <v>0.1</v>
      </c>
      <c r="AV26" s="138">
        <v>0.1</v>
      </c>
      <c r="AW26" s="138">
        <v>0</v>
      </c>
      <c r="AX26" s="138">
        <v>0</v>
      </c>
      <c r="AY26" s="138">
        <v>0.1</v>
      </c>
      <c r="AZ26" s="138">
        <v>0</v>
      </c>
      <c r="BA26" s="138">
        <v>0.1</v>
      </c>
      <c r="BB26" s="138">
        <v>0.1</v>
      </c>
      <c r="BC26" s="138">
        <v>0.1</v>
      </c>
      <c r="BD26" s="138">
        <v>0</v>
      </c>
      <c r="BE26" s="138">
        <v>0</v>
      </c>
      <c r="BF26" s="138">
        <v>0.1</v>
      </c>
      <c r="BG26" s="138">
        <v>0</v>
      </c>
      <c r="BH26" s="138">
        <v>0</v>
      </c>
      <c r="BI26" s="138">
        <v>0</v>
      </c>
      <c r="BJ26" s="138">
        <v>0</v>
      </c>
      <c r="BK26" s="138">
        <v>0</v>
      </c>
      <c r="BL26" s="138">
        <v>0</v>
      </c>
      <c r="BM26" s="138">
        <v>0</v>
      </c>
      <c r="BN26" s="138">
        <v>0.1</v>
      </c>
      <c r="BO26" s="138">
        <v>0.1</v>
      </c>
      <c r="BP26" s="138">
        <v>0.1</v>
      </c>
      <c r="BQ26" s="138">
        <v>0.1</v>
      </c>
      <c r="BR26" s="138">
        <v>0.1</v>
      </c>
      <c r="BS26" s="138">
        <v>0.1</v>
      </c>
      <c r="BT26" s="138">
        <v>0.1</v>
      </c>
      <c r="BU26" s="138">
        <v>0</v>
      </c>
      <c r="BV26" s="138">
        <v>0</v>
      </c>
      <c r="BW26" s="138">
        <v>0.1</v>
      </c>
      <c r="BX26" s="138">
        <v>0</v>
      </c>
      <c r="BY26" s="138">
        <v>0.1</v>
      </c>
      <c r="BZ26" s="138">
        <v>0.1</v>
      </c>
      <c r="CA26" s="138">
        <v>0.1</v>
      </c>
      <c r="CB26" s="138">
        <v>0.1</v>
      </c>
      <c r="CC26" s="138">
        <v>0.2</v>
      </c>
      <c r="CD26" s="138">
        <v>0.1</v>
      </c>
      <c r="CE26" s="138">
        <v>0.1</v>
      </c>
    </row>
    <row r="27" spans="1:83" ht="13.5" customHeight="1" x14ac:dyDescent="0.75">
      <c r="A27" s="68"/>
      <c r="B27" s="67" t="s">
        <v>258</v>
      </c>
      <c r="C27" s="66" t="s">
        <v>259</v>
      </c>
      <c r="D27" s="66"/>
      <c r="E27" s="138"/>
      <c r="F27" s="138"/>
      <c r="G27" s="138"/>
      <c r="H27" s="138"/>
      <c r="I27" s="138">
        <v>0</v>
      </c>
      <c r="J27" s="138">
        <v>0</v>
      </c>
      <c r="K27" s="138">
        <v>0</v>
      </c>
      <c r="L27" s="138">
        <v>0</v>
      </c>
      <c r="M27" s="138">
        <v>0.1</v>
      </c>
      <c r="N27" s="138">
        <v>0.1</v>
      </c>
      <c r="O27" s="138">
        <v>0.1</v>
      </c>
      <c r="P27" s="138">
        <v>0.1</v>
      </c>
      <c r="Q27" s="138">
        <v>0.1</v>
      </c>
      <c r="R27" s="138">
        <v>0</v>
      </c>
      <c r="S27" s="138">
        <v>0.1</v>
      </c>
      <c r="T27" s="138">
        <v>0.1</v>
      </c>
      <c r="U27" s="138">
        <v>0.1</v>
      </c>
      <c r="V27" s="138">
        <v>0.1</v>
      </c>
      <c r="W27" s="138">
        <v>0</v>
      </c>
      <c r="X27" s="138">
        <v>0.1</v>
      </c>
      <c r="Y27" s="138">
        <v>0.1</v>
      </c>
      <c r="Z27" s="138">
        <v>0.1</v>
      </c>
      <c r="AA27" s="138">
        <v>0.1</v>
      </c>
      <c r="AB27" s="138">
        <v>0.1</v>
      </c>
      <c r="AC27" s="138">
        <v>0.1</v>
      </c>
      <c r="AD27" s="138">
        <v>0</v>
      </c>
      <c r="AE27" s="138">
        <v>0</v>
      </c>
      <c r="AF27" s="138">
        <v>0</v>
      </c>
      <c r="AG27" s="138">
        <v>0</v>
      </c>
      <c r="AH27" s="138">
        <v>0</v>
      </c>
      <c r="AI27" s="138">
        <v>0</v>
      </c>
      <c r="AJ27" s="138">
        <v>0</v>
      </c>
      <c r="AK27" s="138">
        <v>0</v>
      </c>
      <c r="AL27" s="138">
        <v>0</v>
      </c>
      <c r="AM27" s="138">
        <v>0</v>
      </c>
      <c r="AN27" s="138">
        <v>0</v>
      </c>
      <c r="AO27" s="138">
        <v>0</v>
      </c>
      <c r="AP27" s="138">
        <v>0</v>
      </c>
      <c r="AQ27" s="138">
        <v>0</v>
      </c>
      <c r="AR27" s="138">
        <v>0</v>
      </c>
      <c r="AS27" s="138">
        <v>0</v>
      </c>
      <c r="AT27" s="138">
        <v>0</v>
      </c>
      <c r="AU27" s="138">
        <v>0</v>
      </c>
      <c r="AV27" s="138">
        <v>0</v>
      </c>
      <c r="AW27" s="138">
        <v>0</v>
      </c>
      <c r="AX27" s="138">
        <v>0</v>
      </c>
      <c r="AY27" s="138">
        <v>0</v>
      </c>
      <c r="AZ27" s="138">
        <v>0</v>
      </c>
      <c r="BA27" s="138">
        <v>0</v>
      </c>
      <c r="BB27" s="138">
        <v>0</v>
      </c>
      <c r="BC27" s="138">
        <v>0</v>
      </c>
      <c r="BD27" s="138">
        <v>0</v>
      </c>
      <c r="BE27" s="138">
        <v>0</v>
      </c>
      <c r="BF27" s="138">
        <v>0</v>
      </c>
      <c r="BG27" s="138">
        <v>0</v>
      </c>
      <c r="BH27" s="138">
        <v>0</v>
      </c>
      <c r="BI27" s="138">
        <v>0</v>
      </c>
      <c r="BJ27" s="138">
        <v>0</v>
      </c>
      <c r="BK27" s="138">
        <v>0</v>
      </c>
      <c r="BL27" s="138">
        <v>0</v>
      </c>
      <c r="BM27" s="138">
        <v>0</v>
      </c>
      <c r="BN27" s="138">
        <v>0</v>
      </c>
      <c r="BO27" s="138">
        <v>0</v>
      </c>
      <c r="BP27" s="138">
        <v>0</v>
      </c>
      <c r="BQ27" s="138">
        <v>0</v>
      </c>
      <c r="BR27" s="138">
        <v>0</v>
      </c>
      <c r="BS27" s="138">
        <v>0</v>
      </c>
      <c r="BT27" s="138">
        <v>0</v>
      </c>
      <c r="BU27" s="138">
        <v>0</v>
      </c>
      <c r="BV27" s="138">
        <v>0</v>
      </c>
      <c r="BW27" s="138">
        <v>0</v>
      </c>
      <c r="BX27" s="138">
        <v>0</v>
      </c>
      <c r="BY27" s="138">
        <v>0</v>
      </c>
      <c r="BZ27" s="138">
        <v>0</v>
      </c>
      <c r="CA27" s="138">
        <v>0</v>
      </c>
      <c r="CB27" s="138">
        <v>0</v>
      </c>
      <c r="CC27" s="138">
        <v>0</v>
      </c>
      <c r="CD27" s="138">
        <v>0</v>
      </c>
      <c r="CE27" s="138">
        <v>0</v>
      </c>
    </row>
    <row r="28" spans="1:83" ht="13.5" customHeight="1" x14ac:dyDescent="0.75">
      <c r="A28" s="68"/>
      <c r="B28" s="67" t="s">
        <v>260</v>
      </c>
      <c r="C28" s="66" t="s">
        <v>261</v>
      </c>
      <c r="D28" s="66"/>
      <c r="E28" s="138"/>
      <c r="F28" s="138"/>
      <c r="G28" s="138"/>
      <c r="H28" s="138"/>
      <c r="I28" s="138">
        <v>1.7</v>
      </c>
      <c r="J28" s="138">
        <v>0.5</v>
      </c>
      <c r="K28" s="138">
        <v>0.7</v>
      </c>
      <c r="L28" s="138">
        <v>0.7</v>
      </c>
      <c r="M28" s="138">
        <v>1</v>
      </c>
      <c r="N28" s="138">
        <v>1.8</v>
      </c>
      <c r="O28" s="138">
        <v>2.2000000000000002</v>
      </c>
      <c r="P28" s="138">
        <v>1.9</v>
      </c>
      <c r="Q28" s="138">
        <v>1.8</v>
      </c>
      <c r="R28" s="138">
        <v>0</v>
      </c>
      <c r="S28" s="138">
        <v>-1</v>
      </c>
      <c r="T28" s="138">
        <v>-0.2</v>
      </c>
      <c r="U28" s="138">
        <v>0.4</v>
      </c>
      <c r="V28" s="138">
        <v>0.2</v>
      </c>
      <c r="W28" s="138">
        <v>0.7</v>
      </c>
      <c r="X28" s="138">
        <v>1.1000000000000001</v>
      </c>
      <c r="Y28" s="138">
        <v>1.8</v>
      </c>
      <c r="Z28" s="138">
        <v>1.3</v>
      </c>
      <c r="AA28" s="138">
        <v>1.6</v>
      </c>
      <c r="AB28" s="138">
        <v>1.9</v>
      </c>
      <c r="AC28" s="138">
        <v>0</v>
      </c>
      <c r="AD28" s="138">
        <v>1.1000000000000001</v>
      </c>
      <c r="AE28" s="138">
        <v>1.7</v>
      </c>
      <c r="AF28" s="138">
        <v>1.8</v>
      </c>
      <c r="AG28" s="138">
        <v>1.6</v>
      </c>
      <c r="AH28" s="138">
        <v>1.6</v>
      </c>
      <c r="AI28" s="138">
        <v>0.7</v>
      </c>
      <c r="AJ28" s="138">
        <v>-0.2</v>
      </c>
      <c r="AK28" s="138">
        <v>0.7</v>
      </c>
      <c r="AL28" s="138">
        <v>1</v>
      </c>
      <c r="AM28" s="138">
        <v>1.1000000000000001</v>
      </c>
      <c r="AN28" s="138">
        <v>0.7</v>
      </c>
      <c r="AO28" s="138">
        <v>0.7</v>
      </c>
      <c r="AP28" s="138">
        <v>1.2</v>
      </c>
      <c r="AQ28" s="138">
        <v>1.7</v>
      </c>
      <c r="AR28" s="138">
        <v>2</v>
      </c>
      <c r="AS28" s="138">
        <v>1.9</v>
      </c>
      <c r="AT28" s="138">
        <v>0.8</v>
      </c>
      <c r="AU28" s="138">
        <v>-0.2</v>
      </c>
      <c r="AV28" s="138">
        <v>-0.5</v>
      </c>
      <c r="AW28" s="138">
        <v>-1.5</v>
      </c>
      <c r="AX28" s="138">
        <v>-1.2</v>
      </c>
      <c r="AY28" s="138">
        <v>-0.5</v>
      </c>
      <c r="AZ28" s="138">
        <v>-0.7</v>
      </c>
      <c r="BA28" s="138">
        <v>-0.4</v>
      </c>
      <c r="BB28" s="138">
        <v>0.1</v>
      </c>
      <c r="BC28" s="138">
        <v>0.7</v>
      </c>
      <c r="BD28" s="138">
        <v>1.1000000000000001</v>
      </c>
      <c r="BE28" s="138">
        <v>2.2000000000000002</v>
      </c>
      <c r="BF28" s="138">
        <v>2.7</v>
      </c>
      <c r="BG28" s="138">
        <v>3.1</v>
      </c>
      <c r="BH28" s="138">
        <v>2.6</v>
      </c>
      <c r="BI28" s="138">
        <v>0.5</v>
      </c>
      <c r="BJ28" s="138">
        <v>-1.8</v>
      </c>
      <c r="BK28" s="138">
        <v>-0.6</v>
      </c>
      <c r="BL28" s="138">
        <v>-0.2</v>
      </c>
      <c r="BM28" s="138">
        <v>1.3</v>
      </c>
      <c r="BN28" s="138">
        <v>0.5</v>
      </c>
      <c r="BO28" s="138">
        <v>0</v>
      </c>
      <c r="BP28" s="138">
        <v>-0.2</v>
      </c>
      <c r="BQ28" s="138">
        <v>2.7</v>
      </c>
      <c r="BR28" s="138">
        <v>5.2</v>
      </c>
      <c r="BS28" s="138">
        <v>2.2000000000000002</v>
      </c>
      <c r="BT28" s="138">
        <v>1.8</v>
      </c>
      <c r="BU28" s="138">
        <v>-0.7</v>
      </c>
      <c r="BV28" s="138">
        <v>-0.7</v>
      </c>
      <c r="BW28" s="138">
        <v>2.2000000000000002</v>
      </c>
      <c r="BX28" s="138">
        <v>2.8</v>
      </c>
      <c r="BY28" s="138">
        <v>3.3</v>
      </c>
      <c r="BZ28" s="138">
        <v>1.6</v>
      </c>
      <c r="CA28" s="138">
        <v>-0.6</v>
      </c>
      <c r="CB28" s="138">
        <v>-0.7</v>
      </c>
      <c r="CC28" s="138">
        <v>0.3</v>
      </c>
      <c r="CD28" s="138">
        <v>0.6</v>
      </c>
      <c r="CE28" s="138">
        <v>2.2000000000000002</v>
      </c>
    </row>
    <row r="29" spans="1:83" ht="14.25" customHeight="1" x14ac:dyDescent="0.75">
      <c r="A29" s="64"/>
      <c r="B29" s="81" t="s">
        <v>262</v>
      </c>
      <c r="C29" s="82" t="s">
        <v>263</v>
      </c>
      <c r="D29" s="82"/>
      <c r="E29" s="136"/>
      <c r="F29" s="136"/>
      <c r="G29" s="136"/>
      <c r="H29" s="136"/>
      <c r="I29" s="136">
        <v>5.8</v>
      </c>
      <c r="J29" s="136">
        <v>4.4000000000000004</v>
      </c>
      <c r="K29" s="136">
        <v>4.0999999999999996</v>
      </c>
      <c r="L29" s="136">
        <v>7</v>
      </c>
      <c r="M29" s="136">
        <v>5.4</v>
      </c>
      <c r="N29" s="136">
        <v>6.7</v>
      </c>
      <c r="O29" s="136">
        <v>6.4</v>
      </c>
      <c r="P29" s="136">
        <v>7.2</v>
      </c>
      <c r="Q29" s="136">
        <v>6.2</v>
      </c>
      <c r="R29" s="136">
        <v>1.8</v>
      </c>
      <c r="S29" s="136">
        <v>2.9</v>
      </c>
      <c r="T29" s="136">
        <v>1.1000000000000001</v>
      </c>
      <c r="U29" s="136">
        <v>2.2999999999999998</v>
      </c>
      <c r="V29" s="136">
        <v>4.2</v>
      </c>
      <c r="W29" s="136">
        <v>2.8</v>
      </c>
      <c r="X29" s="136">
        <v>4.0999999999999996</v>
      </c>
      <c r="Y29" s="136">
        <v>3.5</v>
      </c>
      <c r="Z29" s="136">
        <v>1.6</v>
      </c>
      <c r="AA29" s="136">
        <v>3.9</v>
      </c>
      <c r="AB29" s="136">
        <v>2</v>
      </c>
      <c r="AC29" s="136">
        <v>5.0999999999999996</v>
      </c>
      <c r="AD29" s="136">
        <v>6.2</v>
      </c>
      <c r="AE29" s="136">
        <v>4</v>
      </c>
      <c r="AF29" s="136">
        <v>4.2</v>
      </c>
      <c r="AG29" s="136">
        <v>1.6</v>
      </c>
      <c r="AH29" s="136">
        <v>2.9</v>
      </c>
      <c r="AI29" s="136">
        <v>1.8</v>
      </c>
      <c r="AJ29" s="136">
        <v>3.6</v>
      </c>
      <c r="AK29" s="136">
        <v>3.8</v>
      </c>
      <c r="AL29" s="136">
        <v>2.9</v>
      </c>
      <c r="AM29" s="136">
        <v>4</v>
      </c>
      <c r="AN29" s="136">
        <v>2.2999999999999998</v>
      </c>
      <c r="AO29" s="136">
        <v>4.5</v>
      </c>
      <c r="AP29" s="136">
        <v>4.4000000000000004</v>
      </c>
      <c r="AQ29" s="136">
        <v>5.2</v>
      </c>
      <c r="AR29" s="136">
        <v>4.5999999999999996</v>
      </c>
      <c r="AS29" s="136">
        <v>4.5</v>
      </c>
      <c r="AT29" s="136">
        <v>4.5999999999999996</v>
      </c>
      <c r="AU29" s="136">
        <v>3.3</v>
      </c>
      <c r="AV29" s="136">
        <v>2</v>
      </c>
      <c r="AW29" s="136">
        <v>1.6</v>
      </c>
      <c r="AX29" s="136">
        <v>2.2999999999999998</v>
      </c>
      <c r="AY29" s="136">
        <v>5.0999999999999996</v>
      </c>
      <c r="AZ29" s="136">
        <v>3.7</v>
      </c>
      <c r="BA29" s="136">
        <v>6.1</v>
      </c>
      <c r="BB29" s="136">
        <v>4</v>
      </c>
      <c r="BC29" s="136">
        <v>5</v>
      </c>
      <c r="BD29" s="136">
        <v>5.4</v>
      </c>
      <c r="BE29" s="136">
        <v>2.4</v>
      </c>
      <c r="BF29" s="136">
        <v>5.4</v>
      </c>
      <c r="BG29" s="136">
        <v>6.2</v>
      </c>
      <c r="BH29" s="136">
        <v>3.8</v>
      </c>
      <c r="BI29" s="136">
        <v>2</v>
      </c>
      <c r="BJ29" s="136">
        <v>-11.1</v>
      </c>
      <c r="BK29" s="136">
        <v>-8.1999999999999993</v>
      </c>
      <c r="BL29" s="136">
        <v>-3.6</v>
      </c>
      <c r="BM29" s="136">
        <v>-1.5</v>
      </c>
      <c r="BN29" s="136">
        <v>14.8</v>
      </c>
      <c r="BO29" s="136">
        <v>7.1</v>
      </c>
      <c r="BP29" s="136">
        <v>5.7</v>
      </c>
      <c r="BQ29" s="136">
        <v>5.5</v>
      </c>
      <c r="BR29" s="136">
        <v>4.0999999999999996</v>
      </c>
      <c r="BS29" s="136">
        <v>6.7</v>
      </c>
      <c r="BT29" s="136">
        <v>4.5</v>
      </c>
      <c r="BU29" s="136">
        <v>6.5</v>
      </c>
      <c r="BV29" s="136">
        <v>3.2</v>
      </c>
      <c r="BW29" s="136">
        <v>5.9</v>
      </c>
      <c r="BX29" s="136">
        <v>7.7</v>
      </c>
      <c r="BY29" s="136">
        <v>2.8</v>
      </c>
      <c r="BZ29" s="136">
        <v>5.9</v>
      </c>
      <c r="CA29" s="136">
        <v>5.6</v>
      </c>
      <c r="CB29" s="136">
        <v>3.8</v>
      </c>
      <c r="CC29" s="136">
        <v>4.2</v>
      </c>
      <c r="CD29" s="136">
        <v>4.3</v>
      </c>
      <c r="CE29" s="136">
        <v>5.5</v>
      </c>
    </row>
    <row r="30" spans="1:83" ht="14.25" customHeight="1" x14ac:dyDescent="0.75">
      <c r="A30" s="64"/>
      <c r="B30" s="81" t="s">
        <v>264</v>
      </c>
      <c r="C30" s="82" t="s">
        <v>265</v>
      </c>
      <c r="D30" s="82"/>
      <c r="E30" s="136"/>
      <c r="F30" s="136"/>
      <c r="G30" s="136"/>
      <c r="H30" s="136"/>
      <c r="I30" s="136">
        <v>2.4</v>
      </c>
      <c r="J30" s="136">
        <v>1.3</v>
      </c>
      <c r="K30" s="136">
        <v>0.9</v>
      </c>
      <c r="L30" s="136">
        <v>2.4</v>
      </c>
      <c r="M30" s="136">
        <v>1.5</v>
      </c>
      <c r="N30" s="136">
        <v>2.9</v>
      </c>
      <c r="O30" s="136">
        <v>3.4</v>
      </c>
      <c r="P30" s="136">
        <v>2.6</v>
      </c>
      <c r="Q30" s="136">
        <v>3</v>
      </c>
      <c r="R30" s="136">
        <v>0.7</v>
      </c>
      <c r="S30" s="136">
        <v>-0.3</v>
      </c>
      <c r="T30" s="136">
        <v>0.2</v>
      </c>
      <c r="U30" s="136">
        <v>0.7</v>
      </c>
      <c r="V30" s="136">
        <v>0.9</v>
      </c>
      <c r="W30" s="136">
        <v>1.6</v>
      </c>
      <c r="X30" s="136">
        <v>1.6</v>
      </c>
      <c r="Y30" s="136">
        <v>0.7</v>
      </c>
      <c r="Z30" s="136">
        <v>0.2</v>
      </c>
      <c r="AA30" s="136">
        <v>1.5</v>
      </c>
      <c r="AB30" s="136">
        <v>0.9</v>
      </c>
      <c r="AC30" s="136">
        <v>2</v>
      </c>
      <c r="AD30" s="136">
        <v>2.5</v>
      </c>
      <c r="AE30" s="136">
        <v>2.5</v>
      </c>
      <c r="AF30" s="136">
        <v>1.7</v>
      </c>
      <c r="AG30" s="136">
        <v>0.6</v>
      </c>
      <c r="AH30" s="136">
        <v>1.2</v>
      </c>
      <c r="AI30" s="136">
        <v>0.3</v>
      </c>
      <c r="AJ30" s="136">
        <v>1.3</v>
      </c>
      <c r="AK30" s="136">
        <v>1.5</v>
      </c>
      <c r="AL30" s="136">
        <v>0.8</v>
      </c>
      <c r="AM30" s="136">
        <v>0.8</v>
      </c>
      <c r="AN30" s="136">
        <v>0.5</v>
      </c>
      <c r="AO30" s="136">
        <v>1.7</v>
      </c>
      <c r="AP30" s="136">
        <v>1.6</v>
      </c>
      <c r="AQ30" s="136">
        <v>1.7</v>
      </c>
      <c r="AR30" s="136">
        <v>1.5</v>
      </c>
      <c r="AS30" s="136">
        <v>1.5</v>
      </c>
      <c r="AT30" s="136">
        <v>2.1</v>
      </c>
      <c r="AU30" s="136">
        <v>0.8</v>
      </c>
      <c r="AV30" s="136">
        <v>0</v>
      </c>
      <c r="AW30" s="136">
        <v>-0.2</v>
      </c>
      <c r="AX30" s="136">
        <v>0.6</v>
      </c>
      <c r="AY30" s="136">
        <v>2.4</v>
      </c>
      <c r="AZ30" s="136">
        <v>2.2999999999999998</v>
      </c>
      <c r="BA30" s="136">
        <v>3.8</v>
      </c>
      <c r="BB30" s="136">
        <v>2</v>
      </c>
      <c r="BC30" s="136">
        <v>2.9</v>
      </c>
      <c r="BD30" s="136">
        <v>2.9</v>
      </c>
      <c r="BE30" s="136">
        <v>1.1000000000000001</v>
      </c>
      <c r="BF30" s="136">
        <v>2.7</v>
      </c>
      <c r="BG30" s="136">
        <v>3.7</v>
      </c>
      <c r="BH30" s="136">
        <v>2</v>
      </c>
      <c r="BI30" s="136">
        <v>0.9</v>
      </c>
      <c r="BJ30" s="136">
        <v>-5.2</v>
      </c>
      <c r="BK30" s="136">
        <v>-3.4</v>
      </c>
      <c r="BL30" s="136">
        <v>-1.7</v>
      </c>
      <c r="BM30" s="136">
        <v>-1.1000000000000001</v>
      </c>
      <c r="BN30" s="136">
        <v>6.7</v>
      </c>
      <c r="BO30" s="136">
        <v>0.8</v>
      </c>
      <c r="BP30" s="136">
        <v>1.6</v>
      </c>
      <c r="BQ30" s="136">
        <v>2.1</v>
      </c>
      <c r="BR30" s="136">
        <v>2.2000000000000002</v>
      </c>
      <c r="BS30" s="136">
        <v>2.5</v>
      </c>
      <c r="BT30" s="136">
        <v>1.9</v>
      </c>
      <c r="BU30" s="136">
        <v>3.4</v>
      </c>
      <c r="BV30" s="136">
        <v>0.7</v>
      </c>
      <c r="BW30" s="136">
        <v>3.1</v>
      </c>
      <c r="BX30" s="136">
        <v>2.4</v>
      </c>
      <c r="BY30" s="136">
        <v>0.7</v>
      </c>
      <c r="BZ30" s="136">
        <v>2.2000000000000002</v>
      </c>
      <c r="CA30" s="136">
        <v>1.7</v>
      </c>
      <c r="CB30" s="136">
        <v>1.5</v>
      </c>
      <c r="CC30" s="136">
        <v>1.5</v>
      </c>
      <c r="CD30" s="136">
        <v>1.8</v>
      </c>
      <c r="CE30" s="136">
        <v>2.9</v>
      </c>
    </row>
    <row r="31" spans="1:83" ht="13.5" customHeight="1" x14ac:dyDescent="0.75">
      <c r="A31" s="68"/>
      <c r="B31" s="67" t="s">
        <v>266</v>
      </c>
      <c r="C31" s="66" t="s">
        <v>267</v>
      </c>
      <c r="D31" s="66"/>
      <c r="E31" s="138"/>
      <c r="F31" s="138"/>
      <c r="G31" s="138"/>
      <c r="H31" s="138"/>
      <c r="I31" s="138">
        <v>0.1</v>
      </c>
      <c r="J31" s="138">
        <v>0</v>
      </c>
      <c r="K31" s="138">
        <v>0</v>
      </c>
      <c r="L31" s="138">
        <v>0.1</v>
      </c>
      <c r="M31" s="138">
        <v>0</v>
      </c>
      <c r="N31" s="138">
        <v>0.1</v>
      </c>
      <c r="O31" s="138">
        <v>0.1</v>
      </c>
      <c r="P31" s="138">
        <v>0.1</v>
      </c>
      <c r="Q31" s="138">
        <v>0.1</v>
      </c>
      <c r="R31" s="138">
        <v>0</v>
      </c>
      <c r="S31" s="138">
        <v>0</v>
      </c>
      <c r="T31" s="138">
        <v>0</v>
      </c>
      <c r="U31" s="138">
        <v>0</v>
      </c>
      <c r="V31" s="138">
        <v>0</v>
      </c>
      <c r="W31" s="138">
        <v>0.1</v>
      </c>
      <c r="X31" s="138">
        <v>0.1</v>
      </c>
      <c r="Y31" s="138">
        <v>0.1</v>
      </c>
      <c r="Z31" s="138">
        <v>0.1</v>
      </c>
      <c r="AA31" s="138">
        <v>0</v>
      </c>
      <c r="AB31" s="138">
        <v>0</v>
      </c>
      <c r="AC31" s="138">
        <v>0</v>
      </c>
      <c r="AD31" s="138">
        <v>0</v>
      </c>
      <c r="AE31" s="138">
        <v>0</v>
      </c>
      <c r="AF31" s="138">
        <v>0</v>
      </c>
      <c r="AG31" s="138">
        <v>0</v>
      </c>
      <c r="AH31" s="138">
        <v>0</v>
      </c>
      <c r="AI31" s="138">
        <v>0</v>
      </c>
      <c r="AJ31" s="138">
        <v>0</v>
      </c>
      <c r="AK31" s="138">
        <v>0</v>
      </c>
      <c r="AL31" s="138">
        <v>0</v>
      </c>
      <c r="AM31" s="138">
        <v>0</v>
      </c>
      <c r="AN31" s="138">
        <v>0</v>
      </c>
      <c r="AO31" s="138">
        <v>0</v>
      </c>
      <c r="AP31" s="138">
        <v>0</v>
      </c>
      <c r="AQ31" s="138">
        <v>0</v>
      </c>
      <c r="AR31" s="138">
        <v>0</v>
      </c>
      <c r="AS31" s="138">
        <v>0</v>
      </c>
      <c r="AT31" s="138">
        <v>0</v>
      </c>
      <c r="AU31" s="138">
        <v>0</v>
      </c>
      <c r="AV31" s="138">
        <v>0</v>
      </c>
      <c r="AW31" s="138">
        <v>0</v>
      </c>
      <c r="AX31" s="138">
        <v>0</v>
      </c>
      <c r="AY31" s="138">
        <v>0</v>
      </c>
      <c r="AZ31" s="138">
        <v>0</v>
      </c>
      <c r="BA31" s="138">
        <v>0</v>
      </c>
      <c r="BB31" s="138">
        <v>0</v>
      </c>
      <c r="BC31" s="138">
        <v>0</v>
      </c>
      <c r="BD31" s="138">
        <v>0</v>
      </c>
      <c r="BE31" s="138">
        <v>0</v>
      </c>
      <c r="BF31" s="138">
        <v>0</v>
      </c>
      <c r="BG31" s="138">
        <v>0</v>
      </c>
      <c r="BH31" s="138">
        <v>0</v>
      </c>
      <c r="BI31" s="138">
        <v>0</v>
      </c>
      <c r="BJ31" s="138">
        <v>-0.2</v>
      </c>
      <c r="BK31" s="138">
        <v>0.1</v>
      </c>
      <c r="BL31" s="138">
        <v>0.1</v>
      </c>
      <c r="BM31" s="138">
        <v>0.1</v>
      </c>
      <c r="BN31" s="138">
        <v>0.4</v>
      </c>
      <c r="BO31" s="138">
        <v>0.1</v>
      </c>
      <c r="BP31" s="138">
        <v>0.1</v>
      </c>
      <c r="BQ31" s="138">
        <v>0.1</v>
      </c>
      <c r="BR31" s="138">
        <v>0.1</v>
      </c>
      <c r="BS31" s="138">
        <v>0.1</v>
      </c>
      <c r="BT31" s="138">
        <v>0.1</v>
      </c>
      <c r="BU31" s="138">
        <v>0.1</v>
      </c>
      <c r="BV31" s="138">
        <v>0.1</v>
      </c>
      <c r="BW31" s="138">
        <v>0.1</v>
      </c>
      <c r="BX31" s="138">
        <v>0.1</v>
      </c>
      <c r="BY31" s="138">
        <v>0.1</v>
      </c>
      <c r="BZ31" s="138">
        <v>0</v>
      </c>
      <c r="CA31" s="138">
        <v>0.1</v>
      </c>
      <c r="CB31" s="138">
        <v>0.1</v>
      </c>
      <c r="CC31" s="138">
        <v>0.2</v>
      </c>
      <c r="CD31" s="138">
        <v>0.2</v>
      </c>
      <c r="CE31" s="138">
        <v>0.2</v>
      </c>
    </row>
    <row r="32" spans="1:83" ht="13.5" customHeight="1" x14ac:dyDescent="0.75">
      <c r="A32" s="68"/>
      <c r="B32" s="67" t="s">
        <v>268</v>
      </c>
      <c r="C32" s="66" t="s">
        <v>269</v>
      </c>
      <c r="D32" s="66"/>
      <c r="E32" s="138"/>
      <c r="F32" s="138"/>
      <c r="G32" s="138"/>
      <c r="H32" s="138"/>
      <c r="I32" s="138">
        <v>1.4</v>
      </c>
      <c r="J32" s="138">
        <v>0.7</v>
      </c>
      <c r="K32" s="138">
        <v>0.4</v>
      </c>
      <c r="L32" s="138">
        <v>1.1000000000000001</v>
      </c>
      <c r="M32" s="138">
        <v>0.6</v>
      </c>
      <c r="N32" s="138">
        <v>1.3</v>
      </c>
      <c r="O32" s="138">
        <v>1.7</v>
      </c>
      <c r="P32" s="138">
        <v>1.2</v>
      </c>
      <c r="Q32" s="138">
        <v>1.6</v>
      </c>
      <c r="R32" s="138">
        <v>0.1</v>
      </c>
      <c r="S32" s="138">
        <v>-0.3</v>
      </c>
      <c r="T32" s="138">
        <v>-0.2</v>
      </c>
      <c r="U32" s="138">
        <v>0.1</v>
      </c>
      <c r="V32" s="138">
        <v>0.3</v>
      </c>
      <c r="W32" s="138">
        <v>0.8</v>
      </c>
      <c r="X32" s="138">
        <v>1.1000000000000001</v>
      </c>
      <c r="Y32" s="138">
        <v>0.4</v>
      </c>
      <c r="Z32" s="138">
        <v>0.1</v>
      </c>
      <c r="AA32" s="138">
        <v>1</v>
      </c>
      <c r="AB32" s="138">
        <v>0.6</v>
      </c>
      <c r="AC32" s="138">
        <v>1.1000000000000001</v>
      </c>
      <c r="AD32" s="138">
        <v>1.3</v>
      </c>
      <c r="AE32" s="138">
        <v>1</v>
      </c>
      <c r="AF32" s="138">
        <v>0.5</v>
      </c>
      <c r="AG32" s="138">
        <v>0</v>
      </c>
      <c r="AH32" s="138">
        <v>0.6</v>
      </c>
      <c r="AI32" s="138">
        <v>0.1</v>
      </c>
      <c r="AJ32" s="138">
        <v>0.9</v>
      </c>
      <c r="AK32" s="138">
        <v>1.2</v>
      </c>
      <c r="AL32" s="138">
        <v>0.4</v>
      </c>
      <c r="AM32" s="138">
        <v>0.5</v>
      </c>
      <c r="AN32" s="138">
        <v>0.3</v>
      </c>
      <c r="AO32" s="138">
        <v>1</v>
      </c>
      <c r="AP32" s="138">
        <v>1</v>
      </c>
      <c r="AQ32" s="138">
        <v>0.9</v>
      </c>
      <c r="AR32" s="138">
        <v>0.7</v>
      </c>
      <c r="AS32" s="138">
        <v>0.8</v>
      </c>
      <c r="AT32" s="138">
        <v>1.1000000000000001</v>
      </c>
      <c r="AU32" s="138">
        <v>0.5</v>
      </c>
      <c r="AV32" s="138">
        <v>-0.4</v>
      </c>
      <c r="AW32" s="138">
        <v>-0.6</v>
      </c>
      <c r="AX32" s="138">
        <v>-0.4</v>
      </c>
      <c r="AY32" s="138">
        <v>0.5</v>
      </c>
      <c r="AZ32" s="138">
        <v>1.1000000000000001</v>
      </c>
      <c r="BA32" s="138">
        <v>1.9</v>
      </c>
      <c r="BB32" s="138">
        <v>0.9</v>
      </c>
      <c r="BC32" s="138">
        <v>1.1000000000000001</v>
      </c>
      <c r="BD32" s="138">
        <v>1.4</v>
      </c>
      <c r="BE32" s="138">
        <v>0.4</v>
      </c>
      <c r="BF32" s="138">
        <v>1.8</v>
      </c>
      <c r="BG32" s="138">
        <v>1.9</v>
      </c>
      <c r="BH32" s="138">
        <v>1</v>
      </c>
      <c r="BI32" s="138">
        <v>0.9</v>
      </c>
      <c r="BJ32" s="138">
        <v>-1.8</v>
      </c>
      <c r="BK32" s="138">
        <v>0</v>
      </c>
      <c r="BL32" s="138">
        <v>-0.1</v>
      </c>
      <c r="BM32" s="138">
        <v>0</v>
      </c>
      <c r="BN32" s="138">
        <v>3.4</v>
      </c>
      <c r="BO32" s="138">
        <v>-0.5</v>
      </c>
      <c r="BP32" s="138">
        <v>0.5</v>
      </c>
      <c r="BQ32" s="138">
        <v>0.7</v>
      </c>
      <c r="BR32" s="138">
        <v>0.8</v>
      </c>
      <c r="BS32" s="138">
        <v>0.7</v>
      </c>
      <c r="BT32" s="138">
        <v>0.7</v>
      </c>
      <c r="BU32" s="138">
        <v>1.8</v>
      </c>
      <c r="BV32" s="138">
        <v>0.1</v>
      </c>
      <c r="BW32" s="138">
        <v>1.4</v>
      </c>
      <c r="BX32" s="138">
        <v>1.3</v>
      </c>
      <c r="BY32" s="138">
        <v>0.2</v>
      </c>
      <c r="BZ32" s="138">
        <v>1.4</v>
      </c>
      <c r="CA32" s="138">
        <v>1.1000000000000001</v>
      </c>
      <c r="CB32" s="138">
        <v>1.1000000000000001</v>
      </c>
      <c r="CC32" s="138">
        <v>1.1000000000000001</v>
      </c>
      <c r="CD32" s="138">
        <v>1.2</v>
      </c>
      <c r="CE32" s="138">
        <v>1.9</v>
      </c>
    </row>
    <row r="33" spans="1:83" ht="13.5" customHeight="1" x14ac:dyDescent="0.75">
      <c r="A33" s="68"/>
      <c r="B33" s="67" t="s">
        <v>270</v>
      </c>
      <c r="C33" s="66" t="s">
        <v>271</v>
      </c>
      <c r="D33" s="66"/>
      <c r="E33" s="138"/>
      <c r="F33" s="138"/>
      <c r="G33" s="138"/>
      <c r="H33" s="138"/>
      <c r="I33" s="138">
        <v>0.9</v>
      </c>
      <c r="J33" s="138">
        <v>0.6</v>
      </c>
      <c r="K33" s="138">
        <v>0.4</v>
      </c>
      <c r="L33" s="138">
        <v>1.2</v>
      </c>
      <c r="M33" s="138">
        <v>0.9</v>
      </c>
      <c r="N33" s="138">
        <v>1.4</v>
      </c>
      <c r="O33" s="138">
        <v>1.6</v>
      </c>
      <c r="P33" s="138">
        <v>1.4</v>
      </c>
      <c r="Q33" s="138">
        <v>1.2</v>
      </c>
      <c r="R33" s="138">
        <v>0.6</v>
      </c>
      <c r="S33" s="138">
        <v>0.1</v>
      </c>
      <c r="T33" s="138">
        <v>0.4</v>
      </c>
      <c r="U33" s="138">
        <v>0.6</v>
      </c>
      <c r="V33" s="138">
        <v>0.5</v>
      </c>
      <c r="W33" s="138">
        <v>0.7</v>
      </c>
      <c r="X33" s="138">
        <v>0.4</v>
      </c>
      <c r="Y33" s="138">
        <v>0.3</v>
      </c>
      <c r="Z33" s="138">
        <v>0</v>
      </c>
      <c r="AA33" s="138">
        <v>0.5</v>
      </c>
      <c r="AB33" s="138">
        <v>0.4</v>
      </c>
      <c r="AC33" s="138">
        <v>0.8</v>
      </c>
      <c r="AD33" s="138">
        <v>1.2</v>
      </c>
      <c r="AE33" s="138">
        <v>1.5</v>
      </c>
      <c r="AF33" s="138">
        <v>1.2</v>
      </c>
      <c r="AG33" s="138">
        <v>0.6</v>
      </c>
      <c r="AH33" s="138">
        <v>0.6</v>
      </c>
      <c r="AI33" s="138">
        <v>0.2</v>
      </c>
      <c r="AJ33" s="138">
        <v>0.5</v>
      </c>
      <c r="AK33" s="138">
        <v>0.4</v>
      </c>
      <c r="AL33" s="138">
        <v>0.4</v>
      </c>
      <c r="AM33" s="138">
        <v>0.2</v>
      </c>
      <c r="AN33" s="138">
        <v>0.1</v>
      </c>
      <c r="AO33" s="138">
        <v>0.7</v>
      </c>
      <c r="AP33" s="138">
        <v>0.5</v>
      </c>
      <c r="AQ33" s="138">
        <v>0.7</v>
      </c>
      <c r="AR33" s="138">
        <v>0.7</v>
      </c>
      <c r="AS33" s="138">
        <v>0.7</v>
      </c>
      <c r="AT33" s="138">
        <v>0.9</v>
      </c>
      <c r="AU33" s="138">
        <v>0.3</v>
      </c>
      <c r="AV33" s="138">
        <v>0.4</v>
      </c>
      <c r="AW33" s="138">
        <v>0.3</v>
      </c>
      <c r="AX33" s="138">
        <v>0.9</v>
      </c>
      <c r="AY33" s="138">
        <v>1.9</v>
      </c>
      <c r="AZ33" s="138">
        <v>1.2</v>
      </c>
      <c r="BA33" s="138">
        <v>1.9</v>
      </c>
      <c r="BB33" s="138">
        <v>1.1000000000000001</v>
      </c>
      <c r="BC33" s="138">
        <v>1.7</v>
      </c>
      <c r="BD33" s="138">
        <v>1.5</v>
      </c>
      <c r="BE33" s="138">
        <v>0.7</v>
      </c>
      <c r="BF33" s="138">
        <v>0.9</v>
      </c>
      <c r="BG33" s="138">
        <v>1.8</v>
      </c>
      <c r="BH33" s="138">
        <v>1</v>
      </c>
      <c r="BI33" s="138">
        <v>0</v>
      </c>
      <c r="BJ33" s="138">
        <v>-3.3</v>
      </c>
      <c r="BK33" s="138">
        <v>-3.5</v>
      </c>
      <c r="BL33" s="138">
        <v>-1.7</v>
      </c>
      <c r="BM33" s="138">
        <v>-1.1000000000000001</v>
      </c>
      <c r="BN33" s="138">
        <v>2.9</v>
      </c>
      <c r="BO33" s="138">
        <v>1.2</v>
      </c>
      <c r="BP33" s="138">
        <v>1</v>
      </c>
      <c r="BQ33" s="138">
        <v>1.3</v>
      </c>
      <c r="BR33" s="138">
        <v>1.4</v>
      </c>
      <c r="BS33" s="138">
        <v>1.7</v>
      </c>
      <c r="BT33" s="138">
        <v>1.1000000000000001</v>
      </c>
      <c r="BU33" s="138">
        <v>1.5</v>
      </c>
      <c r="BV33" s="138">
        <v>0.5</v>
      </c>
      <c r="BW33" s="138">
        <v>1.6</v>
      </c>
      <c r="BX33" s="138">
        <v>1</v>
      </c>
      <c r="BY33" s="138">
        <v>0.5</v>
      </c>
      <c r="BZ33" s="138">
        <v>0.8</v>
      </c>
      <c r="CA33" s="138">
        <v>0.5</v>
      </c>
      <c r="CB33" s="138">
        <v>0.3</v>
      </c>
      <c r="CC33" s="138">
        <v>0.2</v>
      </c>
      <c r="CD33" s="138">
        <v>0.4</v>
      </c>
      <c r="CE33" s="138">
        <v>0.8</v>
      </c>
    </row>
    <row r="34" spans="1:83" ht="14.25" customHeight="1" x14ac:dyDescent="0.75">
      <c r="A34" s="64"/>
      <c r="B34" s="81" t="s">
        <v>272</v>
      </c>
      <c r="C34" s="82" t="s">
        <v>273</v>
      </c>
      <c r="D34" s="82"/>
      <c r="E34" s="136"/>
      <c r="F34" s="136"/>
      <c r="G34" s="136"/>
      <c r="H34" s="136"/>
      <c r="I34" s="136">
        <v>3.5</v>
      </c>
      <c r="J34" s="136">
        <v>3.1</v>
      </c>
      <c r="K34" s="136">
        <v>3.2</v>
      </c>
      <c r="L34" s="136">
        <v>4.5999999999999996</v>
      </c>
      <c r="M34" s="136">
        <v>3.9</v>
      </c>
      <c r="N34" s="136">
        <v>3.8</v>
      </c>
      <c r="O34" s="136">
        <v>2.9</v>
      </c>
      <c r="P34" s="136">
        <v>4.5</v>
      </c>
      <c r="Q34" s="136">
        <v>3.2</v>
      </c>
      <c r="R34" s="136">
        <v>1.1000000000000001</v>
      </c>
      <c r="S34" s="136">
        <v>3.2</v>
      </c>
      <c r="T34" s="136">
        <v>0.9</v>
      </c>
      <c r="U34" s="136">
        <v>1.6</v>
      </c>
      <c r="V34" s="136">
        <v>3.3</v>
      </c>
      <c r="W34" s="136">
        <v>1.2</v>
      </c>
      <c r="X34" s="136">
        <v>2.5</v>
      </c>
      <c r="Y34" s="136">
        <v>2.8</v>
      </c>
      <c r="Z34" s="136">
        <v>1.4</v>
      </c>
      <c r="AA34" s="136">
        <v>2.4</v>
      </c>
      <c r="AB34" s="136">
        <v>1</v>
      </c>
      <c r="AC34" s="136">
        <v>3.2</v>
      </c>
      <c r="AD34" s="136">
        <v>3.6</v>
      </c>
      <c r="AE34" s="136">
        <v>1.5</v>
      </c>
      <c r="AF34" s="136">
        <v>2.5</v>
      </c>
      <c r="AG34" s="136">
        <v>0.9</v>
      </c>
      <c r="AH34" s="136">
        <v>1.7</v>
      </c>
      <c r="AI34" s="136">
        <v>1.4</v>
      </c>
      <c r="AJ34" s="136">
        <v>2.2000000000000002</v>
      </c>
      <c r="AK34" s="136">
        <v>2.2000000000000002</v>
      </c>
      <c r="AL34" s="136">
        <v>2.1</v>
      </c>
      <c r="AM34" s="136">
        <v>3.2</v>
      </c>
      <c r="AN34" s="136">
        <v>1.8</v>
      </c>
      <c r="AO34" s="136">
        <v>2.8</v>
      </c>
      <c r="AP34" s="136">
        <v>2.9</v>
      </c>
      <c r="AQ34" s="136">
        <v>3.5</v>
      </c>
      <c r="AR34" s="136">
        <v>3.1</v>
      </c>
      <c r="AS34" s="136">
        <v>3.1</v>
      </c>
      <c r="AT34" s="136">
        <v>2.6</v>
      </c>
      <c r="AU34" s="136">
        <v>2.6</v>
      </c>
      <c r="AV34" s="136">
        <v>2.1</v>
      </c>
      <c r="AW34" s="136">
        <v>1.8</v>
      </c>
      <c r="AX34" s="136">
        <v>1.7</v>
      </c>
      <c r="AY34" s="136">
        <v>2.8</v>
      </c>
      <c r="AZ34" s="136">
        <v>1.4</v>
      </c>
      <c r="BA34" s="136">
        <v>2.2999999999999998</v>
      </c>
      <c r="BB34" s="136">
        <v>2</v>
      </c>
      <c r="BC34" s="136">
        <v>2.1</v>
      </c>
      <c r="BD34" s="136">
        <v>2.4</v>
      </c>
      <c r="BE34" s="136">
        <v>1.3</v>
      </c>
      <c r="BF34" s="136">
        <v>2.7</v>
      </c>
      <c r="BG34" s="136">
        <v>2.5</v>
      </c>
      <c r="BH34" s="136">
        <v>1.7</v>
      </c>
      <c r="BI34" s="136">
        <v>1</v>
      </c>
      <c r="BJ34" s="136">
        <v>-5.9</v>
      </c>
      <c r="BK34" s="136">
        <v>-4.7</v>
      </c>
      <c r="BL34" s="136">
        <v>-1.9</v>
      </c>
      <c r="BM34" s="136">
        <v>-0.4</v>
      </c>
      <c r="BN34" s="136">
        <v>8.1</v>
      </c>
      <c r="BO34" s="136">
        <v>6.3</v>
      </c>
      <c r="BP34" s="136">
        <v>4</v>
      </c>
      <c r="BQ34" s="136">
        <v>3.4</v>
      </c>
      <c r="BR34" s="136">
        <v>1.9</v>
      </c>
      <c r="BS34" s="136">
        <v>4.2</v>
      </c>
      <c r="BT34" s="136">
        <v>2.5</v>
      </c>
      <c r="BU34" s="136">
        <v>3.1</v>
      </c>
      <c r="BV34" s="136">
        <v>2.5</v>
      </c>
      <c r="BW34" s="136">
        <v>2.8</v>
      </c>
      <c r="BX34" s="136">
        <v>5.4</v>
      </c>
      <c r="BY34" s="136">
        <v>2.1</v>
      </c>
      <c r="BZ34" s="136">
        <v>3.7</v>
      </c>
      <c r="CA34" s="136">
        <v>3.8</v>
      </c>
      <c r="CB34" s="136">
        <v>2.2000000000000002</v>
      </c>
      <c r="CC34" s="136">
        <v>2.7</v>
      </c>
      <c r="CD34" s="136">
        <v>2.5</v>
      </c>
      <c r="CE34" s="136">
        <v>2.6</v>
      </c>
    </row>
    <row r="35" spans="1:83" ht="13.5" customHeight="1" x14ac:dyDescent="0.75">
      <c r="A35" s="68"/>
      <c r="B35" s="67" t="s">
        <v>274</v>
      </c>
      <c r="C35" s="66" t="s">
        <v>275</v>
      </c>
      <c r="D35" s="66"/>
      <c r="E35" s="138"/>
      <c r="F35" s="138"/>
      <c r="G35" s="138"/>
      <c r="H35" s="138"/>
      <c r="I35" s="138">
        <v>0.4</v>
      </c>
      <c r="J35" s="138">
        <v>-0.1</v>
      </c>
      <c r="K35" s="138">
        <v>-0.1</v>
      </c>
      <c r="L35" s="138">
        <v>0.4</v>
      </c>
      <c r="M35" s="138">
        <v>0.8</v>
      </c>
      <c r="N35" s="138">
        <v>0.3</v>
      </c>
      <c r="O35" s="138">
        <v>0.3</v>
      </c>
      <c r="P35" s="138">
        <v>-0.2</v>
      </c>
      <c r="Q35" s="138">
        <v>-0.8</v>
      </c>
      <c r="R35" s="138">
        <v>-0.2</v>
      </c>
      <c r="S35" s="138">
        <v>-0.2</v>
      </c>
      <c r="T35" s="138">
        <v>0.2</v>
      </c>
      <c r="U35" s="138">
        <v>0.3</v>
      </c>
      <c r="V35" s="138">
        <v>0.4</v>
      </c>
      <c r="W35" s="138">
        <v>0.3</v>
      </c>
      <c r="X35" s="138">
        <v>0.3</v>
      </c>
      <c r="Y35" s="138">
        <v>0.2</v>
      </c>
      <c r="Z35" s="138">
        <v>0.1</v>
      </c>
      <c r="AA35" s="138">
        <v>0.2</v>
      </c>
      <c r="AB35" s="138">
        <v>0.1</v>
      </c>
      <c r="AC35" s="138">
        <v>0.3</v>
      </c>
      <c r="AD35" s="138">
        <v>0.3</v>
      </c>
      <c r="AE35" s="138">
        <v>0.2</v>
      </c>
      <c r="AF35" s="138">
        <v>0.1</v>
      </c>
      <c r="AG35" s="138">
        <v>0</v>
      </c>
      <c r="AH35" s="138">
        <v>0.1</v>
      </c>
      <c r="AI35" s="138">
        <v>0.1</v>
      </c>
      <c r="AJ35" s="138">
        <v>0.3</v>
      </c>
      <c r="AK35" s="138">
        <v>0.4</v>
      </c>
      <c r="AL35" s="138">
        <v>0.4</v>
      </c>
      <c r="AM35" s="138">
        <v>0.6</v>
      </c>
      <c r="AN35" s="138">
        <v>0.4</v>
      </c>
      <c r="AO35" s="138">
        <v>0.4</v>
      </c>
      <c r="AP35" s="138">
        <v>0.4</v>
      </c>
      <c r="AQ35" s="138">
        <v>0.3</v>
      </c>
      <c r="AR35" s="138">
        <v>0.4</v>
      </c>
      <c r="AS35" s="138">
        <v>0.5</v>
      </c>
      <c r="AT35" s="138">
        <v>0.4</v>
      </c>
      <c r="AU35" s="138">
        <v>0.5</v>
      </c>
      <c r="AV35" s="138">
        <v>0.3</v>
      </c>
      <c r="AW35" s="138">
        <v>0.6</v>
      </c>
      <c r="AX35" s="138">
        <v>0.2</v>
      </c>
      <c r="AY35" s="138">
        <v>0.1</v>
      </c>
      <c r="AZ35" s="138">
        <v>0.2</v>
      </c>
      <c r="BA35" s="138">
        <v>0</v>
      </c>
      <c r="BB35" s="138">
        <v>0.3</v>
      </c>
      <c r="BC35" s="138">
        <v>0.5</v>
      </c>
      <c r="BD35" s="138">
        <v>0.4</v>
      </c>
      <c r="BE35" s="138">
        <v>0.3</v>
      </c>
      <c r="BF35" s="138">
        <v>0.3</v>
      </c>
      <c r="BG35" s="138">
        <v>0.5</v>
      </c>
      <c r="BH35" s="138">
        <v>0.5</v>
      </c>
      <c r="BI35" s="138">
        <v>0.1</v>
      </c>
      <c r="BJ35" s="138">
        <v>-2.4</v>
      </c>
      <c r="BK35" s="138">
        <v>-2.5</v>
      </c>
      <c r="BL35" s="138">
        <v>-1.8</v>
      </c>
      <c r="BM35" s="138">
        <v>-1.4</v>
      </c>
      <c r="BN35" s="138">
        <v>1.6</v>
      </c>
      <c r="BO35" s="138">
        <v>1.2</v>
      </c>
      <c r="BP35" s="138">
        <v>0.8</v>
      </c>
      <c r="BQ35" s="138">
        <v>0.6</v>
      </c>
      <c r="BR35" s="138">
        <v>0.5</v>
      </c>
      <c r="BS35" s="138">
        <v>0.9</v>
      </c>
      <c r="BT35" s="138">
        <v>0.5</v>
      </c>
      <c r="BU35" s="138">
        <v>0.5</v>
      </c>
      <c r="BV35" s="138">
        <v>0.3</v>
      </c>
      <c r="BW35" s="138">
        <v>0.5</v>
      </c>
      <c r="BX35" s="138">
        <v>0.5</v>
      </c>
      <c r="BY35" s="138">
        <v>0.4</v>
      </c>
      <c r="BZ35" s="138">
        <v>0.5</v>
      </c>
      <c r="CA35" s="138">
        <v>0.4</v>
      </c>
      <c r="CB35" s="138">
        <v>0.1</v>
      </c>
      <c r="CC35" s="138">
        <v>0.2</v>
      </c>
      <c r="CD35" s="138">
        <v>-0.2</v>
      </c>
      <c r="CE35" s="138">
        <v>-0.1</v>
      </c>
    </row>
    <row r="36" spans="1:83" ht="13.5" customHeight="1" x14ac:dyDescent="0.75">
      <c r="A36" s="68"/>
      <c r="B36" s="67" t="s">
        <v>276</v>
      </c>
      <c r="C36" s="66" t="s">
        <v>277</v>
      </c>
      <c r="D36" s="66"/>
      <c r="E36" s="138"/>
      <c r="F36" s="138"/>
      <c r="G36" s="138"/>
      <c r="H36" s="138"/>
      <c r="I36" s="138">
        <v>0.1</v>
      </c>
      <c r="J36" s="138">
        <v>0.1</v>
      </c>
      <c r="K36" s="138">
        <v>0</v>
      </c>
      <c r="L36" s="138">
        <v>0.1</v>
      </c>
      <c r="M36" s="138">
        <v>0.1</v>
      </c>
      <c r="N36" s="138">
        <v>0.2</v>
      </c>
      <c r="O36" s="138">
        <v>0.2</v>
      </c>
      <c r="P36" s="138">
        <v>0.1</v>
      </c>
      <c r="Q36" s="138">
        <v>0.1</v>
      </c>
      <c r="R36" s="138">
        <v>0.1</v>
      </c>
      <c r="S36" s="138">
        <v>0</v>
      </c>
      <c r="T36" s="138">
        <v>0</v>
      </c>
      <c r="U36" s="138">
        <v>0.1</v>
      </c>
      <c r="V36" s="138">
        <v>0.1</v>
      </c>
      <c r="W36" s="138">
        <v>0.1</v>
      </c>
      <c r="X36" s="138">
        <v>0</v>
      </c>
      <c r="Y36" s="138">
        <v>0</v>
      </c>
      <c r="Z36" s="138">
        <v>0</v>
      </c>
      <c r="AA36" s="138">
        <v>0.1</v>
      </c>
      <c r="AB36" s="138">
        <v>0.1</v>
      </c>
      <c r="AC36" s="138">
        <v>0.2</v>
      </c>
      <c r="AD36" s="138">
        <v>0.3</v>
      </c>
      <c r="AE36" s="138">
        <v>0.2</v>
      </c>
      <c r="AF36" s="138">
        <v>0.2</v>
      </c>
      <c r="AG36" s="138">
        <v>0</v>
      </c>
      <c r="AH36" s="138">
        <v>0</v>
      </c>
      <c r="AI36" s="138">
        <v>0</v>
      </c>
      <c r="AJ36" s="138">
        <v>0</v>
      </c>
      <c r="AK36" s="138">
        <v>0</v>
      </c>
      <c r="AL36" s="138">
        <v>0.1</v>
      </c>
      <c r="AM36" s="138">
        <v>0.1</v>
      </c>
      <c r="AN36" s="138">
        <v>0</v>
      </c>
      <c r="AO36" s="138">
        <v>0.2</v>
      </c>
      <c r="AP36" s="138">
        <v>0.1</v>
      </c>
      <c r="AQ36" s="138">
        <v>0.1</v>
      </c>
      <c r="AR36" s="138">
        <v>0.2</v>
      </c>
      <c r="AS36" s="138">
        <v>0.1</v>
      </c>
      <c r="AT36" s="138">
        <v>0.1</v>
      </c>
      <c r="AU36" s="138">
        <v>0</v>
      </c>
      <c r="AV36" s="138">
        <v>0.1</v>
      </c>
      <c r="AW36" s="138">
        <v>0</v>
      </c>
      <c r="AX36" s="138">
        <v>0</v>
      </c>
      <c r="AY36" s="138">
        <v>0.2</v>
      </c>
      <c r="AZ36" s="138">
        <v>0.1</v>
      </c>
      <c r="BA36" s="138">
        <v>0.1</v>
      </c>
      <c r="BB36" s="138">
        <v>0.1</v>
      </c>
      <c r="BC36" s="138">
        <v>0.2</v>
      </c>
      <c r="BD36" s="138">
        <v>0.1</v>
      </c>
      <c r="BE36" s="138">
        <v>0</v>
      </c>
      <c r="BF36" s="138">
        <v>0.1</v>
      </c>
      <c r="BG36" s="138">
        <v>0</v>
      </c>
      <c r="BH36" s="138">
        <v>0.2</v>
      </c>
      <c r="BI36" s="138">
        <v>0.3</v>
      </c>
      <c r="BJ36" s="138">
        <v>0.3</v>
      </c>
      <c r="BK36" s="138">
        <v>0.4</v>
      </c>
      <c r="BL36" s="138">
        <v>0.1</v>
      </c>
      <c r="BM36" s="138">
        <v>0.2</v>
      </c>
      <c r="BN36" s="138">
        <v>0.5</v>
      </c>
      <c r="BO36" s="138">
        <v>0.2</v>
      </c>
      <c r="BP36" s="138">
        <v>0.2</v>
      </c>
      <c r="BQ36" s="138">
        <v>0.3</v>
      </c>
      <c r="BR36" s="138">
        <v>0.1</v>
      </c>
      <c r="BS36" s="138">
        <v>0.6</v>
      </c>
      <c r="BT36" s="138">
        <v>0.3</v>
      </c>
      <c r="BU36" s="138">
        <v>0.6</v>
      </c>
      <c r="BV36" s="138">
        <v>0.5</v>
      </c>
      <c r="BW36" s="138">
        <v>0.3</v>
      </c>
      <c r="BX36" s="138">
        <v>0.6</v>
      </c>
      <c r="BY36" s="138">
        <v>0.4</v>
      </c>
      <c r="BZ36" s="138">
        <v>0.5</v>
      </c>
      <c r="CA36" s="138">
        <v>0.4</v>
      </c>
      <c r="CB36" s="138">
        <v>0.3</v>
      </c>
      <c r="CC36" s="138">
        <v>0.3</v>
      </c>
      <c r="CD36" s="138">
        <v>0.3</v>
      </c>
      <c r="CE36" s="138">
        <v>0.4</v>
      </c>
    </row>
    <row r="37" spans="1:83" ht="13.5" customHeight="1" x14ac:dyDescent="0.75">
      <c r="A37" s="68"/>
      <c r="B37" s="67" t="s">
        <v>278</v>
      </c>
      <c r="C37" s="66" t="s">
        <v>279</v>
      </c>
      <c r="D37" s="66"/>
      <c r="E37" s="138"/>
      <c r="F37" s="138"/>
      <c r="G37" s="138"/>
      <c r="H37" s="138"/>
      <c r="I37" s="138">
        <v>0</v>
      </c>
      <c r="J37" s="138">
        <v>0.3</v>
      </c>
      <c r="K37" s="138">
        <v>0.4</v>
      </c>
      <c r="L37" s="138">
        <v>0.2</v>
      </c>
      <c r="M37" s="138">
        <v>0.3</v>
      </c>
      <c r="N37" s="138">
        <v>0.3</v>
      </c>
      <c r="O37" s="138">
        <v>-0.5</v>
      </c>
      <c r="P37" s="138">
        <v>0.1</v>
      </c>
      <c r="Q37" s="138">
        <v>0.6</v>
      </c>
      <c r="R37" s="138">
        <v>-0.5</v>
      </c>
      <c r="S37" s="138">
        <v>0.1</v>
      </c>
      <c r="T37" s="138">
        <v>-0.5</v>
      </c>
      <c r="U37" s="138">
        <v>0.3</v>
      </c>
      <c r="V37" s="138">
        <v>0.1</v>
      </c>
      <c r="W37" s="138">
        <v>0.3</v>
      </c>
      <c r="X37" s="138">
        <v>1</v>
      </c>
      <c r="Y37" s="138">
        <v>0.6</v>
      </c>
      <c r="Z37" s="138">
        <v>0.7</v>
      </c>
      <c r="AA37" s="138">
        <v>0.8</v>
      </c>
      <c r="AB37" s="138">
        <v>-0.2</v>
      </c>
      <c r="AC37" s="138">
        <v>0</v>
      </c>
      <c r="AD37" s="138">
        <v>0.5</v>
      </c>
      <c r="AE37" s="138">
        <v>-0.1</v>
      </c>
      <c r="AF37" s="138">
        <v>0.8</v>
      </c>
      <c r="AG37" s="138">
        <v>0.3</v>
      </c>
      <c r="AH37" s="138">
        <v>0.3</v>
      </c>
      <c r="AI37" s="138">
        <v>0.1</v>
      </c>
      <c r="AJ37" s="138">
        <v>0.2</v>
      </c>
      <c r="AK37" s="138">
        <v>0.1</v>
      </c>
      <c r="AL37" s="138">
        <v>0</v>
      </c>
      <c r="AM37" s="138">
        <v>0.2</v>
      </c>
      <c r="AN37" s="138">
        <v>0</v>
      </c>
      <c r="AO37" s="138">
        <v>0.2</v>
      </c>
      <c r="AP37" s="138">
        <v>0.2</v>
      </c>
      <c r="AQ37" s="138">
        <v>0.6</v>
      </c>
      <c r="AR37" s="138">
        <v>0.2</v>
      </c>
      <c r="AS37" s="138">
        <v>0.2</v>
      </c>
      <c r="AT37" s="138">
        <v>0.1</v>
      </c>
      <c r="AU37" s="138">
        <v>0.1</v>
      </c>
      <c r="AV37" s="138">
        <v>0</v>
      </c>
      <c r="AW37" s="138">
        <v>0.1</v>
      </c>
      <c r="AX37" s="138">
        <v>0.1</v>
      </c>
      <c r="AY37" s="138">
        <v>0.3</v>
      </c>
      <c r="AZ37" s="138">
        <v>0.2</v>
      </c>
      <c r="BA37" s="138">
        <v>0.4</v>
      </c>
      <c r="BB37" s="138">
        <v>0.3</v>
      </c>
      <c r="BC37" s="138">
        <v>0.3</v>
      </c>
      <c r="BD37" s="138">
        <v>0.1</v>
      </c>
      <c r="BE37" s="138">
        <v>0.2</v>
      </c>
      <c r="BF37" s="138">
        <v>0.3</v>
      </c>
      <c r="BG37" s="138">
        <v>0.1</v>
      </c>
      <c r="BH37" s="138">
        <v>0.3</v>
      </c>
      <c r="BI37" s="138">
        <v>-0.1</v>
      </c>
      <c r="BJ37" s="138">
        <v>-0.2</v>
      </c>
      <c r="BK37" s="138">
        <v>-0.1</v>
      </c>
      <c r="BL37" s="138">
        <v>0.1</v>
      </c>
      <c r="BM37" s="138">
        <v>0.3</v>
      </c>
      <c r="BN37" s="138">
        <v>0.4</v>
      </c>
      <c r="BO37" s="138">
        <v>0.3</v>
      </c>
      <c r="BP37" s="138">
        <v>0</v>
      </c>
      <c r="BQ37" s="138">
        <v>0.1</v>
      </c>
      <c r="BR37" s="138">
        <v>0.2</v>
      </c>
      <c r="BS37" s="138">
        <v>0</v>
      </c>
      <c r="BT37" s="138">
        <v>0.7</v>
      </c>
      <c r="BU37" s="138">
        <v>0.1</v>
      </c>
      <c r="BV37" s="138">
        <v>0</v>
      </c>
      <c r="BW37" s="138">
        <v>0.1</v>
      </c>
      <c r="BX37" s="138">
        <v>-0.4</v>
      </c>
      <c r="BY37" s="138">
        <v>0.2</v>
      </c>
      <c r="BZ37" s="138">
        <v>0.4</v>
      </c>
      <c r="CA37" s="138">
        <v>0.3</v>
      </c>
      <c r="CB37" s="138">
        <v>0.2</v>
      </c>
      <c r="CC37" s="138">
        <v>0.2</v>
      </c>
      <c r="CD37" s="138">
        <v>0.2</v>
      </c>
      <c r="CE37" s="138">
        <v>0.3</v>
      </c>
    </row>
    <row r="38" spans="1:83" ht="13.5" customHeight="1" x14ac:dyDescent="0.75">
      <c r="A38" s="68"/>
      <c r="B38" s="67" t="s">
        <v>280</v>
      </c>
      <c r="C38" s="66" t="s">
        <v>281</v>
      </c>
      <c r="D38" s="66"/>
      <c r="E38" s="138"/>
      <c r="F38" s="138"/>
      <c r="G38" s="138"/>
      <c r="H38" s="138"/>
      <c r="I38" s="138">
        <v>0.6</v>
      </c>
      <c r="J38" s="138">
        <v>0.9</v>
      </c>
      <c r="K38" s="138">
        <v>1.1000000000000001</v>
      </c>
      <c r="L38" s="138">
        <v>1.8</v>
      </c>
      <c r="M38" s="138">
        <v>1.3</v>
      </c>
      <c r="N38" s="138">
        <v>1.6</v>
      </c>
      <c r="O38" s="138">
        <v>1.4</v>
      </c>
      <c r="P38" s="138">
        <v>2.4</v>
      </c>
      <c r="Q38" s="138">
        <v>1.5</v>
      </c>
      <c r="R38" s="138">
        <v>0.5</v>
      </c>
      <c r="S38" s="138">
        <v>1.6</v>
      </c>
      <c r="T38" s="138">
        <v>0.2</v>
      </c>
      <c r="U38" s="138">
        <v>0</v>
      </c>
      <c r="V38" s="138">
        <v>1</v>
      </c>
      <c r="W38" s="138">
        <v>-0.4</v>
      </c>
      <c r="X38" s="138">
        <v>-0.2</v>
      </c>
      <c r="Y38" s="138">
        <v>0.7</v>
      </c>
      <c r="Z38" s="138">
        <v>0</v>
      </c>
      <c r="AA38" s="138">
        <v>-0.2</v>
      </c>
      <c r="AB38" s="138">
        <v>-0.6</v>
      </c>
      <c r="AC38" s="138">
        <v>0.2</v>
      </c>
      <c r="AD38" s="138">
        <v>0.3</v>
      </c>
      <c r="AE38" s="138">
        <v>-0.3</v>
      </c>
      <c r="AF38" s="138">
        <v>-0.3</v>
      </c>
      <c r="AG38" s="138">
        <v>-0.3</v>
      </c>
      <c r="AH38" s="138">
        <v>-0.4</v>
      </c>
      <c r="AI38" s="138">
        <v>0.4</v>
      </c>
      <c r="AJ38" s="138">
        <v>0.4</v>
      </c>
      <c r="AK38" s="138">
        <v>0.6</v>
      </c>
      <c r="AL38" s="138">
        <v>0.5</v>
      </c>
      <c r="AM38" s="138">
        <v>0.5</v>
      </c>
      <c r="AN38" s="138">
        <v>0.5</v>
      </c>
      <c r="AO38" s="138">
        <v>0.2</v>
      </c>
      <c r="AP38" s="138">
        <v>0.3</v>
      </c>
      <c r="AQ38" s="138">
        <v>0.7</v>
      </c>
      <c r="AR38" s="138">
        <v>0.4</v>
      </c>
      <c r="AS38" s="138">
        <v>0.4</v>
      </c>
      <c r="AT38" s="138">
        <v>0.6</v>
      </c>
      <c r="AU38" s="138">
        <v>0.4</v>
      </c>
      <c r="AV38" s="138">
        <v>0.7</v>
      </c>
      <c r="AW38" s="138">
        <v>0.8</v>
      </c>
      <c r="AX38" s="138">
        <v>0.5</v>
      </c>
      <c r="AY38" s="138">
        <v>0.7</v>
      </c>
      <c r="AZ38" s="138">
        <v>0.3</v>
      </c>
      <c r="BA38" s="138">
        <v>0.3</v>
      </c>
      <c r="BB38" s="138">
        <v>0.5</v>
      </c>
      <c r="BC38" s="138">
        <v>0.5</v>
      </c>
      <c r="BD38" s="138">
        <v>0.4</v>
      </c>
      <c r="BE38" s="138">
        <v>0.4</v>
      </c>
      <c r="BF38" s="138">
        <v>0.8</v>
      </c>
      <c r="BG38" s="138">
        <v>0.2</v>
      </c>
      <c r="BH38" s="138">
        <v>0</v>
      </c>
      <c r="BI38" s="138">
        <v>0</v>
      </c>
      <c r="BJ38" s="138">
        <v>-0.6</v>
      </c>
      <c r="BK38" s="138">
        <v>0.1</v>
      </c>
      <c r="BL38" s="138">
        <v>0.6</v>
      </c>
      <c r="BM38" s="138">
        <v>0.2</v>
      </c>
      <c r="BN38" s="138">
        <v>0.5</v>
      </c>
      <c r="BO38" s="138">
        <v>0.4</v>
      </c>
      <c r="BP38" s="138">
        <v>0.2</v>
      </c>
      <c r="BQ38" s="138">
        <v>0.4</v>
      </c>
      <c r="BR38" s="138">
        <v>0.2</v>
      </c>
      <c r="BS38" s="138">
        <v>0</v>
      </c>
      <c r="BT38" s="138">
        <v>-0.1</v>
      </c>
      <c r="BU38" s="138">
        <v>0.7</v>
      </c>
      <c r="BV38" s="138">
        <v>0.1</v>
      </c>
      <c r="BW38" s="138">
        <v>0.3</v>
      </c>
      <c r="BX38" s="138">
        <v>0.3</v>
      </c>
      <c r="BY38" s="138">
        <v>-0.5</v>
      </c>
      <c r="BZ38" s="138">
        <v>0.2</v>
      </c>
      <c r="CA38" s="138">
        <v>0.2</v>
      </c>
      <c r="CB38" s="138">
        <v>1.1000000000000001</v>
      </c>
      <c r="CC38" s="138">
        <v>0.1</v>
      </c>
      <c r="CD38" s="138">
        <v>0.2</v>
      </c>
      <c r="CE38" s="138">
        <v>0.3</v>
      </c>
    </row>
    <row r="39" spans="1:83" ht="13.5" customHeight="1" x14ac:dyDescent="0.75">
      <c r="A39" s="68"/>
      <c r="B39" s="67" t="s">
        <v>282</v>
      </c>
      <c r="C39" s="66" t="s">
        <v>283</v>
      </c>
      <c r="D39" s="66"/>
      <c r="E39" s="138"/>
      <c r="F39" s="138"/>
      <c r="G39" s="138"/>
      <c r="H39" s="138"/>
      <c r="I39" s="138">
        <v>0.2</v>
      </c>
      <c r="J39" s="138">
        <v>0.2</v>
      </c>
      <c r="K39" s="138">
        <v>0.3</v>
      </c>
      <c r="L39" s="138">
        <v>0.5</v>
      </c>
      <c r="M39" s="138">
        <v>0.4</v>
      </c>
      <c r="N39" s="138">
        <v>0.4</v>
      </c>
      <c r="O39" s="138">
        <v>0.4</v>
      </c>
      <c r="P39" s="138">
        <v>0.6</v>
      </c>
      <c r="Q39" s="138">
        <v>0.4</v>
      </c>
      <c r="R39" s="138">
        <v>0.1</v>
      </c>
      <c r="S39" s="138">
        <v>0.4</v>
      </c>
      <c r="T39" s="138">
        <v>0.1</v>
      </c>
      <c r="U39" s="138">
        <v>0</v>
      </c>
      <c r="V39" s="138">
        <v>0.3</v>
      </c>
      <c r="W39" s="138">
        <v>-0.1</v>
      </c>
      <c r="X39" s="138">
        <v>0</v>
      </c>
      <c r="Y39" s="138">
        <v>0.1</v>
      </c>
      <c r="Z39" s="138">
        <v>0</v>
      </c>
      <c r="AA39" s="138">
        <v>-0.1</v>
      </c>
      <c r="AB39" s="138">
        <v>-0.1</v>
      </c>
      <c r="AC39" s="138">
        <v>0.3</v>
      </c>
      <c r="AD39" s="138">
        <v>0.2</v>
      </c>
      <c r="AE39" s="138">
        <v>0.1</v>
      </c>
      <c r="AF39" s="138">
        <v>0.1</v>
      </c>
      <c r="AG39" s="138">
        <v>-0.2</v>
      </c>
      <c r="AH39" s="138">
        <v>0.3</v>
      </c>
      <c r="AI39" s="138">
        <v>0.1</v>
      </c>
      <c r="AJ39" s="138">
        <v>0.3</v>
      </c>
      <c r="AK39" s="138">
        <v>0</v>
      </c>
      <c r="AL39" s="138">
        <v>-0.2</v>
      </c>
      <c r="AM39" s="138">
        <v>-0.1</v>
      </c>
      <c r="AN39" s="138">
        <v>-0.4</v>
      </c>
      <c r="AO39" s="138">
        <v>0.4</v>
      </c>
      <c r="AP39" s="138">
        <v>0.3</v>
      </c>
      <c r="AQ39" s="138">
        <v>0.2</v>
      </c>
      <c r="AR39" s="138">
        <v>0.4</v>
      </c>
      <c r="AS39" s="138">
        <v>0</v>
      </c>
      <c r="AT39" s="138">
        <v>0.2</v>
      </c>
      <c r="AU39" s="138">
        <v>0.3</v>
      </c>
      <c r="AV39" s="138">
        <v>0.1</v>
      </c>
      <c r="AW39" s="138">
        <v>0.1</v>
      </c>
      <c r="AX39" s="138">
        <v>0.1</v>
      </c>
      <c r="AY39" s="138">
        <v>0.2</v>
      </c>
      <c r="AZ39" s="138">
        <v>0.3</v>
      </c>
      <c r="BA39" s="138">
        <v>0.3</v>
      </c>
      <c r="BB39" s="138">
        <v>0.2</v>
      </c>
      <c r="BC39" s="138">
        <v>0.3</v>
      </c>
      <c r="BD39" s="138">
        <v>0.2</v>
      </c>
      <c r="BE39" s="138">
        <v>0.3</v>
      </c>
      <c r="BF39" s="138">
        <v>0.3</v>
      </c>
      <c r="BG39" s="138">
        <v>0.2</v>
      </c>
      <c r="BH39" s="138">
        <v>0.2</v>
      </c>
      <c r="BI39" s="138">
        <v>0</v>
      </c>
      <c r="BJ39" s="138">
        <v>-0.1</v>
      </c>
      <c r="BK39" s="138">
        <v>0.1</v>
      </c>
      <c r="BL39" s="138">
        <v>0</v>
      </c>
      <c r="BM39" s="138">
        <v>0.3</v>
      </c>
      <c r="BN39" s="138">
        <v>0.5</v>
      </c>
      <c r="BO39" s="138">
        <v>0.5</v>
      </c>
      <c r="BP39" s="138">
        <v>0.4</v>
      </c>
      <c r="BQ39" s="138">
        <v>0.4</v>
      </c>
      <c r="BR39" s="138">
        <v>0.3</v>
      </c>
      <c r="BS39" s="138">
        <v>0.2</v>
      </c>
      <c r="BT39" s="138">
        <v>0.1</v>
      </c>
      <c r="BU39" s="138">
        <v>0.1</v>
      </c>
      <c r="BV39" s="138">
        <v>0.2</v>
      </c>
      <c r="BW39" s="138">
        <v>0.5</v>
      </c>
      <c r="BX39" s="138">
        <v>0.4</v>
      </c>
      <c r="BY39" s="138">
        <v>0.4</v>
      </c>
      <c r="BZ39" s="138">
        <v>0.4</v>
      </c>
      <c r="CA39" s="138">
        <v>0.3</v>
      </c>
      <c r="CB39" s="138">
        <v>0.4</v>
      </c>
      <c r="CC39" s="138">
        <v>0.6</v>
      </c>
      <c r="CD39" s="138">
        <v>0.4</v>
      </c>
      <c r="CE39" s="138">
        <v>0.6</v>
      </c>
    </row>
    <row r="40" spans="1:83" ht="13.5" customHeight="1" x14ac:dyDescent="0.75">
      <c r="A40" s="68"/>
      <c r="B40" s="67" t="s">
        <v>284</v>
      </c>
      <c r="C40" s="66" t="s">
        <v>285</v>
      </c>
      <c r="D40" s="66"/>
      <c r="E40" s="138"/>
      <c r="F40" s="138"/>
      <c r="G40" s="138"/>
      <c r="H40" s="138"/>
      <c r="I40" s="138">
        <v>0.2</v>
      </c>
      <c r="J40" s="138">
        <v>0.3</v>
      </c>
      <c r="K40" s="138">
        <v>0.4</v>
      </c>
      <c r="L40" s="138">
        <v>0.6</v>
      </c>
      <c r="M40" s="138">
        <v>0.5</v>
      </c>
      <c r="N40" s="138">
        <v>0.6</v>
      </c>
      <c r="O40" s="138">
        <v>0.5</v>
      </c>
      <c r="P40" s="138">
        <v>0.8</v>
      </c>
      <c r="Q40" s="138">
        <v>0.5</v>
      </c>
      <c r="R40" s="138">
        <v>0.2</v>
      </c>
      <c r="S40" s="138">
        <v>0.5</v>
      </c>
      <c r="T40" s="138">
        <v>0.1</v>
      </c>
      <c r="U40" s="138">
        <v>0</v>
      </c>
      <c r="V40" s="138">
        <v>0.3</v>
      </c>
      <c r="W40" s="138">
        <v>-0.1</v>
      </c>
      <c r="X40" s="138">
        <v>-0.1</v>
      </c>
      <c r="Y40" s="138">
        <v>0.1</v>
      </c>
      <c r="Z40" s="138">
        <v>-0.1</v>
      </c>
      <c r="AA40" s="138">
        <v>-0.1</v>
      </c>
      <c r="AB40" s="138">
        <v>0</v>
      </c>
      <c r="AC40" s="138">
        <v>0.2</v>
      </c>
      <c r="AD40" s="138">
        <v>0.3</v>
      </c>
      <c r="AE40" s="138">
        <v>0.2</v>
      </c>
      <c r="AF40" s="138">
        <v>0.2</v>
      </c>
      <c r="AG40" s="138">
        <v>0.2</v>
      </c>
      <c r="AH40" s="138">
        <v>0.1</v>
      </c>
      <c r="AI40" s="138">
        <v>-0.1</v>
      </c>
      <c r="AJ40" s="138">
        <v>0.3</v>
      </c>
      <c r="AK40" s="138">
        <v>0.4</v>
      </c>
      <c r="AL40" s="138">
        <v>0.5</v>
      </c>
      <c r="AM40" s="138">
        <v>0.6</v>
      </c>
      <c r="AN40" s="138">
        <v>0.5</v>
      </c>
      <c r="AO40" s="138">
        <v>0.2</v>
      </c>
      <c r="AP40" s="138">
        <v>0.5</v>
      </c>
      <c r="AQ40" s="138">
        <v>0.9</v>
      </c>
      <c r="AR40" s="138">
        <v>0.7</v>
      </c>
      <c r="AS40" s="138">
        <v>0.9</v>
      </c>
      <c r="AT40" s="138">
        <v>0.5</v>
      </c>
      <c r="AU40" s="138">
        <v>0.2</v>
      </c>
      <c r="AV40" s="138">
        <v>0</v>
      </c>
      <c r="AW40" s="138">
        <v>0</v>
      </c>
      <c r="AX40" s="138">
        <v>0.1</v>
      </c>
      <c r="AY40" s="138">
        <v>0.2</v>
      </c>
      <c r="AZ40" s="138">
        <v>0.3</v>
      </c>
      <c r="BA40" s="138">
        <v>0.2</v>
      </c>
      <c r="BB40" s="138">
        <v>0.1</v>
      </c>
      <c r="BC40" s="138">
        <v>0.2</v>
      </c>
      <c r="BD40" s="138">
        <v>0.1</v>
      </c>
      <c r="BE40" s="138">
        <v>0.1</v>
      </c>
      <c r="BF40" s="138">
        <v>0.1</v>
      </c>
      <c r="BG40" s="138">
        <v>0.3</v>
      </c>
      <c r="BH40" s="138">
        <v>0.3</v>
      </c>
      <c r="BI40" s="138">
        <v>0</v>
      </c>
      <c r="BJ40" s="138">
        <v>-0.3</v>
      </c>
      <c r="BK40" s="138">
        <v>-0.4</v>
      </c>
      <c r="BL40" s="138">
        <v>-0.4</v>
      </c>
      <c r="BM40" s="138">
        <v>-0.1</v>
      </c>
      <c r="BN40" s="138">
        <v>0.6</v>
      </c>
      <c r="BO40" s="138">
        <v>0.6</v>
      </c>
      <c r="BP40" s="138">
        <v>0.6</v>
      </c>
      <c r="BQ40" s="138">
        <v>0.6</v>
      </c>
      <c r="BR40" s="138">
        <v>0.2</v>
      </c>
      <c r="BS40" s="138">
        <v>0.8</v>
      </c>
      <c r="BT40" s="138">
        <v>0.4</v>
      </c>
      <c r="BU40" s="138">
        <v>0.5</v>
      </c>
      <c r="BV40" s="138">
        <v>0.3</v>
      </c>
      <c r="BW40" s="138">
        <v>0.5</v>
      </c>
      <c r="BX40" s="138">
        <v>0.7</v>
      </c>
      <c r="BY40" s="138">
        <v>0.1</v>
      </c>
      <c r="BZ40" s="138">
        <v>1</v>
      </c>
      <c r="CA40" s="138">
        <v>0.9</v>
      </c>
      <c r="CB40" s="138">
        <v>0.2</v>
      </c>
      <c r="CC40" s="138">
        <v>0.1</v>
      </c>
      <c r="CD40" s="138">
        <v>0.3</v>
      </c>
      <c r="CE40" s="138">
        <v>0.3</v>
      </c>
    </row>
    <row r="41" spans="1:83" ht="13.5" customHeight="1" x14ac:dyDescent="0.75">
      <c r="A41" s="68"/>
      <c r="B41" s="67" t="s">
        <v>286</v>
      </c>
      <c r="C41" s="66" t="s">
        <v>287</v>
      </c>
      <c r="D41" s="66"/>
      <c r="E41" s="138"/>
      <c r="F41" s="138"/>
      <c r="G41" s="138"/>
      <c r="H41" s="138"/>
      <c r="I41" s="138">
        <v>0.7</v>
      </c>
      <c r="J41" s="138">
        <v>0.2</v>
      </c>
      <c r="K41" s="138">
        <v>0</v>
      </c>
      <c r="L41" s="138">
        <v>0</v>
      </c>
      <c r="M41" s="138">
        <v>0.1</v>
      </c>
      <c r="N41" s="138">
        <v>0.1</v>
      </c>
      <c r="O41" s="138">
        <v>0.3</v>
      </c>
      <c r="P41" s="138">
        <v>0.2</v>
      </c>
      <c r="Q41" s="138">
        <v>0.3</v>
      </c>
      <c r="R41" s="138">
        <v>0.3</v>
      </c>
      <c r="S41" s="138">
        <v>0.1</v>
      </c>
      <c r="T41" s="138">
        <v>0.2</v>
      </c>
      <c r="U41" s="138">
        <v>0.2</v>
      </c>
      <c r="V41" s="138">
        <v>0.5</v>
      </c>
      <c r="W41" s="138">
        <v>0.5</v>
      </c>
      <c r="X41" s="138">
        <v>0.7</v>
      </c>
      <c r="Y41" s="138">
        <v>0.2</v>
      </c>
      <c r="Z41" s="138">
        <v>-0.1</v>
      </c>
      <c r="AA41" s="138">
        <v>1</v>
      </c>
      <c r="AB41" s="138">
        <v>0.9</v>
      </c>
      <c r="AC41" s="138">
        <v>1.3</v>
      </c>
      <c r="AD41" s="138">
        <v>0.8</v>
      </c>
      <c r="AE41" s="138">
        <v>0.4</v>
      </c>
      <c r="AF41" s="138">
        <v>0.6</v>
      </c>
      <c r="AG41" s="138">
        <v>0.3</v>
      </c>
      <c r="AH41" s="138">
        <v>0.6</v>
      </c>
      <c r="AI41" s="138">
        <v>0.2</v>
      </c>
      <c r="AJ41" s="138">
        <v>0.3</v>
      </c>
      <c r="AK41" s="138">
        <v>0.2</v>
      </c>
      <c r="AL41" s="138">
        <v>0.3</v>
      </c>
      <c r="AM41" s="138">
        <v>0.6</v>
      </c>
      <c r="AN41" s="138">
        <v>0</v>
      </c>
      <c r="AO41" s="138">
        <v>0.4</v>
      </c>
      <c r="AP41" s="138">
        <v>0.1</v>
      </c>
      <c r="AQ41" s="138">
        <v>0</v>
      </c>
      <c r="AR41" s="138">
        <v>0.3</v>
      </c>
      <c r="AS41" s="138">
        <v>0.4</v>
      </c>
      <c r="AT41" s="138">
        <v>0.5</v>
      </c>
      <c r="AU41" s="138">
        <v>0.6</v>
      </c>
      <c r="AV41" s="138">
        <v>0.4</v>
      </c>
      <c r="AW41" s="138">
        <v>-0.1</v>
      </c>
      <c r="AX41" s="138">
        <v>0.3</v>
      </c>
      <c r="AY41" s="138">
        <v>0.6</v>
      </c>
      <c r="AZ41" s="138">
        <v>-0.4</v>
      </c>
      <c r="BA41" s="138">
        <v>0.5</v>
      </c>
      <c r="BB41" s="138">
        <v>0.1</v>
      </c>
      <c r="BC41" s="138">
        <v>-0.2</v>
      </c>
      <c r="BD41" s="138">
        <v>0.7</v>
      </c>
      <c r="BE41" s="138">
        <v>-0.2</v>
      </c>
      <c r="BF41" s="138">
        <v>0.4</v>
      </c>
      <c r="BG41" s="138">
        <v>0.6</v>
      </c>
      <c r="BH41" s="138">
        <v>0</v>
      </c>
      <c r="BI41" s="138">
        <v>0.6</v>
      </c>
      <c r="BJ41" s="138">
        <v>-0.1</v>
      </c>
      <c r="BK41" s="138">
        <v>0</v>
      </c>
      <c r="BL41" s="138">
        <v>0</v>
      </c>
      <c r="BM41" s="138">
        <v>-0.1</v>
      </c>
      <c r="BN41" s="138">
        <v>0.4</v>
      </c>
      <c r="BO41" s="138">
        <v>0.1</v>
      </c>
      <c r="BP41" s="138">
        <v>0.2</v>
      </c>
      <c r="BQ41" s="138">
        <v>0.3</v>
      </c>
      <c r="BR41" s="138">
        <v>0.1</v>
      </c>
      <c r="BS41" s="138">
        <v>0.9</v>
      </c>
      <c r="BT41" s="138">
        <v>0.3</v>
      </c>
      <c r="BU41" s="138">
        <v>0.2</v>
      </c>
      <c r="BV41" s="138">
        <v>0.6</v>
      </c>
      <c r="BW41" s="138">
        <v>0.2</v>
      </c>
      <c r="BX41" s="138">
        <v>0.6</v>
      </c>
      <c r="BY41" s="138">
        <v>0.2</v>
      </c>
      <c r="BZ41" s="138">
        <v>0</v>
      </c>
      <c r="CA41" s="138">
        <v>0.5</v>
      </c>
      <c r="CB41" s="138">
        <v>0.8</v>
      </c>
      <c r="CC41" s="138">
        <v>0.6</v>
      </c>
      <c r="CD41" s="138">
        <v>0.6</v>
      </c>
      <c r="CE41" s="138">
        <v>0.3</v>
      </c>
    </row>
    <row r="42" spans="1:83" ht="13.5" customHeight="1" x14ac:dyDescent="0.75">
      <c r="A42" s="68"/>
      <c r="B42" s="67" t="s">
        <v>288</v>
      </c>
      <c r="C42" s="66" t="s">
        <v>289</v>
      </c>
      <c r="D42" s="66"/>
      <c r="E42" s="138"/>
      <c r="F42" s="138"/>
      <c r="G42" s="138"/>
      <c r="H42" s="138"/>
      <c r="I42" s="138">
        <v>0.7</v>
      </c>
      <c r="J42" s="138">
        <v>0.6</v>
      </c>
      <c r="K42" s="138">
        <v>0.6</v>
      </c>
      <c r="L42" s="138">
        <v>0.6</v>
      </c>
      <c r="M42" s="138">
        <v>0.3</v>
      </c>
      <c r="N42" s="138">
        <v>0.3</v>
      </c>
      <c r="O42" s="138">
        <v>0.3</v>
      </c>
      <c r="P42" s="138">
        <v>0.3</v>
      </c>
      <c r="Q42" s="138">
        <v>0.7</v>
      </c>
      <c r="R42" s="138">
        <v>0.7</v>
      </c>
      <c r="S42" s="138">
        <v>0.6</v>
      </c>
      <c r="T42" s="138">
        <v>0.6</v>
      </c>
      <c r="U42" s="138">
        <v>0.4</v>
      </c>
      <c r="V42" s="138">
        <v>0.4</v>
      </c>
      <c r="W42" s="138">
        <v>0.4</v>
      </c>
      <c r="X42" s="138">
        <v>0.4</v>
      </c>
      <c r="Y42" s="138">
        <v>0.9</v>
      </c>
      <c r="Z42" s="138">
        <v>0.9</v>
      </c>
      <c r="AA42" s="138">
        <v>0.8</v>
      </c>
      <c r="AB42" s="138">
        <v>0.8</v>
      </c>
      <c r="AC42" s="138">
        <v>0.3</v>
      </c>
      <c r="AD42" s="138">
        <v>0.4</v>
      </c>
      <c r="AE42" s="138">
        <v>0.3</v>
      </c>
      <c r="AF42" s="138">
        <v>0.4</v>
      </c>
      <c r="AG42" s="138">
        <v>0.2</v>
      </c>
      <c r="AH42" s="138">
        <v>0.2</v>
      </c>
      <c r="AI42" s="138">
        <v>0.2</v>
      </c>
      <c r="AJ42" s="138">
        <v>0.2</v>
      </c>
      <c r="AK42" s="138">
        <v>0.2</v>
      </c>
      <c r="AL42" s="138">
        <v>0.2</v>
      </c>
      <c r="AM42" s="138">
        <v>0.2</v>
      </c>
      <c r="AN42" s="138">
        <v>0.2</v>
      </c>
      <c r="AO42" s="138">
        <v>0.1</v>
      </c>
      <c r="AP42" s="138">
        <v>0.1</v>
      </c>
      <c r="AQ42" s="138">
        <v>0.1</v>
      </c>
      <c r="AR42" s="138">
        <v>0.1</v>
      </c>
      <c r="AS42" s="138">
        <v>0.2</v>
      </c>
      <c r="AT42" s="138">
        <v>0.2</v>
      </c>
      <c r="AU42" s="138">
        <v>0.2</v>
      </c>
      <c r="AV42" s="138">
        <v>0.1</v>
      </c>
      <c r="AW42" s="138">
        <v>0.1</v>
      </c>
      <c r="AX42" s="138">
        <v>0.1</v>
      </c>
      <c r="AY42" s="138">
        <v>0.1</v>
      </c>
      <c r="AZ42" s="138">
        <v>0.1</v>
      </c>
      <c r="BA42" s="138">
        <v>0.2</v>
      </c>
      <c r="BB42" s="138">
        <v>0.2</v>
      </c>
      <c r="BC42" s="138">
        <v>0.2</v>
      </c>
      <c r="BD42" s="138">
        <v>0.1</v>
      </c>
      <c r="BE42" s="138">
        <v>0.1</v>
      </c>
      <c r="BF42" s="138">
        <v>0.1</v>
      </c>
      <c r="BG42" s="138">
        <v>0.1</v>
      </c>
      <c r="BH42" s="138">
        <v>0.1</v>
      </c>
      <c r="BI42" s="138">
        <v>-0.1</v>
      </c>
      <c r="BJ42" s="138">
        <v>-2.5</v>
      </c>
      <c r="BK42" s="138">
        <v>-2.4</v>
      </c>
      <c r="BL42" s="138">
        <v>-0.8</v>
      </c>
      <c r="BM42" s="138">
        <v>0.2</v>
      </c>
      <c r="BN42" s="138">
        <v>2.9</v>
      </c>
      <c r="BO42" s="138">
        <v>2.6</v>
      </c>
      <c r="BP42" s="138">
        <v>0.9</v>
      </c>
      <c r="BQ42" s="138">
        <v>0.2</v>
      </c>
      <c r="BR42" s="138">
        <v>0.2</v>
      </c>
      <c r="BS42" s="138">
        <v>0.2</v>
      </c>
      <c r="BT42" s="138">
        <v>0.2</v>
      </c>
      <c r="BU42" s="138">
        <v>0.2</v>
      </c>
      <c r="BV42" s="138">
        <v>0.2</v>
      </c>
      <c r="BW42" s="138">
        <v>0.2</v>
      </c>
      <c r="BX42" s="138">
        <v>0.2</v>
      </c>
      <c r="BY42" s="138">
        <v>0.2</v>
      </c>
      <c r="BZ42" s="138">
        <v>0.2</v>
      </c>
      <c r="CA42" s="138">
        <v>0.2</v>
      </c>
      <c r="CB42" s="138">
        <v>0.1</v>
      </c>
      <c r="CC42" s="138">
        <v>0.2</v>
      </c>
      <c r="CD42" s="138">
        <v>0.2</v>
      </c>
      <c r="CE42" s="138">
        <v>0.2</v>
      </c>
    </row>
    <row r="43" spans="1:83" ht="13.5" customHeight="1" x14ac:dyDescent="0.75">
      <c r="A43" s="68"/>
      <c r="B43" s="67" t="s">
        <v>290</v>
      </c>
      <c r="C43" s="66" t="s">
        <v>291</v>
      </c>
      <c r="D43" s="66"/>
      <c r="E43" s="138"/>
      <c r="F43" s="138"/>
      <c r="G43" s="138"/>
      <c r="H43" s="138"/>
      <c r="I43" s="138">
        <v>0.1</v>
      </c>
      <c r="J43" s="138">
        <v>0.1</v>
      </c>
      <c r="K43" s="138">
        <v>0.1</v>
      </c>
      <c r="L43" s="138">
        <v>0.1</v>
      </c>
      <c r="M43" s="138">
        <v>0.1</v>
      </c>
      <c r="N43" s="138">
        <v>0.1</v>
      </c>
      <c r="O43" s="138">
        <v>0.1</v>
      </c>
      <c r="P43" s="138">
        <v>0.1</v>
      </c>
      <c r="Q43" s="138">
        <v>0.1</v>
      </c>
      <c r="R43" s="138">
        <v>0.1</v>
      </c>
      <c r="S43" s="138">
        <v>0.2</v>
      </c>
      <c r="T43" s="138">
        <v>0.1</v>
      </c>
      <c r="U43" s="138">
        <v>0.2</v>
      </c>
      <c r="V43" s="138">
        <v>0.1</v>
      </c>
      <c r="W43" s="138">
        <v>0.1</v>
      </c>
      <c r="X43" s="138">
        <v>0.2</v>
      </c>
      <c r="Y43" s="138">
        <v>-0.1</v>
      </c>
      <c r="Z43" s="138">
        <v>0</v>
      </c>
      <c r="AA43" s="138">
        <v>0</v>
      </c>
      <c r="AB43" s="138">
        <v>0.1</v>
      </c>
      <c r="AC43" s="138">
        <v>0.3</v>
      </c>
      <c r="AD43" s="138">
        <v>0.5</v>
      </c>
      <c r="AE43" s="138">
        <v>0.1</v>
      </c>
      <c r="AF43" s="138">
        <v>0</v>
      </c>
      <c r="AG43" s="138">
        <v>0.1</v>
      </c>
      <c r="AH43" s="138">
        <v>-0.1</v>
      </c>
      <c r="AI43" s="138">
        <v>0.2</v>
      </c>
      <c r="AJ43" s="138">
        <v>0</v>
      </c>
      <c r="AK43" s="138">
        <v>0</v>
      </c>
      <c r="AL43" s="138">
        <v>0</v>
      </c>
      <c r="AM43" s="138">
        <v>0.1</v>
      </c>
      <c r="AN43" s="138">
        <v>0.2</v>
      </c>
      <c r="AO43" s="138">
        <v>0.1</v>
      </c>
      <c r="AP43" s="138">
        <v>0.3</v>
      </c>
      <c r="AQ43" s="138">
        <v>0.1</v>
      </c>
      <c r="AR43" s="138">
        <v>-0.1</v>
      </c>
      <c r="AS43" s="138">
        <v>0.2</v>
      </c>
      <c r="AT43" s="138">
        <v>0</v>
      </c>
      <c r="AU43" s="138">
        <v>-0.1</v>
      </c>
      <c r="AV43" s="138">
        <v>0.1</v>
      </c>
      <c r="AW43" s="138">
        <v>0</v>
      </c>
      <c r="AX43" s="138">
        <v>0</v>
      </c>
      <c r="AY43" s="138">
        <v>0.1</v>
      </c>
      <c r="AZ43" s="138">
        <v>0.1</v>
      </c>
      <c r="BA43" s="138">
        <v>0.1</v>
      </c>
      <c r="BB43" s="138">
        <v>0</v>
      </c>
      <c r="BC43" s="138">
        <v>0</v>
      </c>
      <c r="BD43" s="138">
        <v>-0.1</v>
      </c>
      <c r="BE43" s="138">
        <v>0</v>
      </c>
      <c r="BF43" s="138">
        <v>0.1</v>
      </c>
      <c r="BG43" s="138">
        <v>0.2</v>
      </c>
      <c r="BH43" s="138">
        <v>0</v>
      </c>
      <c r="BI43" s="138">
        <v>0.3</v>
      </c>
      <c r="BJ43" s="138">
        <v>0.1</v>
      </c>
      <c r="BK43" s="138">
        <v>0.1</v>
      </c>
      <c r="BL43" s="138">
        <v>0.2</v>
      </c>
      <c r="BM43" s="138">
        <v>-0.2</v>
      </c>
      <c r="BN43" s="138">
        <v>0.4</v>
      </c>
      <c r="BO43" s="138">
        <v>0.1</v>
      </c>
      <c r="BP43" s="138">
        <v>0.3</v>
      </c>
      <c r="BQ43" s="138">
        <v>0.3</v>
      </c>
      <c r="BR43" s="138">
        <v>0.1</v>
      </c>
      <c r="BS43" s="138">
        <v>0.2</v>
      </c>
      <c r="BT43" s="138">
        <v>0</v>
      </c>
      <c r="BU43" s="138">
        <v>0</v>
      </c>
      <c r="BV43" s="138">
        <v>0.1</v>
      </c>
      <c r="BW43" s="138">
        <v>0</v>
      </c>
      <c r="BX43" s="138">
        <v>-0.1</v>
      </c>
      <c r="BY43" s="138">
        <v>0.2</v>
      </c>
      <c r="BZ43" s="138">
        <v>0</v>
      </c>
      <c r="CA43" s="138">
        <v>0.1</v>
      </c>
      <c r="CB43" s="138">
        <v>0.5</v>
      </c>
      <c r="CC43" s="138">
        <v>0</v>
      </c>
      <c r="CD43" s="138">
        <v>0.1</v>
      </c>
      <c r="CE43" s="138">
        <v>-0.2</v>
      </c>
    </row>
    <row r="44" spans="1:83" ht="13.5" customHeight="1" x14ac:dyDescent="0.75">
      <c r="A44" s="68"/>
      <c r="B44" s="67" t="s">
        <v>292</v>
      </c>
      <c r="C44" s="66" t="s">
        <v>293</v>
      </c>
      <c r="D44" s="66"/>
      <c r="E44" s="138"/>
      <c r="F44" s="138"/>
      <c r="G44" s="138"/>
      <c r="H44" s="138"/>
      <c r="I44" s="138">
        <v>0.5</v>
      </c>
      <c r="J44" s="138">
        <v>0.3</v>
      </c>
      <c r="K44" s="138">
        <v>0.5</v>
      </c>
      <c r="L44" s="138">
        <v>0.3</v>
      </c>
      <c r="M44" s="138">
        <v>0.1</v>
      </c>
      <c r="N44" s="138">
        <v>0</v>
      </c>
      <c r="O44" s="138">
        <v>0.1</v>
      </c>
      <c r="P44" s="138">
        <v>0</v>
      </c>
      <c r="Q44" s="138">
        <v>-0.2</v>
      </c>
      <c r="R44" s="138">
        <v>-0.1</v>
      </c>
      <c r="S44" s="138">
        <v>-0.2</v>
      </c>
      <c r="T44" s="138">
        <v>-0.1</v>
      </c>
      <c r="U44" s="138">
        <v>0.2</v>
      </c>
      <c r="V44" s="138">
        <v>0.2</v>
      </c>
      <c r="W44" s="138">
        <v>0.2</v>
      </c>
      <c r="X44" s="138">
        <v>0.1</v>
      </c>
      <c r="Y44" s="138">
        <v>0.1</v>
      </c>
      <c r="Z44" s="138">
        <v>0</v>
      </c>
      <c r="AA44" s="138">
        <v>-0.1</v>
      </c>
      <c r="AB44" s="138">
        <v>0</v>
      </c>
      <c r="AC44" s="138">
        <v>0.1</v>
      </c>
      <c r="AD44" s="138">
        <v>0.2</v>
      </c>
      <c r="AE44" s="138">
        <v>0.3</v>
      </c>
      <c r="AF44" s="138">
        <v>0.4</v>
      </c>
      <c r="AG44" s="138">
        <v>0.3</v>
      </c>
      <c r="AH44" s="138">
        <v>0.5</v>
      </c>
      <c r="AI44" s="138">
        <v>0.2</v>
      </c>
      <c r="AJ44" s="138">
        <v>0.2</v>
      </c>
      <c r="AK44" s="138">
        <v>0.3</v>
      </c>
      <c r="AL44" s="138">
        <v>0.4</v>
      </c>
      <c r="AM44" s="138">
        <v>0.6</v>
      </c>
      <c r="AN44" s="138">
        <v>0.3</v>
      </c>
      <c r="AO44" s="138">
        <v>0.5</v>
      </c>
      <c r="AP44" s="138">
        <v>0.5</v>
      </c>
      <c r="AQ44" s="138">
        <v>0.4</v>
      </c>
      <c r="AR44" s="138">
        <v>0.5</v>
      </c>
      <c r="AS44" s="138">
        <v>0.3</v>
      </c>
      <c r="AT44" s="138">
        <v>0.1</v>
      </c>
      <c r="AU44" s="138">
        <v>0.2</v>
      </c>
      <c r="AV44" s="138">
        <v>0.2</v>
      </c>
      <c r="AW44" s="138">
        <v>0.2</v>
      </c>
      <c r="AX44" s="138">
        <v>0.1</v>
      </c>
      <c r="AY44" s="138">
        <v>0.2</v>
      </c>
      <c r="AZ44" s="138">
        <v>0.1</v>
      </c>
      <c r="BA44" s="138">
        <v>0.2</v>
      </c>
      <c r="BB44" s="138">
        <v>0.3</v>
      </c>
      <c r="BC44" s="138">
        <v>0.2</v>
      </c>
      <c r="BD44" s="138">
        <v>0.4</v>
      </c>
      <c r="BE44" s="138">
        <v>0.2</v>
      </c>
      <c r="BF44" s="138">
        <v>0.3</v>
      </c>
      <c r="BG44" s="138">
        <v>0.3</v>
      </c>
      <c r="BH44" s="138">
        <v>0.2</v>
      </c>
      <c r="BI44" s="138">
        <v>0</v>
      </c>
      <c r="BJ44" s="138">
        <v>-0.1</v>
      </c>
      <c r="BK44" s="138">
        <v>0</v>
      </c>
      <c r="BL44" s="138">
        <v>0</v>
      </c>
      <c r="BM44" s="138">
        <v>0.2</v>
      </c>
      <c r="BN44" s="138">
        <v>0.4</v>
      </c>
      <c r="BO44" s="138">
        <v>0.2</v>
      </c>
      <c r="BP44" s="138">
        <v>0.4</v>
      </c>
      <c r="BQ44" s="138">
        <v>0.2</v>
      </c>
      <c r="BR44" s="138">
        <v>0.2</v>
      </c>
      <c r="BS44" s="138">
        <v>0.3</v>
      </c>
      <c r="BT44" s="138">
        <v>0.1</v>
      </c>
      <c r="BU44" s="138">
        <v>0.2</v>
      </c>
      <c r="BV44" s="138">
        <v>0.1</v>
      </c>
      <c r="BW44" s="138">
        <v>0.3</v>
      </c>
      <c r="BX44" s="138">
        <v>2.7</v>
      </c>
      <c r="BY44" s="138">
        <v>0.3</v>
      </c>
      <c r="BZ44" s="138">
        <v>0.5</v>
      </c>
      <c r="CA44" s="138">
        <v>0.5</v>
      </c>
      <c r="CB44" s="138">
        <v>-1.6</v>
      </c>
      <c r="CC44" s="138">
        <v>0.5</v>
      </c>
      <c r="CD44" s="138">
        <v>0.5</v>
      </c>
      <c r="CE44" s="138">
        <v>0.5</v>
      </c>
    </row>
    <row r="45" spans="1:83" ht="6.75" customHeight="1" x14ac:dyDescent="0.75">
      <c r="A45" s="64"/>
      <c r="B45" s="64"/>
      <c r="C45" s="72"/>
      <c r="D45" s="72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  <c r="BC45" s="140"/>
      <c r="BD45" s="140"/>
      <c r="BE45" s="140"/>
      <c r="BF45" s="140"/>
      <c r="BG45" s="140"/>
      <c r="BH45" s="140"/>
      <c r="BI45" s="140"/>
      <c r="BJ45" s="140"/>
      <c r="BK45" s="140"/>
      <c r="BL45" s="140"/>
      <c r="BM45" s="140"/>
      <c r="BN45" s="140"/>
      <c r="BO45" s="140"/>
      <c r="BP45" s="140"/>
      <c r="BQ45" s="140"/>
      <c r="BR45" s="140"/>
      <c r="BS45" s="140"/>
      <c r="BT45" s="140"/>
      <c r="BU45" s="140"/>
      <c r="BV45" s="140"/>
      <c r="BW45" s="140"/>
      <c r="BX45" s="140"/>
      <c r="BY45" s="140"/>
      <c r="BZ45" s="140"/>
      <c r="CA45" s="140"/>
      <c r="CB45" s="140"/>
      <c r="CC45" s="140"/>
      <c r="CD45" s="140"/>
      <c r="CE45" s="140"/>
    </row>
    <row r="46" spans="1:83" ht="14.25" customHeight="1" x14ac:dyDescent="0.75">
      <c r="A46" s="64"/>
      <c r="B46" s="81" t="s">
        <v>294</v>
      </c>
      <c r="C46" s="82"/>
      <c r="D46" s="82"/>
      <c r="E46" s="136"/>
      <c r="F46" s="136"/>
      <c r="G46" s="136"/>
      <c r="H46" s="136"/>
      <c r="I46" s="136">
        <v>1.1000000000000001</v>
      </c>
      <c r="J46" s="136">
        <v>0.3</v>
      </c>
      <c r="K46" s="136">
        <v>-0.3</v>
      </c>
      <c r="L46" s="136">
        <v>0.1</v>
      </c>
      <c r="M46" s="136">
        <v>0.4</v>
      </c>
      <c r="N46" s="136">
        <v>0.4</v>
      </c>
      <c r="O46" s="136">
        <v>1.5</v>
      </c>
      <c r="P46" s="136">
        <v>0.6</v>
      </c>
      <c r="Q46" s="136">
        <v>0.1</v>
      </c>
      <c r="R46" s="136">
        <v>1</v>
      </c>
      <c r="S46" s="136">
        <v>0.3</v>
      </c>
      <c r="T46" s="136">
        <v>1.2</v>
      </c>
      <c r="U46" s="136">
        <v>0.2</v>
      </c>
      <c r="V46" s="136">
        <v>0.7</v>
      </c>
      <c r="W46" s="136">
        <v>0.4</v>
      </c>
      <c r="X46" s="136">
        <v>0</v>
      </c>
      <c r="Y46" s="136">
        <v>0.2</v>
      </c>
      <c r="Z46" s="136">
        <v>-0.1</v>
      </c>
      <c r="AA46" s="136">
        <v>0.2</v>
      </c>
      <c r="AB46" s="136">
        <v>0.1</v>
      </c>
      <c r="AC46" s="136">
        <v>0.5</v>
      </c>
      <c r="AD46" s="136">
        <v>0.1</v>
      </c>
      <c r="AE46" s="136">
        <v>0.4</v>
      </c>
      <c r="AF46" s="136">
        <v>-0.5</v>
      </c>
      <c r="AG46" s="136">
        <v>-0.9</v>
      </c>
      <c r="AH46" s="136">
        <v>0</v>
      </c>
      <c r="AI46" s="136">
        <v>-0.5</v>
      </c>
      <c r="AJ46" s="136">
        <v>0.6</v>
      </c>
      <c r="AK46" s="136">
        <v>0.8</v>
      </c>
      <c r="AL46" s="136">
        <v>0.3</v>
      </c>
      <c r="AM46" s="136">
        <v>0.3</v>
      </c>
      <c r="AN46" s="136">
        <v>0.3</v>
      </c>
      <c r="AO46" s="136">
        <v>0.6</v>
      </c>
      <c r="AP46" s="136">
        <v>0.9</v>
      </c>
      <c r="AQ46" s="136">
        <v>0.8</v>
      </c>
      <c r="AR46" s="136">
        <v>0.7</v>
      </c>
      <c r="AS46" s="136">
        <v>0.6</v>
      </c>
      <c r="AT46" s="136">
        <v>0.5</v>
      </c>
      <c r="AU46" s="136">
        <v>0.2</v>
      </c>
      <c r="AV46" s="136">
        <v>-0.2</v>
      </c>
      <c r="AW46" s="136">
        <v>-0.3</v>
      </c>
      <c r="AX46" s="136">
        <v>-0.5</v>
      </c>
      <c r="AY46" s="136">
        <v>-0.1</v>
      </c>
      <c r="AZ46" s="136">
        <v>0.3</v>
      </c>
      <c r="BA46" s="136">
        <v>0.5</v>
      </c>
      <c r="BB46" s="136">
        <v>0.4</v>
      </c>
      <c r="BC46" s="136">
        <v>0.4</v>
      </c>
      <c r="BD46" s="136">
        <v>0.6</v>
      </c>
      <c r="BE46" s="136">
        <v>0.5</v>
      </c>
      <c r="BF46" s="136">
        <v>1.2</v>
      </c>
      <c r="BG46" s="136">
        <v>0.9</v>
      </c>
      <c r="BH46" s="136">
        <v>0.6</v>
      </c>
      <c r="BI46" s="136">
        <v>0.5</v>
      </c>
      <c r="BJ46" s="136">
        <v>-0.5</v>
      </c>
      <c r="BK46" s="136">
        <v>-0.2</v>
      </c>
      <c r="BL46" s="136">
        <v>-0.1</v>
      </c>
      <c r="BM46" s="136">
        <v>0.2</v>
      </c>
      <c r="BN46" s="136">
        <v>1.5</v>
      </c>
      <c r="BO46" s="136">
        <v>-0.2</v>
      </c>
      <c r="BP46" s="136">
        <v>0.8</v>
      </c>
      <c r="BQ46" s="136">
        <v>0.4</v>
      </c>
      <c r="BR46" s="136">
        <v>0.2</v>
      </c>
      <c r="BS46" s="136">
        <v>1.2</v>
      </c>
      <c r="BT46" s="136">
        <v>-0.5</v>
      </c>
      <c r="BU46" s="136">
        <v>-0.3</v>
      </c>
      <c r="BV46" s="136">
        <v>-0.4</v>
      </c>
      <c r="BW46" s="136">
        <v>-0.1</v>
      </c>
      <c r="BX46" s="136">
        <v>-0.2</v>
      </c>
      <c r="BY46" s="136">
        <v>0.2</v>
      </c>
      <c r="BZ46" s="136">
        <v>0.6</v>
      </c>
      <c r="CA46" s="136">
        <v>0.5</v>
      </c>
      <c r="CB46" s="136">
        <v>0.2</v>
      </c>
      <c r="CC46" s="136">
        <v>0.3</v>
      </c>
      <c r="CD46" s="136">
        <v>0.3</v>
      </c>
      <c r="CE46" s="136">
        <v>1.2</v>
      </c>
    </row>
    <row r="47" spans="1:83" ht="7.5" customHeight="1" thickBot="1" x14ac:dyDescent="0.9">
      <c r="A47" s="64"/>
      <c r="B47" s="96"/>
      <c r="C47" s="97"/>
      <c r="D47" s="97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  <c r="AT47" s="96"/>
      <c r="AU47" s="96"/>
      <c r="AV47" s="96"/>
      <c r="AW47" s="96"/>
      <c r="AX47" s="96"/>
      <c r="AY47" s="96"/>
      <c r="AZ47" s="96"/>
      <c r="BA47" s="96"/>
      <c r="BB47" s="96"/>
      <c r="BC47" s="96"/>
      <c r="BD47" s="96"/>
      <c r="BE47" s="96"/>
      <c r="BF47" s="96"/>
      <c r="BG47" s="96"/>
      <c r="BH47" s="96"/>
      <c r="BI47" s="96"/>
      <c r="BJ47" s="96"/>
      <c r="BK47" s="96"/>
      <c r="BL47" s="96"/>
      <c r="BM47" s="96"/>
      <c r="BN47" s="96"/>
      <c r="BO47" s="96"/>
      <c r="BP47" s="96"/>
      <c r="BQ47" s="96"/>
      <c r="BR47" s="96"/>
      <c r="BS47" s="96"/>
      <c r="BT47" s="96"/>
      <c r="BU47" s="96"/>
      <c r="BV47" s="96"/>
      <c r="BW47" s="96"/>
      <c r="BX47" s="96"/>
      <c r="BY47" s="96"/>
      <c r="BZ47" s="96"/>
      <c r="CA47" s="96"/>
      <c r="CB47" s="96"/>
      <c r="CC47" s="96"/>
      <c r="CD47" s="96"/>
      <c r="CE47" s="96"/>
    </row>
    <row r="48" spans="1:83" s="100" customFormat="1" ht="12.75" customHeight="1" thickTop="1" x14ac:dyDescent="0.55000000000000004">
      <c r="A48" s="98"/>
      <c r="B48" s="20" t="str">
        <f>QGDP_CP!B48</f>
        <v>Source: National Institute of Statistics of Rwanda</v>
      </c>
      <c r="C48" s="99"/>
    </row>
    <row r="49" spans="1:83" s="100" customFormat="1" ht="11.75" x14ac:dyDescent="0.55000000000000004">
      <c r="A49" s="98"/>
      <c r="B49" s="22">
        <f>QGDP_CP!B49</f>
        <v>46007</v>
      </c>
      <c r="C49" s="99"/>
    </row>
    <row r="50" spans="1:83" ht="17.75" x14ac:dyDescent="0.75">
      <c r="A50" s="64"/>
    </row>
    <row r="51" spans="1:83" ht="17.75" x14ac:dyDescent="0.75">
      <c r="A51" s="64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3"/>
      <c r="BN51" s="103"/>
      <c r="BO51" s="103"/>
      <c r="BP51" s="103"/>
      <c r="BQ51" s="103"/>
      <c r="BR51" s="103"/>
      <c r="BS51" s="103"/>
      <c r="BT51" s="103"/>
      <c r="BU51" s="103"/>
      <c r="BV51" s="103"/>
      <c r="BW51" s="103"/>
      <c r="BX51" s="103"/>
      <c r="BY51" s="103"/>
      <c r="BZ51" s="103"/>
      <c r="CA51" s="103"/>
      <c r="CB51" s="103"/>
      <c r="CC51" s="103"/>
      <c r="CD51" s="103"/>
      <c r="CE51" s="103"/>
    </row>
    <row r="52" spans="1:83" ht="17.75" x14ac:dyDescent="0.75">
      <c r="A52" s="64"/>
      <c r="B52" s="104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5"/>
      <c r="BK52" s="105"/>
      <c r="BL52" s="105"/>
      <c r="BM52" s="105"/>
      <c r="BN52" s="105"/>
      <c r="BO52" s="105"/>
      <c r="BP52" s="105"/>
      <c r="BQ52" s="105"/>
      <c r="BR52" s="105"/>
      <c r="BS52" s="105"/>
      <c r="BT52" s="105"/>
      <c r="BU52" s="105"/>
      <c r="BV52" s="105"/>
      <c r="BW52" s="105"/>
      <c r="BX52" s="105"/>
      <c r="BY52" s="105"/>
      <c r="BZ52" s="105"/>
      <c r="CA52" s="105"/>
      <c r="CB52" s="105"/>
      <c r="CC52" s="105"/>
      <c r="CD52" s="105"/>
      <c r="CE52" s="105"/>
    </row>
  </sheetData>
  <pageMargins left="0.7" right="0.7" top="0.75" bottom="0.75" header="0.3" footer="0.3"/>
  <pageSetup paperSize="9" scale="61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0A50A-8C02-4380-B113-F57B0E2C196B}">
  <sheetPr codeName="Sheet7">
    <pageSetUpPr fitToPage="1"/>
  </sheetPr>
  <dimension ref="A1:CK65"/>
  <sheetViews>
    <sheetView showGridLines="0" zoomScale="90" zoomScaleNormal="90" zoomScaleSheetLayoutView="90" workbookViewId="0">
      <pane xSplit="3" ySplit="8" topLeftCell="BX18" activePane="bottomRight" state="frozen"/>
      <selection activeCell="CF28" sqref="CF28"/>
      <selection pane="topRight" activeCell="CF28" sqref="CF28"/>
      <selection pane="bottomLeft" activeCell="CF28" sqref="CF28"/>
      <selection pane="bottomRight" activeCell="BY7" sqref="BY7:CB7"/>
    </sheetView>
  </sheetViews>
  <sheetFormatPr defaultColWidth="9.1328125" defaultRowHeight="14.25" x14ac:dyDescent="0.65"/>
  <cols>
    <col min="1" max="1" width="1.40625" style="102" customWidth="1"/>
    <col min="2" max="2" width="48" style="102" customWidth="1"/>
    <col min="3" max="3" width="6.40625" style="103" bestFit="1" customWidth="1"/>
    <col min="4" max="4" width="8.40625" style="102" customWidth="1"/>
    <col min="5" max="64" width="8.40625" style="102" hidden="1" customWidth="1"/>
    <col min="65" max="83" width="8.40625" style="102" customWidth="1"/>
    <col min="84" max="84" width="7.86328125" style="102" bestFit="1" customWidth="1"/>
    <col min="85" max="85" width="7.86328125" style="102" customWidth="1"/>
    <col min="86" max="87" width="12.54296875" style="102" bestFit="1" customWidth="1"/>
    <col min="88" max="88" width="9.1328125" style="102"/>
    <col min="89" max="89" width="12.54296875" style="102" bestFit="1" customWidth="1"/>
    <col min="90" max="16384" width="9.1328125" style="102"/>
  </cols>
  <sheetData>
    <row r="1" spans="1:89" s="67" customFormat="1" ht="15" customHeight="1" x14ac:dyDescent="0.75">
      <c r="A1" s="64"/>
      <c r="B1" s="65" t="s">
        <v>305</v>
      </c>
      <c r="C1" s="66"/>
    </row>
    <row r="2" spans="1:89" s="71" customFormat="1" ht="15" customHeight="1" x14ac:dyDescent="0.6">
      <c r="A2" s="69"/>
      <c r="B2" s="69" t="s">
        <v>165</v>
      </c>
      <c r="C2" s="70"/>
    </row>
    <row r="3" spans="1:89" s="68" customFormat="1" ht="15" customHeight="1" x14ac:dyDescent="0.75">
      <c r="A3" s="64"/>
      <c r="B3" s="65" t="s">
        <v>159</v>
      </c>
      <c r="C3" s="72"/>
    </row>
    <row r="4" spans="1:89" s="68" customFormat="1" ht="15" customHeight="1" thickBot="1" x14ac:dyDescent="0.9">
      <c r="A4" s="64"/>
      <c r="B4" s="73" t="str">
        <f>QGDP_KP!$D$5&amp;"=100"</f>
        <v>2024=100</v>
      </c>
      <c r="C4" s="72"/>
    </row>
    <row r="5" spans="1:89" s="77" customFormat="1" ht="27.5" thickTop="1" thickBot="1" x14ac:dyDescent="0.9">
      <c r="A5" s="69"/>
      <c r="B5" s="75" t="s">
        <v>169</v>
      </c>
      <c r="C5" s="76" t="s">
        <v>170</v>
      </c>
      <c r="D5" s="74">
        <f>QGDP_KP!$D$5</f>
        <v>2024</v>
      </c>
      <c r="E5" s="74" t="s">
        <v>116</v>
      </c>
      <c r="F5" s="74" t="s">
        <v>117</v>
      </c>
      <c r="G5" s="74" t="s">
        <v>118</v>
      </c>
      <c r="H5" s="74" t="s">
        <v>119</v>
      </c>
      <c r="I5" s="74" t="s">
        <v>120</v>
      </c>
      <c r="J5" s="74" t="s">
        <v>121</v>
      </c>
      <c r="K5" s="74" t="s">
        <v>122</v>
      </c>
      <c r="L5" s="74" t="s">
        <v>123</v>
      </c>
      <c r="M5" s="74" t="s">
        <v>124</v>
      </c>
      <c r="N5" s="74" t="s">
        <v>125</v>
      </c>
      <c r="O5" s="74" t="s">
        <v>126</v>
      </c>
      <c r="P5" s="74" t="s">
        <v>127</v>
      </c>
      <c r="Q5" s="74" t="s">
        <v>128</v>
      </c>
      <c r="R5" s="74" t="s">
        <v>129</v>
      </c>
      <c r="S5" s="74" t="s">
        <v>130</v>
      </c>
      <c r="T5" s="74" t="s">
        <v>131</v>
      </c>
      <c r="U5" s="74" t="s">
        <v>132</v>
      </c>
      <c r="V5" s="74" t="s">
        <v>133</v>
      </c>
      <c r="W5" s="74" t="s">
        <v>134</v>
      </c>
      <c r="X5" s="74" t="s">
        <v>135</v>
      </c>
      <c r="Y5" s="74" t="s">
        <v>136</v>
      </c>
      <c r="Z5" s="74" t="s">
        <v>137</v>
      </c>
      <c r="AA5" s="74" t="s">
        <v>138</v>
      </c>
      <c r="AB5" s="74" t="s">
        <v>139</v>
      </c>
      <c r="AC5" s="74" t="s">
        <v>140</v>
      </c>
      <c r="AD5" s="74" t="s">
        <v>141</v>
      </c>
      <c r="AE5" s="74" t="s">
        <v>142</v>
      </c>
      <c r="AF5" s="74" t="s">
        <v>143</v>
      </c>
      <c r="AG5" s="74" t="s">
        <v>144</v>
      </c>
      <c r="AH5" s="74" t="s">
        <v>145</v>
      </c>
      <c r="AI5" s="74" t="s">
        <v>146</v>
      </c>
      <c r="AJ5" s="74" t="s">
        <v>147</v>
      </c>
      <c r="AK5" s="74" t="s">
        <v>171</v>
      </c>
      <c r="AL5" s="74" t="s">
        <v>172</v>
      </c>
      <c r="AM5" s="74" t="s">
        <v>173</v>
      </c>
      <c r="AN5" s="74" t="s">
        <v>174</v>
      </c>
      <c r="AO5" s="74" t="s">
        <v>175</v>
      </c>
      <c r="AP5" s="74" t="s">
        <v>176</v>
      </c>
      <c r="AQ5" s="74" t="s">
        <v>177</v>
      </c>
      <c r="AR5" s="74" t="s">
        <v>178</v>
      </c>
      <c r="AS5" s="74" t="s">
        <v>179</v>
      </c>
      <c r="AT5" s="74" t="s">
        <v>180</v>
      </c>
      <c r="AU5" s="74" t="s">
        <v>181</v>
      </c>
      <c r="AV5" s="74" t="s">
        <v>182</v>
      </c>
      <c r="AW5" s="74" t="s">
        <v>183</v>
      </c>
      <c r="AX5" s="74" t="s">
        <v>184</v>
      </c>
      <c r="AY5" s="74" t="s">
        <v>185</v>
      </c>
      <c r="AZ5" s="74" t="s">
        <v>186</v>
      </c>
      <c r="BA5" s="74" t="s">
        <v>187</v>
      </c>
      <c r="BB5" s="74" t="s">
        <v>188</v>
      </c>
      <c r="BC5" s="74" t="s">
        <v>189</v>
      </c>
      <c r="BD5" s="74" t="s">
        <v>190</v>
      </c>
      <c r="BE5" s="74" t="s">
        <v>191</v>
      </c>
      <c r="BF5" s="74" t="s">
        <v>192</v>
      </c>
      <c r="BG5" s="74" t="s">
        <v>193</v>
      </c>
      <c r="BH5" s="74" t="s">
        <v>194</v>
      </c>
      <c r="BI5" s="74" t="s">
        <v>195</v>
      </c>
      <c r="BJ5" s="74" t="s">
        <v>196</v>
      </c>
      <c r="BK5" s="74" t="s">
        <v>197</v>
      </c>
      <c r="BL5" s="74" t="s">
        <v>198</v>
      </c>
      <c r="BM5" s="74" t="s">
        <v>199</v>
      </c>
      <c r="BN5" s="74" t="s">
        <v>200</v>
      </c>
      <c r="BO5" s="74" t="s">
        <v>201</v>
      </c>
      <c r="BP5" s="74" t="s">
        <v>202</v>
      </c>
      <c r="BQ5" s="74" t="s">
        <v>203</v>
      </c>
      <c r="BR5" s="74" t="s">
        <v>204</v>
      </c>
      <c r="BS5" s="74" t="s">
        <v>205</v>
      </c>
      <c r="BT5" s="74" t="s">
        <v>206</v>
      </c>
      <c r="BU5" s="74" t="s">
        <v>207</v>
      </c>
      <c r="BV5" s="74" t="s">
        <v>208</v>
      </c>
      <c r="BW5" s="74" t="s">
        <v>209</v>
      </c>
      <c r="BX5" s="74" t="s">
        <v>210</v>
      </c>
      <c r="BY5" s="74" t="s">
        <v>211</v>
      </c>
      <c r="BZ5" s="74" t="s">
        <v>212</v>
      </c>
      <c r="CA5" s="74" t="s">
        <v>213</v>
      </c>
      <c r="CB5" s="74" t="s">
        <v>214</v>
      </c>
      <c r="CC5" s="74" t="s">
        <v>215</v>
      </c>
      <c r="CD5" s="74" t="s">
        <v>216</v>
      </c>
      <c r="CE5" s="74" t="s">
        <v>217</v>
      </c>
      <c r="CF5" s="68"/>
      <c r="CG5" s="68"/>
      <c r="CH5" s="68"/>
      <c r="CI5" s="68"/>
      <c r="CJ5" s="68"/>
      <c r="CK5" s="68"/>
    </row>
    <row r="6" spans="1:89" s="77" customFormat="1" ht="18.5" thickTop="1" x14ac:dyDescent="0.75">
      <c r="A6" s="64"/>
      <c r="B6" s="79"/>
      <c r="C6" s="80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1"/>
      <c r="BJ6" s="141"/>
      <c r="BK6" s="141"/>
      <c r="BL6" s="141"/>
      <c r="BM6" s="141"/>
      <c r="BN6" s="141"/>
      <c r="BO6" s="141"/>
      <c r="BP6" s="141"/>
      <c r="BQ6" s="141"/>
      <c r="BR6" s="141"/>
      <c r="BS6" s="141"/>
      <c r="BT6" s="141"/>
      <c r="BU6" s="141"/>
      <c r="BV6" s="141"/>
      <c r="BW6" s="141"/>
      <c r="BX6" s="141"/>
      <c r="BY6" s="141"/>
      <c r="BZ6" s="141"/>
      <c r="CA6" s="141"/>
      <c r="CB6" s="141"/>
      <c r="CC6" s="141"/>
      <c r="CD6" s="141"/>
      <c r="CE6" s="141"/>
      <c r="CF6" s="68"/>
      <c r="CG6" s="68"/>
      <c r="CH6" s="68"/>
      <c r="CI6" s="68"/>
      <c r="CJ6" s="68"/>
      <c r="CK6" s="68"/>
    </row>
    <row r="7" spans="1:89" ht="14.25" customHeight="1" x14ac:dyDescent="0.75">
      <c r="A7" s="64"/>
      <c r="B7" s="81" t="s">
        <v>219</v>
      </c>
      <c r="C7" s="82"/>
      <c r="D7" s="83">
        <v>100</v>
      </c>
      <c r="E7" s="83">
        <v>30</v>
      </c>
      <c r="F7" s="83">
        <v>31</v>
      </c>
      <c r="G7" s="83">
        <v>30</v>
      </c>
      <c r="H7" s="83">
        <v>31</v>
      </c>
      <c r="I7" s="83">
        <v>33</v>
      </c>
      <c r="J7" s="83">
        <v>35</v>
      </c>
      <c r="K7" s="83">
        <v>35</v>
      </c>
      <c r="L7" s="83">
        <v>36</v>
      </c>
      <c r="M7" s="83">
        <v>37</v>
      </c>
      <c r="N7" s="83">
        <v>39</v>
      </c>
      <c r="O7" s="83">
        <v>41</v>
      </c>
      <c r="P7" s="83">
        <v>43</v>
      </c>
      <c r="Q7" s="83">
        <v>42</v>
      </c>
      <c r="R7" s="83">
        <v>42</v>
      </c>
      <c r="S7" s="83">
        <v>43</v>
      </c>
      <c r="T7" s="83">
        <v>44</v>
      </c>
      <c r="U7" s="83">
        <v>43</v>
      </c>
      <c r="V7" s="83">
        <v>44</v>
      </c>
      <c r="W7" s="83">
        <v>44</v>
      </c>
      <c r="X7" s="83">
        <v>45</v>
      </c>
      <c r="Y7" s="83">
        <v>45</v>
      </c>
      <c r="Z7" s="83">
        <v>48</v>
      </c>
      <c r="AA7" s="83">
        <v>48</v>
      </c>
      <c r="AB7" s="83">
        <v>48</v>
      </c>
      <c r="AC7" s="83">
        <v>48</v>
      </c>
      <c r="AD7" s="83">
        <v>50</v>
      </c>
      <c r="AE7" s="83">
        <v>50</v>
      </c>
      <c r="AF7" s="83">
        <v>50</v>
      </c>
      <c r="AG7" s="83">
        <v>50</v>
      </c>
      <c r="AH7" s="83">
        <v>50</v>
      </c>
      <c r="AI7" s="83">
        <v>51</v>
      </c>
      <c r="AJ7" s="83">
        <v>52</v>
      </c>
      <c r="AK7" s="83">
        <v>53</v>
      </c>
      <c r="AL7" s="83">
        <v>54</v>
      </c>
      <c r="AM7" s="83">
        <v>55</v>
      </c>
      <c r="AN7" s="83">
        <v>52</v>
      </c>
      <c r="AO7" s="83">
        <v>53</v>
      </c>
      <c r="AP7" s="83">
        <v>53</v>
      </c>
      <c r="AQ7" s="83">
        <v>55</v>
      </c>
      <c r="AR7" s="83">
        <v>54</v>
      </c>
      <c r="AS7" s="83">
        <v>55</v>
      </c>
      <c r="AT7" s="83">
        <v>56</v>
      </c>
      <c r="AU7" s="83">
        <v>57</v>
      </c>
      <c r="AV7" s="83">
        <v>59</v>
      </c>
      <c r="AW7" s="83">
        <v>61</v>
      </c>
      <c r="AX7" s="83">
        <v>61</v>
      </c>
      <c r="AY7" s="83">
        <v>61</v>
      </c>
      <c r="AZ7" s="83">
        <v>61</v>
      </c>
      <c r="BA7" s="83">
        <v>62</v>
      </c>
      <c r="BB7" s="83">
        <v>62</v>
      </c>
      <c r="BC7" s="83">
        <v>62</v>
      </c>
      <c r="BD7" s="83">
        <v>60</v>
      </c>
      <c r="BE7" s="83">
        <v>62</v>
      </c>
      <c r="BF7" s="83">
        <v>64</v>
      </c>
      <c r="BG7" s="83">
        <v>65</v>
      </c>
      <c r="BH7" s="83">
        <v>65</v>
      </c>
      <c r="BI7" s="83">
        <v>66</v>
      </c>
      <c r="BJ7" s="83">
        <v>70</v>
      </c>
      <c r="BK7" s="83">
        <v>68</v>
      </c>
      <c r="BL7" s="83">
        <v>71</v>
      </c>
      <c r="BM7" s="83">
        <v>69</v>
      </c>
      <c r="BN7" s="83">
        <v>70</v>
      </c>
      <c r="BO7" s="83">
        <v>75</v>
      </c>
      <c r="BP7" s="83">
        <v>72</v>
      </c>
      <c r="BQ7" s="83">
        <v>76</v>
      </c>
      <c r="BR7" s="83">
        <v>78</v>
      </c>
      <c r="BS7" s="83">
        <v>86</v>
      </c>
      <c r="BT7" s="83">
        <v>91</v>
      </c>
      <c r="BU7" s="83">
        <v>92</v>
      </c>
      <c r="BV7" s="83">
        <v>91</v>
      </c>
      <c r="BW7" s="83">
        <v>91</v>
      </c>
      <c r="BX7" s="83">
        <v>95</v>
      </c>
      <c r="BY7" s="83">
        <v>95</v>
      </c>
      <c r="BZ7" s="83">
        <v>97</v>
      </c>
      <c r="CA7" s="83">
        <v>102</v>
      </c>
      <c r="CB7" s="83">
        <v>105</v>
      </c>
      <c r="CC7" s="83">
        <v>104</v>
      </c>
      <c r="CD7" s="83">
        <v>105</v>
      </c>
      <c r="CE7" s="83">
        <v>109</v>
      </c>
      <c r="CF7" s="68"/>
      <c r="CG7" s="142"/>
      <c r="CH7" s="68"/>
      <c r="CI7" s="68"/>
      <c r="CJ7" s="68"/>
      <c r="CK7" s="68"/>
    </row>
    <row r="8" spans="1:89" s="77" customFormat="1" ht="7.5" customHeight="1" x14ac:dyDescent="0.75">
      <c r="A8" s="64"/>
      <c r="B8" s="79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68"/>
      <c r="CG8" s="142"/>
      <c r="CH8" s="68"/>
      <c r="CI8" s="68"/>
      <c r="CJ8" s="68"/>
      <c r="CK8" s="68"/>
    </row>
    <row r="9" spans="1:89" ht="14.25" customHeight="1" x14ac:dyDescent="0.75">
      <c r="A9" s="64"/>
      <c r="B9" s="81" t="s">
        <v>222</v>
      </c>
      <c r="C9" s="82" t="s">
        <v>223</v>
      </c>
      <c r="D9" s="83">
        <v>100</v>
      </c>
      <c r="E9" s="83">
        <v>26</v>
      </c>
      <c r="F9" s="83">
        <v>30</v>
      </c>
      <c r="G9" s="83">
        <v>27</v>
      </c>
      <c r="H9" s="83">
        <v>29</v>
      </c>
      <c r="I9" s="83">
        <v>29</v>
      </c>
      <c r="J9" s="83">
        <v>29</v>
      </c>
      <c r="K9" s="83">
        <v>28</v>
      </c>
      <c r="L9" s="83">
        <v>28</v>
      </c>
      <c r="M9" s="83">
        <v>29</v>
      </c>
      <c r="N9" s="83">
        <v>32</v>
      </c>
      <c r="O9" s="83">
        <v>34</v>
      </c>
      <c r="P9" s="83">
        <v>35</v>
      </c>
      <c r="Q9" s="83">
        <v>34</v>
      </c>
      <c r="R9" s="83">
        <v>35</v>
      </c>
      <c r="S9" s="83">
        <v>34</v>
      </c>
      <c r="T9" s="83">
        <v>37</v>
      </c>
      <c r="U9" s="83">
        <v>35</v>
      </c>
      <c r="V9" s="83">
        <v>36</v>
      </c>
      <c r="W9" s="83">
        <v>35</v>
      </c>
      <c r="X9" s="83">
        <v>36</v>
      </c>
      <c r="Y9" s="83">
        <v>35</v>
      </c>
      <c r="Z9" s="83">
        <v>39</v>
      </c>
      <c r="AA9" s="83">
        <v>39</v>
      </c>
      <c r="AB9" s="83">
        <v>41</v>
      </c>
      <c r="AC9" s="83">
        <v>40</v>
      </c>
      <c r="AD9" s="83">
        <v>43</v>
      </c>
      <c r="AE9" s="83">
        <v>44</v>
      </c>
      <c r="AF9" s="83">
        <v>44</v>
      </c>
      <c r="AG9" s="83">
        <v>43</v>
      </c>
      <c r="AH9" s="83">
        <v>44</v>
      </c>
      <c r="AI9" s="83">
        <v>44</v>
      </c>
      <c r="AJ9" s="83">
        <v>46</v>
      </c>
      <c r="AK9" s="83">
        <v>48</v>
      </c>
      <c r="AL9" s="83">
        <v>47</v>
      </c>
      <c r="AM9" s="83">
        <v>50</v>
      </c>
      <c r="AN9" s="83">
        <v>44</v>
      </c>
      <c r="AO9" s="83">
        <v>47</v>
      </c>
      <c r="AP9" s="83">
        <v>47</v>
      </c>
      <c r="AQ9" s="83">
        <v>51</v>
      </c>
      <c r="AR9" s="83">
        <v>48</v>
      </c>
      <c r="AS9" s="83">
        <v>51</v>
      </c>
      <c r="AT9" s="83">
        <v>52</v>
      </c>
      <c r="AU9" s="83">
        <v>55</v>
      </c>
      <c r="AV9" s="83">
        <v>59</v>
      </c>
      <c r="AW9" s="83">
        <v>62</v>
      </c>
      <c r="AX9" s="83">
        <v>60</v>
      </c>
      <c r="AY9" s="83">
        <v>62</v>
      </c>
      <c r="AZ9" s="83">
        <v>58</v>
      </c>
      <c r="BA9" s="83">
        <v>58</v>
      </c>
      <c r="BB9" s="83">
        <v>57</v>
      </c>
      <c r="BC9" s="83">
        <v>63</v>
      </c>
      <c r="BD9" s="83">
        <v>53</v>
      </c>
      <c r="BE9" s="83">
        <v>53</v>
      </c>
      <c r="BF9" s="83">
        <v>56</v>
      </c>
      <c r="BG9" s="83">
        <v>62</v>
      </c>
      <c r="BH9" s="83">
        <v>60</v>
      </c>
      <c r="BI9" s="83">
        <v>64</v>
      </c>
      <c r="BJ9" s="83">
        <v>63</v>
      </c>
      <c r="BK9" s="83">
        <v>67</v>
      </c>
      <c r="BL9" s="83">
        <v>67</v>
      </c>
      <c r="BM9" s="83">
        <v>67</v>
      </c>
      <c r="BN9" s="83">
        <v>62</v>
      </c>
      <c r="BO9" s="83">
        <v>67</v>
      </c>
      <c r="BP9" s="83">
        <v>58</v>
      </c>
      <c r="BQ9" s="83">
        <v>69</v>
      </c>
      <c r="BR9" s="83">
        <v>76</v>
      </c>
      <c r="BS9" s="83">
        <v>85</v>
      </c>
      <c r="BT9" s="83">
        <v>93</v>
      </c>
      <c r="BU9" s="83">
        <v>97</v>
      </c>
      <c r="BV9" s="83">
        <v>101</v>
      </c>
      <c r="BW9" s="83">
        <v>96</v>
      </c>
      <c r="BX9" s="83">
        <v>100</v>
      </c>
      <c r="BY9" s="83">
        <v>101</v>
      </c>
      <c r="BZ9" s="83">
        <v>96</v>
      </c>
      <c r="CA9" s="83">
        <v>103</v>
      </c>
      <c r="CB9" s="83">
        <v>101</v>
      </c>
      <c r="CC9" s="83">
        <v>107</v>
      </c>
      <c r="CD9" s="83">
        <v>106</v>
      </c>
      <c r="CE9" s="83">
        <v>109</v>
      </c>
      <c r="CF9" s="68"/>
      <c r="CG9" s="142"/>
      <c r="CH9" s="68"/>
      <c r="CI9" s="68"/>
      <c r="CJ9" s="68"/>
      <c r="CK9" s="68"/>
    </row>
    <row r="10" spans="1:89" ht="13.5" customHeight="1" x14ac:dyDescent="0.75">
      <c r="A10" s="68"/>
      <c r="B10" s="67" t="s">
        <v>224</v>
      </c>
      <c r="C10" s="66" t="s">
        <v>225</v>
      </c>
      <c r="D10" s="143">
        <v>100</v>
      </c>
      <c r="E10" s="143">
        <v>19</v>
      </c>
      <c r="F10" s="143">
        <v>21</v>
      </c>
      <c r="G10" s="143">
        <v>22</v>
      </c>
      <c r="H10" s="143">
        <v>24</v>
      </c>
      <c r="I10" s="143">
        <v>25</v>
      </c>
      <c r="J10" s="143">
        <v>24</v>
      </c>
      <c r="K10" s="143">
        <v>23</v>
      </c>
      <c r="L10" s="143">
        <v>24</v>
      </c>
      <c r="M10" s="143">
        <v>23</v>
      </c>
      <c r="N10" s="143">
        <v>24</v>
      </c>
      <c r="O10" s="143">
        <v>25</v>
      </c>
      <c r="P10" s="143">
        <v>28</v>
      </c>
      <c r="Q10" s="143">
        <v>27</v>
      </c>
      <c r="R10" s="143">
        <v>27</v>
      </c>
      <c r="S10" s="143">
        <v>28</v>
      </c>
      <c r="T10" s="143">
        <v>32</v>
      </c>
      <c r="U10" s="143">
        <v>30</v>
      </c>
      <c r="V10" s="143">
        <v>28</v>
      </c>
      <c r="W10" s="143">
        <v>28</v>
      </c>
      <c r="X10" s="143">
        <v>29</v>
      </c>
      <c r="Y10" s="143">
        <v>29</v>
      </c>
      <c r="Z10" s="143">
        <v>33</v>
      </c>
      <c r="AA10" s="143">
        <v>32</v>
      </c>
      <c r="AB10" s="143">
        <v>35</v>
      </c>
      <c r="AC10" s="143">
        <v>33</v>
      </c>
      <c r="AD10" s="143">
        <v>36</v>
      </c>
      <c r="AE10" s="143">
        <v>38</v>
      </c>
      <c r="AF10" s="143">
        <v>38</v>
      </c>
      <c r="AG10" s="143">
        <v>38</v>
      </c>
      <c r="AH10" s="143">
        <v>39</v>
      </c>
      <c r="AI10" s="143">
        <v>40</v>
      </c>
      <c r="AJ10" s="143">
        <v>43</v>
      </c>
      <c r="AK10" s="143">
        <v>43</v>
      </c>
      <c r="AL10" s="143">
        <v>43</v>
      </c>
      <c r="AM10" s="143">
        <v>40</v>
      </c>
      <c r="AN10" s="143">
        <v>40</v>
      </c>
      <c r="AO10" s="143">
        <v>42</v>
      </c>
      <c r="AP10" s="143">
        <v>43</v>
      </c>
      <c r="AQ10" s="143">
        <v>42</v>
      </c>
      <c r="AR10" s="143">
        <v>46</v>
      </c>
      <c r="AS10" s="143">
        <v>46</v>
      </c>
      <c r="AT10" s="143">
        <v>49</v>
      </c>
      <c r="AU10" s="143">
        <v>53</v>
      </c>
      <c r="AV10" s="143">
        <v>60</v>
      </c>
      <c r="AW10" s="143">
        <v>64</v>
      </c>
      <c r="AX10" s="143">
        <v>61</v>
      </c>
      <c r="AY10" s="143">
        <v>58</v>
      </c>
      <c r="AZ10" s="143">
        <v>55</v>
      </c>
      <c r="BA10" s="143">
        <v>53</v>
      </c>
      <c r="BB10" s="143">
        <v>52</v>
      </c>
      <c r="BC10" s="143">
        <v>50</v>
      </c>
      <c r="BD10" s="143">
        <v>46</v>
      </c>
      <c r="BE10" s="143">
        <v>46</v>
      </c>
      <c r="BF10" s="143">
        <v>50</v>
      </c>
      <c r="BG10" s="143">
        <v>52</v>
      </c>
      <c r="BH10" s="143">
        <v>57</v>
      </c>
      <c r="BI10" s="143">
        <v>59</v>
      </c>
      <c r="BJ10" s="143">
        <v>58</v>
      </c>
      <c r="BK10" s="143">
        <v>62</v>
      </c>
      <c r="BL10" s="143">
        <v>66</v>
      </c>
      <c r="BM10" s="143">
        <v>61</v>
      </c>
      <c r="BN10" s="143">
        <v>57</v>
      </c>
      <c r="BO10" s="143">
        <v>55</v>
      </c>
      <c r="BP10" s="143">
        <v>52</v>
      </c>
      <c r="BQ10" s="143">
        <v>57</v>
      </c>
      <c r="BR10" s="143">
        <v>70</v>
      </c>
      <c r="BS10" s="143">
        <v>73</v>
      </c>
      <c r="BT10" s="143">
        <v>94</v>
      </c>
      <c r="BU10" s="143">
        <v>98</v>
      </c>
      <c r="BV10" s="143">
        <v>107</v>
      </c>
      <c r="BW10" s="143">
        <v>99</v>
      </c>
      <c r="BX10" s="143">
        <v>106</v>
      </c>
      <c r="BY10" s="143">
        <v>101</v>
      </c>
      <c r="BZ10" s="143">
        <v>96</v>
      </c>
      <c r="CA10" s="143">
        <v>94</v>
      </c>
      <c r="CB10" s="143">
        <v>104</v>
      </c>
      <c r="CC10" s="143">
        <v>103</v>
      </c>
      <c r="CD10" s="143">
        <v>105</v>
      </c>
      <c r="CE10" s="143">
        <v>98</v>
      </c>
      <c r="CF10" s="68"/>
      <c r="CG10" s="142"/>
      <c r="CH10" s="68"/>
      <c r="CI10" s="68"/>
      <c r="CJ10" s="68"/>
      <c r="CK10" s="68"/>
    </row>
    <row r="11" spans="1:89" ht="13.5" customHeight="1" x14ac:dyDescent="0.75">
      <c r="A11" s="68"/>
      <c r="B11" s="67" t="s">
        <v>226</v>
      </c>
      <c r="C11" s="66" t="s">
        <v>227</v>
      </c>
      <c r="D11" s="143">
        <v>100</v>
      </c>
      <c r="E11" s="143">
        <v>20</v>
      </c>
      <c r="F11" s="143">
        <v>20</v>
      </c>
      <c r="G11" s="143">
        <v>21</v>
      </c>
      <c r="H11" s="143">
        <v>21</v>
      </c>
      <c r="I11" s="143">
        <v>20</v>
      </c>
      <c r="J11" s="143">
        <v>20</v>
      </c>
      <c r="K11" s="143">
        <v>21</v>
      </c>
      <c r="L11" s="143">
        <v>21</v>
      </c>
      <c r="M11" s="143">
        <v>21</v>
      </c>
      <c r="N11" s="143">
        <v>21</v>
      </c>
      <c r="O11" s="143">
        <v>22</v>
      </c>
      <c r="P11" s="143">
        <v>22</v>
      </c>
      <c r="Q11" s="143">
        <v>25</v>
      </c>
      <c r="R11" s="143">
        <v>25</v>
      </c>
      <c r="S11" s="143">
        <v>24</v>
      </c>
      <c r="T11" s="143">
        <v>25</v>
      </c>
      <c r="U11" s="143">
        <v>26</v>
      </c>
      <c r="V11" s="143">
        <v>27</v>
      </c>
      <c r="W11" s="143">
        <v>25</v>
      </c>
      <c r="X11" s="143">
        <v>27</v>
      </c>
      <c r="Y11" s="143">
        <v>26</v>
      </c>
      <c r="Z11" s="143">
        <v>26</v>
      </c>
      <c r="AA11" s="143">
        <v>27</v>
      </c>
      <c r="AB11" s="143">
        <v>27</v>
      </c>
      <c r="AC11" s="143">
        <v>29</v>
      </c>
      <c r="AD11" s="143">
        <v>30</v>
      </c>
      <c r="AE11" s="143">
        <v>32</v>
      </c>
      <c r="AF11" s="143">
        <v>32</v>
      </c>
      <c r="AG11" s="143">
        <v>29</v>
      </c>
      <c r="AH11" s="143">
        <v>27</v>
      </c>
      <c r="AI11" s="143">
        <v>25</v>
      </c>
      <c r="AJ11" s="143">
        <v>25</v>
      </c>
      <c r="AK11" s="143">
        <v>35</v>
      </c>
      <c r="AL11" s="143">
        <v>33</v>
      </c>
      <c r="AM11" s="143">
        <v>34</v>
      </c>
      <c r="AN11" s="143">
        <v>34</v>
      </c>
      <c r="AO11" s="143">
        <v>34</v>
      </c>
      <c r="AP11" s="143">
        <v>34</v>
      </c>
      <c r="AQ11" s="143">
        <v>30</v>
      </c>
      <c r="AR11" s="143">
        <v>25</v>
      </c>
      <c r="AS11" s="143">
        <v>37</v>
      </c>
      <c r="AT11" s="143">
        <v>36</v>
      </c>
      <c r="AU11" s="143">
        <v>31</v>
      </c>
      <c r="AV11" s="143">
        <v>36</v>
      </c>
      <c r="AW11" s="143">
        <v>45</v>
      </c>
      <c r="AX11" s="143">
        <v>46</v>
      </c>
      <c r="AY11" s="143">
        <v>45</v>
      </c>
      <c r="AZ11" s="143">
        <v>45</v>
      </c>
      <c r="BA11" s="143">
        <v>41</v>
      </c>
      <c r="BB11" s="143">
        <v>46</v>
      </c>
      <c r="BC11" s="143">
        <v>44</v>
      </c>
      <c r="BD11" s="143">
        <v>45</v>
      </c>
      <c r="BE11" s="143">
        <v>36</v>
      </c>
      <c r="BF11" s="143">
        <v>42</v>
      </c>
      <c r="BG11" s="143">
        <v>34</v>
      </c>
      <c r="BH11" s="143">
        <v>36</v>
      </c>
      <c r="BI11" s="143">
        <v>49</v>
      </c>
      <c r="BJ11" s="143">
        <v>52</v>
      </c>
      <c r="BK11" s="143">
        <v>41</v>
      </c>
      <c r="BL11" s="143">
        <v>47</v>
      </c>
      <c r="BM11" s="143">
        <v>54</v>
      </c>
      <c r="BN11" s="143">
        <v>38</v>
      </c>
      <c r="BO11" s="143">
        <v>49</v>
      </c>
      <c r="BP11" s="143">
        <v>40</v>
      </c>
      <c r="BQ11" s="143">
        <v>83</v>
      </c>
      <c r="BR11" s="143">
        <v>61</v>
      </c>
      <c r="BS11" s="143">
        <v>85</v>
      </c>
      <c r="BT11" s="143">
        <v>74</v>
      </c>
      <c r="BU11" s="143">
        <v>93</v>
      </c>
      <c r="BV11" s="143">
        <v>62</v>
      </c>
      <c r="BW11" s="143">
        <v>84</v>
      </c>
      <c r="BX11" s="143">
        <v>70</v>
      </c>
      <c r="BY11" s="143">
        <v>111</v>
      </c>
      <c r="BZ11" s="143">
        <v>82</v>
      </c>
      <c r="CA11" s="143">
        <v>135</v>
      </c>
      <c r="CB11" s="143">
        <v>75</v>
      </c>
      <c r="CC11" s="143">
        <v>140</v>
      </c>
      <c r="CD11" s="143">
        <v>103</v>
      </c>
      <c r="CE11" s="143">
        <v>128</v>
      </c>
      <c r="CF11" s="68"/>
      <c r="CG11" s="142"/>
      <c r="CH11" s="68"/>
      <c r="CI11" s="68"/>
      <c r="CJ11" s="68"/>
      <c r="CK11" s="68"/>
    </row>
    <row r="12" spans="1:89" ht="13.5" customHeight="1" x14ac:dyDescent="0.75">
      <c r="A12" s="68"/>
      <c r="B12" s="67" t="s">
        <v>228</v>
      </c>
      <c r="C12" s="66" t="s">
        <v>229</v>
      </c>
      <c r="D12" s="143">
        <v>100</v>
      </c>
      <c r="E12" s="143">
        <v>29</v>
      </c>
      <c r="F12" s="143">
        <v>29</v>
      </c>
      <c r="G12" s="143">
        <v>30</v>
      </c>
      <c r="H12" s="143">
        <v>30</v>
      </c>
      <c r="I12" s="143">
        <v>30</v>
      </c>
      <c r="J12" s="143">
        <v>29</v>
      </c>
      <c r="K12" s="143">
        <v>31</v>
      </c>
      <c r="L12" s="143">
        <v>31</v>
      </c>
      <c r="M12" s="143">
        <v>33</v>
      </c>
      <c r="N12" s="143">
        <v>36</v>
      </c>
      <c r="O12" s="143">
        <v>39</v>
      </c>
      <c r="P12" s="143">
        <v>42</v>
      </c>
      <c r="Q12" s="143">
        <v>44</v>
      </c>
      <c r="R12" s="143">
        <v>44</v>
      </c>
      <c r="S12" s="143">
        <v>43</v>
      </c>
      <c r="T12" s="143">
        <v>44</v>
      </c>
      <c r="U12" s="143">
        <v>43</v>
      </c>
      <c r="V12" s="143">
        <v>43</v>
      </c>
      <c r="W12" s="143">
        <v>44</v>
      </c>
      <c r="X12" s="143">
        <v>45</v>
      </c>
      <c r="Y12" s="143">
        <v>46</v>
      </c>
      <c r="Z12" s="143">
        <v>47</v>
      </c>
      <c r="AA12" s="143">
        <v>48</v>
      </c>
      <c r="AB12" s="143">
        <v>49</v>
      </c>
      <c r="AC12" s="143">
        <v>49</v>
      </c>
      <c r="AD12" s="143">
        <v>50</v>
      </c>
      <c r="AE12" s="143">
        <v>51</v>
      </c>
      <c r="AF12" s="143">
        <v>51</v>
      </c>
      <c r="AG12" s="143">
        <v>52</v>
      </c>
      <c r="AH12" s="143">
        <v>52</v>
      </c>
      <c r="AI12" s="143">
        <v>52</v>
      </c>
      <c r="AJ12" s="143">
        <v>53</v>
      </c>
      <c r="AK12" s="143">
        <v>53</v>
      </c>
      <c r="AL12" s="143">
        <v>53</v>
      </c>
      <c r="AM12" s="143">
        <v>53</v>
      </c>
      <c r="AN12" s="143">
        <v>54</v>
      </c>
      <c r="AO12" s="143">
        <v>54</v>
      </c>
      <c r="AP12" s="143">
        <v>54</v>
      </c>
      <c r="AQ12" s="143">
        <v>55</v>
      </c>
      <c r="AR12" s="143">
        <v>56</v>
      </c>
      <c r="AS12" s="143">
        <v>56</v>
      </c>
      <c r="AT12" s="143">
        <v>57</v>
      </c>
      <c r="AU12" s="143">
        <v>58</v>
      </c>
      <c r="AV12" s="143">
        <v>58</v>
      </c>
      <c r="AW12" s="143">
        <v>59</v>
      </c>
      <c r="AX12" s="143">
        <v>59</v>
      </c>
      <c r="AY12" s="143">
        <v>59</v>
      </c>
      <c r="AZ12" s="143">
        <v>59</v>
      </c>
      <c r="BA12" s="143">
        <v>61</v>
      </c>
      <c r="BB12" s="143">
        <v>59</v>
      </c>
      <c r="BC12" s="143">
        <v>58</v>
      </c>
      <c r="BD12" s="143">
        <v>57</v>
      </c>
      <c r="BE12" s="143">
        <v>56</v>
      </c>
      <c r="BF12" s="143">
        <v>60</v>
      </c>
      <c r="BG12" s="143">
        <v>62</v>
      </c>
      <c r="BH12" s="143">
        <v>68</v>
      </c>
      <c r="BI12" s="143">
        <v>68</v>
      </c>
      <c r="BJ12" s="143">
        <v>70</v>
      </c>
      <c r="BK12" s="143">
        <v>66</v>
      </c>
      <c r="BL12" s="143">
        <v>70</v>
      </c>
      <c r="BM12" s="143">
        <v>72</v>
      </c>
      <c r="BN12" s="143">
        <v>73</v>
      </c>
      <c r="BO12" s="143">
        <v>72</v>
      </c>
      <c r="BP12" s="143">
        <v>73</v>
      </c>
      <c r="BQ12" s="143">
        <v>77</v>
      </c>
      <c r="BR12" s="143">
        <v>80</v>
      </c>
      <c r="BS12" s="143">
        <v>87</v>
      </c>
      <c r="BT12" s="143">
        <v>91</v>
      </c>
      <c r="BU12" s="143">
        <v>91</v>
      </c>
      <c r="BV12" s="143">
        <v>94</v>
      </c>
      <c r="BW12" s="143">
        <v>95</v>
      </c>
      <c r="BX12" s="143">
        <v>95</v>
      </c>
      <c r="BY12" s="143">
        <v>97</v>
      </c>
      <c r="BZ12" s="143">
        <v>97</v>
      </c>
      <c r="CA12" s="143">
        <v>100</v>
      </c>
      <c r="CB12" s="143">
        <v>105</v>
      </c>
      <c r="CC12" s="143">
        <v>116</v>
      </c>
      <c r="CD12" s="143">
        <v>119</v>
      </c>
      <c r="CE12" s="143">
        <v>121</v>
      </c>
      <c r="CF12" s="68"/>
      <c r="CG12" s="142"/>
      <c r="CH12" s="68"/>
      <c r="CI12" s="68"/>
      <c r="CJ12" s="68"/>
      <c r="CK12" s="68"/>
    </row>
    <row r="13" spans="1:89" ht="13.5" customHeight="1" x14ac:dyDescent="0.75">
      <c r="A13" s="68"/>
      <c r="B13" s="67" t="s">
        <v>230</v>
      </c>
      <c r="C13" s="66" t="s">
        <v>231</v>
      </c>
      <c r="D13" s="143">
        <v>100</v>
      </c>
      <c r="E13" s="143">
        <v>40</v>
      </c>
      <c r="F13" s="143">
        <v>46</v>
      </c>
      <c r="G13" s="143">
        <v>41</v>
      </c>
      <c r="H13" s="143">
        <v>43</v>
      </c>
      <c r="I13" s="143">
        <v>41</v>
      </c>
      <c r="J13" s="143">
        <v>42</v>
      </c>
      <c r="K13" s="143">
        <v>43</v>
      </c>
      <c r="L13" s="143">
        <v>43</v>
      </c>
      <c r="M13" s="143">
        <v>47</v>
      </c>
      <c r="N13" s="143">
        <v>53</v>
      </c>
      <c r="O13" s="143">
        <v>56</v>
      </c>
      <c r="P13" s="143">
        <v>56</v>
      </c>
      <c r="Q13" s="143">
        <v>55</v>
      </c>
      <c r="R13" s="143">
        <v>57</v>
      </c>
      <c r="S13" s="143">
        <v>55</v>
      </c>
      <c r="T13" s="143">
        <v>56</v>
      </c>
      <c r="U13" s="143">
        <v>53</v>
      </c>
      <c r="V13" s="143">
        <v>58</v>
      </c>
      <c r="W13" s="143">
        <v>58</v>
      </c>
      <c r="X13" s="143">
        <v>59</v>
      </c>
      <c r="Y13" s="143">
        <v>54</v>
      </c>
      <c r="Z13" s="143">
        <v>63</v>
      </c>
      <c r="AA13" s="143">
        <v>64</v>
      </c>
      <c r="AB13" s="143">
        <v>63</v>
      </c>
      <c r="AC13" s="143">
        <v>63</v>
      </c>
      <c r="AD13" s="143">
        <v>65</v>
      </c>
      <c r="AE13" s="143">
        <v>66</v>
      </c>
      <c r="AF13" s="143">
        <v>66</v>
      </c>
      <c r="AG13" s="143">
        <v>65</v>
      </c>
      <c r="AH13" s="143">
        <v>67</v>
      </c>
      <c r="AI13" s="143">
        <v>65</v>
      </c>
      <c r="AJ13" s="143">
        <v>66</v>
      </c>
      <c r="AK13" s="143">
        <v>66</v>
      </c>
      <c r="AL13" s="143">
        <v>66</v>
      </c>
      <c r="AM13" s="143">
        <v>66</v>
      </c>
      <c r="AN13" s="143">
        <v>66</v>
      </c>
      <c r="AO13" s="143">
        <v>67</v>
      </c>
      <c r="AP13" s="143">
        <v>67</v>
      </c>
      <c r="AQ13" s="143">
        <v>67</v>
      </c>
      <c r="AR13" s="143">
        <v>67</v>
      </c>
      <c r="AS13" s="143">
        <v>68</v>
      </c>
      <c r="AT13" s="143">
        <v>68</v>
      </c>
      <c r="AU13" s="143">
        <v>68</v>
      </c>
      <c r="AV13" s="143">
        <v>67</v>
      </c>
      <c r="AW13" s="143">
        <v>62</v>
      </c>
      <c r="AX13" s="143">
        <v>64</v>
      </c>
      <c r="AY13" s="143">
        <v>73</v>
      </c>
      <c r="AZ13" s="143">
        <v>76</v>
      </c>
      <c r="BA13" s="143">
        <v>81</v>
      </c>
      <c r="BB13" s="143">
        <v>87</v>
      </c>
      <c r="BC13" s="143">
        <v>88</v>
      </c>
      <c r="BD13" s="143">
        <v>87</v>
      </c>
      <c r="BE13" s="143">
        <v>84</v>
      </c>
      <c r="BF13" s="143">
        <v>87</v>
      </c>
      <c r="BG13" s="143">
        <v>86</v>
      </c>
      <c r="BH13" s="143">
        <v>84</v>
      </c>
      <c r="BI13" s="143">
        <v>88</v>
      </c>
      <c r="BJ13" s="143">
        <v>86</v>
      </c>
      <c r="BK13" s="143">
        <v>86</v>
      </c>
      <c r="BL13" s="143">
        <v>79</v>
      </c>
      <c r="BM13" s="143">
        <v>89</v>
      </c>
      <c r="BN13" s="143">
        <v>90</v>
      </c>
      <c r="BO13" s="143">
        <v>87</v>
      </c>
      <c r="BP13" s="143">
        <v>88</v>
      </c>
      <c r="BQ13" s="143">
        <v>99</v>
      </c>
      <c r="BR13" s="143">
        <v>102</v>
      </c>
      <c r="BS13" s="143">
        <v>97</v>
      </c>
      <c r="BT13" s="143">
        <v>105</v>
      </c>
      <c r="BU13" s="143">
        <v>102</v>
      </c>
      <c r="BV13" s="143">
        <v>102</v>
      </c>
      <c r="BW13" s="143">
        <v>98</v>
      </c>
      <c r="BX13" s="143">
        <v>98</v>
      </c>
      <c r="BY13" s="143">
        <v>100</v>
      </c>
      <c r="BZ13" s="143">
        <v>100</v>
      </c>
      <c r="CA13" s="143">
        <v>100</v>
      </c>
      <c r="CB13" s="143">
        <v>100</v>
      </c>
      <c r="CC13" s="143">
        <v>101</v>
      </c>
      <c r="CD13" s="143">
        <v>101</v>
      </c>
      <c r="CE13" s="143">
        <v>102</v>
      </c>
      <c r="CF13" s="68"/>
      <c r="CG13" s="142"/>
      <c r="CH13" s="68"/>
      <c r="CI13" s="68"/>
      <c r="CJ13" s="68"/>
      <c r="CK13" s="68"/>
    </row>
    <row r="14" spans="1:89" ht="13.5" customHeight="1" x14ac:dyDescent="0.75">
      <c r="A14" s="68"/>
      <c r="B14" s="67" t="s">
        <v>232</v>
      </c>
      <c r="C14" s="66" t="s">
        <v>233</v>
      </c>
      <c r="D14" s="143">
        <v>100</v>
      </c>
      <c r="E14" s="143">
        <v>18</v>
      </c>
      <c r="F14" s="143">
        <v>19</v>
      </c>
      <c r="G14" s="143">
        <v>18</v>
      </c>
      <c r="H14" s="143">
        <v>19</v>
      </c>
      <c r="I14" s="143">
        <v>19</v>
      </c>
      <c r="J14" s="143">
        <v>20</v>
      </c>
      <c r="K14" s="143">
        <v>20</v>
      </c>
      <c r="L14" s="143">
        <v>21</v>
      </c>
      <c r="M14" s="143">
        <v>21</v>
      </c>
      <c r="N14" s="143">
        <v>25</v>
      </c>
      <c r="O14" s="143">
        <v>28</v>
      </c>
      <c r="P14" s="143">
        <v>28</v>
      </c>
      <c r="Q14" s="143">
        <v>28</v>
      </c>
      <c r="R14" s="143">
        <v>29</v>
      </c>
      <c r="S14" s="143">
        <v>29</v>
      </c>
      <c r="T14" s="143">
        <v>30</v>
      </c>
      <c r="U14" s="143">
        <v>30</v>
      </c>
      <c r="V14" s="143">
        <v>32</v>
      </c>
      <c r="W14" s="143">
        <v>33</v>
      </c>
      <c r="X14" s="143">
        <v>33</v>
      </c>
      <c r="Y14" s="143">
        <v>33</v>
      </c>
      <c r="Z14" s="143">
        <v>35</v>
      </c>
      <c r="AA14" s="143">
        <v>39</v>
      </c>
      <c r="AB14" s="143">
        <v>43</v>
      </c>
      <c r="AC14" s="143">
        <v>44</v>
      </c>
      <c r="AD14" s="143">
        <v>45</v>
      </c>
      <c r="AE14" s="143">
        <v>44</v>
      </c>
      <c r="AF14" s="143">
        <v>42</v>
      </c>
      <c r="AG14" s="143">
        <v>43</v>
      </c>
      <c r="AH14" s="143">
        <v>46</v>
      </c>
      <c r="AI14" s="143">
        <v>50</v>
      </c>
      <c r="AJ14" s="143">
        <v>54</v>
      </c>
      <c r="AK14" s="143">
        <v>50</v>
      </c>
      <c r="AL14" s="143">
        <v>50</v>
      </c>
      <c r="AM14" s="143">
        <v>50</v>
      </c>
      <c r="AN14" s="143">
        <v>51</v>
      </c>
      <c r="AO14" s="143">
        <v>54</v>
      </c>
      <c r="AP14" s="143">
        <v>53</v>
      </c>
      <c r="AQ14" s="143">
        <v>53</v>
      </c>
      <c r="AR14" s="143">
        <v>57</v>
      </c>
      <c r="AS14" s="143">
        <v>54</v>
      </c>
      <c r="AT14" s="143">
        <v>55</v>
      </c>
      <c r="AU14" s="143">
        <v>56</v>
      </c>
      <c r="AV14" s="143">
        <v>56</v>
      </c>
      <c r="AW14" s="143">
        <v>55</v>
      </c>
      <c r="AX14" s="143">
        <v>56</v>
      </c>
      <c r="AY14" s="143">
        <v>57</v>
      </c>
      <c r="AZ14" s="143">
        <v>64</v>
      </c>
      <c r="BA14" s="143">
        <v>64</v>
      </c>
      <c r="BB14" s="143">
        <v>62</v>
      </c>
      <c r="BC14" s="143">
        <v>59</v>
      </c>
      <c r="BD14" s="143">
        <v>57</v>
      </c>
      <c r="BE14" s="143">
        <v>57</v>
      </c>
      <c r="BF14" s="143">
        <v>58</v>
      </c>
      <c r="BG14" s="143">
        <v>58</v>
      </c>
      <c r="BH14" s="143">
        <v>56</v>
      </c>
      <c r="BI14" s="143">
        <v>47</v>
      </c>
      <c r="BJ14" s="143">
        <v>92</v>
      </c>
      <c r="BK14" s="143">
        <v>61</v>
      </c>
      <c r="BL14" s="143">
        <v>51</v>
      </c>
      <c r="BM14" s="143">
        <v>54</v>
      </c>
      <c r="BN14" s="143">
        <v>61</v>
      </c>
      <c r="BO14" s="143">
        <v>64</v>
      </c>
      <c r="BP14" s="143">
        <v>61</v>
      </c>
      <c r="BQ14" s="143">
        <v>65</v>
      </c>
      <c r="BR14" s="143">
        <v>70</v>
      </c>
      <c r="BS14" s="143">
        <v>79</v>
      </c>
      <c r="BT14" s="143">
        <v>82</v>
      </c>
      <c r="BU14" s="143">
        <v>76</v>
      </c>
      <c r="BV14" s="143">
        <v>77</v>
      </c>
      <c r="BW14" s="143">
        <v>79</v>
      </c>
      <c r="BX14" s="143">
        <v>86</v>
      </c>
      <c r="BY14" s="143">
        <v>88</v>
      </c>
      <c r="BZ14" s="143">
        <v>100</v>
      </c>
      <c r="CA14" s="143">
        <v>113</v>
      </c>
      <c r="CB14" s="143">
        <v>97</v>
      </c>
      <c r="CC14" s="143">
        <v>86</v>
      </c>
      <c r="CD14" s="143">
        <v>90</v>
      </c>
      <c r="CE14" s="143">
        <v>82</v>
      </c>
      <c r="CF14" s="68"/>
      <c r="CG14" s="142"/>
      <c r="CH14" s="68"/>
      <c r="CI14" s="68"/>
      <c r="CJ14" s="68"/>
      <c r="CK14" s="68"/>
    </row>
    <row r="15" spans="1:89" ht="14.25" customHeight="1" x14ac:dyDescent="0.75">
      <c r="A15" s="64"/>
      <c r="B15" s="81" t="s">
        <v>234</v>
      </c>
      <c r="C15" s="82" t="s">
        <v>235</v>
      </c>
      <c r="D15" s="83">
        <v>100</v>
      </c>
      <c r="E15" s="83">
        <v>28</v>
      </c>
      <c r="F15" s="83">
        <v>28</v>
      </c>
      <c r="G15" s="83">
        <v>28</v>
      </c>
      <c r="H15" s="83">
        <v>28</v>
      </c>
      <c r="I15" s="83">
        <v>31</v>
      </c>
      <c r="J15" s="83">
        <v>34</v>
      </c>
      <c r="K15" s="83">
        <v>33</v>
      </c>
      <c r="L15" s="83">
        <v>33</v>
      </c>
      <c r="M15" s="83">
        <v>33</v>
      </c>
      <c r="N15" s="83">
        <v>35</v>
      </c>
      <c r="O15" s="83">
        <v>35</v>
      </c>
      <c r="P15" s="83">
        <v>37</v>
      </c>
      <c r="Q15" s="83">
        <v>37</v>
      </c>
      <c r="R15" s="83">
        <v>37</v>
      </c>
      <c r="S15" s="83">
        <v>39</v>
      </c>
      <c r="T15" s="83">
        <v>40</v>
      </c>
      <c r="U15" s="83">
        <v>38</v>
      </c>
      <c r="V15" s="83">
        <v>40</v>
      </c>
      <c r="W15" s="83">
        <v>41</v>
      </c>
      <c r="X15" s="83">
        <v>42</v>
      </c>
      <c r="Y15" s="83">
        <v>43</v>
      </c>
      <c r="Z15" s="83">
        <v>45</v>
      </c>
      <c r="AA15" s="83">
        <v>45</v>
      </c>
      <c r="AB15" s="83">
        <v>45</v>
      </c>
      <c r="AC15" s="83">
        <v>45</v>
      </c>
      <c r="AD15" s="83">
        <v>47</v>
      </c>
      <c r="AE15" s="83">
        <v>47</v>
      </c>
      <c r="AF15" s="83">
        <v>47</v>
      </c>
      <c r="AG15" s="83">
        <v>45</v>
      </c>
      <c r="AH15" s="83">
        <v>45</v>
      </c>
      <c r="AI15" s="83">
        <v>44</v>
      </c>
      <c r="AJ15" s="83">
        <v>44</v>
      </c>
      <c r="AK15" s="83">
        <v>48</v>
      </c>
      <c r="AL15" s="83">
        <v>48</v>
      </c>
      <c r="AM15" s="83">
        <v>47</v>
      </c>
      <c r="AN15" s="83">
        <v>49</v>
      </c>
      <c r="AO15" s="83">
        <v>49</v>
      </c>
      <c r="AP15" s="83">
        <v>48</v>
      </c>
      <c r="AQ15" s="83">
        <v>47</v>
      </c>
      <c r="AR15" s="83">
        <v>48</v>
      </c>
      <c r="AS15" s="83">
        <v>48</v>
      </c>
      <c r="AT15" s="83">
        <v>47</v>
      </c>
      <c r="AU15" s="83">
        <v>47</v>
      </c>
      <c r="AV15" s="83">
        <v>50</v>
      </c>
      <c r="AW15" s="83">
        <v>53</v>
      </c>
      <c r="AX15" s="83">
        <v>55</v>
      </c>
      <c r="AY15" s="83">
        <v>55</v>
      </c>
      <c r="AZ15" s="83">
        <v>56</v>
      </c>
      <c r="BA15" s="83">
        <v>60</v>
      </c>
      <c r="BB15" s="83">
        <v>57</v>
      </c>
      <c r="BC15" s="83">
        <v>50</v>
      </c>
      <c r="BD15" s="83">
        <v>54</v>
      </c>
      <c r="BE15" s="83">
        <v>57</v>
      </c>
      <c r="BF15" s="83">
        <v>59</v>
      </c>
      <c r="BG15" s="83">
        <v>59</v>
      </c>
      <c r="BH15" s="83">
        <v>61</v>
      </c>
      <c r="BI15" s="83">
        <v>66</v>
      </c>
      <c r="BJ15" s="83">
        <v>71</v>
      </c>
      <c r="BK15" s="83">
        <v>55</v>
      </c>
      <c r="BL15" s="83">
        <v>66</v>
      </c>
      <c r="BM15" s="83">
        <v>69</v>
      </c>
      <c r="BN15" s="83">
        <v>75</v>
      </c>
      <c r="BO15" s="83">
        <v>80</v>
      </c>
      <c r="BP15" s="83">
        <v>81</v>
      </c>
      <c r="BQ15" s="83">
        <v>77</v>
      </c>
      <c r="BR15" s="83">
        <v>77</v>
      </c>
      <c r="BS15" s="83">
        <v>85</v>
      </c>
      <c r="BT15" s="83">
        <v>89</v>
      </c>
      <c r="BU15" s="83">
        <v>94</v>
      </c>
      <c r="BV15" s="83">
        <v>85</v>
      </c>
      <c r="BW15" s="83">
        <v>89</v>
      </c>
      <c r="BX15" s="83">
        <v>93</v>
      </c>
      <c r="BY15" s="83">
        <v>96</v>
      </c>
      <c r="BZ15" s="83">
        <v>95</v>
      </c>
      <c r="CA15" s="83">
        <v>104</v>
      </c>
      <c r="CB15" s="83">
        <v>105</v>
      </c>
      <c r="CC15" s="83">
        <v>105</v>
      </c>
      <c r="CD15" s="83">
        <v>104</v>
      </c>
      <c r="CE15" s="83">
        <v>106</v>
      </c>
      <c r="CF15" s="68"/>
      <c r="CG15" s="142"/>
      <c r="CH15" s="68"/>
      <c r="CI15" s="68"/>
      <c r="CJ15" s="68"/>
      <c r="CK15" s="68"/>
    </row>
    <row r="16" spans="1:89" ht="13.5" customHeight="1" x14ac:dyDescent="0.75">
      <c r="A16" s="68"/>
      <c r="B16" s="67" t="s">
        <v>236</v>
      </c>
      <c r="C16" s="66" t="s">
        <v>237</v>
      </c>
      <c r="D16" s="143">
        <v>100</v>
      </c>
      <c r="E16" s="143">
        <v>12</v>
      </c>
      <c r="F16" s="143">
        <v>13</v>
      </c>
      <c r="G16" s="143">
        <v>13</v>
      </c>
      <c r="H16" s="143">
        <v>14</v>
      </c>
      <c r="I16" s="143">
        <v>15</v>
      </c>
      <c r="J16" s="143">
        <v>18</v>
      </c>
      <c r="K16" s="143">
        <v>19</v>
      </c>
      <c r="L16" s="143">
        <v>19</v>
      </c>
      <c r="M16" s="143">
        <v>24</v>
      </c>
      <c r="N16" s="143">
        <v>27</v>
      </c>
      <c r="O16" s="143">
        <v>27</v>
      </c>
      <c r="P16" s="143">
        <v>23</v>
      </c>
      <c r="Q16" s="143">
        <v>20</v>
      </c>
      <c r="R16" s="143">
        <v>17</v>
      </c>
      <c r="S16" s="143">
        <v>19</v>
      </c>
      <c r="T16" s="143">
        <v>22</v>
      </c>
      <c r="U16" s="143">
        <v>25</v>
      </c>
      <c r="V16" s="143">
        <v>25</v>
      </c>
      <c r="W16" s="143">
        <v>29</v>
      </c>
      <c r="X16" s="143">
        <v>41</v>
      </c>
      <c r="Y16" s="143">
        <v>46</v>
      </c>
      <c r="Z16" s="143">
        <v>49</v>
      </c>
      <c r="AA16" s="143">
        <v>46</v>
      </c>
      <c r="AB16" s="143">
        <v>43</v>
      </c>
      <c r="AC16" s="143">
        <v>46</v>
      </c>
      <c r="AD16" s="143">
        <v>46</v>
      </c>
      <c r="AE16" s="143">
        <v>48</v>
      </c>
      <c r="AF16" s="143">
        <v>47</v>
      </c>
      <c r="AG16" s="143">
        <v>50</v>
      </c>
      <c r="AH16" s="143">
        <v>52</v>
      </c>
      <c r="AI16" s="143">
        <v>49</v>
      </c>
      <c r="AJ16" s="143">
        <v>49</v>
      </c>
      <c r="AK16" s="143">
        <v>49</v>
      </c>
      <c r="AL16" s="143">
        <v>49</v>
      </c>
      <c r="AM16" s="143">
        <v>43</v>
      </c>
      <c r="AN16" s="143">
        <v>49</v>
      </c>
      <c r="AO16" s="143">
        <v>50</v>
      </c>
      <c r="AP16" s="143">
        <v>46</v>
      </c>
      <c r="AQ16" s="143">
        <v>43</v>
      </c>
      <c r="AR16" s="143">
        <v>40</v>
      </c>
      <c r="AS16" s="143">
        <v>37</v>
      </c>
      <c r="AT16" s="143">
        <v>39</v>
      </c>
      <c r="AU16" s="143">
        <v>41</v>
      </c>
      <c r="AV16" s="143">
        <v>49</v>
      </c>
      <c r="AW16" s="143">
        <v>48</v>
      </c>
      <c r="AX16" s="143">
        <v>48</v>
      </c>
      <c r="AY16" s="143">
        <v>52</v>
      </c>
      <c r="AZ16" s="143">
        <v>58</v>
      </c>
      <c r="BA16" s="143">
        <v>70</v>
      </c>
      <c r="BB16" s="143">
        <v>62</v>
      </c>
      <c r="BC16" s="143">
        <v>49</v>
      </c>
      <c r="BD16" s="143">
        <v>41</v>
      </c>
      <c r="BE16" s="143">
        <v>45</v>
      </c>
      <c r="BF16" s="143">
        <v>37</v>
      </c>
      <c r="BG16" s="143">
        <v>39</v>
      </c>
      <c r="BH16" s="143">
        <v>29</v>
      </c>
      <c r="BI16" s="143">
        <v>49</v>
      </c>
      <c r="BJ16" s="143">
        <v>50</v>
      </c>
      <c r="BK16" s="143">
        <v>37</v>
      </c>
      <c r="BL16" s="143">
        <v>52</v>
      </c>
      <c r="BM16" s="143">
        <v>77</v>
      </c>
      <c r="BN16" s="143">
        <v>84</v>
      </c>
      <c r="BO16" s="143">
        <v>124</v>
      </c>
      <c r="BP16" s="143">
        <v>140</v>
      </c>
      <c r="BQ16" s="143">
        <v>118</v>
      </c>
      <c r="BR16" s="143">
        <v>106</v>
      </c>
      <c r="BS16" s="143">
        <v>94</v>
      </c>
      <c r="BT16" s="143">
        <v>86</v>
      </c>
      <c r="BU16" s="143">
        <v>87</v>
      </c>
      <c r="BV16" s="143">
        <v>86</v>
      </c>
      <c r="BW16" s="143">
        <v>86</v>
      </c>
      <c r="BX16" s="143">
        <v>88</v>
      </c>
      <c r="BY16" s="143">
        <v>94</v>
      </c>
      <c r="BZ16" s="143">
        <v>101</v>
      </c>
      <c r="CA16" s="143">
        <v>101</v>
      </c>
      <c r="CB16" s="143">
        <v>104</v>
      </c>
      <c r="CC16" s="143">
        <v>104</v>
      </c>
      <c r="CD16" s="143">
        <v>108</v>
      </c>
      <c r="CE16" s="143">
        <v>107</v>
      </c>
      <c r="CF16" s="68"/>
      <c r="CG16" s="142"/>
      <c r="CH16" s="68"/>
      <c r="CI16" s="68"/>
      <c r="CJ16" s="68"/>
      <c r="CK16" s="68"/>
    </row>
    <row r="17" spans="1:89" ht="14.25" customHeight="1" x14ac:dyDescent="0.75">
      <c r="A17" s="64"/>
      <c r="B17" s="88" t="s">
        <v>238</v>
      </c>
      <c r="C17" s="89" t="s">
        <v>239</v>
      </c>
      <c r="D17" s="90">
        <v>100</v>
      </c>
      <c r="E17" s="90">
        <v>29</v>
      </c>
      <c r="F17" s="90">
        <v>29</v>
      </c>
      <c r="G17" s="90">
        <v>27</v>
      </c>
      <c r="H17" s="90">
        <v>27</v>
      </c>
      <c r="I17" s="90">
        <v>30</v>
      </c>
      <c r="J17" s="90">
        <v>31</v>
      </c>
      <c r="K17" s="90">
        <v>30</v>
      </c>
      <c r="L17" s="90">
        <v>31</v>
      </c>
      <c r="M17" s="90">
        <v>33</v>
      </c>
      <c r="N17" s="90">
        <v>35</v>
      </c>
      <c r="O17" s="90">
        <v>36</v>
      </c>
      <c r="P17" s="90">
        <v>38</v>
      </c>
      <c r="Q17" s="90">
        <v>40</v>
      </c>
      <c r="R17" s="90">
        <v>38</v>
      </c>
      <c r="S17" s="90">
        <v>39</v>
      </c>
      <c r="T17" s="90">
        <v>41</v>
      </c>
      <c r="U17" s="90">
        <v>41</v>
      </c>
      <c r="V17" s="90">
        <v>41</v>
      </c>
      <c r="W17" s="90">
        <v>41</v>
      </c>
      <c r="X17" s="90">
        <v>43</v>
      </c>
      <c r="Y17" s="90">
        <v>44</v>
      </c>
      <c r="Z17" s="90">
        <v>45</v>
      </c>
      <c r="AA17" s="90">
        <v>45</v>
      </c>
      <c r="AB17" s="90">
        <v>46</v>
      </c>
      <c r="AC17" s="90">
        <v>47</v>
      </c>
      <c r="AD17" s="90">
        <v>49</v>
      </c>
      <c r="AE17" s="90">
        <v>47</v>
      </c>
      <c r="AF17" s="90">
        <v>48</v>
      </c>
      <c r="AG17" s="90">
        <v>41</v>
      </c>
      <c r="AH17" s="90">
        <v>41</v>
      </c>
      <c r="AI17" s="90">
        <v>40</v>
      </c>
      <c r="AJ17" s="90">
        <v>41</v>
      </c>
      <c r="AK17" s="90">
        <v>51</v>
      </c>
      <c r="AL17" s="90">
        <v>51</v>
      </c>
      <c r="AM17" s="90">
        <v>51</v>
      </c>
      <c r="AN17" s="90">
        <v>52</v>
      </c>
      <c r="AO17" s="90">
        <v>52</v>
      </c>
      <c r="AP17" s="90">
        <v>52</v>
      </c>
      <c r="AQ17" s="90">
        <v>52</v>
      </c>
      <c r="AR17" s="90">
        <v>53</v>
      </c>
      <c r="AS17" s="90">
        <v>52</v>
      </c>
      <c r="AT17" s="90">
        <v>52</v>
      </c>
      <c r="AU17" s="90">
        <v>53</v>
      </c>
      <c r="AV17" s="90">
        <v>57</v>
      </c>
      <c r="AW17" s="90">
        <v>63</v>
      </c>
      <c r="AX17" s="90">
        <v>66</v>
      </c>
      <c r="AY17" s="90">
        <v>65</v>
      </c>
      <c r="AZ17" s="90">
        <v>64</v>
      </c>
      <c r="BA17" s="90">
        <v>61</v>
      </c>
      <c r="BB17" s="90">
        <v>60</v>
      </c>
      <c r="BC17" s="90">
        <v>54</v>
      </c>
      <c r="BD17" s="90">
        <v>66</v>
      </c>
      <c r="BE17" s="90">
        <v>65</v>
      </c>
      <c r="BF17" s="90">
        <v>67</v>
      </c>
      <c r="BG17" s="90">
        <v>59</v>
      </c>
      <c r="BH17" s="90">
        <v>75</v>
      </c>
      <c r="BI17" s="90">
        <v>70</v>
      </c>
      <c r="BJ17" s="90">
        <v>76</v>
      </c>
      <c r="BK17" s="90">
        <v>59</v>
      </c>
      <c r="BL17" s="90">
        <v>77</v>
      </c>
      <c r="BM17" s="90">
        <v>75</v>
      </c>
      <c r="BN17" s="90">
        <v>75</v>
      </c>
      <c r="BO17" s="90">
        <v>80</v>
      </c>
      <c r="BP17" s="90">
        <v>83</v>
      </c>
      <c r="BQ17" s="90">
        <v>84</v>
      </c>
      <c r="BR17" s="90">
        <v>90</v>
      </c>
      <c r="BS17" s="90">
        <v>96</v>
      </c>
      <c r="BT17" s="90">
        <v>104</v>
      </c>
      <c r="BU17" s="90">
        <v>98</v>
      </c>
      <c r="BV17" s="90">
        <v>93</v>
      </c>
      <c r="BW17" s="90">
        <v>95</v>
      </c>
      <c r="BX17" s="90">
        <v>100</v>
      </c>
      <c r="BY17" s="90">
        <v>101</v>
      </c>
      <c r="BZ17" s="90">
        <v>93</v>
      </c>
      <c r="CA17" s="90">
        <v>102</v>
      </c>
      <c r="CB17" s="90">
        <v>105</v>
      </c>
      <c r="CC17" s="90">
        <v>111</v>
      </c>
      <c r="CD17" s="90">
        <v>104</v>
      </c>
      <c r="CE17" s="90">
        <v>109</v>
      </c>
      <c r="CF17" s="68"/>
      <c r="CG17" s="142"/>
      <c r="CH17" s="68"/>
      <c r="CI17" s="68"/>
      <c r="CJ17" s="68"/>
      <c r="CK17" s="68"/>
    </row>
    <row r="18" spans="1:89" s="123" customFormat="1" ht="13.5" customHeight="1" x14ac:dyDescent="0.75">
      <c r="A18" s="121"/>
      <c r="B18" s="63" t="s">
        <v>240</v>
      </c>
      <c r="C18" s="144" t="s">
        <v>241</v>
      </c>
      <c r="D18" s="145">
        <v>100</v>
      </c>
      <c r="E18" s="145">
        <v>33</v>
      </c>
      <c r="F18" s="145">
        <v>36</v>
      </c>
      <c r="G18" s="145">
        <v>37</v>
      </c>
      <c r="H18" s="145">
        <v>36</v>
      </c>
      <c r="I18" s="145">
        <v>37</v>
      </c>
      <c r="J18" s="145">
        <v>36</v>
      </c>
      <c r="K18" s="145">
        <v>39</v>
      </c>
      <c r="L18" s="145">
        <v>39</v>
      </c>
      <c r="M18" s="145">
        <v>42</v>
      </c>
      <c r="N18" s="145">
        <v>45</v>
      </c>
      <c r="O18" s="145">
        <v>49</v>
      </c>
      <c r="P18" s="145">
        <v>50</v>
      </c>
      <c r="Q18" s="145">
        <v>53</v>
      </c>
      <c r="R18" s="145">
        <v>53</v>
      </c>
      <c r="S18" s="145">
        <v>56</v>
      </c>
      <c r="T18" s="145">
        <v>57</v>
      </c>
      <c r="U18" s="145">
        <v>58</v>
      </c>
      <c r="V18" s="145">
        <v>57</v>
      </c>
      <c r="W18" s="145">
        <v>58</v>
      </c>
      <c r="X18" s="145">
        <v>60</v>
      </c>
      <c r="Y18" s="145">
        <v>57</v>
      </c>
      <c r="Z18" s="145">
        <v>65</v>
      </c>
      <c r="AA18" s="145">
        <v>69</v>
      </c>
      <c r="AB18" s="145">
        <v>70</v>
      </c>
      <c r="AC18" s="145">
        <v>68</v>
      </c>
      <c r="AD18" s="145">
        <v>70</v>
      </c>
      <c r="AE18" s="145">
        <v>74</v>
      </c>
      <c r="AF18" s="145">
        <v>76</v>
      </c>
      <c r="AG18" s="145">
        <v>73</v>
      </c>
      <c r="AH18" s="145">
        <v>71</v>
      </c>
      <c r="AI18" s="145">
        <v>69</v>
      </c>
      <c r="AJ18" s="145">
        <v>72</v>
      </c>
      <c r="AK18" s="145">
        <v>71</v>
      </c>
      <c r="AL18" s="145">
        <v>74</v>
      </c>
      <c r="AM18" s="145">
        <v>74</v>
      </c>
      <c r="AN18" s="145">
        <v>76</v>
      </c>
      <c r="AO18" s="145">
        <v>74</v>
      </c>
      <c r="AP18" s="145">
        <v>75</v>
      </c>
      <c r="AQ18" s="145">
        <v>75</v>
      </c>
      <c r="AR18" s="145">
        <v>78</v>
      </c>
      <c r="AS18" s="145">
        <v>79</v>
      </c>
      <c r="AT18" s="145">
        <v>74</v>
      </c>
      <c r="AU18" s="145">
        <v>76</v>
      </c>
      <c r="AV18" s="145">
        <v>92</v>
      </c>
      <c r="AW18" s="145">
        <v>116</v>
      </c>
      <c r="AX18" s="145">
        <v>133</v>
      </c>
      <c r="AY18" s="145">
        <v>121</v>
      </c>
      <c r="AZ18" s="145">
        <v>114</v>
      </c>
      <c r="BA18" s="145">
        <v>72</v>
      </c>
      <c r="BB18" s="145">
        <v>98</v>
      </c>
      <c r="BC18" s="145">
        <v>66</v>
      </c>
      <c r="BD18" s="145">
        <v>116</v>
      </c>
      <c r="BE18" s="145">
        <v>82</v>
      </c>
      <c r="BF18" s="145">
        <v>125</v>
      </c>
      <c r="BG18" s="145">
        <v>76</v>
      </c>
      <c r="BH18" s="145">
        <v>152</v>
      </c>
      <c r="BI18" s="145">
        <v>92</v>
      </c>
      <c r="BJ18" s="145">
        <v>127</v>
      </c>
      <c r="BK18" s="145">
        <v>70</v>
      </c>
      <c r="BL18" s="145">
        <v>138</v>
      </c>
      <c r="BM18" s="145">
        <v>88</v>
      </c>
      <c r="BN18" s="145">
        <v>87</v>
      </c>
      <c r="BO18" s="145">
        <v>91</v>
      </c>
      <c r="BP18" s="145">
        <v>101</v>
      </c>
      <c r="BQ18" s="145">
        <v>106</v>
      </c>
      <c r="BR18" s="145">
        <v>117</v>
      </c>
      <c r="BS18" s="145">
        <v>125</v>
      </c>
      <c r="BT18" s="145">
        <v>145</v>
      </c>
      <c r="BU18" s="145">
        <v>132</v>
      </c>
      <c r="BV18" s="145">
        <v>125</v>
      </c>
      <c r="BW18" s="145">
        <v>117</v>
      </c>
      <c r="BX18" s="145">
        <v>119</v>
      </c>
      <c r="BY18" s="145">
        <v>106</v>
      </c>
      <c r="BZ18" s="145">
        <v>96</v>
      </c>
      <c r="CA18" s="145">
        <v>93</v>
      </c>
      <c r="CB18" s="145">
        <v>104</v>
      </c>
      <c r="CC18" s="145">
        <v>111</v>
      </c>
      <c r="CD18" s="145">
        <v>113</v>
      </c>
      <c r="CE18" s="145">
        <v>113</v>
      </c>
      <c r="CF18" s="68"/>
      <c r="CG18" s="142"/>
      <c r="CH18" s="68"/>
      <c r="CI18" s="68"/>
      <c r="CJ18" s="68"/>
      <c r="CK18" s="68"/>
    </row>
    <row r="19" spans="1:89" s="123" customFormat="1" ht="13.5" customHeight="1" x14ac:dyDescent="0.75">
      <c r="A19" s="121"/>
      <c r="B19" s="63" t="s">
        <v>242</v>
      </c>
      <c r="C19" s="144" t="s">
        <v>243</v>
      </c>
      <c r="D19" s="145">
        <v>100</v>
      </c>
      <c r="E19" s="145">
        <v>11</v>
      </c>
      <c r="F19" s="145">
        <v>11</v>
      </c>
      <c r="G19" s="145">
        <v>11</v>
      </c>
      <c r="H19" s="145">
        <v>12</v>
      </c>
      <c r="I19" s="145">
        <v>13</v>
      </c>
      <c r="J19" s="145">
        <v>13</v>
      </c>
      <c r="K19" s="145">
        <v>13</v>
      </c>
      <c r="L19" s="145">
        <v>13</v>
      </c>
      <c r="M19" s="145">
        <v>14</v>
      </c>
      <c r="N19" s="145">
        <v>15</v>
      </c>
      <c r="O19" s="145">
        <v>18</v>
      </c>
      <c r="P19" s="145">
        <v>19</v>
      </c>
      <c r="Q19" s="145">
        <v>20</v>
      </c>
      <c r="R19" s="145">
        <v>21</v>
      </c>
      <c r="S19" s="145">
        <v>21</v>
      </c>
      <c r="T19" s="145">
        <v>24</v>
      </c>
      <c r="U19" s="145">
        <v>21</v>
      </c>
      <c r="V19" s="145">
        <v>23</v>
      </c>
      <c r="W19" s="145">
        <v>24</v>
      </c>
      <c r="X19" s="145">
        <v>24</v>
      </c>
      <c r="Y19" s="145">
        <v>22</v>
      </c>
      <c r="Z19" s="145">
        <v>23</v>
      </c>
      <c r="AA19" s="145">
        <v>24</v>
      </c>
      <c r="AB19" s="145">
        <v>24</v>
      </c>
      <c r="AC19" s="145">
        <v>24</v>
      </c>
      <c r="AD19" s="145">
        <v>26</v>
      </c>
      <c r="AE19" s="145">
        <v>26</v>
      </c>
      <c r="AF19" s="145">
        <v>27</v>
      </c>
      <c r="AG19" s="145">
        <v>27</v>
      </c>
      <c r="AH19" s="145">
        <v>28</v>
      </c>
      <c r="AI19" s="145">
        <v>28</v>
      </c>
      <c r="AJ19" s="145">
        <v>28</v>
      </c>
      <c r="AK19" s="145">
        <v>29</v>
      </c>
      <c r="AL19" s="145">
        <v>29</v>
      </c>
      <c r="AM19" s="145">
        <v>29</v>
      </c>
      <c r="AN19" s="145">
        <v>29</v>
      </c>
      <c r="AO19" s="145">
        <v>29</v>
      </c>
      <c r="AP19" s="145">
        <v>29</v>
      </c>
      <c r="AQ19" s="145">
        <v>29</v>
      </c>
      <c r="AR19" s="145">
        <v>30</v>
      </c>
      <c r="AS19" s="145">
        <v>30</v>
      </c>
      <c r="AT19" s="145">
        <v>30</v>
      </c>
      <c r="AU19" s="145">
        <v>30</v>
      </c>
      <c r="AV19" s="145">
        <v>31</v>
      </c>
      <c r="AW19" s="145">
        <v>36</v>
      </c>
      <c r="AX19" s="145">
        <v>36</v>
      </c>
      <c r="AY19" s="145">
        <v>38</v>
      </c>
      <c r="AZ19" s="145">
        <v>41</v>
      </c>
      <c r="BA19" s="145">
        <v>52</v>
      </c>
      <c r="BB19" s="145">
        <v>38</v>
      </c>
      <c r="BC19" s="145">
        <v>32</v>
      </c>
      <c r="BD19" s="145">
        <v>40</v>
      </c>
      <c r="BE19" s="145">
        <v>47</v>
      </c>
      <c r="BF19" s="145">
        <v>36</v>
      </c>
      <c r="BG19" s="145">
        <v>32</v>
      </c>
      <c r="BH19" s="145">
        <v>44</v>
      </c>
      <c r="BI19" s="145">
        <v>54</v>
      </c>
      <c r="BJ19" s="145">
        <v>37</v>
      </c>
      <c r="BK19" s="145">
        <v>33</v>
      </c>
      <c r="BL19" s="145">
        <v>47</v>
      </c>
      <c r="BM19" s="145">
        <v>63</v>
      </c>
      <c r="BN19" s="145">
        <v>50</v>
      </c>
      <c r="BO19" s="145">
        <v>67</v>
      </c>
      <c r="BP19" s="145">
        <v>63</v>
      </c>
      <c r="BQ19" s="145">
        <v>64</v>
      </c>
      <c r="BR19" s="145">
        <v>53</v>
      </c>
      <c r="BS19" s="145">
        <v>72</v>
      </c>
      <c r="BT19" s="145">
        <v>75</v>
      </c>
      <c r="BU19" s="145">
        <v>78</v>
      </c>
      <c r="BV19" s="145">
        <v>65</v>
      </c>
      <c r="BW19" s="145">
        <v>86</v>
      </c>
      <c r="BX19" s="145">
        <v>92</v>
      </c>
      <c r="BY19" s="145">
        <v>102</v>
      </c>
      <c r="BZ19" s="145">
        <v>79</v>
      </c>
      <c r="CA19" s="145">
        <v>108</v>
      </c>
      <c r="CB19" s="145">
        <v>112</v>
      </c>
      <c r="CC19" s="145">
        <v>123</v>
      </c>
      <c r="CD19" s="145">
        <v>99</v>
      </c>
      <c r="CE19" s="145">
        <v>120</v>
      </c>
      <c r="CF19" s="68"/>
      <c r="CG19" s="142"/>
      <c r="CH19" s="68"/>
      <c r="CI19" s="68"/>
      <c r="CJ19" s="68"/>
      <c r="CK19" s="68"/>
    </row>
    <row r="20" spans="1:89" s="123" customFormat="1" ht="13.5" customHeight="1" x14ac:dyDescent="0.75">
      <c r="A20" s="121"/>
      <c r="B20" s="63" t="s">
        <v>244</v>
      </c>
      <c r="C20" s="144" t="s">
        <v>245</v>
      </c>
      <c r="D20" s="145">
        <v>100</v>
      </c>
      <c r="E20" s="145">
        <v>42</v>
      </c>
      <c r="F20" s="145">
        <v>42</v>
      </c>
      <c r="G20" s="145">
        <v>42</v>
      </c>
      <c r="H20" s="145">
        <v>42</v>
      </c>
      <c r="I20" s="145">
        <v>43</v>
      </c>
      <c r="J20" s="145">
        <v>43</v>
      </c>
      <c r="K20" s="145">
        <v>43</v>
      </c>
      <c r="L20" s="145">
        <v>44</v>
      </c>
      <c r="M20" s="145">
        <v>48</v>
      </c>
      <c r="N20" s="145">
        <v>50</v>
      </c>
      <c r="O20" s="145">
        <v>51</v>
      </c>
      <c r="P20" s="145">
        <v>51</v>
      </c>
      <c r="Q20" s="145">
        <v>55</v>
      </c>
      <c r="R20" s="145">
        <v>50</v>
      </c>
      <c r="S20" s="145">
        <v>48</v>
      </c>
      <c r="T20" s="145">
        <v>48</v>
      </c>
      <c r="U20" s="145">
        <v>52</v>
      </c>
      <c r="V20" s="145">
        <v>52</v>
      </c>
      <c r="W20" s="145">
        <v>52</v>
      </c>
      <c r="X20" s="145">
        <v>59</v>
      </c>
      <c r="Y20" s="145">
        <v>62</v>
      </c>
      <c r="Z20" s="145">
        <v>66</v>
      </c>
      <c r="AA20" s="145">
        <v>66</v>
      </c>
      <c r="AB20" s="145">
        <v>66</v>
      </c>
      <c r="AC20" s="145">
        <v>65</v>
      </c>
      <c r="AD20" s="145">
        <v>65</v>
      </c>
      <c r="AE20" s="145">
        <v>65</v>
      </c>
      <c r="AF20" s="145">
        <v>65</v>
      </c>
      <c r="AG20" s="145">
        <v>68</v>
      </c>
      <c r="AH20" s="145">
        <v>68</v>
      </c>
      <c r="AI20" s="145">
        <v>68</v>
      </c>
      <c r="AJ20" s="145">
        <v>68</v>
      </c>
      <c r="AK20" s="145">
        <v>68</v>
      </c>
      <c r="AL20" s="145">
        <v>68</v>
      </c>
      <c r="AM20" s="145">
        <v>68</v>
      </c>
      <c r="AN20" s="145">
        <v>68</v>
      </c>
      <c r="AO20" s="145">
        <v>68</v>
      </c>
      <c r="AP20" s="145">
        <v>68</v>
      </c>
      <c r="AQ20" s="145">
        <v>68</v>
      </c>
      <c r="AR20" s="145">
        <v>68</v>
      </c>
      <c r="AS20" s="145">
        <v>69</v>
      </c>
      <c r="AT20" s="145">
        <v>69</v>
      </c>
      <c r="AU20" s="145">
        <v>67</v>
      </c>
      <c r="AV20" s="145">
        <v>68</v>
      </c>
      <c r="AW20" s="145">
        <v>67</v>
      </c>
      <c r="AX20" s="145">
        <v>68</v>
      </c>
      <c r="AY20" s="145">
        <v>67</v>
      </c>
      <c r="AZ20" s="145">
        <v>66</v>
      </c>
      <c r="BA20" s="145">
        <v>75</v>
      </c>
      <c r="BB20" s="145">
        <v>72</v>
      </c>
      <c r="BC20" s="145">
        <v>72</v>
      </c>
      <c r="BD20" s="145">
        <v>72</v>
      </c>
      <c r="BE20" s="145">
        <v>75</v>
      </c>
      <c r="BF20" s="145">
        <v>74</v>
      </c>
      <c r="BG20" s="145">
        <v>71</v>
      </c>
      <c r="BH20" s="145">
        <v>70</v>
      </c>
      <c r="BI20" s="145">
        <v>83</v>
      </c>
      <c r="BJ20" s="145">
        <v>92</v>
      </c>
      <c r="BK20" s="145">
        <v>84</v>
      </c>
      <c r="BL20" s="145">
        <v>82</v>
      </c>
      <c r="BM20" s="145">
        <v>92</v>
      </c>
      <c r="BN20" s="145">
        <v>89</v>
      </c>
      <c r="BO20" s="145">
        <v>89</v>
      </c>
      <c r="BP20" s="145">
        <v>86</v>
      </c>
      <c r="BQ20" s="145">
        <v>91</v>
      </c>
      <c r="BR20" s="145">
        <v>87</v>
      </c>
      <c r="BS20" s="145">
        <v>87</v>
      </c>
      <c r="BT20" s="145">
        <v>86</v>
      </c>
      <c r="BU20" s="145">
        <v>94</v>
      </c>
      <c r="BV20" s="145">
        <v>92</v>
      </c>
      <c r="BW20" s="145">
        <v>94</v>
      </c>
      <c r="BX20" s="145">
        <v>93</v>
      </c>
      <c r="BY20" s="145">
        <v>102</v>
      </c>
      <c r="BZ20" s="145">
        <v>99</v>
      </c>
      <c r="CA20" s="145">
        <v>100</v>
      </c>
      <c r="CB20" s="145">
        <v>98</v>
      </c>
      <c r="CC20" s="145">
        <v>104</v>
      </c>
      <c r="CD20" s="145">
        <v>100</v>
      </c>
      <c r="CE20" s="145">
        <v>100</v>
      </c>
      <c r="CF20" s="68"/>
      <c r="CG20" s="142"/>
      <c r="CH20" s="68"/>
      <c r="CI20" s="68"/>
      <c r="CJ20" s="68"/>
      <c r="CK20" s="68"/>
    </row>
    <row r="21" spans="1:89" s="123" customFormat="1" ht="13.5" customHeight="1" x14ac:dyDescent="0.75">
      <c r="A21" s="121"/>
      <c r="B21" s="63" t="s">
        <v>246</v>
      </c>
      <c r="C21" s="144" t="s">
        <v>247</v>
      </c>
      <c r="D21" s="145">
        <v>100</v>
      </c>
      <c r="E21" s="145">
        <v>76</v>
      </c>
      <c r="F21" s="145">
        <v>75</v>
      </c>
      <c r="G21" s="145">
        <v>77</v>
      </c>
      <c r="H21" s="145">
        <v>76</v>
      </c>
      <c r="I21" s="145">
        <v>77</v>
      </c>
      <c r="J21" s="145">
        <v>77</v>
      </c>
      <c r="K21" s="145">
        <v>77</v>
      </c>
      <c r="L21" s="145">
        <v>77</v>
      </c>
      <c r="M21" s="145">
        <v>77</v>
      </c>
      <c r="N21" s="145">
        <v>78</v>
      </c>
      <c r="O21" s="145">
        <v>78</v>
      </c>
      <c r="P21" s="145">
        <v>79</v>
      </c>
      <c r="Q21" s="145">
        <v>78</v>
      </c>
      <c r="R21" s="145">
        <v>77</v>
      </c>
      <c r="S21" s="145">
        <v>78</v>
      </c>
      <c r="T21" s="145">
        <v>76</v>
      </c>
      <c r="U21" s="145">
        <v>78</v>
      </c>
      <c r="V21" s="145">
        <v>88</v>
      </c>
      <c r="W21" s="145">
        <v>92</v>
      </c>
      <c r="X21" s="145">
        <v>93</v>
      </c>
      <c r="Y21" s="145">
        <v>95</v>
      </c>
      <c r="Z21" s="145">
        <v>95</v>
      </c>
      <c r="AA21" s="145">
        <v>95</v>
      </c>
      <c r="AB21" s="145">
        <v>95</v>
      </c>
      <c r="AC21" s="145">
        <v>95</v>
      </c>
      <c r="AD21" s="145">
        <v>95</v>
      </c>
      <c r="AE21" s="145">
        <v>95</v>
      </c>
      <c r="AF21" s="145">
        <v>95</v>
      </c>
      <c r="AG21" s="145">
        <v>95</v>
      </c>
      <c r="AH21" s="145">
        <v>95</v>
      </c>
      <c r="AI21" s="145">
        <v>95</v>
      </c>
      <c r="AJ21" s="145">
        <v>95</v>
      </c>
      <c r="AK21" s="145">
        <v>95</v>
      </c>
      <c r="AL21" s="145">
        <v>92</v>
      </c>
      <c r="AM21" s="145">
        <v>92</v>
      </c>
      <c r="AN21" s="145">
        <v>92</v>
      </c>
      <c r="AO21" s="145">
        <v>95</v>
      </c>
      <c r="AP21" s="145">
        <v>93</v>
      </c>
      <c r="AQ21" s="145">
        <v>100</v>
      </c>
      <c r="AR21" s="145">
        <v>100</v>
      </c>
      <c r="AS21" s="145">
        <v>100</v>
      </c>
      <c r="AT21" s="145">
        <v>105</v>
      </c>
      <c r="AU21" s="145">
        <v>101</v>
      </c>
      <c r="AV21" s="145">
        <v>100</v>
      </c>
      <c r="AW21" s="145">
        <v>102</v>
      </c>
      <c r="AX21" s="145">
        <v>101</v>
      </c>
      <c r="AY21" s="145">
        <v>99</v>
      </c>
      <c r="AZ21" s="145">
        <v>97</v>
      </c>
      <c r="BA21" s="145">
        <v>95</v>
      </c>
      <c r="BB21" s="145">
        <v>102</v>
      </c>
      <c r="BC21" s="145">
        <v>99</v>
      </c>
      <c r="BD21" s="145">
        <v>104</v>
      </c>
      <c r="BE21" s="145">
        <v>103</v>
      </c>
      <c r="BF21" s="145">
        <v>108</v>
      </c>
      <c r="BG21" s="145">
        <v>107</v>
      </c>
      <c r="BH21" s="145">
        <v>105</v>
      </c>
      <c r="BI21" s="145">
        <v>111</v>
      </c>
      <c r="BJ21" s="145">
        <v>118</v>
      </c>
      <c r="BK21" s="145">
        <v>110</v>
      </c>
      <c r="BL21" s="145">
        <v>116</v>
      </c>
      <c r="BM21" s="145">
        <v>122</v>
      </c>
      <c r="BN21" s="145">
        <v>124</v>
      </c>
      <c r="BO21" s="145">
        <v>125</v>
      </c>
      <c r="BP21" s="145">
        <v>116</v>
      </c>
      <c r="BQ21" s="145">
        <v>107</v>
      </c>
      <c r="BR21" s="145">
        <v>93</v>
      </c>
      <c r="BS21" s="145">
        <v>88</v>
      </c>
      <c r="BT21" s="145">
        <v>90</v>
      </c>
      <c r="BU21" s="145">
        <v>97</v>
      </c>
      <c r="BV21" s="145">
        <v>98</v>
      </c>
      <c r="BW21" s="145">
        <v>99</v>
      </c>
      <c r="BX21" s="145">
        <v>103</v>
      </c>
      <c r="BY21" s="145">
        <v>103</v>
      </c>
      <c r="BZ21" s="145">
        <v>103</v>
      </c>
      <c r="CA21" s="145">
        <v>96</v>
      </c>
      <c r="CB21" s="145">
        <v>100</v>
      </c>
      <c r="CC21" s="145">
        <v>101</v>
      </c>
      <c r="CD21" s="145">
        <v>99</v>
      </c>
      <c r="CE21" s="145">
        <v>95</v>
      </c>
      <c r="CF21" s="68"/>
      <c r="CG21" s="142"/>
      <c r="CH21" s="68"/>
      <c r="CI21" s="68"/>
      <c r="CJ21" s="68"/>
      <c r="CK21" s="68"/>
    </row>
    <row r="22" spans="1:89" s="123" customFormat="1" ht="13.5" customHeight="1" x14ac:dyDescent="0.75">
      <c r="A22" s="121"/>
      <c r="B22" s="63" t="s">
        <v>248</v>
      </c>
      <c r="C22" s="144" t="s">
        <v>249</v>
      </c>
      <c r="D22" s="145">
        <v>100</v>
      </c>
      <c r="E22" s="145">
        <v>44</v>
      </c>
      <c r="F22" s="145">
        <v>44</v>
      </c>
      <c r="G22" s="145">
        <v>42</v>
      </c>
      <c r="H22" s="145">
        <v>45</v>
      </c>
      <c r="I22" s="145">
        <v>45</v>
      </c>
      <c r="J22" s="145">
        <v>45</v>
      </c>
      <c r="K22" s="145">
        <v>45</v>
      </c>
      <c r="L22" s="145">
        <v>48</v>
      </c>
      <c r="M22" s="145">
        <v>51</v>
      </c>
      <c r="N22" s="145">
        <v>52</v>
      </c>
      <c r="O22" s="145">
        <v>54</v>
      </c>
      <c r="P22" s="145">
        <v>54</v>
      </c>
      <c r="Q22" s="145">
        <v>54</v>
      </c>
      <c r="R22" s="145">
        <v>48</v>
      </c>
      <c r="S22" s="145">
        <v>54</v>
      </c>
      <c r="T22" s="145">
        <v>54</v>
      </c>
      <c r="U22" s="145">
        <v>53</v>
      </c>
      <c r="V22" s="145">
        <v>56</v>
      </c>
      <c r="W22" s="145">
        <v>56</v>
      </c>
      <c r="X22" s="145">
        <v>56</v>
      </c>
      <c r="Y22" s="145">
        <v>57</v>
      </c>
      <c r="Z22" s="145">
        <v>57</v>
      </c>
      <c r="AA22" s="145">
        <v>57</v>
      </c>
      <c r="AB22" s="145">
        <v>66</v>
      </c>
      <c r="AC22" s="145">
        <v>62</v>
      </c>
      <c r="AD22" s="145">
        <v>65</v>
      </c>
      <c r="AE22" s="145">
        <v>66</v>
      </c>
      <c r="AF22" s="145">
        <v>67</v>
      </c>
      <c r="AG22" s="145">
        <v>69</v>
      </c>
      <c r="AH22" s="145">
        <v>69</v>
      </c>
      <c r="AI22" s="145">
        <v>68</v>
      </c>
      <c r="AJ22" s="145">
        <v>69</v>
      </c>
      <c r="AK22" s="145">
        <v>71</v>
      </c>
      <c r="AL22" s="145">
        <v>69</v>
      </c>
      <c r="AM22" s="145">
        <v>68</v>
      </c>
      <c r="AN22" s="145">
        <v>68</v>
      </c>
      <c r="AO22" s="145">
        <v>67</v>
      </c>
      <c r="AP22" s="145">
        <v>66</v>
      </c>
      <c r="AQ22" s="145">
        <v>67</v>
      </c>
      <c r="AR22" s="145">
        <v>67</v>
      </c>
      <c r="AS22" s="145">
        <v>68</v>
      </c>
      <c r="AT22" s="145">
        <v>72</v>
      </c>
      <c r="AU22" s="145">
        <v>61</v>
      </c>
      <c r="AV22" s="145">
        <v>70</v>
      </c>
      <c r="AW22" s="145">
        <v>65</v>
      </c>
      <c r="AX22" s="145">
        <v>54</v>
      </c>
      <c r="AY22" s="145">
        <v>57</v>
      </c>
      <c r="AZ22" s="145">
        <v>50</v>
      </c>
      <c r="BA22" s="145">
        <v>56</v>
      </c>
      <c r="BB22" s="145">
        <v>53</v>
      </c>
      <c r="BC22" s="145">
        <v>59</v>
      </c>
      <c r="BD22" s="145">
        <v>60</v>
      </c>
      <c r="BE22" s="145">
        <v>66</v>
      </c>
      <c r="BF22" s="145">
        <v>60</v>
      </c>
      <c r="BG22" s="145">
        <v>70</v>
      </c>
      <c r="BH22" s="145">
        <v>74</v>
      </c>
      <c r="BI22" s="145">
        <v>72</v>
      </c>
      <c r="BJ22" s="145">
        <v>105</v>
      </c>
      <c r="BK22" s="145">
        <v>87</v>
      </c>
      <c r="BL22" s="145">
        <v>82</v>
      </c>
      <c r="BM22" s="145">
        <v>75</v>
      </c>
      <c r="BN22" s="145">
        <v>89</v>
      </c>
      <c r="BO22" s="145">
        <v>91</v>
      </c>
      <c r="BP22" s="145">
        <v>104</v>
      </c>
      <c r="BQ22" s="145">
        <v>123</v>
      </c>
      <c r="BR22" s="145">
        <v>145</v>
      </c>
      <c r="BS22" s="145">
        <v>146</v>
      </c>
      <c r="BT22" s="145">
        <v>144</v>
      </c>
      <c r="BU22" s="145">
        <v>111</v>
      </c>
      <c r="BV22" s="145">
        <v>100</v>
      </c>
      <c r="BW22" s="145">
        <v>92</v>
      </c>
      <c r="BX22" s="145">
        <v>89</v>
      </c>
      <c r="BY22" s="145">
        <v>93</v>
      </c>
      <c r="BZ22" s="145">
        <v>100</v>
      </c>
      <c r="CA22" s="145">
        <v>103</v>
      </c>
      <c r="CB22" s="145">
        <v>103</v>
      </c>
      <c r="CC22" s="145">
        <v>102</v>
      </c>
      <c r="CD22" s="145">
        <v>105</v>
      </c>
      <c r="CE22" s="145">
        <v>106</v>
      </c>
      <c r="CF22" s="68"/>
      <c r="CG22" s="142"/>
      <c r="CH22" s="68"/>
      <c r="CI22" s="68"/>
      <c r="CJ22" s="68"/>
      <c r="CK22" s="68"/>
    </row>
    <row r="23" spans="1:89" s="123" customFormat="1" ht="13.5" customHeight="1" x14ac:dyDescent="0.75">
      <c r="A23" s="121"/>
      <c r="B23" s="63" t="s">
        <v>250</v>
      </c>
      <c r="C23" s="144" t="s">
        <v>251</v>
      </c>
      <c r="D23" s="145">
        <v>100</v>
      </c>
      <c r="E23" s="145">
        <v>29</v>
      </c>
      <c r="F23" s="145">
        <v>29</v>
      </c>
      <c r="G23" s="145">
        <v>29</v>
      </c>
      <c r="H23" s="145">
        <v>30</v>
      </c>
      <c r="I23" s="145">
        <v>32</v>
      </c>
      <c r="J23" s="145">
        <v>32</v>
      </c>
      <c r="K23" s="145">
        <v>32</v>
      </c>
      <c r="L23" s="145">
        <v>32</v>
      </c>
      <c r="M23" s="145">
        <v>32</v>
      </c>
      <c r="N23" s="145">
        <v>34</v>
      </c>
      <c r="O23" s="145">
        <v>37</v>
      </c>
      <c r="P23" s="145">
        <v>41</v>
      </c>
      <c r="Q23" s="145">
        <v>42</v>
      </c>
      <c r="R23" s="145">
        <v>42</v>
      </c>
      <c r="S23" s="145">
        <v>42</v>
      </c>
      <c r="T23" s="145">
        <v>42</v>
      </c>
      <c r="U23" s="145">
        <v>42</v>
      </c>
      <c r="V23" s="145">
        <v>45</v>
      </c>
      <c r="W23" s="145">
        <v>45</v>
      </c>
      <c r="X23" s="145">
        <v>45</v>
      </c>
      <c r="Y23" s="145">
        <v>46</v>
      </c>
      <c r="Z23" s="145">
        <v>46</v>
      </c>
      <c r="AA23" s="145">
        <v>46</v>
      </c>
      <c r="AB23" s="145">
        <v>46</v>
      </c>
      <c r="AC23" s="145">
        <v>46</v>
      </c>
      <c r="AD23" s="145">
        <v>46</v>
      </c>
      <c r="AE23" s="145">
        <v>47</v>
      </c>
      <c r="AF23" s="145">
        <v>47</v>
      </c>
      <c r="AG23" s="145">
        <v>47</v>
      </c>
      <c r="AH23" s="145">
        <v>48</v>
      </c>
      <c r="AI23" s="145">
        <v>48</v>
      </c>
      <c r="AJ23" s="145">
        <v>48</v>
      </c>
      <c r="AK23" s="145">
        <v>48</v>
      </c>
      <c r="AL23" s="145">
        <v>48</v>
      </c>
      <c r="AM23" s="145">
        <v>48</v>
      </c>
      <c r="AN23" s="145">
        <v>48</v>
      </c>
      <c r="AO23" s="145">
        <v>48</v>
      </c>
      <c r="AP23" s="145">
        <v>48</v>
      </c>
      <c r="AQ23" s="145">
        <v>45</v>
      </c>
      <c r="AR23" s="145">
        <v>45</v>
      </c>
      <c r="AS23" s="145">
        <v>44</v>
      </c>
      <c r="AT23" s="145">
        <v>45</v>
      </c>
      <c r="AU23" s="145">
        <v>45</v>
      </c>
      <c r="AV23" s="145">
        <v>48</v>
      </c>
      <c r="AW23" s="145">
        <v>47</v>
      </c>
      <c r="AX23" s="145">
        <v>48</v>
      </c>
      <c r="AY23" s="145">
        <v>48</v>
      </c>
      <c r="AZ23" s="145">
        <v>48</v>
      </c>
      <c r="BA23" s="145">
        <v>44</v>
      </c>
      <c r="BB23" s="145">
        <v>41</v>
      </c>
      <c r="BC23" s="145">
        <v>49</v>
      </c>
      <c r="BD23" s="145">
        <v>48</v>
      </c>
      <c r="BE23" s="145">
        <v>54</v>
      </c>
      <c r="BF23" s="145">
        <v>52</v>
      </c>
      <c r="BG23" s="145">
        <v>57</v>
      </c>
      <c r="BH23" s="145">
        <v>47</v>
      </c>
      <c r="BI23" s="145">
        <v>54</v>
      </c>
      <c r="BJ23" s="145">
        <v>53</v>
      </c>
      <c r="BK23" s="145">
        <v>59</v>
      </c>
      <c r="BL23" s="145">
        <v>60</v>
      </c>
      <c r="BM23" s="145">
        <v>61</v>
      </c>
      <c r="BN23" s="145">
        <v>53</v>
      </c>
      <c r="BO23" s="145">
        <v>57</v>
      </c>
      <c r="BP23" s="145">
        <v>58</v>
      </c>
      <c r="BQ23" s="145">
        <v>64</v>
      </c>
      <c r="BR23" s="145">
        <v>77</v>
      </c>
      <c r="BS23" s="145">
        <v>78</v>
      </c>
      <c r="BT23" s="145">
        <v>77</v>
      </c>
      <c r="BU23" s="145">
        <v>71</v>
      </c>
      <c r="BV23" s="145">
        <v>70</v>
      </c>
      <c r="BW23" s="145">
        <v>70</v>
      </c>
      <c r="BX23" s="145">
        <v>74</v>
      </c>
      <c r="BY23" s="145">
        <v>86</v>
      </c>
      <c r="BZ23" s="145">
        <v>99</v>
      </c>
      <c r="CA23" s="145">
        <v>106</v>
      </c>
      <c r="CB23" s="145">
        <v>104</v>
      </c>
      <c r="CC23" s="145">
        <v>101</v>
      </c>
      <c r="CD23" s="145">
        <v>97</v>
      </c>
      <c r="CE23" s="145">
        <v>96</v>
      </c>
      <c r="CF23" s="68"/>
      <c r="CG23" s="142"/>
      <c r="CH23" s="68"/>
      <c r="CI23" s="68"/>
      <c r="CJ23" s="68"/>
      <c r="CK23" s="68"/>
    </row>
    <row r="24" spans="1:89" s="123" customFormat="1" ht="13.5" customHeight="1" x14ac:dyDescent="0.75">
      <c r="A24" s="121"/>
      <c r="B24" s="63" t="s">
        <v>252</v>
      </c>
      <c r="C24" s="144" t="s">
        <v>253</v>
      </c>
      <c r="D24" s="145">
        <v>100</v>
      </c>
      <c r="E24" s="145">
        <v>50</v>
      </c>
      <c r="F24" s="145">
        <v>49</v>
      </c>
      <c r="G24" s="145">
        <v>49</v>
      </c>
      <c r="H24" s="145">
        <v>49</v>
      </c>
      <c r="I24" s="145">
        <v>50</v>
      </c>
      <c r="J24" s="145">
        <v>50</v>
      </c>
      <c r="K24" s="145">
        <v>51</v>
      </c>
      <c r="L24" s="145">
        <v>51</v>
      </c>
      <c r="M24" s="145">
        <v>54</v>
      </c>
      <c r="N24" s="145">
        <v>60</v>
      </c>
      <c r="O24" s="145">
        <v>62</v>
      </c>
      <c r="P24" s="145">
        <v>64</v>
      </c>
      <c r="Q24" s="145">
        <v>65</v>
      </c>
      <c r="R24" s="145">
        <v>66</v>
      </c>
      <c r="S24" s="145">
        <v>66</v>
      </c>
      <c r="T24" s="145">
        <v>66</v>
      </c>
      <c r="U24" s="145">
        <v>66</v>
      </c>
      <c r="V24" s="145">
        <v>66</v>
      </c>
      <c r="W24" s="145">
        <v>65</v>
      </c>
      <c r="X24" s="145">
        <v>65</v>
      </c>
      <c r="Y24" s="145">
        <v>65</v>
      </c>
      <c r="Z24" s="145">
        <v>67</v>
      </c>
      <c r="AA24" s="145">
        <v>67</v>
      </c>
      <c r="AB24" s="145">
        <v>69</v>
      </c>
      <c r="AC24" s="145">
        <v>69</v>
      </c>
      <c r="AD24" s="145">
        <v>68</v>
      </c>
      <c r="AE24" s="145">
        <v>69</v>
      </c>
      <c r="AF24" s="145">
        <v>69</v>
      </c>
      <c r="AG24" s="145">
        <v>68</v>
      </c>
      <c r="AH24" s="145">
        <v>69</v>
      </c>
      <c r="AI24" s="145">
        <v>69</v>
      </c>
      <c r="AJ24" s="145">
        <v>68</v>
      </c>
      <c r="AK24" s="145">
        <v>69</v>
      </c>
      <c r="AL24" s="145">
        <v>69</v>
      </c>
      <c r="AM24" s="145">
        <v>69</v>
      </c>
      <c r="AN24" s="145">
        <v>68</v>
      </c>
      <c r="AO24" s="145">
        <v>69</v>
      </c>
      <c r="AP24" s="145">
        <v>69</v>
      </c>
      <c r="AQ24" s="145">
        <v>69</v>
      </c>
      <c r="AR24" s="145">
        <v>70</v>
      </c>
      <c r="AS24" s="145">
        <v>69</v>
      </c>
      <c r="AT24" s="145">
        <v>69</v>
      </c>
      <c r="AU24" s="145">
        <v>69</v>
      </c>
      <c r="AV24" s="145">
        <v>70</v>
      </c>
      <c r="AW24" s="145">
        <v>70</v>
      </c>
      <c r="AX24" s="145">
        <v>69</v>
      </c>
      <c r="AY24" s="145">
        <v>69</v>
      </c>
      <c r="AZ24" s="145">
        <v>69</v>
      </c>
      <c r="BA24" s="145">
        <v>79</v>
      </c>
      <c r="BB24" s="145">
        <v>75</v>
      </c>
      <c r="BC24" s="145">
        <v>72</v>
      </c>
      <c r="BD24" s="145">
        <v>72</v>
      </c>
      <c r="BE24" s="145">
        <v>76</v>
      </c>
      <c r="BF24" s="145">
        <v>75</v>
      </c>
      <c r="BG24" s="145">
        <v>81</v>
      </c>
      <c r="BH24" s="145">
        <v>78</v>
      </c>
      <c r="BI24" s="145">
        <v>89</v>
      </c>
      <c r="BJ24" s="145">
        <v>83</v>
      </c>
      <c r="BK24" s="145">
        <v>76</v>
      </c>
      <c r="BL24" s="145">
        <v>83</v>
      </c>
      <c r="BM24" s="145">
        <v>90</v>
      </c>
      <c r="BN24" s="145">
        <v>94</v>
      </c>
      <c r="BO24" s="145">
        <v>94</v>
      </c>
      <c r="BP24" s="145">
        <v>92</v>
      </c>
      <c r="BQ24" s="145">
        <v>91</v>
      </c>
      <c r="BR24" s="145">
        <v>89</v>
      </c>
      <c r="BS24" s="145">
        <v>92</v>
      </c>
      <c r="BT24" s="145">
        <v>92</v>
      </c>
      <c r="BU24" s="145">
        <v>94</v>
      </c>
      <c r="BV24" s="145">
        <v>94</v>
      </c>
      <c r="BW24" s="145">
        <v>98</v>
      </c>
      <c r="BX24" s="145">
        <v>95</v>
      </c>
      <c r="BY24" s="145">
        <v>96</v>
      </c>
      <c r="BZ24" s="145">
        <v>99</v>
      </c>
      <c r="CA24" s="145">
        <v>102</v>
      </c>
      <c r="CB24" s="145">
        <v>102</v>
      </c>
      <c r="CC24" s="145">
        <v>102</v>
      </c>
      <c r="CD24" s="145">
        <v>104</v>
      </c>
      <c r="CE24" s="145">
        <v>106</v>
      </c>
      <c r="CF24" s="68"/>
      <c r="CG24" s="142"/>
      <c r="CH24" s="68"/>
      <c r="CI24" s="68"/>
      <c r="CJ24" s="68"/>
      <c r="CK24" s="68"/>
    </row>
    <row r="25" spans="1:89" s="123" customFormat="1" ht="13.5" customHeight="1" x14ac:dyDescent="0.75">
      <c r="A25" s="121"/>
      <c r="B25" s="63" t="s">
        <v>254</v>
      </c>
      <c r="C25" s="144" t="s">
        <v>255</v>
      </c>
      <c r="D25" s="145">
        <v>100</v>
      </c>
      <c r="E25" s="145">
        <v>41</v>
      </c>
      <c r="F25" s="145">
        <v>41</v>
      </c>
      <c r="G25" s="145">
        <v>41</v>
      </c>
      <c r="H25" s="145">
        <v>41</v>
      </c>
      <c r="I25" s="145">
        <v>41</v>
      </c>
      <c r="J25" s="145">
        <v>42</v>
      </c>
      <c r="K25" s="145">
        <v>42</v>
      </c>
      <c r="L25" s="145">
        <v>42</v>
      </c>
      <c r="M25" s="145">
        <v>45</v>
      </c>
      <c r="N25" s="145">
        <v>50</v>
      </c>
      <c r="O25" s="145">
        <v>51</v>
      </c>
      <c r="P25" s="145">
        <v>53</v>
      </c>
      <c r="Q25" s="145">
        <v>54</v>
      </c>
      <c r="R25" s="145">
        <v>55</v>
      </c>
      <c r="S25" s="145">
        <v>55</v>
      </c>
      <c r="T25" s="145">
        <v>54</v>
      </c>
      <c r="U25" s="145">
        <v>55</v>
      </c>
      <c r="V25" s="145">
        <v>55</v>
      </c>
      <c r="W25" s="145">
        <v>54</v>
      </c>
      <c r="X25" s="145">
        <v>54</v>
      </c>
      <c r="Y25" s="145">
        <v>54</v>
      </c>
      <c r="Z25" s="145">
        <v>56</v>
      </c>
      <c r="AA25" s="145">
        <v>56</v>
      </c>
      <c r="AB25" s="145">
        <v>58</v>
      </c>
      <c r="AC25" s="145">
        <v>58</v>
      </c>
      <c r="AD25" s="145">
        <v>57</v>
      </c>
      <c r="AE25" s="145">
        <v>57</v>
      </c>
      <c r="AF25" s="145">
        <v>57</v>
      </c>
      <c r="AG25" s="145">
        <v>57</v>
      </c>
      <c r="AH25" s="145">
        <v>57</v>
      </c>
      <c r="AI25" s="145">
        <v>57</v>
      </c>
      <c r="AJ25" s="145">
        <v>57</v>
      </c>
      <c r="AK25" s="145">
        <v>57</v>
      </c>
      <c r="AL25" s="145">
        <v>57</v>
      </c>
      <c r="AM25" s="145">
        <v>57</v>
      </c>
      <c r="AN25" s="145">
        <v>57</v>
      </c>
      <c r="AO25" s="145">
        <v>57</v>
      </c>
      <c r="AP25" s="145">
        <v>57</v>
      </c>
      <c r="AQ25" s="145">
        <v>57</v>
      </c>
      <c r="AR25" s="145">
        <v>59</v>
      </c>
      <c r="AS25" s="145">
        <v>60</v>
      </c>
      <c r="AT25" s="145">
        <v>60</v>
      </c>
      <c r="AU25" s="145">
        <v>60</v>
      </c>
      <c r="AV25" s="145">
        <v>61</v>
      </c>
      <c r="AW25" s="145">
        <v>63</v>
      </c>
      <c r="AX25" s="145">
        <v>63</v>
      </c>
      <c r="AY25" s="145">
        <v>64</v>
      </c>
      <c r="AZ25" s="145">
        <v>64</v>
      </c>
      <c r="BA25" s="145">
        <v>62</v>
      </c>
      <c r="BB25" s="145">
        <v>66</v>
      </c>
      <c r="BC25" s="145">
        <v>68</v>
      </c>
      <c r="BD25" s="145">
        <v>73</v>
      </c>
      <c r="BE25" s="145">
        <v>75</v>
      </c>
      <c r="BF25" s="145">
        <v>73</v>
      </c>
      <c r="BG25" s="145">
        <v>71</v>
      </c>
      <c r="BH25" s="145">
        <v>68</v>
      </c>
      <c r="BI25" s="145">
        <v>66</v>
      </c>
      <c r="BJ25" s="145">
        <v>117</v>
      </c>
      <c r="BK25" s="145">
        <v>61</v>
      </c>
      <c r="BL25" s="145">
        <v>63</v>
      </c>
      <c r="BM25" s="145">
        <v>69</v>
      </c>
      <c r="BN25" s="145">
        <v>74</v>
      </c>
      <c r="BO25" s="145">
        <v>78</v>
      </c>
      <c r="BP25" s="145">
        <v>83</v>
      </c>
      <c r="BQ25" s="145">
        <v>89</v>
      </c>
      <c r="BR25" s="145">
        <v>92</v>
      </c>
      <c r="BS25" s="145">
        <v>96</v>
      </c>
      <c r="BT25" s="145">
        <v>100</v>
      </c>
      <c r="BU25" s="145">
        <v>103</v>
      </c>
      <c r="BV25" s="145">
        <v>103</v>
      </c>
      <c r="BW25" s="145">
        <v>104</v>
      </c>
      <c r="BX25" s="145">
        <v>103</v>
      </c>
      <c r="BY25" s="145">
        <v>102</v>
      </c>
      <c r="BZ25" s="145">
        <v>100</v>
      </c>
      <c r="CA25" s="145">
        <v>99</v>
      </c>
      <c r="CB25" s="145">
        <v>100</v>
      </c>
      <c r="CC25" s="145">
        <v>104</v>
      </c>
      <c r="CD25" s="145">
        <v>107</v>
      </c>
      <c r="CE25" s="145">
        <v>111</v>
      </c>
      <c r="CF25" s="68"/>
      <c r="CG25" s="142"/>
      <c r="CH25" s="68"/>
      <c r="CI25" s="68"/>
      <c r="CJ25" s="68"/>
      <c r="CK25" s="68"/>
    </row>
    <row r="26" spans="1:89" ht="13.5" customHeight="1" x14ac:dyDescent="0.75">
      <c r="A26" s="68"/>
      <c r="B26" s="67" t="s">
        <v>256</v>
      </c>
      <c r="C26" s="66" t="s">
        <v>257</v>
      </c>
      <c r="D26" s="143">
        <v>100</v>
      </c>
      <c r="E26" s="143">
        <v>45</v>
      </c>
      <c r="F26" s="143">
        <v>41</v>
      </c>
      <c r="G26" s="143">
        <v>47</v>
      </c>
      <c r="H26" s="143">
        <v>64</v>
      </c>
      <c r="I26" s="143">
        <v>97</v>
      </c>
      <c r="J26" s="143">
        <v>123</v>
      </c>
      <c r="K26" s="143">
        <v>125</v>
      </c>
      <c r="L26" s="143">
        <v>102</v>
      </c>
      <c r="M26" s="143">
        <v>78</v>
      </c>
      <c r="N26" s="143">
        <v>62</v>
      </c>
      <c r="O26" s="143">
        <v>56</v>
      </c>
      <c r="P26" s="143">
        <v>60</v>
      </c>
      <c r="Q26" s="143">
        <v>65</v>
      </c>
      <c r="R26" s="143">
        <v>65</v>
      </c>
      <c r="S26" s="143">
        <v>65</v>
      </c>
      <c r="T26" s="143">
        <v>65</v>
      </c>
      <c r="U26" s="143">
        <v>65</v>
      </c>
      <c r="V26" s="143">
        <v>65</v>
      </c>
      <c r="W26" s="143">
        <v>66</v>
      </c>
      <c r="X26" s="143">
        <v>66</v>
      </c>
      <c r="Y26" s="143">
        <v>67</v>
      </c>
      <c r="Z26" s="143">
        <v>67</v>
      </c>
      <c r="AA26" s="143">
        <v>67</v>
      </c>
      <c r="AB26" s="143">
        <v>67</v>
      </c>
      <c r="AC26" s="143">
        <v>67</v>
      </c>
      <c r="AD26" s="143">
        <v>67</v>
      </c>
      <c r="AE26" s="143">
        <v>78</v>
      </c>
      <c r="AF26" s="143">
        <v>79</v>
      </c>
      <c r="AG26" s="143">
        <v>79</v>
      </c>
      <c r="AH26" s="143">
        <v>79</v>
      </c>
      <c r="AI26" s="143">
        <v>79</v>
      </c>
      <c r="AJ26" s="143">
        <v>79</v>
      </c>
      <c r="AK26" s="143">
        <v>80</v>
      </c>
      <c r="AL26" s="143">
        <v>80</v>
      </c>
      <c r="AM26" s="143">
        <v>81</v>
      </c>
      <c r="AN26" s="143">
        <v>81</v>
      </c>
      <c r="AO26" s="143">
        <v>80</v>
      </c>
      <c r="AP26" s="143">
        <v>80</v>
      </c>
      <c r="AQ26" s="143">
        <v>91</v>
      </c>
      <c r="AR26" s="143">
        <v>111</v>
      </c>
      <c r="AS26" s="143">
        <v>115</v>
      </c>
      <c r="AT26" s="143">
        <v>113</v>
      </c>
      <c r="AU26" s="143">
        <v>111</v>
      </c>
      <c r="AV26" s="143">
        <v>112</v>
      </c>
      <c r="AW26" s="143">
        <v>111</v>
      </c>
      <c r="AX26" s="143">
        <v>113</v>
      </c>
      <c r="AY26" s="143">
        <v>112</v>
      </c>
      <c r="AZ26" s="143">
        <v>113</v>
      </c>
      <c r="BA26" s="143">
        <v>104</v>
      </c>
      <c r="BB26" s="143">
        <v>102</v>
      </c>
      <c r="BC26" s="143">
        <v>125</v>
      </c>
      <c r="BD26" s="143">
        <v>133</v>
      </c>
      <c r="BE26" s="143">
        <v>128</v>
      </c>
      <c r="BF26" s="143">
        <v>125</v>
      </c>
      <c r="BG26" s="143">
        <v>122</v>
      </c>
      <c r="BH26" s="143">
        <v>121</v>
      </c>
      <c r="BI26" s="143">
        <v>131</v>
      </c>
      <c r="BJ26" s="143">
        <v>137</v>
      </c>
      <c r="BK26" s="143">
        <v>138</v>
      </c>
      <c r="BL26" s="143">
        <v>141</v>
      </c>
      <c r="BM26" s="143">
        <v>143</v>
      </c>
      <c r="BN26" s="143">
        <v>143</v>
      </c>
      <c r="BO26" s="143">
        <v>137</v>
      </c>
      <c r="BP26" s="143">
        <v>125</v>
      </c>
      <c r="BQ26" s="143">
        <v>108</v>
      </c>
      <c r="BR26" s="143">
        <v>96</v>
      </c>
      <c r="BS26" s="143">
        <v>88</v>
      </c>
      <c r="BT26" s="143">
        <v>86</v>
      </c>
      <c r="BU26" s="143">
        <v>89</v>
      </c>
      <c r="BV26" s="143">
        <v>91</v>
      </c>
      <c r="BW26" s="143">
        <v>89</v>
      </c>
      <c r="BX26" s="143">
        <v>96</v>
      </c>
      <c r="BY26" s="143">
        <v>99</v>
      </c>
      <c r="BZ26" s="143">
        <v>100</v>
      </c>
      <c r="CA26" s="143">
        <v>101</v>
      </c>
      <c r="CB26" s="143">
        <v>100</v>
      </c>
      <c r="CC26" s="143">
        <v>98</v>
      </c>
      <c r="CD26" s="143">
        <v>97</v>
      </c>
      <c r="CE26" s="143">
        <v>120</v>
      </c>
      <c r="CF26" s="68"/>
      <c r="CG26" s="142"/>
      <c r="CH26" s="68"/>
      <c r="CI26" s="68"/>
      <c r="CJ26" s="68"/>
      <c r="CK26" s="68"/>
    </row>
    <row r="27" spans="1:89" ht="13.5" customHeight="1" x14ac:dyDescent="0.75">
      <c r="A27" s="68"/>
      <c r="B27" s="67" t="s">
        <v>258</v>
      </c>
      <c r="C27" s="66" t="s">
        <v>259</v>
      </c>
      <c r="D27" s="143">
        <v>100</v>
      </c>
      <c r="E27" s="143">
        <v>32</v>
      </c>
      <c r="F27" s="143">
        <v>29</v>
      </c>
      <c r="G27" s="143">
        <v>33</v>
      </c>
      <c r="H27" s="143">
        <v>45</v>
      </c>
      <c r="I27" s="143">
        <v>68</v>
      </c>
      <c r="J27" s="143">
        <v>87</v>
      </c>
      <c r="K27" s="143">
        <v>88</v>
      </c>
      <c r="L27" s="143">
        <v>72</v>
      </c>
      <c r="M27" s="143">
        <v>55</v>
      </c>
      <c r="N27" s="143">
        <v>43</v>
      </c>
      <c r="O27" s="143">
        <v>39</v>
      </c>
      <c r="P27" s="143">
        <v>42</v>
      </c>
      <c r="Q27" s="143">
        <v>45</v>
      </c>
      <c r="R27" s="143">
        <v>46</v>
      </c>
      <c r="S27" s="143">
        <v>46</v>
      </c>
      <c r="T27" s="143">
        <v>46</v>
      </c>
      <c r="U27" s="143">
        <v>46</v>
      </c>
      <c r="V27" s="143">
        <v>46</v>
      </c>
      <c r="W27" s="143">
        <v>47</v>
      </c>
      <c r="X27" s="143">
        <v>47</v>
      </c>
      <c r="Y27" s="143">
        <v>47</v>
      </c>
      <c r="Z27" s="143">
        <v>47</v>
      </c>
      <c r="AA27" s="143">
        <v>47</v>
      </c>
      <c r="AB27" s="143">
        <v>47</v>
      </c>
      <c r="AC27" s="143">
        <v>47</v>
      </c>
      <c r="AD27" s="143">
        <v>47</v>
      </c>
      <c r="AE27" s="143">
        <v>47</v>
      </c>
      <c r="AF27" s="143">
        <v>47</v>
      </c>
      <c r="AG27" s="143">
        <v>47</v>
      </c>
      <c r="AH27" s="143">
        <v>47</v>
      </c>
      <c r="AI27" s="143">
        <v>47</v>
      </c>
      <c r="AJ27" s="143">
        <v>47</v>
      </c>
      <c r="AK27" s="143">
        <v>47</v>
      </c>
      <c r="AL27" s="143">
        <v>47</v>
      </c>
      <c r="AM27" s="143">
        <v>47</v>
      </c>
      <c r="AN27" s="143">
        <v>47</v>
      </c>
      <c r="AO27" s="143">
        <v>47</v>
      </c>
      <c r="AP27" s="143">
        <v>47</v>
      </c>
      <c r="AQ27" s="143">
        <v>49</v>
      </c>
      <c r="AR27" s="143">
        <v>54</v>
      </c>
      <c r="AS27" s="143">
        <v>53</v>
      </c>
      <c r="AT27" s="143">
        <v>54</v>
      </c>
      <c r="AU27" s="143">
        <v>54</v>
      </c>
      <c r="AV27" s="143">
        <v>54</v>
      </c>
      <c r="AW27" s="143">
        <v>53</v>
      </c>
      <c r="AX27" s="143">
        <v>54</v>
      </c>
      <c r="AY27" s="143">
        <v>54</v>
      </c>
      <c r="AZ27" s="143">
        <v>53</v>
      </c>
      <c r="BA27" s="143">
        <v>51</v>
      </c>
      <c r="BB27" s="143">
        <v>53</v>
      </c>
      <c r="BC27" s="143">
        <v>56</v>
      </c>
      <c r="BD27" s="143">
        <v>59</v>
      </c>
      <c r="BE27" s="143">
        <v>82</v>
      </c>
      <c r="BF27" s="143">
        <v>95</v>
      </c>
      <c r="BG27" s="143">
        <v>99</v>
      </c>
      <c r="BH27" s="143">
        <v>99</v>
      </c>
      <c r="BI27" s="143">
        <v>99</v>
      </c>
      <c r="BJ27" s="143">
        <v>99</v>
      </c>
      <c r="BK27" s="143">
        <v>102</v>
      </c>
      <c r="BL27" s="143">
        <v>102</v>
      </c>
      <c r="BM27" s="143">
        <v>103</v>
      </c>
      <c r="BN27" s="143">
        <v>104</v>
      </c>
      <c r="BO27" s="143">
        <v>104</v>
      </c>
      <c r="BP27" s="143">
        <v>104</v>
      </c>
      <c r="BQ27" s="143">
        <v>103</v>
      </c>
      <c r="BR27" s="143">
        <v>102</v>
      </c>
      <c r="BS27" s="143">
        <v>101</v>
      </c>
      <c r="BT27" s="143">
        <v>101</v>
      </c>
      <c r="BU27" s="143">
        <v>100</v>
      </c>
      <c r="BV27" s="143">
        <v>99</v>
      </c>
      <c r="BW27" s="143">
        <v>99</v>
      </c>
      <c r="BX27" s="143">
        <v>99</v>
      </c>
      <c r="BY27" s="143">
        <v>100</v>
      </c>
      <c r="BZ27" s="143">
        <v>100</v>
      </c>
      <c r="CA27" s="143">
        <v>100</v>
      </c>
      <c r="CB27" s="143">
        <v>100</v>
      </c>
      <c r="CC27" s="143">
        <v>100</v>
      </c>
      <c r="CD27" s="143">
        <v>100</v>
      </c>
      <c r="CE27" s="143">
        <v>100</v>
      </c>
      <c r="CF27" s="68"/>
      <c r="CG27" s="142"/>
      <c r="CH27" s="68"/>
      <c r="CI27" s="68"/>
      <c r="CJ27" s="68"/>
      <c r="CK27" s="68"/>
    </row>
    <row r="28" spans="1:89" ht="13.5" customHeight="1" x14ac:dyDescent="0.75">
      <c r="A28" s="68"/>
      <c r="B28" s="67" t="s">
        <v>260</v>
      </c>
      <c r="C28" s="66" t="s">
        <v>261</v>
      </c>
      <c r="D28" s="143">
        <v>100</v>
      </c>
      <c r="E28" s="143">
        <v>25</v>
      </c>
      <c r="F28" s="143">
        <v>26</v>
      </c>
      <c r="G28" s="143">
        <v>26</v>
      </c>
      <c r="H28" s="143">
        <v>26</v>
      </c>
      <c r="I28" s="143">
        <v>28</v>
      </c>
      <c r="J28" s="143">
        <v>28</v>
      </c>
      <c r="K28" s="143">
        <v>28</v>
      </c>
      <c r="L28" s="143">
        <v>28</v>
      </c>
      <c r="M28" s="143">
        <v>30</v>
      </c>
      <c r="N28" s="143">
        <v>31</v>
      </c>
      <c r="O28" s="143">
        <v>33</v>
      </c>
      <c r="P28" s="143">
        <v>35</v>
      </c>
      <c r="Q28" s="143">
        <v>36</v>
      </c>
      <c r="R28" s="143">
        <v>36</v>
      </c>
      <c r="S28" s="143">
        <v>36</v>
      </c>
      <c r="T28" s="143">
        <v>37</v>
      </c>
      <c r="U28" s="143">
        <v>37</v>
      </c>
      <c r="V28" s="143">
        <v>38</v>
      </c>
      <c r="W28" s="143">
        <v>38</v>
      </c>
      <c r="X28" s="143">
        <v>38</v>
      </c>
      <c r="Y28" s="143">
        <v>39</v>
      </c>
      <c r="Z28" s="143">
        <v>40</v>
      </c>
      <c r="AA28" s="143">
        <v>40</v>
      </c>
      <c r="AB28" s="143">
        <v>41</v>
      </c>
      <c r="AC28" s="143">
        <v>41</v>
      </c>
      <c r="AD28" s="143">
        <v>42</v>
      </c>
      <c r="AE28" s="143">
        <v>43</v>
      </c>
      <c r="AF28" s="143">
        <v>43</v>
      </c>
      <c r="AG28" s="143">
        <v>45</v>
      </c>
      <c r="AH28" s="143">
        <v>44</v>
      </c>
      <c r="AI28" s="143">
        <v>43</v>
      </c>
      <c r="AJ28" s="143">
        <v>43</v>
      </c>
      <c r="AK28" s="143">
        <v>43</v>
      </c>
      <c r="AL28" s="143">
        <v>43</v>
      </c>
      <c r="AM28" s="143">
        <v>43</v>
      </c>
      <c r="AN28" s="143">
        <v>44</v>
      </c>
      <c r="AO28" s="143">
        <v>43</v>
      </c>
      <c r="AP28" s="143">
        <v>42</v>
      </c>
      <c r="AQ28" s="143">
        <v>42</v>
      </c>
      <c r="AR28" s="143">
        <v>41</v>
      </c>
      <c r="AS28" s="143">
        <v>42</v>
      </c>
      <c r="AT28" s="143">
        <v>41</v>
      </c>
      <c r="AU28" s="143">
        <v>40</v>
      </c>
      <c r="AV28" s="143">
        <v>41</v>
      </c>
      <c r="AW28" s="143">
        <v>42</v>
      </c>
      <c r="AX28" s="143">
        <v>44</v>
      </c>
      <c r="AY28" s="143">
        <v>45</v>
      </c>
      <c r="AZ28" s="143">
        <v>45</v>
      </c>
      <c r="BA28" s="143">
        <v>58</v>
      </c>
      <c r="BB28" s="143">
        <v>54</v>
      </c>
      <c r="BC28" s="143">
        <v>42</v>
      </c>
      <c r="BD28" s="143">
        <v>41</v>
      </c>
      <c r="BE28" s="143">
        <v>47</v>
      </c>
      <c r="BF28" s="143">
        <v>53</v>
      </c>
      <c r="BG28" s="143">
        <v>58</v>
      </c>
      <c r="BH28" s="143">
        <v>51</v>
      </c>
      <c r="BI28" s="143">
        <v>61</v>
      </c>
      <c r="BJ28" s="143">
        <v>65</v>
      </c>
      <c r="BK28" s="143">
        <v>49</v>
      </c>
      <c r="BL28" s="143">
        <v>54</v>
      </c>
      <c r="BM28" s="143">
        <v>57</v>
      </c>
      <c r="BN28" s="143">
        <v>65</v>
      </c>
      <c r="BO28" s="143">
        <v>67</v>
      </c>
      <c r="BP28" s="143">
        <v>66</v>
      </c>
      <c r="BQ28" s="143">
        <v>64</v>
      </c>
      <c r="BR28" s="143">
        <v>60</v>
      </c>
      <c r="BS28" s="143">
        <v>74</v>
      </c>
      <c r="BT28" s="143">
        <v>76</v>
      </c>
      <c r="BU28" s="143">
        <v>92</v>
      </c>
      <c r="BV28" s="143">
        <v>76</v>
      </c>
      <c r="BW28" s="143">
        <v>85</v>
      </c>
      <c r="BX28" s="143">
        <v>88</v>
      </c>
      <c r="BY28" s="143">
        <v>93</v>
      </c>
      <c r="BZ28" s="143">
        <v>96</v>
      </c>
      <c r="CA28" s="143">
        <v>107</v>
      </c>
      <c r="CB28" s="143">
        <v>106</v>
      </c>
      <c r="CC28" s="143">
        <v>100</v>
      </c>
      <c r="CD28" s="143">
        <v>103</v>
      </c>
      <c r="CE28" s="143">
        <v>104</v>
      </c>
      <c r="CF28" s="68"/>
      <c r="CG28" s="142"/>
      <c r="CH28" s="68"/>
      <c r="CI28" s="68"/>
      <c r="CJ28" s="68"/>
      <c r="CK28" s="68"/>
    </row>
    <row r="29" spans="1:89" ht="14.25" customHeight="1" x14ac:dyDescent="0.75">
      <c r="A29" s="64"/>
      <c r="B29" s="81" t="s">
        <v>262</v>
      </c>
      <c r="C29" s="82" t="s">
        <v>263</v>
      </c>
      <c r="D29" s="83">
        <v>100</v>
      </c>
      <c r="E29" s="83">
        <v>34</v>
      </c>
      <c r="F29" s="83">
        <v>33</v>
      </c>
      <c r="G29" s="83">
        <v>33</v>
      </c>
      <c r="H29" s="83">
        <v>34</v>
      </c>
      <c r="I29" s="83">
        <v>37</v>
      </c>
      <c r="J29" s="83">
        <v>39</v>
      </c>
      <c r="K29" s="83">
        <v>39</v>
      </c>
      <c r="L29" s="83">
        <v>40</v>
      </c>
      <c r="M29" s="83">
        <v>42</v>
      </c>
      <c r="N29" s="83">
        <v>43</v>
      </c>
      <c r="O29" s="83">
        <v>46</v>
      </c>
      <c r="P29" s="83">
        <v>46</v>
      </c>
      <c r="Q29" s="83">
        <v>47</v>
      </c>
      <c r="R29" s="83">
        <v>47</v>
      </c>
      <c r="S29" s="83">
        <v>49</v>
      </c>
      <c r="T29" s="83">
        <v>49</v>
      </c>
      <c r="U29" s="83">
        <v>49</v>
      </c>
      <c r="V29" s="83">
        <v>49</v>
      </c>
      <c r="W29" s="83">
        <v>49</v>
      </c>
      <c r="X29" s="83">
        <v>48</v>
      </c>
      <c r="Y29" s="83">
        <v>49</v>
      </c>
      <c r="Z29" s="83">
        <v>51</v>
      </c>
      <c r="AA29" s="83">
        <v>51</v>
      </c>
      <c r="AB29" s="83">
        <v>51</v>
      </c>
      <c r="AC29" s="83">
        <v>52</v>
      </c>
      <c r="AD29" s="83">
        <v>53</v>
      </c>
      <c r="AE29" s="83">
        <v>52</v>
      </c>
      <c r="AF29" s="83">
        <v>53</v>
      </c>
      <c r="AG29" s="83">
        <v>54</v>
      </c>
      <c r="AH29" s="83">
        <v>54</v>
      </c>
      <c r="AI29" s="83">
        <v>55</v>
      </c>
      <c r="AJ29" s="83">
        <v>55</v>
      </c>
      <c r="AK29" s="83">
        <v>56</v>
      </c>
      <c r="AL29" s="83">
        <v>56</v>
      </c>
      <c r="AM29" s="83">
        <v>56</v>
      </c>
      <c r="AN29" s="83">
        <v>56</v>
      </c>
      <c r="AO29" s="83">
        <v>56</v>
      </c>
      <c r="AP29" s="83">
        <v>55</v>
      </c>
      <c r="AQ29" s="83">
        <v>56</v>
      </c>
      <c r="AR29" s="83">
        <v>56</v>
      </c>
      <c r="AS29" s="83">
        <v>56</v>
      </c>
      <c r="AT29" s="83">
        <v>57</v>
      </c>
      <c r="AU29" s="83">
        <v>58</v>
      </c>
      <c r="AV29" s="83">
        <v>59</v>
      </c>
      <c r="AW29" s="83">
        <v>59</v>
      </c>
      <c r="AX29" s="83">
        <v>59</v>
      </c>
      <c r="AY29" s="83">
        <v>60</v>
      </c>
      <c r="AZ29" s="83">
        <v>60</v>
      </c>
      <c r="BA29" s="83">
        <v>60</v>
      </c>
      <c r="BB29" s="83">
        <v>62</v>
      </c>
      <c r="BC29" s="83">
        <v>63</v>
      </c>
      <c r="BD29" s="83">
        <v>63</v>
      </c>
      <c r="BE29" s="83">
        <v>65</v>
      </c>
      <c r="BF29" s="83">
        <v>66</v>
      </c>
      <c r="BG29" s="83">
        <v>65</v>
      </c>
      <c r="BH29" s="83">
        <v>66</v>
      </c>
      <c r="BI29" s="83">
        <v>64</v>
      </c>
      <c r="BJ29" s="83">
        <v>72</v>
      </c>
      <c r="BK29" s="83">
        <v>71</v>
      </c>
      <c r="BL29" s="83">
        <v>72</v>
      </c>
      <c r="BM29" s="83">
        <v>71</v>
      </c>
      <c r="BN29" s="83">
        <v>72</v>
      </c>
      <c r="BO29" s="83">
        <v>76</v>
      </c>
      <c r="BP29" s="83">
        <v>76</v>
      </c>
      <c r="BQ29" s="83">
        <v>79</v>
      </c>
      <c r="BR29" s="83">
        <v>81</v>
      </c>
      <c r="BS29" s="83">
        <v>86</v>
      </c>
      <c r="BT29" s="83">
        <v>90</v>
      </c>
      <c r="BU29" s="83">
        <v>88</v>
      </c>
      <c r="BV29" s="83">
        <v>89</v>
      </c>
      <c r="BW29" s="83">
        <v>90</v>
      </c>
      <c r="BX29" s="83">
        <v>93</v>
      </c>
      <c r="BY29" s="83">
        <v>93</v>
      </c>
      <c r="BZ29" s="83">
        <v>98</v>
      </c>
      <c r="CA29" s="83">
        <v>102</v>
      </c>
      <c r="CB29" s="83">
        <v>107</v>
      </c>
      <c r="CC29" s="83">
        <v>103</v>
      </c>
      <c r="CD29" s="83">
        <v>104</v>
      </c>
      <c r="CE29" s="83">
        <v>110</v>
      </c>
      <c r="CF29" s="68"/>
      <c r="CG29" s="142"/>
      <c r="CH29" s="68"/>
      <c r="CI29" s="68"/>
      <c r="CJ29" s="68"/>
      <c r="CK29" s="68"/>
    </row>
    <row r="30" spans="1:89" ht="14.25" customHeight="1" x14ac:dyDescent="0.75">
      <c r="A30" s="64"/>
      <c r="B30" s="81" t="s">
        <v>264</v>
      </c>
      <c r="C30" s="82" t="s">
        <v>265</v>
      </c>
      <c r="D30" s="83">
        <v>100</v>
      </c>
      <c r="E30" s="83">
        <v>30</v>
      </c>
      <c r="F30" s="83">
        <v>30</v>
      </c>
      <c r="G30" s="83">
        <v>30</v>
      </c>
      <c r="H30" s="83">
        <v>32</v>
      </c>
      <c r="I30" s="83">
        <v>32</v>
      </c>
      <c r="J30" s="83">
        <v>32</v>
      </c>
      <c r="K30" s="83">
        <v>34</v>
      </c>
      <c r="L30" s="83">
        <v>36</v>
      </c>
      <c r="M30" s="83">
        <v>37</v>
      </c>
      <c r="N30" s="83">
        <v>39</v>
      </c>
      <c r="O30" s="83">
        <v>43</v>
      </c>
      <c r="P30" s="83">
        <v>41</v>
      </c>
      <c r="Q30" s="83">
        <v>42</v>
      </c>
      <c r="R30" s="83">
        <v>41</v>
      </c>
      <c r="S30" s="83">
        <v>43</v>
      </c>
      <c r="T30" s="83">
        <v>44</v>
      </c>
      <c r="U30" s="83">
        <v>45</v>
      </c>
      <c r="V30" s="83">
        <v>44</v>
      </c>
      <c r="W30" s="83">
        <v>45</v>
      </c>
      <c r="X30" s="83">
        <v>45</v>
      </c>
      <c r="Y30" s="83">
        <v>46</v>
      </c>
      <c r="Z30" s="83">
        <v>47</v>
      </c>
      <c r="AA30" s="83">
        <v>48</v>
      </c>
      <c r="AB30" s="83">
        <v>48</v>
      </c>
      <c r="AC30" s="83">
        <v>48</v>
      </c>
      <c r="AD30" s="83">
        <v>48</v>
      </c>
      <c r="AE30" s="83">
        <v>50</v>
      </c>
      <c r="AF30" s="83">
        <v>51</v>
      </c>
      <c r="AG30" s="83">
        <v>50</v>
      </c>
      <c r="AH30" s="83">
        <v>50</v>
      </c>
      <c r="AI30" s="83">
        <v>50</v>
      </c>
      <c r="AJ30" s="83">
        <v>51</v>
      </c>
      <c r="AK30" s="83">
        <v>51</v>
      </c>
      <c r="AL30" s="83">
        <v>51</v>
      </c>
      <c r="AM30" s="83">
        <v>50</v>
      </c>
      <c r="AN30" s="83">
        <v>51</v>
      </c>
      <c r="AO30" s="83">
        <v>50</v>
      </c>
      <c r="AP30" s="83">
        <v>50</v>
      </c>
      <c r="AQ30" s="83">
        <v>49</v>
      </c>
      <c r="AR30" s="83">
        <v>50</v>
      </c>
      <c r="AS30" s="83">
        <v>49</v>
      </c>
      <c r="AT30" s="83">
        <v>50</v>
      </c>
      <c r="AU30" s="83">
        <v>51</v>
      </c>
      <c r="AV30" s="83">
        <v>52</v>
      </c>
      <c r="AW30" s="83">
        <v>52</v>
      </c>
      <c r="AX30" s="83">
        <v>51</v>
      </c>
      <c r="AY30" s="83">
        <v>53</v>
      </c>
      <c r="AZ30" s="83">
        <v>54</v>
      </c>
      <c r="BA30" s="83">
        <v>52</v>
      </c>
      <c r="BB30" s="83">
        <v>56</v>
      </c>
      <c r="BC30" s="83">
        <v>55</v>
      </c>
      <c r="BD30" s="83">
        <v>56</v>
      </c>
      <c r="BE30" s="83">
        <v>57</v>
      </c>
      <c r="BF30" s="83">
        <v>56</v>
      </c>
      <c r="BG30" s="83">
        <v>54</v>
      </c>
      <c r="BH30" s="83">
        <v>57</v>
      </c>
      <c r="BI30" s="83">
        <v>55</v>
      </c>
      <c r="BJ30" s="83">
        <v>69</v>
      </c>
      <c r="BK30" s="83">
        <v>59</v>
      </c>
      <c r="BL30" s="83">
        <v>69</v>
      </c>
      <c r="BM30" s="83">
        <v>65</v>
      </c>
      <c r="BN30" s="83">
        <v>63</v>
      </c>
      <c r="BO30" s="83">
        <v>72</v>
      </c>
      <c r="BP30" s="83">
        <v>69</v>
      </c>
      <c r="BQ30" s="83">
        <v>74</v>
      </c>
      <c r="BR30" s="83">
        <v>75</v>
      </c>
      <c r="BS30" s="83">
        <v>82</v>
      </c>
      <c r="BT30" s="83">
        <v>84</v>
      </c>
      <c r="BU30" s="83">
        <v>75</v>
      </c>
      <c r="BV30" s="83">
        <v>79</v>
      </c>
      <c r="BW30" s="83">
        <v>81</v>
      </c>
      <c r="BX30" s="83">
        <v>87</v>
      </c>
      <c r="BY30" s="83">
        <v>85</v>
      </c>
      <c r="BZ30" s="83">
        <v>98</v>
      </c>
      <c r="CA30" s="83">
        <v>104</v>
      </c>
      <c r="CB30" s="83">
        <v>111</v>
      </c>
      <c r="CC30" s="83">
        <v>104</v>
      </c>
      <c r="CD30" s="83">
        <v>106</v>
      </c>
      <c r="CE30" s="83">
        <v>110</v>
      </c>
      <c r="CF30" s="68"/>
      <c r="CG30" s="142"/>
      <c r="CH30" s="68"/>
      <c r="CI30" s="68"/>
      <c r="CJ30" s="68"/>
      <c r="CK30" s="68"/>
    </row>
    <row r="31" spans="1:89" ht="13.5" customHeight="1" x14ac:dyDescent="0.75">
      <c r="A31" s="68"/>
      <c r="B31" s="67" t="s">
        <v>266</v>
      </c>
      <c r="C31" s="66" t="s">
        <v>267</v>
      </c>
      <c r="D31" s="143">
        <v>100</v>
      </c>
      <c r="E31" s="143">
        <v>39</v>
      </c>
      <c r="F31" s="143">
        <v>39</v>
      </c>
      <c r="G31" s="143">
        <v>38</v>
      </c>
      <c r="H31" s="143">
        <v>40</v>
      </c>
      <c r="I31" s="143">
        <v>40</v>
      </c>
      <c r="J31" s="143">
        <v>41</v>
      </c>
      <c r="K31" s="143">
        <v>43</v>
      </c>
      <c r="L31" s="143">
        <v>47</v>
      </c>
      <c r="M31" s="143">
        <v>48</v>
      </c>
      <c r="N31" s="143">
        <v>52</v>
      </c>
      <c r="O31" s="143">
        <v>59</v>
      </c>
      <c r="P31" s="143">
        <v>54</v>
      </c>
      <c r="Q31" s="143">
        <v>56</v>
      </c>
      <c r="R31" s="143">
        <v>54</v>
      </c>
      <c r="S31" s="143">
        <v>57</v>
      </c>
      <c r="T31" s="143">
        <v>57</v>
      </c>
      <c r="U31" s="143">
        <v>59</v>
      </c>
      <c r="V31" s="143">
        <v>57</v>
      </c>
      <c r="W31" s="143">
        <v>59</v>
      </c>
      <c r="X31" s="143">
        <v>59</v>
      </c>
      <c r="Y31" s="143">
        <v>59</v>
      </c>
      <c r="Z31" s="143">
        <v>61</v>
      </c>
      <c r="AA31" s="143">
        <v>63</v>
      </c>
      <c r="AB31" s="143">
        <v>64</v>
      </c>
      <c r="AC31" s="143">
        <v>63</v>
      </c>
      <c r="AD31" s="143">
        <v>64</v>
      </c>
      <c r="AE31" s="143">
        <v>65</v>
      </c>
      <c r="AF31" s="143">
        <v>65</v>
      </c>
      <c r="AG31" s="143">
        <v>65</v>
      </c>
      <c r="AH31" s="143">
        <v>66</v>
      </c>
      <c r="AI31" s="143">
        <v>66</v>
      </c>
      <c r="AJ31" s="143">
        <v>66</v>
      </c>
      <c r="AK31" s="143">
        <v>66</v>
      </c>
      <c r="AL31" s="143">
        <v>66</v>
      </c>
      <c r="AM31" s="143">
        <v>66</v>
      </c>
      <c r="AN31" s="143">
        <v>66</v>
      </c>
      <c r="AO31" s="143">
        <v>66</v>
      </c>
      <c r="AP31" s="143">
        <v>67</v>
      </c>
      <c r="AQ31" s="143">
        <v>67</v>
      </c>
      <c r="AR31" s="143">
        <v>69</v>
      </c>
      <c r="AS31" s="143">
        <v>70</v>
      </c>
      <c r="AT31" s="143">
        <v>71</v>
      </c>
      <c r="AU31" s="143">
        <v>72</v>
      </c>
      <c r="AV31" s="143">
        <v>72</v>
      </c>
      <c r="AW31" s="143">
        <v>73</v>
      </c>
      <c r="AX31" s="143">
        <v>73</v>
      </c>
      <c r="AY31" s="143">
        <v>72</v>
      </c>
      <c r="AZ31" s="143">
        <v>73</v>
      </c>
      <c r="BA31" s="143">
        <v>95</v>
      </c>
      <c r="BB31" s="143">
        <v>97</v>
      </c>
      <c r="BC31" s="143">
        <v>79</v>
      </c>
      <c r="BD31" s="143">
        <v>49</v>
      </c>
      <c r="BE31" s="143">
        <v>54</v>
      </c>
      <c r="BF31" s="143">
        <v>76</v>
      </c>
      <c r="BG31" s="143">
        <v>95</v>
      </c>
      <c r="BH31" s="143">
        <v>123</v>
      </c>
      <c r="BI31" s="143">
        <v>74</v>
      </c>
      <c r="BJ31" s="143">
        <v>165</v>
      </c>
      <c r="BK31" s="143">
        <v>103</v>
      </c>
      <c r="BL31" s="143">
        <v>107</v>
      </c>
      <c r="BM31" s="143">
        <v>95</v>
      </c>
      <c r="BN31" s="143">
        <v>95</v>
      </c>
      <c r="BO31" s="143">
        <v>95</v>
      </c>
      <c r="BP31" s="143">
        <v>94</v>
      </c>
      <c r="BQ31" s="143">
        <v>95</v>
      </c>
      <c r="BR31" s="143">
        <v>98</v>
      </c>
      <c r="BS31" s="143">
        <v>100</v>
      </c>
      <c r="BT31" s="143">
        <v>100</v>
      </c>
      <c r="BU31" s="143">
        <v>99</v>
      </c>
      <c r="BV31" s="143">
        <v>97</v>
      </c>
      <c r="BW31" s="143">
        <v>95</v>
      </c>
      <c r="BX31" s="143">
        <v>93</v>
      </c>
      <c r="BY31" s="143">
        <v>93</v>
      </c>
      <c r="BZ31" s="143">
        <v>103</v>
      </c>
      <c r="CA31" s="143">
        <v>102</v>
      </c>
      <c r="CB31" s="143">
        <v>102</v>
      </c>
      <c r="CC31" s="143">
        <v>105</v>
      </c>
      <c r="CD31" s="143">
        <v>107</v>
      </c>
      <c r="CE31" s="143">
        <v>107</v>
      </c>
      <c r="CF31" s="68"/>
      <c r="CG31" s="142"/>
      <c r="CH31" s="68"/>
      <c r="CI31" s="68"/>
      <c r="CJ31" s="68"/>
      <c r="CK31" s="68"/>
    </row>
    <row r="32" spans="1:89" ht="13.5" customHeight="1" x14ac:dyDescent="0.75">
      <c r="A32" s="68"/>
      <c r="B32" s="67" t="s">
        <v>268</v>
      </c>
      <c r="C32" s="66" t="s">
        <v>269</v>
      </c>
      <c r="D32" s="143">
        <v>100</v>
      </c>
      <c r="E32" s="143">
        <v>38</v>
      </c>
      <c r="F32" s="143">
        <v>38</v>
      </c>
      <c r="G32" s="143">
        <v>37</v>
      </c>
      <c r="H32" s="143">
        <v>39</v>
      </c>
      <c r="I32" s="143">
        <v>39</v>
      </c>
      <c r="J32" s="143">
        <v>40</v>
      </c>
      <c r="K32" s="143">
        <v>42</v>
      </c>
      <c r="L32" s="143">
        <v>45</v>
      </c>
      <c r="M32" s="143">
        <v>47</v>
      </c>
      <c r="N32" s="143">
        <v>50</v>
      </c>
      <c r="O32" s="143">
        <v>57</v>
      </c>
      <c r="P32" s="143">
        <v>52</v>
      </c>
      <c r="Q32" s="143">
        <v>55</v>
      </c>
      <c r="R32" s="143">
        <v>53</v>
      </c>
      <c r="S32" s="143">
        <v>55</v>
      </c>
      <c r="T32" s="143">
        <v>56</v>
      </c>
      <c r="U32" s="143">
        <v>57</v>
      </c>
      <c r="V32" s="143">
        <v>55</v>
      </c>
      <c r="W32" s="143">
        <v>57</v>
      </c>
      <c r="X32" s="143">
        <v>57</v>
      </c>
      <c r="Y32" s="143">
        <v>58</v>
      </c>
      <c r="Z32" s="143">
        <v>60</v>
      </c>
      <c r="AA32" s="143">
        <v>60</v>
      </c>
      <c r="AB32" s="143">
        <v>60</v>
      </c>
      <c r="AC32" s="143">
        <v>61</v>
      </c>
      <c r="AD32" s="143">
        <v>60</v>
      </c>
      <c r="AE32" s="143">
        <v>63</v>
      </c>
      <c r="AF32" s="143">
        <v>64</v>
      </c>
      <c r="AG32" s="143">
        <v>63</v>
      </c>
      <c r="AH32" s="143">
        <v>62</v>
      </c>
      <c r="AI32" s="143">
        <v>62</v>
      </c>
      <c r="AJ32" s="143">
        <v>63</v>
      </c>
      <c r="AK32" s="143">
        <v>64</v>
      </c>
      <c r="AL32" s="143">
        <v>65</v>
      </c>
      <c r="AM32" s="143">
        <v>64</v>
      </c>
      <c r="AN32" s="143">
        <v>64</v>
      </c>
      <c r="AO32" s="143">
        <v>63</v>
      </c>
      <c r="AP32" s="143">
        <v>63</v>
      </c>
      <c r="AQ32" s="143">
        <v>61</v>
      </c>
      <c r="AR32" s="143">
        <v>61</v>
      </c>
      <c r="AS32" s="143">
        <v>62</v>
      </c>
      <c r="AT32" s="143">
        <v>61</v>
      </c>
      <c r="AU32" s="143">
        <v>62</v>
      </c>
      <c r="AV32" s="143">
        <v>63</v>
      </c>
      <c r="AW32" s="143">
        <v>64</v>
      </c>
      <c r="AX32" s="143">
        <v>64</v>
      </c>
      <c r="AY32" s="143">
        <v>65</v>
      </c>
      <c r="AZ32" s="143">
        <v>67</v>
      </c>
      <c r="BA32" s="143">
        <v>59</v>
      </c>
      <c r="BB32" s="143">
        <v>63</v>
      </c>
      <c r="BC32" s="143">
        <v>64</v>
      </c>
      <c r="BD32" s="143">
        <v>65</v>
      </c>
      <c r="BE32" s="143">
        <v>63</v>
      </c>
      <c r="BF32" s="143">
        <v>62</v>
      </c>
      <c r="BG32" s="143">
        <v>54</v>
      </c>
      <c r="BH32" s="143">
        <v>55</v>
      </c>
      <c r="BI32" s="143">
        <v>51</v>
      </c>
      <c r="BJ32" s="143">
        <v>66</v>
      </c>
      <c r="BK32" s="143">
        <v>54</v>
      </c>
      <c r="BL32" s="143">
        <v>65</v>
      </c>
      <c r="BM32" s="143">
        <v>61</v>
      </c>
      <c r="BN32" s="143">
        <v>60</v>
      </c>
      <c r="BO32" s="143">
        <v>78</v>
      </c>
      <c r="BP32" s="143">
        <v>71</v>
      </c>
      <c r="BQ32" s="143">
        <v>73</v>
      </c>
      <c r="BR32" s="143">
        <v>72</v>
      </c>
      <c r="BS32" s="143">
        <v>85</v>
      </c>
      <c r="BT32" s="143">
        <v>83</v>
      </c>
      <c r="BU32" s="143">
        <v>75</v>
      </c>
      <c r="BV32" s="143">
        <v>82</v>
      </c>
      <c r="BW32" s="143">
        <v>87</v>
      </c>
      <c r="BX32" s="143">
        <v>91</v>
      </c>
      <c r="BY32" s="143">
        <v>85</v>
      </c>
      <c r="BZ32" s="143">
        <v>99</v>
      </c>
      <c r="CA32" s="143">
        <v>103</v>
      </c>
      <c r="CB32" s="143">
        <v>111</v>
      </c>
      <c r="CC32" s="143">
        <v>101</v>
      </c>
      <c r="CD32" s="143">
        <v>104</v>
      </c>
      <c r="CE32" s="143">
        <v>106</v>
      </c>
      <c r="CF32" s="68"/>
      <c r="CG32" s="142"/>
      <c r="CH32" s="68"/>
      <c r="CI32" s="68"/>
      <c r="CJ32" s="68"/>
      <c r="CK32" s="68"/>
    </row>
    <row r="33" spans="1:89" ht="13.5" customHeight="1" x14ac:dyDescent="0.75">
      <c r="A33" s="68"/>
      <c r="B33" s="67" t="s">
        <v>270</v>
      </c>
      <c r="C33" s="66" t="s">
        <v>271</v>
      </c>
      <c r="D33" s="143">
        <v>100</v>
      </c>
      <c r="E33" s="143">
        <v>21</v>
      </c>
      <c r="F33" s="143">
        <v>21</v>
      </c>
      <c r="G33" s="143">
        <v>22</v>
      </c>
      <c r="H33" s="143">
        <v>23</v>
      </c>
      <c r="I33" s="143">
        <v>23</v>
      </c>
      <c r="J33" s="143">
        <v>24</v>
      </c>
      <c r="K33" s="143">
        <v>23</v>
      </c>
      <c r="L33" s="143">
        <v>24</v>
      </c>
      <c r="M33" s="143">
        <v>26</v>
      </c>
      <c r="N33" s="143">
        <v>26</v>
      </c>
      <c r="O33" s="143">
        <v>27</v>
      </c>
      <c r="P33" s="143">
        <v>26</v>
      </c>
      <c r="Q33" s="143">
        <v>26</v>
      </c>
      <c r="R33" s="143">
        <v>27</v>
      </c>
      <c r="S33" s="143">
        <v>28</v>
      </c>
      <c r="T33" s="143">
        <v>29</v>
      </c>
      <c r="U33" s="143">
        <v>29</v>
      </c>
      <c r="V33" s="143">
        <v>29</v>
      </c>
      <c r="W33" s="143">
        <v>29</v>
      </c>
      <c r="X33" s="143">
        <v>29</v>
      </c>
      <c r="Y33" s="143">
        <v>30</v>
      </c>
      <c r="Z33" s="143">
        <v>31</v>
      </c>
      <c r="AA33" s="143">
        <v>32</v>
      </c>
      <c r="AB33" s="143">
        <v>33</v>
      </c>
      <c r="AC33" s="143">
        <v>32</v>
      </c>
      <c r="AD33" s="143">
        <v>33</v>
      </c>
      <c r="AE33" s="143">
        <v>33</v>
      </c>
      <c r="AF33" s="143">
        <v>34</v>
      </c>
      <c r="AG33" s="143">
        <v>34</v>
      </c>
      <c r="AH33" s="143">
        <v>34</v>
      </c>
      <c r="AI33" s="143">
        <v>34</v>
      </c>
      <c r="AJ33" s="143">
        <v>34</v>
      </c>
      <c r="AK33" s="143">
        <v>34</v>
      </c>
      <c r="AL33" s="143">
        <v>33</v>
      </c>
      <c r="AM33" s="143">
        <v>33</v>
      </c>
      <c r="AN33" s="143">
        <v>34</v>
      </c>
      <c r="AO33" s="143">
        <v>33</v>
      </c>
      <c r="AP33" s="143">
        <v>33</v>
      </c>
      <c r="AQ33" s="143">
        <v>33</v>
      </c>
      <c r="AR33" s="143">
        <v>34</v>
      </c>
      <c r="AS33" s="143">
        <v>32</v>
      </c>
      <c r="AT33" s="143">
        <v>34</v>
      </c>
      <c r="AU33" s="143">
        <v>37</v>
      </c>
      <c r="AV33" s="143">
        <v>38</v>
      </c>
      <c r="AW33" s="143">
        <v>37</v>
      </c>
      <c r="AX33" s="143">
        <v>34</v>
      </c>
      <c r="AY33" s="143">
        <v>36</v>
      </c>
      <c r="AZ33" s="143">
        <v>38</v>
      </c>
      <c r="BA33" s="143">
        <v>39</v>
      </c>
      <c r="BB33" s="143">
        <v>42</v>
      </c>
      <c r="BC33" s="143">
        <v>42</v>
      </c>
      <c r="BD33" s="143">
        <v>44</v>
      </c>
      <c r="BE33" s="143">
        <v>46</v>
      </c>
      <c r="BF33" s="143">
        <v>47</v>
      </c>
      <c r="BG33" s="143">
        <v>48</v>
      </c>
      <c r="BH33" s="143">
        <v>52</v>
      </c>
      <c r="BI33" s="143">
        <v>54</v>
      </c>
      <c r="BJ33" s="143">
        <v>69</v>
      </c>
      <c r="BK33" s="143">
        <v>65</v>
      </c>
      <c r="BL33" s="143">
        <v>70</v>
      </c>
      <c r="BM33" s="143">
        <v>67</v>
      </c>
      <c r="BN33" s="143">
        <v>65</v>
      </c>
      <c r="BO33" s="143">
        <v>64</v>
      </c>
      <c r="BP33" s="143">
        <v>66</v>
      </c>
      <c r="BQ33" s="143">
        <v>73</v>
      </c>
      <c r="BR33" s="143">
        <v>76</v>
      </c>
      <c r="BS33" s="143">
        <v>78</v>
      </c>
      <c r="BT33" s="143">
        <v>83</v>
      </c>
      <c r="BU33" s="143">
        <v>73</v>
      </c>
      <c r="BV33" s="143">
        <v>74</v>
      </c>
      <c r="BW33" s="143">
        <v>74</v>
      </c>
      <c r="BX33" s="143">
        <v>82</v>
      </c>
      <c r="BY33" s="143">
        <v>85</v>
      </c>
      <c r="BZ33" s="143">
        <v>97</v>
      </c>
      <c r="CA33" s="143">
        <v>106</v>
      </c>
      <c r="CB33" s="143">
        <v>111</v>
      </c>
      <c r="CC33" s="143">
        <v>108</v>
      </c>
      <c r="CD33" s="143">
        <v>109</v>
      </c>
      <c r="CE33" s="143">
        <v>115</v>
      </c>
      <c r="CF33" s="68"/>
      <c r="CG33" s="142"/>
      <c r="CH33" s="68"/>
      <c r="CI33" s="68"/>
      <c r="CJ33" s="68"/>
      <c r="CK33" s="68"/>
    </row>
    <row r="34" spans="1:89" ht="14.25" customHeight="1" x14ac:dyDescent="0.75">
      <c r="A34" s="64"/>
      <c r="B34" s="81" t="s">
        <v>272</v>
      </c>
      <c r="C34" s="82" t="s">
        <v>273</v>
      </c>
      <c r="D34" s="83">
        <v>100</v>
      </c>
      <c r="E34" s="83">
        <v>34</v>
      </c>
      <c r="F34" s="83">
        <v>34</v>
      </c>
      <c r="G34" s="83">
        <v>34</v>
      </c>
      <c r="H34" s="83">
        <v>35</v>
      </c>
      <c r="I34" s="83">
        <v>39</v>
      </c>
      <c r="J34" s="83">
        <v>41</v>
      </c>
      <c r="K34" s="83">
        <v>41</v>
      </c>
      <c r="L34" s="83">
        <v>41</v>
      </c>
      <c r="M34" s="83">
        <v>43</v>
      </c>
      <c r="N34" s="83">
        <v>45</v>
      </c>
      <c r="O34" s="83">
        <v>48</v>
      </c>
      <c r="P34" s="83">
        <v>49</v>
      </c>
      <c r="Q34" s="83">
        <v>49</v>
      </c>
      <c r="R34" s="83">
        <v>50</v>
      </c>
      <c r="S34" s="83">
        <v>51</v>
      </c>
      <c r="T34" s="83">
        <v>51</v>
      </c>
      <c r="U34" s="83">
        <v>51</v>
      </c>
      <c r="V34" s="83">
        <v>51</v>
      </c>
      <c r="W34" s="83">
        <v>52</v>
      </c>
      <c r="X34" s="83">
        <v>50</v>
      </c>
      <c r="Y34" s="83">
        <v>50</v>
      </c>
      <c r="Z34" s="83">
        <v>52</v>
      </c>
      <c r="AA34" s="83">
        <v>52</v>
      </c>
      <c r="AB34" s="83">
        <v>52</v>
      </c>
      <c r="AC34" s="83">
        <v>53</v>
      </c>
      <c r="AD34" s="83">
        <v>54</v>
      </c>
      <c r="AE34" s="83">
        <v>54</v>
      </c>
      <c r="AF34" s="83">
        <v>54</v>
      </c>
      <c r="AG34" s="83">
        <v>56</v>
      </c>
      <c r="AH34" s="83">
        <v>56</v>
      </c>
      <c r="AI34" s="83">
        <v>57</v>
      </c>
      <c r="AJ34" s="83">
        <v>58</v>
      </c>
      <c r="AK34" s="83">
        <v>58</v>
      </c>
      <c r="AL34" s="83">
        <v>58</v>
      </c>
      <c r="AM34" s="83">
        <v>59</v>
      </c>
      <c r="AN34" s="83">
        <v>59</v>
      </c>
      <c r="AO34" s="83">
        <v>59</v>
      </c>
      <c r="AP34" s="83">
        <v>58</v>
      </c>
      <c r="AQ34" s="83">
        <v>60</v>
      </c>
      <c r="AR34" s="83">
        <v>59</v>
      </c>
      <c r="AS34" s="83">
        <v>60</v>
      </c>
      <c r="AT34" s="83">
        <v>61</v>
      </c>
      <c r="AU34" s="83">
        <v>61</v>
      </c>
      <c r="AV34" s="83">
        <v>62</v>
      </c>
      <c r="AW34" s="83">
        <v>62</v>
      </c>
      <c r="AX34" s="83">
        <v>63</v>
      </c>
      <c r="AY34" s="83">
        <v>63</v>
      </c>
      <c r="AZ34" s="83">
        <v>63</v>
      </c>
      <c r="BA34" s="83">
        <v>65</v>
      </c>
      <c r="BB34" s="83">
        <v>66</v>
      </c>
      <c r="BC34" s="83">
        <v>67</v>
      </c>
      <c r="BD34" s="83">
        <v>67</v>
      </c>
      <c r="BE34" s="83">
        <v>69</v>
      </c>
      <c r="BF34" s="83">
        <v>71</v>
      </c>
      <c r="BG34" s="83">
        <v>70</v>
      </c>
      <c r="BH34" s="83">
        <v>71</v>
      </c>
      <c r="BI34" s="83">
        <v>69</v>
      </c>
      <c r="BJ34" s="83">
        <v>74</v>
      </c>
      <c r="BK34" s="83">
        <v>76</v>
      </c>
      <c r="BL34" s="83">
        <v>73</v>
      </c>
      <c r="BM34" s="83">
        <v>74</v>
      </c>
      <c r="BN34" s="83">
        <v>77</v>
      </c>
      <c r="BO34" s="83">
        <v>78</v>
      </c>
      <c r="BP34" s="83">
        <v>79</v>
      </c>
      <c r="BQ34" s="83">
        <v>81</v>
      </c>
      <c r="BR34" s="83">
        <v>84</v>
      </c>
      <c r="BS34" s="83">
        <v>88</v>
      </c>
      <c r="BT34" s="83">
        <v>93</v>
      </c>
      <c r="BU34" s="83">
        <v>96</v>
      </c>
      <c r="BV34" s="83">
        <v>95</v>
      </c>
      <c r="BW34" s="83">
        <v>95</v>
      </c>
      <c r="BX34" s="83">
        <v>97</v>
      </c>
      <c r="BY34" s="83">
        <v>97</v>
      </c>
      <c r="BZ34" s="83">
        <v>97</v>
      </c>
      <c r="CA34" s="83">
        <v>100</v>
      </c>
      <c r="CB34" s="83">
        <v>105</v>
      </c>
      <c r="CC34" s="83">
        <v>103</v>
      </c>
      <c r="CD34" s="83">
        <v>103</v>
      </c>
      <c r="CE34" s="83">
        <v>109</v>
      </c>
      <c r="CF34" s="68"/>
      <c r="CG34" s="142"/>
      <c r="CH34" s="68"/>
      <c r="CI34" s="68"/>
      <c r="CJ34" s="68"/>
      <c r="CK34" s="68"/>
    </row>
    <row r="35" spans="1:89" ht="13.5" customHeight="1" x14ac:dyDescent="0.75">
      <c r="A35" s="68"/>
      <c r="B35" s="67" t="s">
        <v>274</v>
      </c>
      <c r="C35" s="66" t="s">
        <v>275</v>
      </c>
      <c r="D35" s="143">
        <v>100</v>
      </c>
      <c r="E35" s="143">
        <v>17</v>
      </c>
      <c r="F35" s="143">
        <v>17</v>
      </c>
      <c r="G35" s="143">
        <v>18</v>
      </c>
      <c r="H35" s="143">
        <v>18</v>
      </c>
      <c r="I35" s="143">
        <v>19</v>
      </c>
      <c r="J35" s="143">
        <v>21</v>
      </c>
      <c r="K35" s="143">
        <v>21</v>
      </c>
      <c r="L35" s="143">
        <v>21</v>
      </c>
      <c r="M35" s="143">
        <v>22</v>
      </c>
      <c r="N35" s="143">
        <v>23</v>
      </c>
      <c r="O35" s="143">
        <v>24</v>
      </c>
      <c r="P35" s="143">
        <v>25</v>
      </c>
      <c r="Q35" s="143">
        <v>26</v>
      </c>
      <c r="R35" s="143">
        <v>26</v>
      </c>
      <c r="S35" s="143">
        <v>26</v>
      </c>
      <c r="T35" s="143">
        <v>27</v>
      </c>
      <c r="U35" s="143">
        <v>27</v>
      </c>
      <c r="V35" s="143">
        <v>27</v>
      </c>
      <c r="W35" s="143">
        <v>27</v>
      </c>
      <c r="X35" s="143">
        <v>27</v>
      </c>
      <c r="Y35" s="143">
        <v>28</v>
      </c>
      <c r="Z35" s="143">
        <v>28</v>
      </c>
      <c r="AA35" s="143">
        <v>28</v>
      </c>
      <c r="AB35" s="143">
        <v>28</v>
      </c>
      <c r="AC35" s="143">
        <v>28</v>
      </c>
      <c r="AD35" s="143">
        <v>28</v>
      </c>
      <c r="AE35" s="143">
        <v>28</v>
      </c>
      <c r="AF35" s="143">
        <v>28</v>
      </c>
      <c r="AG35" s="143">
        <v>28</v>
      </c>
      <c r="AH35" s="143">
        <v>28</v>
      </c>
      <c r="AI35" s="143">
        <v>29</v>
      </c>
      <c r="AJ35" s="143">
        <v>29</v>
      </c>
      <c r="AK35" s="143">
        <v>30</v>
      </c>
      <c r="AL35" s="143">
        <v>30</v>
      </c>
      <c r="AM35" s="143">
        <v>30</v>
      </c>
      <c r="AN35" s="143">
        <v>30</v>
      </c>
      <c r="AO35" s="143">
        <v>31</v>
      </c>
      <c r="AP35" s="143">
        <v>31</v>
      </c>
      <c r="AQ35" s="143">
        <v>31</v>
      </c>
      <c r="AR35" s="143">
        <v>31</v>
      </c>
      <c r="AS35" s="143">
        <v>33</v>
      </c>
      <c r="AT35" s="143">
        <v>33</v>
      </c>
      <c r="AU35" s="143">
        <v>33</v>
      </c>
      <c r="AV35" s="143">
        <v>30</v>
      </c>
      <c r="AW35" s="143">
        <v>27</v>
      </c>
      <c r="AX35" s="143">
        <v>27</v>
      </c>
      <c r="AY35" s="143">
        <v>28</v>
      </c>
      <c r="AZ35" s="143">
        <v>27</v>
      </c>
      <c r="BA35" s="143">
        <v>31</v>
      </c>
      <c r="BB35" s="143">
        <v>31</v>
      </c>
      <c r="BC35" s="143">
        <v>33</v>
      </c>
      <c r="BD35" s="143">
        <v>35</v>
      </c>
      <c r="BE35" s="143">
        <v>37</v>
      </c>
      <c r="BF35" s="143">
        <v>38</v>
      </c>
      <c r="BG35" s="143">
        <v>38</v>
      </c>
      <c r="BH35" s="143">
        <v>36</v>
      </c>
      <c r="BI35" s="143">
        <v>29</v>
      </c>
      <c r="BJ35" s="143">
        <v>54</v>
      </c>
      <c r="BK35" s="143">
        <v>44</v>
      </c>
      <c r="BL35" s="143">
        <v>38</v>
      </c>
      <c r="BM35" s="143">
        <v>35</v>
      </c>
      <c r="BN35" s="143">
        <v>39</v>
      </c>
      <c r="BO35" s="143">
        <v>42</v>
      </c>
      <c r="BP35" s="143">
        <v>49</v>
      </c>
      <c r="BQ35" s="143">
        <v>57</v>
      </c>
      <c r="BR35" s="143">
        <v>69</v>
      </c>
      <c r="BS35" s="143">
        <v>74</v>
      </c>
      <c r="BT35" s="143">
        <v>73</v>
      </c>
      <c r="BU35" s="143">
        <v>68</v>
      </c>
      <c r="BV35" s="143">
        <v>67</v>
      </c>
      <c r="BW35" s="143">
        <v>68</v>
      </c>
      <c r="BX35" s="143">
        <v>74</v>
      </c>
      <c r="BY35" s="143">
        <v>86</v>
      </c>
      <c r="BZ35" s="143">
        <v>96</v>
      </c>
      <c r="CA35" s="143">
        <v>105</v>
      </c>
      <c r="CB35" s="143">
        <v>112</v>
      </c>
      <c r="CC35" s="143">
        <v>118</v>
      </c>
      <c r="CD35" s="143">
        <v>131</v>
      </c>
      <c r="CE35" s="143">
        <v>140</v>
      </c>
      <c r="CF35" s="68"/>
      <c r="CG35" s="142"/>
      <c r="CH35" s="68"/>
      <c r="CI35" s="68"/>
      <c r="CJ35" s="68"/>
      <c r="CK35" s="68"/>
    </row>
    <row r="36" spans="1:89" ht="13.5" customHeight="1" x14ac:dyDescent="0.75">
      <c r="A36" s="68"/>
      <c r="B36" s="67" t="s">
        <v>276</v>
      </c>
      <c r="C36" s="66" t="s">
        <v>277</v>
      </c>
      <c r="D36" s="143">
        <v>100</v>
      </c>
      <c r="E36" s="143">
        <v>102</v>
      </c>
      <c r="F36" s="143">
        <v>102</v>
      </c>
      <c r="G36" s="143">
        <v>103</v>
      </c>
      <c r="H36" s="143">
        <v>112</v>
      </c>
      <c r="I36" s="143">
        <v>113</v>
      </c>
      <c r="J36" s="143">
        <v>115</v>
      </c>
      <c r="K36" s="143">
        <v>115</v>
      </c>
      <c r="L36" s="143">
        <v>118</v>
      </c>
      <c r="M36" s="143">
        <v>123</v>
      </c>
      <c r="N36" s="143">
        <v>125</v>
      </c>
      <c r="O36" s="143">
        <v>130</v>
      </c>
      <c r="P36" s="143">
        <v>126</v>
      </c>
      <c r="Q36" s="143">
        <v>126</v>
      </c>
      <c r="R36" s="143">
        <v>129</v>
      </c>
      <c r="S36" s="143">
        <v>137</v>
      </c>
      <c r="T36" s="143">
        <v>138</v>
      </c>
      <c r="U36" s="143">
        <v>139</v>
      </c>
      <c r="V36" s="143">
        <v>140</v>
      </c>
      <c r="W36" s="143">
        <v>141</v>
      </c>
      <c r="X36" s="143">
        <v>142</v>
      </c>
      <c r="Y36" s="143">
        <v>154</v>
      </c>
      <c r="Z36" s="143">
        <v>155</v>
      </c>
      <c r="AA36" s="143">
        <v>151</v>
      </c>
      <c r="AB36" s="143">
        <v>142</v>
      </c>
      <c r="AC36" s="143">
        <v>143</v>
      </c>
      <c r="AD36" s="143">
        <v>144</v>
      </c>
      <c r="AE36" s="143">
        <v>143</v>
      </c>
      <c r="AF36" s="143">
        <v>141</v>
      </c>
      <c r="AG36" s="143">
        <v>140</v>
      </c>
      <c r="AH36" s="143">
        <v>139</v>
      </c>
      <c r="AI36" s="143">
        <v>143</v>
      </c>
      <c r="AJ36" s="143">
        <v>142</v>
      </c>
      <c r="AK36" s="143">
        <v>140</v>
      </c>
      <c r="AL36" s="143">
        <v>143</v>
      </c>
      <c r="AM36" s="143">
        <v>149</v>
      </c>
      <c r="AN36" s="143">
        <v>153</v>
      </c>
      <c r="AO36" s="143">
        <v>151</v>
      </c>
      <c r="AP36" s="143">
        <v>141</v>
      </c>
      <c r="AQ36" s="143">
        <v>141</v>
      </c>
      <c r="AR36" s="143">
        <v>138</v>
      </c>
      <c r="AS36" s="143">
        <v>139</v>
      </c>
      <c r="AT36" s="143">
        <v>137</v>
      </c>
      <c r="AU36" s="143">
        <v>132</v>
      </c>
      <c r="AV36" s="143">
        <v>128</v>
      </c>
      <c r="AW36" s="143">
        <v>131</v>
      </c>
      <c r="AX36" s="143">
        <v>124</v>
      </c>
      <c r="AY36" s="143">
        <v>106</v>
      </c>
      <c r="AZ36" s="143">
        <v>112</v>
      </c>
      <c r="BA36" s="143">
        <v>123</v>
      </c>
      <c r="BB36" s="143">
        <v>120</v>
      </c>
      <c r="BC36" s="143">
        <v>108</v>
      </c>
      <c r="BD36" s="143">
        <v>116</v>
      </c>
      <c r="BE36" s="143">
        <v>140</v>
      </c>
      <c r="BF36" s="143">
        <v>149</v>
      </c>
      <c r="BG36" s="143">
        <v>152</v>
      </c>
      <c r="BH36" s="143">
        <v>141</v>
      </c>
      <c r="BI36" s="143">
        <v>126</v>
      </c>
      <c r="BJ36" s="143">
        <v>118</v>
      </c>
      <c r="BK36" s="143">
        <v>126</v>
      </c>
      <c r="BL36" s="143">
        <v>130</v>
      </c>
      <c r="BM36" s="143">
        <v>123</v>
      </c>
      <c r="BN36" s="143">
        <v>124</v>
      </c>
      <c r="BO36" s="143">
        <v>114</v>
      </c>
      <c r="BP36" s="143">
        <v>118</v>
      </c>
      <c r="BQ36" s="143">
        <v>102</v>
      </c>
      <c r="BR36" s="143">
        <v>99</v>
      </c>
      <c r="BS36" s="143">
        <v>90</v>
      </c>
      <c r="BT36" s="143">
        <v>102</v>
      </c>
      <c r="BU36" s="143">
        <v>96</v>
      </c>
      <c r="BV36" s="143">
        <v>88</v>
      </c>
      <c r="BW36" s="143">
        <v>91</v>
      </c>
      <c r="BX36" s="143">
        <v>102</v>
      </c>
      <c r="BY36" s="143">
        <v>92</v>
      </c>
      <c r="BZ36" s="143">
        <v>96</v>
      </c>
      <c r="CA36" s="143">
        <v>100</v>
      </c>
      <c r="CB36" s="143">
        <v>110</v>
      </c>
      <c r="CC36" s="143">
        <v>91</v>
      </c>
      <c r="CD36" s="143">
        <v>83</v>
      </c>
      <c r="CE36" s="143">
        <v>89</v>
      </c>
      <c r="CF36" s="68"/>
      <c r="CG36" s="142"/>
      <c r="CH36" s="68"/>
      <c r="CI36" s="68"/>
      <c r="CJ36" s="68"/>
      <c r="CK36" s="68"/>
    </row>
    <row r="37" spans="1:89" ht="13.5" customHeight="1" x14ac:dyDescent="0.75">
      <c r="A37" s="68"/>
      <c r="B37" s="67" t="s">
        <v>278</v>
      </c>
      <c r="C37" s="66" t="s">
        <v>279</v>
      </c>
      <c r="D37" s="143">
        <v>100</v>
      </c>
      <c r="E37" s="143">
        <v>33</v>
      </c>
      <c r="F37" s="143">
        <v>37</v>
      </c>
      <c r="G37" s="143">
        <v>36</v>
      </c>
      <c r="H37" s="143">
        <v>35</v>
      </c>
      <c r="I37" s="143">
        <v>38</v>
      </c>
      <c r="J37" s="143">
        <v>40</v>
      </c>
      <c r="K37" s="143">
        <v>38</v>
      </c>
      <c r="L37" s="143">
        <v>36</v>
      </c>
      <c r="M37" s="143">
        <v>36</v>
      </c>
      <c r="N37" s="143">
        <v>43</v>
      </c>
      <c r="O37" s="143">
        <v>43</v>
      </c>
      <c r="P37" s="143">
        <v>42</v>
      </c>
      <c r="Q37" s="143">
        <v>45</v>
      </c>
      <c r="R37" s="143">
        <v>43</v>
      </c>
      <c r="S37" s="143">
        <v>43</v>
      </c>
      <c r="T37" s="143">
        <v>41</v>
      </c>
      <c r="U37" s="143">
        <v>45</v>
      </c>
      <c r="V37" s="143">
        <v>46</v>
      </c>
      <c r="W37" s="143">
        <v>46</v>
      </c>
      <c r="X37" s="143">
        <v>40</v>
      </c>
      <c r="Y37" s="143">
        <v>43</v>
      </c>
      <c r="Z37" s="143">
        <v>53</v>
      </c>
      <c r="AA37" s="143">
        <v>44</v>
      </c>
      <c r="AB37" s="143">
        <v>44</v>
      </c>
      <c r="AC37" s="143">
        <v>52</v>
      </c>
      <c r="AD37" s="143">
        <v>55</v>
      </c>
      <c r="AE37" s="143">
        <v>52</v>
      </c>
      <c r="AF37" s="143">
        <v>50</v>
      </c>
      <c r="AG37" s="143">
        <v>58</v>
      </c>
      <c r="AH37" s="143">
        <v>53</v>
      </c>
      <c r="AI37" s="143">
        <v>54</v>
      </c>
      <c r="AJ37" s="143">
        <v>62</v>
      </c>
      <c r="AK37" s="143">
        <v>53</v>
      </c>
      <c r="AL37" s="143">
        <v>54</v>
      </c>
      <c r="AM37" s="143">
        <v>54</v>
      </c>
      <c r="AN37" s="143">
        <v>60</v>
      </c>
      <c r="AO37" s="143">
        <v>55</v>
      </c>
      <c r="AP37" s="143">
        <v>54</v>
      </c>
      <c r="AQ37" s="143">
        <v>55</v>
      </c>
      <c r="AR37" s="143">
        <v>52</v>
      </c>
      <c r="AS37" s="143">
        <v>54</v>
      </c>
      <c r="AT37" s="143">
        <v>49</v>
      </c>
      <c r="AU37" s="143">
        <v>56</v>
      </c>
      <c r="AV37" s="143">
        <v>57</v>
      </c>
      <c r="AW37" s="143">
        <v>59</v>
      </c>
      <c r="AX37" s="143">
        <v>57</v>
      </c>
      <c r="AY37" s="143">
        <v>63</v>
      </c>
      <c r="AZ37" s="143">
        <v>57</v>
      </c>
      <c r="BA37" s="143">
        <v>55</v>
      </c>
      <c r="BB37" s="143">
        <v>55</v>
      </c>
      <c r="BC37" s="143">
        <v>67</v>
      </c>
      <c r="BD37" s="143">
        <v>65</v>
      </c>
      <c r="BE37" s="143">
        <v>67</v>
      </c>
      <c r="BF37" s="143">
        <v>69</v>
      </c>
      <c r="BG37" s="143">
        <v>59</v>
      </c>
      <c r="BH37" s="143">
        <v>63</v>
      </c>
      <c r="BI37" s="143">
        <v>69</v>
      </c>
      <c r="BJ37" s="143">
        <v>66</v>
      </c>
      <c r="BK37" s="143">
        <v>74</v>
      </c>
      <c r="BL37" s="143">
        <v>62</v>
      </c>
      <c r="BM37" s="143">
        <v>79</v>
      </c>
      <c r="BN37" s="143">
        <v>83</v>
      </c>
      <c r="BO37" s="143">
        <v>84</v>
      </c>
      <c r="BP37" s="143">
        <v>89</v>
      </c>
      <c r="BQ37" s="143">
        <v>94</v>
      </c>
      <c r="BR37" s="143">
        <v>100</v>
      </c>
      <c r="BS37" s="143">
        <v>107</v>
      </c>
      <c r="BT37" s="143">
        <v>114</v>
      </c>
      <c r="BU37" s="143">
        <v>117</v>
      </c>
      <c r="BV37" s="143">
        <v>133</v>
      </c>
      <c r="BW37" s="143">
        <v>108</v>
      </c>
      <c r="BX37" s="143">
        <v>116</v>
      </c>
      <c r="BY37" s="143">
        <v>110</v>
      </c>
      <c r="BZ37" s="143">
        <v>93</v>
      </c>
      <c r="CA37" s="143">
        <v>99</v>
      </c>
      <c r="CB37" s="143">
        <v>99</v>
      </c>
      <c r="CC37" s="143">
        <v>106</v>
      </c>
      <c r="CD37" s="143">
        <v>102</v>
      </c>
      <c r="CE37" s="143">
        <v>116</v>
      </c>
      <c r="CF37" s="68"/>
      <c r="CG37" s="142"/>
      <c r="CH37" s="68"/>
      <c r="CI37" s="68"/>
      <c r="CJ37" s="68"/>
      <c r="CK37" s="68"/>
    </row>
    <row r="38" spans="1:89" ht="13.5" customHeight="1" x14ac:dyDescent="0.75">
      <c r="A38" s="68"/>
      <c r="B38" s="67" t="s">
        <v>280</v>
      </c>
      <c r="C38" s="66" t="s">
        <v>281</v>
      </c>
      <c r="D38" s="143">
        <v>100</v>
      </c>
      <c r="E38" s="143">
        <v>21</v>
      </c>
      <c r="F38" s="143">
        <v>21</v>
      </c>
      <c r="G38" s="143">
        <v>22</v>
      </c>
      <c r="H38" s="143">
        <v>22</v>
      </c>
      <c r="I38" s="143">
        <v>26</v>
      </c>
      <c r="J38" s="143">
        <v>31</v>
      </c>
      <c r="K38" s="143">
        <v>31</v>
      </c>
      <c r="L38" s="143">
        <v>31</v>
      </c>
      <c r="M38" s="143">
        <v>32</v>
      </c>
      <c r="N38" s="143">
        <v>35</v>
      </c>
      <c r="O38" s="143">
        <v>36</v>
      </c>
      <c r="P38" s="143">
        <v>37</v>
      </c>
      <c r="Q38" s="143">
        <v>40</v>
      </c>
      <c r="R38" s="143">
        <v>40</v>
      </c>
      <c r="S38" s="143">
        <v>39</v>
      </c>
      <c r="T38" s="143">
        <v>40</v>
      </c>
      <c r="U38" s="143">
        <v>41</v>
      </c>
      <c r="V38" s="143">
        <v>41</v>
      </c>
      <c r="W38" s="143">
        <v>41</v>
      </c>
      <c r="X38" s="143">
        <v>41</v>
      </c>
      <c r="Y38" s="143">
        <v>44</v>
      </c>
      <c r="Z38" s="143">
        <v>43</v>
      </c>
      <c r="AA38" s="143">
        <v>43</v>
      </c>
      <c r="AB38" s="143">
        <v>44</v>
      </c>
      <c r="AC38" s="143">
        <v>45</v>
      </c>
      <c r="AD38" s="143">
        <v>44</v>
      </c>
      <c r="AE38" s="143">
        <v>42</v>
      </c>
      <c r="AF38" s="143">
        <v>41</v>
      </c>
      <c r="AG38" s="143">
        <v>43</v>
      </c>
      <c r="AH38" s="143">
        <v>42</v>
      </c>
      <c r="AI38" s="143">
        <v>43</v>
      </c>
      <c r="AJ38" s="143">
        <v>42</v>
      </c>
      <c r="AK38" s="143">
        <v>45</v>
      </c>
      <c r="AL38" s="143">
        <v>43</v>
      </c>
      <c r="AM38" s="143">
        <v>44</v>
      </c>
      <c r="AN38" s="143">
        <v>43</v>
      </c>
      <c r="AO38" s="143">
        <v>45</v>
      </c>
      <c r="AP38" s="143">
        <v>43</v>
      </c>
      <c r="AQ38" s="143">
        <v>46</v>
      </c>
      <c r="AR38" s="143">
        <v>45</v>
      </c>
      <c r="AS38" s="143">
        <v>47</v>
      </c>
      <c r="AT38" s="143">
        <v>47</v>
      </c>
      <c r="AU38" s="143">
        <v>48</v>
      </c>
      <c r="AV38" s="143">
        <v>50</v>
      </c>
      <c r="AW38" s="143">
        <v>52</v>
      </c>
      <c r="AX38" s="143">
        <v>50</v>
      </c>
      <c r="AY38" s="143">
        <v>52</v>
      </c>
      <c r="AZ38" s="143">
        <v>51</v>
      </c>
      <c r="BA38" s="143">
        <v>56</v>
      </c>
      <c r="BB38" s="143">
        <v>57</v>
      </c>
      <c r="BC38" s="143">
        <v>58</v>
      </c>
      <c r="BD38" s="143">
        <v>59</v>
      </c>
      <c r="BE38" s="143">
        <v>61</v>
      </c>
      <c r="BF38" s="143">
        <v>65</v>
      </c>
      <c r="BG38" s="143">
        <v>64</v>
      </c>
      <c r="BH38" s="143">
        <v>64</v>
      </c>
      <c r="BI38" s="143">
        <v>66</v>
      </c>
      <c r="BJ38" s="143">
        <v>66</v>
      </c>
      <c r="BK38" s="143">
        <v>69</v>
      </c>
      <c r="BL38" s="143">
        <v>71</v>
      </c>
      <c r="BM38" s="143">
        <v>72</v>
      </c>
      <c r="BN38" s="143">
        <v>74</v>
      </c>
      <c r="BO38" s="143">
        <v>76</v>
      </c>
      <c r="BP38" s="143">
        <v>78</v>
      </c>
      <c r="BQ38" s="143">
        <v>79</v>
      </c>
      <c r="BR38" s="143">
        <v>81</v>
      </c>
      <c r="BS38" s="143">
        <v>84</v>
      </c>
      <c r="BT38" s="143">
        <v>88</v>
      </c>
      <c r="BU38" s="143">
        <v>100</v>
      </c>
      <c r="BV38" s="143">
        <v>95</v>
      </c>
      <c r="BW38" s="143">
        <v>98</v>
      </c>
      <c r="BX38" s="143">
        <v>99</v>
      </c>
      <c r="BY38" s="143">
        <v>96</v>
      </c>
      <c r="BZ38" s="143">
        <v>95</v>
      </c>
      <c r="CA38" s="143">
        <v>96</v>
      </c>
      <c r="CB38" s="143">
        <v>112</v>
      </c>
      <c r="CC38" s="143">
        <v>96</v>
      </c>
      <c r="CD38" s="143">
        <v>97</v>
      </c>
      <c r="CE38" s="143">
        <v>101</v>
      </c>
      <c r="CF38" s="68"/>
      <c r="CG38" s="142"/>
      <c r="CH38" s="68"/>
      <c r="CI38" s="68"/>
      <c r="CJ38" s="68"/>
      <c r="CK38" s="68"/>
    </row>
    <row r="39" spans="1:89" ht="13.5" customHeight="1" x14ac:dyDescent="0.75">
      <c r="A39" s="68"/>
      <c r="B39" s="67" t="s">
        <v>282</v>
      </c>
      <c r="C39" s="66" t="s">
        <v>283</v>
      </c>
      <c r="D39" s="143">
        <v>100</v>
      </c>
      <c r="E39" s="143">
        <v>20</v>
      </c>
      <c r="F39" s="143">
        <v>20</v>
      </c>
      <c r="G39" s="143">
        <v>20</v>
      </c>
      <c r="H39" s="143">
        <v>21</v>
      </c>
      <c r="I39" s="143">
        <v>24</v>
      </c>
      <c r="J39" s="143">
        <v>29</v>
      </c>
      <c r="K39" s="143">
        <v>29</v>
      </c>
      <c r="L39" s="143">
        <v>29</v>
      </c>
      <c r="M39" s="143">
        <v>30</v>
      </c>
      <c r="N39" s="143">
        <v>33</v>
      </c>
      <c r="O39" s="143">
        <v>34</v>
      </c>
      <c r="P39" s="143">
        <v>35</v>
      </c>
      <c r="Q39" s="143">
        <v>37</v>
      </c>
      <c r="R39" s="143">
        <v>38</v>
      </c>
      <c r="S39" s="143">
        <v>37</v>
      </c>
      <c r="T39" s="143">
        <v>37</v>
      </c>
      <c r="U39" s="143">
        <v>39</v>
      </c>
      <c r="V39" s="143">
        <v>39</v>
      </c>
      <c r="W39" s="143">
        <v>39</v>
      </c>
      <c r="X39" s="143">
        <v>39</v>
      </c>
      <c r="Y39" s="143">
        <v>39</v>
      </c>
      <c r="Z39" s="143">
        <v>41</v>
      </c>
      <c r="AA39" s="143">
        <v>41</v>
      </c>
      <c r="AB39" s="143">
        <v>42</v>
      </c>
      <c r="AC39" s="143">
        <v>42</v>
      </c>
      <c r="AD39" s="143">
        <v>43</v>
      </c>
      <c r="AE39" s="143">
        <v>44</v>
      </c>
      <c r="AF39" s="143">
        <v>44</v>
      </c>
      <c r="AG39" s="143">
        <v>44</v>
      </c>
      <c r="AH39" s="143">
        <v>45</v>
      </c>
      <c r="AI39" s="143">
        <v>46</v>
      </c>
      <c r="AJ39" s="143">
        <v>46</v>
      </c>
      <c r="AK39" s="143">
        <v>46</v>
      </c>
      <c r="AL39" s="143">
        <v>46</v>
      </c>
      <c r="AM39" s="143">
        <v>46</v>
      </c>
      <c r="AN39" s="143">
        <v>46</v>
      </c>
      <c r="AO39" s="143">
        <v>46</v>
      </c>
      <c r="AP39" s="143">
        <v>47</v>
      </c>
      <c r="AQ39" s="143">
        <v>47</v>
      </c>
      <c r="AR39" s="143">
        <v>48</v>
      </c>
      <c r="AS39" s="143">
        <v>48</v>
      </c>
      <c r="AT39" s="143">
        <v>49</v>
      </c>
      <c r="AU39" s="143">
        <v>50</v>
      </c>
      <c r="AV39" s="143">
        <v>52</v>
      </c>
      <c r="AW39" s="143">
        <v>52</v>
      </c>
      <c r="AX39" s="143">
        <v>52</v>
      </c>
      <c r="AY39" s="143">
        <v>52</v>
      </c>
      <c r="AZ39" s="143">
        <v>53</v>
      </c>
      <c r="BA39" s="143">
        <v>55</v>
      </c>
      <c r="BB39" s="143">
        <v>57</v>
      </c>
      <c r="BC39" s="143">
        <v>57</v>
      </c>
      <c r="BD39" s="143">
        <v>58</v>
      </c>
      <c r="BE39" s="143">
        <v>60</v>
      </c>
      <c r="BF39" s="143">
        <v>61</v>
      </c>
      <c r="BG39" s="143">
        <v>64</v>
      </c>
      <c r="BH39" s="143">
        <v>64</v>
      </c>
      <c r="BI39" s="143">
        <v>70</v>
      </c>
      <c r="BJ39" s="143">
        <v>72</v>
      </c>
      <c r="BK39" s="143">
        <v>73</v>
      </c>
      <c r="BL39" s="143">
        <v>73</v>
      </c>
      <c r="BM39" s="143">
        <v>75</v>
      </c>
      <c r="BN39" s="143">
        <v>76</v>
      </c>
      <c r="BO39" s="143">
        <v>76</v>
      </c>
      <c r="BP39" s="143">
        <v>76</v>
      </c>
      <c r="BQ39" s="143">
        <v>79</v>
      </c>
      <c r="BR39" s="143">
        <v>84</v>
      </c>
      <c r="BS39" s="143">
        <v>88</v>
      </c>
      <c r="BT39" s="143">
        <v>92</v>
      </c>
      <c r="BU39" s="143">
        <v>97</v>
      </c>
      <c r="BV39" s="143">
        <v>100</v>
      </c>
      <c r="BW39" s="143">
        <v>101</v>
      </c>
      <c r="BX39" s="143">
        <v>101</v>
      </c>
      <c r="BY39" s="143">
        <v>99</v>
      </c>
      <c r="BZ39" s="143">
        <v>100</v>
      </c>
      <c r="CA39" s="143">
        <v>99</v>
      </c>
      <c r="CB39" s="143">
        <v>101</v>
      </c>
      <c r="CC39" s="143">
        <v>103</v>
      </c>
      <c r="CD39" s="143">
        <v>106</v>
      </c>
      <c r="CE39" s="143">
        <v>107</v>
      </c>
      <c r="CF39" s="68"/>
      <c r="CG39" s="142"/>
      <c r="CH39" s="68"/>
      <c r="CI39" s="68"/>
      <c r="CJ39" s="68"/>
      <c r="CK39" s="68"/>
    </row>
    <row r="40" spans="1:89" ht="13.5" customHeight="1" x14ac:dyDescent="0.75">
      <c r="A40" s="68"/>
      <c r="B40" s="67" t="s">
        <v>284</v>
      </c>
      <c r="C40" s="66" t="s">
        <v>285</v>
      </c>
      <c r="D40" s="143">
        <v>100</v>
      </c>
      <c r="E40" s="143">
        <v>21</v>
      </c>
      <c r="F40" s="143">
        <v>21</v>
      </c>
      <c r="G40" s="143">
        <v>21</v>
      </c>
      <c r="H40" s="143">
        <v>22</v>
      </c>
      <c r="I40" s="143">
        <v>25</v>
      </c>
      <c r="J40" s="143">
        <v>31</v>
      </c>
      <c r="K40" s="143">
        <v>30</v>
      </c>
      <c r="L40" s="143">
        <v>30</v>
      </c>
      <c r="M40" s="143">
        <v>31</v>
      </c>
      <c r="N40" s="143">
        <v>35</v>
      </c>
      <c r="O40" s="143">
        <v>36</v>
      </c>
      <c r="P40" s="143">
        <v>37</v>
      </c>
      <c r="Q40" s="143">
        <v>39</v>
      </c>
      <c r="R40" s="143">
        <v>39</v>
      </c>
      <c r="S40" s="143">
        <v>39</v>
      </c>
      <c r="T40" s="143">
        <v>39</v>
      </c>
      <c r="U40" s="143">
        <v>40</v>
      </c>
      <c r="V40" s="143">
        <v>40</v>
      </c>
      <c r="W40" s="143">
        <v>41</v>
      </c>
      <c r="X40" s="143">
        <v>40</v>
      </c>
      <c r="Y40" s="143">
        <v>41</v>
      </c>
      <c r="Z40" s="143">
        <v>42</v>
      </c>
      <c r="AA40" s="143">
        <v>43</v>
      </c>
      <c r="AB40" s="143">
        <v>44</v>
      </c>
      <c r="AC40" s="143">
        <v>44</v>
      </c>
      <c r="AD40" s="143">
        <v>45</v>
      </c>
      <c r="AE40" s="143">
        <v>46</v>
      </c>
      <c r="AF40" s="143">
        <v>46</v>
      </c>
      <c r="AG40" s="143">
        <v>46</v>
      </c>
      <c r="AH40" s="143">
        <v>47</v>
      </c>
      <c r="AI40" s="143">
        <v>48</v>
      </c>
      <c r="AJ40" s="143">
        <v>48</v>
      </c>
      <c r="AK40" s="143">
        <v>48</v>
      </c>
      <c r="AL40" s="143">
        <v>48</v>
      </c>
      <c r="AM40" s="143">
        <v>48</v>
      </c>
      <c r="AN40" s="143">
        <v>48</v>
      </c>
      <c r="AO40" s="143">
        <v>48</v>
      </c>
      <c r="AP40" s="143">
        <v>49</v>
      </c>
      <c r="AQ40" s="143">
        <v>49</v>
      </c>
      <c r="AR40" s="143">
        <v>50</v>
      </c>
      <c r="AS40" s="143">
        <v>50</v>
      </c>
      <c r="AT40" s="143">
        <v>51</v>
      </c>
      <c r="AU40" s="143">
        <v>53</v>
      </c>
      <c r="AV40" s="143">
        <v>54</v>
      </c>
      <c r="AW40" s="143">
        <v>54</v>
      </c>
      <c r="AX40" s="143">
        <v>55</v>
      </c>
      <c r="AY40" s="143">
        <v>55</v>
      </c>
      <c r="AZ40" s="143">
        <v>55</v>
      </c>
      <c r="BA40" s="143">
        <v>58</v>
      </c>
      <c r="BB40" s="143">
        <v>60</v>
      </c>
      <c r="BC40" s="143">
        <v>61</v>
      </c>
      <c r="BD40" s="143">
        <v>59</v>
      </c>
      <c r="BE40" s="143">
        <v>58</v>
      </c>
      <c r="BF40" s="143">
        <v>62</v>
      </c>
      <c r="BG40" s="143">
        <v>68</v>
      </c>
      <c r="BH40" s="143">
        <v>73</v>
      </c>
      <c r="BI40" s="143">
        <v>74</v>
      </c>
      <c r="BJ40" s="143">
        <v>72</v>
      </c>
      <c r="BK40" s="143">
        <v>79</v>
      </c>
      <c r="BL40" s="143">
        <v>77</v>
      </c>
      <c r="BM40" s="143">
        <v>77</v>
      </c>
      <c r="BN40" s="143">
        <v>77</v>
      </c>
      <c r="BO40" s="143">
        <v>77</v>
      </c>
      <c r="BP40" s="143">
        <v>77</v>
      </c>
      <c r="BQ40" s="143">
        <v>79</v>
      </c>
      <c r="BR40" s="143">
        <v>83</v>
      </c>
      <c r="BS40" s="143">
        <v>86</v>
      </c>
      <c r="BT40" s="143">
        <v>89</v>
      </c>
      <c r="BU40" s="143">
        <v>92</v>
      </c>
      <c r="BV40" s="143">
        <v>94</v>
      </c>
      <c r="BW40" s="143">
        <v>95</v>
      </c>
      <c r="BX40" s="143">
        <v>97</v>
      </c>
      <c r="BY40" s="143">
        <v>97</v>
      </c>
      <c r="BZ40" s="143">
        <v>99</v>
      </c>
      <c r="CA40" s="143">
        <v>100</v>
      </c>
      <c r="CB40" s="143">
        <v>103</v>
      </c>
      <c r="CC40" s="143">
        <v>104</v>
      </c>
      <c r="CD40" s="143">
        <v>106</v>
      </c>
      <c r="CE40" s="143">
        <v>107</v>
      </c>
      <c r="CF40" s="68"/>
      <c r="CG40" s="142"/>
      <c r="CH40" s="68"/>
      <c r="CI40" s="68"/>
      <c r="CJ40" s="68"/>
      <c r="CK40" s="68"/>
    </row>
    <row r="41" spans="1:89" ht="13.5" customHeight="1" x14ac:dyDescent="0.75">
      <c r="A41" s="68"/>
      <c r="B41" s="67" t="s">
        <v>286</v>
      </c>
      <c r="C41" s="66" t="s">
        <v>287</v>
      </c>
      <c r="D41" s="143">
        <v>100</v>
      </c>
      <c r="E41" s="143">
        <v>49</v>
      </c>
      <c r="F41" s="143">
        <v>50</v>
      </c>
      <c r="G41" s="143">
        <v>50</v>
      </c>
      <c r="H41" s="143">
        <v>51</v>
      </c>
      <c r="I41" s="143">
        <v>53</v>
      </c>
      <c r="J41" s="143">
        <v>53</v>
      </c>
      <c r="K41" s="143">
        <v>54</v>
      </c>
      <c r="L41" s="143">
        <v>54</v>
      </c>
      <c r="M41" s="143">
        <v>56</v>
      </c>
      <c r="N41" s="143">
        <v>58</v>
      </c>
      <c r="O41" s="143">
        <v>60</v>
      </c>
      <c r="P41" s="143">
        <v>61</v>
      </c>
      <c r="Q41" s="143">
        <v>63</v>
      </c>
      <c r="R41" s="143">
        <v>63</v>
      </c>
      <c r="S41" s="143">
        <v>64</v>
      </c>
      <c r="T41" s="143">
        <v>65</v>
      </c>
      <c r="U41" s="143">
        <v>65</v>
      </c>
      <c r="V41" s="143">
        <v>66</v>
      </c>
      <c r="W41" s="143">
        <v>66</v>
      </c>
      <c r="X41" s="143">
        <v>66</v>
      </c>
      <c r="Y41" s="143">
        <v>68</v>
      </c>
      <c r="Z41" s="143">
        <v>69</v>
      </c>
      <c r="AA41" s="143">
        <v>70</v>
      </c>
      <c r="AB41" s="143">
        <v>70</v>
      </c>
      <c r="AC41" s="143">
        <v>72</v>
      </c>
      <c r="AD41" s="143">
        <v>73</v>
      </c>
      <c r="AE41" s="143">
        <v>73</v>
      </c>
      <c r="AF41" s="143">
        <v>73</v>
      </c>
      <c r="AG41" s="143">
        <v>74</v>
      </c>
      <c r="AH41" s="143">
        <v>75</v>
      </c>
      <c r="AI41" s="143">
        <v>75</v>
      </c>
      <c r="AJ41" s="143">
        <v>75</v>
      </c>
      <c r="AK41" s="143">
        <v>76</v>
      </c>
      <c r="AL41" s="143">
        <v>77</v>
      </c>
      <c r="AM41" s="143">
        <v>77</v>
      </c>
      <c r="AN41" s="143">
        <v>77</v>
      </c>
      <c r="AO41" s="143">
        <v>78</v>
      </c>
      <c r="AP41" s="143">
        <v>79</v>
      </c>
      <c r="AQ41" s="143">
        <v>79</v>
      </c>
      <c r="AR41" s="143">
        <v>80</v>
      </c>
      <c r="AS41" s="143">
        <v>81</v>
      </c>
      <c r="AT41" s="143">
        <v>82</v>
      </c>
      <c r="AU41" s="143">
        <v>83</v>
      </c>
      <c r="AV41" s="143">
        <v>84</v>
      </c>
      <c r="AW41" s="143">
        <v>86</v>
      </c>
      <c r="AX41" s="143">
        <v>86</v>
      </c>
      <c r="AY41" s="143">
        <v>86</v>
      </c>
      <c r="AZ41" s="143">
        <v>87</v>
      </c>
      <c r="BA41" s="143">
        <v>85</v>
      </c>
      <c r="BB41" s="143">
        <v>87</v>
      </c>
      <c r="BC41" s="143">
        <v>86</v>
      </c>
      <c r="BD41" s="143">
        <v>85</v>
      </c>
      <c r="BE41" s="143">
        <v>87</v>
      </c>
      <c r="BF41" s="143">
        <v>85</v>
      </c>
      <c r="BG41" s="143">
        <v>83</v>
      </c>
      <c r="BH41" s="143">
        <v>85</v>
      </c>
      <c r="BI41" s="143">
        <v>82</v>
      </c>
      <c r="BJ41" s="143">
        <v>88</v>
      </c>
      <c r="BK41" s="143">
        <v>89</v>
      </c>
      <c r="BL41" s="143">
        <v>85</v>
      </c>
      <c r="BM41" s="143">
        <v>83</v>
      </c>
      <c r="BN41" s="143">
        <v>85</v>
      </c>
      <c r="BO41" s="143">
        <v>85</v>
      </c>
      <c r="BP41" s="143">
        <v>85</v>
      </c>
      <c r="BQ41" s="143">
        <v>87</v>
      </c>
      <c r="BR41" s="143">
        <v>88</v>
      </c>
      <c r="BS41" s="143">
        <v>93</v>
      </c>
      <c r="BT41" s="143">
        <v>95</v>
      </c>
      <c r="BU41" s="143">
        <v>100</v>
      </c>
      <c r="BV41" s="143">
        <v>95</v>
      </c>
      <c r="BW41" s="143">
        <v>97</v>
      </c>
      <c r="BX41" s="143">
        <v>97</v>
      </c>
      <c r="BY41" s="143">
        <v>98</v>
      </c>
      <c r="BZ41" s="143">
        <v>99</v>
      </c>
      <c r="CA41" s="143">
        <v>101</v>
      </c>
      <c r="CB41" s="143">
        <v>101</v>
      </c>
      <c r="CC41" s="143">
        <v>102</v>
      </c>
      <c r="CD41" s="143">
        <v>104</v>
      </c>
      <c r="CE41" s="143">
        <v>105</v>
      </c>
      <c r="CF41" s="68"/>
      <c r="CG41" s="142"/>
      <c r="CH41" s="68"/>
      <c r="CI41" s="68"/>
      <c r="CJ41" s="68"/>
      <c r="CK41" s="68"/>
    </row>
    <row r="42" spans="1:89" ht="13.5" customHeight="1" x14ac:dyDescent="0.75">
      <c r="A42" s="68"/>
      <c r="B42" s="67" t="s">
        <v>288</v>
      </c>
      <c r="C42" s="66" t="s">
        <v>289</v>
      </c>
      <c r="D42" s="143">
        <v>100</v>
      </c>
      <c r="E42" s="143">
        <v>17</v>
      </c>
      <c r="F42" s="143">
        <v>17</v>
      </c>
      <c r="G42" s="143">
        <v>17</v>
      </c>
      <c r="H42" s="143">
        <v>17</v>
      </c>
      <c r="I42" s="143">
        <v>18</v>
      </c>
      <c r="J42" s="143">
        <v>18</v>
      </c>
      <c r="K42" s="143">
        <v>18</v>
      </c>
      <c r="L42" s="143">
        <v>18</v>
      </c>
      <c r="M42" s="143">
        <v>20</v>
      </c>
      <c r="N42" s="143">
        <v>20</v>
      </c>
      <c r="O42" s="143">
        <v>20</v>
      </c>
      <c r="P42" s="143">
        <v>20</v>
      </c>
      <c r="Q42" s="143">
        <v>21</v>
      </c>
      <c r="R42" s="143">
        <v>22</v>
      </c>
      <c r="S42" s="143">
        <v>23</v>
      </c>
      <c r="T42" s="143">
        <v>22</v>
      </c>
      <c r="U42" s="143">
        <v>24</v>
      </c>
      <c r="V42" s="143">
        <v>25</v>
      </c>
      <c r="W42" s="143">
        <v>25</v>
      </c>
      <c r="X42" s="143">
        <v>24</v>
      </c>
      <c r="Y42" s="143">
        <v>23</v>
      </c>
      <c r="Z42" s="143">
        <v>28</v>
      </c>
      <c r="AA42" s="143">
        <v>26</v>
      </c>
      <c r="AB42" s="143">
        <v>26</v>
      </c>
      <c r="AC42" s="143">
        <v>25</v>
      </c>
      <c r="AD42" s="143">
        <v>33</v>
      </c>
      <c r="AE42" s="143">
        <v>29</v>
      </c>
      <c r="AF42" s="143">
        <v>31</v>
      </c>
      <c r="AG42" s="143">
        <v>38</v>
      </c>
      <c r="AH42" s="143">
        <v>38</v>
      </c>
      <c r="AI42" s="143">
        <v>38</v>
      </c>
      <c r="AJ42" s="143">
        <v>38</v>
      </c>
      <c r="AK42" s="143">
        <v>40</v>
      </c>
      <c r="AL42" s="143">
        <v>41</v>
      </c>
      <c r="AM42" s="143">
        <v>41</v>
      </c>
      <c r="AN42" s="143">
        <v>41</v>
      </c>
      <c r="AO42" s="143">
        <v>41</v>
      </c>
      <c r="AP42" s="143">
        <v>41</v>
      </c>
      <c r="AQ42" s="143">
        <v>41</v>
      </c>
      <c r="AR42" s="143">
        <v>41</v>
      </c>
      <c r="AS42" s="143">
        <v>38</v>
      </c>
      <c r="AT42" s="143">
        <v>46</v>
      </c>
      <c r="AU42" s="143">
        <v>41</v>
      </c>
      <c r="AV42" s="143">
        <v>41</v>
      </c>
      <c r="AW42" s="143">
        <v>36</v>
      </c>
      <c r="AX42" s="143">
        <v>48</v>
      </c>
      <c r="AY42" s="143">
        <v>44</v>
      </c>
      <c r="AZ42" s="143">
        <v>43</v>
      </c>
      <c r="BA42" s="143">
        <v>40</v>
      </c>
      <c r="BB42" s="143">
        <v>42</v>
      </c>
      <c r="BC42" s="143">
        <v>42</v>
      </c>
      <c r="BD42" s="143">
        <v>45</v>
      </c>
      <c r="BE42" s="143">
        <v>46</v>
      </c>
      <c r="BF42" s="143">
        <v>49</v>
      </c>
      <c r="BG42" s="143">
        <v>43</v>
      </c>
      <c r="BH42" s="143">
        <v>37</v>
      </c>
      <c r="BI42" s="143">
        <v>31</v>
      </c>
      <c r="BJ42" s="143">
        <v>82</v>
      </c>
      <c r="BK42" s="143">
        <v>56</v>
      </c>
      <c r="BL42" s="143">
        <v>38</v>
      </c>
      <c r="BM42" s="143">
        <v>39</v>
      </c>
      <c r="BN42" s="143">
        <v>53</v>
      </c>
      <c r="BO42" s="143">
        <v>57</v>
      </c>
      <c r="BP42" s="143">
        <v>61</v>
      </c>
      <c r="BQ42" s="143">
        <v>65</v>
      </c>
      <c r="BR42" s="143">
        <v>64</v>
      </c>
      <c r="BS42" s="143">
        <v>77</v>
      </c>
      <c r="BT42" s="143">
        <v>92</v>
      </c>
      <c r="BU42" s="143">
        <v>94</v>
      </c>
      <c r="BV42" s="143">
        <v>101</v>
      </c>
      <c r="BW42" s="143">
        <v>101</v>
      </c>
      <c r="BX42" s="143">
        <v>102</v>
      </c>
      <c r="BY42" s="143">
        <v>100</v>
      </c>
      <c r="BZ42" s="143">
        <v>100</v>
      </c>
      <c r="CA42" s="143">
        <v>98</v>
      </c>
      <c r="CB42" s="143">
        <v>102</v>
      </c>
      <c r="CC42" s="143">
        <v>103</v>
      </c>
      <c r="CD42" s="143">
        <v>103</v>
      </c>
      <c r="CE42" s="143">
        <v>103</v>
      </c>
      <c r="CF42" s="68"/>
      <c r="CG42" s="142"/>
      <c r="CH42" s="68"/>
      <c r="CI42" s="68"/>
      <c r="CJ42" s="68"/>
      <c r="CK42" s="68"/>
    </row>
    <row r="43" spans="1:89" ht="13.5" customHeight="1" x14ac:dyDescent="0.75">
      <c r="A43" s="68"/>
      <c r="B43" s="67" t="s">
        <v>290</v>
      </c>
      <c r="C43" s="66" t="s">
        <v>291</v>
      </c>
      <c r="D43" s="143">
        <v>100</v>
      </c>
      <c r="E43" s="143">
        <v>67</v>
      </c>
      <c r="F43" s="143">
        <v>67</v>
      </c>
      <c r="G43" s="143">
        <v>68</v>
      </c>
      <c r="H43" s="143">
        <v>69</v>
      </c>
      <c r="I43" s="143">
        <v>75</v>
      </c>
      <c r="J43" s="143">
        <v>78</v>
      </c>
      <c r="K43" s="143">
        <v>78</v>
      </c>
      <c r="L43" s="143">
        <v>79</v>
      </c>
      <c r="M43" s="143">
        <v>80</v>
      </c>
      <c r="N43" s="143">
        <v>83</v>
      </c>
      <c r="O43" s="143">
        <v>88</v>
      </c>
      <c r="P43" s="143">
        <v>89</v>
      </c>
      <c r="Q43" s="143">
        <v>89</v>
      </c>
      <c r="R43" s="143">
        <v>90</v>
      </c>
      <c r="S43" s="143">
        <v>90</v>
      </c>
      <c r="T43" s="143">
        <v>91</v>
      </c>
      <c r="U43" s="143">
        <v>93</v>
      </c>
      <c r="V43" s="143">
        <v>93</v>
      </c>
      <c r="W43" s="143">
        <v>91</v>
      </c>
      <c r="X43" s="143">
        <v>91</v>
      </c>
      <c r="Y43" s="143">
        <v>100</v>
      </c>
      <c r="Z43" s="143">
        <v>92</v>
      </c>
      <c r="AA43" s="143">
        <v>98</v>
      </c>
      <c r="AB43" s="143">
        <v>86</v>
      </c>
      <c r="AC43" s="143">
        <v>94</v>
      </c>
      <c r="AD43" s="143">
        <v>87</v>
      </c>
      <c r="AE43" s="143">
        <v>107</v>
      </c>
      <c r="AF43" s="143">
        <v>100</v>
      </c>
      <c r="AG43" s="143">
        <v>101</v>
      </c>
      <c r="AH43" s="143">
        <v>103</v>
      </c>
      <c r="AI43" s="143">
        <v>105</v>
      </c>
      <c r="AJ43" s="143">
        <v>106</v>
      </c>
      <c r="AK43" s="143">
        <v>116</v>
      </c>
      <c r="AL43" s="143">
        <v>118</v>
      </c>
      <c r="AM43" s="143">
        <v>107</v>
      </c>
      <c r="AN43" s="143">
        <v>99</v>
      </c>
      <c r="AO43" s="143">
        <v>109</v>
      </c>
      <c r="AP43" s="143">
        <v>90</v>
      </c>
      <c r="AQ43" s="143">
        <v>104</v>
      </c>
      <c r="AR43" s="143">
        <v>108</v>
      </c>
      <c r="AS43" s="143">
        <v>101</v>
      </c>
      <c r="AT43" s="143">
        <v>101</v>
      </c>
      <c r="AU43" s="143">
        <v>95</v>
      </c>
      <c r="AV43" s="143">
        <v>97</v>
      </c>
      <c r="AW43" s="143">
        <v>109</v>
      </c>
      <c r="AX43" s="143">
        <v>112</v>
      </c>
      <c r="AY43" s="143">
        <v>107</v>
      </c>
      <c r="AZ43" s="143">
        <v>109</v>
      </c>
      <c r="BA43" s="143">
        <v>108</v>
      </c>
      <c r="BB43" s="143">
        <v>114</v>
      </c>
      <c r="BC43" s="143">
        <v>114</v>
      </c>
      <c r="BD43" s="143">
        <v>110</v>
      </c>
      <c r="BE43" s="143">
        <v>114</v>
      </c>
      <c r="BF43" s="143">
        <v>100</v>
      </c>
      <c r="BG43" s="143">
        <v>120</v>
      </c>
      <c r="BH43" s="143">
        <v>131</v>
      </c>
      <c r="BI43" s="143">
        <v>103</v>
      </c>
      <c r="BJ43" s="143">
        <v>117</v>
      </c>
      <c r="BK43" s="143">
        <v>145</v>
      </c>
      <c r="BL43" s="143">
        <v>137</v>
      </c>
      <c r="BM43" s="143">
        <v>142</v>
      </c>
      <c r="BN43" s="143">
        <v>109</v>
      </c>
      <c r="BO43" s="143">
        <v>142</v>
      </c>
      <c r="BP43" s="143">
        <v>113</v>
      </c>
      <c r="BQ43" s="143">
        <v>117</v>
      </c>
      <c r="BR43" s="143">
        <v>101</v>
      </c>
      <c r="BS43" s="143">
        <v>128</v>
      </c>
      <c r="BT43" s="143">
        <v>115</v>
      </c>
      <c r="BU43" s="143">
        <v>113</v>
      </c>
      <c r="BV43" s="143">
        <v>88</v>
      </c>
      <c r="BW43" s="143">
        <v>109</v>
      </c>
      <c r="BX43" s="143">
        <v>106</v>
      </c>
      <c r="BY43" s="143">
        <v>93</v>
      </c>
      <c r="BZ43" s="143">
        <v>94</v>
      </c>
      <c r="CA43" s="143">
        <v>115</v>
      </c>
      <c r="CB43" s="143">
        <v>100</v>
      </c>
      <c r="CC43" s="143">
        <v>114</v>
      </c>
      <c r="CD43" s="143">
        <v>98</v>
      </c>
      <c r="CE43" s="143">
        <v>192</v>
      </c>
      <c r="CF43" s="68"/>
      <c r="CG43" s="142"/>
      <c r="CH43" s="68"/>
      <c r="CI43" s="68"/>
      <c r="CJ43" s="68"/>
      <c r="CK43" s="68"/>
    </row>
    <row r="44" spans="1:89" ht="13.5" customHeight="1" x14ac:dyDescent="0.75">
      <c r="A44" s="68"/>
      <c r="B44" s="67" t="s">
        <v>292</v>
      </c>
      <c r="C44" s="66" t="s">
        <v>293</v>
      </c>
      <c r="D44" s="143">
        <v>100</v>
      </c>
      <c r="E44" s="143">
        <v>65</v>
      </c>
      <c r="F44" s="143">
        <v>66</v>
      </c>
      <c r="G44" s="143">
        <v>66</v>
      </c>
      <c r="H44" s="143">
        <v>67</v>
      </c>
      <c r="I44" s="143">
        <v>68</v>
      </c>
      <c r="J44" s="143">
        <v>68</v>
      </c>
      <c r="K44" s="143">
        <v>68</v>
      </c>
      <c r="L44" s="143">
        <v>69</v>
      </c>
      <c r="M44" s="143">
        <v>71</v>
      </c>
      <c r="N44" s="143">
        <v>74</v>
      </c>
      <c r="O44" s="143">
        <v>77</v>
      </c>
      <c r="P44" s="143">
        <v>78</v>
      </c>
      <c r="Q44" s="143">
        <v>80</v>
      </c>
      <c r="R44" s="143">
        <v>81</v>
      </c>
      <c r="S44" s="143">
        <v>81</v>
      </c>
      <c r="T44" s="143">
        <v>81</v>
      </c>
      <c r="U44" s="143">
        <v>82</v>
      </c>
      <c r="V44" s="143">
        <v>82</v>
      </c>
      <c r="W44" s="143">
        <v>82</v>
      </c>
      <c r="X44" s="143">
        <v>83</v>
      </c>
      <c r="Y44" s="143">
        <v>86</v>
      </c>
      <c r="Z44" s="143">
        <v>87</v>
      </c>
      <c r="AA44" s="143">
        <v>88</v>
      </c>
      <c r="AB44" s="143">
        <v>88</v>
      </c>
      <c r="AC44" s="143">
        <v>89</v>
      </c>
      <c r="AD44" s="143">
        <v>89</v>
      </c>
      <c r="AE44" s="143">
        <v>90</v>
      </c>
      <c r="AF44" s="143">
        <v>91</v>
      </c>
      <c r="AG44" s="143">
        <v>93</v>
      </c>
      <c r="AH44" s="143">
        <v>93</v>
      </c>
      <c r="AI44" s="143">
        <v>93</v>
      </c>
      <c r="AJ44" s="143">
        <v>93</v>
      </c>
      <c r="AK44" s="143">
        <v>94</v>
      </c>
      <c r="AL44" s="143">
        <v>95</v>
      </c>
      <c r="AM44" s="143">
        <v>97</v>
      </c>
      <c r="AN44" s="143">
        <v>97</v>
      </c>
      <c r="AO44" s="143">
        <v>97</v>
      </c>
      <c r="AP44" s="143">
        <v>98</v>
      </c>
      <c r="AQ44" s="143">
        <v>99</v>
      </c>
      <c r="AR44" s="143">
        <v>98</v>
      </c>
      <c r="AS44" s="143">
        <v>100</v>
      </c>
      <c r="AT44" s="143">
        <v>101</v>
      </c>
      <c r="AU44" s="143">
        <v>101</v>
      </c>
      <c r="AV44" s="143">
        <v>100</v>
      </c>
      <c r="AW44" s="143">
        <v>102</v>
      </c>
      <c r="AX44" s="143">
        <v>103</v>
      </c>
      <c r="AY44" s="143">
        <v>104</v>
      </c>
      <c r="AZ44" s="143">
        <v>104</v>
      </c>
      <c r="BA44" s="143">
        <v>103</v>
      </c>
      <c r="BB44" s="143">
        <v>102</v>
      </c>
      <c r="BC44" s="143">
        <v>102</v>
      </c>
      <c r="BD44" s="143">
        <v>100</v>
      </c>
      <c r="BE44" s="143">
        <v>100</v>
      </c>
      <c r="BF44" s="143">
        <v>100</v>
      </c>
      <c r="BG44" s="143">
        <v>98</v>
      </c>
      <c r="BH44" s="143">
        <v>98</v>
      </c>
      <c r="BI44" s="143">
        <v>99</v>
      </c>
      <c r="BJ44" s="143">
        <v>98</v>
      </c>
      <c r="BK44" s="143">
        <v>96</v>
      </c>
      <c r="BL44" s="143">
        <v>96</v>
      </c>
      <c r="BM44" s="143">
        <v>95</v>
      </c>
      <c r="BN44" s="143">
        <v>95</v>
      </c>
      <c r="BO44" s="143">
        <v>94</v>
      </c>
      <c r="BP44" s="143">
        <v>93</v>
      </c>
      <c r="BQ44" s="143">
        <v>95</v>
      </c>
      <c r="BR44" s="143">
        <v>96</v>
      </c>
      <c r="BS44" s="143">
        <v>96</v>
      </c>
      <c r="BT44" s="143">
        <v>96</v>
      </c>
      <c r="BU44" s="143">
        <v>92</v>
      </c>
      <c r="BV44" s="143">
        <v>91</v>
      </c>
      <c r="BW44" s="143">
        <v>90</v>
      </c>
      <c r="BX44" s="143">
        <v>91</v>
      </c>
      <c r="BY44" s="143">
        <v>95</v>
      </c>
      <c r="BZ44" s="143">
        <v>99</v>
      </c>
      <c r="CA44" s="143">
        <v>102</v>
      </c>
      <c r="CB44" s="143">
        <v>104</v>
      </c>
      <c r="CC44" s="143">
        <v>102</v>
      </c>
      <c r="CD44" s="143">
        <v>102</v>
      </c>
      <c r="CE44" s="143">
        <v>104</v>
      </c>
      <c r="CF44" s="68"/>
      <c r="CG44" s="142"/>
      <c r="CH44" s="68"/>
      <c r="CI44" s="68"/>
      <c r="CJ44" s="68"/>
      <c r="CK44" s="68"/>
    </row>
    <row r="45" spans="1:89" ht="6.75" customHeight="1" x14ac:dyDescent="0.75">
      <c r="A45" s="64"/>
      <c r="B45" s="64"/>
      <c r="C45" s="72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5"/>
      <c r="BQ45" s="95"/>
      <c r="BR45" s="95"/>
      <c r="BS45" s="95"/>
      <c r="BT45" s="95"/>
      <c r="BU45" s="95"/>
      <c r="BV45" s="95"/>
      <c r="BW45" s="95"/>
      <c r="BX45" s="95"/>
      <c r="BY45" s="95"/>
      <c r="BZ45" s="95"/>
      <c r="CA45" s="95"/>
      <c r="CB45" s="95"/>
      <c r="CC45" s="95"/>
      <c r="CD45" s="95"/>
      <c r="CE45" s="95"/>
      <c r="CF45" s="68"/>
      <c r="CG45" s="142"/>
      <c r="CH45" s="68"/>
      <c r="CI45" s="68"/>
      <c r="CJ45" s="68"/>
      <c r="CK45" s="68"/>
    </row>
    <row r="46" spans="1:89" ht="14.25" customHeight="1" x14ac:dyDescent="0.75">
      <c r="A46" s="64"/>
      <c r="B46" s="81" t="s">
        <v>294</v>
      </c>
      <c r="C46" s="82"/>
      <c r="D46" s="83">
        <v>100</v>
      </c>
      <c r="E46" s="83">
        <v>38</v>
      </c>
      <c r="F46" s="83">
        <v>44</v>
      </c>
      <c r="G46" s="83">
        <v>43</v>
      </c>
      <c r="H46" s="83">
        <v>43</v>
      </c>
      <c r="I46" s="83">
        <v>40</v>
      </c>
      <c r="J46" s="83">
        <v>53</v>
      </c>
      <c r="K46" s="83">
        <v>51</v>
      </c>
      <c r="L46" s="83">
        <v>52</v>
      </c>
      <c r="M46" s="83">
        <v>49</v>
      </c>
      <c r="N46" s="83">
        <v>60</v>
      </c>
      <c r="O46" s="83">
        <v>60</v>
      </c>
      <c r="P46" s="83">
        <v>70</v>
      </c>
      <c r="Q46" s="83">
        <v>66</v>
      </c>
      <c r="R46" s="83">
        <v>63</v>
      </c>
      <c r="S46" s="83">
        <v>58</v>
      </c>
      <c r="T46" s="83">
        <v>56</v>
      </c>
      <c r="U46" s="83">
        <v>63</v>
      </c>
      <c r="V46" s="83">
        <v>58</v>
      </c>
      <c r="W46" s="83">
        <v>65</v>
      </c>
      <c r="X46" s="83">
        <v>70</v>
      </c>
      <c r="Y46" s="83">
        <v>80</v>
      </c>
      <c r="Z46" s="83">
        <v>84</v>
      </c>
      <c r="AA46" s="83">
        <v>76</v>
      </c>
      <c r="AB46" s="83">
        <v>72</v>
      </c>
      <c r="AC46" s="83">
        <v>74</v>
      </c>
      <c r="AD46" s="83">
        <v>72</v>
      </c>
      <c r="AE46" s="83">
        <v>68</v>
      </c>
      <c r="AF46" s="83">
        <v>68</v>
      </c>
      <c r="AG46" s="83">
        <v>73</v>
      </c>
      <c r="AH46" s="83">
        <v>72</v>
      </c>
      <c r="AI46" s="83">
        <v>75</v>
      </c>
      <c r="AJ46" s="83">
        <v>74</v>
      </c>
      <c r="AK46" s="83">
        <v>81</v>
      </c>
      <c r="AL46" s="83">
        <v>92</v>
      </c>
      <c r="AM46" s="83">
        <v>86</v>
      </c>
      <c r="AN46" s="83">
        <v>78</v>
      </c>
      <c r="AO46" s="83">
        <v>76</v>
      </c>
      <c r="AP46" s="83">
        <v>83</v>
      </c>
      <c r="AQ46" s="83">
        <v>85</v>
      </c>
      <c r="AR46" s="83">
        <v>90</v>
      </c>
      <c r="AS46" s="83">
        <v>83</v>
      </c>
      <c r="AT46" s="83">
        <v>91</v>
      </c>
      <c r="AU46" s="83">
        <v>88</v>
      </c>
      <c r="AV46" s="83">
        <v>90</v>
      </c>
      <c r="AW46" s="83">
        <v>97</v>
      </c>
      <c r="AX46" s="83">
        <v>105</v>
      </c>
      <c r="AY46" s="83">
        <v>93</v>
      </c>
      <c r="AZ46" s="83">
        <v>100</v>
      </c>
      <c r="BA46" s="83">
        <v>96</v>
      </c>
      <c r="BB46" s="83">
        <v>102</v>
      </c>
      <c r="BC46" s="83">
        <v>93</v>
      </c>
      <c r="BD46" s="83">
        <v>93</v>
      </c>
      <c r="BE46" s="83">
        <v>97</v>
      </c>
      <c r="BF46" s="83">
        <v>97</v>
      </c>
      <c r="BG46" s="83">
        <v>89</v>
      </c>
      <c r="BH46" s="83">
        <v>97</v>
      </c>
      <c r="BI46" s="83">
        <v>94</v>
      </c>
      <c r="BJ46" s="83">
        <v>93</v>
      </c>
      <c r="BK46" s="83">
        <v>96</v>
      </c>
      <c r="BL46" s="83">
        <v>98</v>
      </c>
      <c r="BM46" s="83">
        <v>68</v>
      </c>
      <c r="BN46" s="83">
        <v>69</v>
      </c>
      <c r="BO46" s="83">
        <v>73</v>
      </c>
      <c r="BP46" s="83">
        <v>70</v>
      </c>
      <c r="BQ46" s="83">
        <v>74</v>
      </c>
      <c r="BR46" s="83">
        <v>75</v>
      </c>
      <c r="BS46" s="83">
        <v>86</v>
      </c>
      <c r="BT46" s="83">
        <v>91</v>
      </c>
      <c r="BU46" s="83">
        <v>95</v>
      </c>
      <c r="BV46" s="83">
        <v>92</v>
      </c>
      <c r="BW46" s="83">
        <v>96</v>
      </c>
      <c r="BX46" s="83">
        <v>99</v>
      </c>
      <c r="BY46" s="83">
        <v>94</v>
      </c>
      <c r="BZ46" s="83">
        <v>97</v>
      </c>
      <c r="CA46" s="83">
        <v>103</v>
      </c>
      <c r="CB46" s="83">
        <v>107</v>
      </c>
      <c r="CC46" s="83">
        <v>106</v>
      </c>
      <c r="CD46" s="83">
        <v>108</v>
      </c>
      <c r="CE46" s="83">
        <v>105</v>
      </c>
      <c r="CF46" s="68"/>
      <c r="CG46" s="142"/>
      <c r="CH46" s="68"/>
      <c r="CI46" s="68"/>
      <c r="CJ46" s="68"/>
      <c r="CK46" s="68"/>
    </row>
    <row r="47" spans="1:89" ht="7.5" customHeight="1" thickBot="1" x14ac:dyDescent="0.9">
      <c r="A47" s="64"/>
      <c r="B47" s="96"/>
      <c r="C47" s="97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  <c r="AT47" s="96"/>
      <c r="AU47" s="96"/>
      <c r="AV47" s="96"/>
      <c r="AW47" s="96"/>
      <c r="AX47" s="96"/>
      <c r="AY47" s="96"/>
      <c r="AZ47" s="96"/>
      <c r="BA47" s="96"/>
      <c r="BB47" s="96"/>
      <c r="BC47" s="96"/>
      <c r="BD47" s="96"/>
      <c r="BE47" s="96"/>
      <c r="BF47" s="96"/>
      <c r="BG47" s="96"/>
      <c r="BH47" s="96"/>
      <c r="BI47" s="96"/>
      <c r="BJ47" s="96"/>
      <c r="BK47" s="96"/>
      <c r="BL47" s="96"/>
      <c r="BM47" s="96"/>
      <c r="BN47" s="96"/>
      <c r="BO47" s="96"/>
      <c r="BP47" s="96"/>
      <c r="BQ47" s="96"/>
      <c r="BR47" s="96"/>
      <c r="BS47" s="96"/>
      <c r="BT47" s="96"/>
      <c r="BU47" s="96"/>
      <c r="BV47" s="96"/>
      <c r="BW47" s="96"/>
      <c r="BX47" s="96"/>
      <c r="BY47" s="96"/>
      <c r="BZ47" s="96"/>
      <c r="CA47" s="96"/>
      <c r="CB47" s="96"/>
      <c r="CC47" s="96"/>
      <c r="CD47" s="96"/>
      <c r="CE47" s="96"/>
      <c r="CF47" s="68"/>
      <c r="CG47" s="68"/>
      <c r="CH47" s="68"/>
      <c r="CI47" s="68"/>
      <c r="CJ47" s="68"/>
      <c r="CK47" s="68"/>
    </row>
    <row r="48" spans="1:89" s="100" customFormat="1" ht="12.75" customHeight="1" thickTop="1" x14ac:dyDescent="0.75">
      <c r="A48" s="98"/>
      <c r="B48" s="20" t="str">
        <f>QGDP_CP!B48</f>
        <v>Source: National Institute of Statistics of Rwanda</v>
      </c>
      <c r="C48" s="99"/>
      <c r="CF48" s="68"/>
      <c r="CG48" s="68"/>
      <c r="CH48" s="68"/>
      <c r="CI48" s="68"/>
      <c r="CJ48" s="68"/>
      <c r="CK48" s="68"/>
    </row>
    <row r="49" spans="1:89" s="100" customFormat="1" ht="12.65" customHeight="1" x14ac:dyDescent="0.75">
      <c r="A49" s="98"/>
      <c r="B49" s="22">
        <f>QGDP_CP!B49</f>
        <v>46007</v>
      </c>
      <c r="C49" s="99"/>
      <c r="CF49" s="68"/>
      <c r="CG49" s="68"/>
      <c r="CH49" s="68"/>
      <c r="CI49" s="68"/>
      <c r="CJ49" s="68"/>
      <c r="CK49" s="68"/>
    </row>
    <row r="50" spans="1:89" ht="17.75" x14ac:dyDescent="0.75">
      <c r="A50" s="64"/>
      <c r="CF50" s="68"/>
      <c r="CG50" s="68"/>
      <c r="CH50" s="68"/>
      <c r="CI50" s="68"/>
      <c r="CJ50" s="68"/>
      <c r="CK50" s="68"/>
    </row>
    <row r="51" spans="1:89" ht="17.75" x14ac:dyDescent="0.75">
      <c r="A51" s="64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3"/>
      <c r="BN51" s="103"/>
      <c r="BO51" s="103"/>
      <c r="BP51" s="103"/>
      <c r="BQ51" s="103"/>
      <c r="BR51" s="103"/>
      <c r="BS51" s="103"/>
      <c r="BT51" s="103"/>
      <c r="BU51" s="103"/>
      <c r="BV51" s="103"/>
      <c r="BW51" s="103"/>
      <c r="BX51" s="103"/>
      <c r="BY51" s="103"/>
      <c r="BZ51" s="103"/>
      <c r="CA51" s="103"/>
      <c r="CB51" s="103"/>
      <c r="CC51" s="103"/>
      <c r="CD51" s="103"/>
      <c r="CE51" s="103"/>
      <c r="CF51" s="68"/>
      <c r="CG51" s="68"/>
      <c r="CH51" s="68"/>
      <c r="CI51" s="68"/>
      <c r="CJ51" s="68"/>
      <c r="CK51" s="68"/>
    </row>
    <row r="52" spans="1:89" ht="17.75" x14ac:dyDescent="0.75">
      <c r="A52" s="64"/>
      <c r="B52" s="104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5"/>
      <c r="BK52" s="105"/>
      <c r="BL52" s="105"/>
      <c r="BM52" s="105"/>
      <c r="BN52" s="105"/>
      <c r="BO52" s="105"/>
      <c r="BP52" s="105"/>
      <c r="BQ52" s="105"/>
      <c r="BR52" s="105"/>
      <c r="BS52" s="105"/>
      <c r="BT52" s="105"/>
      <c r="BU52" s="105"/>
      <c r="BV52" s="105"/>
      <c r="BW52" s="105"/>
      <c r="BX52" s="105"/>
      <c r="BY52" s="105"/>
      <c r="BZ52" s="105"/>
      <c r="CA52" s="105"/>
      <c r="CB52" s="105"/>
      <c r="CC52" s="105"/>
      <c r="CD52" s="105"/>
      <c r="CE52" s="105"/>
      <c r="CF52" s="68"/>
      <c r="CG52" s="68"/>
      <c r="CH52" s="68"/>
      <c r="CI52" s="68"/>
      <c r="CJ52" s="68"/>
      <c r="CK52" s="68"/>
    </row>
    <row r="53" spans="1:89" ht="17.75" x14ac:dyDescent="0.75">
      <c r="A53" s="64"/>
      <c r="CF53" s="68"/>
      <c r="CG53" s="68"/>
      <c r="CH53" s="68"/>
      <c r="CI53" s="68"/>
      <c r="CJ53" s="68"/>
      <c r="CK53" s="68"/>
    </row>
    <row r="54" spans="1:89" ht="17.75" x14ac:dyDescent="0.75">
      <c r="A54" s="64"/>
      <c r="CF54" s="68"/>
      <c r="CG54" s="68"/>
      <c r="CH54" s="68"/>
      <c r="CI54" s="68"/>
      <c r="CJ54" s="68"/>
      <c r="CK54" s="68"/>
    </row>
    <row r="55" spans="1:89" ht="17.75" x14ac:dyDescent="0.75">
      <c r="A55" s="64"/>
    </row>
    <row r="56" spans="1:89" ht="17.75" x14ac:dyDescent="0.75">
      <c r="A56" s="64"/>
    </row>
    <row r="57" spans="1:89" ht="17.75" x14ac:dyDescent="0.75">
      <c r="A57" s="64"/>
    </row>
    <row r="58" spans="1:89" ht="17.75" x14ac:dyDescent="0.75">
      <c r="A58" s="64"/>
    </row>
    <row r="59" spans="1:89" ht="17.75" x14ac:dyDescent="0.75">
      <c r="A59" s="64"/>
    </row>
    <row r="60" spans="1:89" ht="17.75" x14ac:dyDescent="0.75">
      <c r="A60" s="64"/>
    </row>
    <row r="61" spans="1:89" ht="17.75" x14ac:dyDescent="0.75">
      <c r="A61" s="64"/>
    </row>
    <row r="62" spans="1:89" ht="17.75" x14ac:dyDescent="0.75">
      <c r="A62" s="64"/>
    </row>
    <row r="63" spans="1:89" ht="17.75" x14ac:dyDescent="0.75">
      <c r="A63" s="64"/>
    </row>
    <row r="64" spans="1:89" ht="17.75" x14ac:dyDescent="0.75">
      <c r="A64" s="64"/>
    </row>
    <row r="65" spans="1:1" ht="17.75" x14ac:dyDescent="0.75">
      <c r="A65" s="64"/>
    </row>
  </sheetData>
  <conditionalFormatting sqref="CG7:CK46">
    <cfRule type="cellIs" dxfId="10" priority="1" operator="lessThan">
      <formula>0</formula>
    </cfRule>
  </conditionalFormatting>
  <pageMargins left="0.7" right="0.7" top="0.75" bottom="0.75" header="0.3" footer="0.3"/>
  <pageSetup paperSize="9" scale="5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B245F-8809-4231-91C5-B1E15A2E904F}">
  <sheetPr codeName="Sheet8">
    <pageSetUpPr fitToPage="1"/>
  </sheetPr>
  <dimension ref="A2:CK73"/>
  <sheetViews>
    <sheetView showGridLines="0" zoomScale="93" zoomScaleNormal="93" workbookViewId="0">
      <pane xSplit="3" ySplit="5" topLeftCell="D25" activePane="bottomRight" state="frozen"/>
      <selection activeCell="BS11" sqref="BS11"/>
      <selection pane="topRight" activeCell="BS11" sqref="BS11"/>
      <selection pane="bottomLeft" activeCell="BS11" sqref="BS11"/>
      <selection pane="bottomRight" activeCell="H26" sqref="H26:K26"/>
    </sheetView>
  </sheetViews>
  <sheetFormatPr defaultColWidth="9.1328125" defaultRowHeight="13" x14ac:dyDescent="0.6"/>
  <cols>
    <col min="1" max="1" width="4" style="152" customWidth="1"/>
    <col min="2" max="2" width="38.26953125" style="152" customWidth="1"/>
    <col min="3" max="62" width="8.40625" style="152" customWidth="1"/>
    <col min="63" max="63" width="7.40625" style="152" customWidth="1"/>
    <col min="64" max="82" width="8.40625" style="152" customWidth="1"/>
    <col min="83" max="83" width="9.7265625" style="152" bestFit="1" customWidth="1"/>
    <col min="84" max="85" width="9.1328125" style="152"/>
    <col min="86" max="86" width="0" style="152" hidden="1" customWidth="1"/>
    <col min="87" max="16384" width="9.1328125" style="152"/>
  </cols>
  <sheetData>
    <row r="2" spans="1:83" ht="15" customHeight="1" x14ac:dyDescent="0.7">
      <c r="B2" s="23" t="s">
        <v>113</v>
      </c>
      <c r="C2" s="24" t="s">
        <v>163</v>
      </c>
      <c r="D2" s="24" t="s">
        <v>163</v>
      </c>
      <c r="E2" s="24" t="s">
        <v>163</v>
      </c>
      <c r="F2" s="24" t="s">
        <v>163</v>
      </c>
      <c r="G2" s="24" t="s">
        <v>163</v>
      </c>
      <c r="H2" s="24" t="s">
        <v>163</v>
      </c>
      <c r="I2" s="24" t="s">
        <v>163</v>
      </c>
      <c r="J2" s="24" t="s">
        <v>163</v>
      </c>
      <c r="K2" s="24" t="s">
        <v>163</v>
      </c>
      <c r="L2" s="24" t="s">
        <v>163</v>
      </c>
      <c r="M2" s="24" t="s">
        <v>163</v>
      </c>
      <c r="N2" s="24" t="s">
        <v>163</v>
      </c>
      <c r="O2" s="24" t="s">
        <v>163</v>
      </c>
      <c r="P2" s="24" t="s">
        <v>163</v>
      </c>
      <c r="Q2" s="24" t="s">
        <v>163</v>
      </c>
      <c r="R2" s="24" t="s">
        <v>163</v>
      </c>
      <c r="S2" s="24" t="s">
        <v>163</v>
      </c>
      <c r="T2" s="24" t="s">
        <v>163</v>
      </c>
      <c r="U2" s="24" t="s">
        <v>163</v>
      </c>
      <c r="V2" s="24" t="s">
        <v>163</v>
      </c>
      <c r="W2" s="24" t="s">
        <v>163</v>
      </c>
      <c r="X2" s="24" t="s">
        <v>163</v>
      </c>
      <c r="Y2" s="24" t="s">
        <v>163</v>
      </c>
      <c r="Z2" s="24" t="s">
        <v>163</v>
      </c>
      <c r="AA2" s="24" t="s">
        <v>163</v>
      </c>
      <c r="AB2" s="24" t="s">
        <v>163</v>
      </c>
      <c r="AC2" s="24" t="s">
        <v>163</v>
      </c>
      <c r="AD2" s="24" t="s">
        <v>163</v>
      </c>
      <c r="AE2" s="24" t="s">
        <v>163</v>
      </c>
      <c r="AF2" s="24" t="s">
        <v>163</v>
      </c>
      <c r="AG2" s="24" t="s">
        <v>163</v>
      </c>
      <c r="AH2" s="24" t="s">
        <v>163</v>
      </c>
      <c r="AI2" s="24" t="s">
        <v>163</v>
      </c>
      <c r="AJ2" s="24" t="s">
        <v>163</v>
      </c>
      <c r="AK2" s="24" t="s">
        <v>163</v>
      </c>
      <c r="AL2" s="24" t="s">
        <v>163</v>
      </c>
      <c r="AM2" s="24" t="s">
        <v>163</v>
      </c>
      <c r="AN2" s="24" t="s">
        <v>163</v>
      </c>
      <c r="AO2" s="24" t="s">
        <v>163</v>
      </c>
      <c r="AP2" s="24" t="s">
        <v>163</v>
      </c>
      <c r="AQ2" s="24" t="s">
        <v>163</v>
      </c>
      <c r="AR2" s="24" t="s">
        <v>163</v>
      </c>
      <c r="AS2" s="24" t="s">
        <v>163</v>
      </c>
      <c r="AT2" s="24" t="s">
        <v>163</v>
      </c>
      <c r="AU2" s="24" t="s">
        <v>163</v>
      </c>
      <c r="AV2" s="24" t="s">
        <v>163</v>
      </c>
      <c r="AW2" s="24" t="s">
        <v>163</v>
      </c>
      <c r="AX2" s="24" t="s">
        <v>163</v>
      </c>
      <c r="AY2" s="24" t="s">
        <v>163</v>
      </c>
      <c r="AZ2" s="24" t="s">
        <v>163</v>
      </c>
      <c r="BA2" s="24" t="s">
        <v>163</v>
      </c>
      <c r="BB2" s="24" t="s">
        <v>163</v>
      </c>
      <c r="BC2" s="24" t="s">
        <v>163</v>
      </c>
      <c r="BD2" s="24" t="s">
        <v>163</v>
      </c>
      <c r="BE2" s="24" t="s">
        <v>163</v>
      </c>
      <c r="BF2" s="24" t="s">
        <v>163</v>
      </c>
      <c r="BG2" s="24" t="s">
        <v>163</v>
      </c>
      <c r="BH2" s="24" t="s">
        <v>163</v>
      </c>
      <c r="BI2" s="24" t="s">
        <v>163</v>
      </c>
      <c r="BJ2" s="24" t="s">
        <v>163</v>
      </c>
      <c r="BK2" s="24" t="s">
        <v>163</v>
      </c>
      <c r="BL2" s="24" t="s">
        <v>163</v>
      </c>
      <c r="BM2" s="24" t="s">
        <v>163</v>
      </c>
      <c r="BN2" s="24" t="s">
        <v>163</v>
      </c>
      <c r="BO2" s="24" t="s">
        <v>163</v>
      </c>
      <c r="BP2" s="24" t="s">
        <v>163</v>
      </c>
      <c r="BQ2" s="24" t="s">
        <v>163</v>
      </c>
      <c r="BR2" s="24" t="s">
        <v>163</v>
      </c>
      <c r="BS2" s="24" t="s">
        <v>163</v>
      </c>
      <c r="BT2" s="24" t="s">
        <v>163</v>
      </c>
      <c r="BU2" s="24" t="s">
        <v>163</v>
      </c>
      <c r="BV2" s="24" t="s">
        <v>163</v>
      </c>
      <c r="BW2" s="24" t="s">
        <v>163</v>
      </c>
      <c r="BX2" s="24" t="s">
        <v>163</v>
      </c>
      <c r="BY2" s="24" t="s">
        <v>163</v>
      </c>
      <c r="BZ2" s="24" t="s">
        <v>163</v>
      </c>
      <c r="CA2" s="24" t="s">
        <v>163</v>
      </c>
      <c r="CB2" s="24" t="s">
        <v>163</v>
      </c>
      <c r="CC2" s="24" t="s">
        <v>163</v>
      </c>
      <c r="CD2" s="24" t="s">
        <v>163</v>
      </c>
    </row>
    <row r="3" spans="1:83" ht="15" customHeight="1" x14ac:dyDescent="0.75">
      <c r="B3" s="25" t="s">
        <v>114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3"/>
      <c r="AX3" s="153"/>
      <c r="AY3" s="153"/>
      <c r="AZ3" s="153"/>
      <c r="BA3" s="153"/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153"/>
      <c r="BO3" s="153"/>
      <c r="BP3" s="153"/>
      <c r="BQ3" s="153"/>
      <c r="BR3" s="153"/>
      <c r="BS3" s="153"/>
      <c r="BT3" s="153"/>
      <c r="BU3" s="153"/>
      <c r="BV3" s="153"/>
      <c r="BW3" s="153"/>
      <c r="BX3" s="153"/>
      <c r="BY3" s="153"/>
      <c r="BZ3" s="153"/>
      <c r="CA3" s="153"/>
      <c r="CB3" s="153"/>
      <c r="CC3" s="153"/>
      <c r="CD3" s="153"/>
    </row>
    <row r="4" spans="1:83" ht="15" customHeight="1" thickBot="1" x14ac:dyDescent="0.75">
      <c r="B4" s="154" t="s">
        <v>115</v>
      </c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</row>
    <row r="5" spans="1:83" s="156" customFormat="1" ht="14.5" thickTop="1" thickBot="1" x14ac:dyDescent="0.75">
      <c r="B5" s="26"/>
      <c r="C5" s="157">
        <v>2024</v>
      </c>
      <c r="D5" s="157" t="s">
        <v>116</v>
      </c>
      <c r="E5" s="157" t="s">
        <v>117</v>
      </c>
      <c r="F5" s="157" t="s">
        <v>118</v>
      </c>
      <c r="G5" s="157" t="s">
        <v>119</v>
      </c>
      <c r="H5" s="157" t="s">
        <v>120</v>
      </c>
      <c r="I5" s="157" t="s">
        <v>121</v>
      </c>
      <c r="J5" s="157" t="s">
        <v>122</v>
      </c>
      <c r="K5" s="157" t="s">
        <v>123</v>
      </c>
      <c r="L5" s="157" t="s">
        <v>124</v>
      </c>
      <c r="M5" s="157" t="s">
        <v>125</v>
      </c>
      <c r="N5" s="157" t="s">
        <v>126</v>
      </c>
      <c r="O5" s="157" t="s">
        <v>127</v>
      </c>
      <c r="P5" s="157" t="s">
        <v>128</v>
      </c>
      <c r="Q5" s="157" t="s">
        <v>129</v>
      </c>
      <c r="R5" s="157" t="s">
        <v>130</v>
      </c>
      <c r="S5" s="157" t="s">
        <v>131</v>
      </c>
      <c r="T5" s="157" t="s">
        <v>132</v>
      </c>
      <c r="U5" s="157" t="s">
        <v>133</v>
      </c>
      <c r="V5" s="157" t="s">
        <v>134</v>
      </c>
      <c r="W5" s="157" t="s">
        <v>135</v>
      </c>
      <c r="X5" s="157" t="s">
        <v>136</v>
      </c>
      <c r="Y5" s="157" t="s">
        <v>137</v>
      </c>
      <c r="Z5" s="157" t="s">
        <v>138</v>
      </c>
      <c r="AA5" s="157" t="s">
        <v>139</v>
      </c>
      <c r="AB5" s="157" t="s">
        <v>140</v>
      </c>
      <c r="AC5" s="157" t="s">
        <v>141</v>
      </c>
      <c r="AD5" s="157" t="s">
        <v>142</v>
      </c>
      <c r="AE5" s="157" t="s">
        <v>143</v>
      </c>
      <c r="AF5" s="157" t="s">
        <v>144</v>
      </c>
      <c r="AG5" s="157" t="s">
        <v>145</v>
      </c>
      <c r="AH5" s="157" t="s">
        <v>146</v>
      </c>
      <c r="AI5" s="157" t="s">
        <v>147</v>
      </c>
      <c r="AJ5" s="157" t="s">
        <v>66</v>
      </c>
      <c r="AK5" s="157" t="s">
        <v>67</v>
      </c>
      <c r="AL5" s="157" t="s">
        <v>68</v>
      </c>
      <c r="AM5" s="157" t="s">
        <v>69</v>
      </c>
      <c r="AN5" s="157" t="s">
        <v>70</v>
      </c>
      <c r="AO5" s="157" t="s">
        <v>71</v>
      </c>
      <c r="AP5" s="157" t="s">
        <v>72</v>
      </c>
      <c r="AQ5" s="157" t="s">
        <v>73</v>
      </c>
      <c r="AR5" s="157" t="s">
        <v>74</v>
      </c>
      <c r="AS5" s="157" t="s">
        <v>75</v>
      </c>
      <c r="AT5" s="157" t="s">
        <v>76</v>
      </c>
      <c r="AU5" s="157" t="s">
        <v>77</v>
      </c>
      <c r="AV5" s="157" t="s">
        <v>78</v>
      </c>
      <c r="AW5" s="157" t="s">
        <v>79</v>
      </c>
      <c r="AX5" s="157" t="s">
        <v>80</v>
      </c>
      <c r="AY5" s="157" t="s">
        <v>81</v>
      </c>
      <c r="AZ5" s="157" t="s">
        <v>82</v>
      </c>
      <c r="BA5" s="157" t="s">
        <v>83</v>
      </c>
      <c r="BB5" s="157" t="s">
        <v>84</v>
      </c>
      <c r="BC5" s="157" t="s">
        <v>85</v>
      </c>
      <c r="BD5" s="157" t="s">
        <v>86</v>
      </c>
      <c r="BE5" s="157" t="s">
        <v>87</v>
      </c>
      <c r="BF5" s="157" t="s">
        <v>88</v>
      </c>
      <c r="BG5" s="157" t="s">
        <v>89</v>
      </c>
      <c r="BH5" s="157" t="s">
        <v>90</v>
      </c>
      <c r="BI5" s="157" t="s">
        <v>91</v>
      </c>
      <c r="BJ5" s="157" t="s">
        <v>92</v>
      </c>
      <c r="BK5" s="157" t="s">
        <v>93</v>
      </c>
      <c r="BL5" s="157" t="s">
        <v>94</v>
      </c>
      <c r="BM5" s="157" t="s">
        <v>95</v>
      </c>
      <c r="BN5" s="157" t="s">
        <v>96</v>
      </c>
      <c r="BO5" s="157" t="s">
        <v>97</v>
      </c>
      <c r="BP5" s="157" t="s">
        <v>98</v>
      </c>
      <c r="BQ5" s="157" t="s">
        <v>99</v>
      </c>
      <c r="BR5" s="157" t="s">
        <v>100</v>
      </c>
      <c r="BS5" s="157" t="s">
        <v>101</v>
      </c>
      <c r="BT5" s="157" t="s">
        <v>102</v>
      </c>
      <c r="BU5" s="157" t="s">
        <v>103</v>
      </c>
      <c r="BV5" s="157" t="s">
        <v>104</v>
      </c>
      <c r="BW5" s="157" t="s">
        <v>105</v>
      </c>
      <c r="BX5" s="157" t="s">
        <v>106</v>
      </c>
      <c r="BY5" s="157" t="s">
        <v>107</v>
      </c>
      <c r="BZ5" s="157" t="s">
        <v>108</v>
      </c>
      <c r="CA5" s="157" t="s">
        <v>109</v>
      </c>
      <c r="CB5" s="157" t="s">
        <v>110</v>
      </c>
      <c r="CC5" s="157" t="s">
        <v>111</v>
      </c>
      <c r="CD5" s="157" t="s">
        <v>112</v>
      </c>
    </row>
    <row r="6" spans="1:83" ht="16.25" thickTop="1" x14ac:dyDescent="0.7">
      <c r="B6" s="158" t="s">
        <v>148</v>
      </c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  <c r="AS6" s="159"/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59"/>
      <c r="BK6" s="159"/>
      <c r="BL6" s="159"/>
      <c r="BM6" s="159"/>
      <c r="BN6" s="159"/>
      <c r="BO6" s="159"/>
      <c r="BP6" s="159"/>
      <c r="BQ6" s="159"/>
      <c r="BR6" s="159"/>
      <c r="BS6" s="159"/>
      <c r="BT6" s="159"/>
      <c r="BU6" s="159"/>
      <c r="BV6" s="159"/>
      <c r="BW6" s="159"/>
      <c r="BX6" s="159"/>
      <c r="BY6" s="159"/>
      <c r="BZ6" s="159"/>
      <c r="CA6" s="159"/>
      <c r="CB6" s="159"/>
      <c r="CC6" s="159"/>
      <c r="CD6" s="159"/>
    </row>
    <row r="7" spans="1:83" ht="14.25" customHeight="1" x14ac:dyDescent="0.6">
      <c r="A7" s="27"/>
      <c r="B7" s="28" t="s">
        <v>149</v>
      </c>
      <c r="C7" s="29">
        <v>19918</v>
      </c>
      <c r="D7" s="29">
        <v>396</v>
      </c>
      <c r="E7" s="29">
        <v>446</v>
      </c>
      <c r="F7" s="29">
        <v>472</v>
      </c>
      <c r="G7" s="29">
        <v>492</v>
      </c>
      <c r="H7" s="29">
        <v>499</v>
      </c>
      <c r="I7" s="29">
        <v>540</v>
      </c>
      <c r="J7" s="29">
        <v>566</v>
      </c>
      <c r="K7" s="29">
        <v>592</v>
      </c>
      <c r="L7" s="29">
        <v>600</v>
      </c>
      <c r="M7" s="29">
        <v>679</v>
      </c>
      <c r="N7" s="29">
        <v>741</v>
      </c>
      <c r="O7" s="29">
        <v>779</v>
      </c>
      <c r="P7" s="29">
        <v>777</v>
      </c>
      <c r="Q7" s="29">
        <v>765</v>
      </c>
      <c r="R7" s="29">
        <v>799</v>
      </c>
      <c r="S7" s="29">
        <v>844</v>
      </c>
      <c r="T7" s="29">
        <v>842</v>
      </c>
      <c r="U7" s="29">
        <v>848</v>
      </c>
      <c r="V7" s="29">
        <v>895</v>
      </c>
      <c r="W7" s="29">
        <v>944</v>
      </c>
      <c r="X7" s="29">
        <v>952</v>
      </c>
      <c r="Y7" s="29">
        <v>987</v>
      </c>
      <c r="Z7" s="29">
        <v>1062</v>
      </c>
      <c r="AA7" s="29">
        <v>1083</v>
      </c>
      <c r="AB7" s="29">
        <v>1100</v>
      </c>
      <c r="AC7" s="29">
        <v>1128</v>
      </c>
      <c r="AD7" s="29">
        <v>1195</v>
      </c>
      <c r="AE7" s="29">
        <v>1219</v>
      </c>
      <c r="AF7" s="29">
        <v>1196</v>
      </c>
      <c r="AG7" s="29">
        <v>1235</v>
      </c>
      <c r="AH7" s="29">
        <v>1245</v>
      </c>
      <c r="AI7" s="29">
        <v>1312</v>
      </c>
      <c r="AJ7" s="29">
        <v>1336</v>
      </c>
      <c r="AK7" s="29">
        <v>1403</v>
      </c>
      <c r="AL7" s="29">
        <v>1296</v>
      </c>
      <c r="AM7" s="29">
        <v>1513</v>
      </c>
      <c r="AN7" s="29">
        <v>1451</v>
      </c>
      <c r="AO7" s="29">
        <v>1511</v>
      </c>
      <c r="AP7" s="29">
        <v>1418</v>
      </c>
      <c r="AQ7" s="29">
        <v>1701</v>
      </c>
      <c r="AR7" s="29">
        <v>1617</v>
      </c>
      <c r="AS7" s="29">
        <v>1707</v>
      </c>
      <c r="AT7" s="29">
        <v>1538</v>
      </c>
      <c r="AU7" s="29">
        <v>1906</v>
      </c>
      <c r="AV7" s="29">
        <v>1830</v>
      </c>
      <c r="AW7" s="29">
        <v>1964</v>
      </c>
      <c r="AX7" s="29">
        <v>1722</v>
      </c>
      <c r="AY7" s="29">
        <v>2105</v>
      </c>
      <c r="AZ7" s="29">
        <v>2016</v>
      </c>
      <c r="BA7" s="29">
        <v>2132</v>
      </c>
      <c r="BB7" s="29">
        <v>1884</v>
      </c>
      <c r="BC7" s="29">
        <v>2277</v>
      </c>
      <c r="BD7" s="29">
        <v>2160</v>
      </c>
      <c r="BE7" s="29">
        <v>2468</v>
      </c>
      <c r="BF7" s="29">
        <v>2195</v>
      </c>
      <c r="BG7" s="29">
        <v>2637</v>
      </c>
      <c r="BH7" s="29">
        <v>2395</v>
      </c>
      <c r="BI7" s="29">
        <v>2413</v>
      </c>
      <c r="BJ7" s="29">
        <v>2221</v>
      </c>
      <c r="BK7" s="29">
        <v>2862</v>
      </c>
      <c r="BL7" s="29">
        <v>2574</v>
      </c>
      <c r="BM7" s="29">
        <v>2841</v>
      </c>
      <c r="BN7" s="29">
        <v>2598</v>
      </c>
      <c r="BO7" s="29">
        <v>3112</v>
      </c>
      <c r="BP7" s="29">
        <v>3101</v>
      </c>
      <c r="BQ7" s="29">
        <v>3549</v>
      </c>
      <c r="BR7" s="29">
        <v>3304</v>
      </c>
      <c r="BS7" s="29">
        <v>4210</v>
      </c>
      <c r="BT7" s="29">
        <v>4031</v>
      </c>
      <c r="BU7" s="29">
        <v>4255</v>
      </c>
      <c r="BV7" s="29">
        <v>3875</v>
      </c>
      <c r="BW7" s="29">
        <v>5016</v>
      </c>
      <c r="BX7" s="29">
        <v>4514</v>
      </c>
      <c r="BY7" s="29">
        <v>4965</v>
      </c>
      <c r="BZ7" s="29">
        <v>4659</v>
      </c>
      <c r="CA7" s="29">
        <v>5780</v>
      </c>
      <c r="CB7" s="29">
        <v>5276</v>
      </c>
      <c r="CC7" s="29">
        <v>5799</v>
      </c>
      <c r="CD7" s="29">
        <v>5525</v>
      </c>
      <c r="CE7" s="29">
        <f>SUM(CB7:CD7)</f>
        <v>16600</v>
      </c>
    </row>
    <row r="8" spans="1:83" s="160" customFormat="1" ht="6.75" customHeight="1" x14ac:dyDescent="0.7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29"/>
    </row>
    <row r="9" spans="1:83" ht="14.25" customHeight="1" x14ac:dyDescent="0.6">
      <c r="A9" s="27"/>
      <c r="B9" s="28" t="s">
        <v>10</v>
      </c>
      <c r="C9" s="29">
        <v>15959</v>
      </c>
      <c r="D9" s="29">
        <v>386</v>
      </c>
      <c r="E9" s="29">
        <v>422</v>
      </c>
      <c r="F9" s="29">
        <v>461</v>
      </c>
      <c r="G9" s="29">
        <v>468</v>
      </c>
      <c r="H9" s="29">
        <v>450</v>
      </c>
      <c r="I9" s="29">
        <v>495</v>
      </c>
      <c r="J9" s="29">
        <v>522</v>
      </c>
      <c r="K9" s="29">
        <v>548</v>
      </c>
      <c r="L9" s="29">
        <v>571</v>
      </c>
      <c r="M9" s="29">
        <v>625</v>
      </c>
      <c r="N9" s="29">
        <v>707</v>
      </c>
      <c r="O9" s="29">
        <v>717</v>
      </c>
      <c r="P9" s="29">
        <v>720</v>
      </c>
      <c r="Q9" s="29">
        <v>726</v>
      </c>
      <c r="R9" s="29">
        <v>770</v>
      </c>
      <c r="S9" s="29">
        <v>808</v>
      </c>
      <c r="T9" s="29">
        <v>802</v>
      </c>
      <c r="U9" s="29">
        <v>815</v>
      </c>
      <c r="V9" s="29">
        <v>852</v>
      </c>
      <c r="W9" s="29">
        <v>892</v>
      </c>
      <c r="X9" s="29">
        <v>869</v>
      </c>
      <c r="Y9" s="29">
        <v>944</v>
      </c>
      <c r="Z9" s="29">
        <v>1001</v>
      </c>
      <c r="AA9" s="29">
        <v>1003</v>
      </c>
      <c r="AB9" s="29">
        <v>1020</v>
      </c>
      <c r="AC9" s="29">
        <v>1079</v>
      </c>
      <c r="AD9" s="29">
        <v>1143</v>
      </c>
      <c r="AE9" s="29">
        <v>1081</v>
      </c>
      <c r="AF9" s="29">
        <v>1080</v>
      </c>
      <c r="AG9" s="29">
        <v>1101</v>
      </c>
      <c r="AH9" s="29">
        <v>1146</v>
      </c>
      <c r="AI9" s="29">
        <v>1221</v>
      </c>
      <c r="AJ9" s="29">
        <v>1254</v>
      </c>
      <c r="AK9" s="29">
        <v>1301</v>
      </c>
      <c r="AL9" s="29">
        <v>1233</v>
      </c>
      <c r="AM9" s="29">
        <v>1362</v>
      </c>
      <c r="AN9" s="29">
        <v>1365</v>
      </c>
      <c r="AO9" s="29">
        <v>1448</v>
      </c>
      <c r="AP9" s="29">
        <v>1355</v>
      </c>
      <c r="AQ9" s="29">
        <v>1575</v>
      </c>
      <c r="AR9" s="29">
        <v>1456</v>
      </c>
      <c r="AS9" s="29">
        <v>1608</v>
      </c>
      <c r="AT9" s="29">
        <v>1466</v>
      </c>
      <c r="AU9" s="29">
        <v>1741</v>
      </c>
      <c r="AV9" s="29">
        <v>1618</v>
      </c>
      <c r="AW9" s="29">
        <v>1754</v>
      </c>
      <c r="AX9" s="29">
        <v>1524</v>
      </c>
      <c r="AY9" s="29">
        <v>1860</v>
      </c>
      <c r="AZ9" s="29">
        <v>1785</v>
      </c>
      <c r="BA9" s="29">
        <v>1876</v>
      </c>
      <c r="BB9" s="29">
        <v>1591</v>
      </c>
      <c r="BC9" s="29">
        <v>1962</v>
      </c>
      <c r="BD9" s="29">
        <v>1851</v>
      </c>
      <c r="BE9" s="29">
        <v>2126</v>
      </c>
      <c r="BF9" s="29">
        <v>1723</v>
      </c>
      <c r="BG9" s="29">
        <v>2168</v>
      </c>
      <c r="BH9" s="29">
        <v>2144</v>
      </c>
      <c r="BI9" s="29">
        <v>2171</v>
      </c>
      <c r="BJ9" s="29">
        <v>1911</v>
      </c>
      <c r="BK9" s="29">
        <v>2561</v>
      </c>
      <c r="BL9" s="29">
        <v>2254</v>
      </c>
      <c r="BM9" s="29">
        <v>2498</v>
      </c>
      <c r="BN9" s="29">
        <v>2826</v>
      </c>
      <c r="BO9" s="29">
        <v>2632</v>
      </c>
      <c r="BP9" s="29">
        <v>2467</v>
      </c>
      <c r="BQ9" s="29">
        <v>2857</v>
      </c>
      <c r="BR9" s="29">
        <v>2584</v>
      </c>
      <c r="BS9" s="29">
        <v>3366</v>
      </c>
      <c r="BT9" s="29">
        <v>3319</v>
      </c>
      <c r="BU9" s="29">
        <v>3584</v>
      </c>
      <c r="BV9" s="29">
        <v>2896</v>
      </c>
      <c r="BW9" s="29">
        <v>4136</v>
      </c>
      <c r="BX9" s="29">
        <v>3471</v>
      </c>
      <c r="BY9" s="29">
        <v>4060</v>
      </c>
      <c r="BZ9" s="29">
        <v>3658</v>
      </c>
      <c r="CA9" s="29">
        <v>4770</v>
      </c>
      <c r="CB9" s="29">
        <v>4071</v>
      </c>
      <c r="CC9" s="29">
        <v>4828</v>
      </c>
      <c r="CD9" s="29">
        <v>4169</v>
      </c>
      <c r="CE9" s="29">
        <f t="shared" ref="CE9:CE23" si="0">SUM(CB9:CD9)</f>
        <v>13068</v>
      </c>
    </row>
    <row r="10" spans="1:83" ht="13.5" customHeight="1" x14ac:dyDescent="0.6">
      <c r="A10" s="27"/>
      <c r="B10" s="32" t="s">
        <v>11</v>
      </c>
      <c r="C10" s="33">
        <v>3333</v>
      </c>
      <c r="D10" s="33">
        <v>64</v>
      </c>
      <c r="E10" s="33">
        <v>80</v>
      </c>
      <c r="F10" s="33">
        <v>78</v>
      </c>
      <c r="G10" s="33">
        <v>72</v>
      </c>
      <c r="H10" s="33">
        <v>75</v>
      </c>
      <c r="I10" s="33">
        <v>71</v>
      </c>
      <c r="J10" s="33">
        <v>81</v>
      </c>
      <c r="K10" s="33">
        <v>88</v>
      </c>
      <c r="L10" s="33">
        <v>81</v>
      </c>
      <c r="M10" s="33">
        <v>81</v>
      </c>
      <c r="N10" s="33">
        <v>90</v>
      </c>
      <c r="O10" s="33">
        <v>96</v>
      </c>
      <c r="P10" s="33">
        <v>100</v>
      </c>
      <c r="Q10" s="33">
        <v>105</v>
      </c>
      <c r="R10" s="33">
        <v>102</v>
      </c>
      <c r="S10" s="33">
        <v>104</v>
      </c>
      <c r="T10" s="33">
        <v>108</v>
      </c>
      <c r="U10" s="33">
        <v>119</v>
      </c>
      <c r="V10" s="33">
        <v>115</v>
      </c>
      <c r="W10" s="33">
        <v>126</v>
      </c>
      <c r="X10" s="33">
        <v>95</v>
      </c>
      <c r="Y10" s="33">
        <v>116</v>
      </c>
      <c r="Z10" s="33">
        <v>137</v>
      </c>
      <c r="AA10" s="33">
        <v>149</v>
      </c>
      <c r="AB10" s="33">
        <v>147</v>
      </c>
      <c r="AC10" s="33">
        <v>174</v>
      </c>
      <c r="AD10" s="33">
        <v>135</v>
      </c>
      <c r="AE10" s="33">
        <v>153</v>
      </c>
      <c r="AF10" s="33">
        <v>146</v>
      </c>
      <c r="AG10" s="33">
        <v>175</v>
      </c>
      <c r="AH10" s="33">
        <v>152</v>
      </c>
      <c r="AI10" s="33">
        <v>177</v>
      </c>
      <c r="AJ10" s="33">
        <v>192</v>
      </c>
      <c r="AK10" s="33">
        <v>229</v>
      </c>
      <c r="AL10" s="33">
        <v>198</v>
      </c>
      <c r="AM10" s="33">
        <v>184</v>
      </c>
      <c r="AN10" s="33">
        <v>207</v>
      </c>
      <c r="AO10" s="33">
        <v>212</v>
      </c>
      <c r="AP10" s="33">
        <v>218</v>
      </c>
      <c r="AQ10" s="33">
        <v>215</v>
      </c>
      <c r="AR10" s="33">
        <v>265</v>
      </c>
      <c r="AS10" s="33">
        <v>231</v>
      </c>
      <c r="AT10" s="33">
        <v>269</v>
      </c>
      <c r="AU10" s="33">
        <v>266</v>
      </c>
      <c r="AV10" s="33">
        <v>264</v>
      </c>
      <c r="AW10" s="33">
        <v>285</v>
      </c>
      <c r="AX10" s="33">
        <v>311</v>
      </c>
      <c r="AY10" s="33">
        <v>296</v>
      </c>
      <c r="AZ10" s="33">
        <v>267</v>
      </c>
      <c r="BA10" s="33">
        <v>275</v>
      </c>
      <c r="BB10" s="33">
        <v>309</v>
      </c>
      <c r="BC10" s="33">
        <v>306</v>
      </c>
      <c r="BD10" s="33">
        <v>317</v>
      </c>
      <c r="BE10" s="33">
        <v>415</v>
      </c>
      <c r="BF10" s="33">
        <v>317</v>
      </c>
      <c r="BG10" s="33">
        <v>343</v>
      </c>
      <c r="BH10" s="33">
        <v>376</v>
      </c>
      <c r="BI10" s="33">
        <v>359</v>
      </c>
      <c r="BJ10" s="33">
        <v>361</v>
      </c>
      <c r="BK10" s="33">
        <v>390</v>
      </c>
      <c r="BL10" s="33">
        <v>442</v>
      </c>
      <c r="BM10" s="33">
        <v>502</v>
      </c>
      <c r="BN10" s="33">
        <v>530</v>
      </c>
      <c r="BO10" s="33">
        <v>489</v>
      </c>
      <c r="BP10" s="33">
        <v>585</v>
      </c>
      <c r="BQ10" s="33">
        <v>552</v>
      </c>
      <c r="BR10" s="33">
        <v>713</v>
      </c>
      <c r="BS10" s="33">
        <v>596</v>
      </c>
      <c r="BT10" s="33">
        <v>666</v>
      </c>
      <c r="BU10" s="33">
        <v>838</v>
      </c>
      <c r="BV10" s="33">
        <v>691</v>
      </c>
      <c r="BW10" s="33">
        <v>640</v>
      </c>
      <c r="BX10" s="33">
        <v>715</v>
      </c>
      <c r="BY10" s="33">
        <v>881</v>
      </c>
      <c r="BZ10" s="33">
        <v>772</v>
      </c>
      <c r="CA10" s="33">
        <v>966</v>
      </c>
      <c r="CB10" s="33">
        <v>837</v>
      </c>
      <c r="CC10" s="33">
        <v>912</v>
      </c>
      <c r="CD10" s="33">
        <v>864</v>
      </c>
      <c r="CE10" s="29">
        <f t="shared" si="0"/>
        <v>2613</v>
      </c>
    </row>
    <row r="11" spans="1:83" ht="13.5" customHeight="1" x14ac:dyDescent="0.6">
      <c r="A11" s="27"/>
      <c r="B11" s="34" t="s">
        <v>150</v>
      </c>
      <c r="C11" s="33">
        <v>12626</v>
      </c>
      <c r="D11" s="33">
        <v>322</v>
      </c>
      <c r="E11" s="33">
        <v>342</v>
      </c>
      <c r="F11" s="33">
        <v>383</v>
      </c>
      <c r="G11" s="33">
        <v>396</v>
      </c>
      <c r="H11" s="33">
        <v>375</v>
      </c>
      <c r="I11" s="33">
        <v>424</v>
      </c>
      <c r="J11" s="33">
        <v>441</v>
      </c>
      <c r="K11" s="33">
        <v>460</v>
      </c>
      <c r="L11" s="33">
        <v>490</v>
      </c>
      <c r="M11" s="33">
        <v>544</v>
      </c>
      <c r="N11" s="33">
        <v>617</v>
      </c>
      <c r="O11" s="33">
        <v>621</v>
      </c>
      <c r="P11" s="33">
        <v>620</v>
      </c>
      <c r="Q11" s="33">
        <v>621</v>
      </c>
      <c r="R11" s="33">
        <v>668</v>
      </c>
      <c r="S11" s="33">
        <v>704</v>
      </c>
      <c r="T11" s="33">
        <v>694</v>
      </c>
      <c r="U11" s="33">
        <v>696</v>
      </c>
      <c r="V11" s="33">
        <v>737</v>
      </c>
      <c r="W11" s="33">
        <v>766</v>
      </c>
      <c r="X11" s="33">
        <v>774</v>
      </c>
      <c r="Y11" s="33">
        <v>828</v>
      </c>
      <c r="Z11" s="33">
        <v>864</v>
      </c>
      <c r="AA11" s="33">
        <v>854</v>
      </c>
      <c r="AB11" s="33">
        <v>873</v>
      </c>
      <c r="AC11" s="33">
        <v>905</v>
      </c>
      <c r="AD11" s="33">
        <v>1008</v>
      </c>
      <c r="AE11" s="33">
        <v>928</v>
      </c>
      <c r="AF11" s="33">
        <v>934</v>
      </c>
      <c r="AG11" s="33">
        <v>926</v>
      </c>
      <c r="AH11" s="33">
        <v>994</v>
      </c>
      <c r="AI11" s="33">
        <v>1044</v>
      </c>
      <c r="AJ11" s="33">
        <v>1062</v>
      </c>
      <c r="AK11" s="33">
        <v>1072</v>
      </c>
      <c r="AL11" s="33">
        <v>1035</v>
      </c>
      <c r="AM11" s="33">
        <v>1178</v>
      </c>
      <c r="AN11" s="33">
        <v>1158</v>
      </c>
      <c r="AO11" s="33">
        <v>1236</v>
      </c>
      <c r="AP11" s="33">
        <v>1137</v>
      </c>
      <c r="AQ11" s="33">
        <v>1360</v>
      </c>
      <c r="AR11" s="33">
        <v>1191</v>
      </c>
      <c r="AS11" s="33">
        <v>1377</v>
      </c>
      <c r="AT11" s="33">
        <v>1197</v>
      </c>
      <c r="AU11" s="33">
        <v>1475</v>
      </c>
      <c r="AV11" s="33">
        <v>1354</v>
      </c>
      <c r="AW11" s="33">
        <v>1469</v>
      </c>
      <c r="AX11" s="33">
        <v>1213</v>
      </c>
      <c r="AY11" s="33">
        <v>1564</v>
      </c>
      <c r="AZ11" s="33">
        <v>1518</v>
      </c>
      <c r="BA11" s="33">
        <v>1601</v>
      </c>
      <c r="BB11" s="33">
        <v>1281</v>
      </c>
      <c r="BC11" s="33">
        <v>1656</v>
      </c>
      <c r="BD11" s="33">
        <v>1534</v>
      </c>
      <c r="BE11" s="33">
        <v>1711</v>
      </c>
      <c r="BF11" s="33">
        <v>1406</v>
      </c>
      <c r="BG11" s="33">
        <v>1824</v>
      </c>
      <c r="BH11" s="33">
        <v>1768</v>
      </c>
      <c r="BI11" s="33">
        <v>1812</v>
      </c>
      <c r="BJ11" s="33">
        <v>1550</v>
      </c>
      <c r="BK11" s="33">
        <v>2171</v>
      </c>
      <c r="BL11" s="33">
        <v>1812</v>
      </c>
      <c r="BM11" s="33">
        <v>1996</v>
      </c>
      <c r="BN11" s="33">
        <v>2296</v>
      </c>
      <c r="BO11" s="33">
        <v>2143</v>
      </c>
      <c r="BP11" s="33">
        <v>1882</v>
      </c>
      <c r="BQ11" s="33">
        <v>2305</v>
      </c>
      <c r="BR11" s="33">
        <v>1871</v>
      </c>
      <c r="BS11" s="33">
        <v>2771</v>
      </c>
      <c r="BT11" s="33">
        <v>2654</v>
      </c>
      <c r="BU11" s="33">
        <v>2747</v>
      </c>
      <c r="BV11" s="33">
        <v>2205</v>
      </c>
      <c r="BW11" s="33">
        <v>3496</v>
      </c>
      <c r="BX11" s="33">
        <v>2757</v>
      </c>
      <c r="BY11" s="33">
        <v>3179</v>
      </c>
      <c r="BZ11" s="33">
        <v>2886</v>
      </c>
      <c r="CA11" s="33">
        <v>3804</v>
      </c>
      <c r="CB11" s="33">
        <v>3234</v>
      </c>
      <c r="CC11" s="33">
        <v>3916</v>
      </c>
      <c r="CD11" s="33">
        <v>3305</v>
      </c>
      <c r="CE11" s="29">
        <f t="shared" si="0"/>
        <v>10455</v>
      </c>
    </row>
    <row r="12" spans="1:83" s="160" customFormat="1" ht="6.75" customHeight="1" x14ac:dyDescent="0.7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29"/>
    </row>
    <row r="13" spans="1:83" ht="14.25" customHeight="1" x14ac:dyDescent="0.6">
      <c r="A13" s="27"/>
      <c r="B13" s="28" t="s">
        <v>13</v>
      </c>
      <c r="C13" s="29">
        <v>6916</v>
      </c>
      <c r="D13" s="29">
        <v>58</v>
      </c>
      <c r="E13" s="29">
        <v>72</v>
      </c>
      <c r="F13" s="29">
        <v>68</v>
      </c>
      <c r="G13" s="29">
        <v>77</v>
      </c>
      <c r="H13" s="29">
        <v>86</v>
      </c>
      <c r="I13" s="29">
        <v>86</v>
      </c>
      <c r="J13" s="29">
        <v>95</v>
      </c>
      <c r="K13" s="29">
        <v>106</v>
      </c>
      <c r="L13" s="29">
        <v>110</v>
      </c>
      <c r="M13" s="29">
        <v>157</v>
      </c>
      <c r="N13" s="29">
        <v>156</v>
      </c>
      <c r="O13" s="29">
        <v>182</v>
      </c>
      <c r="P13" s="29">
        <v>192</v>
      </c>
      <c r="Q13" s="29">
        <v>171</v>
      </c>
      <c r="R13" s="29">
        <v>153</v>
      </c>
      <c r="S13" s="29">
        <v>162</v>
      </c>
      <c r="T13" s="29">
        <v>186</v>
      </c>
      <c r="U13" s="29">
        <v>167</v>
      </c>
      <c r="V13" s="29">
        <v>174</v>
      </c>
      <c r="W13" s="29">
        <v>207</v>
      </c>
      <c r="X13" s="29">
        <v>221</v>
      </c>
      <c r="Y13" s="29">
        <v>194</v>
      </c>
      <c r="Z13" s="29">
        <v>211</v>
      </c>
      <c r="AA13" s="29">
        <v>237</v>
      </c>
      <c r="AB13" s="29">
        <v>258</v>
      </c>
      <c r="AC13" s="29">
        <v>244</v>
      </c>
      <c r="AD13" s="29">
        <v>273</v>
      </c>
      <c r="AE13" s="29">
        <v>321</v>
      </c>
      <c r="AF13" s="29">
        <v>305</v>
      </c>
      <c r="AG13" s="29">
        <v>300</v>
      </c>
      <c r="AH13" s="29">
        <v>296</v>
      </c>
      <c r="AI13" s="29">
        <v>333</v>
      </c>
      <c r="AJ13" s="29">
        <v>326</v>
      </c>
      <c r="AK13" s="29">
        <v>325</v>
      </c>
      <c r="AL13" s="29">
        <v>280</v>
      </c>
      <c r="AM13" s="29">
        <v>375</v>
      </c>
      <c r="AN13" s="29">
        <v>359</v>
      </c>
      <c r="AO13" s="29">
        <v>363</v>
      </c>
      <c r="AP13" s="29">
        <v>350</v>
      </c>
      <c r="AQ13" s="29">
        <v>419</v>
      </c>
      <c r="AR13" s="29">
        <v>466</v>
      </c>
      <c r="AS13" s="29">
        <v>443</v>
      </c>
      <c r="AT13" s="29">
        <v>402</v>
      </c>
      <c r="AU13" s="29">
        <v>462</v>
      </c>
      <c r="AV13" s="29">
        <v>442</v>
      </c>
      <c r="AW13" s="29">
        <v>437</v>
      </c>
      <c r="AX13" s="29">
        <v>470</v>
      </c>
      <c r="AY13" s="29">
        <v>487</v>
      </c>
      <c r="AZ13" s="29">
        <v>356</v>
      </c>
      <c r="BA13" s="29">
        <v>329</v>
      </c>
      <c r="BB13" s="29">
        <v>356</v>
      </c>
      <c r="BC13" s="29">
        <v>448</v>
      </c>
      <c r="BD13" s="29">
        <v>420</v>
      </c>
      <c r="BE13" s="29">
        <v>472</v>
      </c>
      <c r="BF13" s="29">
        <v>585</v>
      </c>
      <c r="BG13" s="29">
        <v>572</v>
      </c>
      <c r="BH13" s="29">
        <v>462</v>
      </c>
      <c r="BI13" s="29">
        <v>416</v>
      </c>
      <c r="BJ13" s="29">
        <v>446</v>
      </c>
      <c r="BK13" s="29">
        <v>475</v>
      </c>
      <c r="BL13" s="29">
        <v>908</v>
      </c>
      <c r="BM13" s="29">
        <v>936</v>
      </c>
      <c r="BN13" s="29">
        <v>1009</v>
      </c>
      <c r="BO13" s="29">
        <v>1089</v>
      </c>
      <c r="BP13" s="29">
        <v>1139</v>
      </c>
      <c r="BQ13" s="29">
        <v>1348</v>
      </c>
      <c r="BR13" s="29">
        <v>1458</v>
      </c>
      <c r="BS13" s="29">
        <v>1404</v>
      </c>
      <c r="BT13" s="29">
        <v>1468</v>
      </c>
      <c r="BU13" s="29">
        <v>1510</v>
      </c>
      <c r="BV13" s="29">
        <v>1886</v>
      </c>
      <c r="BW13" s="29">
        <v>1725</v>
      </c>
      <c r="BX13" s="29">
        <v>1809</v>
      </c>
      <c r="BY13" s="29">
        <v>1696</v>
      </c>
      <c r="BZ13" s="29">
        <v>1754</v>
      </c>
      <c r="CA13" s="29">
        <v>1656</v>
      </c>
      <c r="CB13" s="29">
        <v>2029</v>
      </c>
      <c r="CC13" s="29">
        <v>1743</v>
      </c>
      <c r="CD13" s="29">
        <v>2064</v>
      </c>
      <c r="CE13" s="29">
        <f t="shared" si="0"/>
        <v>5836</v>
      </c>
    </row>
    <row r="14" spans="1:83" ht="13.5" customHeight="1" x14ac:dyDescent="0.6">
      <c r="A14" s="27"/>
      <c r="B14" s="34" t="s">
        <v>151</v>
      </c>
      <c r="C14" s="33">
        <v>4443</v>
      </c>
      <c r="D14" s="33">
        <v>46</v>
      </c>
      <c r="E14" s="33">
        <v>53</v>
      </c>
      <c r="F14" s="33">
        <v>54</v>
      </c>
      <c r="G14" s="33">
        <v>59</v>
      </c>
      <c r="H14" s="33">
        <v>66</v>
      </c>
      <c r="I14" s="33">
        <v>61</v>
      </c>
      <c r="J14" s="33">
        <v>66</v>
      </c>
      <c r="K14" s="33">
        <v>72</v>
      </c>
      <c r="L14" s="33">
        <v>81</v>
      </c>
      <c r="M14" s="33">
        <v>89</v>
      </c>
      <c r="N14" s="33">
        <v>105</v>
      </c>
      <c r="O14" s="33">
        <v>116</v>
      </c>
      <c r="P14" s="33">
        <v>122</v>
      </c>
      <c r="Q14" s="33">
        <v>101</v>
      </c>
      <c r="R14" s="33">
        <v>97</v>
      </c>
      <c r="S14" s="33">
        <v>116</v>
      </c>
      <c r="T14" s="33">
        <v>129</v>
      </c>
      <c r="U14" s="33">
        <v>108</v>
      </c>
      <c r="V14" s="33">
        <v>112</v>
      </c>
      <c r="W14" s="33">
        <v>137</v>
      </c>
      <c r="X14" s="33">
        <v>166</v>
      </c>
      <c r="Y14" s="33">
        <v>134</v>
      </c>
      <c r="Z14" s="33">
        <v>146</v>
      </c>
      <c r="AA14" s="33">
        <v>183</v>
      </c>
      <c r="AB14" s="33">
        <v>175</v>
      </c>
      <c r="AC14" s="33">
        <v>166</v>
      </c>
      <c r="AD14" s="33">
        <v>194</v>
      </c>
      <c r="AE14" s="33">
        <v>233</v>
      </c>
      <c r="AF14" s="33">
        <v>224</v>
      </c>
      <c r="AG14" s="33">
        <v>201</v>
      </c>
      <c r="AH14" s="33">
        <v>219</v>
      </c>
      <c r="AI14" s="33">
        <v>241</v>
      </c>
      <c r="AJ14" s="33">
        <v>249</v>
      </c>
      <c r="AK14" s="33">
        <v>216</v>
      </c>
      <c r="AL14" s="33">
        <v>197</v>
      </c>
      <c r="AM14" s="33">
        <v>283</v>
      </c>
      <c r="AN14" s="33">
        <v>284</v>
      </c>
      <c r="AO14" s="33">
        <v>258</v>
      </c>
      <c r="AP14" s="33">
        <v>257</v>
      </c>
      <c r="AQ14" s="33">
        <v>309</v>
      </c>
      <c r="AR14" s="33">
        <v>315</v>
      </c>
      <c r="AS14" s="33">
        <v>297</v>
      </c>
      <c r="AT14" s="33">
        <v>286</v>
      </c>
      <c r="AU14" s="33">
        <v>303</v>
      </c>
      <c r="AV14" s="33">
        <v>280</v>
      </c>
      <c r="AW14" s="33">
        <v>275</v>
      </c>
      <c r="AX14" s="33">
        <v>291</v>
      </c>
      <c r="AY14" s="33">
        <v>297</v>
      </c>
      <c r="AZ14" s="33">
        <v>226</v>
      </c>
      <c r="BA14" s="33">
        <v>230</v>
      </c>
      <c r="BB14" s="33">
        <v>258</v>
      </c>
      <c r="BC14" s="33">
        <v>278</v>
      </c>
      <c r="BD14" s="33">
        <v>296</v>
      </c>
      <c r="BE14" s="33">
        <v>322</v>
      </c>
      <c r="BF14" s="33">
        <v>344</v>
      </c>
      <c r="BG14" s="33">
        <v>361</v>
      </c>
      <c r="BH14" s="33">
        <v>313</v>
      </c>
      <c r="BI14" s="33">
        <v>260</v>
      </c>
      <c r="BJ14" s="33">
        <v>326</v>
      </c>
      <c r="BK14" s="33">
        <v>363</v>
      </c>
      <c r="BL14" s="33">
        <v>565</v>
      </c>
      <c r="BM14" s="33">
        <v>492</v>
      </c>
      <c r="BN14" s="33">
        <v>620</v>
      </c>
      <c r="BO14" s="33">
        <v>666</v>
      </c>
      <c r="BP14" s="33">
        <v>795</v>
      </c>
      <c r="BQ14" s="33">
        <v>741</v>
      </c>
      <c r="BR14" s="33">
        <v>768</v>
      </c>
      <c r="BS14" s="33">
        <v>846</v>
      </c>
      <c r="BT14" s="33">
        <v>1009</v>
      </c>
      <c r="BU14" s="33">
        <v>810</v>
      </c>
      <c r="BV14" s="33">
        <v>994</v>
      </c>
      <c r="BW14" s="33">
        <v>1136</v>
      </c>
      <c r="BX14" s="33">
        <v>1164</v>
      </c>
      <c r="BY14" s="33">
        <v>1076</v>
      </c>
      <c r="BZ14" s="33">
        <v>1050</v>
      </c>
      <c r="CA14" s="33">
        <v>1153</v>
      </c>
      <c r="CB14" s="33">
        <v>1251</v>
      </c>
      <c r="CC14" s="33">
        <v>1206</v>
      </c>
      <c r="CD14" s="33">
        <v>1184</v>
      </c>
      <c r="CE14" s="29">
        <f t="shared" si="0"/>
        <v>3641</v>
      </c>
    </row>
    <row r="15" spans="1:83" ht="13.5" customHeight="1" x14ac:dyDescent="0.6">
      <c r="A15" s="27"/>
      <c r="B15" s="34" t="s">
        <v>152</v>
      </c>
      <c r="C15" s="33">
        <v>2472</v>
      </c>
      <c r="D15" s="33">
        <v>12</v>
      </c>
      <c r="E15" s="33">
        <v>19</v>
      </c>
      <c r="F15" s="33">
        <v>14</v>
      </c>
      <c r="G15" s="33">
        <v>18</v>
      </c>
      <c r="H15" s="33">
        <v>20</v>
      </c>
      <c r="I15" s="33">
        <v>25</v>
      </c>
      <c r="J15" s="33">
        <v>29</v>
      </c>
      <c r="K15" s="33">
        <v>34</v>
      </c>
      <c r="L15" s="33">
        <v>29</v>
      </c>
      <c r="M15" s="33">
        <v>68</v>
      </c>
      <c r="N15" s="33">
        <v>51</v>
      </c>
      <c r="O15" s="33">
        <v>66</v>
      </c>
      <c r="P15" s="33">
        <v>70</v>
      </c>
      <c r="Q15" s="33">
        <v>70</v>
      </c>
      <c r="R15" s="33">
        <v>56</v>
      </c>
      <c r="S15" s="33">
        <v>46</v>
      </c>
      <c r="T15" s="33">
        <v>57</v>
      </c>
      <c r="U15" s="33">
        <v>59</v>
      </c>
      <c r="V15" s="33">
        <v>62</v>
      </c>
      <c r="W15" s="33">
        <v>70</v>
      </c>
      <c r="X15" s="33">
        <v>55</v>
      </c>
      <c r="Y15" s="33">
        <v>60</v>
      </c>
      <c r="Z15" s="33">
        <v>65</v>
      </c>
      <c r="AA15" s="33">
        <v>54</v>
      </c>
      <c r="AB15" s="33">
        <v>83</v>
      </c>
      <c r="AC15" s="33">
        <v>78</v>
      </c>
      <c r="AD15" s="33">
        <v>79</v>
      </c>
      <c r="AE15" s="33">
        <v>88</v>
      </c>
      <c r="AF15" s="33">
        <v>81</v>
      </c>
      <c r="AG15" s="33">
        <v>99</v>
      </c>
      <c r="AH15" s="33">
        <v>77</v>
      </c>
      <c r="AI15" s="33">
        <v>92</v>
      </c>
      <c r="AJ15" s="33">
        <v>77</v>
      </c>
      <c r="AK15" s="33">
        <v>109</v>
      </c>
      <c r="AL15" s="33">
        <v>83</v>
      </c>
      <c r="AM15" s="33">
        <v>92</v>
      </c>
      <c r="AN15" s="33">
        <v>75</v>
      </c>
      <c r="AO15" s="33">
        <v>105</v>
      </c>
      <c r="AP15" s="33">
        <v>93</v>
      </c>
      <c r="AQ15" s="33">
        <v>110</v>
      </c>
      <c r="AR15" s="33">
        <v>151</v>
      </c>
      <c r="AS15" s="33">
        <v>146</v>
      </c>
      <c r="AT15" s="33">
        <v>116</v>
      </c>
      <c r="AU15" s="33">
        <v>159</v>
      </c>
      <c r="AV15" s="33">
        <v>162</v>
      </c>
      <c r="AW15" s="33">
        <v>162</v>
      </c>
      <c r="AX15" s="33">
        <v>179</v>
      </c>
      <c r="AY15" s="33">
        <v>190</v>
      </c>
      <c r="AZ15" s="33">
        <v>130</v>
      </c>
      <c r="BA15" s="33">
        <v>99</v>
      </c>
      <c r="BB15" s="33">
        <v>98</v>
      </c>
      <c r="BC15" s="33">
        <v>170</v>
      </c>
      <c r="BD15" s="33">
        <v>124</v>
      </c>
      <c r="BE15" s="33">
        <v>151</v>
      </c>
      <c r="BF15" s="33">
        <v>241</v>
      </c>
      <c r="BG15" s="33">
        <v>210</v>
      </c>
      <c r="BH15" s="33">
        <v>149</v>
      </c>
      <c r="BI15" s="33">
        <v>156</v>
      </c>
      <c r="BJ15" s="33">
        <v>119</v>
      </c>
      <c r="BK15" s="33">
        <v>112</v>
      </c>
      <c r="BL15" s="33">
        <v>343</v>
      </c>
      <c r="BM15" s="33">
        <v>444</v>
      </c>
      <c r="BN15" s="33">
        <v>388</v>
      </c>
      <c r="BO15" s="33">
        <v>423</v>
      </c>
      <c r="BP15" s="33">
        <v>343</v>
      </c>
      <c r="BQ15" s="33">
        <v>606</v>
      </c>
      <c r="BR15" s="33">
        <v>690</v>
      </c>
      <c r="BS15" s="33">
        <v>558</v>
      </c>
      <c r="BT15" s="33">
        <v>459</v>
      </c>
      <c r="BU15" s="33">
        <v>700</v>
      </c>
      <c r="BV15" s="33">
        <v>892</v>
      </c>
      <c r="BW15" s="33">
        <v>589</v>
      </c>
      <c r="BX15" s="33">
        <v>645</v>
      </c>
      <c r="BY15" s="33">
        <v>621</v>
      </c>
      <c r="BZ15" s="33">
        <v>704</v>
      </c>
      <c r="CA15" s="33">
        <v>503</v>
      </c>
      <c r="CB15" s="33">
        <v>778</v>
      </c>
      <c r="CC15" s="33">
        <v>536</v>
      </c>
      <c r="CD15" s="33">
        <v>880</v>
      </c>
      <c r="CE15" s="29">
        <f t="shared" si="0"/>
        <v>2194</v>
      </c>
    </row>
    <row r="16" spans="1:83" s="160" customFormat="1" ht="6.75" customHeight="1" x14ac:dyDescent="0.7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29"/>
    </row>
    <row r="17" spans="1:89" ht="14.25" customHeight="1" x14ac:dyDescent="0.6">
      <c r="A17" s="27"/>
      <c r="B17" s="28" t="s">
        <v>14</v>
      </c>
      <c r="C17" s="29">
        <v>-2957</v>
      </c>
      <c r="D17" s="29">
        <v>-48</v>
      </c>
      <c r="E17" s="29">
        <v>-48</v>
      </c>
      <c r="F17" s="29">
        <v>-57</v>
      </c>
      <c r="G17" s="29">
        <v>-53</v>
      </c>
      <c r="H17" s="29">
        <v>-37</v>
      </c>
      <c r="I17" s="29">
        <v>-41</v>
      </c>
      <c r="J17" s="29">
        <v>-51</v>
      </c>
      <c r="K17" s="29">
        <v>-62</v>
      </c>
      <c r="L17" s="29">
        <v>-81</v>
      </c>
      <c r="M17" s="29">
        <v>-103</v>
      </c>
      <c r="N17" s="29">
        <v>-122</v>
      </c>
      <c r="O17" s="29">
        <v>-120</v>
      </c>
      <c r="P17" s="29">
        <v>-135</v>
      </c>
      <c r="Q17" s="29">
        <v>-132</v>
      </c>
      <c r="R17" s="29">
        <v>-124</v>
      </c>
      <c r="S17" s="29">
        <v>-126</v>
      </c>
      <c r="T17" s="29">
        <v>-146</v>
      </c>
      <c r="U17" s="29">
        <v>-134</v>
      </c>
      <c r="V17" s="29">
        <v>-131</v>
      </c>
      <c r="W17" s="29">
        <v>-155</v>
      </c>
      <c r="X17" s="29">
        <v>-138</v>
      </c>
      <c r="Y17" s="29">
        <v>-151</v>
      </c>
      <c r="Z17" s="29">
        <v>-150</v>
      </c>
      <c r="AA17" s="29">
        <v>-157</v>
      </c>
      <c r="AB17" s="29">
        <v>-178</v>
      </c>
      <c r="AC17" s="29">
        <v>-195</v>
      </c>
      <c r="AD17" s="29">
        <v>-221</v>
      </c>
      <c r="AE17" s="29">
        <v>-183</v>
      </c>
      <c r="AF17" s="29">
        <v>-189</v>
      </c>
      <c r="AG17" s="29">
        <v>-166</v>
      </c>
      <c r="AH17" s="29">
        <v>-197</v>
      </c>
      <c r="AI17" s="29">
        <v>-242</v>
      </c>
      <c r="AJ17" s="29">
        <v>-244</v>
      </c>
      <c r="AK17" s="29">
        <v>-223</v>
      </c>
      <c r="AL17" s="29">
        <v>-217</v>
      </c>
      <c r="AM17" s="29">
        <v>-224</v>
      </c>
      <c r="AN17" s="29">
        <v>-273</v>
      </c>
      <c r="AO17" s="29">
        <v>-300</v>
      </c>
      <c r="AP17" s="29">
        <v>-287</v>
      </c>
      <c r="AQ17" s="29">
        <v>-293</v>
      </c>
      <c r="AR17" s="29">
        <v>-305</v>
      </c>
      <c r="AS17" s="29">
        <v>-344</v>
      </c>
      <c r="AT17" s="29">
        <v>-330</v>
      </c>
      <c r="AU17" s="29">
        <v>-297</v>
      </c>
      <c r="AV17" s="29">
        <v>-230</v>
      </c>
      <c r="AW17" s="29">
        <v>-227</v>
      </c>
      <c r="AX17" s="29">
        <v>-272</v>
      </c>
      <c r="AY17" s="29">
        <v>-242</v>
      </c>
      <c r="AZ17" s="29">
        <v>-125</v>
      </c>
      <c r="BA17" s="29">
        <v>-72</v>
      </c>
      <c r="BB17" s="29">
        <v>-62</v>
      </c>
      <c r="BC17" s="29">
        <v>-132</v>
      </c>
      <c r="BD17" s="29">
        <v>-111</v>
      </c>
      <c r="BE17" s="29">
        <v>-130</v>
      </c>
      <c r="BF17" s="29">
        <v>-113</v>
      </c>
      <c r="BG17" s="29">
        <v>-103</v>
      </c>
      <c r="BH17" s="29">
        <v>-211</v>
      </c>
      <c r="BI17" s="29">
        <v>-174</v>
      </c>
      <c r="BJ17" s="29">
        <v>-136</v>
      </c>
      <c r="BK17" s="29">
        <v>-174</v>
      </c>
      <c r="BL17" s="29">
        <v>-587</v>
      </c>
      <c r="BM17" s="29">
        <v>-593</v>
      </c>
      <c r="BN17" s="29">
        <v>-1237</v>
      </c>
      <c r="BO17" s="29">
        <v>-609</v>
      </c>
      <c r="BP17" s="29">
        <v>-505</v>
      </c>
      <c r="BQ17" s="29">
        <v>-656</v>
      </c>
      <c r="BR17" s="29">
        <v>-738</v>
      </c>
      <c r="BS17" s="29">
        <v>-561</v>
      </c>
      <c r="BT17" s="29">
        <v>-756</v>
      </c>
      <c r="BU17" s="29">
        <v>-839</v>
      </c>
      <c r="BV17" s="29">
        <v>-907</v>
      </c>
      <c r="BW17" s="29">
        <v>-845</v>
      </c>
      <c r="BX17" s="29">
        <v>-767</v>
      </c>
      <c r="BY17" s="29">
        <v>-791</v>
      </c>
      <c r="BZ17" s="29">
        <v>-752</v>
      </c>
      <c r="CA17" s="29">
        <v>-646</v>
      </c>
      <c r="CB17" s="29">
        <v>-824</v>
      </c>
      <c r="CC17" s="29">
        <v>-772</v>
      </c>
      <c r="CD17" s="29">
        <v>-707</v>
      </c>
      <c r="CE17" s="29">
        <f t="shared" si="0"/>
        <v>-2303</v>
      </c>
    </row>
    <row r="18" spans="1:89" ht="14.25" customHeight="1" x14ac:dyDescent="0.6">
      <c r="A18" s="35"/>
      <c r="B18" s="36" t="s">
        <v>153</v>
      </c>
      <c r="C18" s="37">
        <v>5661</v>
      </c>
      <c r="D18" s="37">
        <v>41</v>
      </c>
      <c r="E18" s="37">
        <v>58</v>
      </c>
      <c r="F18" s="37">
        <v>50</v>
      </c>
      <c r="G18" s="37">
        <v>52</v>
      </c>
      <c r="H18" s="37">
        <v>69</v>
      </c>
      <c r="I18" s="37">
        <v>77</v>
      </c>
      <c r="J18" s="37">
        <v>81</v>
      </c>
      <c r="K18" s="37">
        <v>78</v>
      </c>
      <c r="L18" s="37">
        <v>70</v>
      </c>
      <c r="M18" s="37">
        <v>84</v>
      </c>
      <c r="N18" s="37">
        <v>82</v>
      </c>
      <c r="O18" s="37">
        <v>83</v>
      </c>
      <c r="P18" s="37">
        <v>81</v>
      </c>
      <c r="Q18" s="37">
        <v>78</v>
      </c>
      <c r="R18" s="37">
        <v>90</v>
      </c>
      <c r="S18" s="37">
        <v>85</v>
      </c>
      <c r="T18" s="37">
        <v>84</v>
      </c>
      <c r="U18" s="37">
        <v>91</v>
      </c>
      <c r="V18" s="37">
        <v>107</v>
      </c>
      <c r="W18" s="37">
        <v>101</v>
      </c>
      <c r="X18" s="37">
        <v>117</v>
      </c>
      <c r="Y18" s="37">
        <v>114</v>
      </c>
      <c r="Z18" s="37">
        <v>152</v>
      </c>
      <c r="AA18" s="37">
        <v>139</v>
      </c>
      <c r="AB18" s="37">
        <v>137</v>
      </c>
      <c r="AC18" s="37">
        <v>124</v>
      </c>
      <c r="AD18" s="37">
        <v>152</v>
      </c>
      <c r="AE18" s="37">
        <v>152</v>
      </c>
      <c r="AF18" s="37">
        <v>150</v>
      </c>
      <c r="AG18" s="37">
        <v>191</v>
      </c>
      <c r="AH18" s="37">
        <v>179</v>
      </c>
      <c r="AI18" s="37">
        <v>162</v>
      </c>
      <c r="AJ18" s="37">
        <v>174</v>
      </c>
      <c r="AK18" s="37">
        <v>187</v>
      </c>
      <c r="AL18" s="37">
        <v>213</v>
      </c>
      <c r="AM18" s="37">
        <v>206</v>
      </c>
      <c r="AN18" s="37">
        <v>199</v>
      </c>
      <c r="AO18" s="37">
        <v>199</v>
      </c>
      <c r="AP18" s="37">
        <v>210</v>
      </c>
      <c r="AQ18" s="37">
        <v>206</v>
      </c>
      <c r="AR18" s="37">
        <v>241</v>
      </c>
      <c r="AS18" s="37">
        <v>232</v>
      </c>
      <c r="AT18" s="37">
        <v>303</v>
      </c>
      <c r="AU18" s="37">
        <v>281</v>
      </c>
      <c r="AV18" s="37">
        <v>349</v>
      </c>
      <c r="AW18" s="37">
        <v>385</v>
      </c>
      <c r="AX18" s="37">
        <v>408</v>
      </c>
      <c r="AY18" s="37">
        <v>438</v>
      </c>
      <c r="AZ18" s="37">
        <v>403</v>
      </c>
      <c r="BA18" s="37">
        <v>430</v>
      </c>
      <c r="BB18" s="37">
        <v>511</v>
      </c>
      <c r="BC18" s="37">
        <v>453</v>
      </c>
      <c r="BD18" s="37">
        <v>438</v>
      </c>
      <c r="BE18" s="37">
        <v>470</v>
      </c>
      <c r="BF18" s="37">
        <v>583</v>
      </c>
      <c r="BG18" s="37">
        <v>593</v>
      </c>
      <c r="BH18" s="37">
        <v>467</v>
      </c>
      <c r="BI18" s="37">
        <v>329</v>
      </c>
      <c r="BJ18" s="37">
        <v>607</v>
      </c>
      <c r="BK18" s="37">
        <v>444</v>
      </c>
      <c r="BL18" s="37">
        <v>388</v>
      </c>
      <c r="BM18" s="37">
        <v>493</v>
      </c>
      <c r="BN18" s="37">
        <v>586</v>
      </c>
      <c r="BO18" s="37">
        <v>678</v>
      </c>
      <c r="BP18" s="37">
        <v>642</v>
      </c>
      <c r="BQ18" s="37">
        <v>763</v>
      </c>
      <c r="BR18" s="37">
        <v>851</v>
      </c>
      <c r="BS18" s="37">
        <v>832</v>
      </c>
      <c r="BT18" s="37">
        <v>896</v>
      </c>
      <c r="BU18" s="37">
        <v>1003</v>
      </c>
      <c r="BV18" s="37">
        <v>1089</v>
      </c>
      <c r="BW18" s="37">
        <v>1084</v>
      </c>
      <c r="BX18" s="37">
        <v>1103</v>
      </c>
      <c r="BY18" s="37">
        <v>1276</v>
      </c>
      <c r="BZ18" s="37">
        <v>1646</v>
      </c>
      <c r="CA18" s="37">
        <v>1635</v>
      </c>
      <c r="CB18" s="37">
        <v>1234</v>
      </c>
      <c r="CC18" s="37">
        <v>1114</v>
      </c>
      <c r="CD18" s="37">
        <v>1380</v>
      </c>
      <c r="CE18" s="29">
        <f t="shared" si="0"/>
        <v>3728</v>
      </c>
    </row>
    <row r="19" spans="1:89" ht="13.5" customHeight="1" x14ac:dyDescent="0.6">
      <c r="A19" s="27"/>
      <c r="B19" s="34" t="s">
        <v>154</v>
      </c>
      <c r="C19" s="33">
        <v>4238</v>
      </c>
      <c r="D19" s="33">
        <v>12</v>
      </c>
      <c r="E19" s="33">
        <v>29</v>
      </c>
      <c r="F19" s="33">
        <v>21</v>
      </c>
      <c r="G19" s="33">
        <v>23</v>
      </c>
      <c r="H19" s="33">
        <v>19</v>
      </c>
      <c r="I19" s="33">
        <v>27</v>
      </c>
      <c r="J19" s="33">
        <v>31</v>
      </c>
      <c r="K19" s="33">
        <v>28</v>
      </c>
      <c r="L19" s="33">
        <v>30</v>
      </c>
      <c r="M19" s="33">
        <v>44</v>
      </c>
      <c r="N19" s="33">
        <v>42</v>
      </c>
      <c r="O19" s="33">
        <v>42</v>
      </c>
      <c r="P19" s="33">
        <v>28</v>
      </c>
      <c r="Q19" s="33">
        <v>25</v>
      </c>
      <c r="R19" s="33">
        <v>37</v>
      </c>
      <c r="S19" s="33">
        <v>32</v>
      </c>
      <c r="T19" s="33">
        <v>31</v>
      </c>
      <c r="U19" s="33">
        <v>38</v>
      </c>
      <c r="V19" s="33">
        <v>53</v>
      </c>
      <c r="W19" s="33">
        <v>46</v>
      </c>
      <c r="X19" s="33">
        <v>61</v>
      </c>
      <c r="Y19" s="33">
        <v>58</v>
      </c>
      <c r="Z19" s="33">
        <v>96</v>
      </c>
      <c r="AA19" s="33">
        <v>83</v>
      </c>
      <c r="AB19" s="33">
        <v>81</v>
      </c>
      <c r="AC19" s="33">
        <v>68</v>
      </c>
      <c r="AD19" s="33">
        <v>95</v>
      </c>
      <c r="AE19" s="33">
        <v>94</v>
      </c>
      <c r="AF19" s="33">
        <v>86</v>
      </c>
      <c r="AG19" s="33">
        <v>126</v>
      </c>
      <c r="AH19" s="33">
        <v>113</v>
      </c>
      <c r="AI19" s="33">
        <v>94</v>
      </c>
      <c r="AJ19" s="33">
        <v>87</v>
      </c>
      <c r="AK19" s="33">
        <v>100</v>
      </c>
      <c r="AL19" s="33">
        <v>125</v>
      </c>
      <c r="AM19" s="33">
        <v>117</v>
      </c>
      <c r="AN19" s="33">
        <v>99</v>
      </c>
      <c r="AO19" s="33">
        <v>97</v>
      </c>
      <c r="AP19" s="33">
        <v>106</v>
      </c>
      <c r="AQ19" s="33">
        <v>100</v>
      </c>
      <c r="AR19" s="33">
        <v>84</v>
      </c>
      <c r="AS19" s="33">
        <v>87</v>
      </c>
      <c r="AT19" s="33">
        <v>112</v>
      </c>
      <c r="AU19" s="33">
        <v>108</v>
      </c>
      <c r="AV19" s="33">
        <v>181</v>
      </c>
      <c r="AW19" s="33">
        <v>208</v>
      </c>
      <c r="AX19" s="33">
        <v>228</v>
      </c>
      <c r="AY19" s="33">
        <v>236</v>
      </c>
      <c r="AZ19" s="33">
        <v>224</v>
      </c>
      <c r="BA19" s="33">
        <v>232</v>
      </c>
      <c r="BB19" s="33">
        <v>230</v>
      </c>
      <c r="BC19" s="33">
        <v>224</v>
      </c>
      <c r="BD19" s="33">
        <v>214</v>
      </c>
      <c r="BE19" s="33">
        <v>244</v>
      </c>
      <c r="BF19" s="33">
        <v>287</v>
      </c>
      <c r="BG19" s="33">
        <v>310</v>
      </c>
      <c r="BH19" s="33">
        <v>277</v>
      </c>
      <c r="BI19" s="33">
        <v>249</v>
      </c>
      <c r="BJ19" s="33">
        <v>458</v>
      </c>
      <c r="BK19" s="33">
        <v>313</v>
      </c>
      <c r="BL19" s="33">
        <v>258</v>
      </c>
      <c r="BM19" s="33">
        <v>364</v>
      </c>
      <c r="BN19" s="33">
        <v>443</v>
      </c>
      <c r="BO19" s="33">
        <v>510</v>
      </c>
      <c r="BP19" s="33">
        <v>479</v>
      </c>
      <c r="BQ19" s="33">
        <v>535</v>
      </c>
      <c r="BR19" s="33">
        <v>585</v>
      </c>
      <c r="BS19" s="33">
        <v>578</v>
      </c>
      <c r="BT19" s="33">
        <v>650</v>
      </c>
      <c r="BU19" s="33">
        <v>761</v>
      </c>
      <c r="BV19" s="33">
        <v>712</v>
      </c>
      <c r="BW19" s="33">
        <v>742</v>
      </c>
      <c r="BX19" s="33">
        <v>821</v>
      </c>
      <c r="BY19" s="33">
        <v>963</v>
      </c>
      <c r="BZ19" s="33">
        <v>1188</v>
      </c>
      <c r="CA19" s="33">
        <v>1265</v>
      </c>
      <c r="CB19" s="33">
        <v>917</v>
      </c>
      <c r="CC19" s="33">
        <v>752</v>
      </c>
      <c r="CD19" s="33">
        <v>890</v>
      </c>
      <c r="CE19" s="29">
        <f t="shared" si="0"/>
        <v>2559</v>
      </c>
      <c r="CI19" s="161"/>
      <c r="CJ19" s="161"/>
      <c r="CK19" s="161"/>
    </row>
    <row r="20" spans="1:89" ht="13.5" customHeight="1" x14ac:dyDescent="0.6">
      <c r="A20" s="27"/>
      <c r="B20" s="34" t="s">
        <v>155</v>
      </c>
      <c r="C20" s="33">
        <v>1423</v>
      </c>
      <c r="D20" s="33">
        <v>29</v>
      </c>
      <c r="E20" s="33">
        <v>29</v>
      </c>
      <c r="F20" s="33">
        <v>29</v>
      </c>
      <c r="G20" s="33">
        <v>29</v>
      </c>
      <c r="H20" s="33">
        <v>50</v>
      </c>
      <c r="I20" s="33">
        <v>50</v>
      </c>
      <c r="J20" s="33">
        <v>50</v>
      </c>
      <c r="K20" s="33">
        <v>50</v>
      </c>
      <c r="L20" s="33">
        <v>40</v>
      </c>
      <c r="M20" s="33">
        <v>40</v>
      </c>
      <c r="N20" s="33">
        <v>40</v>
      </c>
      <c r="O20" s="33">
        <v>41</v>
      </c>
      <c r="P20" s="33">
        <v>53</v>
      </c>
      <c r="Q20" s="33">
        <v>53</v>
      </c>
      <c r="R20" s="33">
        <v>53</v>
      </c>
      <c r="S20" s="33">
        <v>53</v>
      </c>
      <c r="T20" s="33">
        <v>53</v>
      </c>
      <c r="U20" s="33">
        <v>53</v>
      </c>
      <c r="V20" s="33">
        <v>54</v>
      </c>
      <c r="W20" s="33">
        <v>55</v>
      </c>
      <c r="X20" s="33">
        <v>56</v>
      </c>
      <c r="Y20" s="33">
        <v>56</v>
      </c>
      <c r="Z20" s="33">
        <v>56</v>
      </c>
      <c r="AA20" s="33">
        <v>56</v>
      </c>
      <c r="AB20" s="33">
        <v>56</v>
      </c>
      <c r="AC20" s="33">
        <v>56</v>
      </c>
      <c r="AD20" s="33">
        <v>57</v>
      </c>
      <c r="AE20" s="33">
        <v>58</v>
      </c>
      <c r="AF20" s="33">
        <v>64</v>
      </c>
      <c r="AG20" s="33">
        <v>65</v>
      </c>
      <c r="AH20" s="33">
        <v>66</v>
      </c>
      <c r="AI20" s="33">
        <v>68</v>
      </c>
      <c r="AJ20" s="33">
        <v>87</v>
      </c>
      <c r="AK20" s="33">
        <v>87</v>
      </c>
      <c r="AL20" s="33">
        <v>88</v>
      </c>
      <c r="AM20" s="33">
        <v>89</v>
      </c>
      <c r="AN20" s="33">
        <v>100</v>
      </c>
      <c r="AO20" s="33">
        <v>102</v>
      </c>
      <c r="AP20" s="33">
        <v>104</v>
      </c>
      <c r="AQ20" s="33">
        <v>106</v>
      </c>
      <c r="AR20" s="33">
        <v>157</v>
      </c>
      <c r="AS20" s="33">
        <v>145</v>
      </c>
      <c r="AT20" s="33">
        <v>191</v>
      </c>
      <c r="AU20" s="33">
        <v>173</v>
      </c>
      <c r="AV20" s="33">
        <v>168</v>
      </c>
      <c r="AW20" s="33">
        <v>177</v>
      </c>
      <c r="AX20" s="33">
        <v>180</v>
      </c>
      <c r="AY20" s="33">
        <v>202</v>
      </c>
      <c r="AZ20" s="33">
        <v>179</v>
      </c>
      <c r="BA20" s="33">
        <v>197</v>
      </c>
      <c r="BB20" s="33">
        <v>281</v>
      </c>
      <c r="BC20" s="33">
        <v>230</v>
      </c>
      <c r="BD20" s="33">
        <v>224</v>
      </c>
      <c r="BE20" s="33">
        <v>226</v>
      </c>
      <c r="BF20" s="33">
        <v>297</v>
      </c>
      <c r="BG20" s="33">
        <v>282</v>
      </c>
      <c r="BH20" s="33">
        <v>190</v>
      </c>
      <c r="BI20" s="33">
        <v>80</v>
      </c>
      <c r="BJ20" s="33">
        <v>149</v>
      </c>
      <c r="BK20" s="33">
        <v>130</v>
      </c>
      <c r="BL20" s="33">
        <v>130</v>
      </c>
      <c r="BM20" s="33">
        <v>130</v>
      </c>
      <c r="BN20" s="33">
        <v>144</v>
      </c>
      <c r="BO20" s="33">
        <v>167</v>
      </c>
      <c r="BP20" s="33">
        <v>164</v>
      </c>
      <c r="BQ20" s="33">
        <v>228</v>
      </c>
      <c r="BR20" s="33">
        <v>265</v>
      </c>
      <c r="BS20" s="33">
        <v>253</v>
      </c>
      <c r="BT20" s="33">
        <v>245</v>
      </c>
      <c r="BU20" s="33">
        <v>241</v>
      </c>
      <c r="BV20" s="33">
        <v>377</v>
      </c>
      <c r="BW20" s="33">
        <v>342</v>
      </c>
      <c r="BX20" s="33">
        <v>282</v>
      </c>
      <c r="BY20" s="33">
        <v>313</v>
      </c>
      <c r="BZ20" s="33">
        <v>458</v>
      </c>
      <c r="CA20" s="33">
        <v>370</v>
      </c>
      <c r="CB20" s="33">
        <v>317</v>
      </c>
      <c r="CC20" s="33">
        <v>362</v>
      </c>
      <c r="CD20" s="33">
        <v>490</v>
      </c>
      <c r="CE20" s="29">
        <f t="shared" si="0"/>
        <v>1169</v>
      </c>
      <c r="CI20" s="161"/>
      <c r="CJ20" s="161"/>
    </row>
    <row r="21" spans="1:89" ht="14.25" customHeight="1" x14ac:dyDescent="0.6">
      <c r="A21" s="35"/>
      <c r="B21" s="36" t="s">
        <v>156</v>
      </c>
      <c r="C21" s="37">
        <v>8618</v>
      </c>
      <c r="D21" s="37">
        <v>89</v>
      </c>
      <c r="E21" s="37">
        <v>106</v>
      </c>
      <c r="F21" s="37">
        <v>107</v>
      </c>
      <c r="G21" s="37">
        <v>105</v>
      </c>
      <c r="H21" s="37">
        <v>106</v>
      </c>
      <c r="I21" s="37">
        <v>118</v>
      </c>
      <c r="J21" s="37">
        <v>132</v>
      </c>
      <c r="K21" s="37">
        <v>140</v>
      </c>
      <c r="L21" s="37">
        <v>151</v>
      </c>
      <c r="M21" s="37">
        <v>187</v>
      </c>
      <c r="N21" s="37">
        <v>204</v>
      </c>
      <c r="O21" s="37">
        <v>203</v>
      </c>
      <c r="P21" s="37">
        <v>216</v>
      </c>
      <c r="Q21" s="37">
        <v>210</v>
      </c>
      <c r="R21" s="37">
        <v>214</v>
      </c>
      <c r="S21" s="37">
        <v>211</v>
      </c>
      <c r="T21" s="37">
        <v>230</v>
      </c>
      <c r="U21" s="37">
        <v>225</v>
      </c>
      <c r="V21" s="37">
        <v>238</v>
      </c>
      <c r="W21" s="37">
        <v>256</v>
      </c>
      <c r="X21" s="37">
        <v>255</v>
      </c>
      <c r="Y21" s="37">
        <v>265</v>
      </c>
      <c r="Z21" s="37">
        <v>302</v>
      </c>
      <c r="AA21" s="37">
        <v>296</v>
      </c>
      <c r="AB21" s="37">
        <v>315</v>
      </c>
      <c r="AC21" s="37">
        <v>319</v>
      </c>
      <c r="AD21" s="37">
        <v>373</v>
      </c>
      <c r="AE21" s="37">
        <v>335</v>
      </c>
      <c r="AF21" s="37">
        <v>339</v>
      </c>
      <c r="AG21" s="37">
        <v>357</v>
      </c>
      <c r="AH21" s="37">
        <v>376</v>
      </c>
      <c r="AI21" s="37">
        <v>404</v>
      </c>
      <c r="AJ21" s="37">
        <v>418</v>
      </c>
      <c r="AK21" s="37">
        <v>410</v>
      </c>
      <c r="AL21" s="37">
        <v>430</v>
      </c>
      <c r="AM21" s="37">
        <v>430</v>
      </c>
      <c r="AN21" s="37">
        <v>472</v>
      </c>
      <c r="AO21" s="37">
        <v>499</v>
      </c>
      <c r="AP21" s="37">
        <v>497</v>
      </c>
      <c r="AQ21" s="37">
        <v>499</v>
      </c>
      <c r="AR21" s="37">
        <v>546</v>
      </c>
      <c r="AS21" s="37">
        <v>576</v>
      </c>
      <c r="AT21" s="37">
        <v>633</v>
      </c>
      <c r="AU21" s="37">
        <v>578</v>
      </c>
      <c r="AV21" s="37">
        <v>579</v>
      </c>
      <c r="AW21" s="37">
        <v>612</v>
      </c>
      <c r="AX21" s="37">
        <v>680</v>
      </c>
      <c r="AY21" s="37">
        <v>680</v>
      </c>
      <c r="AZ21" s="37">
        <v>528</v>
      </c>
      <c r="BA21" s="37">
        <v>502</v>
      </c>
      <c r="BB21" s="37">
        <v>574</v>
      </c>
      <c r="BC21" s="37">
        <v>586</v>
      </c>
      <c r="BD21" s="37">
        <v>549</v>
      </c>
      <c r="BE21" s="37">
        <v>600</v>
      </c>
      <c r="BF21" s="37">
        <v>697</v>
      </c>
      <c r="BG21" s="37">
        <v>695</v>
      </c>
      <c r="BH21" s="37">
        <v>677</v>
      </c>
      <c r="BI21" s="37">
        <v>503</v>
      </c>
      <c r="BJ21" s="37">
        <v>743</v>
      </c>
      <c r="BK21" s="37">
        <v>618</v>
      </c>
      <c r="BL21" s="37">
        <v>976</v>
      </c>
      <c r="BM21" s="37">
        <v>1086</v>
      </c>
      <c r="BN21" s="37">
        <v>1824</v>
      </c>
      <c r="BO21" s="37">
        <v>1287</v>
      </c>
      <c r="BP21" s="37">
        <v>1147</v>
      </c>
      <c r="BQ21" s="37">
        <v>1419</v>
      </c>
      <c r="BR21" s="37">
        <v>1588</v>
      </c>
      <c r="BS21" s="37">
        <v>1392</v>
      </c>
      <c r="BT21" s="37">
        <v>1652</v>
      </c>
      <c r="BU21" s="37">
        <v>1842</v>
      </c>
      <c r="BV21" s="37">
        <v>1996</v>
      </c>
      <c r="BW21" s="37">
        <v>1929</v>
      </c>
      <c r="BX21" s="37">
        <v>1870</v>
      </c>
      <c r="BY21" s="37">
        <v>2068</v>
      </c>
      <c r="BZ21" s="37">
        <v>2399</v>
      </c>
      <c r="CA21" s="37">
        <v>2282</v>
      </c>
      <c r="CB21" s="37">
        <v>2058</v>
      </c>
      <c r="CC21" s="37">
        <v>1886</v>
      </c>
      <c r="CD21" s="37">
        <v>2088</v>
      </c>
      <c r="CE21" s="29">
        <f t="shared" si="0"/>
        <v>6032</v>
      </c>
    </row>
    <row r="22" spans="1:89" ht="13.5" customHeight="1" x14ac:dyDescent="0.6">
      <c r="A22" s="27"/>
      <c r="B22" s="34" t="s">
        <v>154</v>
      </c>
      <c r="C22" s="33">
        <v>7315</v>
      </c>
      <c r="D22" s="33">
        <v>45</v>
      </c>
      <c r="E22" s="33">
        <v>62</v>
      </c>
      <c r="F22" s="33">
        <v>63</v>
      </c>
      <c r="G22" s="33">
        <v>61</v>
      </c>
      <c r="H22" s="33">
        <v>58</v>
      </c>
      <c r="I22" s="33">
        <v>70</v>
      </c>
      <c r="J22" s="33">
        <v>84</v>
      </c>
      <c r="K22" s="33">
        <v>92</v>
      </c>
      <c r="L22" s="33">
        <v>82</v>
      </c>
      <c r="M22" s="33">
        <v>118</v>
      </c>
      <c r="N22" s="33">
        <v>135</v>
      </c>
      <c r="O22" s="33">
        <v>133</v>
      </c>
      <c r="P22" s="33">
        <v>142</v>
      </c>
      <c r="Q22" s="33">
        <v>135</v>
      </c>
      <c r="R22" s="33">
        <v>144</v>
      </c>
      <c r="S22" s="33">
        <v>140</v>
      </c>
      <c r="T22" s="33">
        <v>160</v>
      </c>
      <c r="U22" s="33">
        <v>153</v>
      </c>
      <c r="V22" s="33">
        <v>166</v>
      </c>
      <c r="W22" s="33">
        <v>181</v>
      </c>
      <c r="X22" s="33">
        <v>176</v>
      </c>
      <c r="Y22" s="33">
        <v>185</v>
      </c>
      <c r="Z22" s="33">
        <v>217</v>
      </c>
      <c r="AA22" s="33">
        <v>212</v>
      </c>
      <c r="AB22" s="33">
        <v>233</v>
      </c>
      <c r="AC22" s="33">
        <v>235</v>
      </c>
      <c r="AD22" s="33">
        <v>281</v>
      </c>
      <c r="AE22" s="33">
        <v>245</v>
      </c>
      <c r="AF22" s="33">
        <v>237</v>
      </c>
      <c r="AG22" s="33">
        <v>250</v>
      </c>
      <c r="AH22" s="33">
        <v>267</v>
      </c>
      <c r="AI22" s="33">
        <v>292</v>
      </c>
      <c r="AJ22" s="33">
        <v>291</v>
      </c>
      <c r="AK22" s="33">
        <v>284</v>
      </c>
      <c r="AL22" s="33">
        <v>299</v>
      </c>
      <c r="AM22" s="33">
        <v>300</v>
      </c>
      <c r="AN22" s="33">
        <v>282</v>
      </c>
      <c r="AO22" s="33">
        <v>315</v>
      </c>
      <c r="AP22" s="33">
        <v>313</v>
      </c>
      <c r="AQ22" s="33">
        <v>311</v>
      </c>
      <c r="AR22" s="33">
        <v>354</v>
      </c>
      <c r="AS22" s="33">
        <v>369</v>
      </c>
      <c r="AT22" s="33">
        <v>394</v>
      </c>
      <c r="AU22" s="33">
        <v>358</v>
      </c>
      <c r="AV22" s="33">
        <v>382</v>
      </c>
      <c r="AW22" s="33">
        <v>410</v>
      </c>
      <c r="AX22" s="33">
        <v>438</v>
      </c>
      <c r="AY22" s="33">
        <v>442</v>
      </c>
      <c r="AZ22" s="33">
        <v>336</v>
      </c>
      <c r="BA22" s="33">
        <v>329</v>
      </c>
      <c r="BB22" s="33">
        <v>365</v>
      </c>
      <c r="BC22" s="33">
        <v>386</v>
      </c>
      <c r="BD22" s="33">
        <v>355</v>
      </c>
      <c r="BE22" s="33">
        <v>428</v>
      </c>
      <c r="BF22" s="33">
        <v>473</v>
      </c>
      <c r="BG22" s="33">
        <v>495</v>
      </c>
      <c r="BH22" s="33">
        <v>505</v>
      </c>
      <c r="BI22" s="33">
        <v>433</v>
      </c>
      <c r="BJ22" s="33">
        <v>632</v>
      </c>
      <c r="BK22" s="33">
        <v>534</v>
      </c>
      <c r="BL22" s="33">
        <v>844</v>
      </c>
      <c r="BM22" s="33">
        <v>928</v>
      </c>
      <c r="BN22" s="33">
        <v>1609</v>
      </c>
      <c r="BO22" s="33">
        <v>1098</v>
      </c>
      <c r="BP22" s="33">
        <v>941</v>
      </c>
      <c r="BQ22" s="33">
        <v>1206</v>
      </c>
      <c r="BR22" s="33">
        <v>1381</v>
      </c>
      <c r="BS22" s="33">
        <v>1113</v>
      </c>
      <c r="BT22" s="33">
        <v>1413</v>
      </c>
      <c r="BU22" s="33">
        <v>1585</v>
      </c>
      <c r="BV22" s="33">
        <v>1715</v>
      </c>
      <c r="BW22" s="33">
        <v>1622</v>
      </c>
      <c r="BX22" s="33">
        <v>1594</v>
      </c>
      <c r="BY22" s="33">
        <v>1759</v>
      </c>
      <c r="BZ22" s="33">
        <v>2030</v>
      </c>
      <c r="CA22" s="33">
        <v>1932</v>
      </c>
      <c r="CB22" s="33">
        <v>1749</v>
      </c>
      <c r="CC22" s="33">
        <v>1514</v>
      </c>
      <c r="CD22" s="33">
        <v>1695</v>
      </c>
      <c r="CE22" s="29">
        <f t="shared" si="0"/>
        <v>4958</v>
      </c>
    </row>
    <row r="23" spans="1:89" ht="13.5" customHeight="1" thickBot="1" x14ac:dyDescent="0.75">
      <c r="A23" s="27"/>
      <c r="B23" s="38" t="s">
        <v>155</v>
      </c>
      <c r="C23" s="39">
        <v>1303</v>
      </c>
      <c r="D23" s="39">
        <v>44</v>
      </c>
      <c r="E23" s="39">
        <v>44</v>
      </c>
      <c r="F23" s="39">
        <v>44</v>
      </c>
      <c r="G23" s="39">
        <v>44</v>
      </c>
      <c r="H23" s="39">
        <v>48</v>
      </c>
      <c r="I23" s="39">
        <v>48</v>
      </c>
      <c r="J23" s="39">
        <v>48</v>
      </c>
      <c r="K23" s="39">
        <v>48</v>
      </c>
      <c r="L23" s="39">
        <v>69</v>
      </c>
      <c r="M23" s="39">
        <v>69</v>
      </c>
      <c r="N23" s="39">
        <v>69</v>
      </c>
      <c r="O23" s="39">
        <v>70</v>
      </c>
      <c r="P23" s="39">
        <v>74</v>
      </c>
      <c r="Q23" s="39">
        <v>75</v>
      </c>
      <c r="R23" s="39">
        <v>70</v>
      </c>
      <c r="S23" s="39">
        <v>71</v>
      </c>
      <c r="T23" s="39">
        <v>70</v>
      </c>
      <c r="U23" s="39">
        <v>72</v>
      </c>
      <c r="V23" s="39">
        <v>72</v>
      </c>
      <c r="W23" s="39">
        <v>75</v>
      </c>
      <c r="X23" s="39">
        <v>79</v>
      </c>
      <c r="Y23" s="39">
        <v>80</v>
      </c>
      <c r="Z23" s="39">
        <v>85</v>
      </c>
      <c r="AA23" s="39">
        <v>84</v>
      </c>
      <c r="AB23" s="39">
        <v>82</v>
      </c>
      <c r="AC23" s="39">
        <v>84</v>
      </c>
      <c r="AD23" s="39">
        <v>92</v>
      </c>
      <c r="AE23" s="39">
        <v>90</v>
      </c>
      <c r="AF23" s="39">
        <v>102</v>
      </c>
      <c r="AG23" s="39">
        <v>107</v>
      </c>
      <c r="AH23" s="39">
        <v>109</v>
      </c>
      <c r="AI23" s="39">
        <v>112</v>
      </c>
      <c r="AJ23" s="39">
        <v>127</v>
      </c>
      <c r="AK23" s="39">
        <v>126</v>
      </c>
      <c r="AL23" s="39">
        <v>131</v>
      </c>
      <c r="AM23" s="39">
        <v>130</v>
      </c>
      <c r="AN23" s="39">
        <v>190</v>
      </c>
      <c r="AO23" s="39">
        <v>184</v>
      </c>
      <c r="AP23" s="39">
        <v>184</v>
      </c>
      <c r="AQ23" s="39">
        <v>188</v>
      </c>
      <c r="AR23" s="39">
        <v>192</v>
      </c>
      <c r="AS23" s="39">
        <v>207</v>
      </c>
      <c r="AT23" s="39">
        <v>239</v>
      </c>
      <c r="AU23" s="39">
        <v>220</v>
      </c>
      <c r="AV23" s="39">
        <v>197</v>
      </c>
      <c r="AW23" s="39">
        <v>202</v>
      </c>
      <c r="AX23" s="39">
        <v>242</v>
      </c>
      <c r="AY23" s="39">
        <v>238</v>
      </c>
      <c r="AZ23" s="39">
        <v>192</v>
      </c>
      <c r="BA23" s="39">
        <v>173</v>
      </c>
      <c r="BB23" s="39">
        <v>208</v>
      </c>
      <c r="BC23" s="39">
        <v>200</v>
      </c>
      <c r="BD23" s="39">
        <v>194</v>
      </c>
      <c r="BE23" s="39">
        <v>173</v>
      </c>
      <c r="BF23" s="39">
        <v>224</v>
      </c>
      <c r="BG23" s="39">
        <v>200</v>
      </c>
      <c r="BH23" s="39">
        <v>172</v>
      </c>
      <c r="BI23" s="39">
        <v>70</v>
      </c>
      <c r="BJ23" s="39">
        <v>111</v>
      </c>
      <c r="BK23" s="39">
        <v>83</v>
      </c>
      <c r="BL23" s="39">
        <v>132</v>
      </c>
      <c r="BM23" s="39">
        <v>158</v>
      </c>
      <c r="BN23" s="39">
        <v>215</v>
      </c>
      <c r="BO23" s="39">
        <v>189</v>
      </c>
      <c r="BP23" s="39">
        <v>206</v>
      </c>
      <c r="BQ23" s="39">
        <v>213</v>
      </c>
      <c r="BR23" s="39">
        <v>207</v>
      </c>
      <c r="BS23" s="39">
        <v>279</v>
      </c>
      <c r="BT23" s="39">
        <v>239</v>
      </c>
      <c r="BU23" s="39">
        <v>258</v>
      </c>
      <c r="BV23" s="39">
        <v>281</v>
      </c>
      <c r="BW23" s="39">
        <v>307</v>
      </c>
      <c r="BX23" s="39">
        <v>276</v>
      </c>
      <c r="BY23" s="39">
        <v>308</v>
      </c>
      <c r="BZ23" s="39">
        <v>368</v>
      </c>
      <c r="CA23" s="39">
        <v>350</v>
      </c>
      <c r="CB23" s="39">
        <v>309</v>
      </c>
      <c r="CC23" s="39">
        <v>372</v>
      </c>
      <c r="CD23" s="39">
        <v>393</v>
      </c>
      <c r="CE23" s="29">
        <f t="shared" si="0"/>
        <v>1074</v>
      </c>
      <c r="CF23" s="162"/>
      <c r="CG23" s="162"/>
      <c r="CH23" s="162"/>
      <c r="CI23" s="162"/>
      <c r="CJ23" s="162"/>
    </row>
    <row r="24" spans="1:89" s="160" customFormat="1" ht="15.75" customHeight="1" thickTop="1" thickBot="1" x14ac:dyDescent="0.9">
      <c r="A24" s="30"/>
      <c r="B24" s="30"/>
      <c r="C24" s="24" t="s">
        <v>163</v>
      </c>
      <c r="D24" s="24" t="s">
        <v>163</v>
      </c>
      <c r="E24" s="24" t="s">
        <v>163</v>
      </c>
      <c r="F24" s="24" t="s">
        <v>163</v>
      </c>
      <c r="G24" s="24" t="s">
        <v>163</v>
      </c>
      <c r="H24" s="24" t="s">
        <v>163</v>
      </c>
      <c r="I24" s="24" t="s">
        <v>163</v>
      </c>
      <c r="J24" s="24" t="s">
        <v>163</v>
      </c>
      <c r="K24" s="24" t="s">
        <v>163</v>
      </c>
      <c r="L24" s="24" t="s">
        <v>163</v>
      </c>
      <c r="M24" s="24" t="s">
        <v>163</v>
      </c>
      <c r="N24" s="24" t="s">
        <v>163</v>
      </c>
      <c r="O24" s="24" t="s">
        <v>163</v>
      </c>
      <c r="P24" s="24" t="s">
        <v>163</v>
      </c>
      <c r="Q24" s="24" t="s">
        <v>163</v>
      </c>
      <c r="R24" s="24" t="s">
        <v>163</v>
      </c>
      <c r="S24" s="24" t="s">
        <v>163</v>
      </c>
      <c r="T24" s="24" t="s">
        <v>163</v>
      </c>
      <c r="U24" s="24" t="s">
        <v>163</v>
      </c>
      <c r="V24" s="24" t="s">
        <v>163</v>
      </c>
      <c r="W24" s="24" t="s">
        <v>163</v>
      </c>
      <c r="X24" s="24" t="s">
        <v>163</v>
      </c>
      <c r="Y24" s="24" t="s">
        <v>163</v>
      </c>
      <c r="Z24" s="24" t="s">
        <v>163</v>
      </c>
      <c r="AA24" s="24" t="s">
        <v>163</v>
      </c>
      <c r="AB24" s="24" t="s">
        <v>163</v>
      </c>
      <c r="AC24" s="24" t="s">
        <v>163</v>
      </c>
      <c r="AD24" s="24" t="s">
        <v>163</v>
      </c>
      <c r="AE24" s="24" t="s">
        <v>163</v>
      </c>
      <c r="AF24" s="24" t="s">
        <v>163</v>
      </c>
      <c r="AG24" s="24" t="s">
        <v>163</v>
      </c>
      <c r="AH24" s="24" t="s">
        <v>163</v>
      </c>
      <c r="AI24" s="24" t="s">
        <v>163</v>
      </c>
      <c r="AJ24" s="24" t="s">
        <v>163</v>
      </c>
      <c r="AK24" s="24" t="s">
        <v>163</v>
      </c>
      <c r="AL24" s="24" t="s">
        <v>163</v>
      </c>
      <c r="AM24" s="24" t="s">
        <v>163</v>
      </c>
      <c r="AN24" s="24" t="s">
        <v>163</v>
      </c>
      <c r="AO24" s="24" t="s">
        <v>163</v>
      </c>
      <c r="AP24" s="24" t="s">
        <v>163</v>
      </c>
      <c r="AQ24" s="24" t="s">
        <v>163</v>
      </c>
      <c r="AR24" s="24" t="s">
        <v>163</v>
      </c>
      <c r="AS24" s="24" t="s">
        <v>163</v>
      </c>
      <c r="AT24" s="24" t="s">
        <v>163</v>
      </c>
      <c r="AU24" s="24" t="s">
        <v>163</v>
      </c>
      <c r="AV24" s="24" t="s">
        <v>163</v>
      </c>
      <c r="AW24" s="24" t="s">
        <v>163</v>
      </c>
      <c r="AX24" s="24" t="s">
        <v>163</v>
      </c>
      <c r="AY24" s="24" t="s">
        <v>163</v>
      </c>
      <c r="AZ24" s="24" t="s">
        <v>163</v>
      </c>
      <c r="BA24" s="24" t="s">
        <v>163</v>
      </c>
      <c r="BB24" s="24" t="s">
        <v>163</v>
      </c>
      <c r="BC24" s="24" t="s">
        <v>163</v>
      </c>
      <c r="BD24" s="24" t="s">
        <v>163</v>
      </c>
      <c r="BE24" s="24" t="s">
        <v>163</v>
      </c>
      <c r="BF24" s="24" t="s">
        <v>163</v>
      </c>
      <c r="BG24" s="24" t="s">
        <v>163</v>
      </c>
      <c r="BH24" s="24" t="s">
        <v>163</v>
      </c>
      <c r="BI24" s="24" t="s">
        <v>163</v>
      </c>
      <c r="BJ24" s="24" t="s">
        <v>163</v>
      </c>
      <c r="BK24" s="24" t="s">
        <v>163</v>
      </c>
      <c r="BL24" s="24" t="s">
        <v>163</v>
      </c>
      <c r="BM24" s="24" t="s">
        <v>163</v>
      </c>
      <c r="BN24" s="24" t="s">
        <v>163</v>
      </c>
      <c r="BO24" s="24" t="s">
        <v>163</v>
      </c>
      <c r="BP24" s="24" t="s">
        <v>163</v>
      </c>
      <c r="BQ24" s="24" t="s">
        <v>163</v>
      </c>
      <c r="BR24" s="24" t="s">
        <v>163</v>
      </c>
      <c r="BS24" s="24" t="s">
        <v>163</v>
      </c>
      <c r="BT24" s="24" t="s">
        <v>163</v>
      </c>
      <c r="BU24" s="24" t="s">
        <v>163</v>
      </c>
      <c r="BV24" s="24" t="s">
        <v>163</v>
      </c>
      <c r="BW24" s="24" t="s">
        <v>163</v>
      </c>
      <c r="BX24" s="24" t="s">
        <v>163</v>
      </c>
      <c r="BY24" s="24" t="s">
        <v>163</v>
      </c>
      <c r="BZ24" s="24" t="s">
        <v>163</v>
      </c>
      <c r="CA24" s="24" t="s">
        <v>163</v>
      </c>
      <c r="CB24" s="24" t="s">
        <v>163</v>
      </c>
      <c r="CC24" s="24" t="s">
        <v>163</v>
      </c>
      <c r="CD24" s="24" t="s">
        <v>163</v>
      </c>
      <c r="CE24" s="161"/>
      <c r="CF24" s="161"/>
      <c r="CG24" s="161"/>
      <c r="CH24" s="163"/>
      <c r="CI24" s="163"/>
      <c r="CJ24" s="163"/>
    </row>
    <row r="25" spans="1:89" ht="15.75" customHeight="1" thickTop="1" thickBot="1" x14ac:dyDescent="0.85">
      <c r="B25" s="62" t="s">
        <v>157</v>
      </c>
      <c r="C25" s="168">
        <v>2024</v>
      </c>
      <c r="D25" s="157" t="s">
        <v>116</v>
      </c>
      <c r="E25" s="157" t="s">
        <v>117</v>
      </c>
      <c r="F25" s="157" t="s">
        <v>118</v>
      </c>
      <c r="G25" s="157" t="s">
        <v>119</v>
      </c>
      <c r="H25" s="157" t="s">
        <v>120</v>
      </c>
      <c r="I25" s="157" t="s">
        <v>121</v>
      </c>
      <c r="J25" s="157" t="s">
        <v>122</v>
      </c>
      <c r="K25" s="157" t="s">
        <v>123</v>
      </c>
      <c r="L25" s="157" t="s">
        <v>124</v>
      </c>
      <c r="M25" s="157" t="s">
        <v>125</v>
      </c>
      <c r="N25" s="157" t="s">
        <v>126</v>
      </c>
      <c r="O25" s="157" t="s">
        <v>127</v>
      </c>
      <c r="P25" s="157" t="s">
        <v>128</v>
      </c>
      <c r="Q25" s="157" t="s">
        <v>129</v>
      </c>
      <c r="R25" s="157" t="s">
        <v>130</v>
      </c>
      <c r="S25" s="157" t="s">
        <v>131</v>
      </c>
      <c r="T25" s="157" t="s">
        <v>132</v>
      </c>
      <c r="U25" s="157" t="s">
        <v>133</v>
      </c>
      <c r="V25" s="157" t="s">
        <v>134</v>
      </c>
      <c r="W25" s="157" t="s">
        <v>135</v>
      </c>
      <c r="X25" s="157" t="s">
        <v>136</v>
      </c>
      <c r="Y25" s="157" t="s">
        <v>137</v>
      </c>
      <c r="Z25" s="157" t="s">
        <v>138</v>
      </c>
      <c r="AA25" s="157" t="s">
        <v>139</v>
      </c>
      <c r="AB25" s="157" t="s">
        <v>140</v>
      </c>
      <c r="AC25" s="157" t="s">
        <v>141</v>
      </c>
      <c r="AD25" s="157" t="s">
        <v>142</v>
      </c>
      <c r="AE25" s="157" t="s">
        <v>143</v>
      </c>
      <c r="AF25" s="157" t="s">
        <v>144</v>
      </c>
      <c r="AG25" s="157" t="s">
        <v>145</v>
      </c>
      <c r="AH25" s="157" t="s">
        <v>146</v>
      </c>
      <c r="AI25" s="157" t="s">
        <v>147</v>
      </c>
      <c r="AJ25" s="157" t="s">
        <v>66</v>
      </c>
      <c r="AK25" s="157" t="s">
        <v>67</v>
      </c>
      <c r="AL25" s="157" t="s">
        <v>68</v>
      </c>
      <c r="AM25" s="157" t="s">
        <v>69</v>
      </c>
      <c r="AN25" s="157" t="s">
        <v>70</v>
      </c>
      <c r="AO25" s="157" t="s">
        <v>71</v>
      </c>
      <c r="AP25" s="157" t="s">
        <v>72</v>
      </c>
      <c r="AQ25" s="157" t="s">
        <v>73</v>
      </c>
      <c r="AR25" s="157" t="s">
        <v>74</v>
      </c>
      <c r="AS25" s="157" t="s">
        <v>75</v>
      </c>
      <c r="AT25" s="157" t="s">
        <v>76</v>
      </c>
      <c r="AU25" s="157" t="s">
        <v>77</v>
      </c>
      <c r="AV25" s="157" t="s">
        <v>78</v>
      </c>
      <c r="AW25" s="157" t="s">
        <v>79</v>
      </c>
      <c r="AX25" s="157" t="s">
        <v>80</v>
      </c>
      <c r="AY25" s="157" t="s">
        <v>81</v>
      </c>
      <c r="AZ25" s="157" t="s">
        <v>82</v>
      </c>
      <c r="BA25" s="157" t="s">
        <v>83</v>
      </c>
      <c r="BB25" s="157" t="s">
        <v>84</v>
      </c>
      <c r="BC25" s="157" t="s">
        <v>85</v>
      </c>
      <c r="BD25" s="157" t="s">
        <v>86</v>
      </c>
      <c r="BE25" s="157" t="s">
        <v>87</v>
      </c>
      <c r="BF25" s="157" t="s">
        <v>88</v>
      </c>
      <c r="BG25" s="157" t="s">
        <v>89</v>
      </c>
      <c r="BH25" s="157" t="s">
        <v>90</v>
      </c>
      <c r="BI25" s="157" t="s">
        <v>91</v>
      </c>
      <c r="BJ25" s="157" t="s">
        <v>92</v>
      </c>
      <c r="BK25" s="157" t="s">
        <v>93</v>
      </c>
      <c r="BL25" s="157" t="s">
        <v>94</v>
      </c>
      <c r="BM25" s="157" t="s">
        <v>95</v>
      </c>
      <c r="BN25" s="157" t="s">
        <v>96</v>
      </c>
      <c r="BO25" s="157" t="s">
        <v>97</v>
      </c>
      <c r="BP25" s="157" t="s">
        <v>98</v>
      </c>
      <c r="BQ25" s="157" t="s">
        <v>99</v>
      </c>
      <c r="BR25" s="157" t="s">
        <v>100</v>
      </c>
      <c r="BS25" s="157" t="s">
        <v>101</v>
      </c>
      <c r="BT25" s="157" t="s">
        <v>102</v>
      </c>
      <c r="BU25" s="157" t="s">
        <v>103</v>
      </c>
      <c r="BV25" s="157" t="s">
        <v>104</v>
      </c>
      <c r="BW25" s="157" t="s">
        <v>105</v>
      </c>
      <c r="BX25" s="157" t="s">
        <v>106</v>
      </c>
      <c r="BY25" s="157" t="s">
        <v>107</v>
      </c>
      <c r="BZ25" s="157" t="s">
        <v>108</v>
      </c>
      <c r="CA25" s="157" t="s">
        <v>109</v>
      </c>
      <c r="CB25" s="157" t="s">
        <v>110</v>
      </c>
      <c r="CC25" s="157" t="s">
        <v>111</v>
      </c>
      <c r="CD25" s="157" t="s">
        <v>112</v>
      </c>
      <c r="CE25" s="161"/>
      <c r="CF25" s="161"/>
      <c r="CG25" s="161"/>
      <c r="CH25" s="163"/>
      <c r="CI25" s="163"/>
      <c r="CJ25" s="163"/>
    </row>
    <row r="26" spans="1:89" ht="14.25" customHeight="1" thickTop="1" x14ac:dyDescent="0.6">
      <c r="A26" s="27"/>
      <c r="B26" s="28" t="s">
        <v>149</v>
      </c>
      <c r="C26" s="29">
        <v>19918</v>
      </c>
      <c r="D26" s="29">
        <v>1323</v>
      </c>
      <c r="E26" s="29">
        <v>1421</v>
      </c>
      <c r="F26" s="29">
        <v>1561</v>
      </c>
      <c r="G26" s="29">
        <v>1564</v>
      </c>
      <c r="H26" s="29">
        <v>1500</v>
      </c>
      <c r="I26" s="29">
        <v>1531</v>
      </c>
      <c r="J26" s="29">
        <v>1619</v>
      </c>
      <c r="K26" s="29">
        <v>1666</v>
      </c>
      <c r="L26" s="29">
        <v>1642</v>
      </c>
      <c r="M26" s="29">
        <v>1736</v>
      </c>
      <c r="N26" s="29">
        <v>1810</v>
      </c>
      <c r="O26" s="29">
        <v>1833</v>
      </c>
      <c r="P26" s="29">
        <v>1842</v>
      </c>
      <c r="Q26" s="29">
        <v>1824</v>
      </c>
      <c r="R26" s="29">
        <v>1874</v>
      </c>
      <c r="S26" s="29">
        <v>1920</v>
      </c>
      <c r="T26" s="29">
        <v>1937</v>
      </c>
      <c r="U26" s="29">
        <v>1940</v>
      </c>
      <c r="V26" s="29">
        <v>2024</v>
      </c>
      <c r="W26" s="29">
        <v>2105</v>
      </c>
      <c r="X26" s="29">
        <v>2101</v>
      </c>
      <c r="Y26" s="29">
        <v>2055</v>
      </c>
      <c r="Z26" s="29">
        <v>2234</v>
      </c>
      <c r="AA26" s="29">
        <v>2254</v>
      </c>
      <c r="AB26" s="29">
        <v>2277</v>
      </c>
      <c r="AC26" s="29">
        <v>2275</v>
      </c>
      <c r="AD26" s="29">
        <v>2393</v>
      </c>
      <c r="AE26" s="29">
        <v>2445</v>
      </c>
      <c r="AF26" s="29">
        <v>2384</v>
      </c>
      <c r="AG26" s="29">
        <v>2456</v>
      </c>
      <c r="AH26" s="29">
        <v>2455</v>
      </c>
      <c r="AI26" s="29">
        <v>2539</v>
      </c>
      <c r="AJ26" s="29">
        <v>2504</v>
      </c>
      <c r="AK26" s="29">
        <v>2610</v>
      </c>
      <c r="AL26" s="29">
        <v>2368</v>
      </c>
      <c r="AM26" s="29">
        <v>2910</v>
      </c>
      <c r="AN26" s="29">
        <v>2723</v>
      </c>
      <c r="AO26" s="29">
        <v>2858</v>
      </c>
      <c r="AP26" s="29">
        <v>2569</v>
      </c>
      <c r="AQ26" s="29">
        <v>3164</v>
      </c>
      <c r="AR26" s="29">
        <v>2955</v>
      </c>
      <c r="AS26" s="29">
        <v>3059</v>
      </c>
      <c r="AT26" s="29">
        <v>2689</v>
      </c>
      <c r="AU26" s="29">
        <v>3251</v>
      </c>
      <c r="AV26" s="29">
        <v>3016</v>
      </c>
      <c r="AW26" s="29">
        <v>3214</v>
      </c>
      <c r="AX26" s="29">
        <v>2808</v>
      </c>
      <c r="AY26" s="29">
        <v>3479</v>
      </c>
      <c r="AZ26" s="29">
        <v>3264</v>
      </c>
      <c r="BA26" s="29">
        <v>3433</v>
      </c>
      <c r="BB26" s="29">
        <v>3026</v>
      </c>
      <c r="BC26" s="29">
        <v>3804</v>
      </c>
      <c r="BD26" s="29">
        <v>3468</v>
      </c>
      <c r="BE26" s="29">
        <v>3885</v>
      </c>
      <c r="BF26" s="29">
        <v>3383</v>
      </c>
      <c r="BG26" s="29">
        <v>4046</v>
      </c>
      <c r="BH26" s="29">
        <v>3621</v>
      </c>
      <c r="BI26" s="29">
        <v>3451</v>
      </c>
      <c r="BJ26" s="29">
        <v>3258</v>
      </c>
      <c r="BK26" s="29">
        <v>4042</v>
      </c>
      <c r="BL26" s="29">
        <v>3707</v>
      </c>
      <c r="BM26" s="29">
        <v>4070</v>
      </c>
      <c r="BN26" s="29">
        <v>3454</v>
      </c>
      <c r="BO26" s="29">
        <v>4350</v>
      </c>
      <c r="BP26" s="29">
        <v>4074</v>
      </c>
      <c r="BQ26" s="29">
        <v>4541</v>
      </c>
      <c r="BR26" s="29">
        <v>3852</v>
      </c>
      <c r="BS26" s="29">
        <v>4644</v>
      </c>
      <c r="BT26" s="29">
        <v>4386</v>
      </c>
      <c r="BU26" s="29">
        <v>4659</v>
      </c>
      <c r="BV26" s="29">
        <v>4261</v>
      </c>
      <c r="BW26" s="29">
        <v>5270</v>
      </c>
      <c r="BX26" s="29">
        <v>4741</v>
      </c>
      <c r="BY26" s="29">
        <v>5137</v>
      </c>
      <c r="BZ26" s="29">
        <v>4550</v>
      </c>
      <c r="CA26" s="29">
        <v>5489</v>
      </c>
      <c r="CB26" s="29">
        <v>5052</v>
      </c>
      <c r="CC26" s="29">
        <v>5540</v>
      </c>
      <c r="CD26" s="29">
        <v>5089</v>
      </c>
      <c r="CE26" s="161"/>
      <c r="CF26" s="161"/>
      <c r="CG26" s="161"/>
      <c r="CH26" s="161"/>
      <c r="CI26" s="161"/>
      <c r="CJ26" s="161"/>
    </row>
    <row r="27" spans="1:89" s="160" customFormat="1" ht="6.75" customHeight="1" x14ac:dyDescent="0.7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</row>
    <row r="28" spans="1:89" ht="14.25" customHeight="1" x14ac:dyDescent="0.6">
      <c r="A28" s="27"/>
      <c r="B28" s="28" t="s">
        <v>10</v>
      </c>
      <c r="C28" s="29">
        <v>15959</v>
      </c>
      <c r="D28" s="29">
        <v>1361</v>
      </c>
      <c r="E28" s="29">
        <v>1486</v>
      </c>
      <c r="F28" s="29">
        <v>1685</v>
      </c>
      <c r="G28" s="29">
        <v>1675</v>
      </c>
      <c r="H28" s="29">
        <v>1448</v>
      </c>
      <c r="I28" s="29">
        <v>1506</v>
      </c>
      <c r="J28" s="29">
        <v>1620</v>
      </c>
      <c r="K28" s="29">
        <v>1642</v>
      </c>
      <c r="L28" s="29">
        <v>1501</v>
      </c>
      <c r="M28" s="29">
        <v>1613</v>
      </c>
      <c r="N28" s="29">
        <v>1742</v>
      </c>
      <c r="O28" s="29">
        <v>1766</v>
      </c>
      <c r="P28" s="29">
        <v>1766</v>
      </c>
      <c r="Q28" s="29">
        <v>1852</v>
      </c>
      <c r="R28" s="29">
        <v>1898</v>
      </c>
      <c r="S28" s="29">
        <v>1974</v>
      </c>
      <c r="T28" s="29">
        <v>1847</v>
      </c>
      <c r="U28" s="29">
        <v>1921</v>
      </c>
      <c r="V28" s="29">
        <v>1981</v>
      </c>
      <c r="W28" s="29">
        <v>2132</v>
      </c>
      <c r="X28" s="29">
        <v>1965</v>
      </c>
      <c r="Y28" s="29">
        <v>2103</v>
      </c>
      <c r="Z28" s="29">
        <v>2231</v>
      </c>
      <c r="AA28" s="29">
        <v>2269</v>
      </c>
      <c r="AB28" s="29">
        <v>2189</v>
      </c>
      <c r="AC28" s="29">
        <v>2356</v>
      </c>
      <c r="AD28" s="29">
        <v>2478</v>
      </c>
      <c r="AE28" s="29">
        <v>2376</v>
      </c>
      <c r="AF28" s="29">
        <v>2285</v>
      </c>
      <c r="AG28" s="29">
        <v>2355</v>
      </c>
      <c r="AH28" s="29">
        <v>2431</v>
      </c>
      <c r="AI28" s="29">
        <v>2621</v>
      </c>
      <c r="AJ28" s="29">
        <v>2621</v>
      </c>
      <c r="AK28" s="29">
        <v>2650</v>
      </c>
      <c r="AL28" s="29">
        <v>2515</v>
      </c>
      <c r="AM28" s="29">
        <v>2861</v>
      </c>
      <c r="AN28" s="29">
        <v>2921</v>
      </c>
      <c r="AO28" s="29">
        <v>3080</v>
      </c>
      <c r="AP28" s="29">
        <v>2843</v>
      </c>
      <c r="AQ28" s="29">
        <v>3354</v>
      </c>
      <c r="AR28" s="29">
        <v>3064</v>
      </c>
      <c r="AS28" s="29">
        <v>3341</v>
      </c>
      <c r="AT28" s="29">
        <v>2950</v>
      </c>
      <c r="AU28" s="29">
        <v>3382</v>
      </c>
      <c r="AV28" s="29">
        <v>2933</v>
      </c>
      <c r="AW28" s="29">
        <v>3135</v>
      </c>
      <c r="AX28" s="29">
        <v>2826</v>
      </c>
      <c r="AY28" s="29">
        <v>3407</v>
      </c>
      <c r="AZ28" s="29">
        <v>3343</v>
      </c>
      <c r="BA28" s="29">
        <v>3296</v>
      </c>
      <c r="BB28" s="29">
        <v>2868</v>
      </c>
      <c r="BC28" s="29">
        <v>3751</v>
      </c>
      <c r="BD28" s="29">
        <v>3356</v>
      </c>
      <c r="BE28" s="29">
        <v>3742</v>
      </c>
      <c r="BF28" s="29">
        <v>3047</v>
      </c>
      <c r="BG28" s="29">
        <v>3724</v>
      </c>
      <c r="BH28" s="29">
        <v>3804</v>
      </c>
      <c r="BI28" s="29">
        <v>3445</v>
      </c>
      <c r="BJ28" s="29">
        <v>3104</v>
      </c>
      <c r="BK28" s="29">
        <v>4033</v>
      </c>
      <c r="BL28" s="29">
        <v>3382</v>
      </c>
      <c r="BM28" s="29">
        <v>3701</v>
      </c>
      <c r="BN28" s="29">
        <v>3966</v>
      </c>
      <c r="BO28" s="29">
        <v>3880</v>
      </c>
      <c r="BP28" s="29">
        <v>3368</v>
      </c>
      <c r="BQ28" s="29">
        <v>3649</v>
      </c>
      <c r="BR28" s="29">
        <v>3134</v>
      </c>
      <c r="BS28" s="29">
        <v>3837</v>
      </c>
      <c r="BT28" s="29">
        <v>3731</v>
      </c>
      <c r="BU28" s="29">
        <v>3917</v>
      </c>
      <c r="BV28" s="29">
        <v>3280</v>
      </c>
      <c r="BW28" s="29">
        <v>4329</v>
      </c>
      <c r="BX28" s="29">
        <v>3687</v>
      </c>
      <c r="BY28" s="29">
        <v>4161</v>
      </c>
      <c r="BZ28" s="29">
        <v>3650</v>
      </c>
      <c r="CA28" s="29">
        <v>4462</v>
      </c>
      <c r="CB28" s="29">
        <v>3915</v>
      </c>
      <c r="CC28" s="29">
        <v>4477</v>
      </c>
      <c r="CD28" s="29">
        <v>3794</v>
      </c>
      <c r="CI28" s="161"/>
      <c r="CJ28" s="161"/>
    </row>
    <row r="29" spans="1:89" ht="13.5" customHeight="1" x14ac:dyDescent="0.6">
      <c r="A29" s="27"/>
      <c r="B29" s="34" t="s">
        <v>11</v>
      </c>
      <c r="C29" s="33">
        <v>3333</v>
      </c>
      <c r="D29" s="33">
        <v>178</v>
      </c>
      <c r="E29" s="33">
        <v>221</v>
      </c>
      <c r="F29" s="33">
        <v>218</v>
      </c>
      <c r="G29" s="33">
        <v>199</v>
      </c>
      <c r="H29" s="33">
        <v>196</v>
      </c>
      <c r="I29" s="33">
        <v>186</v>
      </c>
      <c r="J29" s="33">
        <v>213</v>
      </c>
      <c r="K29" s="33">
        <v>229</v>
      </c>
      <c r="L29" s="33">
        <v>200</v>
      </c>
      <c r="M29" s="33">
        <v>199</v>
      </c>
      <c r="N29" s="33">
        <v>216</v>
      </c>
      <c r="O29" s="33">
        <v>226</v>
      </c>
      <c r="P29" s="33">
        <v>231</v>
      </c>
      <c r="Q29" s="33">
        <v>242</v>
      </c>
      <c r="R29" s="33">
        <v>232</v>
      </c>
      <c r="S29" s="33">
        <v>236</v>
      </c>
      <c r="T29" s="33">
        <v>239</v>
      </c>
      <c r="U29" s="33">
        <v>261</v>
      </c>
      <c r="V29" s="33">
        <v>258</v>
      </c>
      <c r="W29" s="33">
        <v>281</v>
      </c>
      <c r="X29" s="33">
        <v>210</v>
      </c>
      <c r="Y29" s="33">
        <v>250</v>
      </c>
      <c r="Z29" s="33">
        <v>295</v>
      </c>
      <c r="AA29" s="33">
        <v>322</v>
      </c>
      <c r="AB29" s="33">
        <v>309</v>
      </c>
      <c r="AC29" s="33">
        <v>348</v>
      </c>
      <c r="AD29" s="33">
        <v>279</v>
      </c>
      <c r="AE29" s="33">
        <v>311</v>
      </c>
      <c r="AF29" s="33">
        <v>282</v>
      </c>
      <c r="AG29" s="33">
        <v>335</v>
      </c>
      <c r="AH29" s="33">
        <v>290</v>
      </c>
      <c r="AI29" s="33">
        <v>337</v>
      </c>
      <c r="AJ29" s="33">
        <v>357</v>
      </c>
      <c r="AK29" s="33">
        <v>425</v>
      </c>
      <c r="AL29" s="33">
        <v>374</v>
      </c>
      <c r="AM29" s="33">
        <v>348</v>
      </c>
      <c r="AN29" s="33">
        <v>388</v>
      </c>
      <c r="AO29" s="33">
        <v>398</v>
      </c>
      <c r="AP29" s="33">
        <v>401</v>
      </c>
      <c r="AQ29" s="33">
        <v>393</v>
      </c>
      <c r="AR29" s="33">
        <v>455</v>
      </c>
      <c r="AS29" s="33">
        <v>383</v>
      </c>
      <c r="AT29" s="33">
        <v>449</v>
      </c>
      <c r="AU29" s="33">
        <v>438</v>
      </c>
      <c r="AV29" s="33">
        <v>434</v>
      </c>
      <c r="AW29" s="33">
        <v>454</v>
      </c>
      <c r="AX29" s="33">
        <v>492</v>
      </c>
      <c r="AY29" s="33">
        <v>471</v>
      </c>
      <c r="AZ29" s="33">
        <v>452</v>
      </c>
      <c r="BA29" s="33">
        <v>465</v>
      </c>
      <c r="BB29" s="33">
        <v>515</v>
      </c>
      <c r="BC29" s="33">
        <v>513</v>
      </c>
      <c r="BD29" s="33">
        <v>527</v>
      </c>
      <c r="BE29" s="33">
        <v>693</v>
      </c>
      <c r="BF29" s="33">
        <v>521</v>
      </c>
      <c r="BG29" s="33">
        <v>545</v>
      </c>
      <c r="BH29" s="33">
        <v>606</v>
      </c>
      <c r="BI29" s="33">
        <v>569</v>
      </c>
      <c r="BJ29" s="33">
        <v>548</v>
      </c>
      <c r="BK29" s="33">
        <v>604</v>
      </c>
      <c r="BL29" s="33">
        <v>612</v>
      </c>
      <c r="BM29" s="33">
        <v>676</v>
      </c>
      <c r="BN29" s="33">
        <v>709</v>
      </c>
      <c r="BO29" s="33">
        <v>652</v>
      </c>
      <c r="BP29" s="33">
        <v>755</v>
      </c>
      <c r="BQ29" s="33">
        <v>692</v>
      </c>
      <c r="BR29" s="33">
        <v>820</v>
      </c>
      <c r="BS29" s="33">
        <v>644</v>
      </c>
      <c r="BT29" s="33">
        <v>697</v>
      </c>
      <c r="BU29" s="33">
        <v>883</v>
      </c>
      <c r="BV29" s="33">
        <v>706</v>
      </c>
      <c r="BW29" s="33">
        <v>648</v>
      </c>
      <c r="BX29" s="33">
        <v>730</v>
      </c>
      <c r="BY29" s="33">
        <v>890</v>
      </c>
      <c r="BZ29" s="33">
        <v>765</v>
      </c>
      <c r="CA29" s="33">
        <v>949</v>
      </c>
      <c r="CB29" s="33">
        <v>804</v>
      </c>
      <c r="CC29" s="33">
        <v>885</v>
      </c>
      <c r="CD29" s="33">
        <v>784</v>
      </c>
      <c r="CI29" s="161"/>
      <c r="CJ29" s="161"/>
      <c r="CK29" s="40"/>
    </row>
    <row r="30" spans="1:89" ht="13.5" customHeight="1" x14ac:dyDescent="0.6">
      <c r="A30" s="27"/>
      <c r="B30" s="34" t="s">
        <v>150</v>
      </c>
      <c r="C30" s="33">
        <v>12626</v>
      </c>
      <c r="D30" s="33">
        <v>1183</v>
      </c>
      <c r="E30" s="33">
        <v>1264</v>
      </c>
      <c r="F30" s="33">
        <v>1467</v>
      </c>
      <c r="G30" s="33">
        <v>1476</v>
      </c>
      <c r="H30" s="33">
        <v>1252</v>
      </c>
      <c r="I30" s="33">
        <v>1320</v>
      </c>
      <c r="J30" s="33">
        <v>1407</v>
      </c>
      <c r="K30" s="33">
        <v>1412</v>
      </c>
      <c r="L30" s="33">
        <v>1300</v>
      </c>
      <c r="M30" s="33">
        <v>1414</v>
      </c>
      <c r="N30" s="33">
        <v>1526</v>
      </c>
      <c r="O30" s="33">
        <v>1540</v>
      </c>
      <c r="P30" s="33">
        <v>1535</v>
      </c>
      <c r="Q30" s="33">
        <v>1610</v>
      </c>
      <c r="R30" s="33">
        <v>1665</v>
      </c>
      <c r="S30" s="33">
        <v>1739</v>
      </c>
      <c r="T30" s="33">
        <v>1608</v>
      </c>
      <c r="U30" s="33">
        <v>1659</v>
      </c>
      <c r="V30" s="33">
        <v>1723</v>
      </c>
      <c r="W30" s="33">
        <v>1852</v>
      </c>
      <c r="X30" s="33">
        <v>1755</v>
      </c>
      <c r="Y30" s="33">
        <v>1853</v>
      </c>
      <c r="Z30" s="33">
        <v>1936</v>
      </c>
      <c r="AA30" s="33">
        <v>1947</v>
      </c>
      <c r="AB30" s="33">
        <v>1880</v>
      </c>
      <c r="AC30" s="33">
        <v>2008</v>
      </c>
      <c r="AD30" s="33">
        <v>2199</v>
      </c>
      <c r="AE30" s="33">
        <v>2065</v>
      </c>
      <c r="AF30" s="33">
        <v>2002</v>
      </c>
      <c r="AG30" s="33">
        <v>2020</v>
      </c>
      <c r="AH30" s="33">
        <v>2140</v>
      </c>
      <c r="AI30" s="33">
        <v>2285</v>
      </c>
      <c r="AJ30" s="33">
        <v>2264</v>
      </c>
      <c r="AK30" s="33">
        <v>2225</v>
      </c>
      <c r="AL30" s="33">
        <v>2141</v>
      </c>
      <c r="AM30" s="33">
        <v>2514</v>
      </c>
      <c r="AN30" s="33">
        <v>2533</v>
      </c>
      <c r="AO30" s="33">
        <v>2682</v>
      </c>
      <c r="AP30" s="33">
        <v>2442</v>
      </c>
      <c r="AQ30" s="33">
        <v>2961</v>
      </c>
      <c r="AR30" s="33">
        <v>2608</v>
      </c>
      <c r="AS30" s="33">
        <v>2958</v>
      </c>
      <c r="AT30" s="33">
        <v>2501</v>
      </c>
      <c r="AU30" s="33">
        <v>2945</v>
      </c>
      <c r="AV30" s="33">
        <v>2499</v>
      </c>
      <c r="AW30" s="33">
        <v>2682</v>
      </c>
      <c r="AX30" s="33">
        <v>2334</v>
      </c>
      <c r="AY30" s="33">
        <v>2935</v>
      </c>
      <c r="AZ30" s="33">
        <v>2891</v>
      </c>
      <c r="BA30" s="33">
        <v>2831</v>
      </c>
      <c r="BB30" s="33">
        <v>2354</v>
      </c>
      <c r="BC30" s="33">
        <v>3238</v>
      </c>
      <c r="BD30" s="33">
        <v>2829</v>
      </c>
      <c r="BE30" s="33">
        <v>3050</v>
      </c>
      <c r="BF30" s="33">
        <v>2526</v>
      </c>
      <c r="BG30" s="33">
        <v>3179</v>
      </c>
      <c r="BH30" s="33">
        <v>3198</v>
      </c>
      <c r="BI30" s="33">
        <v>2876</v>
      </c>
      <c r="BJ30" s="33">
        <v>2556</v>
      </c>
      <c r="BK30" s="33">
        <v>3429</v>
      </c>
      <c r="BL30" s="33">
        <v>2770</v>
      </c>
      <c r="BM30" s="33">
        <v>3025</v>
      </c>
      <c r="BN30" s="33">
        <v>3258</v>
      </c>
      <c r="BO30" s="33">
        <v>3228</v>
      </c>
      <c r="BP30" s="33">
        <v>2614</v>
      </c>
      <c r="BQ30" s="33">
        <v>2957</v>
      </c>
      <c r="BR30" s="33">
        <v>2314</v>
      </c>
      <c r="BS30" s="33">
        <v>3193</v>
      </c>
      <c r="BT30" s="33">
        <v>3034</v>
      </c>
      <c r="BU30" s="33">
        <v>3034</v>
      </c>
      <c r="BV30" s="33">
        <v>2574</v>
      </c>
      <c r="BW30" s="33">
        <v>3681</v>
      </c>
      <c r="BX30" s="33">
        <v>2958</v>
      </c>
      <c r="BY30" s="33">
        <v>3271</v>
      </c>
      <c r="BZ30" s="33">
        <v>2885</v>
      </c>
      <c r="CA30" s="33">
        <v>3513</v>
      </c>
      <c r="CB30" s="33">
        <v>3112</v>
      </c>
      <c r="CC30" s="33">
        <v>3592</v>
      </c>
      <c r="CD30" s="33">
        <v>3010</v>
      </c>
    </row>
    <row r="31" spans="1:89" s="160" customFormat="1" ht="6.75" customHeight="1" x14ac:dyDescent="0.7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</row>
    <row r="32" spans="1:89" ht="14.25" customHeight="1" x14ac:dyDescent="0.6">
      <c r="A32" s="27"/>
      <c r="B32" s="28" t="s">
        <v>13</v>
      </c>
      <c r="C32" s="29">
        <v>6916</v>
      </c>
      <c r="D32" s="29">
        <v>208</v>
      </c>
      <c r="E32" s="29">
        <v>256</v>
      </c>
      <c r="F32" s="29">
        <v>262</v>
      </c>
      <c r="G32" s="29">
        <v>298</v>
      </c>
      <c r="H32" s="29">
        <v>298</v>
      </c>
      <c r="I32" s="29">
        <v>312</v>
      </c>
      <c r="J32" s="29">
        <v>319</v>
      </c>
      <c r="K32" s="29">
        <v>369</v>
      </c>
      <c r="L32" s="29">
        <v>343</v>
      </c>
      <c r="M32" s="29">
        <v>427</v>
      </c>
      <c r="N32" s="29">
        <v>450</v>
      </c>
      <c r="O32" s="29">
        <v>491</v>
      </c>
      <c r="P32" s="29">
        <v>479</v>
      </c>
      <c r="Q32" s="29">
        <v>446</v>
      </c>
      <c r="R32" s="29">
        <v>396</v>
      </c>
      <c r="S32" s="29">
        <v>437</v>
      </c>
      <c r="T32" s="29">
        <v>470</v>
      </c>
      <c r="U32" s="29">
        <v>412</v>
      </c>
      <c r="V32" s="29">
        <v>456</v>
      </c>
      <c r="W32" s="29">
        <v>547</v>
      </c>
      <c r="X32" s="29">
        <v>539</v>
      </c>
      <c r="Y32" s="29">
        <v>450</v>
      </c>
      <c r="Z32" s="29">
        <v>508</v>
      </c>
      <c r="AA32" s="29">
        <v>562</v>
      </c>
      <c r="AB32" s="29">
        <v>597</v>
      </c>
      <c r="AC32" s="29">
        <v>554</v>
      </c>
      <c r="AD32" s="29">
        <v>639</v>
      </c>
      <c r="AE32" s="29">
        <v>727</v>
      </c>
      <c r="AF32" s="29">
        <v>670</v>
      </c>
      <c r="AG32" s="29">
        <v>654</v>
      </c>
      <c r="AH32" s="29">
        <v>652</v>
      </c>
      <c r="AI32" s="29">
        <v>733</v>
      </c>
      <c r="AJ32" s="29">
        <v>712</v>
      </c>
      <c r="AK32" s="29">
        <v>704</v>
      </c>
      <c r="AL32" s="29">
        <v>618</v>
      </c>
      <c r="AM32" s="29">
        <v>824</v>
      </c>
      <c r="AN32" s="29">
        <v>802</v>
      </c>
      <c r="AO32" s="29">
        <v>816</v>
      </c>
      <c r="AP32" s="29">
        <v>791</v>
      </c>
      <c r="AQ32" s="29">
        <v>960</v>
      </c>
      <c r="AR32" s="29">
        <v>943</v>
      </c>
      <c r="AS32" s="29">
        <v>916</v>
      </c>
      <c r="AT32" s="29">
        <v>903</v>
      </c>
      <c r="AU32" s="29">
        <v>893</v>
      </c>
      <c r="AV32" s="29">
        <v>868</v>
      </c>
      <c r="AW32" s="29">
        <v>843</v>
      </c>
      <c r="AX32" s="29">
        <v>924</v>
      </c>
      <c r="AY32" s="29">
        <v>895</v>
      </c>
      <c r="AZ32" s="29">
        <v>853</v>
      </c>
      <c r="BA32" s="29">
        <v>847</v>
      </c>
      <c r="BB32" s="29">
        <v>943</v>
      </c>
      <c r="BC32" s="29">
        <v>1039</v>
      </c>
      <c r="BD32" s="29">
        <v>1024</v>
      </c>
      <c r="BE32" s="29">
        <v>1143</v>
      </c>
      <c r="BF32" s="29">
        <v>1322</v>
      </c>
      <c r="BG32" s="29">
        <v>1339</v>
      </c>
      <c r="BH32" s="29">
        <v>1101</v>
      </c>
      <c r="BI32" s="29">
        <v>906</v>
      </c>
      <c r="BJ32" s="29">
        <v>1018</v>
      </c>
      <c r="BK32" s="29">
        <v>1166</v>
      </c>
      <c r="BL32" s="29">
        <v>1178</v>
      </c>
      <c r="BM32" s="29">
        <v>1240</v>
      </c>
      <c r="BN32" s="29">
        <v>1269</v>
      </c>
      <c r="BO32" s="29">
        <v>1298</v>
      </c>
      <c r="BP32" s="29">
        <v>1266</v>
      </c>
      <c r="BQ32" s="29">
        <v>1606</v>
      </c>
      <c r="BR32" s="29">
        <v>1541</v>
      </c>
      <c r="BS32" s="29">
        <v>1392</v>
      </c>
      <c r="BT32" s="29">
        <v>1513</v>
      </c>
      <c r="BU32" s="29">
        <v>1626</v>
      </c>
      <c r="BV32" s="29">
        <v>1944</v>
      </c>
      <c r="BW32" s="29">
        <v>1821</v>
      </c>
      <c r="BX32" s="29">
        <v>1842</v>
      </c>
      <c r="BY32" s="29">
        <v>1746</v>
      </c>
      <c r="BZ32" s="29">
        <v>1653</v>
      </c>
      <c r="CA32" s="29">
        <v>1675</v>
      </c>
      <c r="CB32" s="29">
        <v>1904</v>
      </c>
      <c r="CC32" s="29">
        <v>1672</v>
      </c>
      <c r="CD32" s="29">
        <v>2007</v>
      </c>
    </row>
    <row r="33" spans="1:83" ht="13.5" customHeight="1" x14ac:dyDescent="0.6">
      <c r="A33" s="27"/>
      <c r="B33" s="34" t="s">
        <v>151</v>
      </c>
      <c r="C33" s="33">
        <v>4443</v>
      </c>
      <c r="D33" s="33">
        <v>145</v>
      </c>
      <c r="E33" s="33">
        <v>158</v>
      </c>
      <c r="F33" s="33">
        <v>161</v>
      </c>
      <c r="G33" s="33">
        <v>175</v>
      </c>
      <c r="H33" s="33">
        <v>188</v>
      </c>
      <c r="I33" s="33">
        <v>171</v>
      </c>
      <c r="J33" s="33">
        <v>183</v>
      </c>
      <c r="K33" s="33">
        <v>198</v>
      </c>
      <c r="L33" s="33">
        <v>216</v>
      </c>
      <c r="M33" s="33">
        <v>226</v>
      </c>
      <c r="N33" s="33">
        <v>253</v>
      </c>
      <c r="O33" s="33">
        <v>261</v>
      </c>
      <c r="P33" s="33">
        <v>274</v>
      </c>
      <c r="Q33" s="33">
        <v>226</v>
      </c>
      <c r="R33" s="33">
        <v>216</v>
      </c>
      <c r="S33" s="33">
        <v>253</v>
      </c>
      <c r="T33" s="33">
        <v>286</v>
      </c>
      <c r="U33" s="33">
        <v>234</v>
      </c>
      <c r="V33" s="33">
        <v>241</v>
      </c>
      <c r="W33" s="33">
        <v>296</v>
      </c>
      <c r="X33" s="33">
        <v>357</v>
      </c>
      <c r="Y33" s="33">
        <v>281</v>
      </c>
      <c r="Z33" s="33">
        <v>303</v>
      </c>
      <c r="AA33" s="33">
        <v>376</v>
      </c>
      <c r="AB33" s="33">
        <v>356</v>
      </c>
      <c r="AC33" s="33">
        <v>327</v>
      </c>
      <c r="AD33" s="33">
        <v>379</v>
      </c>
      <c r="AE33" s="33">
        <v>457</v>
      </c>
      <c r="AF33" s="33">
        <v>436</v>
      </c>
      <c r="AG33" s="33">
        <v>384</v>
      </c>
      <c r="AH33" s="33">
        <v>416</v>
      </c>
      <c r="AI33" s="33">
        <v>455</v>
      </c>
      <c r="AJ33" s="33">
        <v>472</v>
      </c>
      <c r="AK33" s="33">
        <v>406</v>
      </c>
      <c r="AL33" s="33">
        <v>371</v>
      </c>
      <c r="AM33" s="33">
        <v>529</v>
      </c>
      <c r="AN33" s="33">
        <v>532</v>
      </c>
      <c r="AO33" s="33">
        <v>477</v>
      </c>
      <c r="AP33" s="33">
        <v>479</v>
      </c>
      <c r="AQ33" s="33">
        <v>569</v>
      </c>
      <c r="AR33" s="33">
        <v>557</v>
      </c>
      <c r="AS33" s="33">
        <v>522</v>
      </c>
      <c r="AT33" s="33">
        <v>505</v>
      </c>
      <c r="AU33" s="33">
        <v>525</v>
      </c>
      <c r="AV33" s="33">
        <v>477</v>
      </c>
      <c r="AW33" s="33">
        <v>457</v>
      </c>
      <c r="AX33" s="33">
        <v>480</v>
      </c>
      <c r="AY33" s="33">
        <v>484</v>
      </c>
      <c r="AZ33" s="33">
        <v>455</v>
      </c>
      <c r="BA33" s="33">
        <v>462</v>
      </c>
      <c r="BB33" s="33">
        <v>515</v>
      </c>
      <c r="BC33" s="33">
        <v>554</v>
      </c>
      <c r="BD33" s="33">
        <v>583</v>
      </c>
      <c r="BE33" s="33">
        <v>630</v>
      </c>
      <c r="BF33" s="33">
        <v>688</v>
      </c>
      <c r="BG33" s="33">
        <v>733</v>
      </c>
      <c r="BH33" s="33">
        <v>615</v>
      </c>
      <c r="BI33" s="33">
        <v>505</v>
      </c>
      <c r="BJ33" s="33">
        <v>650</v>
      </c>
      <c r="BK33" s="33">
        <v>716</v>
      </c>
      <c r="BL33" s="33">
        <v>778</v>
      </c>
      <c r="BM33" s="33">
        <v>585</v>
      </c>
      <c r="BN33" s="33">
        <v>715</v>
      </c>
      <c r="BO33" s="33">
        <v>780</v>
      </c>
      <c r="BP33" s="33">
        <v>982</v>
      </c>
      <c r="BQ33" s="33">
        <v>1021</v>
      </c>
      <c r="BR33" s="33">
        <v>868</v>
      </c>
      <c r="BS33" s="33">
        <v>935</v>
      </c>
      <c r="BT33" s="33">
        <v>923</v>
      </c>
      <c r="BU33" s="33">
        <v>952</v>
      </c>
      <c r="BV33" s="33">
        <v>1046</v>
      </c>
      <c r="BW33" s="33">
        <v>1195</v>
      </c>
      <c r="BX33" s="33">
        <v>1219</v>
      </c>
      <c r="BY33" s="33">
        <v>1114</v>
      </c>
      <c r="BZ33" s="33">
        <v>994</v>
      </c>
      <c r="CA33" s="33">
        <v>1117</v>
      </c>
      <c r="CB33" s="33">
        <v>1247</v>
      </c>
      <c r="CC33" s="33">
        <v>1173</v>
      </c>
      <c r="CD33" s="33">
        <v>1192</v>
      </c>
    </row>
    <row r="34" spans="1:83" ht="13.5" customHeight="1" x14ac:dyDescent="0.6">
      <c r="A34" s="27"/>
      <c r="B34" s="34" t="s">
        <v>152</v>
      </c>
      <c r="C34" s="33">
        <v>2472</v>
      </c>
      <c r="D34" s="33">
        <v>32</v>
      </c>
      <c r="E34" s="33">
        <v>58</v>
      </c>
      <c r="F34" s="33">
        <v>54</v>
      </c>
      <c r="G34" s="33">
        <v>69</v>
      </c>
      <c r="H34" s="33">
        <v>64</v>
      </c>
      <c r="I34" s="33">
        <v>90</v>
      </c>
      <c r="J34" s="33">
        <v>78</v>
      </c>
      <c r="K34" s="33">
        <v>104</v>
      </c>
      <c r="L34" s="33">
        <v>72</v>
      </c>
      <c r="M34" s="33">
        <v>133</v>
      </c>
      <c r="N34" s="33">
        <v>117</v>
      </c>
      <c r="O34" s="33">
        <v>143</v>
      </c>
      <c r="P34" s="33">
        <v>125</v>
      </c>
      <c r="Q34" s="33">
        <v>147</v>
      </c>
      <c r="R34" s="33">
        <v>106</v>
      </c>
      <c r="S34" s="33">
        <v>108</v>
      </c>
      <c r="T34" s="33">
        <v>108</v>
      </c>
      <c r="U34" s="33">
        <v>112</v>
      </c>
      <c r="V34" s="33">
        <v>128</v>
      </c>
      <c r="W34" s="33">
        <v>156</v>
      </c>
      <c r="X34" s="33">
        <v>111</v>
      </c>
      <c r="Y34" s="33">
        <v>111</v>
      </c>
      <c r="Z34" s="33">
        <v>101</v>
      </c>
      <c r="AA34" s="33">
        <v>102</v>
      </c>
      <c r="AB34" s="33">
        <v>143</v>
      </c>
      <c r="AC34" s="33">
        <v>133</v>
      </c>
      <c r="AD34" s="33">
        <v>154</v>
      </c>
      <c r="AE34" s="33">
        <v>153</v>
      </c>
      <c r="AF34" s="33">
        <v>132</v>
      </c>
      <c r="AG34" s="33">
        <v>145</v>
      </c>
      <c r="AH34" s="33">
        <v>135</v>
      </c>
      <c r="AI34" s="33">
        <v>162</v>
      </c>
      <c r="AJ34" s="33">
        <v>129</v>
      </c>
      <c r="AK34" s="33">
        <v>148</v>
      </c>
      <c r="AL34" s="33">
        <v>145</v>
      </c>
      <c r="AM34" s="33">
        <v>170</v>
      </c>
      <c r="AN34" s="33">
        <v>149</v>
      </c>
      <c r="AO34" s="33">
        <v>184</v>
      </c>
      <c r="AP34" s="33">
        <v>185</v>
      </c>
      <c r="AQ34" s="33">
        <v>249</v>
      </c>
      <c r="AR34" s="33">
        <v>245</v>
      </c>
      <c r="AS34" s="33">
        <v>266</v>
      </c>
      <c r="AT34" s="33">
        <v>240</v>
      </c>
      <c r="AU34" s="33">
        <v>213</v>
      </c>
      <c r="AV34" s="33">
        <v>232</v>
      </c>
      <c r="AW34" s="33">
        <v>229</v>
      </c>
      <c r="AX34" s="33">
        <v>264</v>
      </c>
      <c r="AY34" s="33">
        <v>243</v>
      </c>
      <c r="AZ34" s="33">
        <v>248</v>
      </c>
      <c r="BA34" s="33">
        <v>233</v>
      </c>
      <c r="BB34" s="33">
        <v>255</v>
      </c>
      <c r="BC34" s="33">
        <v>288</v>
      </c>
      <c r="BD34" s="33">
        <v>274</v>
      </c>
      <c r="BE34" s="33">
        <v>346</v>
      </c>
      <c r="BF34" s="33">
        <v>350</v>
      </c>
      <c r="BG34" s="33">
        <v>354</v>
      </c>
      <c r="BH34" s="33">
        <v>315</v>
      </c>
      <c r="BI34" s="33">
        <v>250</v>
      </c>
      <c r="BJ34" s="33">
        <v>249</v>
      </c>
      <c r="BK34" s="33">
        <v>294</v>
      </c>
      <c r="BL34" s="33">
        <v>399</v>
      </c>
      <c r="BM34" s="33">
        <v>655</v>
      </c>
      <c r="BN34" s="33">
        <v>553</v>
      </c>
      <c r="BO34" s="33">
        <v>517</v>
      </c>
      <c r="BP34" s="33">
        <v>284</v>
      </c>
      <c r="BQ34" s="33">
        <v>585</v>
      </c>
      <c r="BR34" s="33">
        <v>673</v>
      </c>
      <c r="BS34" s="33">
        <v>458</v>
      </c>
      <c r="BT34" s="33">
        <v>590</v>
      </c>
      <c r="BU34" s="33">
        <v>673</v>
      </c>
      <c r="BV34" s="33">
        <v>898</v>
      </c>
      <c r="BW34" s="33">
        <v>625</v>
      </c>
      <c r="BX34" s="33">
        <v>623</v>
      </c>
      <c r="BY34" s="33">
        <v>632</v>
      </c>
      <c r="BZ34" s="33">
        <v>658</v>
      </c>
      <c r="CA34" s="33">
        <v>558</v>
      </c>
      <c r="CB34" s="33">
        <v>657</v>
      </c>
      <c r="CC34" s="33">
        <v>499</v>
      </c>
      <c r="CD34" s="33">
        <v>815</v>
      </c>
    </row>
    <row r="35" spans="1:83" s="160" customFormat="1" ht="6.75" customHeight="1" x14ac:dyDescent="0.7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</row>
    <row r="36" spans="1:83" ht="14.25" customHeight="1" x14ac:dyDescent="0.6">
      <c r="A36" s="27"/>
      <c r="B36" s="28" t="s">
        <v>14</v>
      </c>
      <c r="C36" s="29">
        <v>-2957</v>
      </c>
      <c r="D36" s="29">
        <v>-246</v>
      </c>
      <c r="E36" s="29">
        <v>-321</v>
      </c>
      <c r="F36" s="29">
        <v>-386</v>
      </c>
      <c r="G36" s="29">
        <v>-410</v>
      </c>
      <c r="H36" s="29">
        <v>-246</v>
      </c>
      <c r="I36" s="29">
        <v>-287</v>
      </c>
      <c r="J36" s="29">
        <v>-321</v>
      </c>
      <c r="K36" s="29">
        <v>-345</v>
      </c>
      <c r="L36" s="29">
        <v>-201</v>
      </c>
      <c r="M36" s="29">
        <v>-304</v>
      </c>
      <c r="N36" s="29">
        <v>-382</v>
      </c>
      <c r="O36" s="29">
        <v>-423</v>
      </c>
      <c r="P36" s="29">
        <v>-403</v>
      </c>
      <c r="Q36" s="29">
        <v>-475</v>
      </c>
      <c r="R36" s="29">
        <v>-420</v>
      </c>
      <c r="S36" s="29">
        <v>-492</v>
      </c>
      <c r="T36" s="29">
        <v>-379</v>
      </c>
      <c r="U36" s="29">
        <v>-393</v>
      </c>
      <c r="V36" s="29">
        <v>-413</v>
      </c>
      <c r="W36" s="29">
        <v>-574</v>
      </c>
      <c r="X36" s="29">
        <v>-403</v>
      </c>
      <c r="Y36" s="29">
        <v>-498</v>
      </c>
      <c r="Z36" s="29">
        <v>-505</v>
      </c>
      <c r="AA36" s="29">
        <v>-577</v>
      </c>
      <c r="AB36" s="29">
        <v>-509</v>
      </c>
      <c r="AC36" s="29">
        <v>-635</v>
      </c>
      <c r="AD36" s="29">
        <v>-724</v>
      </c>
      <c r="AE36" s="29">
        <v>-659</v>
      </c>
      <c r="AF36" s="29">
        <v>-570</v>
      </c>
      <c r="AG36" s="29">
        <v>-553</v>
      </c>
      <c r="AH36" s="29">
        <v>-628</v>
      </c>
      <c r="AI36" s="29">
        <v>-816</v>
      </c>
      <c r="AJ36" s="29">
        <v>-830</v>
      </c>
      <c r="AK36" s="29">
        <v>-744</v>
      </c>
      <c r="AL36" s="29">
        <v>-765</v>
      </c>
      <c r="AM36" s="29">
        <v>-775</v>
      </c>
      <c r="AN36" s="29">
        <v>-1000</v>
      </c>
      <c r="AO36" s="29">
        <v>-1038</v>
      </c>
      <c r="AP36" s="29">
        <v>-1065</v>
      </c>
      <c r="AQ36" s="29">
        <v>-1150</v>
      </c>
      <c r="AR36" s="29">
        <v>-1051</v>
      </c>
      <c r="AS36" s="29">
        <v>-1198</v>
      </c>
      <c r="AT36" s="29">
        <v>-1164</v>
      </c>
      <c r="AU36" s="29">
        <v>-1024</v>
      </c>
      <c r="AV36" s="29">
        <v>-785</v>
      </c>
      <c r="AW36" s="29">
        <v>-765</v>
      </c>
      <c r="AX36" s="29">
        <v>-942</v>
      </c>
      <c r="AY36" s="29">
        <v>-823</v>
      </c>
      <c r="AZ36" s="29">
        <v>-932</v>
      </c>
      <c r="BA36" s="29">
        <v>-710</v>
      </c>
      <c r="BB36" s="29">
        <v>-785</v>
      </c>
      <c r="BC36" s="29">
        <v>-987</v>
      </c>
      <c r="BD36" s="29">
        <v>-912</v>
      </c>
      <c r="BE36" s="29">
        <v>-1000</v>
      </c>
      <c r="BF36" s="29">
        <v>-987</v>
      </c>
      <c r="BG36" s="29">
        <v>-1017</v>
      </c>
      <c r="BH36" s="29">
        <v>-1284</v>
      </c>
      <c r="BI36" s="29">
        <v>-901</v>
      </c>
      <c r="BJ36" s="29">
        <v>-864</v>
      </c>
      <c r="BK36" s="29">
        <v>-1157</v>
      </c>
      <c r="BL36" s="29">
        <v>-853</v>
      </c>
      <c r="BM36" s="29">
        <v>-871</v>
      </c>
      <c r="BN36" s="29">
        <v>-1781</v>
      </c>
      <c r="BO36" s="29">
        <v>-827</v>
      </c>
      <c r="BP36" s="29">
        <v>-561</v>
      </c>
      <c r="BQ36" s="29">
        <v>-714</v>
      </c>
      <c r="BR36" s="29">
        <v>-823</v>
      </c>
      <c r="BS36" s="29">
        <v>-585</v>
      </c>
      <c r="BT36" s="29">
        <v>-858</v>
      </c>
      <c r="BU36" s="29">
        <v>-883</v>
      </c>
      <c r="BV36" s="29">
        <v>-964</v>
      </c>
      <c r="BW36" s="29">
        <v>-880</v>
      </c>
      <c r="BX36" s="29">
        <v>-787</v>
      </c>
      <c r="BY36" s="29">
        <v>-769</v>
      </c>
      <c r="BZ36" s="29">
        <v>-752</v>
      </c>
      <c r="CA36" s="29">
        <v>-648</v>
      </c>
      <c r="CB36" s="29">
        <v>-768</v>
      </c>
      <c r="CC36" s="29">
        <v>-608</v>
      </c>
      <c r="CD36" s="29">
        <v>-713</v>
      </c>
    </row>
    <row r="37" spans="1:83" ht="14.25" customHeight="1" x14ac:dyDescent="0.6">
      <c r="A37" s="35"/>
      <c r="B37" s="36" t="s">
        <v>153</v>
      </c>
      <c r="C37" s="37">
        <v>5661</v>
      </c>
      <c r="D37" s="37">
        <v>122</v>
      </c>
      <c r="E37" s="37">
        <v>146</v>
      </c>
      <c r="F37" s="37">
        <v>116</v>
      </c>
      <c r="G37" s="37">
        <v>120</v>
      </c>
      <c r="H37" s="37">
        <v>182</v>
      </c>
      <c r="I37" s="37">
        <v>191</v>
      </c>
      <c r="J37" s="37">
        <v>176</v>
      </c>
      <c r="K37" s="37">
        <v>177</v>
      </c>
      <c r="L37" s="37">
        <v>172</v>
      </c>
      <c r="M37" s="37">
        <v>177</v>
      </c>
      <c r="N37" s="37">
        <v>146</v>
      </c>
      <c r="O37" s="37">
        <v>146</v>
      </c>
      <c r="P37" s="37">
        <v>166</v>
      </c>
      <c r="Q37" s="37">
        <v>157</v>
      </c>
      <c r="R37" s="37">
        <v>155</v>
      </c>
      <c r="S37" s="37">
        <v>143</v>
      </c>
      <c r="T37" s="37">
        <v>163</v>
      </c>
      <c r="U37" s="37">
        <v>172</v>
      </c>
      <c r="V37" s="37">
        <v>177</v>
      </c>
      <c r="W37" s="37">
        <v>161</v>
      </c>
      <c r="X37" s="37">
        <v>216</v>
      </c>
      <c r="Y37" s="37">
        <v>186</v>
      </c>
      <c r="Z37" s="37">
        <v>221</v>
      </c>
      <c r="AA37" s="37">
        <v>209</v>
      </c>
      <c r="AB37" s="37">
        <v>237</v>
      </c>
      <c r="AC37" s="37">
        <v>209</v>
      </c>
      <c r="AD37" s="37">
        <v>233</v>
      </c>
      <c r="AE37" s="37">
        <v>227</v>
      </c>
      <c r="AF37" s="37">
        <v>242</v>
      </c>
      <c r="AG37" s="37">
        <v>295</v>
      </c>
      <c r="AH37" s="37">
        <v>284</v>
      </c>
      <c r="AI37" s="37">
        <v>255</v>
      </c>
      <c r="AJ37" s="37">
        <v>269</v>
      </c>
      <c r="AK37" s="37">
        <v>280</v>
      </c>
      <c r="AL37" s="37">
        <v>305</v>
      </c>
      <c r="AM37" s="37">
        <v>302</v>
      </c>
      <c r="AN37" s="37">
        <v>303</v>
      </c>
      <c r="AO37" s="37">
        <v>307</v>
      </c>
      <c r="AP37" s="37">
        <v>309</v>
      </c>
      <c r="AQ37" s="37">
        <v>310</v>
      </c>
      <c r="AR37" s="37">
        <v>333</v>
      </c>
      <c r="AS37" s="37">
        <v>310</v>
      </c>
      <c r="AT37" s="37">
        <v>386</v>
      </c>
      <c r="AU37" s="37">
        <v>358</v>
      </c>
      <c r="AV37" s="37">
        <v>451</v>
      </c>
      <c r="AW37" s="37">
        <v>484</v>
      </c>
      <c r="AX37" s="37">
        <v>501</v>
      </c>
      <c r="AY37" s="37">
        <v>532</v>
      </c>
      <c r="AZ37" s="37">
        <v>497</v>
      </c>
      <c r="BA37" s="37">
        <v>518</v>
      </c>
      <c r="BB37" s="37">
        <v>611</v>
      </c>
      <c r="BC37" s="37">
        <v>556</v>
      </c>
      <c r="BD37" s="37">
        <v>540</v>
      </c>
      <c r="BE37" s="37">
        <v>587</v>
      </c>
      <c r="BF37" s="37">
        <v>744</v>
      </c>
      <c r="BG37" s="37">
        <v>745</v>
      </c>
      <c r="BH37" s="37">
        <v>607</v>
      </c>
      <c r="BI37" s="37">
        <v>445</v>
      </c>
      <c r="BJ37" s="37">
        <v>786</v>
      </c>
      <c r="BK37" s="37">
        <v>527</v>
      </c>
      <c r="BL37" s="37">
        <v>451</v>
      </c>
      <c r="BM37" s="37">
        <v>554</v>
      </c>
      <c r="BN37" s="37">
        <v>657</v>
      </c>
      <c r="BO37" s="37">
        <v>760</v>
      </c>
      <c r="BP37" s="37">
        <v>816</v>
      </c>
      <c r="BQ37" s="37">
        <v>958</v>
      </c>
      <c r="BR37" s="37">
        <v>1066</v>
      </c>
      <c r="BS37" s="37">
        <v>995</v>
      </c>
      <c r="BT37" s="37">
        <v>1039</v>
      </c>
      <c r="BU37" s="37">
        <v>1191</v>
      </c>
      <c r="BV37" s="37">
        <v>1214</v>
      </c>
      <c r="BW37" s="37">
        <v>1173</v>
      </c>
      <c r="BX37" s="37">
        <v>1198</v>
      </c>
      <c r="BY37" s="37">
        <v>1322</v>
      </c>
      <c r="BZ37" s="37">
        <v>1622</v>
      </c>
      <c r="CA37" s="37">
        <v>1519</v>
      </c>
      <c r="CB37" s="37">
        <v>1187</v>
      </c>
      <c r="CC37" s="37">
        <v>1127</v>
      </c>
      <c r="CD37" s="37">
        <v>1289</v>
      </c>
    </row>
    <row r="38" spans="1:83" ht="13.5" customHeight="1" x14ac:dyDescent="0.6">
      <c r="A38" s="27"/>
      <c r="B38" s="34" t="s">
        <v>154</v>
      </c>
      <c r="C38" s="33">
        <v>4238</v>
      </c>
      <c r="D38" s="33">
        <v>29</v>
      </c>
      <c r="E38" s="33">
        <v>53</v>
      </c>
      <c r="F38" s="33">
        <v>34</v>
      </c>
      <c r="G38" s="33">
        <v>36</v>
      </c>
      <c r="H38" s="33">
        <v>40</v>
      </c>
      <c r="I38" s="33">
        <v>48</v>
      </c>
      <c r="J38" s="33">
        <v>43</v>
      </c>
      <c r="K38" s="33">
        <v>44</v>
      </c>
      <c r="L38" s="33">
        <v>55</v>
      </c>
      <c r="M38" s="33">
        <v>65</v>
      </c>
      <c r="N38" s="33">
        <v>49</v>
      </c>
      <c r="O38" s="33">
        <v>49</v>
      </c>
      <c r="P38" s="33">
        <v>42</v>
      </c>
      <c r="Q38" s="33">
        <v>40</v>
      </c>
      <c r="R38" s="33">
        <v>43</v>
      </c>
      <c r="S38" s="33">
        <v>36</v>
      </c>
      <c r="T38" s="33">
        <v>44</v>
      </c>
      <c r="U38" s="33">
        <v>54</v>
      </c>
      <c r="V38" s="33">
        <v>60</v>
      </c>
      <c r="W38" s="33">
        <v>47</v>
      </c>
      <c r="X38" s="33">
        <v>85</v>
      </c>
      <c r="Y38" s="33">
        <v>65</v>
      </c>
      <c r="Z38" s="33">
        <v>96</v>
      </c>
      <c r="AA38" s="33">
        <v>88</v>
      </c>
      <c r="AB38" s="33">
        <v>110</v>
      </c>
      <c r="AC38" s="33">
        <v>90</v>
      </c>
      <c r="AD38" s="33">
        <v>109</v>
      </c>
      <c r="AE38" s="33">
        <v>102</v>
      </c>
      <c r="AF38" s="33">
        <v>106</v>
      </c>
      <c r="AG38" s="33">
        <v>150</v>
      </c>
      <c r="AH38" s="33">
        <v>139</v>
      </c>
      <c r="AI38" s="33">
        <v>115</v>
      </c>
      <c r="AJ38" s="33">
        <v>101</v>
      </c>
      <c r="AK38" s="33">
        <v>109</v>
      </c>
      <c r="AL38" s="33">
        <v>128</v>
      </c>
      <c r="AM38" s="33">
        <v>125</v>
      </c>
      <c r="AN38" s="33">
        <v>110</v>
      </c>
      <c r="AO38" s="33">
        <v>113</v>
      </c>
      <c r="AP38" s="33">
        <v>115</v>
      </c>
      <c r="AQ38" s="33">
        <v>115</v>
      </c>
      <c r="AR38" s="33">
        <v>116</v>
      </c>
      <c r="AS38" s="33">
        <v>115</v>
      </c>
      <c r="AT38" s="33">
        <v>134</v>
      </c>
      <c r="AU38" s="33">
        <v>134</v>
      </c>
      <c r="AV38" s="33">
        <v>232</v>
      </c>
      <c r="AW38" s="33">
        <v>253</v>
      </c>
      <c r="AX38" s="33">
        <v>266</v>
      </c>
      <c r="AY38" s="33">
        <v>272</v>
      </c>
      <c r="AZ38" s="33">
        <v>286</v>
      </c>
      <c r="BA38" s="33">
        <v>293</v>
      </c>
      <c r="BB38" s="33">
        <v>292</v>
      </c>
      <c r="BC38" s="33">
        <v>290</v>
      </c>
      <c r="BD38" s="33">
        <v>282</v>
      </c>
      <c r="BE38" s="33">
        <v>330</v>
      </c>
      <c r="BF38" s="33">
        <v>410</v>
      </c>
      <c r="BG38" s="33">
        <v>433</v>
      </c>
      <c r="BH38" s="33">
        <v>398</v>
      </c>
      <c r="BI38" s="33">
        <v>350</v>
      </c>
      <c r="BJ38" s="33">
        <v>616</v>
      </c>
      <c r="BK38" s="33">
        <v>383</v>
      </c>
      <c r="BL38" s="33">
        <v>275</v>
      </c>
      <c r="BM38" s="33">
        <v>380</v>
      </c>
      <c r="BN38" s="33">
        <v>464</v>
      </c>
      <c r="BO38" s="33">
        <v>537</v>
      </c>
      <c r="BP38" s="33">
        <v>607</v>
      </c>
      <c r="BQ38" s="33">
        <v>685</v>
      </c>
      <c r="BR38" s="33">
        <v>760</v>
      </c>
      <c r="BS38" s="33">
        <v>716</v>
      </c>
      <c r="BT38" s="33">
        <v>778</v>
      </c>
      <c r="BU38" s="33">
        <v>939</v>
      </c>
      <c r="BV38" s="33">
        <v>829</v>
      </c>
      <c r="BW38" s="33">
        <v>827</v>
      </c>
      <c r="BX38" s="33">
        <v>907</v>
      </c>
      <c r="BY38" s="33">
        <v>1007</v>
      </c>
      <c r="BZ38" s="33">
        <v>1165</v>
      </c>
      <c r="CA38" s="33">
        <v>1159</v>
      </c>
      <c r="CB38" s="33">
        <v>885</v>
      </c>
      <c r="CC38" s="33">
        <v>791</v>
      </c>
      <c r="CD38" s="33">
        <v>839</v>
      </c>
    </row>
    <row r="39" spans="1:83" ht="13.5" customHeight="1" x14ac:dyDescent="0.6">
      <c r="A39" s="27"/>
      <c r="B39" s="34" t="s">
        <v>155</v>
      </c>
      <c r="C39" s="33">
        <v>1423</v>
      </c>
      <c r="D39" s="33">
        <v>104</v>
      </c>
      <c r="E39" s="33">
        <v>99</v>
      </c>
      <c r="F39" s="33">
        <v>98</v>
      </c>
      <c r="G39" s="33">
        <v>96</v>
      </c>
      <c r="H39" s="33">
        <v>160</v>
      </c>
      <c r="I39" s="33">
        <v>161</v>
      </c>
      <c r="J39" s="33">
        <v>160</v>
      </c>
      <c r="K39" s="33">
        <v>159</v>
      </c>
      <c r="L39" s="33">
        <v>125</v>
      </c>
      <c r="M39" s="33">
        <v>118</v>
      </c>
      <c r="N39" s="33">
        <v>110</v>
      </c>
      <c r="O39" s="33">
        <v>107</v>
      </c>
      <c r="P39" s="33">
        <v>138</v>
      </c>
      <c r="Q39" s="33">
        <v>134</v>
      </c>
      <c r="R39" s="33">
        <v>132</v>
      </c>
      <c r="S39" s="33">
        <v>129</v>
      </c>
      <c r="T39" s="33">
        <v>130</v>
      </c>
      <c r="U39" s="33">
        <v>130</v>
      </c>
      <c r="V39" s="33">
        <v>132</v>
      </c>
      <c r="W39" s="33">
        <v>132</v>
      </c>
      <c r="X39" s="33">
        <v>134</v>
      </c>
      <c r="Y39" s="33">
        <v>130</v>
      </c>
      <c r="Z39" s="33">
        <v>128</v>
      </c>
      <c r="AA39" s="33">
        <v>126</v>
      </c>
      <c r="AB39" s="33">
        <v>123</v>
      </c>
      <c r="AC39" s="33">
        <v>121</v>
      </c>
      <c r="AD39" s="33">
        <v>122</v>
      </c>
      <c r="AE39" s="33">
        <v>125</v>
      </c>
      <c r="AF39" s="33">
        <v>137</v>
      </c>
      <c r="AG39" s="33">
        <v>136</v>
      </c>
      <c r="AH39" s="33">
        <v>136</v>
      </c>
      <c r="AI39" s="33">
        <v>138</v>
      </c>
      <c r="AJ39" s="33">
        <v>179</v>
      </c>
      <c r="AK39" s="33">
        <v>179</v>
      </c>
      <c r="AL39" s="33">
        <v>179</v>
      </c>
      <c r="AM39" s="33">
        <v>180</v>
      </c>
      <c r="AN39" s="33">
        <v>205</v>
      </c>
      <c r="AO39" s="33">
        <v>203</v>
      </c>
      <c r="AP39" s="33">
        <v>205</v>
      </c>
      <c r="AQ39" s="33">
        <v>206</v>
      </c>
      <c r="AR39" s="33">
        <v>231</v>
      </c>
      <c r="AS39" s="33">
        <v>208</v>
      </c>
      <c r="AT39" s="33">
        <v>267</v>
      </c>
      <c r="AU39" s="33">
        <v>237</v>
      </c>
      <c r="AV39" s="33">
        <v>229</v>
      </c>
      <c r="AW39" s="33">
        <v>240</v>
      </c>
      <c r="AX39" s="33">
        <v>244</v>
      </c>
      <c r="AY39" s="33">
        <v>271</v>
      </c>
      <c r="AZ39" s="33">
        <v>218</v>
      </c>
      <c r="BA39" s="33">
        <v>235</v>
      </c>
      <c r="BB39" s="33">
        <v>336</v>
      </c>
      <c r="BC39" s="33">
        <v>277</v>
      </c>
      <c r="BD39" s="33">
        <v>270</v>
      </c>
      <c r="BE39" s="33">
        <v>266</v>
      </c>
      <c r="BF39" s="33">
        <v>347</v>
      </c>
      <c r="BG39" s="33">
        <v>322</v>
      </c>
      <c r="BH39" s="33">
        <v>210</v>
      </c>
      <c r="BI39" s="33">
        <v>88</v>
      </c>
      <c r="BJ39" s="33">
        <v>160</v>
      </c>
      <c r="BK39" s="33">
        <v>141</v>
      </c>
      <c r="BL39" s="33">
        <v>176</v>
      </c>
      <c r="BM39" s="33">
        <v>174</v>
      </c>
      <c r="BN39" s="33">
        <v>193</v>
      </c>
      <c r="BO39" s="33">
        <v>223</v>
      </c>
      <c r="BP39" s="33">
        <v>209</v>
      </c>
      <c r="BQ39" s="33">
        <v>273</v>
      </c>
      <c r="BR39" s="33">
        <v>306</v>
      </c>
      <c r="BS39" s="33">
        <v>279</v>
      </c>
      <c r="BT39" s="33">
        <v>261</v>
      </c>
      <c r="BU39" s="33">
        <v>251</v>
      </c>
      <c r="BV39" s="33">
        <v>386</v>
      </c>
      <c r="BW39" s="33">
        <v>345</v>
      </c>
      <c r="BX39" s="33">
        <v>291</v>
      </c>
      <c r="BY39" s="33">
        <v>314</v>
      </c>
      <c r="BZ39" s="33">
        <v>458</v>
      </c>
      <c r="CA39" s="33">
        <v>361</v>
      </c>
      <c r="CB39" s="33">
        <v>302</v>
      </c>
      <c r="CC39" s="33">
        <v>336</v>
      </c>
      <c r="CD39" s="33">
        <v>450</v>
      </c>
    </row>
    <row r="40" spans="1:83" ht="14.25" customHeight="1" x14ac:dyDescent="0.6">
      <c r="A40" s="35"/>
      <c r="B40" s="36" t="s">
        <v>156</v>
      </c>
      <c r="C40" s="37">
        <v>8618</v>
      </c>
      <c r="D40" s="37">
        <v>345</v>
      </c>
      <c r="E40" s="37">
        <v>435</v>
      </c>
      <c r="F40" s="37">
        <v>433</v>
      </c>
      <c r="G40" s="37">
        <v>456</v>
      </c>
      <c r="H40" s="37">
        <v>425</v>
      </c>
      <c r="I40" s="37">
        <v>475</v>
      </c>
      <c r="J40" s="37">
        <v>477</v>
      </c>
      <c r="K40" s="37">
        <v>502</v>
      </c>
      <c r="L40" s="37">
        <v>376</v>
      </c>
      <c r="M40" s="37">
        <v>469</v>
      </c>
      <c r="N40" s="37">
        <v>477</v>
      </c>
      <c r="O40" s="37">
        <v>505</v>
      </c>
      <c r="P40" s="37">
        <v>519</v>
      </c>
      <c r="Q40" s="37">
        <v>561</v>
      </c>
      <c r="R40" s="37">
        <v>515</v>
      </c>
      <c r="S40" s="37">
        <v>547</v>
      </c>
      <c r="T40" s="37">
        <v>498</v>
      </c>
      <c r="U40" s="37">
        <v>523</v>
      </c>
      <c r="V40" s="37">
        <v>545</v>
      </c>
      <c r="W40" s="37">
        <v>626</v>
      </c>
      <c r="X40" s="37">
        <v>587</v>
      </c>
      <c r="Y40" s="37">
        <v>618</v>
      </c>
      <c r="Z40" s="37">
        <v>671</v>
      </c>
      <c r="AA40" s="37">
        <v>706</v>
      </c>
      <c r="AB40" s="37">
        <v>694</v>
      </c>
      <c r="AC40" s="37">
        <v>748</v>
      </c>
      <c r="AD40" s="37">
        <v>837</v>
      </c>
      <c r="AE40" s="37">
        <v>786</v>
      </c>
      <c r="AF40" s="37">
        <v>746</v>
      </c>
      <c r="AG40" s="37">
        <v>816</v>
      </c>
      <c r="AH40" s="37">
        <v>847</v>
      </c>
      <c r="AI40" s="37">
        <v>933</v>
      </c>
      <c r="AJ40" s="37">
        <v>965</v>
      </c>
      <c r="AK40" s="37">
        <v>921</v>
      </c>
      <c r="AL40" s="37">
        <v>971</v>
      </c>
      <c r="AM40" s="37">
        <v>973</v>
      </c>
      <c r="AN40" s="37">
        <v>1129</v>
      </c>
      <c r="AO40" s="37">
        <v>1160</v>
      </c>
      <c r="AP40" s="37">
        <v>1182</v>
      </c>
      <c r="AQ40" s="37">
        <v>1242</v>
      </c>
      <c r="AR40" s="37">
        <v>1209</v>
      </c>
      <c r="AS40" s="37">
        <v>1261</v>
      </c>
      <c r="AT40" s="37">
        <v>1367</v>
      </c>
      <c r="AU40" s="37">
        <v>1234</v>
      </c>
      <c r="AV40" s="37">
        <v>1245</v>
      </c>
      <c r="AW40" s="37">
        <v>1287</v>
      </c>
      <c r="AX40" s="37">
        <v>1425</v>
      </c>
      <c r="AY40" s="37">
        <v>1406</v>
      </c>
      <c r="AZ40" s="37">
        <v>1413</v>
      </c>
      <c r="BA40" s="37">
        <v>1314</v>
      </c>
      <c r="BB40" s="37">
        <v>1516</v>
      </c>
      <c r="BC40" s="37">
        <v>1545</v>
      </c>
      <c r="BD40" s="37">
        <v>1474</v>
      </c>
      <c r="BE40" s="37">
        <v>1606</v>
      </c>
      <c r="BF40" s="37">
        <v>1863</v>
      </c>
      <c r="BG40" s="37">
        <v>1884</v>
      </c>
      <c r="BH40" s="37">
        <v>1814</v>
      </c>
      <c r="BI40" s="37">
        <v>1303</v>
      </c>
      <c r="BJ40" s="37">
        <v>1858</v>
      </c>
      <c r="BK40" s="37">
        <v>1602</v>
      </c>
      <c r="BL40" s="37">
        <v>1305</v>
      </c>
      <c r="BM40" s="37">
        <v>1425</v>
      </c>
      <c r="BN40" s="37">
        <v>2438</v>
      </c>
      <c r="BO40" s="37">
        <v>1587</v>
      </c>
      <c r="BP40" s="37">
        <v>1377</v>
      </c>
      <c r="BQ40" s="37">
        <v>1672</v>
      </c>
      <c r="BR40" s="37">
        <v>1889</v>
      </c>
      <c r="BS40" s="37">
        <v>1580</v>
      </c>
      <c r="BT40" s="37">
        <v>1897</v>
      </c>
      <c r="BU40" s="37">
        <v>2074</v>
      </c>
      <c r="BV40" s="37">
        <v>2178</v>
      </c>
      <c r="BW40" s="37">
        <v>2052</v>
      </c>
      <c r="BX40" s="37">
        <v>1985</v>
      </c>
      <c r="BY40" s="37">
        <v>2091</v>
      </c>
      <c r="BZ40" s="37">
        <v>2374</v>
      </c>
      <c r="CA40" s="37">
        <v>2168</v>
      </c>
      <c r="CB40" s="37">
        <v>1955</v>
      </c>
      <c r="CC40" s="37">
        <v>1735</v>
      </c>
      <c r="CD40" s="37">
        <v>2002</v>
      </c>
    </row>
    <row r="41" spans="1:83" ht="13.5" customHeight="1" x14ac:dyDescent="0.6">
      <c r="A41" s="27"/>
      <c r="B41" s="34" t="s">
        <v>154</v>
      </c>
      <c r="C41" s="33">
        <v>7315</v>
      </c>
      <c r="D41" s="33">
        <v>150</v>
      </c>
      <c r="E41" s="33">
        <v>225</v>
      </c>
      <c r="F41" s="33">
        <v>225</v>
      </c>
      <c r="G41" s="33">
        <v>236</v>
      </c>
      <c r="H41" s="33">
        <v>208</v>
      </c>
      <c r="I41" s="33">
        <v>258</v>
      </c>
      <c r="J41" s="33">
        <v>279</v>
      </c>
      <c r="K41" s="33">
        <v>305</v>
      </c>
      <c r="L41" s="33">
        <v>225</v>
      </c>
      <c r="M41" s="33">
        <v>320</v>
      </c>
      <c r="N41" s="33">
        <v>337</v>
      </c>
      <c r="O41" s="33">
        <v>356</v>
      </c>
      <c r="P41" s="33">
        <v>344</v>
      </c>
      <c r="Q41" s="33">
        <v>367</v>
      </c>
      <c r="R41" s="33">
        <v>348</v>
      </c>
      <c r="S41" s="33">
        <v>369</v>
      </c>
      <c r="T41" s="33">
        <v>350</v>
      </c>
      <c r="U41" s="33">
        <v>365</v>
      </c>
      <c r="V41" s="33">
        <v>384</v>
      </c>
      <c r="W41" s="33">
        <v>457</v>
      </c>
      <c r="X41" s="33">
        <v>419</v>
      </c>
      <c r="Y41" s="33">
        <v>442</v>
      </c>
      <c r="Z41" s="33">
        <v>490</v>
      </c>
      <c r="AA41" s="33">
        <v>524</v>
      </c>
      <c r="AB41" s="33">
        <v>518</v>
      </c>
      <c r="AC41" s="33">
        <v>560</v>
      </c>
      <c r="AD41" s="33">
        <v>631</v>
      </c>
      <c r="AE41" s="33">
        <v>588</v>
      </c>
      <c r="AF41" s="33">
        <v>533</v>
      </c>
      <c r="AG41" s="33">
        <v>586</v>
      </c>
      <c r="AH41" s="33">
        <v>616</v>
      </c>
      <c r="AI41" s="33">
        <v>696</v>
      </c>
      <c r="AJ41" s="33">
        <v>700</v>
      </c>
      <c r="AK41" s="33">
        <v>661</v>
      </c>
      <c r="AL41" s="33">
        <v>694</v>
      </c>
      <c r="AM41" s="33">
        <v>696</v>
      </c>
      <c r="AN41" s="33">
        <v>724</v>
      </c>
      <c r="AO41" s="33">
        <v>760</v>
      </c>
      <c r="AP41" s="33">
        <v>771</v>
      </c>
      <c r="AQ41" s="33">
        <v>807</v>
      </c>
      <c r="AR41" s="33">
        <v>801</v>
      </c>
      <c r="AS41" s="33">
        <v>827</v>
      </c>
      <c r="AT41" s="33">
        <v>868</v>
      </c>
      <c r="AU41" s="33">
        <v>782</v>
      </c>
      <c r="AV41" s="33">
        <v>838</v>
      </c>
      <c r="AW41" s="33">
        <v>880</v>
      </c>
      <c r="AX41" s="33">
        <v>938</v>
      </c>
      <c r="AY41" s="33">
        <v>934</v>
      </c>
      <c r="AZ41" s="33">
        <v>973</v>
      </c>
      <c r="BA41" s="33">
        <v>928</v>
      </c>
      <c r="BB41" s="33">
        <v>1044</v>
      </c>
      <c r="BC41" s="33">
        <v>1097</v>
      </c>
      <c r="BD41" s="33">
        <v>1031</v>
      </c>
      <c r="BE41" s="33">
        <v>1222</v>
      </c>
      <c r="BF41" s="33">
        <v>1359</v>
      </c>
      <c r="BG41" s="33">
        <v>1434</v>
      </c>
      <c r="BH41" s="33">
        <v>1439</v>
      </c>
      <c r="BI41" s="33">
        <v>1173</v>
      </c>
      <c r="BJ41" s="33">
        <v>1651</v>
      </c>
      <c r="BK41" s="33">
        <v>1445</v>
      </c>
      <c r="BL41" s="33">
        <v>1127</v>
      </c>
      <c r="BM41" s="33">
        <v>1215</v>
      </c>
      <c r="BN41" s="33">
        <v>2148</v>
      </c>
      <c r="BO41" s="33">
        <v>1350</v>
      </c>
      <c r="BP41" s="33">
        <v>1124</v>
      </c>
      <c r="BQ41" s="33">
        <v>1415</v>
      </c>
      <c r="BR41" s="33">
        <v>1638</v>
      </c>
      <c r="BS41" s="33">
        <v>1253</v>
      </c>
      <c r="BT41" s="33">
        <v>1616</v>
      </c>
      <c r="BU41" s="33">
        <v>1779</v>
      </c>
      <c r="BV41" s="33">
        <v>1866</v>
      </c>
      <c r="BW41" s="33">
        <v>1719</v>
      </c>
      <c r="BX41" s="33">
        <v>1692</v>
      </c>
      <c r="BY41" s="33">
        <v>1780</v>
      </c>
      <c r="BZ41" s="33">
        <v>2009</v>
      </c>
      <c r="CA41" s="33">
        <v>1834</v>
      </c>
      <c r="CB41" s="33">
        <v>1657</v>
      </c>
      <c r="CC41" s="33">
        <v>1370</v>
      </c>
      <c r="CD41" s="33">
        <v>1615</v>
      </c>
      <c r="CE41" s="27"/>
    </row>
    <row r="42" spans="1:83" ht="13.5" customHeight="1" thickBot="1" x14ac:dyDescent="0.75">
      <c r="A42" s="27"/>
      <c r="B42" s="38" t="s">
        <v>155</v>
      </c>
      <c r="C42" s="39">
        <v>1303</v>
      </c>
      <c r="D42" s="39">
        <v>195</v>
      </c>
      <c r="E42" s="39">
        <v>206</v>
      </c>
      <c r="F42" s="39">
        <v>206</v>
      </c>
      <c r="G42" s="39">
        <v>215</v>
      </c>
      <c r="H42" s="39">
        <v>213</v>
      </c>
      <c r="I42" s="39">
        <v>211</v>
      </c>
      <c r="J42" s="39">
        <v>195</v>
      </c>
      <c r="K42" s="39">
        <v>189</v>
      </c>
      <c r="L42" s="39">
        <v>146</v>
      </c>
      <c r="M42" s="39">
        <v>141</v>
      </c>
      <c r="N42" s="39">
        <v>132</v>
      </c>
      <c r="O42" s="39">
        <v>141</v>
      </c>
      <c r="P42" s="39">
        <v>169</v>
      </c>
      <c r="Q42" s="39">
        <v>185</v>
      </c>
      <c r="R42" s="39">
        <v>159</v>
      </c>
      <c r="S42" s="39">
        <v>171</v>
      </c>
      <c r="T42" s="39">
        <v>139</v>
      </c>
      <c r="U42" s="39">
        <v>148</v>
      </c>
      <c r="V42" s="39">
        <v>148</v>
      </c>
      <c r="W42" s="39">
        <v>159</v>
      </c>
      <c r="X42" s="39">
        <v>156</v>
      </c>
      <c r="Y42" s="39">
        <v>165</v>
      </c>
      <c r="Z42" s="39">
        <v>169</v>
      </c>
      <c r="AA42" s="39">
        <v>171</v>
      </c>
      <c r="AB42" s="39">
        <v>159</v>
      </c>
      <c r="AC42" s="39">
        <v>172</v>
      </c>
      <c r="AD42" s="39">
        <v>187</v>
      </c>
      <c r="AE42" s="39">
        <v>185</v>
      </c>
      <c r="AF42" s="39">
        <v>198</v>
      </c>
      <c r="AG42" s="39">
        <v>213</v>
      </c>
      <c r="AH42" s="39">
        <v>217</v>
      </c>
      <c r="AI42" s="39">
        <v>222</v>
      </c>
      <c r="AJ42" s="39">
        <v>245</v>
      </c>
      <c r="AK42" s="39">
        <v>241</v>
      </c>
      <c r="AL42" s="39">
        <v>259</v>
      </c>
      <c r="AM42" s="39">
        <v>258</v>
      </c>
      <c r="AN42" s="39">
        <v>369</v>
      </c>
      <c r="AO42" s="39">
        <v>365</v>
      </c>
      <c r="AP42" s="39">
        <v>378</v>
      </c>
      <c r="AQ42" s="39">
        <v>398</v>
      </c>
      <c r="AR42" s="39">
        <v>374</v>
      </c>
      <c r="AS42" s="39">
        <v>400</v>
      </c>
      <c r="AT42" s="39">
        <v>456</v>
      </c>
      <c r="AU42" s="39">
        <v>413</v>
      </c>
      <c r="AV42" s="39">
        <v>373</v>
      </c>
      <c r="AW42" s="39">
        <v>374</v>
      </c>
      <c r="AX42" s="39">
        <v>447</v>
      </c>
      <c r="AY42" s="39">
        <v>434</v>
      </c>
      <c r="AZ42" s="39">
        <v>406</v>
      </c>
      <c r="BA42" s="39">
        <v>358</v>
      </c>
      <c r="BB42" s="39">
        <v>434</v>
      </c>
      <c r="BC42" s="39">
        <v>415</v>
      </c>
      <c r="BD42" s="39">
        <v>410</v>
      </c>
      <c r="BE42" s="39">
        <v>360</v>
      </c>
      <c r="BF42" s="39">
        <v>469</v>
      </c>
      <c r="BG42" s="39">
        <v>423</v>
      </c>
      <c r="BH42" s="39">
        <v>358</v>
      </c>
      <c r="BI42" s="39">
        <v>137</v>
      </c>
      <c r="BJ42" s="39">
        <v>213</v>
      </c>
      <c r="BK42" s="39">
        <v>165</v>
      </c>
      <c r="BL42" s="39">
        <v>177</v>
      </c>
      <c r="BM42" s="39">
        <v>210</v>
      </c>
      <c r="BN42" s="39">
        <v>290</v>
      </c>
      <c r="BO42" s="39">
        <v>237</v>
      </c>
      <c r="BP42" s="39">
        <v>253</v>
      </c>
      <c r="BQ42" s="39">
        <v>258</v>
      </c>
      <c r="BR42" s="39">
        <v>251</v>
      </c>
      <c r="BS42" s="39">
        <v>326</v>
      </c>
      <c r="BT42" s="39">
        <v>281</v>
      </c>
      <c r="BU42" s="39">
        <v>296</v>
      </c>
      <c r="BV42" s="39">
        <v>312</v>
      </c>
      <c r="BW42" s="39">
        <v>334</v>
      </c>
      <c r="BX42" s="39">
        <v>293</v>
      </c>
      <c r="BY42" s="39">
        <v>311</v>
      </c>
      <c r="BZ42" s="39">
        <v>365</v>
      </c>
      <c r="CA42" s="39">
        <v>333</v>
      </c>
      <c r="CB42" s="39">
        <v>299</v>
      </c>
      <c r="CC42" s="39">
        <v>366</v>
      </c>
      <c r="CD42" s="39">
        <v>386</v>
      </c>
    </row>
    <row r="43" spans="1:83" ht="12" customHeight="1" thickTop="1" thickBot="1" x14ac:dyDescent="0.75">
      <c r="B43" s="41"/>
      <c r="C43" s="42"/>
      <c r="D43" s="42"/>
      <c r="E43" s="42"/>
      <c r="F43" s="42"/>
      <c r="G43" s="42"/>
      <c r="H43" s="167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/>
      <c r="CC43" s="42"/>
      <c r="CD43" s="42"/>
    </row>
    <row r="44" spans="1:83" ht="15" customHeight="1" thickTop="1" thickBot="1" x14ac:dyDescent="0.85">
      <c r="B44" s="62" t="s">
        <v>159</v>
      </c>
      <c r="C44" s="157">
        <v>2024</v>
      </c>
      <c r="D44" s="157" t="s">
        <v>116</v>
      </c>
      <c r="E44" s="157" t="s">
        <v>117</v>
      </c>
      <c r="F44" s="157" t="s">
        <v>118</v>
      </c>
      <c r="G44" s="157" t="s">
        <v>119</v>
      </c>
      <c r="H44" s="157" t="s">
        <v>120</v>
      </c>
      <c r="I44" s="157" t="s">
        <v>121</v>
      </c>
      <c r="J44" s="157" t="s">
        <v>122</v>
      </c>
      <c r="K44" s="157" t="s">
        <v>123</v>
      </c>
      <c r="L44" s="157" t="s">
        <v>124</v>
      </c>
      <c r="M44" s="157" t="s">
        <v>125</v>
      </c>
      <c r="N44" s="157" t="s">
        <v>126</v>
      </c>
      <c r="O44" s="157" t="s">
        <v>127</v>
      </c>
      <c r="P44" s="157" t="s">
        <v>128</v>
      </c>
      <c r="Q44" s="157" t="s">
        <v>129</v>
      </c>
      <c r="R44" s="157" t="s">
        <v>130</v>
      </c>
      <c r="S44" s="157" t="s">
        <v>131</v>
      </c>
      <c r="T44" s="157" t="s">
        <v>132</v>
      </c>
      <c r="U44" s="157" t="s">
        <v>133</v>
      </c>
      <c r="V44" s="157" t="s">
        <v>134</v>
      </c>
      <c r="W44" s="157" t="s">
        <v>135</v>
      </c>
      <c r="X44" s="157" t="s">
        <v>136</v>
      </c>
      <c r="Y44" s="157" t="s">
        <v>137</v>
      </c>
      <c r="Z44" s="157" t="s">
        <v>138</v>
      </c>
      <c r="AA44" s="157" t="s">
        <v>139</v>
      </c>
      <c r="AB44" s="157" t="s">
        <v>140</v>
      </c>
      <c r="AC44" s="157" t="s">
        <v>141</v>
      </c>
      <c r="AD44" s="157" t="s">
        <v>142</v>
      </c>
      <c r="AE44" s="157" t="s">
        <v>143</v>
      </c>
      <c r="AF44" s="157" t="s">
        <v>144</v>
      </c>
      <c r="AG44" s="157" t="s">
        <v>145</v>
      </c>
      <c r="AH44" s="157" t="s">
        <v>146</v>
      </c>
      <c r="AI44" s="157" t="s">
        <v>147</v>
      </c>
      <c r="AJ44" s="157" t="s">
        <v>66</v>
      </c>
      <c r="AK44" s="157" t="s">
        <v>67</v>
      </c>
      <c r="AL44" s="157" t="s">
        <v>68</v>
      </c>
      <c r="AM44" s="157" t="s">
        <v>69</v>
      </c>
      <c r="AN44" s="157" t="s">
        <v>70</v>
      </c>
      <c r="AO44" s="157" t="s">
        <v>71</v>
      </c>
      <c r="AP44" s="157" t="s">
        <v>72</v>
      </c>
      <c r="AQ44" s="157" t="s">
        <v>73</v>
      </c>
      <c r="AR44" s="157" t="s">
        <v>74</v>
      </c>
      <c r="AS44" s="157" t="s">
        <v>75</v>
      </c>
      <c r="AT44" s="157" t="s">
        <v>76</v>
      </c>
      <c r="AU44" s="157" t="s">
        <v>77</v>
      </c>
      <c r="AV44" s="157" t="s">
        <v>78</v>
      </c>
      <c r="AW44" s="157" t="s">
        <v>79</v>
      </c>
      <c r="AX44" s="157" t="s">
        <v>80</v>
      </c>
      <c r="AY44" s="157" t="s">
        <v>81</v>
      </c>
      <c r="AZ44" s="157" t="s">
        <v>82</v>
      </c>
      <c r="BA44" s="157" t="s">
        <v>83</v>
      </c>
      <c r="BB44" s="157" t="s">
        <v>84</v>
      </c>
      <c r="BC44" s="157" t="s">
        <v>85</v>
      </c>
      <c r="BD44" s="157" t="s">
        <v>86</v>
      </c>
      <c r="BE44" s="157" t="s">
        <v>87</v>
      </c>
      <c r="BF44" s="157" t="s">
        <v>88</v>
      </c>
      <c r="BG44" s="157" t="s">
        <v>89</v>
      </c>
      <c r="BH44" s="157" t="s">
        <v>90</v>
      </c>
      <c r="BI44" s="157" t="s">
        <v>91</v>
      </c>
      <c r="BJ44" s="157" t="s">
        <v>92</v>
      </c>
      <c r="BK44" s="157" t="s">
        <v>93</v>
      </c>
      <c r="BL44" s="157" t="s">
        <v>94</v>
      </c>
      <c r="BM44" s="157" t="s">
        <v>95</v>
      </c>
      <c r="BN44" s="157" t="s">
        <v>96</v>
      </c>
      <c r="BO44" s="157" t="s">
        <v>97</v>
      </c>
      <c r="BP44" s="157" t="s">
        <v>98</v>
      </c>
      <c r="BQ44" s="157" t="s">
        <v>99</v>
      </c>
      <c r="BR44" s="157" t="s">
        <v>100</v>
      </c>
      <c r="BS44" s="157" t="s">
        <v>101</v>
      </c>
      <c r="BT44" s="157" t="s">
        <v>102</v>
      </c>
      <c r="BU44" s="157" t="s">
        <v>103</v>
      </c>
      <c r="BV44" s="157" t="s">
        <v>104</v>
      </c>
      <c r="BW44" s="157" t="s">
        <v>105</v>
      </c>
      <c r="BX44" s="157" t="s">
        <v>106</v>
      </c>
      <c r="BY44" s="157" t="s">
        <v>107</v>
      </c>
      <c r="BZ44" s="157" t="s">
        <v>108</v>
      </c>
      <c r="CA44" s="157" t="s">
        <v>109</v>
      </c>
      <c r="CB44" s="157" t="s">
        <v>110</v>
      </c>
      <c r="CC44" s="157" t="s">
        <v>111</v>
      </c>
      <c r="CD44" s="157" t="s">
        <v>112</v>
      </c>
    </row>
    <row r="45" spans="1:83" ht="14.25" customHeight="1" thickTop="1" x14ac:dyDescent="0.6">
      <c r="A45" s="27"/>
      <c r="B45" s="28" t="s">
        <v>149</v>
      </c>
      <c r="C45" s="29">
        <v>100</v>
      </c>
      <c r="D45" s="29">
        <v>30</v>
      </c>
      <c r="E45" s="29">
        <v>31</v>
      </c>
      <c r="F45" s="29">
        <v>30</v>
      </c>
      <c r="G45" s="29">
        <v>31</v>
      </c>
      <c r="H45" s="29">
        <v>33</v>
      </c>
      <c r="I45" s="29">
        <v>35</v>
      </c>
      <c r="J45" s="29">
        <v>35</v>
      </c>
      <c r="K45" s="29">
        <v>36</v>
      </c>
      <c r="L45" s="29">
        <v>37</v>
      </c>
      <c r="M45" s="29">
        <v>39</v>
      </c>
      <c r="N45" s="29">
        <v>41</v>
      </c>
      <c r="O45" s="29">
        <v>43</v>
      </c>
      <c r="P45" s="29">
        <v>42</v>
      </c>
      <c r="Q45" s="29">
        <v>42</v>
      </c>
      <c r="R45" s="29">
        <v>43</v>
      </c>
      <c r="S45" s="29">
        <v>44</v>
      </c>
      <c r="T45" s="29">
        <v>43</v>
      </c>
      <c r="U45" s="29">
        <v>44</v>
      </c>
      <c r="V45" s="29">
        <v>44</v>
      </c>
      <c r="W45" s="29">
        <v>45</v>
      </c>
      <c r="X45" s="29">
        <v>45</v>
      </c>
      <c r="Y45" s="29">
        <v>48</v>
      </c>
      <c r="Z45" s="29">
        <v>48</v>
      </c>
      <c r="AA45" s="29">
        <v>48</v>
      </c>
      <c r="AB45" s="29">
        <v>48</v>
      </c>
      <c r="AC45" s="29">
        <v>50</v>
      </c>
      <c r="AD45" s="29">
        <v>50</v>
      </c>
      <c r="AE45" s="29">
        <v>50</v>
      </c>
      <c r="AF45" s="29">
        <v>50</v>
      </c>
      <c r="AG45" s="29">
        <v>50</v>
      </c>
      <c r="AH45" s="29">
        <v>51</v>
      </c>
      <c r="AI45" s="29">
        <v>52</v>
      </c>
      <c r="AJ45" s="29">
        <v>53</v>
      </c>
      <c r="AK45" s="29">
        <v>54</v>
      </c>
      <c r="AL45" s="29">
        <v>55</v>
      </c>
      <c r="AM45" s="29">
        <v>52</v>
      </c>
      <c r="AN45" s="29">
        <v>53</v>
      </c>
      <c r="AO45" s="29">
        <v>53</v>
      </c>
      <c r="AP45" s="29">
        <v>55</v>
      </c>
      <c r="AQ45" s="29">
        <v>54</v>
      </c>
      <c r="AR45" s="29">
        <v>55</v>
      </c>
      <c r="AS45" s="29">
        <v>56</v>
      </c>
      <c r="AT45" s="29">
        <v>57</v>
      </c>
      <c r="AU45" s="29">
        <v>59</v>
      </c>
      <c r="AV45" s="29">
        <v>61</v>
      </c>
      <c r="AW45" s="29">
        <v>61</v>
      </c>
      <c r="AX45" s="29">
        <v>61</v>
      </c>
      <c r="AY45" s="29">
        <v>61</v>
      </c>
      <c r="AZ45" s="29">
        <v>62</v>
      </c>
      <c r="BA45" s="29">
        <v>62</v>
      </c>
      <c r="BB45" s="29">
        <v>62</v>
      </c>
      <c r="BC45" s="29">
        <v>60</v>
      </c>
      <c r="BD45" s="29">
        <v>62</v>
      </c>
      <c r="BE45" s="29">
        <v>64</v>
      </c>
      <c r="BF45" s="29">
        <v>65</v>
      </c>
      <c r="BG45" s="29">
        <v>65</v>
      </c>
      <c r="BH45" s="29">
        <v>66</v>
      </c>
      <c r="BI45" s="29">
        <v>70</v>
      </c>
      <c r="BJ45" s="29">
        <v>68</v>
      </c>
      <c r="BK45" s="29">
        <v>71</v>
      </c>
      <c r="BL45" s="29">
        <v>69</v>
      </c>
      <c r="BM45" s="29">
        <v>70</v>
      </c>
      <c r="BN45" s="29">
        <v>75</v>
      </c>
      <c r="BO45" s="29">
        <v>72</v>
      </c>
      <c r="BP45" s="29">
        <v>76</v>
      </c>
      <c r="BQ45" s="29">
        <v>78</v>
      </c>
      <c r="BR45" s="29">
        <v>86</v>
      </c>
      <c r="BS45" s="29">
        <v>91</v>
      </c>
      <c r="BT45" s="29">
        <v>92</v>
      </c>
      <c r="BU45" s="29">
        <v>91</v>
      </c>
      <c r="BV45" s="29">
        <v>91</v>
      </c>
      <c r="BW45" s="29">
        <v>95</v>
      </c>
      <c r="BX45" s="29">
        <v>95</v>
      </c>
      <c r="BY45" s="29">
        <v>97</v>
      </c>
      <c r="BZ45" s="29">
        <v>102</v>
      </c>
      <c r="CA45" s="29">
        <v>105</v>
      </c>
      <c r="CB45" s="29">
        <v>104</v>
      </c>
      <c r="CC45" s="29">
        <v>105</v>
      </c>
      <c r="CD45" s="29">
        <v>109</v>
      </c>
    </row>
    <row r="46" spans="1:83" s="160" customFormat="1" ht="6.75" customHeight="1" x14ac:dyDescent="0.7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</row>
    <row r="47" spans="1:83" ht="14.25" customHeight="1" x14ac:dyDescent="0.6">
      <c r="A47" s="27"/>
      <c r="B47" s="28" t="s">
        <v>10</v>
      </c>
      <c r="C47" s="29">
        <v>100</v>
      </c>
      <c r="D47" s="29">
        <v>28</v>
      </c>
      <c r="E47" s="29">
        <v>28</v>
      </c>
      <c r="F47" s="29">
        <v>27</v>
      </c>
      <c r="G47" s="29">
        <v>28</v>
      </c>
      <c r="H47" s="29">
        <v>31</v>
      </c>
      <c r="I47" s="29">
        <v>33</v>
      </c>
      <c r="J47" s="29">
        <v>32</v>
      </c>
      <c r="K47" s="29">
        <v>33</v>
      </c>
      <c r="L47" s="29">
        <v>38</v>
      </c>
      <c r="M47" s="29">
        <v>39</v>
      </c>
      <c r="N47" s="29">
        <v>41</v>
      </c>
      <c r="O47" s="29">
        <v>41</v>
      </c>
      <c r="P47" s="29">
        <v>41</v>
      </c>
      <c r="Q47" s="29">
        <v>39</v>
      </c>
      <c r="R47" s="29">
        <v>41</v>
      </c>
      <c r="S47" s="29">
        <v>41</v>
      </c>
      <c r="T47" s="29">
        <v>43</v>
      </c>
      <c r="U47" s="29">
        <v>42</v>
      </c>
      <c r="V47" s="29">
        <v>43</v>
      </c>
      <c r="W47" s="29">
        <v>42</v>
      </c>
      <c r="X47" s="29">
        <v>44</v>
      </c>
      <c r="Y47" s="29">
        <v>45</v>
      </c>
      <c r="Z47" s="29">
        <v>45</v>
      </c>
      <c r="AA47" s="29">
        <v>44</v>
      </c>
      <c r="AB47" s="29">
        <v>47</v>
      </c>
      <c r="AC47" s="29">
        <v>46</v>
      </c>
      <c r="AD47" s="29">
        <v>46</v>
      </c>
      <c r="AE47" s="29">
        <v>45</v>
      </c>
      <c r="AF47" s="29">
        <v>47</v>
      </c>
      <c r="AG47" s="29">
        <v>47</v>
      </c>
      <c r="AH47" s="29">
        <v>47</v>
      </c>
      <c r="AI47" s="29">
        <v>47</v>
      </c>
      <c r="AJ47" s="29">
        <v>48</v>
      </c>
      <c r="AK47" s="29">
        <v>49</v>
      </c>
      <c r="AL47" s="29">
        <v>49</v>
      </c>
      <c r="AM47" s="29">
        <v>48</v>
      </c>
      <c r="AN47" s="29">
        <v>47</v>
      </c>
      <c r="AO47" s="29">
        <v>47</v>
      </c>
      <c r="AP47" s="29">
        <v>48</v>
      </c>
      <c r="AQ47" s="29">
        <v>47</v>
      </c>
      <c r="AR47" s="29">
        <v>48</v>
      </c>
      <c r="AS47" s="29">
        <v>48</v>
      </c>
      <c r="AT47" s="29">
        <v>50</v>
      </c>
      <c r="AU47" s="29">
        <v>51</v>
      </c>
      <c r="AV47" s="29">
        <v>55</v>
      </c>
      <c r="AW47" s="29">
        <v>56</v>
      </c>
      <c r="AX47" s="29">
        <v>54</v>
      </c>
      <c r="AY47" s="29">
        <v>55</v>
      </c>
      <c r="AZ47" s="29">
        <v>53</v>
      </c>
      <c r="BA47" s="29">
        <v>57</v>
      </c>
      <c r="BB47" s="29">
        <v>55</v>
      </c>
      <c r="BC47" s="29">
        <v>52</v>
      </c>
      <c r="BD47" s="29">
        <v>55</v>
      </c>
      <c r="BE47" s="29">
        <v>57</v>
      </c>
      <c r="BF47" s="29">
        <v>57</v>
      </c>
      <c r="BG47" s="29">
        <v>58</v>
      </c>
      <c r="BH47" s="29">
        <v>56</v>
      </c>
      <c r="BI47" s="29">
        <v>63</v>
      </c>
      <c r="BJ47" s="29">
        <v>62</v>
      </c>
      <c r="BK47" s="29">
        <v>63</v>
      </c>
      <c r="BL47" s="29">
        <v>67</v>
      </c>
      <c r="BM47" s="29">
        <v>68</v>
      </c>
      <c r="BN47" s="29">
        <v>71</v>
      </c>
      <c r="BO47" s="29">
        <v>68</v>
      </c>
      <c r="BP47" s="29">
        <v>73</v>
      </c>
      <c r="BQ47" s="29">
        <v>78</v>
      </c>
      <c r="BR47" s="29">
        <v>82</v>
      </c>
      <c r="BS47" s="29">
        <v>88</v>
      </c>
      <c r="BT47" s="29">
        <v>89</v>
      </c>
      <c r="BU47" s="29">
        <v>92</v>
      </c>
      <c r="BV47" s="29">
        <v>88</v>
      </c>
      <c r="BW47" s="29">
        <v>96</v>
      </c>
      <c r="BX47" s="29">
        <v>94</v>
      </c>
      <c r="BY47" s="29">
        <v>98</v>
      </c>
      <c r="BZ47" s="29">
        <v>100</v>
      </c>
      <c r="CA47" s="29">
        <v>107</v>
      </c>
      <c r="CB47" s="29">
        <v>104</v>
      </c>
      <c r="CC47" s="29">
        <v>108</v>
      </c>
      <c r="CD47" s="29">
        <v>110</v>
      </c>
    </row>
    <row r="48" spans="1:83" ht="13.5" customHeight="1" x14ac:dyDescent="0.6">
      <c r="A48" s="27"/>
      <c r="B48" s="34" t="s">
        <v>11</v>
      </c>
      <c r="C48" s="33">
        <v>100</v>
      </c>
      <c r="D48" s="33">
        <v>36</v>
      </c>
      <c r="E48" s="33">
        <v>36</v>
      </c>
      <c r="F48" s="33">
        <v>36</v>
      </c>
      <c r="G48" s="33">
        <v>36</v>
      </c>
      <c r="H48" s="33">
        <v>38</v>
      </c>
      <c r="I48" s="33">
        <v>38</v>
      </c>
      <c r="J48" s="33">
        <v>38</v>
      </c>
      <c r="K48" s="33">
        <v>38</v>
      </c>
      <c r="L48" s="33">
        <v>40</v>
      </c>
      <c r="M48" s="33">
        <v>41</v>
      </c>
      <c r="N48" s="33">
        <v>42</v>
      </c>
      <c r="O48" s="33">
        <v>42</v>
      </c>
      <c r="P48" s="33">
        <v>43</v>
      </c>
      <c r="Q48" s="33">
        <v>43</v>
      </c>
      <c r="R48" s="33">
        <v>44</v>
      </c>
      <c r="S48" s="33">
        <v>44</v>
      </c>
      <c r="T48" s="33">
        <v>45</v>
      </c>
      <c r="U48" s="33">
        <v>46</v>
      </c>
      <c r="V48" s="33">
        <v>45</v>
      </c>
      <c r="W48" s="33">
        <v>45</v>
      </c>
      <c r="X48" s="33">
        <v>45</v>
      </c>
      <c r="Y48" s="33">
        <v>46</v>
      </c>
      <c r="Z48" s="33">
        <v>46</v>
      </c>
      <c r="AA48" s="33">
        <v>46</v>
      </c>
      <c r="AB48" s="33">
        <v>48</v>
      </c>
      <c r="AC48" s="33">
        <v>50</v>
      </c>
      <c r="AD48" s="33">
        <v>48</v>
      </c>
      <c r="AE48" s="33">
        <v>49</v>
      </c>
      <c r="AF48" s="33">
        <v>52</v>
      </c>
      <c r="AG48" s="33">
        <v>52</v>
      </c>
      <c r="AH48" s="33">
        <v>52</v>
      </c>
      <c r="AI48" s="33">
        <v>53</v>
      </c>
      <c r="AJ48" s="33">
        <v>54</v>
      </c>
      <c r="AK48" s="33">
        <v>54</v>
      </c>
      <c r="AL48" s="33">
        <v>53</v>
      </c>
      <c r="AM48" s="33">
        <v>53</v>
      </c>
      <c r="AN48" s="33">
        <v>53</v>
      </c>
      <c r="AO48" s="33">
        <v>53</v>
      </c>
      <c r="AP48" s="33">
        <v>54</v>
      </c>
      <c r="AQ48" s="33">
        <v>55</v>
      </c>
      <c r="AR48" s="33">
        <v>58</v>
      </c>
      <c r="AS48" s="33">
        <v>60</v>
      </c>
      <c r="AT48" s="33">
        <v>60</v>
      </c>
      <c r="AU48" s="33">
        <v>61</v>
      </c>
      <c r="AV48" s="33">
        <v>61</v>
      </c>
      <c r="AW48" s="33">
        <v>63</v>
      </c>
      <c r="AX48" s="33">
        <v>63</v>
      </c>
      <c r="AY48" s="33">
        <v>63</v>
      </c>
      <c r="AZ48" s="33">
        <v>59</v>
      </c>
      <c r="BA48" s="33">
        <v>59</v>
      </c>
      <c r="BB48" s="33">
        <v>60</v>
      </c>
      <c r="BC48" s="33">
        <v>60</v>
      </c>
      <c r="BD48" s="33">
        <v>60</v>
      </c>
      <c r="BE48" s="33">
        <v>60</v>
      </c>
      <c r="BF48" s="33">
        <v>61</v>
      </c>
      <c r="BG48" s="33">
        <v>63</v>
      </c>
      <c r="BH48" s="33">
        <v>62</v>
      </c>
      <c r="BI48" s="33">
        <v>63</v>
      </c>
      <c r="BJ48" s="33">
        <v>66</v>
      </c>
      <c r="BK48" s="33">
        <v>64</v>
      </c>
      <c r="BL48" s="33">
        <v>72</v>
      </c>
      <c r="BM48" s="33">
        <v>74</v>
      </c>
      <c r="BN48" s="33">
        <v>75</v>
      </c>
      <c r="BO48" s="33">
        <v>75</v>
      </c>
      <c r="BP48" s="33">
        <v>78</v>
      </c>
      <c r="BQ48" s="33">
        <v>80</v>
      </c>
      <c r="BR48" s="33">
        <v>87</v>
      </c>
      <c r="BS48" s="33">
        <v>92</v>
      </c>
      <c r="BT48" s="33">
        <v>95</v>
      </c>
      <c r="BU48" s="33">
        <v>95</v>
      </c>
      <c r="BV48" s="33">
        <v>98</v>
      </c>
      <c r="BW48" s="33">
        <v>99</v>
      </c>
      <c r="BX48" s="33">
        <v>98</v>
      </c>
      <c r="BY48" s="33">
        <v>99</v>
      </c>
      <c r="BZ48" s="33">
        <v>101</v>
      </c>
      <c r="CA48" s="33">
        <v>102</v>
      </c>
      <c r="CB48" s="33">
        <v>104</v>
      </c>
      <c r="CC48" s="33">
        <v>103</v>
      </c>
      <c r="CD48" s="33">
        <v>110</v>
      </c>
    </row>
    <row r="49" spans="1:82" ht="13.5" customHeight="1" x14ac:dyDescent="0.6">
      <c r="A49" s="27"/>
      <c r="B49" s="34" t="s">
        <v>150</v>
      </c>
      <c r="C49" s="33">
        <v>100</v>
      </c>
      <c r="D49" s="33">
        <v>27</v>
      </c>
      <c r="E49" s="33">
        <v>27</v>
      </c>
      <c r="F49" s="33">
        <v>26</v>
      </c>
      <c r="G49" s="33">
        <v>27</v>
      </c>
      <c r="H49" s="33">
        <v>30</v>
      </c>
      <c r="I49" s="33">
        <v>32</v>
      </c>
      <c r="J49" s="33">
        <v>31</v>
      </c>
      <c r="K49" s="33">
        <v>33</v>
      </c>
      <c r="L49" s="33">
        <v>38</v>
      </c>
      <c r="M49" s="33">
        <v>38</v>
      </c>
      <c r="N49" s="33">
        <v>40</v>
      </c>
      <c r="O49" s="33">
        <v>40</v>
      </c>
      <c r="P49" s="33">
        <v>40</v>
      </c>
      <c r="Q49" s="33">
        <v>39</v>
      </c>
      <c r="R49" s="33">
        <v>40</v>
      </c>
      <c r="S49" s="33">
        <v>40</v>
      </c>
      <c r="T49" s="33">
        <v>43</v>
      </c>
      <c r="U49" s="33">
        <v>42</v>
      </c>
      <c r="V49" s="33">
        <v>43</v>
      </c>
      <c r="W49" s="33">
        <v>41</v>
      </c>
      <c r="X49" s="33">
        <v>44</v>
      </c>
      <c r="Y49" s="33">
        <v>45</v>
      </c>
      <c r="Z49" s="33">
        <v>45</v>
      </c>
      <c r="AA49" s="33">
        <v>44</v>
      </c>
      <c r="AB49" s="33">
        <v>46</v>
      </c>
      <c r="AC49" s="33">
        <v>45</v>
      </c>
      <c r="AD49" s="33">
        <v>46</v>
      </c>
      <c r="AE49" s="33">
        <v>45</v>
      </c>
      <c r="AF49" s="33">
        <v>47</v>
      </c>
      <c r="AG49" s="33">
        <v>46</v>
      </c>
      <c r="AH49" s="33">
        <v>46</v>
      </c>
      <c r="AI49" s="33">
        <v>46</v>
      </c>
      <c r="AJ49" s="33">
        <v>47</v>
      </c>
      <c r="AK49" s="33">
        <v>48</v>
      </c>
      <c r="AL49" s="33">
        <v>48</v>
      </c>
      <c r="AM49" s="33">
        <v>47</v>
      </c>
      <c r="AN49" s="33">
        <v>46</v>
      </c>
      <c r="AO49" s="33">
        <v>46</v>
      </c>
      <c r="AP49" s="33">
        <v>47</v>
      </c>
      <c r="AQ49" s="33">
        <v>46</v>
      </c>
      <c r="AR49" s="33">
        <v>46</v>
      </c>
      <c r="AS49" s="33">
        <v>47</v>
      </c>
      <c r="AT49" s="33">
        <v>48</v>
      </c>
      <c r="AU49" s="33">
        <v>50</v>
      </c>
      <c r="AV49" s="33">
        <v>54</v>
      </c>
      <c r="AW49" s="33">
        <v>55</v>
      </c>
      <c r="AX49" s="33">
        <v>52</v>
      </c>
      <c r="AY49" s="33">
        <v>53</v>
      </c>
      <c r="AZ49" s="33">
        <v>53</v>
      </c>
      <c r="BA49" s="33">
        <v>57</v>
      </c>
      <c r="BB49" s="33">
        <v>54</v>
      </c>
      <c r="BC49" s="33">
        <v>51</v>
      </c>
      <c r="BD49" s="33">
        <v>54</v>
      </c>
      <c r="BE49" s="33">
        <v>56</v>
      </c>
      <c r="BF49" s="33">
        <v>56</v>
      </c>
      <c r="BG49" s="33">
        <v>57</v>
      </c>
      <c r="BH49" s="33">
        <v>55</v>
      </c>
      <c r="BI49" s="33">
        <v>63</v>
      </c>
      <c r="BJ49" s="33">
        <v>61</v>
      </c>
      <c r="BK49" s="33">
        <v>63</v>
      </c>
      <c r="BL49" s="33">
        <v>65</v>
      </c>
      <c r="BM49" s="33">
        <v>66</v>
      </c>
      <c r="BN49" s="33">
        <v>70</v>
      </c>
      <c r="BO49" s="33">
        <v>66</v>
      </c>
      <c r="BP49" s="33">
        <v>72</v>
      </c>
      <c r="BQ49" s="33">
        <v>78</v>
      </c>
      <c r="BR49" s="33">
        <v>81</v>
      </c>
      <c r="BS49" s="33">
        <v>87</v>
      </c>
      <c r="BT49" s="33">
        <v>87</v>
      </c>
      <c r="BU49" s="33">
        <v>91</v>
      </c>
      <c r="BV49" s="33">
        <v>86</v>
      </c>
      <c r="BW49" s="33">
        <v>95</v>
      </c>
      <c r="BX49" s="33">
        <v>93</v>
      </c>
      <c r="BY49" s="33">
        <v>97</v>
      </c>
      <c r="BZ49" s="33">
        <v>100</v>
      </c>
      <c r="CA49" s="33">
        <v>108</v>
      </c>
      <c r="CB49" s="33">
        <v>104</v>
      </c>
      <c r="CC49" s="33">
        <v>109</v>
      </c>
      <c r="CD49" s="33">
        <v>110</v>
      </c>
    </row>
    <row r="50" spans="1:82" s="160" customFormat="1" ht="6.75" customHeight="1" x14ac:dyDescent="0.7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</row>
    <row r="51" spans="1:82" ht="14.25" customHeight="1" x14ac:dyDescent="0.6">
      <c r="A51" s="27"/>
      <c r="B51" s="28" t="s">
        <v>13</v>
      </c>
      <c r="C51" s="29">
        <v>100</v>
      </c>
      <c r="D51" s="29">
        <v>28</v>
      </c>
      <c r="E51" s="29">
        <v>28</v>
      </c>
      <c r="F51" s="29">
        <v>26</v>
      </c>
      <c r="G51" s="29">
        <v>26</v>
      </c>
      <c r="H51" s="29">
        <v>29</v>
      </c>
      <c r="I51" s="29">
        <v>28</v>
      </c>
      <c r="J51" s="29">
        <v>30</v>
      </c>
      <c r="K51" s="29">
        <v>29</v>
      </c>
      <c r="L51" s="29">
        <v>32</v>
      </c>
      <c r="M51" s="29">
        <v>37</v>
      </c>
      <c r="N51" s="29">
        <v>35</v>
      </c>
      <c r="O51" s="29">
        <v>37</v>
      </c>
      <c r="P51" s="29">
        <v>40</v>
      </c>
      <c r="Q51" s="29">
        <v>38</v>
      </c>
      <c r="R51" s="29">
        <v>39</v>
      </c>
      <c r="S51" s="29">
        <v>37</v>
      </c>
      <c r="T51" s="29">
        <v>40</v>
      </c>
      <c r="U51" s="29">
        <v>41</v>
      </c>
      <c r="V51" s="29">
        <v>38</v>
      </c>
      <c r="W51" s="29">
        <v>38</v>
      </c>
      <c r="X51" s="29">
        <v>41</v>
      </c>
      <c r="Y51" s="29">
        <v>43</v>
      </c>
      <c r="Z51" s="29">
        <v>42</v>
      </c>
      <c r="AA51" s="29">
        <v>42</v>
      </c>
      <c r="AB51" s="29">
        <v>43</v>
      </c>
      <c r="AC51" s="29">
        <v>44</v>
      </c>
      <c r="AD51" s="29">
        <v>43</v>
      </c>
      <c r="AE51" s="29">
        <v>44</v>
      </c>
      <c r="AF51" s="29">
        <v>46</v>
      </c>
      <c r="AG51" s="29">
        <v>46</v>
      </c>
      <c r="AH51" s="29">
        <v>45</v>
      </c>
      <c r="AI51" s="29">
        <v>45</v>
      </c>
      <c r="AJ51" s="29">
        <v>46</v>
      </c>
      <c r="AK51" s="29">
        <v>46</v>
      </c>
      <c r="AL51" s="29">
        <v>45</v>
      </c>
      <c r="AM51" s="29">
        <v>46</v>
      </c>
      <c r="AN51" s="29">
        <v>45</v>
      </c>
      <c r="AO51" s="29">
        <v>44</v>
      </c>
      <c r="AP51" s="29">
        <v>44</v>
      </c>
      <c r="AQ51" s="29">
        <v>44</v>
      </c>
      <c r="AR51" s="29">
        <v>49</v>
      </c>
      <c r="AS51" s="29">
        <v>48</v>
      </c>
      <c r="AT51" s="29">
        <v>45</v>
      </c>
      <c r="AU51" s="29">
        <v>52</v>
      </c>
      <c r="AV51" s="29">
        <v>51</v>
      </c>
      <c r="AW51" s="29">
        <v>52</v>
      </c>
      <c r="AX51" s="29">
        <v>51</v>
      </c>
      <c r="AY51" s="29">
        <v>54</v>
      </c>
      <c r="AZ51" s="29">
        <v>42</v>
      </c>
      <c r="BA51" s="29">
        <v>39</v>
      </c>
      <c r="BB51" s="29">
        <v>38</v>
      </c>
      <c r="BC51" s="29">
        <v>43</v>
      </c>
      <c r="BD51" s="29">
        <v>41</v>
      </c>
      <c r="BE51" s="29">
        <v>41</v>
      </c>
      <c r="BF51" s="29">
        <v>44</v>
      </c>
      <c r="BG51" s="29">
        <v>43</v>
      </c>
      <c r="BH51" s="29">
        <v>42</v>
      </c>
      <c r="BI51" s="29">
        <v>46</v>
      </c>
      <c r="BJ51" s="29">
        <v>44</v>
      </c>
      <c r="BK51" s="29">
        <v>41</v>
      </c>
      <c r="BL51" s="29">
        <v>77</v>
      </c>
      <c r="BM51" s="29">
        <v>75</v>
      </c>
      <c r="BN51" s="29">
        <v>80</v>
      </c>
      <c r="BO51" s="29">
        <v>84</v>
      </c>
      <c r="BP51" s="29">
        <v>90</v>
      </c>
      <c r="BQ51" s="29">
        <v>84</v>
      </c>
      <c r="BR51" s="29">
        <v>95</v>
      </c>
      <c r="BS51" s="29">
        <v>101</v>
      </c>
      <c r="BT51" s="29">
        <v>97</v>
      </c>
      <c r="BU51" s="29">
        <v>93</v>
      </c>
      <c r="BV51" s="29">
        <v>97</v>
      </c>
      <c r="BW51" s="29">
        <v>95</v>
      </c>
      <c r="BX51" s="29">
        <v>98</v>
      </c>
      <c r="BY51" s="29">
        <v>97</v>
      </c>
      <c r="BZ51" s="29">
        <v>106</v>
      </c>
      <c r="CA51" s="29">
        <v>99</v>
      </c>
      <c r="CB51" s="29">
        <v>107</v>
      </c>
      <c r="CC51" s="29">
        <v>104</v>
      </c>
      <c r="CD51" s="29">
        <v>103</v>
      </c>
    </row>
    <row r="52" spans="1:82" ht="13.5" customHeight="1" x14ac:dyDescent="0.6">
      <c r="A52" s="27"/>
      <c r="B52" s="34" t="s">
        <v>151</v>
      </c>
      <c r="C52" s="33">
        <v>100</v>
      </c>
      <c r="D52" s="33">
        <v>32</v>
      </c>
      <c r="E52" s="33">
        <v>34</v>
      </c>
      <c r="F52" s="33">
        <v>33</v>
      </c>
      <c r="G52" s="33">
        <v>34</v>
      </c>
      <c r="H52" s="33">
        <v>35</v>
      </c>
      <c r="I52" s="33">
        <v>36</v>
      </c>
      <c r="J52" s="33">
        <v>36</v>
      </c>
      <c r="K52" s="33">
        <v>36</v>
      </c>
      <c r="L52" s="33">
        <v>37</v>
      </c>
      <c r="M52" s="33">
        <v>39</v>
      </c>
      <c r="N52" s="33">
        <v>42</v>
      </c>
      <c r="O52" s="33">
        <v>44</v>
      </c>
      <c r="P52" s="33">
        <v>44</v>
      </c>
      <c r="Q52" s="33">
        <v>45</v>
      </c>
      <c r="R52" s="33">
        <v>45</v>
      </c>
      <c r="S52" s="33">
        <v>46</v>
      </c>
      <c r="T52" s="33">
        <v>45</v>
      </c>
      <c r="U52" s="33">
        <v>46</v>
      </c>
      <c r="V52" s="33">
        <v>46</v>
      </c>
      <c r="W52" s="33">
        <v>46</v>
      </c>
      <c r="X52" s="33">
        <v>46</v>
      </c>
      <c r="Y52" s="33">
        <v>48</v>
      </c>
      <c r="Z52" s="33">
        <v>48</v>
      </c>
      <c r="AA52" s="33">
        <v>49</v>
      </c>
      <c r="AB52" s="33">
        <v>49</v>
      </c>
      <c r="AC52" s="33">
        <v>51</v>
      </c>
      <c r="AD52" s="33">
        <v>51</v>
      </c>
      <c r="AE52" s="33">
        <v>51</v>
      </c>
      <c r="AF52" s="33">
        <v>51</v>
      </c>
      <c r="AG52" s="33">
        <v>52</v>
      </c>
      <c r="AH52" s="33">
        <v>53</v>
      </c>
      <c r="AI52" s="33">
        <v>53</v>
      </c>
      <c r="AJ52" s="33">
        <v>53</v>
      </c>
      <c r="AK52" s="33">
        <v>53</v>
      </c>
      <c r="AL52" s="33">
        <v>53</v>
      </c>
      <c r="AM52" s="33">
        <v>54</v>
      </c>
      <c r="AN52" s="33">
        <v>53</v>
      </c>
      <c r="AO52" s="33">
        <v>54</v>
      </c>
      <c r="AP52" s="33">
        <v>54</v>
      </c>
      <c r="AQ52" s="33">
        <v>54</v>
      </c>
      <c r="AR52" s="33">
        <v>57</v>
      </c>
      <c r="AS52" s="33">
        <v>57</v>
      </c>
      <c r="AT52" s="33">
        <v>57</v>
      </c>
      <c r="AU52" s="33">
        <v>58</v>
      </c>
      <c r="AV52" s="33">
        <v>59</v>
      </c>
      <c r="AW52" s="33">
        <v>60</v>
      </c>
      <c r="AX52" s="33">
        <v>61</v>
      </c>
      <c r="AY52" s="33">
        <v>61</v>
      </c>
      <c r="AZ52" s="33">
        <v>50</v>
      </c>
      <c r="BA52" s="33">
        <v>50</v>
      </c>
      <c r="BB52" s="33">
        <v>50</v>
      </c>
      <c r="BC52" s="33">
        <v>50</v>
      </c>
      <c r="BD52" s="33">
        <v>51</v>
      </c>
      <c r="BE52" s="33">
        <v>51</v>
      </c>
      <c r="BF52" s="33">
        <v>50</v>
      </c>
      <c r="BG52" s="33">
        <v>49</v>
      </c>
      <c r="BH52" s="33">
        <v>51</v>
      </c>
      <c r="BI52" s="33">
        <v>51</v>
      </c>
      <c r="BJ52" s="33">
        <v>50</v>
      </c>
      <c r="BK52" s="33">
        <v>51</v>
      </c>
      <c r="BL52" s="33">
        <v>73</v>
      </c>
      <c r="BM52" s="33">
        <v>84</v>
      </c>
      <c r="BN52" s="33">
        <v>87</v>
      </c>
      <c r="BO52" s="33">
        <v>85</v>
      </c>
      <c r="BP52" s="33">
        <v>81</v>
      </c>
      <c r="BQ52" s="33">
        <v>73</v>
      </c>
      <c r="BR52" s="33">
        <v>88</v>
      </c>
      <c r="BS52" s="33">
        <v>91</v>
      </c>
      <c r="BT52" s="33">
        <v>109</v>
      </c>
      <c r="BU52" s="33">
        <v>85</v>
      </c>
      <c r="BV52" s="33">
        <v>95</v>
      </c>
      <c r="BW52" s="33">
        <v>95</v>
      </c>
      <c r="BX52" s="33">
        <v>96</v>
      </c>
      <c r="BY52" s="33">
        <v>97</v>
      </c>
      <c r="BZ52" s="33">
        <v>106</v>
      </c>
      <c r="CA52" s="33">
        <v>103</v>
      </c>
      <c r="CB52" s="33">
        <v>100</v>
      </c>
      <c r="CC52" s="33">
        <v>103</v>
      </c>
      <c r="CD52" s="33">
        <v>99</v>
      </c>
    </row>
    <row r="53" spans="1:82" ht="13.5" customHeight="1" x14ac:dyDescent="0.6">
      <c r="A53" s="27"/>
      <c r="B53" s="34" t="s">
        <v>152</v>
      </c>
      <c r="C53" s="33">
        <v>100</v>
      </c>
      <c r="D53" s="33">
        <v>38</v>
      </c>
      <c r="E53" s="33">
        <v>33</v>
      </c>
      <c r="F53" s="33">
        <v>26</v>
      </c>
      <c r="G53" s="33">
        <v>26</v>
      </c>
      <c r="H53" s="33">
        <v>31</v>
      </c>
      <c r="I53" s="33">
        <v>28</v>
      </c>
      <c r="J53" s="33">
        <v>37</v>
      </c>
      <c r="K53" s="33">
        <v>33</v>
      </c>
      <c r="L53" s="33">
        <v>40</v>
      </c>
      <c r="M53" s="33">
        <v>51</v>
      </c>
      <c r="N53" s="33">
        <v>44</v>
      </c>
      <c r="O53" s="33">
        <v>46</v>
      </c>
      <c r="P53" s="33">
        <v>56</v>
      </c>
      <c r="Q53" s="33">
        <v>48</v>
      </c>
      <c r="R53" s="33">
        <v>53</v>
      </c>
      <c r="S53" s="33">
        <v>43</v>
      </c>
      <c r="T53" s="33">
        <v>53</v>
      </c>
      <c r="U53" s="33">
        <v>53</v>
      </c>
      <c r="V53" s="33">
        <v>48</v>
      </c>
      <c r="W53" s="33">
        <v>45</v>
      </c>
      <c r="X53" s="33">
        <v>50</v>
      </c>
      <c r="Y53" s="33">
        <v>54</v>
      </c>
      <c r="Z53" s="33">
        <v>64</v>
      </c>
      <c r="AA53" s="33">
        <v>53</v>
      </c>
      <c r="AB53" s="33">
        <v>58</v>
      </c>
      <c r="AC53" s="33">
        <v>59</v>
      </c>
      <c r="AD53" s="33">
        <v>51</v>
      </c>
      <c r="AE53" s="33">
        <v>58</v>
      </c>
      <c r="AF53" s="33">
        <v>61</v>
      </c>
      <c r="AG53" s="33">
        <v>68</v>
      </c>
      <c r="AH53" s="33">
        <v>57</v>
      </c>
      <c r="AI53" s="33">
        <v>57</v>
      </c>
      <c r="AJ53" s="33">
        <v>60</v>
      </c>
      <c r="AK53" s="33">
        <v>74</v>
      </c>
      <c r="AL53" s="33">
        <v>57</v>
      </c>
      <c r="AM53" s="33">
        <v>54</v>
      </c>
      <c r="AN53" s="33">
        <v>50</v>
      </c>
      <c r="AO53" s="33">
        <v>57</v>
      </c>
      <c r="AP53" s="33">
        <v>50</v>
      </c>
      <c r="AQ53" s="33">
        <v>44</v>
      </c>
      <c r="AR53" s="33">
        <v>62</v>
      </c>
      <c r="AS53" s="33">
        <v>55</v>
      </c>
      <c r="AT53" s="33">
        <v>48</v>
      </c>
      <c r="AU53" s="33">
        <v>75</v>
      </c>
      <c r="AV53" s="33">
        <v>70</v>
      </c>
      <c r="AW53" s="33">
        <v>71</v>
      </c>
      <c r="AX53" s="33">
        <v>68</v>
      </c>
      <c r="AY53" s="33">
        <v>78</v>
      </c>
      <c r="AZ53" s="33">
        <v>52</v>
      </c>
      <c r="BA53" s="33">
        <v>42</v>
      </c>
      <c r="BB53" s="33">
        <v>38</v>
      </c>
      <c r="BC53" s="33">
        <v>59</v>
      </c>
      <c r="BD53" s="33">
        <v>45</v>
      </c>
      <c r="BE53" s="33">
        <v>44</v>
      </c>
      <c r="BF53" s="33">
        <v>69</v>
      </c>
      <c r="BG53" s="33">
        <v>59</v>
      </c>
      <c r="BH53" s="33">
        <v>47</v>
      </c>
      <c r="BI53" s="33">
        <v>62</v>
      </c>
      <c r="BJ53" s="33">
        <v>48</v>
      </c>
      <c r="BK53" s="33">
        <v>38</v>
      </c>
      <c r="BL53" s="33">
        <v>86</v>
      </c>
      <c r="BM53" s="33">
        <v>68</v>
      </c>
      <c r="BN53" s="33">
        <v>70</v>
      </c>
      <c r="BO53" s="33">
        <v>82</v>
      </c>
      <c r="BP53" s="33">
        <v>121</v>
      </c>
      <c r="BQ53" s="33">
        <v>104</v>
      </c>
      <c r="BR53" s="33">
        <v>103</v>
      </c>
      <c r="BS53" s="33">
        <v>122</v>
      </c>
      <c r="BT53" s="33">
        <v>78</v>
      </c>
      <c r="BU53" s="33">
        <v>104</v>
      </c>
      <c r="BV53" s="33">
        <v>99</v>
      </c>
      <c r="BW53" s="33">
        <v>94</v>
      </c>
      <c r="BX53" s="33">
        <v>104</v>
      </c>
      <c r="BY53" s="33">
        <v>98</v>
      </c>
      <c r="BZ53" s="33">
        <v>107</v>
      </c>
      <c r="CA53" s="33">
        <v>90</v>
      </c>
      <c r="CB53" s="33">
        <v>118</v>
      </c>
      <c r="CC53" s="33">
        <v>107</v>
      </c>
      <c r="CD53" s="33">
        <v>108</v>
      </c>
    </row>
    <row r="54" spans="1:82" s="160" customFormat="1" ht="6.75" customHeight="1" x14ac:dyDescent="0.7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</row>
    <row r="55" spans="1:82" ht="14.25" customHeight="1" x14ac:dyDescent="0.6">
      <c r="A55" s="27"/>
      <c r="B55" s="28" t="s">
        <v>14</v>
      </c>
      <c r="C55" s="29">
        <v>100</v>
      </c>
      <c r="D55" s="29">
        <v>20</v>
      </c>
      <c r="E55" s="29">
        <v>15</v>
      </c>
      <c r="F55" s="29">
        <v>15</v>
      </c>
      <c r="G55" s="29">
        <v>13</v>
      </c>
      <c r="H55" s="29">
        <v>15</v>
      </c>
      <c r="I55" s="29">
        <v>14</v>
      </c>
      <c r="J55" s="29">
        <v>16</v>
      </c>
      <c r="K55" s="29">
        <v>18</v>
      </c>
      <c r="L55" s="29">
        <v>40</v>
      </c>
      <c r="M55" s="29">
        <v>34</v>
      </c>
      <c r="N55" s="29">
        <v>32</v>
      </c>
      <c r="O55" s="29">
        <v>28</v>
      </c>
      <c r="P55" s="29">
        <v>34</v>
      </c>
      <c r="Q55" s="29">
        <v>28</v>
      </c>
      <c r="R55" s="29">
        <v>30</v>
      </c>
      <c r="S55" s="29">
        <v>26</v>
      </c>
      <c r="T55" s="29">
        <v>39</v>
      </c>
      <c r="U55" s="29">
        <v>34</v>
      </c>
      <c r="V55" s="29">
        <v>32</v>
      </c>
      <c r="W55" s="29">
        <v>27</v>
      </c>
      <c r="X55" s="29">
        <v>34</v>
      </c>
      <c r="Y55" s="29">
        <v>30</v>
      </c>
      <c r="Z55" s="29">
        <v>30</v>
      </c>
      <c r="AA55" s="29">
        <v>27</v>
      </c>
      <c r="AB55" s="29">
        <v>35</v>
      </c>
      <c r="AC55" s="29">
        <v>31</v>
      </c>
      <c r="AD55" s="29">
        <v>31</v>
      </c>
      <c r="AE55" s="29">
        <v>28</v>
      </c>
      <c r="AF55" s="29">
        <v>33</v>
      </c>
      <c r="AG55" s="29">
        <v>30</v>
      </c>
      <c r="AH55" s="29">
        <v>31</v>
      </c>
      <c r="AI55" s="29">
        <v>30</v>
      </c>
      <c r="AJ55" s="29">
        <v>29</v>
      </c>
      <c r="AK55" s="29">
        <v>30</v>
      </c>
      <c r="AL55" s="29">
        <v>28</v>
      </c>
      <c r="AM55" s="29">
        <v>29</v>
      </c>
      <c r="AN55" s="29">
        <v>27</v>
      </c>
      <c r="AO55" s="29">
        <v>29</v>
      </c>
      <c r="AP55" s="29">
        <v>27</v>
      </c>
      <c r="AQ55" s="29">
        <v>25</v>
      </c>
      <c r="AR55" s="29">
        <v>29</v>
      </c>
      <c r="AS55" s="29">
        <v>29</v>
      </c>
      <c r="AT55" s="29">
        <v>28</v>
      </c>
      <c r="AU55" s="29">
        <v>29</v>
      </c>
      <c r="AV55" s="29">
        <v>29</v>
      </c>
      <c r="AW55" s="29">
        <v>30</v>
      </c>
      <c r="AX55" s="29">
        <v>29</v>
      </c>
      <c r="AY55" s="29">
        <v>29</v>
      </c>
      <c r="AZ55" s="29">
        <v>13</v>
      </c>
      <c r="BA55" s="29">
        <v>10</v>
      </c>
      <c r="BB55" s="29">
        <v>8</v>
      </c>
      <c r="BC55" s="29">
        <v>13</v>
      </c>
      <c r="BD55" s="29">
        <v>12</v>
      </c>
      <c r="BE55" s="29">
        <v>13</v>
      </c>
      <c r="BF55" s="29">
        <v>12</v>
      </c>
      <c r="BG55" s="29">
        <v>10</v>
      </c>
      <c r="BH55" s="29">
        <v>16</v>
      </c>
      <c r="BI55" s="29">
        <v>19</v>
      </c>
      <c r="BJ55" s="29">
        <v>16</v>
      </c>
      <c r="BK55" s="29">
        <v>15</v>
      </c>
      <c r="BL55" s="29">
        <v>69</v>
      </c>
      <c r="BM55" s="29">
        <v>68</v>
      </c>
      <c r="BN55" s="29">
        <v>69</v>
      </c>
      <c r="BO55" s="29">
        <v>74</v>
      </c>
      <c r="BP55" s="29">
        <v>90</v>
      </c>
      <c r="BQ55" s="29">
        <v>92</v>
      </c>
      <c r="BR55" s="29">
        <v>90</v>
      </c>
      <c r="BS55" s="29">
        <v>96</v>
      </c>
      <c r="BT55" s="29">
        <v>88</v>
      </c>
      <c r="BU55" s="29">
        <v>95</v>
      </c>
      <c r="BV55" s="29">
        <v>94</v>
      </c>
      <c r="BW55" s="29">
        <v>96</v>
      </c>
      <c r="BX55" s="29">
        <v>97</v>
      </c>
      <c r="BY55" s="29">
        <v>103</v>
      </c>
      <c r="BZ55" s="29">
        <v>100</v>
      </c>
      <c r="CA55" s="29">
        <v>100</v>
      </c>
      <c r="CB55" s="29">
        <v>107</v>
      </c>
      <c r="CC55" s="29">
        <v>127</v>
      </c>
      <c r="CD55" s="29">
        <v>99</v>
      </c>
    </row>
    <row r="56" spans="1:82" ht="14.25" customHeight="1" x14ac:dyDescent="0.6">
      <c r="A56" s="35"/>
      <c r="B56" s="36" t="s">
        <v>153</v>
      </c>
      <c r="C56" s="37">
        <v>100</v>
      </c>
      <c r="D56" s="37">
        <v>34</v>
      </c>
      <c r="E56" s="37">
        <v>40</v>
      </c>
      <c r="F56" s="37">
        <v>43</v>
      </c>
      <c r="G56" s="37">
        <v>43</v>
      </c>
      <c r="H56" s="37">
        <v>38</v>
      </c>
      <c r="I56" s="37">
        <v>40</v>
      </c>
      <c r="J56" s="37">
        <v>46</v>
      </c>
      <c r="K56" s="37">
        <v>44</v>
      </c>
      <c r="L56" s="37">
        <v>41</v>
      </c>
      <c r="M56" s="37">
        <v>47</v>
      </c>
      <c r="N56" s="37">
        <v>56</v>
      </c>
      <c r="O56" s="37">
        <v>57</v>
      </c>
      <c r="P56" s="37">
        <v>49</v>
      </c>
      <c r="Q56" s="37">
        <v>50</v>
      </c>
      <c r="R56" s="37">
        <v>58</v>
      </c>
      <c r="S56" s="37">
        <v>59</v>
      </c>
      <c r="T56" s="37">
        <v>51</v>
      </c>
      <c r="U56" s="37">
        <v>53</v>
      </c>
      <c r="V56" s="37">
        <v>60</v>
      </c>
      <c r="W56" s="37">
        <v>63</v>
      </c>
      <c r="X56" s="37">
        <v>54</v>
      </c>
      <c r="Y56" s="37">
        <v>61</v>
      </c>
      <c r="Z56" s="37">
        <v>69</v>
      </c>
      <c r="AA56" s="37">
        <v>66</v>
      </c>
      <c r="AB56" s="37">
        <v>58</v>
      </c>
      <c r="AC56" s="37">
        <v>59</v>
      </c>
      <c r="AD56" s="37">
        <v>65</v>
      </c>
      <c r="AE56" s="37">
        <v>67</v>
      </c>
      <c r="AF56" s="37">
        <v>62</v>
      </c>
      <c r="AG56" s="37">
        <v>65</v>
      </c>
      <c r="AH56" s="37">
        <v>63</v>
      </c>
      <c r="AI56" s="37">
        <v>63</v>
      </c>
      <c r="AJ56" s="37">
        <v>65</v>
      </c>
      <c r="AK56" s="37">
        <v>67</v>
      </c>
      <c r="AL56" s="37">
        <v>70</v>
      </c>
      <c r="AM56" s="37">
        <v>68</v>
      </c>
      <c r="AN56" s="37">
        <v>66</v>
      </c>
      <c r="AO56" s="37">
        <v>65</v>
      </c>
      <c r="AP56" s="37">
        <v>68</v>
      </c>
      <c r="AQ56" s="37">
        <v>66</v>
      </c>
      <c r="AR56" s="37">
        <v>72</v>
      </c>
      <c r="AS56" s="37">
        <v>75</v>
      </c>
      <c r="AT56" s="37">
        <v>78</v>
      </c>
      <c r="AU56" s="37">
        <v>79</v>
      </c>
      <c r="AV56" s="37">
        <v>77</v>
      </c>
      <c r="AW56" s="37">
        <v>80</v>
      </c>
      <c r="AX56" s="37">
        <v>81</v>
      </c>
      <c r="AY56" s="37">
        <v>82</v>
      </c>
      <c r="AZ56" s="37">
        <v>81</v>
      </c>
      <c r="BA56" s="37">
        <v>83</v>
      </c>
      <c r="BB56" s="37">
        <v>84</v>
      </c>
      <c r="BC56" s="37">
        <v>82</v>
      </c>
      <c r="BD56" s="37">
        <v>81</v>
      </c>
      <c r="BE56" s="37">
        <v>80</v>
      </c>
      <c r="BF56" s="37">
        <v>78</v>
      </c>
      <c r="BG56" s="37">
        <v>80</v>
      </c>
      <c r="BH56" s="37">
        <v>77</v>
      </c>
      <c r="BI56" s="37">
        <v>74</v>
      </c>
      <c r="BJ56" s="37">
        <v>77</v>
      </c>
      <c r="BK56" s="37">
        <v>84</v>
      </c>
      <c r="BL56" s="37">
        <v>86</v>
      </c>
      <c r="BM56" s="37">
        <v>89</v>
      </c>
      <c r="BN56" s="37">
        <v>89</v>
      </c>
      <c r="BO56" s="37">
        <v>89</v>
      </c>
      <c r="BP56" s="37">
        <v>79</v>
      </c>
      <c r="BQ56" s="37">
        <v>80</v>
      </c>
      <c r="BR56" s="37">
        <v>80</v>
      </c>
      <c r="BS56" s="37">
        <v>84</v>
      </c>
      <c r="BT56" s="37">
        <v>86</v>
      </c>
      <c r="BU56" s="37">
        <v>84</v>
      </c>
      <c r="BV56" s="37">
        <v>90</v>
      </c>
      <c r="BW56" s="37">
        <v>92</v>
      </c>
      <c r="BX56" s="37">
        <v>92</v>
      </c>
      <c r="BY56" s="37">
        <v>97</v>
      </c>
      <c r="BZ56" s="37">
        <v>101</v>
      </c>
      <c r="CA56" s="37">
        <v>108</v>
      </c>
      <c r="CB56" s="37">
        <v>104</v>
      </c>
      <c r="CC56" s="37">
        <v>99</v>
      </c>
      <c r="CD56" s="37">
        <v>107</v>
      </c>
    </row>
    <row r="57" spans="1:82" ht="13.5" customHeight="1" x14ac:dyDescent="0.6">
      <c r="A57" s="27"/>
      <c r="B57" s="34" t="s">
        <v>154</v>
      </c>
      <c r="C57" s="33">
        <v>100</v>
      </c>
      <c r="D57" s="33">
        <v>42</v>
      </c>
      <c r="E57" s="33">
        <v>55</v>
      </c>
      <c r="F57" s="33">
        <v>62</v>
      </c>
      <c r="G57" s="33">
        <v>64</v>
      </c>
      <c r="H57" s="33">
        <v>48</v>
      </c>
      <c r="I57" s="33">
        <v>56</v>
      </c>
      <c r="J57" s="33">
        <v>72</v>
      </c>
      <c r="K57" s="33">
        <v>63</v>
      </c>
      <c r="L57" s="33">
        <v>54</v>
      </c>
      <c r="M57" s="33">
        <v>68</v>
      </c>
      <c r="N57" s="33">
        <v>85</v>
      </c>
      <c r="O57" s="33">
        <v>85</v>
      </c>
      <c r="P57" s="33">
        <v>67</v>
      </c>
      <c r="Q57" s="33">
        <v>63</v>
      </c>
      <c r="R57" s="33">
        <v>86</v>
      </c>
      <c r="S57" s="33">
        <v>89</v>
      </c>
      <c r="T57" s="33">
        <v>70</v>
      </c>
      <c r="U57" s="33">
        <v>70</v>
      </c>
      <c r="V57" s="33">
        <v>88</v>
      </c>
      <c r="W57" s="33">
        <v>98</v>
      </c>
      <c r="X57" s="33">
        <v>72</v>
      </c>
      <c r="Y57" s="33">
        <v>89</v>
      </c>
      <c r="Z57" s="33">
        <v>100</v>
      </c>
      <c r="AA57" s="33">
        <v>95</v>
      </c>
      <c r="AB57" s="33">
        <v>73</v>
      </c>
      <c r="AC57" s="33">
        <v>76</v>
      </c>
      <c r="AD57" s="33">
        <v>87</v>
      </c>
      <c r="AE57" s="33">
        <v>92</v>
      </c>
      <c r="AF57" s="33">
        <v>81</v>
      </c>
      <c r="AG57" s="33">
        <v>84</v>
      </c>
      <c r="AH57" s="33">
        <v>81</v>
      </c>
      <c r="AI57" s="33">
        <v>82</v>
      </c>
      <c r="AJ57" s="33">
        <v>86</v>
      </c>
      <c r="AK57" s="33">
        <v>92</v>
      </c>
      <c r="AL57" s="33">
        <v>97</v>
      </c>
      <c r="AM57" s="33">
        <v>94</v>
      </c>
      <c r="AN57" s="33">
        <v>90</v>
      </c>
      <c r="AO57" s="33">
        <v>86</v>
      </c>
      <c r="AP57" s="33">
        <v>92</v>
      </c>
      <c r="AQ57" s="33">
        <v>87</v>
      </c>
      <c r="AR57" s="33">
        <v>72</v>
      </c>
      <c r="AS57" s="33">
        <v>76</v>
      </c>
      <c r="AT57" s="33">
        <v>83</v>
      </c>
      <c r="AU57" s="33">
        <v>80</v>
      </c>
      <c r="AV57" s="33">
        <v>78</v>
      </c>
      <c r="AW57" s="33">
        <v>82</v>
      </c>
      <c r="AX57" s="33">
        <v>86</v>
      </c>
      <c r="AY57" s="33">
        <v>87</v>
      </c>
      <c r="AZ57" s="33">
        <v>78</v>
      </c>
      <c r="BA57" s="33">
        <v>79</v>
      </c>
      <c r="BB57" s="33">
        <v>79</v>
      </c>
      <c r="BC57" s="33">
        <v>77</v>
      </c>
      <c r="BD57" s="33">
        <v>76</v>
      </c>
      <c r="BE57" s="33">
        <v>74</v>
      </c>
      <c r="BF57" s="33">
        <v>70</v>
      </c>
      <c r="BG57" s="33">
        <v>72</v>
      </c>
      <c r="BH57" s="33">
        <v>70</v>
      </c>
      <c r="BI57" s="33">
        <v>71</v>
      </c>
      <c r="BJ57" s="33">
        <v>74</v>
      </c>
      <c r="BK57" s="33">
        <v>82</v>
      </c>
      <c r="BL57" s="33">
        <v>94</v>
      </c>
      <c r="BM57" s="33">
        <v>96</v>
      </c>
      <c r="BN57" s="33">
        <v>95</v>
      </c>
      <c r="BO57" s="33">
        <v>95</v>
      </c>
      <c r="BP57" s="33">
        <v>79</v>
      </c>
      <c r="BQ57" s="33">
        <v>78</v>
      </c>
      <c r="BR57" s="33">
        <v>77</v>
      </c>
      <c r="BS57" s="33">
        <v>81</v>
      </c>
      <c r="BT57" s="33">
        <v>84</v>
      </c>
      <c r="BU57" s="33">
        <v>81</v>
      </c>
      <c r="BV57" s="33">
        <v>86</v>
      </c>
      <c r="BW57" s="33">
        <v>90</v>
      </c>
      <c r="BX57" s="33">
        <v>91</v>
      </c>
      <c r="BY57" s="33">
        <v>96</v>
      </c>
      <c r="BZ57" s="33">
        <v>102</v>
      </c>
      <c r="CA57" s="33">
        <v>109</v>
      </c>
      <c r="CB57" s="33">
        <v>104</v>
      </c>
      <c r="CC57" s="33">
        <v>95</v>
      </c>
      <c r="CD57" s="33">
        <v>106</v>
      </c>
    </row>
    <row r="58" spans="1:82" ht="13.5" customHeight="1" x14ac:dyDescent="0.6">
      <c r="A58" s="27"/>
      <c r="B58" s="34" t="s">
        <v>155</v>
      </c>
      <c r="C58" s="33">
        <v>100</v>
      </c>
      <c r="D58" s="33">
        <v>28</v>
      </c>
      <c r="E58" s="33">
        <v>29</v>
      </c>
      <c r="F58" s="33">
        <v>30</v>
      </c>
      <c r="G58" s="33">
        <v>30</v>
      </c>
      <c r="H58" s="33">
        <v>31</v>
      </c>
      <c r="I58" s="33">
        <v>31</v>
      </c>
      <c r="J58" s="33">
        <v>31</v>
      </c>
      <c r="K58" s="33">
        <v>32</v>
      </c>
      <c r="L58" s="33">
        <v>32</v>
      </c>
      <c r="M58" s="33">
        <v>34</v>
      </c>
      <c r="N58" s="33">
        <v>36</v>
      </c>
      <c r="O58" s="33">
        <v>38</v>
      </c>
      <c r="P58" s="33">
        <v>38</v>
      </c>
      <c r="Q58" s="33">
        <v>39</v>
      </c>
      <c r="R58" s="33">
        <v>40</v>
      </c>
      <c r="S58" s="33">
        <v>41</v>
      </c>
      <c r="T58" s="33">
        <v>41</v>
      </c>
      <c r="U58" s="33">
        <v>41</v>
      </c>
      <c r="V58" s="33">
        <v>41</v>
      </c>
      <c r="W58" s="33">
        <v>42</v>
      </c>
      <c r="X58" s="33">
        <v>42</v>
      </c>
      <c r="Y58" s="33">
        <v>43</v>
      </c>
      <c r="Z58" s="33">
        <v>44</v>
      </c>
      <c r="AA58" s="33">
        <v>44</v>
      </c>
      <c r="AB58" s="33">
        <v>45</v>
      </c>
      <c r="AC58" s="33">
        <v>46</v>
      </c>
      <c r="AD58" s="33">
        <v>47</v>
      </c>
      <c r="AE58" s="33">
        <v>46</v>
      </c>
      <c r="AF58" s="33">
        <v>47</v>
      </c>
      <c r="AG58" s="33">
        <v>48</v>
      </c>
      <c r="AH58" s="33">
        <v>49</v>
      </c>
      <c r="AI58" s="33">
        <v>49</v>
      </c>
      <c r="AJ58" s="33">
        <v>49</v>
      </c>
      <c r="AK58" s="33">
        <v>49</v>
      </c>
      <c r="AL58" s="33">
        <v>49</v>
      </c>
      <c r="AM58" s="33">
        <v>49</v>
      </c>
      <c r="AN58" s="33">
        <v>49</v>
      </c>
      <c r="AO58" s="33">
        <v>50</v>
      </c>
      <c r="AP58" s="33">
        <v>51</v>
      </c>
      <c r="AQ58" s="33">
        <v>51</v>
      </c>
      <c r="AR58" s="33">
        <v>68</v>
      </c>
      <c r="AS58" s="33">
        <v>70</v>
      </c>
      <c r="AT58" s="33">
        <v>71</v>
      </c>
      <c r="AU58" s="33">
        <v>73</v>
      </c>
      <c r="AV58" s="33">
        <v>73</v>
      </c>
      <c r="AW58" s="33">
        <v>74</v>
      </c>
      <c r="AX58" s="33">
        <v>74</v>
      </c>
      <c r="AY58" s="33">
        <v>74</v>
      </c>
      <c r="AZ58" s="33">
        <v>82</v>
      </c>
      <c r="BA58" s="33">
        <v>84</v>
      </c>
      <c r="BB58" s="33">
        <v>84</v>
      </c>
      <c r="BC58" s="33">
        <v>83</v>
      </c>
      <c r="BD58" s="33">
        <v>83</v>
      </c>
      <c r="BE58" s="33">
        <v>85</v>
      </c>
      <c r="BF58" s="33">
        <v>85</v>
      </c>
      <c r="BG58" s="33">
        <v>88</v>
      </c>
      <c r="BH58" s="33">
        <v>90</v>
      </c>
      <c r="BI58" s="33">
        <v>91</v>
      </c>
      <c r="BJ58" s="33">
        <v>93</v>
      </c>
      <c r="BK58" s="33">
        <v>92</v>
      </c>
      <c r="BL58" s="33">
        <v>74</v>
      </c>
      <c r="BM58" s="33">
        <v>74</v>
      </c>
      <c r="BN58" s="33">
        <v>74</v>
      </c>
      <c r="BO58" s="33">
        <v>75</v>
      </c>
      <c r="BP58" s="33">
        <v>78</v>
      </c>
      <c r="BQ58" s="33">
        <v>83</v>
      </c>
      <c r="BR58" s="33">
        <v>87</v>
      </c>
      <c r="BS58" s="33">
        <v>91</v>
      </c>
      <c r="BT58" s="33">
        <v>94</v>
      </c>
      <c r="BU58" s="33">
        <v>96</v>
      </c>
      <c r="BV58" s="33">
        <v>98</v>
      </c>
      <c r="BW58" s="33">
        <v>99</v>
      </c>
      <c r="BX58" s="33">
        <v>97</v>
      </c>
      <c r="BY58" s="33">
        <v>100</v>
      </c>
      <c r="BZ58" s="33">
        <v>100</v>
      </c>
      <c r="CA58" s="33">
        <v>103</v>
      </c>
      <c r="CB58" s="33">
        <v>105</v>
      </c>
      <c r="CC58" s="33">
        <v>108</v>
      </c>
      <c r="CD58" s="33">
        <v>109</v>
      </c>
    </row>
    <row r="59" spans="1:82" ht="14.25" customHeight="1" x14ac:dyDescent="0.6">
      <c r="A59" s="35"/>
      <c r="B59" s="36" t="s">
        <v>156</v>
      </c>
      <c r="C59" s="37">
        <v>100</v>
      </c>
      <c r="D59" s="37">
        <v>26</v>
      </c>
      <c r="E59" s="37">
        <v>24</v>
      </c>
      <c r="F59" s="37">
        <v>25</v>
      </c>
      <c r="G59" s="37">
        <v>23</v>
      </c>
      <c r="H59" s="37">
        <v>25</v>
      </c>
      <c r="I59" s="37">
        <v>25</v>
      </c>
      <c r="J59" s="37">
        <v>28</v>
      </c>
      <c r="K59" s="37">
        <v>28</v>
      </c>
      <c r="L59" s="37">
        <v>40</v>
      </c>
      <c r="M59" s="37">
        <v>40</v>
      </c>
      <c r="N59" s="37">
        <v>43</v>
      </c>
      <c r="O59" s="37">
        <v>40</v>
      </c>
      <c r="P59" s="37">
        <v>42</v>
      </c>
      <c r="Q59" s="37">
        <v>37</v>
      </c>
      <c r="R59" s="37">
        <v>42</v>
      </c>
      <c r="S59" s="37">
        <v>39</v>
      </c>
      <c r="T59" s="37">
        <v>46</v>
      </c>
      <c r="U59" s="37">
        <v>43</v>
      </c>
      <c r="V59" s="37">
        <v>44</v>
      </c>
      <c r="W59" s="37">
        <v>41</v>
      </c>
      <c r="X59" s="37">
        <v>43</v>
      </c>
      <c r="Y59" s="37">
        <v>43</v>
      </c>
      <c r="Z59" s="37">
        <v>45</v>
      </c>
      <c r="AA59" s="37">
        <v>42</v>
      </c>
      <c r="AB59" s="37">
        <v>45</v>
      </c>
      <c r="AC59" s="37">
        <v>43</v>
      </c>
      <c r="AD59" s="37">
        <v>45</v>
      </c>
      <c r="AE59" s="37">
        <v>43</v>
      </c>
      <c r="AF59" s="37">
        <v>45</v>
      </c>
      <c r="AG59" s="37">
        <v>44</v>
      </c>
      <c r="AH59" s="37">
        <v>44</v>
      </c>
      <c r="AI59" s="37">
        <v>43</v>
      </c>
      <c r="AJ59" s="37">
        <v>43</v>
      </c>
      <c r="AK59" s="37">
        <v>45</v>
      </c>
      <c r="AL59" s="37">
        <v>44</v>
      </c>
      <c r="AM59" s="37">
        <v>44</v>
      </c>
      <c r="AN59" s="37">
        <v>42</v>
      </c>
      <c r="AO59" s="37">
        <v>43</v>
      </c>
      <c r="AP59" s="37">
        <v>42</v>
      </c>
      <c r="AQ59" s="37">
        <v>40</v>
      </c>
      <c r="AR59" s="37">
        <v>45</v>
      </c>
      <c r="AS59" s="37">
        <v>46</v>
      </c>
      <c r="AT59" s="37">
        <v>46</v>
      </c>
      <c r="AU59" s="37">
        <v>47</v>
      </c>
      <c r="AV59" s="37">
        <v>47</v>
      </c>
      <c r="AW59" s="37">
        <v>48</v>
      </c>
      <c r="AX59" s="37">
        <v>48</v>
      </c>
      <c r="AY59" s="37">
        <v>48</v>
      </c>
      <c r="AZ59" s="37">
        <v>37</v>
      </c>
      <c r="BA59" s="37">
        <v>38</v>
      </c>
      <c r="BB59" s="37">
        <v>38</v>
      </c>
      <c r="BC59" s="37">
        <v>38</v>
      </c>
      <c r="BD59" s="37">
        <v>37</v>
      </c>
      <c r="BE59" s="37">
        <v>37</v>
      </c>
      <c r="BF59" s="37">
        <v>37</v>
      </c>
      <c r="BG59" s="37">
        <v>37</v>
      </c>
      <c r="BH59" s="37">
        <v>37</v>
      </c>
      <c r="BI59" s="37">
        <v>39</v>
      </c>
      <c r="BJ59" s="37">
        <v>40</v>
      </c>
      <c r="BK59" s="37">
        <v>39</v>
      </c>
      <c r="BL59" s="37">
        <v>75</v>
      </c>
      <c r="BM59" s="37">
        <v>76</v>
      </c>
      <c r="BN59" s="37">
        <v>75</v>
      </c>
      <c r="BO59" s="37">
        <v>81</v>
      </c>
      <c r="BP59" s="37">
        <v>83</v>
      </c>
      <c r="BQ59" s="37">
        <v>85</v>
      </c>
      <c r="BR59" s="37">
        <v>84</v>
      </c>
      <c r="BS59" s="37">
        <v>88</v>
      </c>
      <c r="BT59" s="37">
        <v>87</v>
      </c>
      <c r="BU59" s="37">
        <v>89</v>
      </c>
      <c r="BV59" s="37">
        <v>92</v>
      </c>
      <c r="BW59" s="37">
        <v>94</v>
      </c>
      <c r="BX59" s="37">
        <v>94</v>
      </c>
      <c r="BY59" s="37">
        <v>99</v>
      </c>
      <c r="BZ59" s="37">
        <v>101</v>
      </c>
      <c r="CA59" s="37">
        <v>105</v>
      </c>
      <c r="CB59" s="37">
        <v>105</v>
      </c>
      <c r="CC59" s="37">
        <v>109</v>
      </c>
      <c r="CD59" s="37">
        <v>104</v>
      </c>
    </row>
    <row r="60" spans="1:82" ht="13.5" customHeight="1" x14ac:dyDescent="0.6">
      <c r="A60" s="27"/>
      <c r="B60" s="34" t="s">
        <v>154</v>
      </c>
      <c r="C60" s="33">
        <v>100</v>
      </c>
      <c r="D60" s="33">
        <v>30</v>
      </c>
      <c r="E60" s="33">
        <v>27</v>
      </c>
      <c r="F60" s="33">
        <v>28</v>
      </c>
      <c r="G60" s="33">
        <v>26</v>
      </c>
      <c r="H60" s="33">
        <v>28</v>
      </c>
      <c r="I60" s="33">
        <v>27</v>
      </c>
      <c r="J60" s="33">
        <v>30</v>
      </c>
      <c r="K60" s="33">
        <v>30</v>
      </c>
      <c r="L60" s="33">
        <v>36</v>
      </c>
      <c r="M60" s="33">
        <v>37</v>
      </c>
      <c r="N60" s="33">
        <v>40</v>
      </c>
      <c r="O60" s="33">
        <v>37</v>
      </c>
      <c r="P60" s="33">
        <v>41</v>
      </c>
      <c r="Q60" s="33">
        <v>37</v>
      </c>
      <c r="R60" s="33">
        <v>41</v>
      </c>
      <c r="S60" s="33">
        <v>38</v>
      </c>
      <c r="T60" s="33">
        <v>46</v>
      </c>
      <c r="U60" s="33">
        <v>42</v>
      </c>
      <c r="V60" s="33">
        <v>43</v>
      </c>
      <c r="W60" s="33">
        <v>40</v>
      </c>
      <c r="X60" s="33">
        <v>42</v>
      </c>
      <c r="Y60" s="33">
        <v>42</v>
      </c>
      <c r="Z60" s="33">
        <v>44</v>
      </c>
      <c r="AA60" s="33">
        <v>40</v>
      </c>
      <c r="AB60" s="33">
        <v>45</v>
      </c>
      <c r="AC60" s="33">
        <v>42</v>
      </c>
      <c r="AD60" s="33">
        <v>45</v>
      </c>
      <c r="AE60" s="33">
        <v>42</v>
      </c>
      <c r="AF60" s="33">
        <v>45</v>
      </c>
      <c r="AG60" s="33">
        <v>43</v>
      </c>
      <c r="AH60" s="33">
        <v>43</v>
      </c>
      <c r="AI60" s="33">
        <v>42</v>
      </c>
      <c r="AJ60" s="33">
        <v>42</v>
      </c>
      <c r="AK60" s="33">
        <v>43</v>
      </c>
      <c r="AL60" s="33">
        <v>43</v>
      </c>
      <c r="AM60" s="33">
        <v>43</v>
      </c>
      <c r="AN60" s="33">
        <v>39</v>
      </c>
      <c r="AO60" s="33">
        <v>41</v>
      </c>
      <c r="AP60" s="33">
        <v>41</v>
      </c>
      <c r="AQ60" s="33">
        <v>39</v>
      </c>
      <c r="AR60" s="33">
        <v>44</v>
      </c>
      <c r="AS60" s="33">
        <v>45</v>
      </c>
      <c r="AT60" s="33">
        <v>45</v>
      </c>
      <c r="AU60" s="33">
        <v>46</v>
      </c>
      <c r="AV60" s="33">
        <v>46</v>
      </c>
      <c r="AW60" s="33">
        <v>47</v>
      </c>
      <c r="AX60" s="33">
        <v>47</v>
      </c>
      <c r="AY60" s="33">
        <v>47</v>
      </c>
      <c r="AZ60" s="33">
        <v>35</v>
      </c>
      <c r="BA60" s="33">
        <v>35</v>
      </c>
      <c r="BB60" s="33">
        <v>35</v>
      </c>
      <c r="BC60" s="33">
        <v>35</v>
      </c>
      <c r="BD60" s="33">
        <v>34</v>
      </c>
      <c r="BE60" s="33">
        <v>35</v>
      </c>
      <c r="BF60" s="33">
        <v>35</v>
      </c>
      <c r="BG60" s="33">
        <v>35</v>
      </c>
      <c r="BH60" s="33">
        <v>35</v>
      </c>
      <c r="BI60" s="33">
        <v>37</v>
      </c>
      <c r="BJ60" s="33">
        <v>38</v>
      </c>
      <c r="BK60" s="33">
        <v>37</v>
      </c>
      <c r="BL60" s="33">
        <v>75</v>
      </c>
      <c r="BM60" s="33">
        <v>76</v>
      </c>
      <c r="BN60" s="33">
        <v>75</v>
      </c>
      <c r="BO60" s="33">
        <v>81</v>
      </c>
      <c r="BP60" s="33">
        <v>84</v>
      </c>
      <c r="BQ60" s="33">
        <v>85</v>
      </c>
      <c r="BR60" s="33">
        <v>84</v>
      </c>
      <c r="BS60" s="33">
        <v>89</v>
      </c>
      <c r="BT60" s="33">
        <v>87</v>
      </c>
      <c r="BU60" s="33">
        <v>89</v>
      </c>
      <c r="BV60" s="33">
        <v>92</v>
      </c>
      <c r="BW60" s="33">
        <v>94</v>
      </c>
      <c r="BX60" s="33">
        <v>94</v>
      </c>
      <c r="BY60" s="33">
        <v>99</v>
      </c>
      <c r="BZ60" s="33">
        <v>101</v>
      </c>
      <c r="CA60" s="33">
        <v>105</v>
      </c>
      <c r="CB60" s="33">
        <v>106</v>
      </c>
      <c r="CC60" s="33">
        <v>111</v>
      </c>
      <c r="CD60" s="33">
        <v>105</v>
      </c>
    </row>
    <row r="61" spans="1:82" ht="13.5" customHeight="1" thickBot="1" x14ac:dyDescent="0.75">
      <c r="A61" s="27"/>
      <c r="B61" s="38" t="s">
        <v>155</v>
      </c>
      <c r="C61" s="39">
        <v>100</v>
      </c>
      <c r="D61" s="39">
        <v>23</v>
      </c>
      <c r="E61" s="39">
        <v>21</v>
      </c>
      <c r="F61" s="39">
        <v>21</v>
      </c>
      <c r="G61" s="39">
        <v>20</v>
      </c>
      <c r="H61" s="39">
        <v>23</v>
      </c>
      <c r="I61" s="39">
        <v>23</v>
      </c>
      <c r="J61" s="39">
        <v>25</v>
      </c>
      <c r="K61" s="39">
        <v>25</v>
      </c>
      <c r="L61" s="39">
        <v>47</v>
      </c>
      <c r="M61" s="39">
        <v>49</v>
      </c>
      <c r="N61" s="39">
        <v>52</v>
      </c>
      <c r="O61" s="39">
        <v>50</v>
      </c>
      <c r="P61" s="39">
        <v>44</v>
      </c>
      <c r="Q61" s="39">
        <v>40</v>
      </c>
      <c r="R61" s="39">
        <v>44</v>
      </c>
      <c r="S61" s="39">
        <v>42</v>
      </c>
      <c r="T61" s="39">
        <v>50</v>
      </c>
      <c r="U61" s="39">
        <v>49</v>
      </c>
      <c r="V61" s="39">
        <v>49</v>
      </c>
      <c r="W61" s="39">
        <v>47</v>
      </c>
      <c r="X61" s="39">
        <v>51</v>
      </c>
      <c r="Y61" s="39">
        <v>48</v>
      </c>
      <c r="Z61" s="39">
        <v>50</v>
      </c>
      <c r="AA61" s="39">
        <v>49</v>
      </c>
      <c r="AB61" s="39">
        <v>51</v>
      </c>
      <c r="AC61" s="39">
        <v>49</v>
      </c>
      <c r="AD61" s="39">
        <v>49</v>
      </c>
      <c r="AE61" s="39">
        <v>49</v>
      </c>
      <c r="AF61" s="39">
        <v>51</v>
      </c>
      <c r="AG61" s="39">
        <v>50</v>
      </c>
      <c r="AH61" s="39">
        <v>50</v>
      </c>
      <c r="AI61" s="39">
        <v>50</v>
      </c>
      <c r="AJ61" s="39">
        <v>52</v>
      </c>
      <c r="AK61" s="39">
        <v>52</v>
      </c>
      <c r="AL61" s="39">
        <v>50</v>
      </c>
      <c r="AM61" s="39">
        <v>50</v>
      </c>
      <c r="AN61" s="39">
        <v>52</v>
      </c>
      <c r="AO61" s="39">
        <v>50</v>
      </c>
      <c r="AP61" s="39">
        <v>49</v>
      </c>
      <c r="AQ61" s="39">
        <v>47</v>
      </c>
      <c r="AR61" s="39">
        <v>51</v>
      </c>
      <c r="AS61" s="39">
        <v>52</v>
      </c>
      <c r="AT61" s="39">
        <v>52</v>
      </c>
      <c r="AU61" s="39">
        <v>53</v>
      </c>
      <c r="AV61" s="39">
        <v>53</v>
      </c>
      <c r="AW61" s="39">
        <v>54</v>
      </c>
      <c r="AX61" s="39">
        <v>54</v>
      </c>
      <c r="AY61" s="39">
        <v>55</v>
      </c>
      <c r="AZ61" s="39">
        <v>47</v>
      </c>
      <c r="BA61" s="39">
        <v>48</v>
      </c>
      <c r="BB61" s="39">
        <v>48</v>
      </c>
      <c r="BC61" s="39">
        <v>48</v>
      </c>
      <c r="BD61" s="39">
        <v>47</v>
      </c>
      <c r="BE61" s="39">
        <v>48</v>
      </c>
      <c r="BF61" s="39">
        <v>48</v>
      </c>
      <c r="BG61" s="39">
        <v>47</v>
      </c>
      <c r="BH61" s="39">
        <v>48</v>
      </c>
      <c r="BI61" s="39">
        <v>51</v>
      </c>
      <c r="BJ61" s="39">
        <v>52</v>
      </c>
      <c r="BK61" s="39">
        <v>51</v>
      </c>
      <c r="BL61" s="39">
        <v>75</v>
      </c>
      <c r="BM61" s="39">
        <v>75</v>
      </c>
      <c r="BN61" s="39">
        <v>74</v>
      </c>
      <c r="BO61" s="39">
        <v>80</v>
      </c>
      <c r="BP61" s="39">
        <v>82</v>
      </c>
      <c r="BQ61" s="39">
        <v>83</v>
      </c>
      <c r="BR61" s="39">
        <v>82</v>
      </c>
      <c r="BS61" s="39">
        <v>86</v>
      </c>
      <c r="BT61" s="39">
        <v>85</v>
      </c>
      <c r="BU61" s="39">
        <v>87</v>
      </c>
      <c r="BV61" s="39">
        <v>90</v>
      </c>
      <c r="BW61" s="39">
        <v>92</v>
      </c>
      <c r="BX61" s="39">
        <v>94</v>
      </c>
      <c r="BY61" s="39">
        <v>99</v>
      </c>
      <c r="BZ61" s="39">
        <v>101</v>
      </c>
      <c r="CA61" s="39">
        <v>105</v>
      </c>
      <c r="CB61" s="39">
        <v>103</v>
      </c>
      <c r="CC61" s="39">
        <v>102</v>
      </c>
      <c r="CD61" s="39">
        <v>102</v>
      </c>
    </row>
    <row r="62" spans="1:82" ht="12" customHeight="1" thickTop="1" x14ac:dyDescent="0.6">
      <c r="B62" s="41" t="s">
        <v>158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</row>
    <row r="63" spans="1:82" ht="12" customHeight="1" x14ac:dyDescent="0.6">
      <c r="B63" s="43">
        <v>46007</v>
      </c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</row>
    <row r="67" spans="70:82" x14ac:dyDescent="0.6">
      <c r="BX67" s="27"/>
      <c r="BY67" s="27"/>
      <c r="BZ67" s="27"/>
      <c r="CA67" s="27"/>
      <c r="CB67" s="27"/>
      <c r="CC67" s="27"/>
      <c r="CD67" s="27"/>
    </row>
    <row r="68" spans="70:82" x14ac:dyDescent="0.6">
      <c r="BX68" s="27"/>
      <c r="BY68" s="27"/>
      <c r="BZ68" s="27"/>
      <c r="CA68" s="27"/>
      <c r="CB68" s="27"/>
      <c r="CC68" s="27"/>
      <c r="CD68" s="27"/>
    </row>
    <row r="69" spans="70:82" x14ac:dyDescent="0.6">
      <c r="BX69" s="27"/>
      <c r="BY69" s="27"/>
      <c r="BZ69" s="27"/>
      <c r="CA69" s="27"/>
      <c r="CB69" s="27"/>
      <c r="CC69" s="27"/>
      <c r="CD69" s="27"/>
    </row>
    <row r="72" spans="70:82" x14ac:dyDescent="0.6">
      <c r="BR72" s="155"/>
      <c r="BS72" s="155"/>
      <c r="BT72" s="155"/>
      <c r="BU72" s="155"/>
      <c r="BV72" s="155"/>
      <c r="BW72" s="155"/>
      <c r="BX72" s="155"/>
      <c r="BY72" s="155"/>
      <c r="BZ72" s="155"/>
      <c r="CA72" s="155"/>
      <c r="CB72" s="155"/>
      <c r="CC72" s="155"/>
      <c r="CD72" s="155"/>
    </row>
    <row r="73" spans="70:82" x14ac:dyDescent="0.6">
      <c r="BR73" s="155"/>
      <c r="BS73" s="155"/>
      <c r="BT73" s="155"/>
      <c r="BU73" s="155"/>
      <c r="BV73" s="155"/>
      <c r="BW73" s="155"/>
      <c r="BX73" s="155"/>
      <c r="BY73" s="155"/>
      <c r="BZ73" s="155"/>
      <c r="CA73" s="155"/>
      <c r="CB73" s="155"/>
      <c r="CC73" s="155"/>
      <c r="CD73" s="155"/>
    </row>
  </sheetData>
  <conditionalFormatting sqref="C2:CD2 C24:CD24">
    <cfRule type="cellIs" dxfId="9" priority="1" operator="lessThan">
      <formula>0</formula>
    </cfRule>
  </conditionalFormatting>
  <pageMargins left="0.7" right="0.7" top="0.75" bottom="0.75" header="0.3" footer="0.3"/>
  <pageSetup paperSize="9" scale="61" orientation="landscape" horizontalDpi="4294967293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F6052-DA8D-402C-B009-0366692792C3}">
  <sheetPr codeName="Sheet9">
    <pageSetUpPr fitToPage="1"/>
  </sheetPr>
  <dimension ref="A3:CJ47"/>
  <sheetViews>
    <sheetView showGridLines="0" zoomScaleNormal="100" zoomScaleSheetLayoutView="71" workbookViewId="0">
      <pane xSplit="3" ySplit="6" topLeftCell="BL22" activePane="bottomRight" state="frozen"/>
      <selection activeCell="BS11" sqref="BS11"/>
      <selection pane="topRight" activeCell="BS11" sqref="BS11"/>
      <selection pane="bottomLeft" activeCell="BS11" sqref="BS11"/>
      <selection pane="bottomRight" activeCell="A9" sqref="A9:XFD9"/>
    </sheetView>
  </sheetViews>
  <sheetFormatPr defaultColWidth="9.1328125" defaultRowHeight="13" x14ac:dyDescent="0.6"/>
  <cols>
    <col min="1" max="1" width="2.86328125" style="152" customWidth="1"/>
    <col min="2" max="2" width="31.7265625" style="164" customWidth="1"/>
    <col min="3" max="3" width="7.86328125" style="152" customWidth="1"/>
    <col min="4" max="63" width="8.40625" style="152" hidden="1" customWidth="1"/>
    <col min="64" max="64" width="8.40625" style="152" customWidth="1"/>
    <col min="65" max="65" width="8.7265625" style="152" bestFit="1" customWidth="1"/>
    <col min="66" max="80" width="8.40625" style="152" customWidth="1"/>
    <col min="81" max="82" width="8.7265625" style="152" bestFit="1" customWidth="1"/>
    <col min="83" max="16384" width="9.1328125" style="152"/>
  </cols>
  <sheetData>
    <row r="3" spans="1:82" ht="15" customHeight="1" x14ac:dyDescent="0.7">
      <c r="B3" s="50" t="s">
        <v>160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</row>
    <row r="4" spans="1:82" ht="15" customHeight="1" x14ac:dyDescent="0.75">
      <c r="B4" s="52" t="s">
        <v>114</v>
      </c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165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5"/>
      <c r="BO4" s="165"/>
      <c r="BP4" s="165"/>
      <c r="BQ4" s="165"/>
      <c r="BR4" s="165"/>
      <c r="BS4" s="165"/>
      <c r="BT4" s="165"/>
      <c r="BU4" s="165"/>
      <c r="BV4" s="165"/>
      <c r="BW4" s="165"/>
      <c r="BX4" s="165"/>
      <c r="BY4" s="165"/>
      <c r="BZ4" s="165"/>
      <c r="CA4" s="165"/>
      <c r="CB4" s="165"/>
      <c r="CC4" s="165"/>
      <c r="CD4" s="165"/>
    </row>
    <row r="5" spans="1:82" ht="15" customHeight="1" thickBot="1" x14ac:dyDescent="0.85">
      <c r="B5" s="50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5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165"/>
      <c r="AZ5" s="165"/>
      <c r="BA5" s="165"/>
      <c r="BB5" s="165"/>
      <c r="BC5" s="165"/>
      <c r="BD5" s="165"/>
      <c r="BE5" s="165"/>
      <c r="BF5" s="165"/>
      <c r="BG5" s="165"/>
      <c r="BH5" s="165"/>
      <c r="BI5" s="165"/>
      <c r="BJ5" s="165"/>
      <c r="BK5" s="165"/>
      <c r="BL5" s="165"/>
      <c r="BM5" s="165"/>
      <c r="BN5" s="165"/>
      <c r="BO5" s="165"/>
      <c r="BP5" s="165"/>
      <c r="BQ5" s="165"/>
      <c r="BR5" s="165"/>
      <c r="BS5" s="165"/>
      <c r="BT5" s="165"/>
      <c r="BU5" s="165"/>
      <c r="BV5" s="165"/>
      <c r="BW5" s="165"/>
      <c r="BX5" s="165"/>
      <c r="BY5" s="165"/>
      <c r="BZ5" s="165"/>
      <c r="CA5" s="165"/>
      <c r="CB5" s="165"/>
      <c r="CC5" s="165"/>
      <c r="CD5" s="165"/>
    </row>
    <row r="6" spans="1:82" ht="15.75" customHeight="1" thickTop="1" thickBot="1" x14ac:dyDescent="0.75">
      <c r="B6" s="53"/>
      <c r="C6" s="54"/>
      <c r="D6" s="54" t="s">
        <v>34</v>
      </c>
      <c r="E6" s="54" t="s">
        <v>35</v>
      </c>
      <c r="F6" s="54" t="s">
        <v>36</v>
      </c>
      <c r="G6" s="54" t="s">
        <v>37</v>
      </c>
      <c r="H6" s="54" t="s">
        <v>38</v>
      </c>
      <c r="I6" s="54" t="s">
        <v>39</v>
      </c>
      <c r="J6" s="54" t="s">
        <v>40</v>
      </c>
      <c r="K6" s="54" t="s">
        <v>41</v>
      </c>
      <c r="L6" s="54" t="s">
        <v>42</v>
      </c>
      <c r="M6" s="54" t="s">
        <v>43</v>
      </c>
      <c r="N6" s="54" t="s">
        <v>44</v>
      </c>
      <c r="O6" s="54" t="s">
        <v>45</v>
      </c>
      <c r="P6" s="54" t="s">
        <v>46</v>
      </c>
      <c r="Q6" s="54" t="s">
        <v>47</v>
      </c>
      <c r="R6" s="54" t="s">
        <v>48</v>
      </c>
      <c r="S6" s="54" t="s">
        <v>49</v>
      </c>
      <c r="T6" s="54" t="s">
        <v>50</v>
      </c>
      <c r="U6" s="54" t="s">
        <v>51</v>
      </c>
      <c r="V6" s="54" t="s">
        <v>52</v>
      </c>
      <c r="W6" s="54" t="s">
        <v>53</v>
      </c>
      <c r="X6" s="54" t="s">
        <v>54</v>
      </c>
      <c r="Y6" s="54" t="s">
        <v>55</v>
      </c>
      <c r="Z6" s="54" t="s">
        <v>56</v>
      </c>
      <c r="AA6" s="54" t="s">
        <v>57</v>
      </c>
      <c r="AB6" s="54" t="s">
        <v>58</v>
      </c>
      <c r="AC6" s="54" t="s">
        <v>59</v>
      </c>
      <c r="AD6" s="54" t="s">
        <v>60</v>
      </c>
      <c r="AE6" s="54" t="s">
        <v>61</v>
      </c>
      <c r="AF6" s="54" t="s">
        <v>62</v>
      </c>
      <c r="AG6" s="54" t="s">
        <v>63</v>
      </c>
      <c r="AH6" s="54" t="s">
        <v>64</v>
      </c>
      <c r="AI6" s="54" t="s">
        <v>65</v>
      </c>
      <c r="AJ6" s="54" t="s">
        <v>66</v>
      </c>
      <c r="AK6" s="54" t="s">
        <v>67</v>
      </c>
      <c r="AL6" s="54" t="s">
        <v>68</v>
      </c>
      <c r="AM6" s="54" t="s">
        <v>69</v>
      </c>
      <c r="AN6" s="54" t="s">
        <v>70</v>
      </c>
      <c r="AO6" s="54" t="s">
        <v>71</v>
      </c>
      <c r="AP6" s="54" t="s">
        <v>72</v>
      </c>
      <c r="AQ6" s="54" t="s">
        <v>73</v>
      </c>
      <c r="AR6" s="54" t="s">
        <v>74</v>
      </c>
      <c r="AS6" s="54" t="s">
        <v>75</v>
      </c>
      <c r="AT6" s="54" t="s">
        <v>76</v>
      </c>
      <c r="AU6" s="54" t="s">
        <v>77</v>
      </c>
      <c r="AV6" s="54" t="s">
        <v>78</v>
      </c>
      <c r="AW6" s="54" t="s">
        <v>79</v>
      </c>
      <c r="AX6" s="54" t="s">
        <v>80</v>
      </c>
      <c r="AY6" s="54" t="s">
        <v>81</v>
      </c>
      <c r="AZ6" s="54" t="s">
        <v>82</v>
      </c>
      <c r="BA6" s="54" t="s">
        <v>83</v>
      </c>
      <c r="BB6" s="54" t="s">
        <v>84</v>
      </c>
      <c r="BC6" s="54" t="s">
        <v>85</v>
      </c>
      <c r="BD6" s="54" t="s">
        <v>86</v>
      </c>
      <c r="BE6" s="54" t="s">
        <v>87</v>
      </c>
      <c r="BF6" s="54" t="s">
        <v>88</v>
      </c>
      <c r="BG6" s="54" t="s">
        <v>89</v>
      </c>
      <c r="BH6" s="54" t="s">
        <v>90</v>
      </c>
      <c r="BI6" s="54" t="s">
        <v>91</v>
      </c>
      <c r="BJ6" s="54" t="s">
        <v>92</v>
      </c>
      <c r="BK6" s="54" t="s">
        <v>93</v>
      </c>
      <c r="BL6" s="54" t="s">
        <v>94</v>
      </c>
      <c r="BM6" s="54" t="s">
        <v>95</v>
      </c>
      <c r="BN6" s="54" t="s">
        <v>96</v>
      </c>
      <c r="BO6" s="54" t="s">
        <v>97</v>
      </c>
      <c r="BP6" s="54" t="s">
        <v>98</v>
      </c>
      <c r="BQ6" s="54" t="s">
        <v>99</v>
      </c>
      <c r="BR6" s="54" t="s">
        <v>100</v>
      </c>
      <c r="BS6" s="54" t="s">
        <v>101</v>
      </c>
      <c r="BT6" s="54" t="s">
        <v>102</v>
      </c>
      <c r="BU6" s="54" t="s">
        <v>103</v>
      </c>
      <c r="BV6" s="54" t="s">
        <v>104</v>
      </c>
      <c r="BW6" s="54" t="s">
        <v>105</v>
      </c>
      <c r="BX6" s="54" t="s">
        <v>106</v>
      </c>
      <c r="BY6" s="54" t="s">
        <v>107</v>
      </c>
      <c r="BZ6" s="54" t="s">
        <v>108</v>
      </c>
      <c r="CA6" s="54" t="s">
        <v>109</v>
      </c>
      <c r="CB6" s="54" t="s">
        <v>110</v>
      </c>
      <c r="CC6" s="54" t="s">
        <v>111</v>
      </c>
      <c r="CD6" s="54" t="s">
        <v>112</v>
      </c>
    </row>
    <row r="7" spans="1:82" ht="15" customHeight="1" thickTop="1" x14ac:dyDescent="0.7">
      <c r="B7" s="166" t="s">
        <v>161</v>
      </c>
      <c r="C7" s="55"/>
    </row>
    <row r="8" spans="1:82" ht="14.25" customHeight="1" x14ac:dyDescent="0.6">
      <c r="B8" s="56" t="s">
        <v>149</v>
      </c>
      <c r="C8" s="46"/>
      <c r="D8" s="46">
        <v>1</v>
      </c>
      <c r="E8" s="46">
        <v>1</v>
      </c>
      <c r="F8" s="46">
        <v>1</v>
      </c>
      <c r="G8" s="46">
        <v>1</v>
      </c>
      <c r="H8" s="46">
        <v>1</v>
      </c>
      <c r="I8" s="46">
        <v>1</v>
      </c>
      <c r="J8" s="46">
        <v>1</v>
      </c>
      <c r="K8" s="46">
        <v>1</v>
      </c>
      <c r="L8" s="46">
        <v>1</v>
      </c>
      <c r="M8" s="46">
        <v>1</v>
      </c>
      <c r="N8" s="46">
        <v>1</v>
      </c>
      <c r="O8" s="46">
        <v>1</v>
      </c>
      <c r="P8" s="46">
        <v>1</v>
      </c>
      <c r="Q8" s="46">
        <v>1</v>
      </c>
      <c r="R8" s="46">
        <v>1</v>
      </c>
      <c r="S8" s="46">
        <v>1</v>
      </c>
      <c r="T8" s="46">
        <v>1</v>
      </c>
      <c r="U8" s="46">
        <v>1</v>
      </c>
      <c r="V8" s="46">
        <v>1</v>
      </c>
      <c r="W8" s="46">
        <v>1</v>
      </c>
      <c r="X8" s="46">
        <v>1</v>
      </c>
      <c r="Y8" s="46">
        <v>1</v>
      </c>
      <c r="Z8" s="46">
        <v>1</v>
      </c>
      <c r="AA8" s="46">
        <v>1</v>
      </c>
      <c r="AB8" s="46">
        <v>1</v>
      </c>
      <c r="AC8" s="46">
        <v>1</v>
      </c>
      <c r="AD8" s="46">
        <v>1</v>
      </c>
      <c r="AE8" s="46">
        <v>1</v>
      </c>
      <c r="AF8" s="46">
        <v>1</v>
      </c>
      <c r="AG8" s="46">
        <v>1</v>
      </c>
      <c r="AH8" s="46">
        <v>1</v>
      </c>
      <c r="AI8" s="46">
        <v>1</v>
      </c>
      <c r="AJ8" s="46">
        <v>1</v>
      </c>
      <c r="AK8" s="46">
        <v>1</v>
      </c>
      <c r="AL8" s="46">
        <v>1</v>
      </c>
      <c r="AM8" s="46">
        <v>1</v>
      </c>
      <c r="AN8" s="46">
        <v>1</v>
      </c>
      <c r="AO8" s="46">
        <v>1</v>
      </c>
      <c r="AP8" s="46">
        <v>1</v>
      </c>
      <c r="AQ8" s="46">
        <v>1</v>
      </c>
      <c r="AR8" s="46">
        <v>1</v>
      </c>
      <c r="AS8" s="46">
        <v>1</v>
      </c>
      <c r="AT8" s="46">
        <v>1</v>
      </c>
      <c r="AU8" s="46">
        <v>1</v>
      </c>
      <c r="AV8" s="46">
        <v>1</v>
      </c>
      <c r="AW8" s="46">
        <v>1</v>
      </c>
      <c r="AX8" s="46">
        <v>1</v>
      </c>
      <c r="AY8" s="46">
        <v>1</v>
      </c>
      <c r="AZ8" s="46">
        <v>1</v>
      </c>
      <c r="BA8" s="46">
        <v>1</v>
      </c>
      <c r="BB8" s="46">
        <v>1</v>
      </c>
      <c r="BC8" s="46">
        <v>1</v>
      </c>
      <c r="BD8" s="46">
        <v>1</v>
      </c>
      <c r="BE8" s="46">
        <v>1</v>
      </c>
      <c r="BF8" s="46">
        <v>1</v>
      </c>
      <c r="BG8" s="46">
        <v>1</v>
      </c>
      <c r="BH8" s="46">
        <v>1</v>
      </c>
      <c r="BI8" s="46">
        <v>1</v>
      </c>
      <c r="BJ8" s="46">
        <v>1</v>
      </c>
      <c r="BK8" s="46">
        <v>1</v>
      </c>
      <c r="BL8" s="46">
        <v>1</v>
      </c>
      <c r="BM8" s="46">
        <v>1</v>
      </c>
      <c r="BN8" s="46">
        <v>1</v>
      </c>
      <c r="BO8" s="46">
        <v>1</v>
      </c>
      <c r="BP8" s="46">
        <v>1</v>
      </c>
      <c r="BQ8" s="46">
        <v>1</v>
      </c>
      <c r="BR8" s="46">
        <v>1</v>
      </c>
      <c r="BS8" s="46">
        <v>1</v>
      </c>
      <c r="BT8" s="46">
        <v>1</v>
      </c>
      <c r="BU8" s="46">
        <v>1</v>
      </c>
      <c r="BV8" s="46">
        <v>1</v>
      </c>
      <c r="BW8" s="46">
        <v>1</v>
      </c>
      <c r="BX8" s="46">
        <v>1</v>
      </c>
      <c r="BY8" s="46">
        <v>1</v>
      </c>
      <c r="BZ8" s="46">
        <v>1</v>
      </c>
      <c r="CA8" s="46">
        <v>1</v>
      </c>
      <c r="CB8" s="46">
        <v>1</v>
      </c>
      <c r="CC8" s="46">
        <v>1</v>
      </c>
      <c r="CD8" s="46">
        <v>1</v>
      </c>
    </row>
    <row r="9" spans="1:82" s="160" customFormat="1" ht="6.75" customHeight="1" x14ac:dyDescent="0.75">
      <c r="A9" s="30"/>
      <c r="B9" s="30"/>
      <c r="C9" s="30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</row>
    <row r="10" spans="1:82" ht="14.25" customHeight="1" x14ac:dyDescent="0.6">
      <c r="B10" s="56" t="s">
        <v>10</v>
      </c>
      <c r="C10" s="46"/>
      <c r="D10" s="46">
        <v>0.97</v>
      </c>
      <c r="E10" s="46">
        <v>0.95</v>
      </c>
      <c r="F10" s="46">
        <v>0.98</v>
      </c>
      <c r="G10" s="46">
        <v>0.95</v>
      </c>
      <c r="H10" s="46">
        <v>0.9</v>
      </c>
      <c r="I10" s="46">
        <v>0.92</v>
      </c>
      <c r="J10" s="46">
        <v>0.92</v>
      </c>
      <c r="K10" s="46">
        <v>0.93</v>
      </c>
      <c r="L10" s="46">
        <v>0.95</v>
      </c>
      <c r="M10" s="46">
        <v>0.92</v>
      </c>
      <c r="N10" s="46">
        <v>0.95</v>
      </c>
      <c r="O10" s="46">
        <v>0.92</v>
      </c>
      <c r="P10" s="46">
        <v>0.93</v>
      </c>
      <c r="Q10" s="46">
        <v>0.95</v>
      </c>
      <c r="R10" s="46">
        <v>0.96</v>
      </c>
      <c r="S10" s="46">
        <v>0.96</v>
      </c>
      <c r="T10" s="46">
        <v>0.95</v>
      </c>
      <c r="U10" s="46">
        <v>0.96</v>
      </c>
      <c r="V10" s="46">
        <v>0.95</v>
      </c>
      <c r="W10" s="46">
        <v>0.94</v>
      </c>
      <c r="X10" s="46">
        <v>0.91</v>
      </c>
      <c r="Y10" s="46">
        <v>0.96</v>
      </c>
      <c r="Z10" s="46">
        <v>0.94</v>
      </c>
      <c r="AA10" s="46">
        <v>0.93</v>
      </c>
      <c r="AB10" s="46">
        <v>0.93</v>
      </c>
      <c r="AC10" s="46">
        <v>0.96</v>
      </c>
      <c r="AD10" s="46">
        <v>0.96</v>
      </c>
      <c r="AE10" s="46">
        <v>0.89</v>
      </c>
      <c r="AF10" s="46">
        <v>0.9</v>
      </c>
      <c r="AG10" s="46">
        <v>0.89</v>
      </c>
      <c r="AH10" s="46">
        <v>0.92</v>
      </c>
      <c r="AI10" s="46">
        <v>0.93</v>
      </c>
      <c r="AJ10" s="46">
        <v>0.94</v>
      </c>
      <c r="AK10" s="46">
        <v>0.93</v>
      </c>
      <c r="AL10" s="46">
        <v>0.95</v>
      </c>
      <c r="AM10" s="46">
        <v>0.9</v>
      </c>
      <c r="AN10" s="46">
        <v>0.94</v>
      </c>
      <c r="AO10" s="46">
        <v>0.96</v>
      </c>
      <c r="AP10" s="46">
        <v>0.96</v>
      </c>
      <c r="AQ10" s="46">
        <v>0.93</v>
      </c>
      <c r="AR10" s="46">
        <v>0.9</v>
      </c>
      <c r="AS10" s="46">
        <v>0.94</v>
      </c>
      <c r="AT10" s="46">
        <v>0.95</v>
      </c>
      <c r="AU10" s="46">
        <v>0.91</v>
      </c>
      <c r="AV10" s="46">
        <v>0.88</v>
      </c>
      <c r="AW10" s="46">
        <v>0.89</v>
      </c>
      <c r="AX10" s="46">
        <v>0.89</v>
      </c>
      <c r="AY10" s="46">
        <v>0.88</v>
      </c>
      <c r="AZ10" s="46">
        <v>0.89</v>
      </c>
      <c r="BA10" s="46">
        <v>0.88</v>
      </c>
      <c r="BB10" s="46">
        <v>0.84</v>
      </c>
      <c r="BC10" s="46">
        <v>0.86</v>
      </c>
      <c r="BD10" s="46">
        <v>0.86</v>
      </c>
      <c r="BE10" s="46">
        <v>0.86</v>
      </c>
      <c r="BF10" s="46">
        <v>0.79</v>
      </c>
      <c r="BG10" s="46">
        <v>0.82</v>
      </c>
      <c r="BH10" s="46">
        <v>0.9</v>
      </c>
      <c r="BI10" s="46">
        <v>0.9</v>
      </c>
      <c r="BJ10" s="46">
        <v>0.86</v>
      </c>
      <c r="BK10" s="46">
        <v>0.89</v>
      </c>
      <c r="BL10" s="46">
        <v>0.88</v>
      </c>
      <c r="BM10" s="46">
        <v>0.88</v>
      </c>
      <c r="BN10" s="46">
        <v>1.0900000000000001</v>
      </c>
      <c r="BO10" s="46">
        <v>0.85</v>
      </c>
      <c r="BP10" s="46">
        <v>0.8</v>
      </c>
      <c r="BQ10" s="46">
        <v>0.81</v>
      </c>
      <c r="BR10" s="46">
        <v>0.78</v>
      </c>
      <c r="BS10" s="46">
        <v>0.8</v>
      </c>
      <c r="BT10" s="46">
        <v>0.82</v>
      </c>
      <c r="BU10" s="46">
        <v>0.84</v>
      </c>
      <c r="BV10" s="46">
        <v>0.75</v>
      </c>
      <c r="BW10" s="46">
        <v>0.82</v>
      </c>
      <c r="BX10" s="46">
        <v>0.77</v>
      </c>
      <c r="BY10" s="46">
        <v>0.82</v>
      </c>
      <c r="BZ10" s="46">
        <v>0.78</v>
      </c>
      <c r="CA10" s="46">
        <v>0.83</v>
      </c>
      <c r="CB10" s="46">
        <v>0.77</v>
      </c>
      <c r="CC10" s="46">
        <v>0.83</v>
      </c>
      <c r="CD10" s="46">
        <v>0.75</v>
      </c>
    </row>
    <row r="11" spans="1:82" ht="13.5" customHeight="1" x14ac:dyDescent="0.6">
      <c r="B11" s="57" t="s">
        <v>11</v>
      </c>
      <c r="C11" s="47"/>
      <c r="D11" s="47">
        <v>0.16</v>
      </c>
      <c r="E11" s="47">
        <v>0.18</v>
      </c>
      <c r="F11" s="47">
        <v>0.17</v>
      </c>
      <c r="G11" s="47">
        <v>0.15</v>
      </c>
      <c r="H11" s="47">
        <v>0.15</v>
      </c>
      <c r="I11" s="47">
        <v>0.13</v>
      </c>
      <c r="J11" s="47">
        <v>0.14000000000000001</v>
      </c>
      <c r="K11" s="47">
        <v>0.15</v>
      </c>
      <c r="L11" s="47">
        <v>0.13</v>
      </c>
      <c r="M11" s="47">
        <v>0.12</v>
      </c>
      <c r="N11" s="47">
        <v>0.12</v>
      </c>
      <c r="O11" s="47">
        <v>0.12</v>
      </c>
      <c r="P11" s="47">
        <v>0.13</v>
      </c>
      <c r="Q11" s="47">
        <v>0.14000000000000001</v>
      </c>
      <c r="R11" s="47">
        <v>0.13</v>
      </c>
      <c r="S11" s="47">
        <v>0.12</v>
      </c>
      <c r="T11" s="47">
        <v>0.13</v>
      </c>
      <c r="U11" s="47">
        <v>0.14000000000000001</v>
      </c>
      <c r="V11" s="47">
        <v>0.13</v>
      </c>
      <c r="W11" s="47">
        <v>0.13</v>
      </c>
      <c r="X11" s="47">
        <v>0.1</v>
      </c>
      <c r="Y11" s="47">
        <v>0.12</v>
      </c>
      <c r="Z11" s="47">
        <v>0.13</v>
      </c>
      <c r="AA11" s="47">
        <v>0.14000000000000001</v>
      </c>
      <c r="AB11" s="47">
        <v>0.13</v>
      </c>
      <c r="AC11" s="47">
        <v>0.15</v>
      </c>
      <c r="AD11" s="47">
        <v>0.11</v>
      </c>
      <c r="AE11" s="47">
        <v>0.13</v>
      </c>
      <c r="AF11" s="47">
        <v>0.12</v>
      </c>
      <c r="AG11" s="47">
        <v>0.14000000000000001</v>
      </c>
      <c r="AH11" s="47">
        <v>0.12</v>
      </c>
      <c r="AI11" s="47">
        <v>0.13</v>
      </c>
      <c r="AJ11" s="47">
        <v>0.14000000000000001</v>
      </c>
      <c r="AK11" s="47">
        <v>0.16</v>
      </c>
      <c r="AL11" s="47">
        <v>0.15</v>
      </c>
      <c r="AM11" s="47">
        <v>0.12</v>
      </c>
      <c r="AN11" s="47">
        <v>0.14000000000000001</v>
      </c>
      <c r="AO11" s="47">
        <v>0.14000000000000001</v>
      </c>
      <c r="AP11" s="47">
        <v>0.15</v>
      </c>
      <c r="AQ11" s="47">
        <v>0.13</v>
      </c>
      <c r="AR11" s="47">
        <v>0.16</v>
      </c>
      <c r="AS11" s="47">
        <v>0.14000000000000001</v>
      </c>
      <c r="AT11" s="47">
        <v>0.17</v>
      </c>
      <c r="AU11" s="47">
        <v>0.14000000000000001</v>
      </c>
      <c r="AV11" s="47">
        <v>0.14000000000000001</v>
      </c>
      <c r="AW11" s="47">
        <v>0.15</v>
      </c>
      <c r="AX11" s="47">
        <v>0.18</v>
      </c>
      <c r="AY11" s="47">
        <v>0.14000000000000001</v>
      </c>
      <c r="AZ11" s="47">
        <v>0.13</v>
      </c>
      <c r="BA11" s="47">
        <v>0.13</v>
      </c>
      <c r="BB11" s="47">
        <v>0.16</v>
      </c>
      <c r="BC11" s="47">
        <v>0.13</v>
      </c>
      <c r="BD11" s="47">
        <v>0.15</v>
      </c>
      <c r="BE11" s="47">
        <v>0.17</v>
      </c>
      <c r="BF11" s="47">
        <v>0.14000000000000001</v>
      </c>
      <c r="BG11" s="47">
        <v>0.13</v>
      </c>
      <c r="BH11" s="47">
        <v>0.16</v>
      </c>
      <c r="BI11" s="47">
        <v>0.15</v>
      </c>
      <c r="BJ11" s="47">
        <v>0.16</v>
      </c>
      <c r="BK11" s="47">
        <v>0.14000000000000001</v>
      </c>
      <c r="BL11" s="47">
        <v>0.17</v>
      </c>
      <c r="BM11" s="47">
        <v>0.18</v>
      </c>
      <c r="BN11" s="47">
        <v>0.2</v>
      </c>
      <c r="BO11" s="47">
        <v>0.16</v>
      </c>
      <c r="BP11" s="47">
        <v>0.19</v>
      </c>
      <c r="BQ11" s="47">
        <v>0.16</v>
      </c>
      <c r="BR11" s="47">
        <v>0.22</v>
      </c>
      <c r="BS11" s="47">
        <v>0.14000000000000001</v>
      </c>
      <c r="BT11" s="47">
        <v>0.17</v>
      </c>
      <c r="BU11" s="47">
        <v>0.2</v>
      </c>
      <c r="BV11" s="47">
        <v>0.18</v>
      </c>
      <c r="BW11" s="47">
        <v>0.13</v>
      </c>
      <c r="BX11" s="47">
        <v>0.16</v>
      </c>
      <c r="BY11" s="47">
        <v>0.18</v>
      </c>
      <c r="BZ11" s="47">
        <v>0.17</v>
      </c>
      <c r="CA11" s="47">
        <v>0.17</v>
      </c>
      <c r="CB11" s="47">
        <v>0.16</v>
      </c>
      <c r="CC11" s="47">
        <v>0.16</v>
      </c>
      <c r="CD11" s="47">
        <v>0.16</v>
      </c>
    </row>
    <row r="12" spans="1:82" ht="13.5" customHeight="1" x14ac:dyDescent="0.6">
      <c r="B12" s="57" t="s">
        <v>150</v>
      </c>
      <c r="C12" s="47"/>
      <c r="D12" s="47">
        <v>0.81</v>
      </c>
      <c r="E12" s="47">
        <v>0.77</v>
      </c>
      <c r="F12" s="47">
        <v>0.81</v>
      </c>
      <c r="G12" s="47">
        <v>0.8</v>
      </c>
      <c r="H12" s="47">
        <v>0.75</v>
      </c>
      <c r="I12" s="47">
        <v>0.79</v>
      </c>
      <c r="J12" s="47">
        <v>0.78</v>
      </c>
      <c r="K12" s="47">
        <v>0.78</v>
      </c>
      <c r="L12" s="47">
        <v>0.82</v>
      </c>
      <c r="M12" s="47">
        <v>0.8</v>
      </c>
      <c r="N12" s="47">
        <v>0.83</v>
      </c>
      <c r="O12" s="47">
        <v>0.8</v>
      </c>
      <c r="P12" s="47">
        <v>0.8</v>
      </c>
      <c r="Q12" s="47">
        <v>0.81</v>
      </c>
      <c r="R12" s="47">
        <v>0.84</v>
      </c>
      <c r="S12" s="47">
        <v>0.83</v>
      </c>
      <c r="T12" s="47">
        <v>0.82</v>
      </c>
      <c r="U12" s="47">
        <v>0.82</v>
      </c>
      <c r="V12" s="47">
        <v>0.82</v>
      </c>
      <c r="W12" s="47">
        <v>0.81</v>
      </c>
      <c r="X12" s="47">
        <v>0.81</v>
      </c>
      <c r="Y12" s="47">
        <v>0.84</v>
      </c>
      <c r="Z12" s="47">
        <v>0.81</v>
      </c>
      <c r="AA12" s="47">
        <v>0.79</v>
      </c>
      <c r="AB12" s="47">
        <v>0.79</v>
      </c>
      <c r="AC12" s="47">
        <v>0.8</v>
      </c>
      <c r="AD12" s="47">
        <v>0.84</v>
      </c>
      <c r="AE12" s="47">
        <v>0.76</v>
      </c>
      <c r="AF12" s="47">
        <v>0.78</v>
      </c>
      <c r="AG12" s="47">
        <v>0.75</v>
      </c>
      <c r="AH12" s="47">
        <v>0.8</v>
      </c>
      <c r="AI12" s="47">
        <v>0.8</v>
      </c>
      <c r="AJ12" s="47">
        <v>0.79</v>
      </c>
      <c r="AK12" s="47">
        <v>0.76</v>
      </c>
      <c r="AL12" s="47">
        <v>0.8</v>
      </c>
      <c r="AM12" s="47">
        <v>0.78</v>
      </c>
      <c r="AN12" s="47">
        <v>0.8</v>
      </c>
      <c r="AO12" s="47">
        <v>0.82</v>
      </c>
      <c r="AP12" s="47">
        <v>0.8</v>
      </c>
      <c r="AQ12" s="47">
        <v>0.8</v>
      </c>
      <c r="AR12" s="47">
        <v>0.74</v>
      </c>
      <c r="AS12" s="47">
        <v>0.81</v>
      </c>
      <c r="AT12" s="47">
        <v>0.78</v>
      </c>
      <c r="AU12" s="47">
        <v>0.77</v>
      </c>
      <c r="AV12" s="47">
        <v>0.74</v>
      </c>
      <c r="AW12" s="47">
        <v>0.75</v>
      </c>
      <c r="AX12" s="47">
        <v>0.7</v>
      </c>
      <c r="AY12" s="47">
        <v>0.74</v>
      </c>
      <c r="AZ12" s="47">
        <v>0.75</v>
      </c>
      <c r="BA12" s="47">
        <v>0.75</v>
      </c>
      <c r="BB12" s="47">
        <v>0.68</v>
      </c>
      <c r="BC12" s="47">
        <v>0.73</v>
      </c>
      <c r="BD12" s="47">
        <v>0.71</v>
      </c>
      <c r="BE12" s="47">
        <v>0.69</v>
      </c>
      <c r="BF12" s="47">
        <v>0.64</v>
      </c>
      <c r="BG12" s="47">
        <v>0.69</v>
      </c>
      <c r="BH12" s="47">
        <v>0.74</v>
      </c>
      <c r="BI12" s="47">
        <v>0.75</v>
      </c>
      <c r="BJ12" s="47">
        <v>0.7</v>
      </c>
      <c r="BK12" s="47">
        <v>0.76</v>
      </c>
      <c r="BL12" s="47">
        <v>0.7</v>
      </c>
      <c r="BM12" s="47">
        <v>0.7</v>
      </c>
      <c r="BN12" s="47">
        <v>0.88</v>
      </c>
      <c r="BO12" s="47">
        <v>0.69</v>
      </c>
      <c r="BP12" s="47">
        <v>0.61</v>
      </c>
      <c r="BQ12" s="47">
        <v>0.65</v>
      </c>
      <c r="BR12" s="47">
        <v>0.56999999999999995</v>
      </c>
      <c r="BS12" s="47">
        <v>0.66</v>
      </c>
      <c r="BT12" s="47">
        <v>0.66</v>
      </c>
      <c r="BU12" s="47">
        <v>0.65</v>
      </c>
      <c r="BV12" s="47">
        <v>0.56999999999999995</v>
      </c>
      <c r="BW12" s="47">
        <v>0.7</v>
      </c>
      <c r="BX12" s="47">
        <v>0.61</v>
      </c>
      <c r="BY12" s="47">
        <v>0.64</v>
      </c>
      <c r="BZ12" s="47">
        <v>0.62</v>
      </c>
      <c r="CA12" s="47">
        <v>0.66</v>
      </c>
      <c r="CB12" s="47">
        <v>0.61</v>
      </c>
      <c r="CC12" s="47">
        <v>0.68</v>
      </c>
      <c r="CD12" s="47">
        <v>0.6</v>
      </c>
    </row>
    <row r="13" spans="1:82" s="160" customFormat="1" ht="6.75" customHeight="1" x14ac:dyDescent="0.75">
      <c r="A13" s="30"/>
      <c r="B13" s="30"/>
      <c r="C13" s="30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</row>
    <row r="14" spans="1:82" ht="14.25" customHeight="1" x14ac:dyDescent="0.6">
      <c r="B14" s="56" t="s">
        <v>13</v>
      </c>
      <c r="C14" s="46"/>
      <c r="D14" s="46">
        <v>0.15</v>
      </c>
      <c r="E14" s="46">
        <v>0.16</v>
      </c>
      <c r="F14" s="46">
        <v>0.14000000000000001</v>
      </c>
      <c r="G14" s="46">
        <v>0.16</v>
      </c>
      <c r="H14" s="46">
        <v>0.17</v>
      </c>
      <c r="I14" s="46">
        <v>0.16</v>
      </c>
      <c r="J14" s="46">
        <v>0.17</v>
      </c>
      <c r="K14" s="46">
        <v>0.18</v>
      </c>
      <c r="L14" s="46">
        <v>0.18</v>
      </c>
      <c r="M14" s="46">
        <v>0.23</v>
      </c>
      <c r="N14" s="46">
        <v>0.21</v>
      </c>
      <c r="O14" s="46">
        <v>0.23</v>
      </c>
      <c r="P14" s="46">
        <v>0.25</v>
      </c>
      <c r="Q14" s="46">
        <v>0.22</v>
      </c>
      <c r="R14" s="46">
        <v>0.19</v>
      </c>
      <c r="S14" s="46">
        <v>0.19</v>
      </c>
      <c r="T14" s="46">
        <v>0.22</v>
      </c>
      <c r="U14" s="46">
        <v>0.2</v>
      </c>
      <c r="V14" s="46">
        <v>0.19</v>
      </c>
      <c r="W14" s="46">
        <v>0.22</v>
      </c>
      <c r="X14" s="46">
        <v>0.23</v>
      </c>
      <c r="Y14" s="46">
        <v>0.2</v>
      </c>
      <c r="Z14" s="46">
        <v>0.2</v>
      </c>
      <c r="AA14" s="46">
        <v>0.22</v>
      </c>
      <c r="AB14" s="46">
        <v>0.23</v>
      </c>
      <c r="AC14" s="46">
        <v>0.22</v>
      </c>
      <c r="AD14" s="46">
        <v>0.23</v>
      </c>
      <c r="AE14" s="46">
        <v>0.26</v>
      </c>
      <c r="AF14" s="46">
        <v>0.25</v>
      </c>
      <c r="AG14" s="46">
        <v>0.24</v>
      </c>
      <c r="AH14" s="46">
        <v>0.24</v>
      </c>
      <c r="AI14" s="46">
        <v>0.25</v>
      </c>
      <c r="AJ14" s="46">
        <v>0.24</v>
      </c>
      <c r="AK14" s="46">
        <v>0.23</v>
      </c>
      <c r="AL14" s="46">
        <v>0.22</v>
      </c>
      <c r="AM14" s="46">
        <v>0.25</v>
      </c>
      <c r="AN14" s="46">
        <v>0.25</v>
      </c>
      <c r="AO14" s="46">
        <v>0.24</v>
      </c>
      <c r="AP14" s="46">
        <v>0.25</v>
      </c>
      <c r="AQ14" s="46">
        <v>0.25</v>
      </c>
      <c r="AR14" s="46">
        <v>0.28999999999999998</v>
      </c>
      <c r="AS14" s="46">
        <v>0.26</v>
      </c>
      <c r="AT14" s="46">
        <v>0.26</v>
      </c>
      <c r="AU14" s="46">
        <v>0.24</v>
      </c>
      <c r="AV14" s="46">
        <v>0.24</v>
      </c>
      <c r="AW14" s="46">
        <v>0.22</v>
      </c>
      <c r="AX14" s="46">
        <v>0.27</v>
      </c>
      <c r="AY14" s="46">
        <v>0.23</v>
      </c>
      <c r="AZ14" s="46">
        <v>0.18</v>
      </c>
      <c r="BA14" s="46">
        <v>0.15</v>
      </c>
      <c r="BB14" s="46">
        <v>0.19</v>
      </c>
      <c r="BC14" s="46">
        <v>0.2</v>
      </c>
      <c r="BD14" s="46">
        <v>0.19</v>
      </c>
      <c r="BE14" s="46">
        <v>0.19</v>
      </c>
      <c r="BF14" s="46">
        <v>0.27</v>
      </c>
      <c r="BG14" s="46">
        <v>0.22</v>
      </c>
      <c r="BH14" s="46">
        <v>0.19</v>
      </c>
      <c r="BI14" s="46">
        <v>0.17</v>
      </c>
      <c r="BJ14" s="46">
        <v>0.2</v>
      </c>
      <c r="BK14" s="46">
        <v>0.17</v>
      </c>
      <c r="BL14" s="46">
        <v>0.35</v>
      </c>
      <c r="BM14" s="46">
        <v>0.33</v>
      </c>
      <c r="BN14" s="46">
        <v>0.39</v>
      </c>
      <c r="BO14" s="46">
        <v>0.35</v>
      </c>
      <c r="BP14" s="46">
        <v>0.37</v>
      </c>
      <c r="BQ14" s="46">
        <v>0.38</v>
      </c>
      <c r="BR14" s="46">
        <v>0.44</v>
      </c>
      <c r="BS14" s="46">
        <v>0.33</v>
      </c>
      <c r="BT14" s="46">
        <v>0.36</v>
      </c>
      <c r="BU14" s="46">
        <v>0.35</v>
      </c>
      <c r="BV14" s="46">
        <v>0.49</v>
      </c>
      <c r="BW14" s="46">
        <v>0.34</v>
      </c>
      <c r="BX14" s="46">
        <v>0.4</v>
      </c>
      <c r="BY14" s="46">
        <v>0.34</v>
      </c>
      <c r="BZ14" s="46">
        <v>0.38</v>
      </c>
      <c r="CA14" s="46">
        <v>0.28999999999999998</v>
      </c>
      <c r="CB14" s="46">
        <v>0.38</v>
      </c>
      <c r="CC14" s="46">
        <v>0.3</v>
      </c>
      <c r="CD14" s="46">
        <v>0.37</v>
      </c>
    </row>
    <row r="15" spans="1:82" ht="13.5" customHeight="1" x14ac:dyDescent="0.6">
      <c r="B15" s="57" t="s">
        <v>151</v>
      </c>
      <c r="C15" s="47"/>
      <c r="D15" s="47">
        <v>0.12</v>
      </c>
      <c r="E15" s="47">
        <v>0.12</v>
      </c>
      <c r="F15" s="47">
        <v>0.11</v>
      </c>
      <c r="G15" s="47">
        <v>0.12</v>
      </c>
      <c r="H15" s="47">
        <v>0.13</v>
      </c>
      <c r="I15" s="47">
        <v>0.11</v>
      </c>
      <c r="J15" s="47">
        <v>0.12</v>
      </c>
      <c r="K15" s="47">
        <v>0.12</v>
      </c>
      <c r="L15" s="47">
        <v>0.13</v>
      </c>
      <c r="M15" s="47">
        <v>0.13</v>
      </c>
      <c r="N15" s="47">
        <v>0.14000000000000001</v>
      </c>
      <c r="O15" s="47">
        <v>0.15</v>
      </c>
      <c r="P15" s="47">
        <v>0.16</v>
      </c>
      <c r="Q15" s="47">
        <v>0.13</v>
      </c>
      <c r="R15" s="47">
        <v>0.12</v>
      </c>
      <c r="S15" s="47">
        <v>0.14000000000000001</v>
      </c>
      <c r="T15" s="47">
        <v>0.15</v>
      </c>
      <c r="U15" s="47">
        <v>0.13</v>
      </c>
      <c r="V15" s="47">
        <v>0.13</v>
      </c>
      <c r="W15" s="47">
        <v>0.15</v>
      </c>
      <c r="X15" s="47">
        <v>0.17</v>
      </c>
      <c r="Y15" s="47">
        <v>0.14000000000000001</v>
      </c>
      <c r="Z15" s="47">
        <v>0.14000000000000001</v>
      </c>
      <c r="AA15" s="47">
        <v>0.17</v>
      </c>
      <c r="AB15" s="47">
        <v>0.16</v>
      </c>
      <c r="AC15" s="47">
        <v>0.15</v>
      </c>
      <c r="AD15" s="47">
        <v>0.16</v>
      </c>
      <c r="AE15" s="47">
        <v>0.19</v>
      </c>
      <c r="AF15" s="47">
        <v>0.19</v>
      </c>
      <c r="AG15" s="47">
        <v>0.16</v>
      </c>
      <c r="AH15" s="47">
        <v>0.18</v>
      </c>
      <c r="AI15" s="47">
        <v>0.18</v>
      </c>
      <c r="AJ15" s="47">
        <v>0.19</v>
      </c>
      <c r="AK15" s="47">
        <v>0.15</v>
      </c>
      <c r="AL15" s="47">
        <v>0.15</v>
      </c>
      <c r="AM15" s="47">
        <v>0.19</v>
      </c>
      <c r="AN15" s="47">
        <v>0.2</v>
      </c>
      <c r="AO15" s="47">
        <v>0.17</v>
      </c>
      <c r="AP15" s="47">
        <v>0.18</v>
      </c>
      <c r="AQ15" s="47">
        <v>0.18</v>
      </c>
      <c r="AR15" s="47">
        <v>0.19</v>
      </c>
      <c r="AS15" s="47">
        <v>0.17</v>
      </c>
      <c r="AT15" s="47">
        <v>0.19</v>
      </c>
      <c r="AU15" s="47">
        <v>0.16</v>
      </c>
      <c r="AV15" s="47">
        <v>0.15</v>
      </c>
      <c r="AW15" s="47">
        <v>0.14000000000000001</v>
      </c>
      <c r="AX15" s="47">
        <v>0.17</v>
      </c>
      <c r="AY15" s="47">
        <v>0.14000000000000001</v>
      </c>
      <c r="AZ15" s="47">
        <v>0.11</v>
      </c>
      <c r="BA15" s="47">
        <v>0.11</v>
      </c>
      <c r="BB15" s="47">
        <v>0.14000000000000001</v>
      </c>
      <c r="BC15" s="47">
        <v>0.12</v>
      </c>
      <c r="BD15" s="47">
        <v>0.14000000000000001</v>
      </c>
      <c r="BE15" s="47">
        <v>0.13</v>
      </c>
      <c r="BF15" s="47">
        <v>0.16</v>
      </c>
      <c r="BG15" s="47">
        <v>0.14000000000000001</v>
      </c>
      <c r="BH15" s="47">
        <v>0.13</v>
      </c>
      <c r="BI15" s="47">
        <v>0.11</v>
      </c>
      <c r="BJ15" s="47">
        <v>0.15</v>
      </c>
      <c r="BK15" s="47">
        <v>0.13</v>
      </c>
      <c r="BL15" s="47">
        <v>0.22</v>
      </c>
      <c r="BM15" s="47">
        <v>0.17</v>
      </c>
      <c r="BN15" s="47">
        <v>0.24</v>
      </c>
      <c r="BO15" s="47">
        <v>0.21</v>
      </c>
      <c r="BP15" s="47">
        <v>0.26</v>
      </c>
      <c r="BQ15" s="47">
        <v>0.21</v>
      </c>
      <c r="BR15" s="47">
        <v>0.23</v>
      </c>
      <c r="BS15" s="47">
        <v>0.2</v>
      </c>
      <c r="BT15" s="47">
        <v>0.25</v>
      </c>
      <c r="BU15" s="47">
        <v>0.19</v>
      </c>
      <c r="BV15" s="47">
        <v>0.26</v>
      </c>
      <c r="BW15" s="47">
        <v>0.23</v>
      </c>
      <c r="BX15" s="47">
        <v>0.26</v>
      </c>
      <c r="BY15" s="47">
        <v>0.22</v>
      </c>
      <c r="BZ15" s="47">
        <v>0.23</v>
      </c>
      <c r="CA15" s="47">
        <v>0.2</v>
      </c>
      <c r="CB15" s="47">
        <v>0.24</v>
      </c>
      <c r="CC15" s="47">
        <v>0.21</v>
      </c>
      <c r="CD15" s="47">
        <v>0.21</v>
      </c>
    </row>
    <row r="16" spans="1:82" ht="13.5" customHeight="1" x14ac:dyDescent="0.6">
      <c r="B16" s="57" t="s">
        <v>152</v>
      </c>
      <c r="C16" s="47"/>
      <c r="D16" s="47">
        <v>0.03</v>
      </c>
      <c r="E16" s="47">
        <v>0.04</v>
      </c>
      <c r="F16" s="47">
        <v>0.03</v>
      </c>
      <c r="G16" s="47">
        <v>0.04</v>
      </c>
      <c r="H16" s="47">
        <v>0.04</v>
      </c>
      <c r="I16" s="47">
        <v>0.05</v>
      </c>
      <c r="J16" s="47">
        <v>0.05</v>
      </c>
      <c r="K16" s="47">
        <v>0.06</v>
      </c>
      <c r="L16" s="47">
        <v>0.05</v>
      </c>
      <c r="M16" s="47">
        <v>0.1</v>
      </c>
      <c r="N16" s="47">
        <v>7.0000000000000007E-2</v>
      </c>
      <c r="O16" s="47">
        <v>0.08</v>
      </c>
      <c r="P16" s="47">
        <v>0.09</v>
      </c>
      <c r="Q16" s="47">
        <v>0.09</v>
      </c>
      <c r="R16" s="47">
        <v>7.0000000000000007E-2</v>
      </c>
      <c r="S16" s="47">
        <v>0.05</v>
      </c>
      <c r="T16" s="47">
        <v>7.0000000000000007E-2</v>
      </c>
      <c r="U16" s="47">
        <v>7.0000000000000007E-2</v>
      </c>
      <c r="V16" s="47">
        <v>7.0000000000000007E-2</v>
      </c>
      <c r="W16" s="47">
        <v>7.0000000000000007E-2</v>
      </c>
      <c r="X16" s="47">
        <v>0.06</v>
      </c>
      <c r="Y16" s="47">
        <v>0.06</v>
      </c>
      <c r="Z16" s="47">
        <v>0.06</v>
      </c>
      <c r="AA16" s="47">
        <v>0.05</v>
      </c>
      <c r="AB16" s="47">
        <v>0.08</v>
      </c>
      <c r="AC16" s="47">
        <v>7.0000000000000007E-2</v>
      </c>
      <c r="AD16" s="47">
        <v>7.0000000000000007E-2</v>
      </c>
      <c r="AE16" s="47">
        <v>7.0000000000000007E-2</v>
      </c>
      <c r="AF16" s="47">
        <v>7.0000000000000007E-2</v>
      </c>
      <c r="AG16" s="47">
        <v>0.08</v>
      </c>
      <c r="AH16" s="47">
        <v>0.06</v>
      </c>
      <c r="AI16" s="47">
        <v>7.0000000000000007E-2</v>
      </c>
      <c r="AJ16" s="47">
        <v>0.06</v>
      </c>
      <c r="AK16" s="47">
        <v>0.08</v>
      </c>
      <c r="AL16" s="47">
        <v>0.06</v>
      </c>
      <c r="AM16" s="47">
        <v>0.06</v>
      </c>
      <c r="AN16" s="47">
        <v>0.05</v>
      </c>
      <c r="AO16" s="47">
        <v>7.0000000000000007E-2</v>
      </c>
      <c r="AP16" s="47">
        <v>7.0000000000000007E-2</v>
      </c>
      <c r="AQ16" s="47">
        <v>0.06</v>
      </c>
      <c r="AR16" s="47">
        <v>0.09</v>
      </c>
      <c r="AS16" s="47">
        <v>0.09</v>
      </c>
      <c r="AT16" s="47">
        <v>0.08</v>
      </c>
      <c r="AU16" s="47">
        <v>0.08</v>
      </c>
      <c r="AV16" s="47">
        <v>0.09</v>
      </c>
      <c r="AW16" s="47">
        <v>0.08</v>
      </c>
      <c r="AX16" s="47">
        <v>0.1</v>
      </c>
      <c r="AY16" s="47">
        <v>0.09</v>
      </c>
      <c r="AZ16" s="47">
        <v>0.06</v>
      </c>
      <c r="BA16" s="47">
        <v>0.05</v>
      </c>
      <c r="BB16" s="47">
        <v>0.05</v>
      </c>
      <c r="BC16" s="47">
        <v>7.0000000000000007E-2</v>
      </c>
      <c r="BD16" s="47">
        <v>0.06</v>
      </c>
      <c r="BE16" s="47">
        <v>0.06</v>
      </c>
      <c r="BF16" s="47">
        <v>0.11</v>
      </c>
      <c r="BG16" s="47">
        <v>0.08</v>
      </c>
      <c r="BH16" s="47">
        <v>0.06</v>
      </c>
      <c r="BI16" s="47">
        <v>0.06</v>
      </c>
      <c r="BJ16" s="47">
        <v>0.05</v>
      </c>
      <c r="BK16" s="47">
        <v>0.04</v>
      </c>
      <c r="BL16" s="47">
        <v>0.13</v>
      </c>
      <c r="BM16" s="47">
        <v>0.16</v>
      </c>
      <c r="BN16" s="47">
        <v>0.15</v>
      </c>
      <c r="BO16" s="47">
        <v>0.14000000000000001</v>
      </c>
      <c r="BP16" s="47">
        <v>0.11</v>
      </c>
      <c r="BQ16" s="47">
        <v>0.17</v>
      </c>
      <c r="BR16" s="47">
        <v>0.21</v>
      </c>
      <c r="BS16" s="47">
        <v>0.13</v>
      </c>
      <c r="BT16" s="47">
        <v>0.11</v>
      </c>
      <c r="BU16" s="47">
        <v>0.16</v>
      </c>
      <c r="BV16" s="47">
        <v>0.23</v>
      </c>
      <c r="BW16" s="47">
        <v>0.12</v>
      </c>
      <c r="BX16" s="47">
        <v>0.14000000000000001</v>
      </c>
      <c r="BY16" s="47">
        <v>0.13</v>
      </c>
      <c r="BZ16" s="47">
        <v>0.15</v>
      </c>
      <c r="CA16" s="47">
        <v>0.09</v>
      </c>
      <c r="CB16" s="47">
        <v>0.15</v>
      </c>
      <c r="CC16" s="47">
        <v>0.09</v>
      </c>
      <c r="CD16" s="47">
        <v>0.16</v>
      </c>
    </row>
    <row r="17" spans="1:88" s="160" customFormat="1" ht="6.75" customHeight="1" x14ac:dyDescent="0.75">
      <c r="A17" s="30"/>
      <c r="B17" s="30"/>
      <c r="C17" s="30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</row>
    <row r="18" spans="1:88" ht="14.25" customHeight="1" x14ac:dyDescent="0.6">
      <c r="B18" s="56" t="s">
        <v>14</v>
      </c>
      <c r="C18" s="46"/>
      <c r="D18" s="46">
        <v>-0.12</v>
      </c>
      <c r="E18" s="46">
        <v>-0.11</v>
      </c>
      <c r="F18" s="46">
        <v>-0.12</v>
      </c>
      <c r="G18" s="46">
        <v>-0.11</v>
      </c>
      <c r="H18" s="46">
        <v>-7.0000000000000007E-2</v>
      </c>
      <c r="I18" s="46">
        <v>-0.08</v>
      </c>
      <c r="J18" s="46">
        <v>-0.09</v>
      </c>
      <c r="K18" s="46">
        <v>-0.1</v>
      </c>
      <c r="L18" s="46">
        <v>-0.13</v>
      </c>
      <c r="M18" s="46">
        <v>-0.15</v>
      </c>
      <c r="N18" s="46">
        <v>-0.16</v>
      </c>
      <c r="O18" s="46">
        <v>-0.15</v>
      </c>
      <c r="P18" s="46">
        <v>-0.17</v>
      </c>
      <c r="Q18" s="46">
        <v>-0.17</v>
      </c>
      <c r="R18" s="46">
        <v>-0.16</v>
      </c>
      <c r="S18" s="46">
        <v>-0.15</v>
      </c>
      <c r="T18" s="46">
        <v>-0.17</v>
      </c>
      <c r="U18" s="46">
        <v>-0.16</v>
      </c>
      <c r="V18" s="46">
        <v>-0.15</v>
      </c>
      <c r="W18" s="46">
        <v>-0.16</v>
      </c>
      <c r="X18" s="46">
        <v>-0.14000000000000001</v>
      </c>
      <c r="Y18" s="46">
        <v>-0.15</v>
      </c>
      <c r="Z18" s="46">
        <v>-0.14000000000000001</v>
      </c>
      <c r="AA18" s="46">
        <v>-0.15</v>
      </c>
      <c r="AB18" s="46">
        <v>-0.16</v>
      </c>
      <c r="AC18" s="46">
        <v>-0.17</v>
      </c>
      <c r="AD18" s="46">
        <v>-0.18</v>
      </c>
      <c r="AE18" s="46">
        <v>-0.15</v>
      </c>
      <c r="AF18" s="46">
        <v>-0.16</v>
      </c>
      <c r="AG18" s="46">
        <v>-0.13</v>
      </c>
      <c r="AH18" s="46">
        <v>-0.16</v>
      </c>
      <c r="AI18" s="46">
        <v>-0.18</v>
      </c>
      <c r="AJ18" s="46">
        <v>-0.18</v>
      </c>
      <c r="AK18" s="46">
        <v>-0.16</v>
      </c>
      <c r="AL18" s="46">
        <v>-0.17</v>
      </c>
      <c r="AM18" s="46">
        <v>-0.15</v>
      </c>
      <c r="AN18" s="46">
        <v>-0.19</v>
      </c>
      <c r="AO18" s="46">
        <v>-0.2</v>
      </c>
      <c r="AP18" s="46">
        <v>-0.2</v>
      </c>
      <c r="AQ18" s="46">
        <v>-0.17</v>
      </c>
      <c r="AR18" s="46">
        <v>-0.19</v>
      </c>
      <c r="AS18" s="46">
        <v>-0.2</v>
      </c>
      <c r="AT18" s="46">
        <v>-0.21</v>
      </c>
      <c r="AU18" s="46">
        <v>-0.16</v>
      </c>
      <c r="AV18" s="46">
        <v>-0.13</v>
      </c>
      <c r="AW18" s="46">
        <v>-0.12</v>
      </c>
      <c r="AX18" s="46">
        <v>-0.16</v>
      </c>
      <c r="AY18" s="46">
        <v>-0.11</v>
      </c>
      <c r="AZ18" s="46">
        <v>-0.06</v>
      </c>
      <c r="BA18" s="46">
        <v>-0.03</v>
      </c>
      <c r="BB18" s="46">
        <v>-0.03</v>
      </c>
      <c r="BC18" s="46">
        <v>-0.06</v>
      </c>
      <c r="BD18" s="46">
        <v>-0.05</v>
      </c>
      <c r="BE18" s="46">
        <v>-0.05</v>
      </c>
      <c r="BF18" s="46">
        <v>-0.05</v>
      </c>
      <c r="BG18" s="46">
        <v>-0.04</v>
      </c>
      <c r="BH18" s="46">
        <v>-0.09</v>
      </c>
      <c r="BI18" s="46">
        <v>-7.0000000000000007E-2</v>
      </c>
      <c r="BJ18" s="46">
        <v>-0.06</v>
      </c>
      <c r="BK18" s="46">
        <v>-0.06</v>
      </c>
      <c r="BL18" s="46">
        <v>-0.23</v>
      </c>
      <c r="BM18" s="46">
        <v>-0.21</v>
      </c>
      <c r="BN18" s="46">
        <v>-0.48</v>
      </c>
      <c r="BO18" s="46">
        <v>-0.2</v>
      </c>
      <c r="BP18" s="46">
        <v>-0.16</v>
      </c>
      <c r="BQ18" s="46">
        <v>-0.18</v>
      </c>
      <c r="BR18" s="46">
        <v>-0.22</v>
      </c>
      <c r="BS18" s="46">
        <v>-0.13</v>
      </c>
      <c r="BT18" s="46">
        <v>-0.19</v>
      </c>
      <c r="BU18" s="46">
        <v>-0.2</v>
      </c>
      <c r="BV18" s="46">
        <v>-0.23</v>
      </c>
      <c r="BW18" s="46">
        <v>-0.17</v>
      </c>
      <c r="BX18" s="46">
        <v>-0.17</v>
      </c>
      <c r="BY18" s="46">
        <v>-0.16</v>
      </c>
      <c r="BZ18" s="46">
        <v>-0.16</v>
      </c>
      <c r="CA18" s="46">
        <v>-0.11</v>
      </c>
      <c r="CB18" s="46">
        <v>-0.16</v>
      </c>
      <c r="CC18" s="46">
        <v>-0.13</v>
      </c>
      <c r="CD18" s="46">
        <v>-0.13</v>
      </c>
    </row>
    <row r="19" spans="1:88" ht="14.25" customHeight="1" x14ac:dyDescent="0.6">
      <c r="B19" s="58" t="s">
        <v>153</v>
      </c>
      <c r="C19" s="48"/>
      <c r="D19" s="48">
        <v>0.1</v>
      </c>
      <c r="E19" s="48">
        <v>0.13</v>
      </c>
      <c r="F19" s="48">
        <v>0.11</v>
      </c>
      <c r="G19" s="48">
        <v>0.11</v>
      </c>
      <c r="H19" s="48">
        <v>0.14000000000000001</v>
      </c>
      <c r="I19" s="48">
        <v>0.14000000000000001</v>
      </c>
      <c r="J19" s="48">
        <v>0.14000000000000001</v>
      </c>
      <c r="K19" s="48">
        <v>0.13</v>
      </c>
      <c r="L19" s="48">
        <v>0.12</v>
      </c>
      <c r="M19" s="48">
        <v>0.12</v>
      </c>
      <c r="N19" s="48">
        <v>0.11</v>
      </c>
      <c r="O19" s="48">
        <v>0.11</v>
      </c>
      <c r="P19" s="48">
        <v>0.1</v>
      </c>
      <c r="Q19" s="48">
        <v>0.1</v>
      </c>
      <c r="R19" s="48">
        <v>0.11</v>
      </c>
      <c r="S19" s="48">
        <v>0.1</v>
      </c>
      <c r="T19" s="48">
        <v>0.1</v>
      </c>
      <c r="U19" s="48">
        <v>0.11</v>
      </c>
      <c r="V19" s="48">
        <v>0.12</v>
      </c>
      <c r="W19" s="48">
        <v>0.11</v>
      </c>
      <c r="X19" s="48">
        <v>0.12</v>
      </c>
      <c r="Y19" s="48">
        <v>0.12</v>
      </c>
      <c r="Z19" s="48">
        <v>0.14000000000000001</v>
      </c>
      <c r="AA19" s="48">
        <v>0.13</v>
      </c>
      <c r="AB19" s="48">
        <v>0.12</v>
      </c>
      <c r="AC19" s="48">
        <v>0.11</v>
      </c>
      <c r="AD19" s="48">
        <v>0.13</v>
      </c>
      <c r="AE19" s="48">
        <v>0.12</v>
      </c>
      <c r="AF19" s="48">
        <v>0.13</v>
      </c>
      <c r="AG19" s="48">
        <v>0.15</v>
      </c>
      <c r="AH19" s="48">
        <v>0.14000000000000001</v>
      </c>
      <c r="AI19" s="48">
        <v>0.12</v>
      </c>
      <c r="AJ19" s="48">
        <v>0.13</v>
      </c>
      <c r="AK19" s="48">
        <v>0.13</v>
      </c>
      <c r="AL19" s="48">
        <v>0.16</v>
      </c>
      <c r="AM19" s="48">
        <v>0.14000000000000001</v>
      </c>
      <c r="AN19" s="48">
        <v>0.14000000000000001</v>
      </c>
      <c r="AO19" s="48">
        <v>0.13</v>
      </c>
      <c r="AP19" s="48">
        <v>0.15</v>
      </c>
      <c r="AQ19" s="48">
        <v>0.12</v>
      </c>
      <c r="AR19" s="48">
        <v>0.15</v>
      </c>
      <c r="AS19" s="48">
        <v>0.14000000000000001</v>
      </c>
      <c r="AT19" s="48">
        <v>0.2</v>
      </c>
      <c r="AU19" s="48">
        <v>0.15</v>
      </c>
      <c r="AV19" s="48">
        <v>0.19</v>
      </c>
      <c r="AW19" s="48">
        <v>0.2</v>
      </c>
      <c r="AX19" s="48">
        <v>0.24</v>
      </c>
      <c r="AY19" s="48">
        <v>0.21</v>
      </c>
      <c r="AZ19" s="48">
        <v>0.2</v>
      </c>
      <c r="BA19" s="48">
        <v>0.2</v>
      </c>
      <c r="BB19" s="48">
        <v>0.27</v>
      </c>
      <c r="BC19" s="48">
        <v>0.2</v>
      </c>
      <c r="BD19" s="48">
        <v>0.2</v>
      </c>
      <c r="BE19" s="48">
        <v>0.19</v>
      </c>
      <c r="BF19" s="48">
        <v>0.27</v>
      </c>
      <c r="BG19" s="48">
        <v>0.22</v>
      </c>
      <c r="BH19" s="48">
        <v>0.19</v>
      </c>
      <c r="BI19" s="48">
        <v>0.14000000000000001</v>
      </c>
      <c r="BJ19" s="48">
        <v>0.27</v>
      </c>
      <c r="BK19" s="48">
        <v>0.16</v>
      </c>
      <c r="BL19" s="48">
        <v>0.15</v>
      </c>
      <c r="BM19" s="48">
        <v>0.17</v>
      </c>
      <c r="BN19" s="48">
        <v>0.23</v>
      </c>
      <c r="BO19" s="48">
        <v>0.22</v>
      </c>
      <c r="BP19" s="48">
        <v>0.21</v>
      </c>
      <c r="BQ19" s="48">
        <v>0.21</v>
      </c>
      <c r="BR19" s="48">
        <v>0.26</v>
      </c>
      <c r="BS19" s="48">
        <v>0.2</v>
      </c>
      <c r="BT19" s="48">
        <v>0.22</v>
      </c>
      <c r="BU19" s="48">
        <v>0.24</v>
      </c>
      <c r="BV19" s="48">
        <v>0.28000000000000003</v>
      </c>
      <c r="BW19" s="48">
        <v>0.22</v>
      </c>
      <c r="BX19" s="48">
        <v>0.24</v>
      </c>
      <c r="BY19" s="48">
        <v>0.26</v>
      </c>
      <c r="BZ19" s="48">
        <v>0.35</v>
      </c>
      <c r="CA19" s="48">
        <v>0.28000000000000003</v>
      </c>
      <c r="CB19" s="48">
        <v>0.23</v>
      </c>
      <c r="CC19" s="48">
        <v>0.19</v>
      </c>
      <c r="CD19" s="48">
        <v>0.25</v>
      </c>
    </row>
    <row r="20" spans="1:88" ht="13.5" customHeight="1" x14ac:dyDescent="0.6">
      <c r="B20" s="57" t="s">
        <v>154</v>
      </c>
      <c r="C20" s="47"/>
      <c r="D20" s="47">
        <v>0.03</v>
      </c>
      <c r="E20" s="47">
        <v>7.0000000000000007E-2</v>
      </c>
      <c r="F20" s="47">
        <v>0.04</v>
      </c>
      <c r="G20" s="47">
        <v>0.05</v>
      </c>
      <c r="H20" s="47">
        <v>0.04</v>
      </c>
      <c r="I20" s="47">
        <v>0.05</v>
      </c>
      <c r="J20" s="47">
        <v>0.05</v>
      </c>
      <c r="K20" s="47">
        <v>0.05</v>
      </c>
      <c r="L20" s="47">
        <v>0.05</v>
      </c>
      <c r="M20" s="47">
        <v>0.06</v>
      </c>
      <c r="N20" s="47">
        <v>0.06</v>
      </c>
      <c r="O20" s="47">
        <v>0.05</v>
      </c>
      <c r="P20" s="47">
        <v>0.04</v>
      </c>
      <c r="Q20" s="47">
        <v>0.03</v>
      </c>
      <c r="R20" s="47">
        <v>0.05</v>
      </c>
      <c r="S20" s="47">
        <v>0.04</v>
      </c>
      <c r="T20" s="47">
        <v>0.04</v>
      </c>
      <c r="U20" s="47">
        <v>0.04</v>
      </c>
      <c r="V20" s="47">
        <v>0.06</v>
      </c>
      <c r="W20" s="47">
        <v>0.05</v>
      </c>
      <c r="X20" s="47">
        <v>0.06</v>
      </c>
      <c r="Y20" s="47">
        <v>0.06</v>
      </c>
      <c r="Z20" s="47">
        <v>0.09</v>
      </c>
      <c r="AA20" s="47">
        <v>0.08</v>
      </c>
      <c r="AB20" s="47">
        <v>7.0000000000000007E-2</v>
      </c>
      <c r="AC20" s="47">
        <v>0.06</v>
      </c>
      <c r="AD20" s="47">
        <v>0.08</v>
      </c>
      <c r="AE20" s="47">
        <v>0.08</v>
      </c>
      <c r="AF20" s="47">
        <v>7.0000000000000007E-2</v>
      </c>
      <c r="AG20" s="47">
        <v>0.1</v>
      </c>
      <c r="AH20" s="47">
        <v>0.09</v>
      </c>
      <c r="AI20" s="47">
        <v>7.0000000000000007E-2</v>
      </c>
      <c r="AJ20" s="47">
        <v>7.0000000000000007E-2</v>
      </c>
      <c r="AK20" s="47">
        <v>7.0000000000000007E-2</v>
      </c>
      <c r="AL20" s="47">
        <v>0.1</v>
      </c>
      <c r="AM20" s="47">
        <v>0.08</v>
      </c>
      <c r="AN20" s="47">
        <v>7.0000000000000007E-2</v>
      </c>
      <c r="AO20" s="47">
        <v>0.06</v>
      </c>
      <c r="AP20" s="47">
        <v>7.0000000000000007E-2</v>
      </c>
      <c r="AQ20" s="47">
        <v>0.06</v>
      </c>
      <c r="AR20" s="47">
        <v>0.05</v>
      </c>
      <c r="AS20" s="47">
        <v>0.05</v>
      </c>
      <c r="AT20" s="47">
        <v>7.0000000000000007E-2</v>
      </c>
      <c r="AU20" s="47">
        <v>0.06</v>
      </c>
      <c r="AV20" s="47">
        <v>0.1</v>
      </c>
      <c r="AW20" s="47">
        <v>0.11</v>
      </c>
      <c r="AX20" s="47">
        <v>0.13</v>
      </c>
      <c r="AY20" s="47">
        <v>0.11</v>
      </c>
      <c r="AZ20" s="47">
        <v>0.11</v>
      </c>
      <c r="BA20" s="47">
        <v>0.11</v>
      </c>
      <c r="BB20" s="47">
        <v>0.12</v>
      </c>
      <c r="BC20" s="47">
        <v>0.1</v>
      </c>
      <c r="BD20" s="47">
        <v>0.1</v>
      </c>
      <c r="BE20" s="47">
        <v>0.1</v>
      </c>
      <c r="BF20" s="47">
        <v>0.13</v>
      </c>
      <c r="BG20" s="47">
        <v>0.12</v>
      </c>
      <c r="BH20" s="47">
        <v>0.12</v>
      </c>
      <c r="BI20" s="47">
        <v>0.1</v>
      </c>
      <c r="BJ20" s="47">
        <v>0.21</v>
      </c>
      <c r="BK20" s="47">
        <v>0.11</v>
      </c>
      <c r="BL20" s="47">
        <v>0.1</v>
      </c>
      <c r="BM20" s="47">
        <v>0.13</v>
      </c>
      <c r="BN20" s="47">
        <v>0.17</v>
      </c>
      <c r="BO20" s="47">
        <v>0.16</v>
      </c>
      <c r="BP20" s="47">
        <v>0.15</v>
      </c>
      <c r="BQ20" s="47">
        <v>0.15</v>
      </c>
      <c r="BR20" s="47">
        <v>0.18</v>
      </c>
      <c r="BS20" s="47">
        <v>0.14000000000000001</v>
      </c>
      <c r="BT20" s="47">
        <v>0.16</v>
      </c>
      <c r="BU20" s="47">
        <v>0.18</v>
      </c>
      <c r="BV20" s="47">
        <v>0.18</v>
      </c>
      <c r="BW20" s="47">
        <v>0.15</v>
      </c>
      <c r="BX20" s="47">
        <v>0.18</v>
      </c>
      <c r="BY20" s="47">
        <v>0.19</v>
      </c>
      <c r="BZ20" s="47">
        <v>0.25</v>
      </c>
      <c r="CA20" s="47">
        <v>0.22</v>
      </c>
      <c r="CB20" s="47">
        <v>0.17</v>
      </c>
      <c r="CC20" s="47">
        <v>0.13</v>
      </c>
      <c r="CD20" s="47">
        <v>0.16</v>
      </c>
    </row>
    <row r="21" spans="1:88" ht="13.5" customHeight="1" x14ac:dyDescent="0.6">
      <c r="B21" s="57" t="s">
        <v>155</v>
      </c>
      <c r="C21" s="47"/>
      <c r="D21" s="47">
        <v>7.0000000000000007E-2</v>
      </c>
      <c r="E21" s="47">
        <v>7.0000000000000007E-2</v>
      </c>
      <c r="F21" s="47">
        <v>0.06</v>
      </c>
      <c r="G21" s="47">
        <v>0.06</v>
      </c>
      <c r="H21" s="47">
        <v>0.1</v>
      </c>
      <c r="I21" s="47">
        <v>0.09</v>
      </c>
      <c r="J21" s="47">
        <v>0.09</v>
      </c>
      <c r="K21" s="47">
        <v>0.08</v>
      </c>
      <c r="L21" s="47">
        <v>7.0000000000000007E-2</v>
      </c>
      <c r="M21" s="47">
        <v>0.06</v>
      </c>
      <c r="N21" s="47">
        <v>0.05</v>
      </c>
      <c r="O21" s="47">
        <v>0.05</v>
      </c>
      <c r="P21" s="47">
        <v>7.0000000000000007E-2</v>
      </c>
      <c r="Q21" s="47">
        <v>7.0000000000000007E-2</v>
      </c>
      <c r="R21" s="47">
        <v>7.0000000000000007E-2</v>
      </c>
      <c r="S21" s="47">
        <v>0.06</v>
      </c>
      <c r="T21" s="47">
        <v>0.06</v>
      </c>
      <c r="U21" s="47">
        <v>0.06</v>
      </c>
      <c r="V21" s="47">
        <v>0.06</v>
      </c>
      <c r="W21" s="47">
        <v>0.06</v>
      </c>
      <c r="X21" s="47">
        <v>0.06</v>
      </c>
      <c r="Y21" s="47">
        <v>0.06</v>
      </c>
      <c r="Z21" s="47">
        <v>0.05</v>
      </c>
      <c r="AA21" s="47">
        <v>0.05</v>
      </c>
      <c r="AB21" s="47">
        <v>0.05</v>
      </c>
      <c r="AC21" s="47">
        <v>0.05</v>
      </c>
      <c r="AD21" s="47">
        <v>0.05</v>
      </c>
      <c r="AE21" s="47">
        <v>0.05</v>
      </c>
      <c r="AF21" s="47">
        <v>0.05</v>
      </c>
      <c r="AG21" s="47">
        <v>0.05</v>
      </c>
      <c r="AH21" s="47">
        <v>0.05</v>
      </c>
      <c r="AI21" s="47">
        <v>0.05</v>
      </c>
      <c r="AJ21" s="47">
        <v>7.0000000000000007E-2</v>
      </c>
      <c r="AK21" s="47">
        <v>0.06</v>
      </c>
      <c r="AL21" s="47">
        <v>7.0000000000000007E-2</v>
      </c>
      <c r="AM21" s="47">
        <v>0.06</v>
      </c>
      <c r="AN21" s="47">
        <v>7.0000000000000007E-2</v>
      </c>
      <c r="AO21" s="47">
        <v>7.0000000000000007E-2</v>
      </c>
      <c r="AP21" s="47">
        <v>7.0000000000000007E-2</v>
      </c>
      <c r="AQ21" s="47">
        <v>0.06</v>
      </c>
      <c r="AR21" s="47">
        <v>0.1</v>
      </c>
      <c r="AS21" s="47">
        <v>0.08</v>
      </c>
      <c r="AT21" s="47">
        <v>0.12</v>
      </c>
      <c r="AU21" s="47">
        <v>0.09</v>
      </c>
      <c r="AV21" s="47">
        <v>0.09</v>
      </c>
      <c r="AW21" s="47">
        <v>0.09</v>
      </c>
      <c r="AX21" s="47">
        <v>0.1</v>
      </c>
      <c r="AY21" s="47">
        <v>0.1</v>
      </c>
      <c r="AZ21" s="47">
        <v>0.09</v>
      </c>
      <c r="BA21" s="47">
        <v>0.09</v>
      </c>
      <c r="BB21" s="47">
        <v>0.15</v>
      </c>
      <c r="BC21" s="47">
        <v>0.1</v>
      </c>
      <c r="BD21" s="47">
        <v>0.1</v>
      </c>
      <c r="BE21" s="47">
        <v>0.09</v>
      </c>
      <c r="BF21" s="47">
        <v>0.14000000000000001</v>
      </c>
      <c r="BG21" s="47">
        <v>0.11</v>
      </c>
      <c r="BH21" s="47">
        <v>0.08</v>
      </c>
      <c r="BI21" s="47">
        <v>0.03</v>
      </c>
      <c r="BJ21" s="47">
        <v>7.0000000000000007E-2</v>
      </c>
      <c r="BK21" s="47">
        <v>0.05</v>
      </c>
      <c r="BL21" s="47">
        <v>0.05</v>
      </c>
      <c r="BM21" s="47">
        <v>0.05</v>
      </c>
      <c r="BN21" s="47">
        <v>0.06</v>
      </c>
      <c r="BO21" s="47">
        <v>0.05</v>
      </c>
      <c r="BP21" s="47">
        <v>0.05</v>
      </c>
      <c r="BQ21" s="47">
        <v>0.06</v>
      </c>
      <c r="BR21" s="47">
        <v>0.08</v>
      </c>
      <c r="BS21" s="47">
        <v>0.06</v>
      </c>
      <c r="BT21" s="47">
        <v>0.06</v>
      </c>
      <c r="BU21" s="47">
        <v>0.06</v>
      </c>
      <c r="BV21" s="47">
        <v>0.1</v>
      </c>
      <c r="BW21" s="47">
        <v>7.0000000000000007E-2</v>
      </c>
      <c r="BX21" s="47">
        <v>0.06</v>
      </c>
      <c r="BY21" s="47">
        <v>0.06</v>
      </c>
      <c r="BZ21" s="47">
        <v>0.1</v>
      </c>
      <c r="CA21" s="47">
        <v>0.06</v>
      </c>
      <c r="CB21" s="47">
        <v>0.06</v>
      </c>
      <c r="CC21" s="47">
        <v>0.06</v>
      </c>
      <c r="CD21" s="47">
        <v>0.09</v>
      </c>
    </row>
    <row r="22" spans="1:88" ht="14.25" customHeight="1" x14ac:dyDescent="0.6">
      <c r="B22" s="58" t="s">
        <v>156</v>
      </c>
      <c r="C22" s="48"/>
      <c r="D22" s="48">
        <v>0.22</v>
      </c>
      <c r="E22" s="48">
        <v>0.24</v>
      </c>
      <c r="F22" s="48">
        <v>0.23</v>
      </c>
      <c r="G22" s="48">
        <v>0.21</v>
      </c>
      <c r="H22" s="48">
        <v>0.21</v>
      </c>
      <c r="I22" s="48">
        <v>0.22</v>
      </c>
      <c r="J22" s="48">
        <v>0.23</v>
      </c>
      <c r="K22" s="48">
        <v>0.24</v>
      </c>
      <c r="L22" s="48">
        <v>0.25</v>
      </c>
      <c r="M22" s="48">
        <v>0.28000000000000003</v>
      </c>
      <c r="N22" s="48">
        <v>0.28000000000000003</v>
      </c>
      <c r="O22" s="48">
        <v>0.26</v>
      </c>
      <c r="P22" s="48">
        <v>0.28000000000000003</v>
      </c>
      <c r="Q22" s="48">
        <v>0.27</v>
      </c>
      <c r="R22" s="48">
        <v>0.27</v>
      </c>
      <c r="S22" s="48">
        <v>0.25</v>
      </c>
      <c r="T22" s="48">
        <v>0.27</v>
      </c>
      <c r="U22" s="48">
        <v>0.27</v>
      </c>
      <c r="V22" s="48">
        <v>0.27</v>
      </c>
      <c r="W22" s="48">
        <v>0.27</v>
      </c>
      <c r="X22" s="48">
        <v>0.27</v>
      </c>
      <c r="Y22" s="48">
        <v>0.27</v>
      </c>
      <c r="Z22" s="48">
        <v>0.28000000000000003</v>
      </c>
      <c r="AA22" s="48">
        <v>0.27</v>
      </c>
      <c r="AB22" s="48">
        <v>0.28999999999999998</v>
      </c>
      <c r="AC22" s="48">
        <v>0.28000000000000003</v>
      </c>
      <c r="AD22" s="48">
        <v>0.31</v>
      </c>
      <c r="AE22" s="48">
        <v>0.27</v>
      </c>
      <c r="AF22" s="48">
        <v>0.28000000000000003</v>
      </c>
      <c r="AG22" s="48">
        <v>0.28999999999999998</v>
      </c>
      <c r="AH22" s="48">
        <v>0.3</v>
      </c>
      <c r="AI22" s="48">
        <v>0.31</v>
      </c>
      <c r="AJ22" s="48">
        <v>0.31</v>
      </c>
      <c r="AK22" s="48">
        <v>0.28999999999999998</v>
      </c>
      <c r="AL22" s="48">
        <v>0.33</v>
      </c>
      <c r="AM22" s="48">
        <v>0.28000000000000003</v>
      </c>
      <c r="AN22" s="48">
        <v>0.33</v>
      </c>
      <c r="AO22" s="48">
        <v>0.33</v>
      </c>
      <c r="AP22" s="48">
        <v>0.35</v>
      </c>
      <c r="AQ22" s="48">
        <v>0.28999999999999998</v>
      </c>
      <c r="AR22" s="48">
        <v>0.34</v>
      </c>
      <c r="AS22" s="48">
        <v>0.34</v>
      </c>
      <c r="AT22" s="48">
        <v>0.41</v>
      </c>
      <c r="AU22" s="48">
        <v>0.3</v>
      </c>
      <c r="AV22" s="48">
        <v>0.32</v>
      </c>
      <c r="AW22" s="48">
        <v>0.31</v>
      </c>
      <c r="AX22" s="48">
        <v>0.39</v>
      </c>
      <c r="AY22" s="48">
        <v>0.32</v>
      </c>
      <c r="AZ22" s="48">
        <v>0.26</v>
      </c>
      <c r="BA22" s="48">
        <v>0.24</v>
      </c>
      <c r="BB22" s="48">
        <v>0.3</v>
      </c>
      <c r="BC22" s="48">
        <v>0.26</v>
      </c>
      <c r="BD22" s="48">
        <v>0.25</v>
      </c>
      <c r="BE22" s="48">
        <v>0.24</v>
      </c>
      <c r="BF22" s="48">
        <v>0.32</v>
      </c>
      <c r="BG22" s="48">
        <v>0.26</v>
      </c>
      <c r="BH22" s="48">
        <v>0.28000000000000003</v>
      </c>
      <c r="BI22" s="48">
        <v>0.21</v>
      </c>
      <c r="BJ22" s="48">
        <v>0.33</v>
      </c>
      <c r="BK22" s="48">
        <v>0.22</v>
      </c>
      <c r="BL22" s="48">
        <v>0.38</v>
      </c>
      <c r="BM22" s="48">
        <v>0.38</v>
      </c>
      <c r="BN22" s="48">
        <v>0.7</v>
      </c>
      <c r="BO22" s="48">
        <v>0.41</v>
      </c>
      <c r="BP22" s="48">
        <v>0.37</v>
      </c>
      <c r="BQ22" s="48">
        <v>0.4</v>
      </c>
      <c r="BR22" s="48">
        <v>0.48</v>
      </c>
      <c r="BS22" s="48">
        <v>0.33</v>
      </c>
      <c r="BT22" s="48">
        <v>0.41</v>
      </c>
      <c r="BU22" s="48">
        <v>0.43</v>
      </c>
      <c r="BV22" s="48">
        <v>0.52</v>
      </c>
      <c r="BW22" s="48">
        <v>0.38</v>
      </c>
      <c r="BX22" s="48">
        <v>0.41</v>
      </c>
      <c r="BY22" s="48">
        <v>0.42</v>
      </c>
      <c r="BZ22" s="48">
        <v>0.51</v>
      </c>
      <c r="CA22" s="48">
        <v>0.39</v>
      </c>
      <c r="CB22" s="48">
        <v>0.39</v>
      </c>
      <c r="CC22" s="48">
        <v>0.33</v>
      </c>
      <c r="CD22" s="48">
        <v>0.38</v>
      </c>
    </row>
    <row r="23" spans="1:88" ht="13.5" customHeight="1" x14ac:dyDescent="0.6">
      <c r="B23" s="57" t="s">
        <v>154</v>
      </c>
      <c r="C23" s="47"/>
      <c r="D23" s="47">
        <v>0.11</v>
      </c>
      <c r="E23" s="47">
        <v>0.14000000000000001</v>
      </c>
      <c r="F23" s="47">
        <v>0.13</v>
      </c>
      <c r="G23" s="47">
        <v>0.12</v>
      </c>
      <c r="H23" s="47">
        <v>0.12</v>
      </c>
      <c r="I23" s="47">
        <v>0.13</v>
      </c>
      <c r="J23" s="47">
        <v>0.15</v>
      </c>
      <c r="K23" s="47">
        <v>0.16</v>
      </c>
      <c r="L23" s="47">
        <v>0.14000000000000001</v>
      </c>
      <c r="M23" s="47">
        <v>0.17</v>
      </c>
      <c r="N23" s="47">
        <v>0.18</v>
      </c>
      <c r="O23" s="47">
        <v>0.17</v>
      </c>
      <c r="P23" s="47">
        <v>0.18</v>
      </c>
      <c r="Q23" s="47">
        <v>0.18</v>
      </c>
      <c r="R23" s="47">
        <v>0.18</v>
      </c>
      <c r="S23" s="47">
        <v>0.17</v>
      </c>
      <c r="T23" s="47">
        <v>0.19</v>
      </c>
      <c r="U23" s="47">
        <v>0.18</v>
      </c>
      <c r="V23" s="47">
        <v>0.19</v>
      </c>
      <c r="W23" s="47">
        <v>0.19</v>
      </c>
      <c r="X23" s="47">
        <v>0.18</v>
      </c>
      <c r="Y23" s="47">
        <v>0.19</v>
      </c>
      <c r="Z23" s="47">
        <v>0.2</v>
      </c>
      <c r="AA23" s="47">
        <v>0.2</v>
      </c>
      <c r="AB23" s="47">
        <v>0.21</v>
      </c>
      <c r="AC23" s="47">
        <v>0.21</v>
      </c>
      <c r="AD23" s="47">
        <v>0.24</v>
      </c>
      <c r="AE23" s="47">
        <v>0.2</v>
      </c>
      <c r="AF23" s="47">
        <v>0.2</v>
      </c>
      <c r="AG23" s="47">
        <v>0.2</v>
      </c>
      <c r="AH23" s="47">
        <v>0.21</v>
      </c>
      <c r="AI23" s="47">
        <v>0.22</v>
      </c>
      <c r="AJ23" s="47">
        <v>0.22</v>
      </c>
      <c r="AK23" s="47">
        <v>0.2</v>
      </c>
      <c r="AL23" s="47">
        <v>0.23</v>
      </c>
      <c r="AM23" s="47">
        <v>0.2</v>
      </c>
      <c r="AN23" s="47">
        <v>0.19</v>
      </c>
      <c r="AO23" s="47">
        <v>0.21</v>
      </c>
      <c r="AP23" s="47">
        <v>0.22</v>
      </c>
      <c r="AQ23" s="47">
        <v>0.18</v>
      </c>
      <c r="AR23" s="47">
        <v>0.22</v>
      </c>
      <c r="AS23" s="47">
        <v>0.22</v>
      </c>
      <c r="AT23" s="47">
        <v>0.26</v>
      </c>
      <c r="AU23" s="47">
        <v>0.19</v>
      </c>
      <c r="AV23" s="47">
        <v>0.21</v>
      </c>
      <c r="AW23" s="47">
        <v>0.21</v>
      </c>
      <c r="AX23" s="47">
        <v>0.25</v>
      </c>
      <c r="AY23" s="47">
        <v>0.21</v>
      </c>
      <c r="AZ23" s="47">
        <v>0.17</v>
      </c>
      <c r="BA23" s="47">
        <v>0.15</v>
      </c>
      <c r="BB23" s="47">
        <v>0.19</v>
      </c>
      <c r="BC23" s="47">
        <v>0.17</v>
      </c>
      <c r="BD23" s="47">
        <v>0.16</v>
      </c>
      <c r="BE23" s="47">
        <v>0.17</v>
      </c>
      <c r="BF23" s="47">
        <v>0.22</v>
      </c>
      <c r="BG23" s="47">
        <v>0.19</v>
      </c>
      <c r="BH23" s="47">
        <v>0.21</v>
      </c>
      <c r="BI23" s="47">
        <v>0.18</v>
      </c>
      <c r="BJ23" s="47">
        <v>0.28000000000000003</v>
      </c>
      <c r="BK23" s="47">
        <v>0.19</v>
      </c>
      <c r="BL23" s="47">
        <v>0.33</v>
      </c>
      <c r="BM23" s="47">
        <v>0.33</v>
      </c>
      <c r="BN23" s="47">
        <v>0.62</v>
      </c>
      <c r="BO23" s="47">
        <v>0.35</v>
      </c>
      <c r="BP23" s="47">
        <v>0.3</v>
      </c>
      <c r="BQ23" s="47">
        <v>0.34</v>
      </c>
      <c r="BR23" s="47">
        <v>0.42</v>
      </c>
      <c r="BS23" s="47">
        <v>0.26</v>
      </c>
      <c r="BT23" s="47">
        <v>0.35</v>
      </c>
      <c r="BU23" s="47">
        <v>0.37</v>
      </c>
      <c r="BV23" s="47">
        <v>0.44</v>
      </c>
      <c r="BW23" s="47">
        <v>0.32</v>
      </c>
      <c r="BX23" s="47">
        <v>0.35</v>
      </c>
      <c r="BY23" s="47">
        <v>0.35</v>
      </c>
      <c r="BZ23" s="47">
        <v>0.44</v>
      </c>
      <c r="CA23" s="47">
        <v>0.33</v>
      </c>
      <c r="CB23" s="47">
        <v>0.33</v>
      </c>
      <c r="CC23" s="47">
        <v>0.26</v>
      </c>
      <c r="CD23" s="47">
        <v>0.31</v>
      </c>
    </row>
    <row r="24" spans="1:88" ht="13.5" customHeight="1" thickBot="1" x14ac:dyDescent="0.75">
      <c r="B24" s="59" t="s">
        <v>155</v>
      </c>
      <c r="C24" s="49"/>
      <c r="D24" s="49">
        <v>0.11</v>
      </c>
      <c r="E24" s="49">
        <v>0.1</v>
      </c>
      <c r="F24" s="49">
        <v>0.09</v>
      </c>
      <c r="G24" s="49">
        <v>0.09</v>
      </c>
      <c r="H24" s="49">
        <v>0.1</v>
      </c>
      <c r="I24" s="49">
        <v>0.09</v>
      </c>
      <c r="J24" s="49">
        <v>0.08</v>
      </c>
      <c r="K24" s="49">
        <v>0.08</v>
      </c>
      <c r="L24" s="49">
        <v>0.11</v>
      </c>
      <c r="M24" s="49">
        <v>0.1</v>
      </c>
      <c r="N24" s="49">
        <v>0.09</v>
      </c>
      <c r="O24" s="49">
        <v>0.09</v>
      </c>
      <c r="P24" s="49">
        <v>0.1</v>
      </c>
      <c r="Q24" s="49">
        <v>0.1</v>
      </c>
      <c r="R24" s="49">
        <v>0.09</v>
      </c>
      <c r="S24" s="49">
        <v>0.08</v>
      </c>
      <c r="T24" s="49">
        <v>0.08</v>
      </c>
      <c r="U24" s="49">
        <v>0.08</v>
      </c>
      <c r="V24" s="49">
        <v>0.08</v>
      </c>
      <c r="W24" s="49">
        <v>0.08</v>
      </c>
      <c r="X24" s="49">
        <v>0.08</v>
      </c>
      <c r="Y24" s="49">
        <v>0.08</v>
      </c>
      <c r="Z24" s="49">
        <v>0.08</v>
      </c>
      <c r="AA24" s="49">
        <v>0.08</v>
      </c>
      <c r="AB24" s="49">
        <v>7.0000000000000007E-2</v>
      </c>
      <c r="AC24" s="49">
        <v>7.0000000000000007E-2</v>
      </c>
      <c r="AD24" s="49">
        <v>0.08</v>
      </c>
      <c r="AE24" s="49">
        <v>7.0000000000000007E-2</v>
      </c>
      <c r="AF24" s="49">
        <v>0.09</v>
      </c>
      <c r="AG24" s="49">
        <v>0.09</v>
      </c>
      <c r="AH24" s="49">
        <v>0.09</v>
      </c>
      <c r="AI24" s="49">
        <v>0.09</v>
      </c>
      <c r="AJ24" s="49">
        <v>0.1</v>
      </c>
      <c r="AK24" s="49">
        <v>0.09</v>
      </c>
      <c r="AL24" s="49">
        <v>0.1</v>
      </c>
      <c r="AM24" s="49">
        <v>0.09</v>
      </c>
      <c r="AN24" s="49">
        <v>0.13</v>
      </c>
      <c r="AO24" s="49">
        <v>0.12</v>
      </c>
      <c r="AP24" s="49">
        <v>0.13</v>
      </c>
      <c r="AQ24" s="49">
        <v>0.11</v>
      </c>
      <c r="AR24" s="49">
        <v>0.12</v>
      </c>
      <c r="AS24" s="49">
        <v>0.12</v>
      </c>
      <c r="AT24" s="49">
        <v>0.16</v>
      </c>
      <c r="AU24" s="49">
        <v>0.12</v>
      </c>
      <c r="AV24" s="49">
        <v>0.11</v>
      </c>
      <c r="AW24" s="49">
        <v>0.1</v>
      </c>
      <c r="AX24" s="49">
        <v>0.14000000000000001</v>
      </c>
      <c r="AY24" s="49">
        <v>0.11</v>
      </c>
      <c r="AZ24" s="49">
        <v>0.1</v>
      </c>
      <c r="BA24" s="49">
        <v>0.08</v>
      </c>
      <c r="BB24" s="49">
        <v>0.11</v>
      </c>
      <c r="BC24" s="49">
        <v>0.09</v>
      </c>
      <c r="BD24" s="49">
        <v>0.09</v>
      </c>
      <c r="BE24" s="49">
        <v>7.0000000000000007E-2</v>
      </c>
      <c r="BF24" s="49">
        <v>0.1</v>
      </c>
      <c r="BG24" s="49">
        <v>0.08</v>
      </c>
      <c r="BH24" s="49">
        <v>7.0000000000000007E-2</v>
      </c>
      <c r="BI24" s="49">
        <v>0.03</v>
      </c>
      <c r="BJ24" s="49">
        <v>0.05</v>
      </c>
      <c r="BK24" s="49">
        <v>0.03</v>
      </c>
      <c r="BL24" s="49">
        <v>0.05</v>
      </c>
      <c r="BM24" s="49">
        <v>0.06</v>
      </c>
      <c r="BN24" s="49">
        <v>0.08</v>
      </c>
      <c r="BO24" s="49">
        <v>0.06</v>
      </c>
      <c r="BP24" s="49">
        <v>7.0000000000000007E-2</v>
      </c>
      <c r="BQ24" s="49">
        <v>0.06</v>
      </c>
      <c r="BR24" s="49">
        <v>0.06</v>
      </c>
      <c r="BS24" s="49">
        <v>7.0000000000000007E-2</v>
      </c>
      <c r="BT24" s="49">
        <v>0.06</v>
      </c>
      <c r="BU24" s="49">
        <v>0.06</v>
      </c>
      <c r="BV24" s="49">
        <v>7.0000000000000007E-2</v>
      </c>
      <c r="BW24" s="49">
        <v>0.06</v>
      </c>
      <c r="BX24" s="49">
        <v>0.06</v>
      </c>
      <c r="BY24" s="49">
        <v>0.06</v>
      </c>
      <c r="BZ24" s="49">
        <v>0.08</v>
      </c>
      <c r="CA24" s="49">
        <v>0.06</v>
      </c>
      <c r="CB24" s="49">
        <v>0.06</v>
      </c>
      <c r="CC24" s="49">
        <v>0.06</v>
      </c>
      <c r="CD24" s="49">
        <v>7.0000000000000007E-2</v>
      </c>
    </row>
    <row r="25" spans="1:88" ht="13.5" customHeight="1" thickTop="1" x14ac:dyDescent="0.6">
      <c r="B25" s="57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  <c r="BY25" s="60"/>
      <c r="BZ25" s="60"/>
      <c r="CA25" s="60"/>
      <c r="CB25" s="60"/>
      <c r="CC25" s="60"/>
      <c r="CD25" s="60"/>
    </row>
    <row r="26" spans="1:88" s="160" customFormat="1" ht="6.75" customHeight="1" thickBot="1" x14ac:dyDescent="0.9">
      <c r="A26" s="30"/>
      <c r="B26" s="30"/>
      <c r="C26" s="30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</row>
    <row r="27" spans="1:88" ht="15" customHeight="1" thickTop="1" thickBot="1" x14ac:dyDescent="0.85">
      <c r="B27" s="169" t="s">
        <v>162</v>
      </c>
      <c r="C27" s="53"/>
      <c r="D27" s="54" t="s">
        <v>34</v>
      </c>
      <c r="E27" s="54" t="s">
        <v>35</v>
      </c>
      <c r="F27" s="54" t="s">
        <v>36</v>
      </c>
      <c r="G27" s="54" t="s">
        <v>37</v>
      </c>
      <c r="H27" s="54" t="s">
        <v>38</v>
      </c>
      <c r="I27" s="54" t="s">
        <v>39</v>
      </c>
      <c r="J27" s="54" t="s">
        <v>40</v>
      </c>
      <c r="K27" s="54" t="s">
        <v>41</v>
      </c>
      <c r="L27" s="54" t="s">
        <v>42</v>
      </c>
      <c r="M27" s="54" t="s">
        <v>43</v>
      </c>
      <c r="N27" s="54" t="s">
        <v>44</v>
      </c>
      <c r="O27" s="54" t="s">
        <v>45</v>
      </c>
      <c r="P27" s="54" t="s">
        <v>46</v>
      </c>
      <c r="Q27" s="54" t="s">
        <v>47</v>
      </c>
      <c r="R27" s="54" t="s">
        <v>48</v>
      </c>
      <c r="S27" s="54" t="s">
        <v>49</v>
      </c>
      <c r="T27" s="54" t="s">
        <v>50</v>
      </c>
      <c r="U27" s="54" t="s">
        <v>51</v>
      </c>
      <c r="V27" s="54" t="s">
        <v>52</v>
      </c>
      <c r="W27" s="54" t="s">
        <v>53</v>
      </c>
      <c r="X27" s="54" t="s">
        <v>54</v>
      </c>
      <c r="Y27" s="54" t="s">
        <v>55</v>
      </c>
      <c r="Z27" s="54" t="s">
        <v>56</v>
      </c>
      <c r="AA27" s="54" t="s">
        <v>57</v>
      </c>
      <c r="AB27" s="54" t="s">
        <v>58</v>
      </c>
      <c r="AC27" s="54" t="s">
        <v>59</v>
      </c>
      <c r="AD27" s="54" t="s">
        <v>60</v>
      </c>
      <c r="AE27" s="54" t="s">
        <v>61</v>
      </c>
      <c r="AF27" s="54" t="s">
        <v>62</v>
      </c>
      <c r="AG27" s="54" t="s">
        <v>63</v>
      </c>
      <c r="AH27" s="54" t="s">
        <v>64</v>
      </c>
      <c r="AI27" s="54" t="s">
        <v>65</v>
      </c>
      <c r="AJ27" s="54" t="s">
        <v>66</v>
      </c>
      <c r="AK27" s="54" t="s">
        <v>67</v>
      </c>
      <c r="AL27" s="54" t="s">
        <v>68</v>
      </c>
      <c r="AM27" s="54" t="s">
        <v>69</v>
      </c>
      <c r="AN27" s="54" t="s">
        <v>70</v>
      </c>
      <c r="AO27" s="54" t="s">
        <v>71</v>
      </c>
      <c r="AP27" s="54" t="s">
        <v>72</v>
      </c>
      <c r="AQ27" s="54" t="s">
        <v>73</v>
      </c>
      <c r="AR27" s="54" t="s">
        <v>74</v>
      </c>
      <c r="AS27" s="54" t="s">
        <v>75</v>
      </c>
      <c r="AT27" s="54" t="s">
        <v>76</v>
      </c>
      <c r="AU27" s="54" t="s">
        <v>77</v>
      </c>
      <c r="AV27" s="54" t="s">
        <v>78</v>
      </c>
      <c r="AW27" s="54" t="s">
        <v>79</v>
      </c>
      <c r="AX27" s="54" t="s">
        <v>80</v>
      </c>
      <c r="AY27" s="54" t="s">
        <v>81</v>
      </c>
      <c r="AZ27" s="54" t="s">
        <v>82</v>
      </c>
      <c r="BA27" s="54" t="s">
        <v>83</v>
      </c>
      <c r="BB27" s="54" t="s">
        <v>84</v>
      </c>
      <c r="BC27" s="54" t="s">
        <v>85</v>
      </c>
      <c r="BD27" s="54" t="s">
        <v>86</v>
      </c>
      <c r="BE27" s="54" t="s">
        <v>87</v>
      </c>
      <c r="BF27" s="54" t="s">
        <v>88</v>
      </c>
      <c r="BG27" s="54" t="s">
        <v>89</v>
      </c>
      <c r="BH27" s="54" t="s">
        <v>90</v>
      </c>
      <c r="BI27" s="54" t="s">
        <v>91</v>
      </c>
      <c r="BJ27" s="54" t="s">
        <v>92</v>
      </c>
      <c r="BK27" s="54" t="s">
        <v>93</v>
      </c>
      <c r="BL27" s="54" t="s">
        <v>94</v>
      </c>
      <c r="BM27" s="54" t="s">
        <v>95</v>
      </c>
      <c r="BN27" s="54" t="s">
        <v>96</v>
      </c>
      <c r="BO27" s="54" t="s">
        <v>97</v>
      </c>
      <c r="BP27" s="54" t="s">
        <v>98</v>
      </c>
      <c r="BQ27" s="54" t="s">
        <v>99</v>
      </c>
      <c r="BR27" s="54" t="s">
        <v>100</v>
      </c>
      <c r="BS27" s="54" t="s">
        <v>101</v>
      </c>
      <c r="BT27" s="54" t="s">
        <v>102</v>
      </c>
      <c r="BU27" s="54" t="s">
        <v>103</v>
      </c>
      <c r="BV27" s="54" t="s">
        <v>104</v>
      </c>
      <c r="BW27" s="54" t="s">
        <v>105</v>
      </c>
      <c r="BX27" s="54" t="s">
        <v>106</v>
      </c>
      <c r="BY27" s="54" t="s">
        <v>107</v>
      </c>
      <c r="BZ27" s="54" t="s">
        <v>108</v>
      </c>
      <c r="CA27" s="54" t="s">
        <v>109</v>
      </c>
      <c r="CB27" s="54" t="s">
        <v>110</v>
      </c>
      <c r="CC27" s="54" t="s">
        <v>111</v>
      </c>
      <c r="CD27" s="54" t="s">
        <v>112</v>
      </c>
      <c r="CF27" s="191" t="s">
        <v>306</v>
      </c>
      <c r="CG27" s="191"/>
      <c r="CH27" s="191"/>
      <c r="CI27" s="191"/>
      <c r="CJ27" s="191"/>
    </row>
    <row r="28" spans="1:88" ht="14.25" customHeight="1" thickTop="1" x14ac:dyDescent="0.6">
      <c r="B28" s="56" t="s">
        <v>149</v>
      </c>
      <c r="C28" s="46"/>
      <c r="D28" s="45"/>
      <c r="E28" s="45"/>
      <c r="F28" s="45"/>
      <c r="G28" s="45"/>
      <c r="H28" s="45">
        <v>0.13400000000000001</v>
      </c>
      <c r="I28" s="45">
        <v>7.6999999999999999E-2</v>
      </c>
      <c r="J28" s="45">
        <v>3.6999999999999998E-2</v>
      </c>
      <c r="K28" s="45">
        <v>6.6000000000000003E-2</v>
      </c>
      <c r="L28" s="45">
        <v>9.4E-2</v>
      </c>
      <c r="M28" s="45">
        <v>0.13400000000000001</v>
      </c>
      <c r="N28" s="45">
        <v>0.11799999999999999</v>
      </c>
      <c r="O28" s="45">
        <v>0.1</v>
      </c>
      <c r="P28" s="45">
        <v>0.122</v>
      </c>
      <c r="Q28" s="45">
        <v>0.05</v>
      </c>
      <c r="R28" s="45">
        <v>3.5000000000000003E-2</v>
      </c>
      <c r="S28" s="45">
        <v>4.7E-2</v>
      </c>
      <c r="T28" s="45">
        <v>5.1999999999999998E-2</v>
      </c>
      <c r="U28" s="45">
        <v>6.4000000000000001E-2</v>
      </c>
      <c r="V28" s="45">
        <v>0.08</v>
      </c>
      <c r="W28" s="45">
        <v>9.7000000000000003E-2</v>
      </c>
      <c r="X28" s="45">
        <v>8.4000000000000005E-2</v>
      </c>
      <c r="Y28" s="45">
        <v>5.8999999999999997E-2</v>
      </c>
      <c r="Z28" s="45">
        <v>0.10299999999999999</v>
      </c>
      <c r="AA28" s="45">
        <v>7.0999999999999994E-2</v>
      </c>
      <c r="AB28" s="45">
        <v>8.4000000000000005E-2</v>
      </c>
      <c r="AC28" s="45">
        <v>0.107</v>
      </c>
      <c r="AD28" s="45">
        <v>7.1999999999999995E-2</v>
      </c>
      <c r="AE28" s="45">
        <v>8.5000000000000006E-2</v>
      </c>
      <c r="AF28" s="45">
        <v>4.7E-2</v>
      </c>
      <c r="AG28" s="45">
        <v>0.08</v>
      </c>
      <c r="AH28" s="45">
        <v>2.5999999999999999E-2</v>
      </c>
      <c r="AI28" s="45">
        <v>3.7999999999999999E-2</v>
      </c>
      <c r="AJ28" s="45">
        <v>0.05</v>
      </c>
      <c r="AK28" s="45">
        <v>6.2E-2</v>
      </c>
      <c r="AL28" s="45">
        <v>-3.5999999999999997E-2</v>
      </c>
      <c r="AM28" s="45">
        <v>0.14599999999999999</v>
      </c>
      <c r="AN28" s="45">
        <v>8.7999999999999995E-2</v>
      </c>
      <c r="AO28" s="45">
        <v>9.5000000000000001E-2</v>
      </c>
      <c r="AP28" s="45">
        <v>8.5000000000000006E-2</v>
      </c>
      <c r="AQ28" s="45">
        <v>8.6999999999999994E-2</v>
      </c>
      <c r="AR28" s="45">
        <v>8.5000000000000006E-2</v>
      </c>
      <c r="AS28" s="45">
        <v>7.0000000000000007E-2</v>
      </c>
      <c r="AT28" s="45">
        <v>4.7E-2</v>
      </c>
      <c r="AU28" s="45">
        <v>2.8000000000000001E-2</v>
      </c>
      <c r="AV28" s="45">
        <v>2.1000000000000001E-2</v>
      </c>
      <c r="AW28" s="45">
        <v>5.0999999999999997E-2</v>
      </c>
      <c r="AX28" s="45">
        <v>4.3999999999999997E-2</v>
      </c>
      <c r="AY28" s="45">
        <v>7.0000000000000007E-2</v>
      </c>
      <c r="AZ28" s="45">
        <v>8.2000000000000003E-2</v>
      </c>
      <c r="BA28" s="45">
        <v>6.8000000000000005E-2</v>
      </c>
      <c r="BB28" s="45">
        <v>7.8E-2</v>
      </c>
      <c r="BC28" s="45">
        <v>9.2999999999999999E-2</v>
      </c>
      <c r="BD28" s="45">
        <v>6.3E-2</v>
      </c>
      <c r="BE28" s="45">
        <v>0.13200000000000001</v>
      </c>
      <c r="BF28" s="45">
        <v>0.11799999999999999</v>
      </c>
      <c r="BG28" s="45">
        <v>6.4000000000000001E-2</v>
      </c>
      <c r="BH28" s="45">
        <v>4.3999999999999997E-2</v>
      </c>
      <c r="BI28" s="45">
        <v>-0.112</v>
      </c>
      <c r="BJ28" s="45">
        <v>-3.6999999999999998E-2</v>
      </c>
      <c r="BK28" s="45">
        <v>-1E-3</v>
      </c>
      <c r="BL28" s="45">
        <v>2.4E-2</v>
      </c>
      <c r="BM28" s="45">
        <v>0.17899999999999999</v>
      </c>
      <c r="BN28" s="45">
        <v>0.06</v>
      </c>
      <c r="BO28" s="45">
        <v>7.5999999999999998E-2</v>
      </c>
      <c r="BP28" s="45">
        <v>9.9000000000000005E-2</v>
      </c>
      <c r="BQ28" s="45">
        <v>0.11600000000000001</v>
      </c>
      <c r="BR28" s="45">
        <v>0.115</v>
      </c>
      <c r="BS28" s="45">
        <v>6.8000000000000005E-2</v>
      </c>
      <c r="BT28" s="45">
        <v>7.6999999999999999E-2</v>
      </c>
      <c r="BU28" s="45">
        <v>2.5999999999999999E-2</v>
      </c>
      <c r="BV28" s="45">
        <v>0.106</v>
      </c>
      <c r="BW28" s="45">
        <v>0.13500000000000001</v>
      </c>
      <c r="BX28" s="45">
        <v>8.1000000000000003E-2</v>
      </c>
      <c r="BY28" s="45">
        <v>0.10299999999999999</v>
      </c>
      <c r="BZ28" s="45">
        <v>6.8000000000000005E-2</v>
      </c>
      <c r="CA28" s="45">
        <v>4.2000000000000003E-2</v>
      </c>
      <c r="CB28" s="45">
        <v>6.5000000000000002E-2</v>
      </c>
      <c r="CC28" s="45">
        <v>7.8E-2</v>
      </c>
      <c r="CD28" s="45">
        <v>0.11799999999999999</v>
      </c>
      <c r="CE28" s="40"/>
      <c r="CF28" s="45">
        <f>CB28*CB8</f>
        <v>6.5000000000000002E-2</v>
      </c>
      <c r="CG28" s="45">
        <f t="shared" ref="CG28:CH43" si="0">CC28*CC8</f>
        <v>7.8E-2</v>
      </c>
      <c r="CH28" s="45">
        <f t="shared" si="0"/>
        <v>0.11799999999999999</v>
      </c>
    </row>
    <row r="29" spans="1:88" s="160" customFormat="1" ht="10.5" customHeight="1" x14ac:dyDescent="0.75">
      <c r="A29" s="30"/>
      <c r="B29" s="30"/>
      <c r="C29" s="30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27"/>
      <c r="CF29" s="61"/>
      <c r="CG29" s="61"/>
      <c r="CH29" s="61"/>
    </row>
    <row r="30" spans="1:88" ht="14.25" customHeight="1" x14ac:dyDescent="0.6">
      <c r="B30" s="56" t="s">
        <v>10</v>
      </c>
      <c r="C30" s="46"/>
      <c r="D30" s="46"/>
      <c r="E30" s="46"/>
      <c r="F30" s="46"/>
      <c r="G30" s="46"/>
      <c r="H30" s="46">
        <v>0.06</v>
      </c>
      <c r="I30" s="46">
        <v>0.01</v>
      </c>
      <c r="J30" s="46">
        <v>-0.04</v>
      </c>
      <c r="K30" s="46">
        <v>-0.02</v>
      </c>
      <c r="L30" s="46">
        <v>0.04</v>
      </c>
      <c r="M30" s="46">
        <v>7.0000000000000007E-2</v>
      </c>
      <c r="N30" s="46">
        <v>0.08</v>
      </c>
      <c r="O30" s="46">
        <v>0.08</v>
      </c>
      <c r="P30" s="46">
        <v>0.18</v>
      </c>
      <c r="Q30" s="46">
        <v>0.15</v>
      </c>
      <c r="R30" s="46">
        <v>0.09</v>
      </c>
      <c r="S30" s="46">
        <v>0.12</v>
      </c>
      <c r="T30" s="46">
        <v>0.05</v>
      </c>
      <c r="U30" s="46">
        <v>0.04</v>
      </c>
      <c r="V30" s="46">
        <v>0.04</v>
      </c>
      <c r="W30" s="46">
        <v>0.08</v>
      </c>
      <c r="X30" s="46">
        <v>0.06</v>
      </c>
      <c r="Y30" s="46">
        <v>0.1</v>
      </c>
      <c r="Z30" s="46">
        <v>0.13</v>
      </c>
      <c r="AA30" s="46">
        <v>0.06</v>
      </c>
      <c r="AB30" s="46">
        <v>0.11</v>
      </c>
      <c r="AC30" s="46">
        <v>0.12</v>
      </c>
      <c r="AD30" s="46">
        <v>0.11</v>
      </c>
      <c r="AE30" s="46">
        <v>0.05</v>
      </c>
      <c r="AF30" s="46">
        <v>0.04</v>
      </c>
      <c r="AG30" s="46">
        <v>0</v>
      </c>
      <c r="AH30" s="46">
        <v>-0.02</v>
      </c>
      <c r="AI30" s="46">
        <v>0.1</v>
      </c>
      <c r="AJ30" s="46">
        <v>0.15</v>
      </c>
      <c r="AK30" s="46">
        <v>0.13</v>
      </c>
      <c r="AL30" s="46">
        <v>0.03</v>
      </c>
      <c r="AM30" s="46">
        <v>0.09</v>
      </c>
      <c r="AN30" s="46">
        <v>0.11</v>
      </c>
      <c r="AO30" s="46">
        <v>0.16</v>
      </c>
      <c r="AP30" s="46">
        <v>0.13</v>
      </c>
      <c r="AQ30" s="46">
        <v>0.17</v>
      </c>
      <c r="AR30" s="46">
        <v>0.05</v>
      </c>
      <c r="AS30" s="46">
        <v>0.08</v>
      </c>
      <c r="AT30" s="46">
        <v>0.04</v>
      </c>
      <c r="AU30" s="46">
        <v>0.01</v>
      </c>
      <c r="AV30" s="46">
        <v>-0.04</v>
      </c>
      <c r="AW30" s="46">
        <v>-0.06</v>
      </c>
      <c r="AX30" s="46">
        <v>-0.04</v>
      </c>
      <c r="AY30" s="46">
        <v>0.01</v>
      </c>
      <c r="AZ30" s="46">
        <v>0.14000000000000001</v>
      </c>
      <c r="BA30" s="46">
        <v>0.05</v>
      </c>
      <c r="BB30" s="46">
        <v>0.01</v>
      </c>
      <c r="BC30" s="46">
        <v>0.1</v>
      </c>
      <c r="BD30" s="46">
        <v>0</v>
      </c>
      <c r="BE30" s="46">
        <v>0.14000000000000001</v>
      </c>
      <c r="BF30" s="46">
        <v>0.06</v>
      </c>
      <c r="BG30" s="46">
        <v>-0.01</v>
      </c>
      <c r="BH30" s="46">
        <v>0.13</v>
      </c>
      <c r="BI30" s="46">
        <v>-0.08</v>
      </c>
      <c r="BJ30" s="46">
        <v>0.02</v>
      </c>
      <c r="BK30" s="46">
        <v>0.08</v>
      </c>
      <c r="BL30" s="46">
        <v>-0.11</v>
      </c>
      <c r="BM30" s="46">
        <v>7.0000000000000007E-2</v>
      </c>
      <c r="BN30" s="46">
        <v>0.28000000000000003</v>
      </c>
      <c r="BO30" s="46">
        <v>-0.04</v>
      </c>
      <c r="BP30" s="46">
        <v>0</v>
      </c>
      <c r="BQ30" s="46">
        <v>-0.01</v>
      </c>
      <c r="BR30" s="46">
        <v>-0.21</v>
      </c>
      <c r="BS30" s="46">
        <v>-0.01</v>
      </c>
      <c r="BT30" s="46">
        <v>0.11</v>
      </c>
      <c r="BU30" s="46">
        <v>7.0000000000000007E-2</v>
      </c>
      <c r="BV30" s="46">
        <v>0.05</v>
      </c>
      <c r="BW30" s="46">
        <v>0.13</v>
      </c>
      <c r="BX30" s="46">
        <v>-0.01</v>
      </c>
      <c r="BY30" s="46">
        <v>0.06</v>
      </c>
      <c r="BZ30" s="46">
        <v>0.11</v>
      </c>
      <c r="CA30" s="46">
        <v>0.03</v>
      </c>
      <c r="CB30" s="46">
        <v>0.06</v>
      </c>
      <c r="CC30" s="46">
        <v>0.08</v>
      </c>
      <c r="CD30" s="46">
        <v>0.04</v>
      </c>
      <c r="CE30" s="27"/>
      <c r="CF30" s="46">
        <f t="shared" ref="CF30:CF44" si="1">CB30*CB10</f>
        <v>4.6199999999999998E-2</v>
      </c>
      <c r="CG30" s="46">
        <f t="shared" si="0"/>
        <v>6.6400000000000001E-2</v>
      </c>
      <c r="CH30" s="46">
        <f t="shared" si="0"/>
        <v>0.03</v>
      </c>
    </row>
    <row r="31" spans="1:88" ht="13.5" customHeight="1" x14ac:dyDescent="0.6">
      <c r="B31" s="57" t="s">
        <v>11</v>
      </c>
      <c r="C31" s="47"/>
      <c r="D31" s="47"/>
      <c r="E31" s="47"/>
      <c r="F31" s="47"/>
      <c r="G31" s="47"/>
      <c r="H31" s="47">
        <v>0.1</v>
      </c>
      <c r="I31" s="47">
        <v>-0.16</v>
      </c>
      <c r="J31" s="47">
        <v>-0.02</v>
      </c>
      <c r="K31" s="47">
        <v>0.15</v>
      </c>
      <c r="L31" s="47">
        <v>0.02</v>
      </c>
      <c r="M31" s="47">
        <v>7.0000000000000007E-2</v>
      </c>
      <c r="N31" s="47">
        <v>0.02</v>
      </c>
      <c r="O31" s="47">
        <v>-0.01</v>
      </c>
      <c r="P31" s="47">
        <v>0.15</v>
      </c>
      <c r="Q31" s="47">
        <v>0.22</v>
      </c>
      <c r="R31" s="47">
        <v>7.0000000000000007E-2</v>
      </c>
      <c r="S31" s="47">
        <v>0.04</v>
      </c>
      <c r="T31" s="47">
        <v>0.03</v>
      </c>
      <c r="U31" s="47">
        <v>0.08</v>
      </c>
      <c r="V31" s="47">
        <v>0.11</v>
      </c>
      <c r="W31" s="47">
        <v>0.19</v>
      </c>
      <c r="X31" s="47">
        <v>-0.12</v>
      </c>
      <c r="Y31" s="47">
        <v>-0.04</v>
      </c>
      <c r="Z31" s="47">
        <v>0.14000000000000001</v>
      </c>
      <c r="AA31" s="47">
        <v>0.15</v>
      </c>
      <c r="AB31" s="47">
        <v>0.47</v>
      </c>
      <c r="AC31" s="47">
        <v>0.39</v>
      </c>
      <c r="AD31" s="47">
        <v>-0.05</v>
      </c>
      <c r="AE31" s="47">
        <v>-0.03</v>
      </c>
      <c r="AF31" s="47">
        <v>-0.09</v>
      </c>
      <c r="AG31" s="47">
        <v>-0.04</v>
      </c>
      <c r="AH31" s="47">
        <v>0.04</v>
      </c>
      <c r="AI31" s="47">
        <v>0.08</v>
      </c>
      <c r="AJ31" s="47">
        <v>0.27</v>
      </c>
      <c r="AK31" s="47">
        <v>0.27</v>
      </c>
      <c r="AL31" s="47">
        <v>0.28999999999999998</v>
      </c>
      <c r="AM31" s="47">
        <v>0.03</v>
      </c>
      <c r="AN31" s="47">
        <v>0.09</v>
      </c>
      <c r="AO31" s="47">
        <v>-0.06</v>
      </c>
      <c r="AP31" s="47">
        <v>7.0000000000000007E-2</v>
      </c>
      <c r="AQ31" s="47">
        <v>0.13</v>
      </c>
      <c r="AR31" s="47">
        <v>0.17</v>
      </c>
      <c r="AS31" s="47">
        <v>-0.04</v>
      </c>
      <c r="AT31" s="47">
        <v>0.12</v>
      </c>
      <c r="AU31" s="47">
        <v>0.11</v>
      </c>
      <c r="AV31" s="47">
        <v>-0.05</v>
      </c>
      <c r="AW31" s="47">
        <v>0.18</v>
      </c>
      <c r="AX31" s="47">
        <v>0.1</v>
      </c>
      <c r="AY31" s="47">
        <v>0.08</v>
      </c>
      <c r="AZ31" s="47">
        <v>0.04</v>
      </c>
      <c r="BA31" s="47">
        <v>0.02</v>
      </c>
      <c r="BB31" s="47">
        <v>0.05</v>
      </c>
      <c r="BC31" s="47">
        <v>0.09</v>
      </c>
      <c r="BD31" s="47">
        <v>0.17</v>
      </c>
      <c r="BE31" s="47">
        <v>0.49</v>
      </c>
      <c r="BF31" s="47">
        <v>0.01</v>
      </c>
      <c r="BG31" s="47">
        <v>0.06</v>
      </c>
      <c r="BH31" s="47">
        <v>0.15</v>
      </c>
      <c r="BI31" s="47">
        <v>-0.18</v>
      </c>
      <c r="BJ31" s="47">
        <v>0.05</v>
      </c>
      <c r="BK31" s="47">
        <v>0.11</v>
      </c>
      <c r="BL31" s="47">
        <v>0.01</v>
      </c>
      <c r="BM31" s="47">
        <v>0.19</v>
      </c>
      <c r="BN31" s="47">
        <v>0.28999999999999998</v>
      </c>
      <c r="BO31" s="47">
        <v>0.08</v>
      </c>
      <c r="BP31" s="47">
        <v>0.23</v>
      </c>
      <c r="BQ31" s="47">
        <v>0.02</v>
      </c>
      <c r="BR31" s="47">
        <v>0.16</v>
      </c>
      <c r="BS31" s="47">
        <v>-0.01</v>
      </c>
      <c r="BT31" s="47">
        <v>-0.08</v>
      </c>
      <c r="BU31" s="47">
        <v>0.28000000000000003</v>
      </c>
      <c r="BV31" s="47">
        <v>-0.14000000000000001</v>
      </c>
      <c r="BW31" s="47">
        <v>0.01</v>
      </c>
      <c r="BX31" s="47">
        <v>0.05</v>
      </c>
      <c r="BY31" s="47">
        <v>0.01</v>
      </c>
      <c r="BZ31" s="47">
        <v>0.08</v>
      </c>
      <c r="CA31" s="47">
        <v>0.46</v>
      </c>
      <c r="CB31" s="47">
        <v>0.1</v>
      </c>
      <c r="CC31" s="47">
        <v>-0.01</v>
      </c>
      <c r="CD31" s="47">
        <v>0.02</v>
      </c>
      <c r="CE31" s="27"/>
      <c r="CF31" s="47">
        <f t="shared" si="1"/>
        <v>1.6E-2</v>
      </c>
      <c r="CG31" s="47">
        <f t="shared" si="0"/>
        <v>-1.6000000000000001E-3</v>
      </c>
      <c r="CH31" s="47">
        <f t="shared" si="0"/>
        <v>3.2000000000000002E-3</v>
      </c>
    </row>
    <row r="32" spans="1:88" ht="13.5" customHeight="1" x14ac:dyDescent="0.6">
      <c r="B32" s="57" t="s">
        <v>150</v>
      </c>
      <c r="C32" s="47"/>
      <c r="D32" s="47"/>
      <c r="E32" s="47"/>
      <c r="F32" s="47"/>
      <c r="G32" s="47"/>
      <c r="H32" s="47">
        <v>0.06</v>
      </c>
      <c r="I32" s="47">
        <v>0.04</v>
      </c>
      <c r="J32" s="47">
        <v>-0.04</v>
      </c>
      <c r="K32" s="47">
        <v>-0.04</v>
      </c>
      <c r="L32" s="47">
        <v>0.04</v>
      </c>
      <c r="M32" s="47">
        <v>7.0000000000000007E-2</v>
      </c>
      <c r="N32" s="47">
        <v>0.08</v>
      </c>
      <c r="O32" s="47">
        <v>0.09</v>
      </c>
      <c r="P32" s="47">
        <v>0.18</v>
      </c>
      <c r="Q32" s="47">
        <v>0.14000000000000001</v>
      </c>
      <c r="R32" s="47">
        <v>0.09</v>
      </c>
      <c r="S32" s="47">
        <v>0.13</v>
      </c>
      <c r="T32" s="47">
        <v>0.05</v>
      </c>
      <c r="U32" s="47">
        <v>0.03</v>
      </c>
      <c r="V32" s="47">
        <v>0.03</v>
      </c>
      <c r="W32" s="47">
        <v>7.0000000000000007E-2</v>
      </c>
      <c r="X32" s="47">
        <v>0.09</v>
      </c>
      <c r="Y32" s="47">
        <v>0.12</v>
      </c>
      <c r="Z32" s="47">
        <v>0.12</v>
      </c>
      <c r="AA32" s="47">
        <v>0.05</v>
      </c>
      <c r="AB32" s="47">
        <v>7.0000000000000007E-2</v>
      </c>
      <c r="AC32" s="47">
        <v>0.08</v>
      </c>
      <c r="AD32" s="47">
        <v>0.14000000000000001</v>
      </c>
      <c r="AE32" s="47">
        <v>0.06</v>
      </c>
      <c r="AF32" s="47">
        <v>7.0000000000000007E-2</v>
      </c>
      <c r="AG32" s="47">
        <v>0.01</v>
      </c>
      <c r="AH32" s="47">
        <v>-0.03</v>
      </c>
      <c r="AI32" s="47">
        <v>0.11</v>
      </c>
      <c r="AJ32" s="47">
        <v>0.13</v>
      </c>
      <c r="AK32" s="47">
        <v>0.1</v>
      </c>
      <c r="AL32" s="47">
        <v>0</v>
      </c>
      <c r="AM32" s="47">
        <v>0.1</v>
      </c>
      <c r="AN32" s="47">
        <v>0.12</v>
      </c>
      <c r="AO32" s="47">
        <v>0.21</v>
      </c>
      <c r="AP32" s="47">
        <v>0.14000000000000001</v>
      </c>
      <c r="AQ32" s="47">
        <v>0.18</v>
      </c>
      <c r="AR32" s="47">
        <v>0.03</v>
      </c>
      <c r="AS32" s="47">
        <v>0.1</v>
      </c>
      <c r="AT32" s="47">
        <v>0.02</v>
      </c>
      <c r="AU32" s="47">
        <v>-0.01</v>
      </c>
      <c r="AV32" s="47">
        <v>-0.04</v>
      </c>
      <c r="AW32" s="47">
        <v>-0.09</v>
      </c>
      <c r="AX32" s="47">
        <v>-7.0000000000000007E-2</v>
      </c>
      <c r="AY32" s="47">
        <v>0</v>
      </c>
      <c r="AZ32" s="47">
        <v>0.16</v>
      </c>
      <c r="BA32" s="47">
        <v>0.06</v>
      </c>
      <c r="BB32" s="47">
        <v>0.01</v>
      </c>
      <c r="BC32" s="47">
        <v>0.1</v>
      </c>
      <c r="BD32" s="47">
        <v>-0.02</v>
      </c>
      <c r="BE32" s="47">
        <v>0.08</v>
      </c>
      <c r="BF32" s="47">
        <v>7.0000000000000007E-2</v>
      </c>
      <c r="BG32" s="47">
        <v>-0.02</v>
      </c>
      <c r="BH32" s="47">
        <v>0.13</v>
      </c>
      <c r="BI32" s="47">
        <v>-0.06</v>
      </c>
      <c r="BJ32" s="47">
        <v>0.01</v>
      </c>
      <c r="BK32" s="47">
        <v>0.08</v>
      </c>
      <c r="BL32" s="47">
        <v>-0.13</v>
      </c>
      <c r="BM32" s="47">
        <v>0.05</v>
      </c>
      <c r="BN32" s="47">
        <v>0.27</v>
      </c>
      <c r="BO32" s="47">
        <v>-0.06</v>
      </c>
      <c r="BP32" s="47">
        <v>-0.06</v>
      </c>
      <c r="BQ32" s="47">
        <v>-0.02</v>
      </c>
      <c r="BR32" s="47">
        <v>-0.28999999999999998</v>
      </c>
      <c r="BS32" s="47">
        <v>-0.01</v>
      </c>
      <c r="BT32" s="47">
        <v>0.16</v>
      </c>
      <c r="BU32" s="47">
        <v>0.03</v>
      </c>
      <c r="BV32" s="47">
        <v>0.11</v>
      </c>
      <c r="BW32" s="47">
        <v>0.15</v>
      </c>
      <c r="BX32" s="47">
        <v>-0.03</v>
      </c>
      <c r="BY32" s="47">
        <v>0.08</v>
      </c>
      <c r="BZ32" s="47">
        <v>0.12</v>
      </c>
      <c r="CA32" s="47">
        <v>-0.05</v>
      </c>
      <c r="CB32" s="47">
        <v>0.05</v>
      </c>
      <c r="CC32" s="47">
        <v>0.1</v>
      </c>
      <c r="CD32" s="47">
        <v>0.04</v>
      </c>
      <c r="CE32" s="27"/>
      <c r="CF32" s="47">
        <f t="shared" si="1"/>
        <v>3.0499999999999999E-2</v>
      </c>
      <c r="CG32" s="47">
        <f t="shared" si="0"/>
        <v>6.8000000000000005E-2</v>
      </c>
      <c r="CH32" s="47">
        <f t="shared" si="0"/>
        <v>2.4E-2</v>
      </c>
    </row>
    <row r="33" spans="1:86" s="160" customFormat="1" ht="6.75" customHeight="1" x14ac:dyDescent="0.75">
      <c r="A33" s="30"/>
      <c r="B33" s="30"/>
      <c r="C33" s="30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27"/>
      <c r="CF33" s="31"/>
      <c r="CG33" s="31"/>
      <c r="CH33" s="31"/>
    </row>
    <row r="34" spans="1:86" ht="14.25" customHeight="1" x14ac:dyDescent="0.6">
      <c r="B34" s="56" t="s">
        <v>13</v>
      </c>
      <c r="C34" s="46"/>
      <c r="D34" s="46"/>
      <c r="E34" s="46"/>
      <c r="F34" s="46"/>
      <c r="G34" s="46"/>
      <c r="H34" s="46">
        <v>0.44</v>
      </c>
      <c r="I34" s="46">
        <v>0.22</v>
      </c>
      <c r="J34" s="46">
        <v>0.22</v>
      </c>
      <c r="K34" s="46">
        <v>0.24</v>
      </c>
      <c r="L34" s="46">
        <v>0.15</v>
      </c>
      <c r="M34" s="46">
        <v>0.37</v>
      </c>
      <c r="N34" s="46">
        <v>0.41</v>
      </c>
      <c r="O34" s="46">
        <v>0.33</v>
      </c>
      <c r="P34" s="46">
        <v>0.4</v>
      </c>
      <c r="Q34" s="46">
        <v>0.05</v>
      </c>
      <c r="R34" s="46">
        <v>-0.12</v>
      </c>
      <c r="S34" s="46">
        <v>-0.11</v>
      </c>
      <c r="T34" s="46">
        <v>-0.02</v>
      </c>
      <c r="U34" s="46">
        <v>-0.08</v>
      </c>
      <c r="V34" s="46">
        <v>0.15</v>
      </c>
      <c r="W34" s="46">
        <v>0.25</v>
      </c>
      <c r="X34" s="46">
        <v>0.15</v>
      </c>
      <c r="Y34" s="46">
        <v>0.09</v>
      </c>
      <c r="Z34" s="46">
        <v>0.11</v>
      </c>
      <c r="AA34" s="46">
        <v>0.03</v>
      </c>
      <c r="AB34" s="46">
        <v>0.11</v>
      </c>
      <c r="AC34" s="46">
        <v>0.23</v>
      </c>
      <c r="AD34" s="46">
        <v>0.26</v>
      </c>
      <c r="AE34" s="46">
        <v>0.28999999999999998</v>
      </c>
      <c r="AF34" s="46">
        <v>0.12</v>
      </c>
      <c r="AG34" s="46">
        <v>0.18</v>
      </c>
      <c r="AH34" s="46">
        <v>0.02</v>
      </c>
      <c r="AI34" s="46">
        <v>0.01</v>
      </c>
      <c r="AJ34" s="46">
        <v>0.06</v>
      </c>
      <c r="AK34" s="46">
        <v>0.08</v>
      </c>
      <c r="AL34" s="46">
        <v>-0.05</v>
      </c>
      <c r="AM34" s="46">
        <v>0.12</v>
      </c>
      <c r="AN34" s="46">
        <v>0.13</v>
      </c>
      <c r="AO34" s="46">
        <v>0.16</v>
      </c>
      <c r="AP34" s="46">
        <v>0.28000000000000003</v>
      </c>
      <c r="AQ34" s="46">
        <v>0.17</v>
      </c>
      <c r="AR34" s="46">
        <v>0.18</v>
      </c>
      <c r="AS34" s="46">
        <v>0.12</v>
      </c>
      <c r="AT34" s="46">
        <v>0.14000000000000001</v>
      </c>
      <c r="AU34" s="46">
        <v>-7.0000000000000007E-2</v>
      </c>
      <c r="AV34" s="46">
        <v>-0.08</v>
      </c>
      <c r="AW34" s="46">
        <v>-0.08</v>
      </c>
      <c r="AX34" s="46">
        <v>0.02</v>
      </c>
      <c r="AY34" s="46">
        <v>0</v>
      </c>
      <c r="AZ34" s="46">
        <v>-0.02</v>
      </c>
      <c r="BA34" s="46">
        <v>0</v>
      </c>
      <c r="BB34" s="46">
        <v>0.02</v>
      </c>
      <c r="BC34" s="46">
        <v>0.16</v>
      </c>
      <c r="BD34" s="46">
        <v>0.2</v>
      </c>
      <c r="BE34" s="46">
        <v>0.35</v>
      </c>
      <c r="BF34" s="46">
        <v>0.4</v>
      </c>
      <c r="BG34" s="46">
        <v>0.28999999999999998</v>
      </c>
      <c r="BH34" s="46">
        <v>0.08</v>
      </c>
      <c r="BI34" s="46">
        <v>-0.21</v>
      </c>
      <c r="BJ34" s="46">
        <v>-0.23</v>
      </c>
      <c r="BK34" s="46">
        <v>-0.13</v>
      </c>
      <c r="BL34" s="46">
        <v>7.0000000000000007E-2</v>
      </c>
      <c r="BM34" s="46">
        <v>0.37</v>
      </c>
      <c r="BN34" s="46">
        <v>0.25</v>
      </c>
      <c r="BO34" s="46">
        <v>0.11</v>
      </c>
      <c r="BP34" s="46">
        <v>7.0000000000000007E-2</v>
      </c>
      <c r="BQ34" s="46">
        <v>0.3</v>
      </c>
      <c r="BR34" s="46">
        <v>0.22</v>
      </c>
      <c r="BS34" s="46">
        <v>7.0000000000000007E-2</v>
      </c>
      <c r="BT34" s="46">
        <v>0.19</v>
      </c>
      <c r="BU34" s="46">
        <v>0.01</v>
      </c>
      <c r="BV34" s="46">
        <v>0.26</v>
      </c>
      <c r="BW34" s="46">
        <v>0.31</v>
      </c>
      <c r="BX34" s="46">
        <v>0.22</v>
      </c>
      <c r="BY34" s="46">
        <v>7.0000000000000007E-2</v>
      </c>
      <c r="BZ34" s="46">
        <v>-0.15</v>
      </c>
      <c r="CA34" s="46">
        <v>-0.08</v>
      </c>
      <c r="CB34" s="46">
        <v>0.03</v>
      </c>
      <c r="CC34" s="46">
        <v>-0.04</v>
      </c>
      <c r="CD34" s="46">
        <v>0.21</v>
      </c>
      <c r="CE34" s="27"/>
      <c r="CF34" s="46">
        <f t="shared" si="1"/>
        <v>1.14E-2</v>
      </c>
      <c r="CG34" s="46">
        <f t="shared" si="0"/>
        <v>-1.2E-2</v>
      </c>
      <c r="CH34" s="46">
        <f t="shared" si="0"/>
        <v>7.7699999999999991E-2</v>
      </c>
    </row>
    <row r="35" spans="1:86" ht="13.5" customHeight="1" x14ac:dyDescent="0.6">
      <c r="B35" s="57" t="s">
        <v>151</v>
      </c>
      <c r="C35" s="47"/>
      <c r="D35" s="47"/>
      <c r="E35" s="47"/>
      <c r="F35" s="47"/>
      <c r="G35" s="47"/>
      <c r="H35" s="47">
        <v>0.3</v>
      </c>
      <c r="I35" s="47">
        <v>0.08</v>
      </c>
      <c r="J35" s="47">
        <v>0.13</v>
      </c>
      <c r="K35" s="47">
        <v>0.13</v>
      </c>
      <c r="L35" s="47">
        <v>0.15</v>
      </c>
      <c r="M35" s="47">
        <v>0.32</v>
      </c>
      <c r="N35" s="47">
        <v>0.38</v>
      </c>
      <c r="O35" s="47">
        <v>0.32</v>
      </c>
      <c r="P35" s="47">
        <v>0.27</v>
      </c>
      <c r="Q35" s="47">
        <v>0</v>
      </c>
      <c r="R35" s="47">
        <v>-0.14000000000000001</v>
      </c>
      <c r="S35" s="47">
        <v>-0.03</v>
      </c>
      <c r="T35" s="47">
        <v>0.04</v>
      </c>
      <c r="U35" s="47">
        <v>0.04</v>
      </c>
      <c r="V35" s="47">
        <v>0.12</v>
      </c>
      <c r="W35" s="47">
        <v>0.17</v>
      </c>
      <c r="X35" s="47">
        <v>0.25</v>
      </c>
      <c r="Y35" s="47">
        <v>0.2</v>
      </c>
      <c r="Z35" s="47">
        <v>0.26</v>
      </c>
      <c r="AA35" s="47">
        <v>0.27</v>
      </c>
      <c r="AB35" s="47">
        <v>0</v>
      </c>
      <c r="AC35" s="47">
        <v>0.17</v>
      </c>
      <c r="AD35" s="47">
        <v>0.25</v>
      </c>
      <c r="AE35" s="47">
        <v>0.22</v>
      </c>
      <c r="AF35" s="47">
        <v>0.22</v>
      </c>
      <c r="AG35" s="47">
        <v>0.17</v>
      </c>
      <c r="AH35" s="47">
        <v>0.1</v>
      </c>
      <c r="AI35" s="47">
        <v>0</v>
      </c>
      <c r="AJ35" s="47">
        <v>0.08</v>
      </c>
      <c r="AK35" s="47">
        <v>0.06</v>
      </c>
      <c r="AL35" s="47">
        <v>-0.11</v>
      </c>
      <c r="AM35" s="47">
        <v>0.16</v>
      </c>
      <c r="AN35" s="47">
        <v>0.13</v>
      </c>
      <c r="AO35" s="47">
        <v>0.18</v>
      </c>
      <c r="AP35" s="47">
        <v>0.28999999999999998</v>
      </c>
      <c r="AQ35" s="47">
        <v>0.08</v>
      </c>
      <c r="AR35" s="47">
        <v>0.05</v>
      </c>
      <c r="AS35" s="47">
        <v>0.09</v>
      </c>
      <c r="AT35" s="47">
        <v>0.06</v>
      </c>
      <c r="AU35" s="47">
        <v>-0.08</v>
      </c>
      <c r="AV35" s="47">
        <v>-0.14000000000000001</v>
      </c>
      <c r="AW35" s="47">
        <v>-0.12</v>
      </c>
      <c r="AX35" s="47">
        <v>-0.05</v>
      </c>
      <c r="AY35" s="47">
        <v>-0.08</v>
      </c>
      <c r="AZ35" s="47">
        <v>-0.05</v>
      </c>
      <c r="BA35" s="47">
        <v>0.01</v>
      </c>
      <c r="BB35" s="47">
        <v>7.0000000000000007E-2</v>
      </c>
      <c r="BC35" s="47">
        <v>0.14000000000000001</v>
      </c>
      <c r="BD35" s="47">
        <v>0.28000000000000003</v>
      </c>
      <c r="BE35" s="47">
        <v>0.36</v>
      </c>
      <c r="BF35" s="47">
        <v>0.34</v>
      </c>
      <c r="BG35" s="47">
        <v>0.32</v>
      </c>
      <c r="BH35" s="47">
        <v>0.05</v>
      </c>
      <c r="BI35" s="47">
        <v>-0.2</v>
      </c>
      <c r="BJ35" s="47">
        <v>-0.06</v>
      </c>
      <c r="BK35" s="47">
        <v>-0.02</v>
      </c>
      <c r="BL35" s="47">
        <v>0.27</v>
      </c>
      <c r="BM35" s="47">
        <v>0.16</v>
      </c>
      <c r="BN35" s="47">
        <v>0.1</v>
      </c>
      <c r="BO35" s="47">
        <v>0.09</v>
      </c>
      <c r="BP35" s="47">
        <v>0.26</v>
      </c>
      <c r="BQ35" s="47">
        <v>0.75</v>
      </c>
      <c r="BR35" s="47">
        <v>0.21</v>
      </c>
      <c r="BS35" s="47">
        <v>0.2</v>
      </c>
      <c r="BT35" s="47">
        <v>-0.06</v>
      </c>
      <c r="BU35" s="47">
        <v>-7.0000000000000007E-2</v>
      </c>
      <c r="BV35" s="47">
        <v>0.2</v>
      </c>
      <c r="BW35" s="47">
        <v>0.28000000000000003</v>
      </c>
      <c r="BX35" s="47">
        <v>0.32</v>
      </c>
      <c r="BY35" s="47">
        <v>0.17</v>
      </c>
      <c r="BZ35" s="47">
        <v>-0.05</v>
      </c>
      <c r="CA35" s="47">
        <v>-7.0000000000000007E-2</v>
      </c>
      <c r="CB35" s="47">
        <v>0.02</v>
      </c>
      <c r="CC35" s="47">
        <v>0.05</v>
      </c>
      <c r="CD35" s="47">
        <v>0.2</v>
      </c>
      <c r="CE35" s="27"/>
      <c r="CF35" s="47">
        <f t="shared" si="1"/>
        <v>4.7999999999999996E-3</v>
      </c>
      <c r="CG35" s="47">
        <f t="shared" si="0"/>
        <v>1.0500000000000001E-2</v>
      </c>
      <c r="CH35" s="47">
        <f t="shared" si="0"/>
        <v>4.2000000000000003E-2</v>
      </c>
    </row>
    <row r="36" spans="1:86" ht="13.5" customHeight="1" x14ac:dyDescent="0.6">
      <c r="B36" s="57" t="s">
        <v>152</v>
      </c>
      <c r="C36" s="47"/>
      <c r="D36" s="47"/>
      <c r="E36" s="47"/>
      <c r="F36" s="47"/>
      <c r="G36" s="47"/>
      <c r="H36" s="47">
        <v>1</v>
      </c>
      <c r="I36" s="47">
        <v>0.55000000000000004</v>
      </c>
      <c r="J36" s="47">
        <v>0.44</v>
      </c>
      <c r="K36" s="47">
        <v>0.51</v>
      </c>
      <c r="L36" s="47">
        <v>0.13</v>
      </c>
      <c r="M36" s="47">
        <v>0.48</v>
      </c>
      <c r="N36" s="47">
        <v>0.5</v>
      </c>
      <c r="O36" s="47">
        <v>0.38</v>
      </c>
      <c r="P36" s="47">
        <v>0.74</v>
      </c>
      <c r="Q36" s="47">
        <v>0.11</v>
      </c>
      <c r="R36" s="47">
        <v>-0.09</v>
      </c>
      <c r="S36" s="47">
        <v>-0.24</v>
      </c>
      <c r="T36" s="47">
        <v>-0.14000000000000001</v>
      </c>
      <c r="U36" s="47">
        <v>-0.24</v>
      </c>
      <c r="V36" s="47">
        <v>0.21</v>
      </c>
      <c r="W36" s="47">
        <v>0.44</v>
      </c>
      <c r="X36" s="47">
        <v>0.03</v>
      </c>
      <c r="Y36" s="47">
        <v>-0.01</v>
      </c>
      <c r="Z36" s="47">
        <v>-0.21</v>
      </c>
      <c r="AA36" s="47">
        <v>-0.35</v>
      </c>
      <c r="AB36" s="47">
        <v>0.28999999999999998</v>
      </c>
      <c r="AC36" s="47">
        <v>0.2</v>
      </c>
      <c r="AD36" s="47">
        <v>0.52</v>
      </c>
      <c r="AE36" s="47">
        <v>0.5</v>
      </c>
      <c r="AF36" s="47">
        <v>-0.08</v>
      </c>
      <c r="AG36" s="47">
        <v>0.09</v>
      </c>
      <c r="AH36" s="47">
        <v>-0.12</v>
      </c>
      <c r="AI36" s="47">
        <v>0.06</v>
      </c>
      <c r="AJ36" s="47">
        <v>-0.02</v>
      </c>
      <c r="AK36" s="47">
        <v>0.02</v>
      </c>
      <c r="AL36" s="47">
        <v>7.0000000000000007E-2</v>
      </c>
      <c r="AM36" s="47">
        <v>0.05</v>
      </c>
      <c r="AN36" s="47">
        <v>0.16</v>
      </c>
      <c r="AO36" s="47">
        <v>0.24</v>
      </c>
      <c r="AP36" s="47">
        <v>0.28000000000000003</v>
      </c>
      <c r="AQ36" s="47">
        <v>0.46</v>
      </c>
      <c r="AR36" s="47">
        <v>0.64</v>
      </c>
      <c r="AS36" s="47">
        <v>0.45</v>
      </c>
      <c r="AT36" s="47">
        <v>0.3</v>
      </c>
      <c r="AU36" s="47">
        <v>-0.14000000000000001</v>
      </c>
      <c r="AV36" s="47">
        <v>-0.05</v>
      </c>
      <c r="AW36" s="47">
        <v>-0.14000000000000001</v>
      </c>
      <c r="AX36" s="47">
        <v>0.1</v>
      </c>
      <c r="AY36" s="47">
        <v>0.14000000000000001</v>
      </c>
      <c r="AZ36" s="47">
        <v>7.0000000000000007E-2</v>
      </c>
      <c r="BA36" s="47">
        <v>0.02</v>
      </c>
      <c r="BB36" s="47">
        <v>-0.03</v>
      </c>
      <c r="BC36" s="47">
        <v>0.19</v>
      </c>
      <c r="BD36" s="47">
        <v>0.1</v>
      </c>
      <c r="BE36" s="47">
        <v>0.48</v>
      </c>
      <c r="BF36" s="47">
        <v>0.37</v>
      </c>
      <c r="BG36" s="47">
        <v>0.23</v>
      </c>
      <c r="BH36" s="47">
        <v>0.15</v>
      </c>
      <c r="BI36" s="47">
        <v>-0.28000000000000003</v>
      </c>
      <c r="BJ36" s="47">
        <v>-0.28999999999999998</v>
      </c>
      <c r="BK36" s="47">
        <v>-0.17</v>
      </c>
      <c r="BL36" s="47">
        <v>0.27</v>
      </c>
      <c r="BM36" s="47">
        <v>1.62</v>
      </c>
      <c r="BN36" s="47">
        <v>1.22</v>
      </c>
      <c r="BO36" s="47">
        <v>0.76</v>
      </c>
      <c r="BP36" s="47">
        <v>-0.28999999999999998</v>
      </c>
      <c r="BQ36" s="47">
        <v>-0.11</v>
      </c>
      <c r="BR36" s="47">
        <v>0.22</v>
      </c>
      <c r="BS36" s="47">
        <v>-0.11</v>
      </c>
      <c r="BT36" s="47">
        <v>1.08</v>
      </c>
      <c r="BU36" s="47">
        <v>0.15</v>
      </c>
      <c r="BV36" s="47">
        <v>0.33</v>
      </c>
      <c r="BW36" s="47">
        <v>0.36</v>
      </c>
      <c r="BX36" s="47">
        <v>0.06</v>
      </c>
      <c r="BY36" s="47">
        <v>-0.06</v>
      </c>
      <c r="BZ36" s="47">
        <v>-0.27</v>
      </c>
      <c r="CA36" s="47">
        <v>-0.11</v>
      </c>
      <c r="CB36" s="47">
        <v>0.05</v>
      </c>
      <c r="CC36" s="47">
        <v>-0.21</v>
      </c>
      <c r="CD36" s="47">
        <v>0.24</v>
      </c>
      <c r="CE36" s="27"/>
      <c r="CF36" s="47">
        <f t="shared" si="1"/>
        <v>7.4999999999999997E-3</v>
      </c>
      <c r="CG36" s="47">
        <f t="shared" si="0"/>
        <v>-1.89E-2</v>
      </c>
      <c r="CH36" s="47">
        <f t="shared" si="0"/>
        <v>3.8399999999999997E-2</v>
      </c>
    </row>
    <row r="37" spans="1:86" s="160" customFormat="1" ht="6.75" customHeight="1" x14ac:dyDescent="0.75">
      <c r="A37" s="30"/>
      <c r="B37" s="30"/>
      <c r="C37" s="30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27"/>
      <c r="CF37" s="31"/>
      <c r="CG37" s="31"/>
      <c r="CH37" s="31"/>
    </row>
    <row r="38" spans="1:86" ht="14.25" customHeight="1" x14ac:dyDescent="0.6">
      <c r="B38" s="56" t="s">
        <v>14</v>
      </c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46"/>
      <c r="BX38" s="46"/>
      <c r="BY38" s="46"/>
      <c r="BZ38" s="46"/>
      <c r="CA38" s="46"/>
      <c r="CB38" s="46"/>
      <c r="CC38" s="46"/>
      <c r="CD38" s="46"/>
      <c r="CE38" s="27"/>
      <c r="CF38" s="46">
        <f t="shared" si="1"/>
        <v>0</v>
      </c>
      <c r="CG38" s="46">
        <f t="shared" si="0"/>
        <v>0</v>
      </c>
      <c r="CH38" s="46">
        <f t="shared" si="0"/>
        <v>0</v>
      </c>
    </row>
    <row r="39" spans="1:86" ht="14.25" customHeight="1" x14ac:dyDescent="0.6">
      <c r="B39" s="58" t="s">
        <v>153</v>
      </c>
      <c r="C39" s="48"/>
      <c r="D39" s="48"/>
      <c r="E39" s="48"/>
      <c r="F39" s="48"/>
      <c r="G39" s="48"/>
      <c r="H39" s="48">
        <v>0.49</v>
      </c>
      <c r="I39" s="48">
        <v>0.31</v>
      </c>
      <c r="J39" s="48">
        <v>0.52</v>
      </c>
      <c r="K39" s="48">
        <v>0.48</v>
      </c>
      <c r="L39" s="48">
        <v>-0.05</v>
      </c>
      <c r="M39" s="48">
        <v>-7.0000000000000007E-2</v>
      </c>
      <c r="N39" s="48">
        <v>-0.17</v>
      </c>
      <c r="O39" s="48">
        <v>-0.18</v>
      </c>
      <c r="P39" s="48">
        <v>-0.04</v>
      </c>
      <c r="Q39" s="48">
        <v>-0.11</v>
      </c>
      <c r="R39" s="48">
        <v>0.06</v>
      </c>
      <c r="S39" s="48">
        <v>-0.02</v>
      </c>
      <c r="T39" s="48">
        <v>-0.02</v>
      </c>
      <c r="U39" s="48">
        <v>0.1</v>
      </c>
      <c r="V39" s="48">
        <v>0.15</v>
      </c>
      <c r="W39" s="48">
        <v>0.12</v>
      </c>
      <c r="X39" s="48">
        <v>0.32</v>
      </c>
      <c r="Y39" s="48">
        <v>0.08</v>
      </c>
      <c r="Z39" s="48">
        <v>0.25</v>
      </c>
      <c r="AA39" s="48">
        <v>0.3</v>
      </c>
      <c r="AB39" s="48">
        <v>0.1</v>
      </c>
      <c r="AC39" s="48">
        <v>0.13</v>
      </c>
      <c r="AD39" s="48">
        <v>0.06</v>
      </c>
      <c r="AE39" s="48">
        <v>0.08</v>
      </c>
      <c r="AF39" s="48">
        <v>0.02</v>
      </c>
      <c r="AG39" s="48">
        <v>0.41</v>
      </c>
      <c r="AH39" s="48">
        <v>0.22</v>
      </c>
      <c r="AI39" s="48">
        <v>0.13</v>
      </c>
      <c r="AJ39" s="48">
        <v>0.11</v>
      </c>
      <c r="AK39" s="48">
        <v>-0.05</v>
      </c>
      <c r="AL39" s="48">
        <v>7.0000000000000007E-2</v>
      </c>
      <c r="AM39" s="48">
        <v>0.18</v>
      </c>
      <c r="AN39" s="48">
        <v>0.13</v>
      </c>
      <c r="AO39" s="48">
        <v>0.09</v>
      </c>
      <c r="AP39" s="48">
        <v>0.01</v>
      </c>
      <c r="AQ39" s="48">
        <v>0.03</v>
      </c>
      <c r="AR39" s="48">
        <v>0.1</v>
      </c>
      <c r="AS39" s="48">
        <v>0.01</v>
      </c>
      <c r="AT39" s="48">
        <v>0.25</v>
      </c>
      <c r="AU39" s="48">
        <v>0.15</v>
      </c>
      <c r="AV39" s="48">
        <v>0.36</v>
      </c>
      <c r="AW39" s="48">
        <v>0.56000000000000005</v>
      </c>
      <c r="AX39" s="48">
        <v>0.3</v>
      </c>
      <c r="AY39" s="48">
        <v>0.49</v>
      </c>
      <c r="AZ39" s="48">
        <v>0.1</v>
      </c>
      <c r="BA39" s="48">
        <v>7.0000000000000007E-2</v>
      </c>
      <c r="BB39" s="48">
        <v>0.22</v>
      </c>
      <c r="BC39" s="48">
        <v>0.04</v>
      </c>
      <c r="BD39" s="48">
        <v>0.09</v>
      </c>
      <c r="BE39" s="48">
        <v>0.13</v>
      </c>
      <c r="BF39" s="48">
        <v>0.22</v>
      </c>
      <c r="BG39" s="48">
        <v>0.34</v>
      </c>
      <c r="BH39" s="48">
        <v>0.12</v>
      </c>
      <c r="BI39" s="48">
        <v>-0.24</v>
      </c>
      <c r="BJ39" s="48">
        <v>0.06</v>
      </c>
      <c r="BK39" s="48">
        <v>-0.28999999999999998</v>
      </c>
      <c r="BL39" s="48">
        <v>-0.26</v>
      </c>
      <c r="BM39" s="48">
        <v>0.25</v>
      </c>
      <c r="BN39" s="48">
        <v>-0.16</v>
      </c>
      <c r="BO39" s="48">
        <v>0.44</v>
      </c>
      <c r="BP39" s="48">
        <v>0.81</v>
      </c>
      <c r="BQ39" s="48">
        <v>0.73</v>
      </c>
      <c r="BR39" s="48">
        <v>0.62</v>
      </c>
      <c r="BS39" s="48">
        <v>0.31</v>
      </c>
      <c r="BT39" s="48">
        <v>0.27</v>
      </c>
      <c r="BU39" s="48">
        <v>0.24</v>
      </c>
      <c r="BV39" s="48">
        <v>0.14000000000000001</v>
      </c>
      <c r="BW39" s="48">
        <v>0.18</v>
      </c>
      <c r="BX39" s="48">
        <v>0.15</v>
      </c>
      <c r="BY39" s="48">
        <v>0.11</v>
      </c>
      <c r="BZ39" s="48">
        <v>0.34</v>
      </c>
      <c r="CA39" s="48">
        <v>0.3</v>
      </c>
      <c r="CB39" s="48">
        <v>-0.01</v>
      </c>
      <c r="CC39" s="48">
        <v>-0.15</v>
      </c>
      <c r="CD39" s="48">
        <v>-0.21</v>
      </c>
      <c r="CE39" s="27"/>
      <c r="CF39" s="48">
        <f t="shared" si="1"/>
        <v>-2.3E-3</v>
      </c>
      <c r="CG39" s="48">
        <f t="shared" si="0"/>
        <v>-2.8499999999999998E-2</v>
      </c>
      <c r="CH39" s="48">
        <f t="shared" si="0"/>
        <v>-5.2499999999999998E-2</v>
      </c>
    </row>
    <row r="40" spans="1:86" ht="13.5" customHeight="1" x14ac:dyDescent="0.6">
      <c r="B40" s="57" t="s">
        <v>154</v>
      </c>
      <c r="C40" s="47"/>
      <c r="D40" s="47"/>
      <c r="E40" s="47"/>
      <c r="F40" s="47"/>
      <c r="G40" s="47"/>
      <c r="H40" s="47">
        <v>0.38</v>
      </c>
      <c r="I40" s="47">
        <v>-0.09</v>
      </c>
      <c r="J40" s="47">
        <v>0.28999999999999998</v>
      </c>
      <c r="K40" s="47">
        <v>0.23</v>
      </c>
      <c r="L40" s="47">
        <v>0.39</v>
      </c>
      <c r="M40" s="47">
        <v>0.35</v>
      </c>
      <c r="N40" s="47">
        <v>0.14000000000000001</v>
      </c>
      <c r="O40" s="47">
        <v>0.11</v>
      </c>
      <c r="P40" s="47">
        <v>-0.24</v>
      </c>
      <c r="Q40" s="47">
        <v>-0.39</v>
      </c>
      <c r="R40" s="47">
        <v>-0.12</v>
      </c>
      <c r="S40" s="47">
        <v>-0.27</v>
      </c>
      <c r="T40" s="47">
        <v>0.06</v>
      </c>
      <c r="U40" s="47">
        <v>0.36</v>
      </c>
      <c r="V40" s="47">
        <v>0.39</v>
      </c>
      <c r="W40" s="47">
        <v>0.3</v>
      </c>
      <c r="X40" s="47">
        <v>0.92</v>
      </c>
      <c r="Y40" s="47">
        <v>0.2</v>
      </c>
      <c r="Z40" s="47">
        <v>0.6</v>
      </c>
      <c r="AA40" s="47">
        <v>0.87</v>
      </c>
      <c r="AB40" s="47">
        <v>0.3</v>
      </c>
      <c r="AC40" s="47">
        <v>0.39</v>
      </c>
      <c r="AD40" s="47">
        <v>0.14000000000000001</v>
      </c>
      <c r="AE40" s="47">
        <v>0.16</v>
      </c>
      <c r="AF40" s="47">
        <v>-0.04</v>
      </c>
      <c r="AG40" s="47">
        <v>0.67</v>
      </c>
      <c r="AH40" s="47">
        <v>0.27</v>
      </c>
      <c r="AI40" s="47">
        <v>0.13</v>
      </c>
      <c r="AJ40" s="47">
        <v>-0.05</v>
      </c>
      <c r="AK40" s="47">
        <v>-0.27</v>
      </c>
      <c r="AL40" s="47">
        <v>-0.08</v>
      </c>
      <c r="AM40" s="47">
        <v>0.08</v>
      </c>
      <c r="AN40" s="47">
        <v>0.1</v>
      </c>
      <c r="AO40" s="47">
        <v>0.03</v>
      </c>
      <c r="AP40" s="47">
        <v>-0.1</v>
      </c>
      <c r="AQ40" s="47">
        <v>-0.08</v>
      </c>
      <c r="AR40" s="47">
        <v>0.05</v>
      </c>
      <c r="AS40" s="47">
        <v>0.02</v>
      </c>
      <c r="AT40" s="47">
        <v>0.17</v>
      </c>
      <c r="AU40" s="47">
        <v>0.17</v>
      </c>
      <c r="AV40" s="47">
        <v>0.99</v>
      </c>
      <c r="AW40" s="47">
        <v>1.2</v>
      </c>
      <c r="AX40" s="47">
        <v>0.98</v>
      </c>
      <c r="AY40" s="47">
        <v>1.03</v>
      </c>
      <c r="AZ40" s="47">
        <v>0.23</v>
      </c>
      <c r="BA40" s="47">
        <v>0.16</v>
      </c>
      <c r="BB40" s="47">
        <v>0.09</v>
      </c>
      <c r="BC40" s="47">
        <v>7.0000000000000007E-2</v>
      </c>
      <c r="BD40" s="47">
        <v>-0.01</v>
      </c>
      <c r="BE40" s="47">
        <v>0.13</v>
      </c>
      <c r="BF40" s="47">
        <v>0.41</v>
      </c>
      <c r="BG40" s="47">
        <v>0.49</v>
      </c>
      <c r="BH40" s="47">
        <v>0.41</v>
      </c>
      <c r="BI40" s="47">
        <v>0.06</v>
      </c>
      <c r="BJ40" s="47">
        <v>0.5</v>
      </c>
      <c r="BK40" s="47">
        <v>-0.12</v>
      </c>
      <c r="BL40" s="47">
        <v>-0.31</v>
      </c>
      <c r="BM40" s="47">
        <v>0.08</v>
      </c>
      <c r="BN40" s="47">
        <v>-0.25</v>
      </c>
      <c r="BO40" s="47">
        <v>0.4</v>
      </c>
      <c r="BP40" s="47">
        <v>1.2</v>
      </c>
      <c r="BQ40" s="47">
        <v>0.8</v>
      </c>
      <c r="BR40" s="47">
        <v>0.64</v>
      </c>
      <c r="BS40" s="47">
        <v>0.33</v>
      </c>
      <c r="BT40" s="47">
        <v>0.28000000000000003</v>
      </c>
      <c r="BU40" s="47">
        <v>0.37</v>
      </c>
      <c r="BV40" s="47">
        <v>0.09</v>
      </c>
      <c r="BW40" s="47">
        <v>0.16</v>
      </c>
      <c r="BX40" s="47">
        <v>0.17</v>
      </c>
      <c r="BY40" s="47">
        <v>7.0000000000000007E-2</v>
      </c>
      <c r="BZ40" s="47">
        <v>0.41</v>
      </c>
      <c r="CA40" s="47">
        <v>0.4</v>
      </c>
      <c r="CB40" s="47">
        <v>-0.02</v>
      </c>
      <c r="CC40" s="47">
        <v>-0.21</v>
      </c>
      <c r="CD40" s="47">
        <v>-0.28000000000000003</v>
      </c>
      <c r="CE40" s="27"/>
      <c r="CF40" s="47">
        <f t="shared" si="1"/>
        <v>-3.4000000000000002E-3</v>
      </c>
      <c r="CG40" s="47">
        <f t="shared" si="0"/>
        <v>-2.7300000000000001E-2</v>
      </c>
      <c r="CH40" s="47">
        <f t="shared" si="0"/>
        <v>-4.4800000000000006E-2</v>
      </c>
    </row>
    <row r="41" spans="1:86" ht="13.5" customHeight="1" x14ac:dyDescent="0.6">
      <c r="B41" s="57" t="s">
        <v>155</v>
      </c>
      <c r="C41" s="47"/>
      <c r="D41" s="47"/>
      <c r="E41" s="47"/>
      <c r="F41" s="47"/>
      <c r="G41" s="47"/>
      <c r="H41" s="47">
        <v>0.53</v>
      </c>
      <c r="I41" s="47">
        <v>0.63</v>
      </c>
      <c r="J41" s="47">
        <v>0.64</v>
      </c>
      <c r="K41" s="47">
        <v>0.65</v>
      </c>
      <c r="L41" s="47">
        <v>-0.22</v>
      </c>
      <c r="M41" s="47">
        <v>-0.27</v>
      </c>
      <c r="N41" s="47">
        <v>-0.31</v>
      </c>
      <c r="O41" s="47">
        <v>-0.32</v>
      </c>
      <c r="P41" s="47">
        <v>0.11</v>
      </c>
      <c r="Q41" s="47">
        <v>0.14000000000000001</v>
      </c>
      <c r="R41" s="47">
        <v>0.2</v>
      </c>
      <c r="S41" s="47">
        <v>0.2</v>
      </c>
      <c r="T41" s="47">
        <v>-0.06</v>
      </c>
      <c r="U41" s="47">
        <v>-0.03</v>
      </c>
      <c r="V41" s="47">
        <v>0</v>
      </c>
      <c r="W41" s="47">
        <v>0.02</v>
      </c>
      <c r="X41" s="47">
        <v>0.03</v>
      </c>
      <c r="Y41" s="47">
        <v>0</v>
      </c>
      <c r="Z41" s="47">
        <v>-0.03</v>
      </c>
      <c r="AA41" s="47">
        <v>-0.04</v>
      </c>
      <c r="AB41" s="47">
        <v>-0.08</v>
      </c>
      <c r="AC41" s="47">
        <v>-7.0000000000000007E-2</v>
      </c>
      <c r="AD41" s="47">
        <v>-0.04</v>
      </c>
      <c r="AE41" s="47">
        <v>-0.01</v>
      </c>
      <c r="AF41" s="47">
        <v>0.11</v>
      </c>
      <c r="AG41" s="47">
        <v>0.12</v>
      </c>
      <c r="AH41" s="47">
        <v>0.11</v>
      </c>
      <c r="AI41" s="47">
        <v>0.11</v>
      </c>
      <c r="AJ41" s="47">
        <v>0.31</v>
      </c>
      <c r="AK41" s="47">
        <v>0.32</v>
      </c>
      <c r="AL41" s="47">
        <v>0.32</v>
      </c>
      <c r="AM41" s="47">
        <v>0.3</v>
      </c>
      <c r="AN41" s="47">
        <v>0.14000000000000001</v>
      </c>
      <c r="AO41" s="47">
        <v>0.14000000000000001</v>
      </c>
      <c r="AP41" s="47">
        <v>0.14000000000000001</v>
      </c>
      <c r="AQ41" s="47">
        <v>0.14000000000000001</v>
      </c>
      <c r="AR41" s="47">
        <v>0.13</v>
      </c>
      <c r="AS41" s="47">
        <v>0.02</v>
      </c>
      <c r="AT41" s="47">
        <v>0.3</v>
      </c>
      <c r="AU41" s="47">
        <v>0.15</v>
      </c>
      <c r="AV41" s="47">
        <v>-0.01</v>
      </c>
      <c r="AW41" s="47">
        <v>0.16</v>
      </c>
      <c r="AX41" s="47">
        <v>-0.09</v>
      </c>
      <c r="AY41" s="47">
        <v>0.14000000000000001</v>
      </c>
      <c r="AZ41" s="47">
        <v>-0.05</v>
      </c>
      <c r="BA41" s="47">
        <v>-0.02</v>
      </c>
      <c r="BB41" s="47">
        <v>0.38</v>
      </c>
      <c r="BC41" s="47">
        <v>0.02</v>
      </c>
      <c r="BD41" s="47">
        <v>0.24</v>
      </c>
      <c r="BE41" s="47">
        <v>0.13</v>
      </c>
      <c r="BF41" s="47">
        <v>0.03</v>
      </c>
      <c r="BG41" s="47">
        <v>0.16</v>
      </c>
      <c r="BH41" s="47">
        <v>-0.22</v>
      </c>
      <c r="BI41" s="47">
        <v>-0.67</v>
      </c>
      <c r="BJ41" s="47">
        <v>-0.54</v>
      </c>
      <c r="BK41" s="47">
        <v>-0.56000000000000005</v>
      </c>
      <c r="BL41" s="47">
        <v>-0.16</v>
      </c>
      <c r="BM41" s="47">
        <v>0.98</v>
      </c>
      <c r="BN41" s="47">
        <v>0.21</v>
      </c>
      <c r="BO41" s="47">
        <v>0.57999999999999996</v>
      </c>
      <c r="BP41" s="47">
        <v>0.19</v>
      </c>
      <c r="BQ41" s="47">
        <v>0.56999999999999995</v>
      </c>
      <c r="BR41" s="47">
        <v>0.59</v>
      </c>
      <c r="BS41" s="47">
        <v>0.25</v>
      </c>
      <c r="BT41" s="47">
        <v>0.25</v>
      </c>
      <c r="BU41" s="47">
        <v>-0.08</v>
      </c>
      <c r="BV41" s="47">
        <v>0.26</v>
      </c>
      <c r="BW41" s="47">
        <v>0.24</v>
      </c>
      <c r="BX41" s="47">
        <v>0.11</v>
      </c>
      <c r="BY41" s="47">
        <v>0.25</v>
      </c>
      <c r="BZ41" s="47">
        <v>0.19</v>
      </c>
      <c r="CA41" s="47">
        <v>0.04</v>
      </c>
      <c r="CB41" s="47">
        <v>0.04</v>
      </c>
      <c r="CC41" s="47">
        <v>7.0000000000000007E-2</v>
      </c>
      <c r="CD41" s="47">
        <v>-0.02</v>
      </c>
      <c r="CE41" s="27"/>
      <c r="CF41" s="47">
        <f t="shared" si="1"/>
        <v>2.3999999999999998E-3</v>
      </c>
      <c r="CG41" s="47">
        <f t="shared" si="0"/>
        <v>4.2000000000000006E-3</v>
      </c>
      <c r="CH41" s="47">
        <f t="shared" si="0"/>
        <v>-1.8E-3</v>
      </c>
    </row>
    <row r="42" spans="1:86" ht="14.25" customHeight="1" x14ac:dyDescent="0.6">
      <c r="B42" s="58" t="s">
        <v>156</v>
      </c>
      <c r="C42" s="48"/>
      <c r="D42" s="48"/>
      <c r="E42" s="48"/>
      <c r="F42" s="48"/>
      <c r="G42" s="48"/>
      <c r="H42" s="48">
        <v>0.23</v>
      </c>
      <c r="I42" s="48">
        <v>0.09</v>
      </c>
      <c r="J42" s="48">
        <v>0.1</v>
      </c>
      <c r="K42" s="48">
        <v>0.1</v>
      </c>
      <c r="L42" s="48">
        <v>-0.11</v>
      </c>
      <c r="M42" s="48">
        <v>-0.01</v>
      </c>
      <c r="N42" s="48">
        <v>0</v>
      </c>
      <c r="O42" s="48">
        <v>0</v>
      </c>
      <c r="P42" s="48">
        <v>0.38</v>
      </c>
      <c r="Q42" s="48">
        <v>0.2</v>
      </c>
      <c r="R42" s="48">
        <v>0.08</v>
      </c>
      <c r="S42" s="48">
        <v>0.08</v>
      </c>
      <c r="T42" s="48">
        <v>-0.04</v>
      </c>
      <c r="U42" s="48">
        <v>-7.0000000000000007E-2</v>
      </c>
      <c r="V42" s="48">
        <v>0.06</v>
      </c>
      <c r="W42" s="48">
        <v>0.15</v>
      </c>
      <c r="X42" s="48">
        <v>0.18</v>
      </c>
      <c r="Y42" s="48">
        <v>0.18</v>
      </c>
      <c r="Z42" s="48">
        <v>0.23</v>
      </c>
      <c r="AA42" s="48">
        <v>0.13</v>
      </c>
      <c r="AB42" s="48">
        <v>0.18</v>
      </c>
      <c r="AC42" s="48">
        <v>0.21</v>
      </c>
      <c r="AD42" s="48">
        <v>0.25</v>
      </c>
      <c r="AE42" s="48">
        <v>0.11</v>
      </c>
      <c r="AF42" s="48">
        <v>0.08</v>
      </c>
      <c r="AG42" s="48">
        <v>0.09</v>
      </c>
      <c r="AH42" s="48">
        <v>0.01</v>
      </c>
      <c r="AI42" s="48">
        <v>0.19</v>
      </c>
      <c r="AJ42" s="48">
        <v>0.28999999999999998</v>
      </c>
      <c r="AK42" s="48">
        <v>0.13</v>
      </c>
      <c r="AL42" s="48">
        <v>0.15</v>
      </c>
      <c r="AM42" s="48">
        <v>0.04</v>
      </c>
      <c r="AN42" s="48">
        <v>0.17</v>
      </c>
      <c r="AO42" s="48">
        <v>0.26</v>
      </c>
      <c r="AP42" s="48">
        <v>0.22</v>
      </c>
      <c r="AQ42" s="48">
        <v>0.28000000000000003</v>
      </c>
      <c r="AR42" s="48">
        <v>7.0000000000000007E-2</v>
      </c>
      <c r="AS42" s="48">
        <v>0.09</v>
      </c>
      <c r="AT42" s="48">
        <v>0.16</v>
      </c>
      <c r="AU42" s="48">
        <v>-0.01</v>
      </c>
      <c r="AV42" s="48">
        <v>0.03</v>
      </c>
      <c r="AW42" s="48">
        <v>0.02</v>
      </c>
      <c r="AX42" s="48">
        <v>0.04</v>
      </c>
      <c r="AY42" s="48">
        <v>0.14000000000000001</v>
      </c>
      <c r="AZ42" s="48">
        <v>0.14000000000000001</v>
      </c>
      <c r="BA42" s="48">
        <v>0.02</v>
      </c>
      <c r="BB42" s="48">
        <v>0.06</v>
      </c>
      <c r="BC42" s="48">
        <v>0.1</v>
      </c>
      <c r="BD42" s="48">
        <v>0.04</v>
      </c>
      <c r="BE42" s="48">
        <v>0.22</v>
      </c>
      <c r="BF42" s="48">
        <v>0.23</v>
      </c>
      <c r="BG42" s="48">
        <v>0.22</v>
      </c>
      <c r="BH42" s="48">
        <v>0.23</v>
      </c>
      <c r="BI42" s="48">
        <v>-0.19</v>
      </c>
      <c r="BJ42" s="48">
        <v>0</v>
      </c>
      <c r="BK42" s="48">
        <v>-0.15</v>
      </c>
      <c r="BL42" s="48">
        <v>-0.28000000000000003</v>
      </c>
      <c r="BM42" s="48">
        <v>0.09</v>
      </c>
      <c r="BN42" s="48">
        <v>0.31</v>
      </c>
      <c r="BO42" s="48">
        <v>-0.01</v>
      </c>
      <c r="BP42" s="48">
        <v>0.06</v>
      </c>
      <c r="BQ42" s="48">
        <v>0.17</v>
      </c>
      <c r="BR42" s="48">
        <v>-0.23</v>
      </c>
      <c r="BS42" s="48">
        <v>0</v>
      </c>
      <c r="BT42" s="48">
        <v>0.38</v>
      </c>
      <c r="BU42" s="48">
        <v>0.24</v>
      </c>
      <c r="BV42" s="48">
        <v>0.15</v>
      </c>
      <c r="BW42" s="48">
        <v>0.3</v>
      </c>
      <c r="BX42" s="48">
        <v>0.05</v>
      </c>
      <c r="BY42" s="48">
        <v>0.01</v>
      </c>
      <c r="BZ42" s="48">
        <v>0.09</v>
      </c>
      <c r="CA42" s="48">
        <v>0.06</v>
      </c>
      <c r="CB42" s="48">
        <v>-0.01</v>
      </c>
      <c r="CC42" s="48">
        <v>-0.17</v>
      </c>
      <c r="CD42" s="48">
        <v>-0.16</v>
      </c>
      <c r="CE42" s="27"/>
      <c r="CF42" s="48">
        <f t="shared" si="1"/>
        <v>-3.9000000000000003E-3</v>
      </c>
      <c r="CG42" s="48">
        <f t="shared" si="0"/>
        <v>-5.6100000000000004E-2</v>
      </c>
      <c r="CH42" s="48">
        <f t="shared" si="0"/>
        <v>-6.08E-2</v>
      </c>
    </row>
    <row r="43" spans="1:86" ht="13.5" customHeight="1" x14ac:dyDescent="0.6">
      <c r="B43" s="57" t="s">
        <v>154</v>
      </c>
      <c r="C43" s="47"/>
      <c r="D43" s="47"/>
      <c r="E43" s="47"/>
      <c r="F43" s="47"/>
      <c r="G43" s="47"/>
      <c r="H43" s="47">
        <v>0.39</v>
      </c>
      <c r="I43" s="47">
        <v>0.14000000000000001</v>
      </c>
      <c r="J43" s="47">
        <v>0.24</v>
      </c>
      <c r="K43" s="47">
        <v>0.28999999999999998</v>
      </c>
      <c r="L43" s="47">
        <v>0.08</v>
      </c>
      <c r="M43" s="47">
        <v>0.24</v>
      </c>
      <c r="N43" s="47">
        <v>0.21</v>
      </c>
      <c r="O43" s="47">
        <v>0.17</v>
      </c>
      <c r="P43" s="47">
        <v>0.52</v>
      </c>
      <c r="Q43" s="47">
        <v>0.15</v>
      </c>
      <c r="R43" s="47">
        <v>0.03</v>
      </c>
      <c r="S43" s="47">
        <v>0.04</v>
      </c>
      <c r="T43" s="47">
        <v>0.02</v>
      </c>
      <c r="U43" s="47">
        <v>-0.01</v>
      </c>
      <c r="V43" s="47">
        <v>0.1</v>
      </c>
      <c r="W43" s="47">
        <v>0.24</v>
      </c>
      <c r="X43" s="47">
        <v>0.2</v>
      </c>
      <c r="Y43" s="47">
        <v>0.21</v>
      </c>
      <c r="Z43" s="47">
        <v>0.27</v>
      </c>
      <c r="AA43" s="47">
        <v>0.15</v>
      </c>
      <c r="AB43" s="47">
        <v>0.24</v>
      </c>
      <c r="AC43" s="47">
        <v>0.27</v>
      </c>
      <c r="AD43" s="47">
        <v>0.28999999999999998</v>
      </c>
      <c r="AE43" s="47">
        <v>0.12</v>
      </c>
      <c r="AF43" s="47">
        <v>0.03</v>
      </c>
      <c r="AG43" s="47">
        <v>0.05</v>
      </c>
      <c r="AH43" s="47">
        <v>-0.02</v>
      </c>
      <c r="AI43" s="47">
        <v>0.18</v>
      </c>
      <c r="AJ43" s="47">
        <v>0.31</v>
      </c>
      <c r="AK43" s="47">
        <v>0.13</v>
      </c>
      <c r="AL43" s="47">
        <v>0.13</v>
      </c>
      <c r="AM43" s="47">
        <v>0</v>
      </c>
      <c r="AN43" s="47">
        <v>0.03</v>
      </c>
      <c r="AO43" s="47">
        <v>0.15</v>
      </c>
      <c r="AP43" s="47">
        <v>0.11</v>
      </c>
      <c r="AQ43" s="47">
        <v>0.16</v>
      </c>
      <c r="AR43" s="47">
        <v>0.11</v>
      </c>
      <c r="AS43" s="47">
        <v>0.09</v>
      </c>
      <c r="AT43" s="47">
        <v>0.13</v>
      </c>
      <c r="AU43" s="47">
        <v>-0.03</v>
      </c>
      <c r="AV43" s="47">
        <v>0.05</v>
      </c>
      <c r="AW43" s="47">
        <v>0.06</v>
      </c>
      <c r="AX43" s="47">
        <v>0.08</v>
      </c>
      <c r="AY43" s="47">
        <v>0.2</v>
      </c>
      <c r="AZ43" s="47">
        <v>0.16</v>
      </c>
      <c r="BA43" s="47">
        <v>0.05</v>
      </c>
      <c r="BB43" s="47">
        <v>0.11</v>
      </c>
      <c r="BC43" s="47">
        <v>0.17</v>
      </c>
      <c r="BD43" s="47">
        <v>0.06</v>
      </c>
      <c r="BE43" s="47">
        <v>0.32</v>
      </c>
      <c r="BF43" s="47">
        <v>0.3</v>
      </c>
      <c r="BG43" s="47">
        <v>0.31</v>
      </c>
      <c r="BH43" s="47">
        <v>0.4</v>
      </c>
      <c r="BI43" s="47">
        <v>-0.04</v>
      </c>
      <c r="BJ43" s="47">
        <v>0.21</v>
      </c>
      <c r="BK43" s="47">
        <v>0.01</v>
      </c>
      <c r="BL43" s="47">
        <v>-0.22</v>
      </c>
      <c r="BM43" s="47">
        <v>0.04</v>
      </c>
      <c r="BN43" s="47">
        <v>0.3</v>
      </c>
      <c r="BO43" s="47">
        <v>-7.0000000000000007E-2</v>
      </c>
      <c r="BP43" s="47">
        <v>0</v>
      </c>
      <c r="BQ43" s="47">
        <v>0.16</v>
      </c>
      <c r="BR43" s="47">
        <v>-0.24</v>
      </c>
      <c r="BS43" s="47">
        <v>-7.0000000000000007E-2</v>
      </c>
      <c r="BT43" s="47">
        <v>0.44</v>
      </c>
      <c r="BU43" s="47">
        <v>0.26</v>
      </c>
      <c r="BV43" s="47">
        <v>0.14000000000000001</v>
      </c>
      <c r="BW43" s="47">
        <v>0.37</v>
      </c>
      <c r="BX43" s="47">
        <v>0.05</v>
      </c>
      <c r="BY43" s="47">
        <v>0</v>
      </c>
      <c r="BZ43" s="47">
        <v>0.08</v>
      </c>
      <c r="CA43" s="47">
        <v>7.0000000000000007E-2</v>
      </c>
      <c r="CB43" s="47">
        <v>-0.02</v>
      </c>
      <c r="CC43" s="47">
        <v>-0.23</v>
      </c>
      <c r="CD43" s="47">
        <v>-0.2</v>
      </c>
      <c r="CE43" s="27"/>
      <c r="CF43" s="47">
        <f t="shared" si="1"/>
        <v>-6.6000000000000008E-3</v>
      </c>
      <c r="CG43" s="47">
        <f t="shared" si="0"/>
        <v>-5.9800000000000006E-2</v>
      </c>
      <c r="CH43" s="47">
        <f t="shared" si="0"/>
        <v>-6.2E-2</v>
      </c>
    </row>
    <row r="44" spans="1:86" ht="13.5" customHeight="1" thickBot="1" x14ac:dyDescent="0.75">
      <c r="B44" s="59" t="s">
        <v>155</v>
      </c>
      <c r="C44" s="49"/>
      <c r="D44" s="49"/>
      <c r="E44" s="49"/>
      <c r="F44" s="49"/>
      <c r="G44" s="49"/>
      <c r="H44" s="49">
        <v>0.1</v>
      </c>
      <c r="I44" s="49">
        <v>0.03</v>
      </c>
      <c r="J44" s="49">
        <v>-0.05</v>
      </c>
      <c r="K44" s="49">
        <v>-0.12</v>
      </c>
      <c r="L44" s="49">
        <v>-0.31</v>
      </c>
      <c r="M44" s="49">
        <v>-0.33</v>
      </c>
      <c r="N44" s="49">
        <v>-0.32</v>
      </c>
      <c r="O44" s="49">
        <v>-0.25</v>
      </c>
      <c r="P44" s="49">
        <v>0.15</v>
      </c>
      <c r="Q44" s="49">
        <v>0.32</v>
      </c>
      <c r="R44" s="49">
        <v>0.21</v>
      </c>
      <c r="S44" s="49">
        <v>0.21</v>
      </c>
      <c r="T44" s="49">
        <v>-0.18</v>
      </c>
      <c r="U44" s="49">
        <v>-0.2</v>
      </c>
      <c r="V44" s="49">
        <v>-7.0000000000000007E-2</v>
      </c>
      <c r="W44" s="49">
        <v>-7.0000000000000007E-2</v>
      </c>
      <c r="X44" s="49">
        <v>0.12</v>
      </c>
      <c r="Y44" s="49">
        <v>0.11</v>
      </c>
      <c r="Z44" s="49">
        <v>0.14000000000000001</v>
      </c>
      <c r="AA44" s="49">
        <v>7.0000000000000007E-2</v>
      </c>
      <c r="AB44" s="49">
        <v>0.02</v>
      </c>
      <c r="AC44" s="49">
        <v>0.04</v>
      </c>
      <c r="AD44" s="49">
        <v>0.11</v>
      </c>
      <c r="AE44" s="49">
        <v>0.09</v>
      </c>
      <c r="AF44" s="49">
        <v>0.24</v>
      </c>
      <c r="AG44" s="49">
        <v>0.24</v>
      </c>
      <c r="AH44" s="49">
        <v>0.16</v>
      </c>
      <c r="AI44" s="49">
        <v>0.2</v>
      </c>
      <c r="AJ44" s="49">
        <v>0.23</v>
      </c>
      <c r="AK44" s="49">
        <v>0.13</v>
      </c>
      <c r="AL44" s="49">
        <v>0.2</v>
      </c>
      <c r="AM44" s="49">
        <v>0.16</v>
      </c>
      <c r="AN44" s="49">
        <v>0.51</v>
      </c>
      <c r="AO44" s="49">
        <v>0.52</v>
      </c>
      <c r="AP44" s="49">
        <v>0.46</v>
      </c>
      <c r="AQ44" s="49">
        <v>0.55000000000000004</v>
      </c>
      <c r="AR44" s="49">
        <v>0.02</v>
      </c>
      <c r="AS44" s="49">
        <v>0.1</v>
      </c>
      <c r="AT44" s="49">
        <v>0.21</v>
      </c>
      <c r="AU44" s="49">
        <v>0.04</v>
      </c>
      <c r="AV44" s="49">
        <v>0</v>
      </c>
      <c r="AW44" s="49">
        <v>-0.06</v>
      </c>
      <c r="AX44" s="49">
        <v>-0.02</v>
      </c>
      <c r="AY44" s="49">
        <v>0.05</v>
      </c>
      <c r="AZ44" s="49">
        <v>0.09</v>
      </c>
      <c r="BA44" s="49">
        <v>-0.04</v>
      </c>
      <c r="BB44" s="49">
        <v>-0.03</v>
      </c>
      <c r="BC44" s="49">
        <v>-0.04</v>
      </c>
      <c r="BD44" s="49">
        <v>0.01</v>
      </c>
      <c r="BE44" s="49">
        <v>0.01</v>
      </c>
      <c r="BF44" s="49">
        <v>0.08</v>
      </c>
      <c r="BG44" s="49">
        <v>0.02</v>
      </c>
      <c r="BH44" s="49">
        <v>-0.13</v>
      </c>
      <c r="BI44" s="49">
        <v>-0.62</v>
      </c>
      <c r="BJ44" s="49">
        <v>-0.55000000000000004</v>
      </c>
      <c r="BK44" s="49">
        <v>-0.61</v>
      </c>
      <c r="BL44" s="49">
        <v>-0.5</v>
      </c>
      <c r="BM44" s="49">
        <v>0.53</v>
      </c>
      <c r="BN44" s="49">
        <v>0.36</v>
      </c>
      <c r="BO44" s="49">
        <v>0.44</v>
      </c>
      <c r="BP44" s="49">
        <v>0.42</v>
      </c>
      <c r="BQ44" s="49">
        <v>0.23</v>
      </c>
      <c r="BR44" s="49">
        <v>-0.13</v>
      </c>
      <c r="BS44" s="49">
        <v>0.38</v>
      </c>
      <c r="BT44" s="49">
        <v>0.11</v>
      </c>
      <c r="BU44" s="49">
        <v>0.15</v>
      </c>
      <c r="BV44" s="49">
        <v>0.24</v>
      </c>
      <c r="BW44" s="49">
        <v>0.02</v>
      </c>
      <c r="BX44" s="49">
        <v>0.04</v>
      </c>
      <c r="BY44" s="49">
        <v>0.05</v>
      </c>
      <c r="BZ44" s="49">
        <v>0.17</v>
      </c>
      <c r="CA44" s="49">
        <v>0</v>
      </c>
      <c r="CB44" s="49">
        <v>0.02</v>
      </c>
      <c r="CC44" s="49">
        <v>0.18</v>
      </c>
      <c r="CD44" s="49">
        <v>0.06</v>
      </c>
      <c r="CE44" s="27"/>
      <c r="CF44" s="49">
        <f t="shared" si="1"/>
        <v>1.1999999999999999E-3</v>
      </c>
      <c r="CG44" s="49">
        <f t="shared" ref="CG44" si="2">CC44*CC24</f>
        <v>1.0799999999999999E-2</v>
      </c>
      <c r="CH44" s="49">
        <f t="shared" ref="CH44" si="3">CD44*CD24</f>
        <v>4.2000000000000006E-3</v>
      </c>
    </row>
    <row r="45" spans="1:86" ht="12" customHeight="1" thickTop="1" x14ac:dyDescent="0.6">
      <c r="B45" s="41" t="s">
        <v>158</v>
      </c>
      <c r="C45" s="42"/>
    </row>
    <row r="46" spans="1:86" ht="12" customHeight="1" x14ac:dyDescent="0.6">
      <c r="B46" s="43">
        <v>46007</v>
      </c>
      <c r="C46" s="44"/>
    </row>
    <row r="47" spans="1:86" ht="12" customHeight="1" x14ac:dyDescent="0.6">
      <c r="B47" s="43"/>
      <c r="C47" s="44"/>
    </row>
  </sheetData>
  <mergeCells count="1">
    <mergeCell ref="CF27:CJ27"/>
  </mergeCells>
  <conditionalFormatting sqref="D9:CD9 D13:CD13 D17:CD17">
    <cfRule type="cellIs" dxfId="8" priority="2" operator="lessThan">
      <formula>0</formula>
    </cfRule>
  </conditionalFormatting>
  <conditionalFormatting sqref="D26:CD26">
    <cfRule type="cellIs" dxfId="7" priority="3" operator="lessThan">
      <formula>0</formula>
    </cfRule>
  </conditionalFormatting>
  <pageMargins left="0.7" right="0.7" top="0.75" bottom="0.75" header="0.3" footer="0.3"/>
  <pageSetup paperSize="9" scale="66" fitToHeight="0" orientation="landscape" horizontalDpi="4294967293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C101-18C1-497E-BF01-36F8607C8538}">
  <sheetPr codeName="Sheet10"/>
  <dimension ref="A1:U78"/>
  <sheetViews>
    <sheetView topLeftCell="F58" workbookViewId="0">
      <selection activeCell="T71" sqref="T71"/>
    </sheetView>
  </sheetViews>
  <sheetFormatPr defaultRowHeight="13" x14ac:dyDescent="0.6"/>
  <cols>
    <col min="1" max="1" width="42.54296875" style="172" customWidth="1"/>
    <col min="13" max="13" width="8.7265625" style="186"/>
    <col min="22" max="22" width="8.6796875" customWidth="1"/>
  </cols>
  <sheetData>
    <row r="1" spans="1:21" ht="18.5" thickBot="1" x14ac:dyDescent="0.9">
      <c r="A1" s="25" t="s">
        <v>114</v>
      </c>
    </row>
    <row r="2" spans="1:21" ht="17" thickTop="1" thickBot="1" x14ac:dyDescent="0.85">
      <c r="A2" s="158" t="s">
        <v>148</v>
      </c>
      <c r="B2" s="171">
        <f>SUP!B1</f>
        <v>2006</v>
      </c>
      <c r="C2" s="171">
        <f>SUP!C1</f>
        <v>2007</v>
      </c>
      <c r="D2" s="171">
        <f>SUP!D1</f>
        <v>2008</v>
      </c>
      <c r="E2" s="171">
        <f>SUP!E1</f>
        <v>2009</v>
      </c>
      <c r="F2" s="171">
        <f>SUP!F1</f>
        <v>2010</v>
      </c>
      <c r="G2" s="171">
        <f>SUP!G1</f>
        <v>2011</v>
      </c>
      <c r="H2" s="171">
        <f>SUP!H1</f>
        <v>2012</v>
      </c>
      <c r="I2" s="171">
        <f>SUP!I1</f>
        <v>2013</v>
      </c>
      <c r="J2" s="171">
        <f>SUP!J1</f>
        <v>2014</v>
      </c>
      <c r="K2" s="171">
        <f>SUP!K1</f>
        <v>2015</v>
      </c>
      <c r="L2" s="171">
        <f>SUP!L1</f>
        <v>2016</v>
      </c>
      <c r="M2" s="188">
        <v>2017</v>
      </c>
      <c r="N2" s="157">
        <v>2018</v>
      </c>
      <c r="O2" s="157">
        <v>2019</v>
      </c>
      <c r="P2" s="157">
        <v>2020</v>
      </c>
      <c r="Q2" s="157">
        <v>2021</v>
      </c>
      <c r="R2" s="157">
        <v>2022</v>
      </c>
      <c r="S2" s="157">
        <v>2023</v>
      </c>
      <c r="T2" s="157">
        <v>2024</v>
      </c>
      <c r="U2" s="157">
        <v>2025</v>
      </c>
    </row>
    <row r="3" spans="1:21" ht="13.75" thickTop="1" x14ac:dyDescent="0.6">
      <c r="A3" s="173" t="s">
        <v>311</v>
      </c>
      <c r="B3" s="29">
        <f>SUM('T3 GDP XQ'!D7:G7)</f>
        <v>1806</v>
      </c>
      <c r="C3" s="29">
        <f>SUM('T3 GDP XQ'!H7:K7)</f>
        <v>2197</v>
      </c>
      <c r="D3" s="29">
        <f>SUM('T3 GDP XQ'!L7:O7)</f>
        <v>2799</v>
      </c>
      <c r="E3" s="29">
        <f>SUM('T3 GDP XQ'!P7:S7)</f>
        <v>3185</v>
      </c>
      <c r="F3" s="29">
        <f>SUM('T3 GDP XQ'!T7:W7)</f>
        <v>3529</v>
      </c>
      <c r="G3" s="29">
        <f>SUM('T3 GDP XQ'!X7:AA7)</f>
        <v>4084</v>
      </c>
      <c r="H3" s="29">
        <f>SUM('T3 GDP XQ'!AB7:AE7)</f>
        <v>4642</v>
      </c>
      <c r="I3" s="29">
        <f>SUM('T3 GDP XQ'!AF7:AI7)</f>
        <v>4988</v>
      </c>
      <c r="J3" s="29">
        <f>SUM('T3 GDP XQ'!AJ7:AM7)</f>
        <v>5548</v>
      </c>
      <c r="K3" s="29">
        <f>SUM('T3 GDP XQ'!AN7:AQ7)</f>
        <v>6081</v>
      </c>
      <c r="L3" s="29">
        <f>SUM('T3 GDP XQ'!AR7:AU7)</f>
        <v>6768</v>
      </c>
      <c r="M3" s="29">
        <f>SUM('T3 GDP XQ'!AV7:AY7)</f>
        <v>7621</v>
      </c>
      <c r="N3" s="29">
        <f>SUM('T3 GDP XQ'!AZ7:BC7)</f>
        <v>8309</v>
      </c>
      <c r="O3" s="29">
        <f>SUM('T3 GDP XQ'!BD7:BG7)</f>
        <v>9460</v>
      </c>
      <c r="P3" s="29">
        <f>SUM('T3 GDP XQ'!BH7:BK7)</f>
        <v>9891</v>
      </c>
      <c r="Q3" s="29">
        <f>SUM('T3 GDP XQ'!BL7:BO7)</f>
        <v>11125</v>
      </c>
      <c r="R3" s="29">
        <f>SUM('T3 GDP XQ'!BP7:BS7)</f>
        <v>14164</v>
      </c>
      <c r="S3" s="29">
        <f>SUM('T3 GDP XQ'!BU7:BX7)</f>
        <v>17660</v>
      </c>
      <c r="T3" s="29">
        <f>SUM('T3 GDP XQ'!BY7:CB7)</f>
        <v>20680</v>
      </c>
      <c r="U3" s="29">
        <f>SUM('T3 GDP XQ'!CB7:CD7)</f>
        <v>16600</v>
      </c>
    </row>
    <row r="4" spans="1:21" ht="17.75" x14ac:dyDescent="0.75">
      <c r="A4" s="174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</row>
    <row r="5" spans="1:21" x14ac:dyDescent="0.6">
      <c r="A5" s="173" t="s">
        <v>10</v>
      </c>
      <c r="B5" s="29">
        <f>SUM('T3 GDP XQ'!D9:G9)</f>
        <v>1737</v>
      </c>
      <c r="C5" s="29">
        <f>SUM('T3 GDP XQ'!H9:K9)</f>
        <v>2015</v>
      </c>
      <c r="D5" s="29">
        <f>SUM('T3 GDP XQ'!L9:O9)</f>
        <v>2620</v>
      </c>
      <c r="E5" s="29">
        <f>SUM('T3 GDP XQ'!P9:S9)</f>
        <v>3024</v>
      </c>
      <c r="F5" s="29">
        <f>SUM('T3 GDP XQ'!T9:W9)</f>
        <v>3361</v>
      </c>
      <c r="G5" s="29">
        <f>SUM('T3 GDP XQ'!X9:AA9)</f>
        <v>3817</v>
      </c>
      <c r="H5" s="29">
        <f>SUM('T3 GDP XQ'!AB9:AE9)</f>
        <v>4323</v>
      </c>
      <c r="I5" s="29">
        <f>SUM('T3 GDP XQ'!AF9:AI9)</f>
        <v>4548</v>
      </c>
      <c r="J5" s="29">
        <f>SUM('T3 GDP XQ'!AJ9:AM9)</f>
        <v>5150</v>
      </c>
      <c r="K5" s="29">
        <f>SUM('T3 GDP XQ'!AN9:AQ9)</f>
        <v>5743</v>
      </c>
      <c r="L5" s="29">
        <f>SUM('T3 GDP XQ'!AR9:AU9)</f>
        <v>6271</v>
      </c>
      <c r="M5" s="29">
        <f>SUM('T3 GDP XQ'!AV9:AY9)</f>
        <v>6756</v>
      </c>
      <c r="N5" s="29">
        <f>SUM('T3 GDP XQ'!AZ9:BC9)</f>
        <v>7214</v>
      </c>
      <c r="O5" s="29">
        <f>SUM('T3 GDP XQ'!BD9:BG9)</f>
        <v>7868</v>
      </c>
      <c r="P5" s="29">
        <f>SUM('T3 GDP XQ'!BH9:BK9)</f>
        <v>8787</v>
      </c>
      <c r="Q5" s="29">
        <f>SUM('T3 GDP XQ'!BL9:BO9)</f>
        <v>10210</v>
      </c>
      <c r="R5" s="29">
        <f>SUM('T3 GDP XQ'!BP9:BS9)</f>
        <v>11274</v>
      </c>
      <c r="S5" s="29">
        <f>SUM('T3 GDP XQ'!BU9:BX9)</f>
        <v>14087</v>
      </c>
      <c r="T5" s="29">
        <f>SUM('T3 GDP XQ'!BY9:CB9)</f>
        <v>16559</v>
      </c>
      <c r="U5" s="29">
        <f>SUM('T3 GDP XQ'!CB9:CD9)</f>
        <v>13068</v>
      </c>
    </row>
    <row r="6" spans="1:21" x14ac:dyDescent="0.6">
      <c r="A6" s="175" t="s">
        <v>11</v>
      </c>
      <c r="B6" s="33">
        <f>SUM('T3 GDP XQ'!D10:G10)</f>
        <v>294</v>
      </c>
      <c r="C6" s="33">
        <f>SUM('T3 GDP XQ'!H10:K10)</f>
        <v>315</v>
      </c>
      <c r="D6" s="33">
        <f>SUM('T3 GDP XQ'!L10:O10)</f>
        <v>348</v>
      </c>
      <c r="E6" s="33">
        <f>SUM('T3 GDP XQ'!P10:S10)</f>
        <v>411</v>
      </c>
      <c r="F6" s="33">
        <f>SUM('T3 GDP XQ'!T10:W10)</f>
        <v>468</v>
      </c>
      <c r="G6" s="33">
        <f>SUM('T3 GDP XQ'!X10:AA10)</f>
        <v>497</v>
      </c>
      <c r="H6" s="33">
        <f>SUM('T3 GDP XQ'!AB10:AE10)</f>
        <v>609</v>
      </c>
      <c r="I6" s="33">
        <f>SUM('T3 GDP XQ'!AF10:AI10)</f>
        <v>650</v>
      </c>
      <c r="J6" s="33">
        <f>SUM('T3 GDP XQ'!AJ10:AM10)</f>
        <v>803</v>
      </c>
      <c r="K6" s="33">
        <f>SUM('T3 GDP XQ'!AN10:AQ10)</f>
        <v>852</v>
      </c>
      <c r="L6" s="33">
        <f>SUM('T3 GDP XQ'!AR10:AU10)</f>
        <v>1031</v>
      </c>
      <c r="M6" s="33">
        <f>SUM('T3 GDP XQ'!AV10:AY10)</f>
        <v>1156</v>
      </c>
      <c r="N6" s="33">
        <f>SUM('T3 GDP XQ'!AZ10:BC10)</f>
        <v>1157</v>
      </c>
      <c r="O6" s="33">
        <f>SUM('T3 GDP XQ'!BD10:BG10)</f>
        <v>1392</v>
      </c>
      <c r="P6" s="33">
        <f>SUM('T3 GDP XQ'!BH10:BK10)</f>
        <v>1486</v>
      </c>
      <c r="Q6" s="33">
        <f>SUM('T3 GDP XQ'!BL10:BO10)</f>
        <v>1963</v>
      </c>
      <c r="R6" s="33">
        <f>SUM('T3 GDP XQ'!BP10:BS10)</f>
        <v>2446</v>
      </c>
      <c r="S6" s="33">
        <f>SUM('T3 GDP XQ'!BU10:BX10)</f>
        <v>2884</v>
      </c>
      <c r="T6" s="33">
        <f>SUM('T3 GDP XQ'!BY10:CB10)</f>
        <v>3456</v>
      </c>
      <c r="U6" s="33">
        <f>SUM('T3 GDP XQ'!CB10:CD10)</f>
        <v>2613</v>
      </c>
    </row>
    <row r="7" spans="1:21" x14ac:dyDescent="0.6">
      <c r="A7" s="175" t="s">
        <v>150</v>
      </c>
      <c r="B7" s="33">
        <f>SUM('T3 GDP XQ'!D11:G11)</f>
        <v>1443</v>
      </c>
      <c r="C7" s="33">
        <f>SUM('T3 GDP XQ'!H11:K11)</f>
        <v>1700</v>
      </c>
      <c r="D7" s="33">
        <f>SUM('T3 GDP XQ'!L11:O11)</f>
        <v>2272</v>
      </c>
      <c r="E7" s="33">
        <f>SUM('T3 GDP XQ'!P11:S11)</f>
        <v>2613</v>
      </c>
      <c r="F7" s="33">
        <f>SUM('T3 GDP XQ'!T11:W11)</f>
        <v>2893</v>
      </c>
      <c r="G7" s="33">
        <f>SUM('T3 GDP XQ'!X11:AA11)</f>
        <v>3320</v>
      </c>
      <c r="H7" s="33">
        <f>SUM('T3 GDP XQ'!AB11:AE11)</f>
        <v>3714</v>
      </c>
      <c r="I7" s="33">
        <f>SUM('T3 GDP XQ'!AF11:AI11)</f>
        <v>3898</v>
      </c>
      <c r="J7" s="33">
        <f>SUM('T3 GDP XQ'!AJ11:AM11)</f>
        <v>4347</v>
      </c>
      <c r="K7" s="33">
        <f>SUM('T3 GDP XQ'!AN11:AQ11)</f>
        <v>4891</v>
      </c>
      <c r="L7" s="33">
        <f>SUM('T3 GDP XQ'!AR11:AU11)</f>
        <v>5240</v>
      </c>
      <c r="M7" s="33">
        <f>SUM('T3 GDP XQ'!AV11:AY11)</f>
        <v>5600</v>
      </c>
      <c r="N7" s="33">
        <f>SUM('T3 GDP XQ'!AZ11:BC11)</f>
        <v>6056</v>
      </c>
      <c r="O7" s="33">
        <f>SUM('T3 GDP XQ'!BD11:BG11)</f>
        <v>6475</v>
      </c>
      <c r="P7" s="33">
        <f>SUM('T3 GDP XQ'!BH11:BK11)</f>
        <v>7301</v>
      </c>
      <c r="Q7" s="33">
        <f>SUM('T3 GDP XQ'!BL11:BO11)</f>
        <v>8247</v>
      </c>
      <c r="R7" s="33">
        <f>SUM('T3 GDP XQ'!BP11:BS11)</f>
        <v>8829</v>
      </c>
      <c r="S7" s="33">
        <f>SUM('T3 GDP XQ'!BU11:BX11)</f>
        <v>11205</v>
      </c>
      <c r="T7" s="33">
        <f>SUM('T3 GDP XQ'!BY11:CB11)</f>
        <v>13103</v>
      </c>
      <c r="U7" s="33">
        <f>SUM('T3 GDP XQ'!CB11:CD11)</f>
        <v>10455</v>
      </c>
    </row>
    <row r="8" spans="1:21" ht="17.75" x14ac:dyDescent="0.75">
      <c r="A8" s="174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</row>
    <row r="9" spans="1:21" x14ac:dyDescent="0.6">
      <c r="A9" s="173" t="s">
        <v>13</v>
      </c>
      <c r="B9" s="29">
        <f>SUM('T3 GDP XQ'!D13:G13)</f>
        <v>275</v>
      </c>
      <c r="C9" s="29">
        <f>SUM('T3 GDP XQ'!H13:K13)</f>
        <v>373</v>
      </c>
      <c r="D9" s="29">
        <f>SUM('T3 GDP XQ'!L13:O13)</f>
        <v>605</v>
      </c>
      <c r="E9" s="29">
        <f>SUM('T3 GDP XQ'!P13:S13)</f>
        <v>678</v>
      </c>
      <c r="F9" s="29">
        <f>SUM('T3 GDP XQ'!T13:W13)</f>
        <v>734</v>
      </c>
      <c r="G9" s="29">
        <f>SUM('T3 GDP XQ'!X13:AA13)</f>
        <v>863</v>
      </c>
      <c r="H9" s="29">
        <f>SUM('T3 GDP XQ'!AB13:AE13)</f>
        <v>1096</v>
      </c>
      <c r="I9" s="29">
        <f>SUM('T3 GDP XQ'!AF13:AI13)</f>
        <v>1234</v>
      </c>
      <c r="J9" s="29">
        <f>SUM('T3 GDP XQ'!AJ13:AM13)</f>
        <v>1306</v>
      </c>
      <c r="K9" s="29">
        <f>SUM('T3 GDP XQ'!AN13:AQ13)</f>
        <v>1491</v>
      </c>
      <c r="L9" s="29">
        <f>SUM('T3 GDP XQ'!AR13:AU13)</f>
        <v>1773</v>
      </c>
      <c r="M9" s="29">
        <f>SUM('T3 GDP XQ'!AV13:AY13)</f>
        <v>1836</v>
      </c>
      <c r="N9" s="29">
        <f>SUM('T3 GDP XQ'!AZ13:BC13)</f>
        <v>1489</v>
      </c>
      <c r="O9" s="29">
        <f>SUM('T3 GDP XQ'!BD13:BG13)</f>
        <v>2049</v>
      </c>
      <c r="P9" s="29">
        <f>SUM('T3 GDP XQ'!BH13:BK13)</f>
        <v>1799</v>
      </c>
      <c r="Q9" s="29">
        <f>SUM('T3 GDP XQ'!BL13:BO13)</f>
        <v>3942</v>
      </c>
      <c r="R9" s="29">
        <f>SUM('T3 GDP XQ'!BP13:BS13)</f>
        <v>5349</v>
      </c>
      <c r="S9" s="29">
        <f>SUM('T3 GDP XQ'!BU13:BX13)</f>
        <v>6930</v>
      </c>
      <c r="T9" s="29">
        <f>SUM('T3 GDP XQ'!BY13:CB13)</f>
        <v>7135</v>
      </c>
      <c r="U9" s="29">
        <f>SUM('T3 GDP XQ'!CB13:CD13)</f>
        <v>5836</v>
      </c>
    </row>
    <row r="10" spans="1:21" x14ac:dyDescent="0.6">
      <c r="A10" s="175" t="s">
        <v>151</v>
      </c>
      <c r="B10" s="33">
        <f>SUM('T3 GDP XQ'!D14:G14)</f>
        <v>212</v>
      </c>
      <c r="C10" s="33">
        <f>SUM('T3 GDP XQ'!H14:K14)</f>
        <v>265</v>
      </c>
      <c r="D10" s="33">
        <f>SUM('T3 GDP XQ'!L14:O14)</f>
        <v>391</v>
      </c>
      <c r="E10" s="33">
        <f>SUM('T3 GDP XQ'!P14:S14)</f>
        <v>436</v>
      </c>
      <c r="F10" s="33">
        <f>SUM('T3 GDP XQ'!T14:W14)</f>
        <v>486</v>
      </c>
      <c r="G10" s="33">
        <f>SUM('T3 GDP XQ'!X14:AA14)</f>
        <v>629</v>
      </c>
      <c r="H10" s="33">
        <f>SUM('T3 GDP XQ'!AB14:AE14)</f>
        <v>768</v>
      </c>
      <c r="I10" s="33">
        <f>SUM('T3 GDP XQ'!AF14:AI14)</f>
        <v>885</v>
      </c>
      <c r="J10" s="33">
        <f>SUM('T3 GDP XQ'!AJ14:AM14)</f>
        <v>945</v>
      </c>
      <c r="K10" s="33">
        <f>SUM('T3 GDP XQ'!AN14:AQ14)</f>
        <v>1108</v>
      </c>
      <c r="L10" s="33">
        <f>SUM('T3 GDP XQ'!AR14:AU14)</f>
        <v>1201</v>
      </c>
      <c r="M10" s="33">
        <f>SUM('T3 GDP XQ'!AV14:AY14)</f>
        <v>1143</v>
      </c>
      <c r="N10" s="33">
        <f>SUM('T3 GDP XQ'!AZ14:BC14)</f>
        <v>992</v>
      </c>
      <c r="O10" s="33">
        <f>SUM('T3 GDP XQ'!BD14:BG14)</f>
        <v>1323</v>
      </c>
      <c r="P10" s="33">
        <f>SUM('T3 GDP XQ'!BH14:BK14)</f>
        <v>1262</v>
      </c>
      <c r="Q10" s="33">
        <f>SUM('T3 GDP XQ'!BL14:BO14)</f>
        <v>2343</v>
      </c>
      <c r="R10" s="33">
        <f>SUM('T3 GDP XQ'!BP14:BS14)</f>
        <v>3150</v>
      </c>
      <c r="S10" s="33">
        <f>SUM('T3 GDP XQ'!BU14:BX14)</f>
        <v>4104</v>
      </c>
      <c r="T10" s="33">
        <f>SUM('T3 GDP XQ'!BY14:CB14)</f>
        <v>4530</v>
      </c>
      <c r="U10" s="33">
        <f>SUM('T3 GDP XQ'!CB14:CD14)</f>
        <v>3641</v>
      </c>
    </row>
    <row r="11" spans="1:21" x14ac:dyDescent="0.6">
      <c r="A11" s="175" t="s">
        <v>152</v>
      </c>
      <c r="B11" s="33">
        <f>SUM('T3 GDP XQ'!D15:G15)</f>
        <v>63</v>
      </c>
      <c r="C11" s="33">
        <f>SUM('T3 GDP XQ'!H15:K15)</f>
        <v>108</v>
      </c>
      <c r="D11" s="33">
        <f>SUM('T3 GDP XQ'!L15:O15)</f>
        <v>214</v>
      </c>
      <c r="E11" s="33">
        <f>SUM('T3 GDP XQ'!P15:S15)</f>
        <v>242</v>
      </c>
      <c r="F11" s="33">
        <f>SUM('T3 GDP XQ'!T15:W15)</f>
        <v>248</v>
      </c>
      <c r="G11" s="33">
        <f>SUM('T3 GDP XQ'!X15:AA15)</f>
        <v>234</v>
      </c>
      <c r="H11" s="33">
        <f>SUM('T3 GDP XQ'!AB15:AE15)</f>
        <v>328</v>
      </c>
      <c r="I11" s="33">
        <f>SUM('T3 GDP XQ'!AF15:AI15)</f>
        <v>349</v>
      </c>
      <c r="J11" s="33">
        <f>SUM('T3 GDP XQ'!AJ15:AM15)</f>
        <v>361</v>
      </c>
      <c r="K11" s="33">
        <f>SUM('T3 GDP XQ'!AN15:AQ15)</f>
        <v>383</v>
      </c>
      <c r="L11" s="33">
        <f>SUM('T3 GDP XQ'!AR15:AU15)</f>
        <v>572</v>
      </c>
      <c r="M11" s="33">
        <f>SUM('T3 GDP XQ'!AV15:AY15)</f>
        <v>693</v>
      </c>
      <c r="N11" s="33">
        <f>SUM('T3 GDP XQ'!AZ15:BC15)</f>
        <v>497</v>
      </c>
      <c r="O11" s="33">
        <f>SUM('T3 GDP XQ'!BD15:BG15)</f>
        <v>726</v>
      </c>
      <c r="P11" s="33">
        <f>SUM('T3 GDP XQ'!BH15:BK15)</f>
        <v>536</v>
      </c>
      <c r="Q11" s="33">
        <f>SUM('T3 GDP XQ'!BL15:BO15)</f>
        <v>1598</v>
      </c>
      <c r="R11" s="33">
        <f>SUM('T3 GDP XQ'!BP15:BS15)</f>
        <v>2197</v>
      </c>
      <c r="S11" s="33">
        <f>SUM('T3 GDP XQ'!BU15:BX15)</f>
        <v>2826</v>
      </c>
      <c r="T11" s="33">
        <f>SUM('T3 GDP XQ'!BY15:CB15)</f>
        <v>2606</v>
      </c>
      <c r="U11" s="33">
        <f>SUM('T3 GDP XQ'!CB15:CD15)</f>
        <v>2194</v>
      </c>
    </row>
    <row r="12" spans="1:21" ht="17.75" x14ac:dyDescent="0.75">
      <c r="A12" s="174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</row>
    <row r="13" spans="1:21" x14ac:dyDescent="0.6">
      <c r="A13" s="173" t="s">
        <v>14</v>
      </c>
      <c r="B13" s="29">
        <f>SUM('T3 GDP XQ'!D17:G17)</f>
        <v>-206</v>
      </c>
      <c r="C13" s="29">
        <f>SUM('T3 GDP XQ'!H17:K17)</f>
        <v>-191</v>
      </c>
      <c r="D13" s="29">
        <f>SUM('T3 GDP XQ'!L17:O17)</f>
        <v>-426</v>
      </c>
      <c r="E13" s="29">
        <f>SUM('T3 GDP XQ'!P17:S17)</f>
        <v>-517</v>
      </c>
      <c r="F13" s="29">
        <f>SUM('T3 GDP XQ'!T17:W17)</f>
        <v>-566</v>
      </c>
      <c r="G13" s="29">
        <f>SUM('T3 GDP XQ'!X17:AA17)</f>
        <v>-596</v>
      </c>
      <c r="H13" s="29">
        <f>SUM('T3 GDP XQ'!AB17:AE17)</f>
        <v>-777</v>
      </c>
      <c r="I13" s="29">
        <f>SUM('T3 GDP XQ'!AF17:AI17)</f>
        <v>-794</v>
      </c>
      <c r="J13" s="29">
        <f>SUM('T3 GDP XQ'!AJ17:AM17)</f>
        <v>-908</v>
      </c>
      <c r="K13" s="29">
        <f>SUM('T3 GDP XQ'!AN17:AQ17)</f>
        <v>-1153</v>
      </c>
      <c r="L13" s="29">
        <f>SUM('T3 GDP XQ'!AR17:AU17)</f>
        <v>-1276</v>
      </c>
      <c r="M13" s="29">
        <f>SUM('T3 GDP XQ'!AV17:AY17)</f>
        <v>-971</v>
      </c>
      <c r="N13" s="29">
        <f>SUM('T3 GDP XQ'!AZ17:BC17)</f>
        <v>-391</v>
      </c>
      <c r="O13" s="29">
        <f>SUM('T3 GDP XQ'!BD17:BG17)</f>
        <v>-457</v>
      </c>
      <c r="P13" s="29">
        <f>SUM('T3 GDP XQ'!BH17:BK17)</f>
        <v>-695</v>
      </c>
      <c r="Q13" s="29">
        <f>SUM('T3 GDP XQ'!BL17:BO17)</f>
        <v>-3026</v>
      </c>
      <c r="R13" s="29">
        <f>SUM('T3 GDP XQ'!BP17:BS17)</f>
        <v>-2460</v>
      </c>
      <c r="S13" s="29">
        <f>SUM('T3 GDP XQ'!BU17:BX17)</f>
        <v>-3358</v>
      </c>
      <c r="T13" s="29">
        <f>SUM('T3 GDP XQ'!BY17:CB17)</f>
        <v>-3013</v>
      </c>
      <c r="U13" s="29">
        <f>SUM('T3 GDP XQ'!CB17:CD17)</f>
        <v>-2303</v>
      </c>
    </row>
    <row r="14" spans="1:21" x14ac:dyDescent="0.6">
      <c r="A14" s="176" t="s">
        <v>153</v>
      </c>
      <c r="B14" s="37">
        <f>SUM('T3 GDP XQ'!D18:G18)</f>
        <v>201</v>
      </c>
      <c r="C14" s="37">
        <f>SUM('T3 GDP XQ'!H18:K18)</f>
        <v>305</v>
      </c>
      <c r="D14" s="37">
        <f>SUM('T3 GDP XQ'!L18:O18)</f>
        <v>319</v>
      </c>
      <c r="E14" s="37">
        <f>SUM('T3 GDP XQ'!P18:S18)</f>
        <v>334</v>
      </c>
      <c r="F14" s="37">
        <f>SUM('T3 GDP XQ'!T18:W18)</f>
        <v>383</v>
      </c>
      <c r="G14" s="37">
        <f>SUM('T3 GDP XQ'!X18:AA18)</f>
        <v>522</v>
      </c>
      <c r="H14" s="37">
        <f>SUM('T3 GDP XQ'!AB18:AE18)</f>
        <v>565</v>
      </c>
      <c r="I14" s="37">
        <f>SUM('T3 GDP XQ'!AF18:AI18)</f>
        <v>682</v>
      </c>
      <c r="J14" s="37">
        <f>SUM('T3 GDP XQ'!AJ18:AM18)</f>
        <v>780</v>
      </c>
      <c r="K14" s="37">
        <f>SUM('T3 GDP XQ'!AN18:AQ18)</f>
        <v>814</v>
      </c>
      <c r="L14" s="37">
        <f>SUM('T3 GDP XQ'!AR18:AU18)</f>
        <v>1057</v>
      </c>
      <c r="M14" s="37">
        <f>SUM('T3 GDP XQ'!AV18:AY18)</f>
        <v>1580</v>
      </c>
      <c r="N14" s="37">
        <f>SUM('T3 GDP XQ'!AZ18:BC18)</f>
        <v>1797</v>
      </c>
      <c r="O14" s="37">
        <f>SUM('T3 GDP XQ'!BD18:BG18)</f>
        <v>2084</v>
      </c>
      <c r="P14" s="37">
        <f>SUM('T3 GDP XQ'!BH18:BK18)</f>
        <v>1847</v>
      </c>
      <c r="Q14" s="37">
        <f>SUM('T3 GDP XQ'!BL18:BO18)</f>
        <v>2145</v>
      </c>
      <c r="R14" s="37">
        <f>SUM('T3 GDP XQ'!BP18:BS18)</f>
        <v>3088</v>
      </c>
      <c r="S14" s="37">
        <f>SUM('T3 GDP XQ'!BU18:BX18)</f>
        <v>4279</v>
      </c>
      <c r="T14" s="37">
        <f>SUM('T3 GDP XQ'!BY18:CB18)</f>
        <v>5791</v>
      </c>
      <c r="U14" s="37">
        <f>SUM('T3 GDP XQ'!CB18:CD18)</f>
        <v>3728</v>
      </c>
    </row>
    <row r="15" spans="1:21" x14ac:dyDescent="0.6">
      <c r="A15" s="175" t="s">
        <v>154</v>
      </c>
      <c r="B15" s="33">
        <f>SUM('T3 GDP XQ'!D19:G19)</f>
        <v>85</v>
      </c>
      <c r="C15" s="33">
        <f>SUM('T3 GDP XQ'!H19:K19)</f>
        <v>105</v>
      </c>
      <c r="D15" s="33">
        <f>SUM('T3 GDP XQ'!L19:O19)</f>
        <v>158</v>
      </c>
      <c r="E15" s="33">
        <f>SUM('T3 GDP XQ'!P19:S19)</f>
        <v>122</v>
      </c>
      <c r="F15" s="33">
        <f>SUM('T3 GDP XQ'!T19:W19)</f>
        <v>168</v>
      </c>
      <c r="G15" s="33">
        <f>SUM('T3 GDP XQ'!X19:AA19)</f>
        <v>298</v>
      </c>
      <c r="H15" s="33">
        <f>SUM('T3 GDP XQ'!AB19:AE19)</f>
        <v>338</v>
      </c>
      <c r="I15" s="33">
        <f>SUM('T3 GDP XQ'!AF19:AI19)</f>
        <v>419</v>
      </c>
      <c r="J15" s="33">
        <f>SUM('T3 GDP XQ'!AJ19:AM19)</f>
        <v>429</v>
      </c>
      <c r="K15" s="33">
        <f>SUM('T3 GDP XQ'!AN19:AQ19)</f>
        <v>402</v>
      </c>
      <c r="L15" s="33">
        <f>SUM('T3 GDP XQ'!AR19:AU19)</f>
        <v>391</v>
      </c>
      <c r="M15" s="33">
        <f>SUM('T3 GDP XQ'!AV19:AY19)</f>
        <v>853</v>
      </c>
      <c r="N15" s="33">
        <f>SUM('T3 GDP XQ'!AZ19:BC19)</f>
        <v>910</v>
      </c>
      <c r="O15" s="33">
        <f>SUM('T3 GDP XQ'!BD19:BG19)</f>
        <v>1055</v>
      </c>
      <c r="P15" s="33">
        <f>SUM('T3 GDP XQ'!BH19:BK19)</f>
        <v>1297</v>
      </c>
      <c r="Q15" s="33">
        <f>SUM('T3 GDP XQ'!BL19:BO19)</f>
        <v>1575</v>
      </c>
      <c r="R15" s="33">
        <f>SUM('T3 GDP XQ'!BP19:BS19)</f>
        <v>2177</v>
      </c>
      <c r="S15" s="33">
        <f>SUM('T3 GDP XQ'!BU19:BX19)</f>
        <v>3036</v>
      </c>
      <c r="T15" s="33">
        <f>SUM('T3 GDP XQ'!BY19:CB19)</f>
        <v>4333</v>
      </c>
      <c r="U15" s="33">
        <f>SUM('T3 GDP XQ'!CB19:CD19)</f>
        <v>2559</v>
      </c>
    </row>
    <row r="16" spans="1:21" x14ac:dyDescent="0.6">
      <c r="A16" s="175" t="s">
        <v>155</v>
      </c>
      <c r="B16" s="33">
        <f>SUM('T3 GDP XQ'!D20:G20)</f>
        <v>116</v>
      </c>
      <c r="C16" s="33">
        <f>SUM('T3 GDP XQ'!H20:K20)</f>
        <v>200</v>
      </c>
      <c r="D16" s="33">
        <f>SUM('T3 GDP XQ'!L20:O20)</f>
        <v>161</v>
      </c>
      <c r="E16" s="33">
        <f>SUM('T3 GDP XQ'!P20:S20)</f>
        <v>212</v>
      </c>
      <c r="F16" s="33">
        <f>SUM('T3 GDP XQ'!T20:W20)</f>
        <v>215</v>
      </c>
      <c r="G16" s="33">
        <f>SUM('T3 GDP XQ'!X20:AA20)</f>
        <v>224</v>
      </c>
      <c r="H16" s="33">
        <f>SUM('T3 GDP XQ'!AB20:AE20)</f>
        <v>227</v>
      </c>
      <c r="I16" s="33">
        <f>SUM('T3 GDP XQ'!AF20:AI20)</f>
        <v>263</v>
      </c>
      <c r="J16" s="33">
        <f>SUM('T3 GDP XQ'!AJ20:AM20)</f>
        <v>351</v>
      </c>
      <c r="K16" s="33">
        <f>SUM('T3 GDP XQ'!AN20:AQ20)</f>
        <v>412</v>
      </c>
      <c r="L16" s="33">
        <f>SUM('T3 GDP XQ'!AR20:AU20)</f>
        <v>666</v>
      </c>
      <c r="M16" s="33">
        <f>SUM('T3 GDP XQ'!AV20:AY20)</f>
        <v>727</v>
      </c>
      <c r="N16" s="33">
        <f>SUM('T3 GDP XQ'!AZ20:BC20)</f>
        <v>887</v>
      </c>
      <c r="O16" s="33">
        <f>SUM('T3 GDP XQ'!BD20:BG20)</f>
        <v>1029</v>
      </c>
      <c r="P16" s="33">
        <f>SUM('T3 GDP XQ'!BH20:BK20)</f>
        <v>549</v>
      </c>
      <c r="Q16" s="33">
        <f>SUM('T3 GDP XQ'!BL20:BO20)</f>
        <v>571</v>
      </c>
      <c r="R16" s="33">
        <f>SUM('T3 GDP XQ'!BP20:BS20)</f>
        <v>910</v>
      </c>
      <c r="S16" s="33">
        <f>SUM('T3 GDP XQ'!BU20:BX20)</f>
        <v>1242</v>
      </c>
      <c r="T16" s="33">
        <f>SUM('T3 GDP XQ'!BY20:CB20)</f>
        <v>1458</v>
      </c>
      <c r="U16" s="33">
        <f>SUM('T3 GDP XQ'!CB20:CD20)</f>
        <v>1169</v>
      </c>
    </row>
    <row r="17" spans="1:21" x14ac:dyDescent="0.6">
      <c r="A17" s="176" t="s">
        <v>156</v>
      </c>
      <c r="B17" s="37">
        <f>SUM('T3 GDP XQ'!D21:G21)</f>
        <v>407</v>
      </c>
      <c r="C17" s="37">
        <f>SUM('T3 GDP XQ'!H21:K21)</f>
        <v>496</v>
      </c>
      <c r="D17" s="37">
        <f>SUM('T3 GDP XQ'!L21:O21)</f>
        <v>745</v>
      </c>
      <c r="E17" s="37">
        <f>SUM('T3 GDP XQ'!P21:S21)</f>
        <v>851</v>
      </c>
      <c r="F17" s="37">
        <f>SUM('T3 GDP XQ'!T21:W21)</f>
        <v>949</v>
      </c>
      <c r="G17" s="37">
        <f>SUM('T3 GDP XQ'!X21:AA21)</f>
        <v>1118</v>
      </c>
      <c r="H17" s="37">
        <f>SUM('T3 GDP XQ'!AB21:AE21)</f>
        <v>1342</v>
      </c>
      <c r="I17" s="37">
        <f>SUM('T3 GDP XQ'!AF21:AI21)</f>
        <v>1476</v>
      </c>
      <c r="J17" s="37">
        <f>SUM('T3 GDP XQ'!AJ21:AM21)</f>
        <v>1688</v>
      </c>
      <c r="K17" s="37">
        <f>SUM('T3 GDP XQ'!AN21:AQ21)</f>
        <v>1967</v>
      </c>
      <c r="L17" s="37">
        <f>SUM('T3 GDP XQ'!AR21:AU21)</f>
        <v>2333</v>
      </c>
      <c r="M17" s="37">
        <f>SUM('T3 GDP XQ'!AV21:AY21)</f>
        <v>2551</v>
      </c>
      <c r="N17" s="37">
        <f>SUM('T3 GDP XQ'!AZ21:BC21)</f>
        <v>2190</v>
      </c>
      <c r="O17" s="37">
        <f>SUM('T3 GDP XQ'!BD21:BG21)</f>
        <v>2541</v>
      </c>
      <c r="P17" s="37">
        <f>SUM('T3 GDP XQ'!BH21:BK21)</f>
        <v>2541</v>
      </c>
      <c r="Q17" s="37">
        <f>SUM('T3 GDP XQ'!BL21:BO21)</f>
        <v>5173</v>
      </c>
      <c r="R17" s="37">
        <f>SUM('T3 GDP XQ'!BP21:BS21)</f>
        <v>5546</v>
      </c>
      <c r="S17" s="37">
        <f>SUM('T3 GDP XQ'!BU21:BX21)</f>
        <v>7637</v>
      </c>
      <c r="T17" s="37">
        <f>SUM('T3 GDP XQ'!BY21:CB21)</f>
        <v>8807</v>
      </c>
      <c r="U17" s="37">
        <f>SUM('T3 GDP XQ'!CB21:CD21)</f>
        <v>6032</v>
      </c>
    </row>
    <row r="18" spans="1:21" x14ac:dyDescent="0.6">
      <c r="A18" s="175" t="s">
        <v>154</v>
      </c>
      <c r="B18" s="33">
        <f>SUM('T3 GDP XQ'!D22:G22)</f>
        <v>231</v>
      </c>
      <c r="C18" s="33">
        <f>SUM('T3 GDP XQ'!H22:K22)</f>
        <v>304</v>
      </c>
      <c r="D18" s="33">
        <f>SUM('T3 GDP XQ'!L22:O22)</f>
        <v>468</v>
      </c>
      <c r="E18" s="33">
        <f>SUM('T3 GDP XQ'!P22:S22)</f>
        <v>561</v>
      </c>
      <c r="F18" s="33">
        <f>SUM('T3 GDP XQ'!T22:W22)</f>
        <v>660</v>
      </c>
      <c r="G18" s="33">
        <f>SUM('T3 GDP XQ'!X22:AA22)</f>
        <v>790</v>
      </c>
      <c r="H18" s="33">
        <f>SUM('T3 GDP XQ'!AB22:AE22)</f>
        <v>994</v>
      </c>
      <c r="I18" s="33">
        <f>SUM('T3 GDP XQ'!AF22:AI22)</f>
        <v>1046</v>
      </c>
      <c r="J18" s="33">
        <f>SUM('T3 GDP XQ'!AJ22:AM22)</f>
        <v>1174</v>
      </c>
      <c r="K18" s="33">
        <f>SUM('T3 GDP XQ'!AN22:AQ22)</f>
        <v>1221</v>
      </c>
      <c r="L18" s="33">
        <f>SUM('T3 GDP XQ'!AR22:AU22)</f>
        <v>1475</v>
      </c>
      <c r="M18" s="33">
        <f>SUM('T3 GDP XQ'!AV22:AY22)</f>
        <v>1672</v>
      </c>
      <c r="N18" s="33">
        <f>SUM('T3 GDP XQ'!AZ22:BC22)</f>
        <v>1416</v>
      </c>
      <c r="O18" s="33">
        <f>SUM('T3 GDP XQ'!BD22:BG22)</f>
        <v>1751</v>
      </c>
      <c r="P18" s="33">
        <f>SUM('T3 GDP XQ'!BH22:BK22)</f>
        <v>2104</v>
      </c>
      <c r="Q18" s="33">
        <f>SUM('T3 GDP XQ'!BL22:BO22)</f>
        <v>4479</v>
      </c>
      <c r="R18" s="33">
        <f>SUM('T3 GDP XQ'!BP22:BS22)</f>
        <v>4641</v>
      </c>
      <c r="S18" s="33">
        <f>SUM('T3 GDP XQ'!BU22:BX22)</f>
        <v>6516</v>
      </c>
      <c r="T18" s="33">
        <f>SUM('T3 GDP XQ'!BY22:CB22)</f>
        <v>7470</v>
      </c>
      <c r="U18" s="33">
        <f>SUM('T3 GDP XQ'!CB22:CD22)</f>
        <v>4958</v>
      </c>
    </row>
    <row r="19" spans="1:21" ht="13.75" thickBot="1" x14ac:dyDescent="0.75">
      <c r="A19" s="177" t="s">
        <v>155</v>
      </c>
      <c r="B19" s="39">
        <f>SUM('T3 GDP XQ'!D23:G23)</f>
        <v>176</v>
      </c>
      <c r="C19" s="39">
        <f>SUM('T3 GDP XQ'!H23:K23)</f>
        <v>192</v>
      </c>
      <c r="D19" s="39">
        <f>SUM('T3 GDP XQ'!L23:O23)</f>
        <v>277</v>
      </c>
      <c r="E19" s="39">
        <f>SUM('T3 GDP XQ'!P23:S23)</f>
        <v>290</v>
      </c>
      <c r="F19" s="39">
        <f>SUM('T3 GDP XQ'!T23:W23)</f>
        <v>289</v>
      </c>
      <c r="G19" s="39">
        <f>SUM('T3 GDP XQ'!X23:AA23)</f>
        <v>328</v>
      </c>
      <c r="H19" s="39">
        <f>SUM('T3 GDP XQ'!AB23:AE23)</f>
        <v>348</v>
      </c>
      <c r="I19" s="39">
        <f>SUM('T3 GDP XQ'!AF23:AI23)</f>
        <v>430</v>
      </c>
      <c r="J19" s="39">
        <f>SUM('T3 GDP XQ'!AJ23:AM23)</f>
        <v>514</v>
      </c>
      <c r="K19" s="39">
        <f>SUM('T3 GDP XQ'!AN23:AQ23)</f>
        <v>746</v>
      </c>
      <c r="L19" s="39">
        <f>SUM('T3 GDP XQ'!AR23:AU23)</f>
        <v>858</v>
      </c>
      <c r="M19" s="39">
        <f>SUM('T3 GDP XQ'!AV23:AY23)</f>
        <v>879</v>
      </c>
      <c r="N19" s="39">
        <f>SUM('T3 GDP XQ'!AZ23:BC23)</f>
        <v>773</v>
      </c>
      <c r="O19" s="39">
        <f>SUM('T3 GDP XQ'!BD23:BG23)</f>
        <v>791</v>
      </c>
      <c r="P19" s="39">
        <f>SUM('T3 GDP XQ'!BH23:BK23)</f>
        <v>436</v>
      </c>
      <c r="Q19" s="39">
        <f>SUM('T3 GDP XQ'!BL23:BO23)</f>
        <v>694</v>
      </c>
      <c r="R19" s="39">
        <f>SUM('T3 GDP XQ'!BP23:BS23)</f>
        <v>905</v>
      </c>
      <c r="S19" s="39">
        <f>SUM('T3 GDP XQ'!BU23:BX23)</f>
        <v>1122</v>
      </c>
      <c r="T19" s="39">
        <f>SUM('T3 GDP XQ'!BY23:CB23)</f>
        <v>1335</v>
      </c>
      <c r="U19" s="39">
        <f>SUM('T3 GDP XQ'!CB23:CD23)</f>
        <v>1074</v>
      </c>
    </row>
    <row r="20" spans="1:21" ht="13.75" thickTop="1" x14ac:dyDescent="0.6"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89"/>
      <c r="N20" s="170"/>
      <c r="O20" s="170"/>
      <c r="P20" s="170"/>
      <c r="Q20" s="170"/>
      <c r="R20" s="170"/>
      <c r="S20" s="170"/>
      <c r="T20" s="170"/>
      <c r="U20" s="170"/>
    </row>
    <row r="21" spans="1:21" ht="15.5" x14ac:dyDescent="0.7">
      <c r="A21" s="158" t="s">
        <v>308</v>
      </c>
    </row>
    <row r="22" spans="1:21" x14ac:dyDescent="0.6">
      <c r="A22" s="173" t="s">
        <v>310</v>
      </c>
      <c r="B22" s="29">
        <f>SUM('T3 GDP XQ'!D26:G26)</f>
        <v>5869</v>
      </c>
      <c r="C22" s="29">
        <f>SUM('T3 GDP XQ'!H26:K26)</f>
        <v>6316</v>
      </c>
      <c r="D22" s="29">
        <f>SUM('T3 GDP XQ'!L26:O26)</f>
        <v>7021</v>
      </c>
      <c r="E22" s="29">
        <f>SUM('T3 GDP XQ'!P26:S26)</f>
        <v>7460</v>
      </c>
      <c r="F22" s="29">
        <f>SUM('T3 GDP XQ'!T26:W26)</f>
        <v>8006</v>
      </c>
      <c r="G22" s="29">
        <f>SUM('T3 GDP XQ'!X26:AA26)</f>
        <v>8644</v>
      </c>
      <c r="H22" s="29">
        <f>SUM('T3 GDP XQ'!AB26:AE26)</f>
        <v>9390</v>
      </c>
      <c r="I22" s="29">
        <f>SUM('T3 GDP XQ'!AF26:AI26)</f>
        <v>9834</v>
      </c>
      <c r="J22" s="29">
        <f>SUM('T3 GDP XQ'!AJ26:AM26)</f>
        <v>10392</v>
      </c>
      <c r="K22" s="29">
        <f>SUM('T3 GDP XQ'!AN26:AQ26)</f>
        <v>11314</v>
      </c>
      <c r="L22" s="29">
        <f>SUM('T3 GDP XQ'!AR26:AU26)</f>
        <v>11954</v>
      </c>
      <c r="M22" s="29">
        <f>SUM('T3 GDP XQ'!AV26:AY26)</f>
        <v>12517</v>
      </c>
      <c r="N22" s="29">
        <f>SUM('T3 GDP XQ'!AZ26:BC26)</f>
        <v>13527</v>
      </c>
      <c r="O22" s="29">
        <f>SUM('T3 GDP XQ'!BD26:BG26)</f>
        <v>14782</v>
      </c>
      <c r="P22" s="29">
        <f>SUM('T3 GDP XQ'!BH26:BK26)</f>
        <v>14372</v>
      </c>
      <c r="Q22" s="29">
        <f>SUM('T3 GDP XQ'!BL26:BO26)</f>
        <v>15581</v>
      </c>
      <c r="R22" s="29">
        <f>SUM('T3 GDP XQ'!BP26:BS26)</f>
        <v>17111</v>
      </c>
      <c r="S22" s="29">
        <f>SUM('T3 GDP XQ'!BU26:BX26)</f>
        <v>18931</v>
      </c>
      <c r="T22" s="29">
        <f>SUM('T3 GDP XQ'!BY26:CB26)</f>
        <v>20228</v>
      </c>
      <c r="U22" s="29">
        <f>SUM('T3 GDP XQ'!CB26:CD26)</f>
        <v>15681</v>
      </c>
    </row>
    <row r="23" spans="1:21" ht="17.75" x14ac:dyDescent="0.75">
      <c r="A23" s="174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</row>
    <row r="24" spans="1:21" x14ac:dyDescent="0.6">
      <c r="A24" s="173" t="s">
        <v>10</v>
      </c>
      <c r="B24" s="29">
        <f>SUM('T3 GDP XQ'!D28:G28)</f>
        <v>6207</v>
      </c>
      <c r="C24" s="29">
        <f>SUM('T3 GDP XQ'!H28:K28)</f>
        <v>6216</v>
      </c>
      <c r="D24" s="29">
        <f>SUM('T3 GDP XQ'!L28:O28)</f>
        <v>6622</v>
      </c>
      <c r="E24" s="29">
        <f>SUM('T3 GDP XQ'!P28:S28)</f>
        <v>7490</v>
      </c>
      <c r="F24" s="29">
        <f>SUM('T3 GDP XQ'!T28:W28)</f>
        <v>7881</v>
      </c>
      <c r="G24" s="29">
        <f>SUM('T3 GDP XQ'!X28:AA28)</f>
        <v>8568</v>
      </c>
      <c r="H24" s="29">
        <f>SUM('T3 GDP XQ'!AB28:AE28)</f>
        <v>9399</v>
      </c>
      <c r="I24" s="29">
        <f>SUM('T3 GDP XQ'!AF28:AI28)</f>
        <v>9692</v>
      </c>
      <c r="J24" s="29">
        <f>SUM('T3 GDP XQ'!AJ28:AM28)</f>
        <v>10647</v>
      </c>
      <c r="K24" s="29">
        <f>SUM('T3 GDP XQ'!AN28:AQ28)</f>
        <v>12198</v>
      </c>
      <c r="L24" s="29">
        <f>SUM('T3 GDP XQ'!AR28:AU28)</f>
        <v>12737</v>
      </c>
      <c r="M24" s="29">
        <f>SUM('T3 GDP XQ'!AV28:AY28)</f>
        <v>12301</v>
      </c>
      <c r="N24" s="29">
        <f>SUM('T3 GDP XQ'!AZ28:BC28)</f>
        <v>13258</v>
      </c>
      <c r="O24" s="29">
        <f>SUM('T3 GDP XQ'!BD28:BG28)</f>
        <v>13869</v>
      </c>
      <c r="P24" s="29">
        <f>SUM('T3 GDP XQ'!BH28:BK28)</f>
        <v>14386</v>
      </c>
      <c r="Q24" s="29">
        <f>SUM('T3 GDP XQ'!BL28:BO28)</f>
        <v>14929</v>
      </c>
      <c r="R24" s="29">
        <f>SUM('T3 GDP XQ'!BP28:BS28)</f>
        <v>13988</v>
      </c>
      <c r="S24" s="29">
        <f>SUM('T3 GDP XQ'!BU28:BX28)</f>
        <v>15213</v>
      </c>
      <c r="T24" s="29">
        <f>SUM('T3 GDP XQ'!BY28:CB28)</f>
        <v>16188</v>
      </c>
      <c r="U24" s="29">
        <f>SUM('T3 GDP XQ'!CB28:CD28)</f>
        <v>12186</v>
      </c>
    </row>
    <row r="25" spans="1:21" x14ac:dyDescent="0.6">
      <c r="A25" s="175" t="s">
        <v>11</v>
      </c>
      <c r="B25" s="33">
        <f>SUM('T3 GDP XQ'!D29:G29)</f>
        <v>816</v>
      </c>
      <c r="C25" s="33">
        <f>SUM('T3 GDP XQ'!H29:K29)</f>
        <v>824</v>
      </c>
      <c r="D25" s="33">
        <f>SUM('T3 GDP XQ'!L29:O29)</f>
        <v>841</v>
      </c>
      <c r="E25" s="33">
        <f>SUM('T3 GDP XQ'!P29:S29)</f>
        <v>941</v>
      </c>
      <c r="F25" s="33">
        <f>SUM('T3 GDP XQ'!T29:W29)</f>
        <v>1039</v>
      </c>
      <c r="G25" s="33">
        <f>SUM('T3 GDP XQ'!X29:AA29)</f>
        <v>1077</v>
      </c>
      <c r="H25" s="33">
        <f>SUM('T3 GDP XQ'!AB29:AE29)</f>
        <v>1247</v>
      </c>
      <c r="I25" s="33">
        <f>SUM('T3 GDP XQ'!AF29:AI29)</f>
        <v>1244</v>
      </c>
      <c r="J25" s="33">
        <f>SUM('T3 GDP XQ'!AJ29:AM29)</f>
        <v>1504</v>
      </c>
      <c r="K25" s="33">
        <f>SUM('T3 GDP XQ'!AN29:AQ29)</f>
        <v>1580</v>
      </c>
      <c r="L25" s="33">
        <f>SUM('T3 GDP XQ'!AR29:AU29)</f>
        <v>1725</v>
      </c>
      <c r="M25" s="33">
        <f>SUM('T3 GDP XQ'!AV29:AY29)</f>
        <v>1851</v>
      </c>
      <c r="N25" s="33">
        <f>SUM('T3 GDP XQ'!AZ29:BC29)</f>
        <v>1945</v>
      </c>
      <c r="O25" s="33">
        <f>SUM('T3 GDP XQ'!BD29:BG29)</f>
        <v>2286</v>
      </c>
      <c r="P25" s="33">
        <f>SUM('T3 GDP XQ'!BH29:BK29)</f>
        <v>2327</v>
      </c>
      <c r="Q25" s="33">
        <f>SUM('T3 GDP XQ'!BL29:BO29)</f>
        <v>2649</v>
      </c>
      <c r="R25" s="33">
        <f>SUM('T3 GDP XQ'!BP29:BS29)</f>
        <v>2911</v>
      </c>
      <c r="S25" s="33">
        <f>SUM('T3 GDP XQ'!BU29:BX29)</f>
        <v>2967</v>
      </c>
      <c r="T25" s="33">
        <f>SUM('T3 GDP XQ'!BY29:CB29)</f>
        <v>3408</v>
      </c>
      <c r="U25" s="33">
        <f>SUM('T3 GDP XQ'!CB29:CD29)</f>
        <v>2473</v>
      </c>
    </row>
    <row r="26" spans="1:21" x14ac:dyDescent="0.6">
      <c r="A26" s="175" t="s">
        <v>150</v>
      </c>
      <c r="B26" s="33">
        <f>SUM('T3 GDP XQ'!D30:G30)</f>
        <v>5390</v>
      </c>
      <c r="C26" s="33">
        <f>SUM('T3 GDP XQ'!H30:K30)</f>
        <v>5391</v>
      </c>
      <c r="D26" s="33">
        <f>SUM('T3 GDP XQ'!L30:O30)</f>
        <v>5780</v>
      </c>
      <c r="E26" s="33">
        <f>SUM('T3 GDP XQ'!P30:S30)</f>
        <v>6549</v>
      </c>
      <c r="F26" s="33">
        <f>SUM('T3 GDP XQ'!T30:W30)</f>
        <v>6842</v>
      </c>
      <c r="G26" s="33">
        <f>SUM('T3 GDP XQ'!X30:AA30)</f>
        <v>7491</v>
      </c>
      <c r="H26" s="33">
        <f>SUM('T3 GDP XQ'!AB30:AE30)</f>
        <v>8152</v>
      </c>
      <c r="I26" s="33">
        <f>SUM('T3 GDP XQ'!AF30:AI30)</f>
        <v>8447</v>
      </c>
      <c r="J26" s="33">
        <f>SUM('T3 GDP XQ'!AJ30:AM30)</f>
        <v>9144</v>
      </c>
      <c r="K26" s="33">
        <f>SUM('T3 GDP XQ'!AN30:AQ30)</f>
        <v>10618</v>
      </c>
      <c r="L26" s="33">
        <f>SUM('T3 GDP XQ'!AR30:AU30)</f>
        <v>11012</v>
      </c>
      <c r="M26" s="33">
        <f>SUM('T3 GDP XQ'!AV30:AY30)</f>
        <v>10450</v>
      </c>
      <c r="N26" s="33">
        <f>SUM('T3 GDP XQ'!AZ30:BC30)</f>
        <v>11314</v>
      </c>
      <c r="O26" s="33">
        <f>SUM('T3 GDP XQ'!BD30:BG30)</f>
        <v>11584</v>
      </c>
      <c r="P26" s="33">
        <f>SUM('T3 GDP XQ'!BH30:BK30)</f>
        <v>12059</v>
      </c>
      <c r="Q26" s="33">
        <f>SUM('T3 GDP XQ'!BL30:BO30)</f>
        <v>12281</v>
      </c>
      <c r="R26" s="33">
        <f>SUM('T3 GDP XQ'!BP30:BS30)</f>
        <v>11078</v>
      </c>
      <c r="S26" s="33">
        <f>SUM('T3 GDP XQ'!BU30:BX30)</f>
        <v>12247</v>
      </c>
      <c r="T26" s="33">
        <f>SUM('T3 GDP XQ'!BY30:CB30)</f>
        <v>12781</v>
      </c>
      <c r="U26" s="33">
        <f>SUM('T3 GDP XQ'!CB30:CD30)</f>
        <v>9714</v>
      </c>
    </row>
    <row r="27" spans="1:21" ht="17.75" x14ac:dyDescent="0.75">
      <c r="A27" s="174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</row>
    <row r="28" spans="1:21" x14ac:dyDescent="0.6">
      <c r="A28" s="173" t="s">
        <v>13</v>
      </c>
      <c r="B28" s="29">
        <f>SUM('T3 GDP XQ'!D32:G32)</f>
        <v>1024</v>
      </c>
      <c r="C28" s="29">
        <f>SUM('T3 GDP XQ'!H32:K32)</f>
        <v>1298</v>
      </c>
      <c r="D28" s="29">
        <f>SUM('T3 GDP XQ'!L32:O32)</f>
        <v>1711</v>
      </c>
      <c r="E28" s="29">
        <f>SUM('T3 GDP XQ'!P32:S32)</f>
        <v>1758</v>
      </c>
      <c r="F28" s="29">
        <f>SUM('T3 GDP XQ'!T32:W32)</f>
        <v>1885</v>
      </c>
      <c r="G28" s="29">
        <f>SUM('T3 GDP XQ'!X32:AA32)</f>
        <v>2059</v>
      </c>
      <c r="H28" s="29">
        <f>SUM('T3 GDP XQ'!AB32:AE32)</f>
        <v>2517</v>
      </c>
      <c r="I28" s="29">
        <f>SUM('T3 GDP XQ'!AF32:AI32)</f>
        <v>2709</v>
      </c>
      <c r="J28" s="29">
        <f>SUM('T3 GDP XQ'!AJ32:AM32)</f>
        <v>2858</v>
      </c>
      <c r="K28" s="29">
        <f>SUM('T3 GDP XQ'!AN32:AQ32)</f>
        <v>3369</v>
      </c>
      <c r="L28" s="29">
        <f>SUM('T3 GDP XQ'!AR32:AU32)</f>
        <v>3655</v>
      </c>
      <c r="M28" s="29">
        <f>SUM('T3 GDP XQ'!AV32:AY32)</f>
        <v>3530</v>
      </c>
      <c r="N28" s="29">
        <f>SUM('T3 GDP XQ'!AZ32:BC32)</f>
        <v>3682</v>
      </c>
      <c r="O28" s="29">
        <f>SUM('T3 GDP XQ'!BD32:BG32)</f>
        <v>4828</v>
      </c>
      <c r="P28" s="29">
        <f>SUM('T3 GDP XQ'!BH32:BK32)</f>
        <v>4191</v>
      </c>
      <c r="Q28" s="29">
        <f>SUM('T3 GDP XQ'!BL32:BO32)</f>
        <v>4985</v>
      </c>
      <c r="R28" s="29">
        <f>SUM('T3 GDP XQ'!BP32:BS32)</f>
        <v>5805</v>
      </c>
      <c r="S28" s="29">
        <f>SUM('T3 GDP XQ'!BU32:BX32)</f>
        <v>7233</v>
      </c>
      <c r="T28" s="29">
        <f>SUM('T3 GDP XQ'!BY32:CB32)</f>
        <v>6978</v>
      </c>
      <c r="U28" s="29">
        <f>SUM('T3 GDP XQ'!CB32:CD32)</f>
        <v>5583</v>
      </c>
    </row>
    <row r="29" spans="1:21" x14ac:dyDescent="0.6">
      <c r="A29" s="175" t="s">
        <v>151</v>
      </c>
      <c r="B29" s="33">
        <f>SUM('T3 GDP XQ'!D33:G33)</f>
        <v>639</v>
      </c>
      <c r="C29" s="33">
        <f>SUM('T3 GDP XQ'!H33:K33)</f>
        <v>740</v>
      </c>
      <c r="D29" s="33">
        <f>SUM('T3 GDP XQ'!L33:O33)</f>
        <v>956</v>
      </c>
      <c r="E29" s="33">
        <f>SUM('T3 GDP XQ'!P33:S33)</f>
        <v>969</v>
      </c>
      <c r="F29" s="33">
        <f>SUM('T3 GDP XQ'!T33:W33)</f>
        <v>1057</v>
      </c>
      <c r="G29" s="33">
        <f>SUM('T3 GDP XQ'!X33:AA33)</f>
        <v>1317</v>
      </c>
      <c r="H29" s="33">
        <f>SUM('T3 GDP XQ'!AB33:AE33)</f>
        <v>1519</v>
      </c>
      <c r="I29" s="33">
        <f>SUM('T3 GDP XQ'!AF33:AI33)</f>
        <v>1691</v>
      </c>
      <c r="J29" s="33">
        <f>SUM('T3 GDP XQ'!AJ33:AM33)</f>
        <v>1778</v>
      </c>
      <c r="K29" s="33">
        <f>SUM('T3 GDP XQ'!AN33:AQ33)</f>
        <v>2057</v>
      </c>
      <c r="L29" s="33">
        <f>SUM('T3 GDP XQ'!AR33:AU33)</f>
        <v>2109</v>
      </c>
      <c r="M29" s="33">
        <f>SUM('T3 GDP XQ'!AV33:AY33)</f>
        <v>1898</v>
      </c>
      <c r="N29" s="33">
        <f>SUM('T3 GDP XQ'!AZ33:BC33)</f>
        <v>1986</v>
      </c>
      <c r="O29" s="33">
        <f>SUM('T3 GDP XQ'!BD33:BG33)</f>
        <v>2634</v>
      </c>
      <c r="P29" s="33">
        <f>SUM('T3 GDP XQ'!BH33:BK33)</f>
        <v>2486</v>
      </c>
      <c r="Q29" s="33">
        <f>SUM('T3 GDP XQ'!BL33:BO33)</f>
        <v>2858</v>
      </c>
      <c r="R29" s="33">
        <f>SUM('T3 GDP XQ'!BP33:BS33)</f>
        <v>3806</v>
      </c>
      <c r="S29" s="33">
        <f>SUM('T3 GDP XQ'!BU33:BX33)</f>
        <v>4412</v>
      </c>
      <c r="T29" s="33">
        <f>SUM('T3 GDP XQ'!BY33:CB33)</f>
        <v>4472</v>
      </c>
      <c r="U29" s="33">
        <f>SUM('T3 GDP XQ'!CB33:CD33)</f>
        <v>3612</v>
      </c>
    </row>
    <row r="30" spans="1:21" x14ac:dyDescent="0.6">
      <c r="A30" s="175" t="s">
        <v>152</v>
      </c>
      <c r="B30" s="33">
        <f>SUM('T3 GDP XQ'!D34:G34)</f>
        <v>213</v>
      </c>
      <c r="C30" s="33">
        <f>SUM('T3 GDP XQ'!H34:K34)</f>
        <v>336</v>
      </c>
      <c r="D30" s="33">
        <f>SUM('T3 GDP XQ'!L34:O34)</f>
        <v>465</v>
      </c>
      <c r="E30" s="33">
        <f>SUM('T3 GDP XQ'!P34:S34)</f>
        <v>486</v>
      </c>
      <c r="F30" s="33">
        <f>SUM('T3 GDP XQ'!T34:W34)</f>
        <v>504</v>
      </c>
      <c r="G30" s="33">
        <f>SUM('T3 GDP XQ'!X34:AA34)</f>
        <v>425</v>
      </c>
      <c r="H30" s="33">
        <f>SUM('T3 GDP XQ'!AB34:AE34)</f>
        <v>583</v>
      </c>
      <c r="I30" s="33">
        <f>SUM('T3 GDP XQ'!AF34:AI34)</f>
        <v>574</v>
      </c>
      <c r="J30" s="33">
        <f>SUM('T3 GDP XQ'!AJ34:AM34)</f>
        <v>592</v>
      </c>
      <c r="K30" s="33">
        <f>SUM('T3 GDP XQ'!AN34:AQ34)</f>
        <v>767</v>
      </c>
      <c r="L30" s="33">
        <f>SUM('T3 GDP XQ'!AR34:AU34)</f>
        <v>964</v>
      </c>
      <c r="M30" s="33">
        <f>SUM('T3 GDP XQ'!AV34:AY34)</f>
        <v>968</v>
      </c>
      <c r="N30" s="33">
        <f>SUM('T3 GDP XQ'!AZ34:BC34)</f>
        <v>1024</v>
      </c>
      <c r="O30" s="33">
        <f>SUM('T3 GDP XQ'!BD34:BG34)</f>
        <v>1324</v>
      </c>
      <c r="P30" s="33">
        <f>SUM('T3 GDP XQ'!BH34:BK34)</f>
        <v>1108</v>
      </c>
      <c r="Q30" s="33">
        <f>SUM('T3 GDP XQ'!BL34:BO34)</f>
        <v>2124</v>
      </c>
      <c r="R30" s="33">
        <f>SUM('T3 GDP XQ'!BP34:BS34)</f>
        <v>2000</v>
      </c>
      <c r="S30" s="33">
        <f>SUM('T3 GDP XQ'!BU34:BX34)</f>
        <v>2819</v>
      </c>
      <c r="T30" s="33">
        <f>SUM('T3 GDP XQ'!BY34:CB34)</f>
        <v>2505</v>
      </c>
      <c r="U30" s="33">
        <f>SUM('T3 GDP XQ'!CB34:CD34)</f>
        <v>1971</v>
      </c>
    </row>
    <row r="31" spans="1:21" ht="17.75" x14ac:dyDescent="0.75">
      <c r="A31" s="174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</row>
    <row r="32" spans="1:21" x14ac:dyDescent="0.6">
      <c r="A32" s="173" t="s">
        <v>14</v>
      </c>
      <c r="B32" s="29">
        <f>SUM('T3 GDP XQ'!D36:G36)</f>
        <v>-1363</v>
      </c>
      <c r="C32" s="29">
        <f>SUM('T3 GDP XQ'!H36:K36)</f>
        <v>-1199</v>
      </c>
      <c r="D32" s="29">
        <f>SUM('T3 GDP XQ'!L36:O36)</f>
        <v>-1310</v>
      </c>
      <c r="E32" s="29">
        <f>SUM('T3 GDP XQ'!P36:S36)</f>
        <v>-1790</v>
      </c>
      <c r="F32" s="29">
        <f>SUM('T3 GDP XQ'!T36:W36)</f>
        <v>-1759</v>
      </c>
      <c r="G32" s="29">
        <f>SUM('T3 GDP XQ'!X36:AA36)</f>
        <v>-1983</v>
      </c>
      <c r="H32" s="29">
        <f>SUM('T3 GDP XQ'!AB36:AE36)</f>
        <v>-2527</v>
      </c>
      <c r="I32" s="29">
        <f>SUM('T3 GDP XQ'!AF36:AI36)</f>
        <v>-2567</v>
      </c>
      <c r="J32" s="29">
        <f>SUM('T3 GDP XQ'!AJ36:AM36)</f>
        <v>-3114</v>
      </c>
      <c r="K32" s="29">
        <f>SUM('T3 GDP XQ'!AN36:AQ36)</f>
        <v>-4253</v>
      </c>
      <c r="L32" s="29">
        <f>SUM('T3 GDP XQ'!AR36:AU36)</f>
        <v>-4437</v>
      </c>
      <c r="M32" s="29">
        <f>SUM('T3 GDP XQ'!AV36:AY36)</f>
        <v>-3315</v>
      </c>
      <c r="N32" s="29">
        <f>SUM('T3 GDP XQ'!AZ36:BC36)</f>
        <v>-3414</v>
      </c>
      <c r="O32" s="29">
        <f>SUM('T3 GDP XQ'!BD36:BG36)</f>
        <v>-3916</v>
      </c>
      <c r="P32" s="29">
        <f>SUM('T3 GDP XQ'!BH36:BK36)</f>
        <v>-4206</v>
      </c>
      <c r="Q32" s="29">
        <f>SUM('T3 GDP XQ'!BL36:BO36)</f>
        <v>-4332</v>
      </c>
      <c r="R32" s="29">
        <f>SUM('T3 GDP XQ'!BP36:BS36)</f>
        <v>-2683</v>
      </c>
      <c r="S32" s="29">
        <f>SUM('T3 GDP XQ'!BU36:BX36)</f>
        <v>-3514</v>
      </c>
      <c r="T32" s="29">
        <f>SUM('T3 GDP XQ'!BY36:CB36)</f>
        <v>-2937</v>
      </c>
      <c r="U32" s="29">
        <f>SUM('T3 GDP XQ'!CB36:CD36)</f>
        <v>-2089</v>
      </c>
    </row>
    <row r="33" spans="1:21" x14ac:dyDescent="0.6">
      <c r="A33" s="176" t="s">
        <v>153</v>
      </c>
      <c r="B33" s="37">
        <f>SUM('T3 GDP XQ'!D37:G37)</f>
        <v>504</v>
      </c>
      <c r="C33" s="37">
        <f>SUM('T3 GDP XQ'!H37:K37)</f>
        <v>726</v>
      </c>
      <c r="D33" s="37">
        <f>SUM('T3 GDP XQ'!L37:O37)</f>
        <v>641</v>
      </c>
      <c r="E33" s="37">
        <f>SUM('T3 GDP XQ'!P37:S37)</f>
        <v>621</v>
      </c>
      <c r="F33" s="37">
        <f>SUM('T3 GDP XQ'!T37:W37)</f>
        <v>673</v>
      </c>
      <c r="G33" s="37">
        <f>SUM('T3 GDP XQ'!X37:AA37)</f>
        <v>832</v>
      </c>
      <c r="H33" s="37">
        <f>SUM('T3 GDP XQ'!AB37:AE37)</f>
        <v>906</v>
      </c>
      <c r="I33" s="37">
        <f>SUM('T3 GDP XQ'!AF37:AI37)</f>
        <v>1076</v>
      </c>
      <c r="J33" s="37">
        <f>SUM('T3 GDP XQ'!AJ37:AM37)</f>
        <v>1156</v>
      </c>
      <c r="K33" s="37">
        <f>SUM('T3 GDP XQ'!AN37:AQ37)</f>
        <v>1229</v>
      </c>
      <c r="L33" s="37">
        <f>SUM('T3 GDP XQ'!AR37:AU37)</f>
        <v>1387</v>
      </c>
      <c r="M33" s="37">
        <f>SUM('T3 GDP XQ'!AV37:AY37)</f>
        <v>1968</v>
      </c>
      <c r="N33" s="37">
        <f>SUM('T3 GDP XQ'!AZ37:BC37)</f>
        <v>2182</v>
      </c>
      <c r="O33" s="37">
        <f>SUM('T3 GDP XQ'!BD37:BG37)</f>
        <v>2616</v>
      </c>
      <c r="P33" s="37">
        <f>SUM('T3 GDP XQ'!BH37:BK37)</f>
        <v>2365</v>
      </c>
      <c r="Q33" s="37">
        <f>SUM('T3 GDP XQ'!BL37:BO37)</f>
        <v>2422</v>
      </c>
      <c r="R33" s="37">
        <f>SUM('T3 GDP XQ'!BP37:BS37)</f>
        <v>3835</v>
      </c>
      <c r="S33" s="37">
        <f>SUM('T3 GDP XQ'!BU37:BX37)</f>
        <v>4776</v>
      </c>
      <c r="T33" s="37">
        <f>SUM('T3 GDP XQ'!BY37:CB37)</f>
        <v>5650</v>
      </c>
      <c r="U33" s="37">
        <f>SUM('T3 GDP XQ'!CB37:CD37)</f>
        <v>3603</v>
      </c>
    </row>
    <row r="34" spans="1:21" x14ac:dyDescent="0.6">
      <c r="A34" s="175" t="s">
        <v>154</v>
      </c>
      <c r="B34" s="33">
        <f>SUM('T3 GDP XQ'!D38:G38)</f>
        <v>152</v>
      </c>
      <c r="C34" s="33">
        <f>SUM('T3 GDP XQ'!H38:K38)</f>
        <v>175</v>
      </c>
      <c r="D34" s="33">
        <f>SUM('T3 GDP XQ'!L38:O38)</f>
        <v>218</v>
      </c>
      <c r="E34" s="33">
        <f>SUM('T3 GDP XQ'!P38:S38)</f>
        <v>161</v>
      </c>
      <c r="F34" s="33">
        <f>SUM('T3 GDP XQ'!T38:W38)</f>
        <v>205</v>
      </c>
      <c r="G34" s="33">
        <f>SUM('T3 GDP XQ'!X38:AA38)</f>
        <v>334</v>
      </c>
      <c r="H34" s="33">
        <f>SUM('T3 GDP XQ'!AB38:AE38)</f>
        <v>411</v>
      </c>
      <c r="I34" s="33">
        <f>SUM('T3 GDP XQ'!AF38:AI38)</f>
        <v>510</v>
      </c>
      <c r="J34" s="33">
        <f>SUM('T3 GDP XQ'!AJ38:AM38)</f>
        <v>463</v>
      </c>
      <c r="K34" s="33">
        <f>SUM('T3 GDP XQ'!AN38:AQ38)</f>
        <v>453</v>
      </c>
      <c r="L34" s="33">
        <f>SUM('T3 GDP XQ'!AR38:AU38)</f>
        <v>499</v>
      </c>
      <c r="M34" s="33">
        <f>SUM('T3 GDP XQ'!AV38:AY38)</f>
        <v>1023</v>
      </c>
      <c r="N34" s="33">
        <f>SUM('T3 GDP XQ'!AZ38:BC38)</f>
        <v>1161</v>
      </c>
      <c r="O34" s="33">
        <f>SUM('T3 GDP XQ'!BD38:BG38)</f>
        <v>1455</v>
      </c>
      <c r="P34" s="33">
        <f>SUM('T3 GDP XQ'!BH38:BK38)</f>
        <v>1747</v>
      </c>
      <c r="Q34" s="33">
        <f>SUM('T3 GDP XQ'!BL38:BO38)</f>
        <v>1656</v>
      </c>
      <c r="R34" s="33">
        <f>SUM('T3 GDP XQ'!BP38:BS38)</f>
        <v>2768</v>
      </c>
      <c r="S34" s="33">
        <f>SUM('T3 GDP XQ'!BU38:BX38)</f>
        <v>3502</v>
      </c>
      <c r="T34" s="33">
        <f>SUM('T3 GDP XQ'!BY38:CB38)</f>
        <v>4216</v>
      </c>
      <c r="U34" s="33">
        <f>SUM('T3 GDP XQ'!CB38:CD38)</f>
        <v>2515</v>
      </c>
    </row>
    <row r="35" spans="1:21" x14ac:dyDescent="0.6">
      <c r="A35" s="175" t="s">
        <v>155</v>
      </c>
      <c r="B35" s="33">
        <f>SUM('T3 GDP XQ'!D39:G39)</f>
        <v>397</v>
      </c>
      <c r="C35" s="33">
        <f>SUM('T3 GDP XQ'!H39:K39)</f>
        <v>640</v>
      </c>
      <c r="D35" s="33">
        <f>SUM('T3 GDP XQ'!L39:O39)</f>
        <v>460</v>
      </c>
      <c r="E35" s="33">
        <f>SUM('T3 GDP XQ'!P39:S39)</f>
        <v>533</v>
      </c>
      <c r="F35" s="33">
        <f>SUM('T3 GDP XQ'!T39:W39)</f>
        <v>524</v>
      </c>
      <c r="G35" s="33">
        <f>SUM('T3 GDP XQ'!X39:AA39)</f>
        <v>518</v>
      </c>
      <c r="H35" s="33">
        <f>SUM('T3 GDP XQ'!AB39:AE39)</f>
        <v>491</v>
      </c>
      <c r="I35" s="33">
        <f>SUM('T3 GDP XQ'!AF39:AI39)</f>
        <v>547</v>
      </c>
      <c r="J35" s="33">
        <f>SUM('T3 GDP XQ'!AJ39:AM39)</f>
        <v>717</v>
      </c>
      <c r="K35" s="33">
        <f>SUM('T3 GDP XQ'!AN39:AQ39)</f>
        <v>819</v>
      </c>
      <c r="L35" s="33">
        <f>SUM('T3 GDP XQ'!AR39:AU39)</f>
        <v>943</v>
      </c>
      <c r="M35" s="33">
        <f>SUM('T3 GDP XQ'!AV39:AY39)</f>
        <v>984</v>
      </c>
      <c r="N35" s="33">
        <f>SUM('T3 GDP XQ'!AZ39:BC39)</f>
        <v>1066</v>
      </c>
      <c r="O35" s="33">
        <f>SUM('T3 GDP XQ'!BD39:BG39)</f>
        <v>1205</v>
      </c>
      <c r="P35" s="33">
        <f>SUM('T3 GDP XQ'!BH39:BK39)</f>
        <v>599</v>
      </c>
      <c r="Q35" s="33">
        <f>SUM('T3 GDP XQ'!BL39:BO39)</f>
        <v>766</v>
      </c>
      <c r="R35" s="33">
        <f>SUM('T3 GDP XQ'!BP39:BS39)</f>
        <v>1067</v>
      </c>
      <c r="S35" s="33">
        <f>SUM('T3 GDP XQ'!BU39:BX39)</f>
        <v>1273</v>
      </c>
      <c r="T35" s="33">
        <f>SUM('T3 GDP XQ'!BY39:CB39)</f>
        <v>1435</v>
      </c>
      <c r="U35" s="33">
        <f>SUM('T3 GDP XQ'!CB39:CD39)</f>
        <v>1088</v>
      </c>
    </row>
    <row r="36" spans="1:21" x14ac:dyDescent="0.6">
      <c r="A36" s="176" t="s">
        <v>156</v>
      </c>
      <c r="B36" s="37">
        <f>SUM('T3 GDP XQ'!D40:G40)</f>
        <v>1669</v>
      </c>
      <c r="C36" s="37">
        <f>SUM('T3 GDP XQ'!H40:K40)</f>
        <v>1879</v>
      </c>
      <c r="D36" s="37">
        <f>SUM('T3 GDP XQ'!L40:O40)</f>
        <v>1827</v>
      </c>
      <c r="E36" s="37">
        <f>SUM('T3 GDP XQ'!P40:S40)</f>
        <v>2142</v>
      </c>
      <c r="F36" s="37">
        <f>SUM('T3 GDP XQ'!T40:W40)</f>
        <v>2192</v>
      </c>
      <c r="G36" s="37">
        <f>SUM('T3 GDP XQ'!X40:AA40)</f>
        <v>2582</v>
      </c>
      <c r="H36" s="37">
        <f>SUM('T3 GDP XQ'!AB40:AE40)</f>
        <v>3065</v>
      </c>
      <c r="I36" s="37">
        <f>SUM('T3 GDP XQ'!AF40:AI40)</f>
        <v>3342</v>
      </c>
      <c r="J36" s="37">
        <f>SUM('T3 GDP XQ'!AJ40:AM40)</f>
        <v>3830</v>
      </c>
      <c r="K36" s="37">
        <f>SUM('T3 GDP XQ'!AN40:AQ40)</f>
        <v>4713</v>
      </c>
      <c r="L36" s="37">
        <f>SUM('T3 GDP XQ'!AR40:AU40)</f>
        <v>5071</v>
      </c>
      <c r="M36" s="37">
        <f>SUM('T3 GDP XQ'!AV40:AY40)</f>
        <v>5363</v>
      </c>
      <c r="N36" s="37">
        <f>SUM('T3 GDP XQ'!AZ40:BC40)</f>
        <v>5788</v>
      </c>
      <c r="O36" s="37">
        <f>SUM('T3 GDP XQ'!BD40:BG40)</f>
        <v>6827</v>
      </c>
      <c r="P36" s="37">
        <f>SUM('T3 GDP XQ'!BH40:BK40)</f>
        <v>6577</v>
      </c>
      <c r="Q36" s="37">
        <f>SUM('T3 GDP XQ'!BL40:BO40)</f>
        <v>6755</v>
      </c>
      <c r="R36" s="37">
        <f>SUM('T3 GDP XQ'!BP40:BS40)</f>
        <v>6518</v>
      </c>
      <c r="S36" s="37">
        <f>SUM('T3 GDP XQ'!BU40:BX40)</f>
        <v>8289</v>
      </c>
      <c r="T36" s="37">
        <f>SUM('T3 GDP XQ'!BY40:CB40)</f>
        <v>8588</v>
      </c>
      <c r="U36" s="37">
        <f>SUM('T3 GDP XQ'!CB40:CD40)</f>
        <v>5692</v>
      </c>
    </row>
    <row r="37" spans="1:21" x14ac:dyDescent="0.6">
      <c r="A37" s="175" t="s">
        <v>154</v>
      </c>
      <c r="B37" s="33">
        <f>SUM('T3 GDP XQ'!D41:G41)</f>
        <v>836</v>
      </c>
      <c r="C37" s="33">
        <f>SUM('T3 GDP XQ'!H41:K41)</f>
        <v>1050</v>
      </c>
      <c r="D37" s="33">
        <f>SUM('T3 GDP XQ'!L41:O41)</f>
        <v>1238</v>
      </c>
      <c r="E37" s="33">
        <f>SUM('T3 GDP XQ'!P41:S41)</f>
        <v>1428</v>
      </c>
      <c r="F37" s="33">
        <f>SUM('T3 GDP XQ'!T41:W41)</f>
        <v>1556</v>
      </c>
      <c r="G37" s="33">
        <f>SUM('T3 GDP XQ'!X41:AA41)</f>
        <v>1875</v>
      </c>
      <c r="H37" s="33">
        <f>SUM('T3 GDP XQ'!AB41:AE41)</f>
        <v>2297</v>
      </c>
      <c r="I37" s="33">
        <f>SUM('T3 GDP XQ'!AF41:AI41)</f>
        <v>2431</v>
      </c>
      <c r="J37" s="33">
        <f>SUM('T3 GDP XQ'!AJ41:AM41)</f>
        <v>2751</v>
      </c>
      <c r="K37" s="33">
        <f>SUM('T3 GDP XQ'!AN41:AQ41)</f>
        <v>3062</v>
      </c>
      <c r="L37" s="33">
        <f>SUM('T3 GDP XQ'!AR41:AU41)</f>
        <v>3278</v>
      </c>
      <c r="M37" s="33">
        <f>SUM('T3 GDP XQ'!AV41:AY41)</f>
        <v>3590</v>
      </c>
      <c r="N37" s="33">
        <f>SUM('T3 GDP XQ'!AZ41:BC41)</f>
        <v>4042</v>
      </c>
      <c r="O37" s="33">
        <f>SUM('T3 GDP XQ'!BD41:BG41)</f>
        <v>5046</v>
      </c>
      <c r="P37" s="33">
        <f>SUM('T3 GDP XQ'!BH41:BK41)</f>
        <v>5708</v>
      </c>
      <c r="Q37" s="33">
        <f>SUM('T3 GDP XQ'!BL41:BO41)</f>
        <v>5840</v>
      </c>
      <c r="R37" s="33">
        <f>SUM('T3 GDP XQ'!BP41:BS41)</f>
        <v>5430</v>
      </c>
      <c r="S37" s="33">
        <f>SUM('T3 GDP XQ'!BU41:BX41)</f>
        <v>7056</v>
      </c>
      <c r="T37" s="33">
        <f>SUM('T3 GDP XQ'!BY41:CB41)</f>
        <v>7280</v>
      </c>
      <c r="U37" s="33">
        <f>SUM('T3 GDP XQ'!CB41:CD41)</f>
        <v>4642</v>
      </c>
    </row>
    <row r="38" spans="1:21" ht="13.75" thickBot="1" x14ac:dyDescent="0.75">
      <c r="A38" s="177" t="s">
        <v>155</v>
      </c>
      <c r="B38" s="39">
        <f>SUM('T3 GDP XQ'!D42:G42)</f>
        <v>822</v>
      </c>
      <c r="C38" s="39">
        <f>SUM('T3 GDP XQ'!H42:K42)</f>
        <v>808</v>
      </c>
      <c r="D38" s="39">
        <f>SUM('T3 GDP XQ'!L42:O42)</f>
        <v>560</v>
      </c>
      <c r="E38" s="39">
        <f>SUM('T3 GDP XQ'!P42:S42)</f>
        <v>684</v>
      </c>
      <c r="F38" s="39">
        <f>SUM('T3 GDP XQ'!T42:W42)</f>
        <v>594</v>
      </c>
      <c r="G38" s="39">
        <f>SUM('T3 GDP XQ'!X42:AA42)</f>
        <v>661</v>
      </c>
      <c r="H38" s="39">
        <f>SUM('T3 GDP XQ'!AB42:AE42)</f>
        <v>703</v>
      </c>
      <c r="I38" s="39">
        <f>SUM('T3 GDP XQ'!AF42:AI42)</f>
        <v>850</v>
      </c>
      <c r="J38" s="39">
        <f>SUM('T3 GDP XQ'!AJ42:AM42)</f>
        <v>1003</v>
      </c>
      <c r="K38" s="39">
        <f>SUM('T3 GDP XQ'!AN42:AQ42)</f>
        <v>1510</v>
      </c>
      <c r="L38" s="39">
        <f>SUM('T3 GDP XQ'!AR42:AU42)</f>
        <v>1643</v>
      </c>
      <c r="M38" s="39">
        <f>SUM('T3 GDP XQ'!AV42:AY42)</f>
        <v>1628</v>
      </c>
      <c r="N38" s="39">
        <f>SUM('T3 GDP XQ'!AZ42:BC42)</f>
        <v>1613</v>
      </c>
      <c r="O38" s="39">
        <f>SUM('T3 GDP XQ'!BD42:BG42)</f>
        <v>1662</v>
      </c>
      <c r="P38" s="39">
        <f>SUM('T3 GDP XQ'!BH42:BK42)</f>
        <v>873</v>
      </c>
      <c r="Q38" s="39">
        <f>SUM('T3 GDP XQ'!BL42:BO42)</f>
        <v>914</v>
      </c>
      <c r="R38" s="39">
        <f>SUM('T3 GDP XQ'!BP42:BS42)</f>
        <v>1088</v>
      </c>
      <c r="S38" s="39">
        <f>SUM('T3 GDP XQ'!BU42:BX42)</f>
        <v>1235</v>
      </c>
      <c r="T38" s="39">
        <f>SUM('T3 GDP XQ'!BY42:CB42)</f>
        <v>1308</v>
      </c>
      <c r="U38" s="39">
        <f>SUM('T3 GDP XQ'!CB42:CD42)</f>
        <v>1051</v>
      </c>
    </row>
    <row r="39" spans="1:21" ht="14.5" thickTop="1" thickBot="1" x14ac:dyDescent="0.75"/>
    <row r="40" spans="1:21" ht="17" thickTop="1" thickBot="1" x14ac:dyDescent="0.85">
      <c r="A40" s="62" t="s">
        <v>159</v>
      </c>
    </row>
    <row r="41" spans="1:21" ht="13.75" thickTop="1" x14ac:dyDescent="0.6">
      <c r="A41" s="28" t="s">
        <v>309</v>
      </c>
      <c r="B41" s="29">
        <f>AVERAGE('T3 GDP XQ'!D45:G45)</f>
        <v>30.5</v>
      </c>
      <c r="C41" s="29">
        <f>AVERAGE('T3 GDP XQ'!H45:K45)</f>
        <v>34.75</v>
      </c>
      <c r="D41" s="29">
        <f>AVERAGE('T3 GDP XQ'!L45:O45)</f>
        <v>40</v>
      </c>
      <c r="E41" s="29">
        <f>AVERAGE('T3 GDP XQ'!P45:S45)</f>
        <v>42.75</v>
      </c>
      <c r="F41" s="29">
        <f>AVERAGE('T3 GDP XQ'!T45:W45)</f>
        <v>44</v>
      </c>
      <c r="G41" s="29">
        <f>AVERAGE('T3 GDP XQ'!X45:AA45)</f>
        <v>47.25</v>
      </c>
      <c r="H41" s="29">
        <f>AVERAGE('T3 GDP XQ'!AB45:AE45)</f>
        <v>49.5</v>
      </c>
      <c r="I41" s="29">
        <f>AVERAGE('T3 GDP XQ'!AF45:AI45)</f>
        <v>50.75</v>
      </c>
      <c r="J41" s="29">
        <f>AVERAGE('T3 GDP XQ'!AJ45:AM45)</f>
        <v>53.5</v>
      </c>
      <c r="K41" s="29">
        <f>AVERAGE('T3 GDP XQ'!AN45:AQ45)</f>
        <v>53.75</v>
      </c>
      <c r="L41" s="29">
        <f>AVERAGE('T3 GDP XQ'!AR45:AU45)</f>
        <v>56.75</v>
      </c>
      <c r="M41" s="29">
        <f>AVERAGE('T3 GDP XQ'!AV45:AY45)</f>
        <v>61</v>
      </c>
      <c r="N41" s="29">
        <f>AVERAGE('T3 GDP XQ'!AZ45:BC45)</f>
        <v>61.5</v>
      </c>
      <c r="O41" s="29">
        <f>AVERAGE('T3 GDP XQ'!BD45:BG45)</f>
        <v>64</v>
      </c>
      <c r="P41" s="29">
        <f>AVERAGE('T3 GDP XQ'!BH45:BK45)</f>
        <v>68.75</v>
      </c>
      <c r="Q41" s="29">
        <f>AVERAGE('T3 GDP XQ'!BL45:BO45)</f>
        <v>71.5</v>
      </c>
      <c r="R41" s="29">
        <f>AVERAGE('T3 GDP XQ'!BP45:BS45)</f>
        <v>82.75</v>
      </c>
      <c r="S41" s="29">
        <f>AVERAGE('T3 GDP XQ'!BU45:BX45)</f>
        <v>93</v>
      </c>
      <c r="T41" s="29">
        <f>AVERAGE('T3 GDP XQ'!BY45:CB45)</f>
        <v>102</v>
      </c>
      <c r="U41" s="29">
        <f>SUM('T3 GDP XQ'!CB45:CD45)</f>
        <v>318</v>
      </c>
    </row>
    <row r="42" spans="1:21" ht="17.75" x14ac:dyDescent="0.7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</row>
    <row r="43" spans="1:21" x14ac:dyDescent="0.6">
      <c r="A43" s="28" t="s">
        <v>10</v>
      </c>
      <c r="B43" s="29">
        <f>AVERAGE('T3 GDP XQ'!D47:G47)</f>
        <v>27.75</v>
      </c>
      <c r="C43" s="29">
        <f>AVERAGE('T3 GDP XQ'!H47:K47)</f>
        <v>32.25</v>
      </c>
      <c r="D43" s="29">
        <f>AVERAGE('T3 GDP XQ'!L47:O47)</f>
        <v>39.75</v>
      </c>
      <c r="E43" s="29">
        <f>AVERAGE('T3 GDP XQ'!P47:S47)</f>
        <v>40.5</v>
      </c>
      <c r="F43" s="29">
        <f>AVERAGE('T3 GDP XQ'!T47:W47)</f>
        <v>42.5</v>
      </c>
      <c r="G43" s="29">
        <f>AVERAGE('T3 GDP XQ'!X47:AA47)</f>
        <v>44.5</v>
      </c>
      <c r="H43" s="29">
        <f>AVERAGE('T3 GDP XQ'!AB47:AE47)</f>
        <v>46</v>
      </c>
      <c r="I43" s="29">
        <f>AVERAGE('T3 GDP XQ'!AF47:AI47)</f>
        <v>47</v>
      </c>
      <c r="J43" s="29">
        <f>AVERAGE('T3 GDP XQ'!AJ47:AM47)</f>
        <v>48.5</v>
      </c>
      <c r="K43" s="29">
        <f>AVERAGE('T3 GDP XQ'!AN47:AQ47)</f>
        <v>47.25</v>
      </c>
      <c r="L43" s="29">
        <f>AVERAGE('T3 GDP XQ'!AR47:AU47)</f>
        <v>49.25</v>
      </c>
      <c r="M43" s="29">
        <f>AVERAGE('T3 GDP XQ'!AV47:AY47)</f>
        <v>55</v>
      </c>
      <c r="N43" s="29">
        <f>AVERAGE('T3 GDP XQ'!AZ47:BC47)</f>
        <v>54.25</v>
      </c>
      <c r="O43" s="29">
        <f>AVERAGE('T3 GDP XQ'!BD47:BG47)</f>
        <v>56.75</v>
      </c>
      <c r="P43" s="29">
        <f>AVERAGE('T3 GDP XQ'!BH47:BK47)</f>
        <v>61</v>
      </c>
      <c r="Q43" s="29">
        <f>AVERAGE('T3 GDP XQ'!BL47:BO47)</f>
        <v>68.5</v>
      </c>
      <c r="R43" s="29">
        <f>AVERAGE('T3 GDP XQ'!BP47:BS47)</f>
        <v>80.25</v>
      </c>
      <c r="S43" s="29">
        <f>AVERAGE('T3 GDP XQ'!BU47:BX47)</f>
        <v>92.5</v>
      </c>
      <c r="T43" s="29">
        <f>AVERAGE('T3 GDP XQ'!BY47:CB47)</f>
        <v>102.25</v>
      </c>
      <c r="U43" s="29">
        <f>SUM('T3 GDP XQ'!CB47:CD47)</f>
        <v>322</v>
      </c>
    </row>
    <row r="44" spans="1:21" x14ac:dyDescent="0.6">
      <c r="A44" s="34" t="s">
        <v>11</v>
      </c>
      <c r="B44" s="33">
        <f>AVERAGE('T3 GDP XQ'!D48:G48)</f>
        <v>36</v>
      </c>
      <c r="C44" s="33">
        <f>AVERAGE('T3 GDP XQ'!H48:K48)</f>
        <v>38</v>
      </c>
      <c r="D44" s="33">
        <f>AVERAGE('T3 GDP XQ'!L48:O48)</f>
        <v>41.25</v>
      </c>
      <c r="E44" s="33">
        <f>AVERAGE('T3 GDP XQ'!P48:S48)</f>
        <v>43.5</v>
      </c>
      <c r="F44" s="33">
        <f>AVERAGE('T3 GDP XQ'!T48:W48)</f>
        <v>45.25</v>
      </c>
      <c r="G44" s="33">
        <f>AVERAGE('T3 GDP XQ'!X48:AA48)</f>
        <v>45.75</v>
      </c>
      <c r="H44" s="33">
        <f>AVERAGE('T3 GDP XQ'!AB48:AE48)</f>
        <v>48.75</v>
      </c>
      <c r="I44" s="33">
        <f>AVERAGE('T3 GDP XQ'!AF48:AI48)</f>
        <v>52.25</v>
      </c>
      <c r="J44" s="33">
        <f>AVERAGE('T3 GDP XQ'!AJ48:AM48)</f>
        <v>53.5</v>
      </c>
      <c r="K44" s="33">
        <f>AVERAGE('T3 GDP XQ'!AN48:AQ48)</f>
        <v>53.75</v>
      </c>
      <c r="L44" s="33">
        <f>AVERAGE('T3 GDP XQ'!AR48:AU48)</f>
        <v>59.75</v>
      </c>
      <c r="M44" s="33">
        <f>AVERAGE('T3 GDP XQ'!AV48:AY48)</f>
        <v>62.5</v>
      </c>
      <c r="N44" s="33">
        <f>AVERAGE('T3 GDP XQ'!AZ48:BC48)</f>
        <v>59.5</v>
      </c>
      <c r="O44" s="33">
        <f>AVERAGE('T3 GDP XQ'!BD48:BG48)</f>
        <v>61</v>
      </c>
      <c r="P44" s="33">
        <f>AVERAGE('T3 GDP XQ'!BH48:BK48)</f>
        <v>63.75</v>
      </c>
      <c r="Q44" s="33">
        <f>AVERAGE('T3 GDP XQ'!BL48:BO48)</f>
        <v>74</v>
      </c>
      <c r="R44" s="33">
        <f>AVERAGE('T3 GDP XQ'!BP48:BS48)</f>
        <v>84.25</v>
      </c>
      <c r="S44" s="33">
        <f>AVERAGE('T3 GDP XQ'!BU48:BX48)</f>
        <v>97.5</v>
      </c>
      <c r="T44" s="33">
        <f>AVERAGE('T3 GDP XQ'!BY48:CB48)</f>
        <v>101.5</v>
      </c>
      <c r="U44" s="33">
        <f>SUM('T3 GDP XQ'!CB48:CD48)</f>
        <v>317</v>
      </c>
    </row>
    <row r="45" spans="1:21" x14ac:dyDescent="0.6">
      <c r="A45" s="34" t="s">
        <v>150</v>
      </c>
      <c r="B45" s="33">
        <f>AVERAGE('T3 GDP XQ'!D49:G49)</f>
        <v>26.75</v>
      </c>
      <c r="C45" s="33">
        <f>AVERAGE('T3 GDP XQ'!H49:K49)</f>
        <v>31.5</v>
      </c>
      <c r="D45" s="33">
        <f>AVERAGE('T3 GDP XQ'!L49:O49)</f>
        <v>39</v>
      </c>
      <c r="E45" s="33">
        <f>AVERAGE('T3 GDP XQ'!P49:S49)</f>
        <v>39.75</v>
      </c>
      <c r="F45" s="33">
        <f>AVERAGE('T3 GDP XQ'!T49:W49)</f>
        <v>42.25</v>
      </c>
      <c r="G45" s="33">
        <f>AVERAGE('T3 GDP XQ'!X49:AA49)</f>
        <v>44.5</v>
      </c>
      <c r="H45" s="33">
        <f>AVERAGE('T3 GDP XQ'!AB49:AE49)</f>
        <v>45.5</v>
      </c>
      <c r="I45" s="33">
        <f>AVERAGE('T3 GDP XQ'!AF49:AI49)</f>
        <v>46.25</v>
      </c>
      <c r="J45" s="33">
        <f>AVERAGE('T3 GDP XQ'!AJ49:AM49)</f>
        <v>47.5</v>
      </c>
      <c r="K45" s="33">
        <f>AVERAGE('T3 GDP XQ'!AN49:AQ49)</f>
        <v>46.25</v>
      </c>
      <c r="L45" s="33">
        <f>AVERAGE('T3 GDP XQ'!AR49:AU49)</f>
        <v>47.75</v>
      </c>
      <c r="M45" s="33">
        <f>AVERAGE('T3 GDP XQ'!AV49:AY49)</f>
        <v>53.5</v>
      </c>
      <c r="N45" s="33">
        <f>AVERAGE('T3 GDP XQ'!AZ49:BC49)</f>
        <v>53.75</v>
      </c>
      <c r="O45" s="33">
        <f>AVERAGE('T3 GDP XQ'!BD49:BG49)</f>
        <v>55.75</v>
      </c>
      <c r="P45" s="33">
        <f>AVERAGE('T3 GDP XQ'!BH49:BK49)</f>
        <v>60.5</v>
      </c>
      <c r="Q45" s="33">
        <f>AVERAGE('T3 GDP XQ'!BL49:BO49)</f>
        <v>66.75</v>
      </c>
      <c r="R45" s="33">
        <f>AVERAGE('T3 GDP XQ'!BP49:BS49)</f>
        <v>79.5</v>
      </c>
      <c r="S45" s="33">
        <f>AVERAGE('T3 GDP XQ'!BU49:BX49)</f>
        <v>91.25</v>
      </c>
      <c r="T45" s="33">
        <f>AVERAGE('T3 GDP XQ'!BY49:CB49)</f>
        <v>102.25</v>
      </c>
      <c r="U45" s="33">
        <f>SUM('T3 GDP XQ'!CB49:CD49)</f>
        <v>323</v>
      </c>
    </row>
    <row r="46" spans="1:21" ht="17.75" x14ac:dyDescent="0.7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</row>
    <row r="47" spans="1:21" x14ac:dyDescent="0.6">
      <c r="A47" s="28" t="s">
        <v>13</v>
      </c>
      <c r="B47" s="29">
        <f>AVERAGE('T3 GDP XQ'!D51:G51)</f>
        <v>27</v>
      </c>
      <c r="C47" s="29">
        <f>AVERAGE('T3 GDP XQ'!H51:K51)</f>
        <v>29</v>
      </c>
      <c r="D47" s="29">
        <f>AVERAGE('T3 GDP XQ'!L51:O51)</f>
        <v>35.25</v>
      </c>
      <c r="E47" s="29">
        <f>AVERAGE('T3 GDP XQ'!P51:S51)</f>
        <v>38.5</v>
      </c>
      <c r="F47" s="29">
        <f>AVERAGE('T3 GDP XQ'!T51:W51)</f>
        <v>39.25</v>
      </c>
      <c r="G47" s="29">
        <f>AVERAGE('T3 GDP XQ'!X51:AA51)</f>
        <v>42</v>
      </c>
      <c r="H47" s="29">
        <f>AVERAGE('T3 GDP XQ'!AB51:AE51)</f>
        <v>43.5</v>
      </c>
      <c r="I47" s="29">
        <f>AVERAGE('T3 GDP XQ'!AF51:AI51)</f>
        <v>45.5</v>
      </c>
      <c r="J47" s="29">
        <f>AVERAGE('T3 GDP XQ'!AJ51:AM51)</f>
        <v>45.75</v>
      </c>
      <c r="K47" s="29">
        <f>AVERAGE('T3 GDP XQ'!AN51:AQ51)</f>
        <v>44.25</v>
      </c>
      <c r="L47" s="29">
        <f>AVERAGE('T3 GDP XQ'!AR51:AU51)</f>
        <v>48.5</v>
      </c>
      <c r="M47" s="29">
        <f>AVERAGE('T3 GDP XQ'!AV51:AY51)</f>
        <v>52</v>
      </c>
      <c r="N47" s="29">
        <f>AVERAGE('T3 GDP XQ'!AZ51:BC51)</f>
        <v>40.5</v>
      </c>
      <c r="O47" s="29">
        <f>AVERAGE('T3 GDP XQ'!BD51:BG51)</f>
        <v>42.25</v>
      </c>
      <c r="P47" s="29">
        <f>AVERAGE('T3 GDP XQ'!BH51:BK51)</f>
        <v>43.25</v>
      </c>
      <c r="Q47" s="29">
        <f>AVERAGE('T3 GDP XQ'!BL51:BO51)</f>
        <v>79</v>
      </c>
      <c r="R47" s="29">
        <f>AVERAGE('T3 GDP XQ'!BP51:BS51)</f>
        <v>92.5</v>
      </c>
      <c r="S47" s="29">
        <f>AVERAGE('T3 GDP XQ'!BU51:BX51)</f>
        <v>95.75</v>
      </c>
      <c r="T47" s="29">
        <f>AVERAGE('T3 GDP XQ'!BY51:CB51)</f>
        <v>102.25</v>
      </c>
      <c r="U47" s="29">
        <f>SUM('T3 GDP XQ'!CB51:CD51)</f>
        <v>314</v>
      </c>
    </row>
    <row r="48" spans="1:21" x14ac:dyDescent="0.6">
      <c r="A48" s="34" t="s">
        <v>151</v>
      </c>
      <c r="B48" s="33">
        <f>AVERAGE('T3 GDP XQ'!D52:G52)</f>
        <v>33.25</v>
      </c>
      <c r="C48" s="33">
        <f>AVERAGE('T3 GDP XQ'!H52:K52)</f>
        <v>35.75</v>
      </c>
      <c r="D48" s="33">
        <f>AVERAGE('T3 GDP XQ'!L52:O52)</f>
        <v>40.5</v>
      </c>
      <c r="E48" s="33">
        <f>AVERAGE('T3 GDP XQ'!P52:S52)</f>
        <v>45</v>
      </c>
      <c r="F48" s="33">
        <f>AVERAGE('T3 GDP XQ'!T52:W52)</f>
        <v>45.75</v>
      </c>
      <c r="G48" s="33">
        <f>AVERAGE('T3 GDP XQ'!X52:AA52)</f>
        <v>47.75</v>
      </c>
      <c r="H48" s="33">
        <f>AVERAGE('T3 GDP XQ'!AB52:AE52)</f>
        <v>50.5</v>
      </c>
      <c r="I48" s="33">
        <f>AVERAGE('T3 GDP XQ'!AF52:AI52)</f>
        <v>52.25</v>
      </c>
      <c r="J48" s="33">
        <f>AVERAGE('T3 GDP XQ'!AJ52:AM52)</f>
        <v>53.25</v>
      </c>
      <c r="K48" s="33">
        <f>AVERAGE('T3 GDP XQ'!AN52:AQ52)</f>
        <v>53.75</v>
      </c>
      <c r="L48" s="33">
        <f>AVERAGE('T3 GDP XQ'!AR52:AU52)</f>
        <v>57.25</v>
      </c>
      <c r="M48" s="33">
        <f>AVERAGE('T3 GDP XQ'!AV52:AY52)</f>
        <v>60.25</v>
      </c>
      <c r="N48" s="33">
        <f>AVERAGE('T3 GDP XQ'!AZ52:BC52)</f>
        <v>50</v>
      </c>
      <c r="O48" s="33">
        <f>AVERAGE('T3 GDP XQ'!BD52:BG52)</f>
        <v>50.25</v>
      </c>
      <c r="P48" s="33">
        <f>AVERAGE('T3 GDP XQ'!BH52:BK52)</f>
        <v>50.75</v>
      </c>
      <c r="Q48" s="33">
        <f>AVERAGE('T3 GDP XQ'!BL52:BO52)</f>
        <v>82.25</v>
      </c>
      <c r="R48" s="33">
        <f>AVERAGE('T3 GDP XQ'!BP52:BS52)</f>
        <v>83.25</v>
      </c>
      <c r="S48" s="33">
        <f>AVERAGE('T3 GDP XQ'!BU52:BX52)</f>
        <v>92.75</v>
      </c>
      <c r="T48" s="33">
        <f>AVERAGE('T3 GDP XQ'!BY52:CB52)</f>
        <v>101.5</v>
      </c>
      <c r="U48" s="33">
        <f>SUM('T3 GDP XQ'!CB52:CD52)</f>
        <v>302</v>
      </c>
    </row>
    <row r="49" spans="1:21" x14ac:dyDescent="0.6">
      <c r="A49" s="34" t="s">
        <v>152</v>
      </c>
      <c r="B49" s="33">
        <f>AVERAGE('T3 GDP XQ'!D53:G53)</f>
        <v>30.75</v>
      </c>
      <c r="C49" s="33">
        <f>AVERAGE('T3 GDP XQ'!H53:K53)</f>
        <v>32.25</v>
      </c>
      <c r="D49" s="33">
        <f>AVERAGE('T3 GDP XQ'!L53:O53)</f>
        <v>45.25</v>
      </c>
      <c r="E49" s="33">
        <f>AVERAGE('T3 GDP XQ'!P53:S53)</f>
        <v>50</v>
      </c>
      <c r="F49" s="33">
        <f>AVERAGE('T3 GDP XQ'!T53:W53)</f>
        <v>49.75</v>
      </c>
      <c r="G49" s="33">
        <f>AVERAGE('T3 GDP XQ'!X53:AA53)</f>
        <v>55.25</v>
      </c>
      <c r="H49" s="33">
        <f>AVERAGE('T3 GDP XQ'!AB53:AE53)</f>
        <v>56.5</v>
      </c>
      <c r="I49" s="33">
        <f>AVERAGE('T3 GDP XQ'!AF53:AI53)</f>
        <v>60.75</v>
      </c>
      <c r="J49" s="33">
        <f>AVERAGE('T3 GDP XQ'!AJ53:AM53)</f>
        <v>61.25</v>
      </c>
      <c r="K49" s="33">
        <f>AVERAGE('T3 GDP XQ'!AN53:AQ53)</f>
        <v>50.25</v>
      </c>
      <c r="L49" s="33">
        <f>AVERAGE('T3 GDP XQ'!AR53:AU53)</f>
        <v>60</v>
      </c>
      <c r="M49" s="33">
        <f>AVERAGE('T3 GDP XQ'!AV53:AY53)</f>
        <v>71.75</v>
      </c>
      <c r="N49" s="33">
        <f>AVERAGE('T3 GDP XQ'!AZ53:BC53)</f>
        <v>47.75</v>
      </c>
      <c r="O49" s="33">
        <f>AVERAGE('T3 GDP XQ'!BD53:BG53)</f>
        <v>54.25</v>
      </c>
      <c r="P49" s="33">
        <f>AVERAGE('T3 GDP XQ'!BH53:BK53)</f>
        <v>48.75</v>
      </c>
      <c r="Q49" s="33">
        <f>AVERAGE('T3 GDP XQ'!BL53:BO53)</f>
        <v>76.5</v>
      </c>
      <c r="R49" s="33">
        <f>AVERAGE('T3 GDP XQ'!BP53:BS53)</f>
        <v>112.5</v>
      </c>
      <c r="S49" s="33">
        <f>AVERAGE('T3 GDP XQ'!BU53:BX53)</f>
        <v>100.25</v>
      </c>
      <c r="T49" s="33">
        <f>AVERAGE('T3 GDP XQ'!BY53:CB53)</f>
        <v>103.25</v>
      </c>
      <c r="U49" s="33">
        <f>SUM('T3 GDP XQ'!CB53:CD53)</f>
        <v>333</v>
      </c>
    </row>
    <row r="50" spans="1:21" ht="17.75" x14ac:dyDescent="0.7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</row>
    <row r="51" spans="1:21" x14ac:dyDescent="0.6">
      <c r="A51" s="28" t="s">
        <v>14</v>
      </c>
      <c r="B51" s="29">
        <f>AVERAGE('T3 GDP XQ'!D55:G55)</f>
        <v>15.75</v>
      </c>
      <c r="C51" s="29">
        <f>AVERAGE('T3 GDP XQ'!H55:K55)</f>
        <v>15.75</v>
      </c>
      <c r="D51" s="29">
        <f>AVERAGE('T3 GDP XQ'!L55:O55)</f>
        <v>33.5</v>
      </c>
      <c r="E51" s="29">
        <f>AVERAGE('T3 GDP XQ'!P55:S55)</f>
        <v>29.5</v>
      </c>
      <c r="F51" s="29">
        <f>AVERAGE('T3 GDP XQ'!T55:W55)</f>
        <v>33</v>
      </c>
      <c r="G51" s="29">
        <f>AVERAGE('T3 GDP XQ'!X55:AA55)</f>
        <v>30.25</v>
      </c>
      <c r="H51" s="29">
        <f>AVERAGE('T3 GDP XQ'!AB55:AE55)</f>
        <v>31.25</v>
      </c>
      <c r="I51" s="29">
        <f>AVERAGE('T3 GDP XQ'!AF55:AI55)</f>
        <v>31</v>
      </c>
      <c r="J51" s="29">
        <f>AVERAGE('T3 GDP XQ'!AJ55:AM55)</f>
        <v>29</v>
      </c>
      <c r="K51" s="29">
        <f>AVERAGE('T3 GDP XQ'!AN55:AQ55)</f>
        <v>27</v>
      </c>
      <c r="L51" s="29">
        <f>AVERAGE('T3 GDP XQ'!AR55:AU55)</f>
        <v>28.75</v>
      </c>
      <c r="M51" s="29">
        <f>AVERAGE('T3 GDP XQ'!AV55:AY55)</f>
        <v>29.25</v>
      </c>
      <c r="N51" s="29">
        <f>AVERAGE('T3 GDP XQ'!AZ55:BC55)</f>
        <v>11</v>
      </c>
      <c r="O51" s="29">
        <f>AVERAGE('T3 GDP XQ'!BD55:BG55)</f>
        <v>11.75</v>
      </c>
      <c r="P51" s="29">
        <f>AVERAGE('T3 GDP XQ'!BH55:BK55)</f>
        <v>16.5</v>
      </c>
      <c r="Q51" s="29">
        <f>AVERAGE('T3 GDP XQ'!BL55:BO55)</f>
        <v>70</v>
      </c>
      <c r="R51" s="29">
        <f>AVERAGE('T3 GDP XQ'!BP55:BS55)</f>
        <v>92</v>
      </c>
      <c r="S51" s="29">
        <f>AVERAGE('T3 GDP XQ'!BU55:BX55)</f>
        <v>95.5</v>
      </c>
      <c r="T51" s="29">
        <f>AVERAGE('T3 GDP XQ'!BY55:CB55)</f>
        <v>102.5</v>
      </c>
      <c r="U51" s="29">
        <f>SUM('T3 GDP XQ'!CB55:CD55)</f>
        <v>333</v>
      </c>
    </row>
    <row r="52" spans="1:21" x14ac:dyDescent="0.6">
      <c r="A52" s="36" t="s">
        <v>153</v>
      </c>
      <c r="B52" s="37">
        <f>AVERAGE('T3 GDP XQ'!D56:G56)</f>
        <v>40</v>
      </c>
      <c r="C52" s="37">
        <f>AVERAGE('T3 GDP XQ'!H56:K56)</f>
        <v>42</v>
      </c>
      <c r="D52" s="37">
        <f>AVERAGE('T3 GDP XQ'!L56:O56)</f>
        <v>50.25</v>
      </c>
      <c r="E52" s="37">
        <f>AVERAGE('T3 GDP XQ'!P56:S56)</f>
        <v>54</v>
      </c>
      <c r="F52" s="37">
        <f>AVERAGE('T3 GDP XQ'!T56:W56)</f>
        <v>56.75</v>
      </c>
      <c r="G52" s="37">
        <f>AVERAGE('T3 GDP XQ'!X56:AA56)</f>
        <v>62.5</v>
      </c>
      <c r="H52" s="37">
        <f>AVERAGE('T3 GDP XQ'!AB56:AE56)</f>
        <v>62.25</v>
      </c>
      <c r="I52" s="37">
        <f>AVERAGE('T3 GDP XQ'!AF56:AI56)</f>
        <v>63.25</v>
      </c>
      <c r="J52" s="37">
        <f>AVERAGE('T3 GDP XQ'!AJ56:AM56)</f>
        <v>67.5</v>
      </c>
      <c r="K52" s="37">
        <f>AVERAGE('T3 GDP XQ'!AN56:AQ56)</f>
        <v>66.25</v>
      </c>
      <c r="L52" s="37">
        <f>AVERAGE('T3 GDP XQ'!AR56:AU56)</f>
        <v>76</v>
      </c>
      <c r="M52" s="37">
        <f>AVERAGE('T3 GDP XQ'!AV56:AY56)</f>
        <v>80</v>
      </c>
      <c r="N52" s="37">
        <f>AVERAGE('T3 GDP XQ'!AZ56:BC56)</f>
        <v>82.5</v>
      </c>
      <c r="O52" s="37">
        <f>AVERAGE('T3 GDP XQ'!BD56:BG56)</f>
        <v>79.75</v>
      </c>
      <c r="P52" s="37">
        <f>AVERAGE('T3 GDP XQ'!BH56:BK56)</f>
        <v>78</v>
      </c>
      <c r="Q52" s="37">
        <f>AVERAGE('T3 GDP XQ'!BL56:BO56)</f>
        <v>88.25</v>
      </c>
      <c r="R52" s="37">
        <f>AVERAGE('T3 GDP XQ'!BP56:BS56)</f>
        <v>80.75</v>
      </c>
      <c r="S52" s="37">
        <f>AVERAGE('T3 GDP XQ'!BU56:BX56)</f>
        <v>89.5</v>
      </c>
      <c r="T52" s="37">
        <f>AVERAGE('T3 GDP XQ'!BY56:CB56)</f>
        <v>102.5</v>
      </c>
      <c r="U52" s="37">
        <f>SUM('T3 GDP XQ'!CB56:CD56)</f>
        <v>310</v>
      </c>
    </row>
    <row r="53" spans="1:21" x14ac:dyDescent="0.6">
      <c r="A53" s="34" t="s">
        <v>154</v>
      </c>
      <c r="B53" s="33">
        <f>AVERAGE('T3 GDP XQ'!D57:G57)</f>
        <v>55.75</v>
      </c>
      <c r="C53" s="33">
        <f>AVERAGE('T3 GDP XQ'!H57:K57)</f>
        <v>59.75</v>
      </c>
      <c r="D53" s="33">
        <f>AVERAGE('T3 GDP XQ'!L57:O57)</f>
        <v>73</v>
      </c>
      <c r="E53" s="33">
        <f>AVERAGE('T3 GDP XQ'!P57:S57)</f>
        <v>76.25</v>
      </c>
      <c r="F53" s="33">
        <f>AVERAGE('T3 GDP XQ'!T57:W57)</f>
        <v>81.5</v>
      </c>
      <c r="G53" s="33">
        <f>AVERAGE('T3 GDP XQ'!X57:AA57)</f>
        <v>89</v>
      </c>
      <c r="H53" s="33">
        <f>AVERAGE('T3 GDP XQ'!AB57:AE57)</f>
        <v>82</v>
      </c>
      <c r="I53" s="33">
        <f>AVERAGE('T3 GDP XQ'!AF57:AI57)</f>
        <v>82</v>
      </c>
      <c r="J53" s="33">
        <f>AVERAGE('T3 GDP XQ'!AJ57:AM57)</f>
        <v>92.25</v>
      </c>
      <c r="K53" s="33">
        <f>AVERAGE('T3 GDP XQ'!AN57:AQ57)</f>
        <v>88.75</v>
      </c>
      <c r="L53" s="33">
        <f>AVERAGE('T3 GDP XQ'!AR57:AU57)</f>
        <v>77.75</v>
      </c>
      <c r="M53" s="33">
        <f>AVERAGE('T3 GDP XQ'!AV57:AY57)</f>
        <v>83.25</v>
      </c>
      <c r="N53" s="33">
        <f>AVERAGE('T3 GDP XQ'!AZ57:BC57)</f>
        <v>78.25</v>
      </c>
      <c r="O53" s="33">
        <f>AVERAGE('T3 GDP XQ'!BD57:BG57)</f>
        <v>73</v>
      </c>
      <c r="P53" s="33">
        <f>AVERAGE('T3 GDP XQ'!BH57:BK57)</f>
        <v>74.25</v>
      </c>
      <c r="Q53" s="33">
        <f>AVERAGE('T3 GDP XQ'!BL57:BO57)</f>
        <v>95</v>
      </c>
      <c r="R53" s="33">
        <f>AVERAGE('T3 GDP XQ'!BP57:BS57)</f>
        <v>78.75</v>
      </c>
      <c r="S53" s="33">
        <f>AVERAGE('T3 GDP XQ'!BU57:BX57)</f>
        <v>87</v>
      </c>
      <c r="T53" s="33">
        <f>AVERAGE('T3 GDP XQ'!BY57:CB57)</f>
        <v>102.75</v>
      </c>
      <c r="U53" s="33">
        <f>SUM('T3 GDP XQ'!CB57:CD57)</f>
        <v>305</v>
      </c>
    </row>
    <row r="54" spans="1:21" x14ac:dyDescent="0.6">
      <c r="A54" s="34" t="s">
        <v>155</v>
      </c>
      <c r="B54" s="33">
        <f>AVERAGE('T3 GDP XQ'!D58:G58)</f>
        <v>29.25</v>
      </c>
      <c r="C54" s="33">
        <f>AVERAGE('T3 GDP XQ'!H58:K58)</f>
        <v>31.25</v>
      </c>
      <c r="D54" s="33">
        <f>AVERAGE('T3 GDP XQ'!L58:O58)</f>
        <v>35</v>
      </c>
      <c r="E54" s="33">
        <f>AVERAGE('T3 GDP XQ'!P58:S58)</f>
        <v>39.5</v>
      </c>
      <c r="F54" s="33">
        <f>AVERAGE('T3 GDP XQ'!T58:W58)</f>
        <v>41.25</v>
      </c>
      <c r="G54" s="33">
        <f>AVERAGE('T3 GDP XQ'!X58:AA58)</f>
        <v>43.25</v>
      </c>
      <c r="H54" s="33">
        <f>AVERAGE('T3 GDP XQ'!AB58:AE58)</f>
        <v>46</v>
      </c>
      <c r="I54" s="33">
        <f>AVERAGE('T3 GDP XQ'!AF58:AI58)</f>
        <v>48.25</v>
      </c>
      <c r="J54" s="33">
        <f>AVERAGE('T3 GDP XQ'!AJ58:AM58)</f>
        <v>49</v>
      </c>
      <c r="K54" s="33">
        <f>AVERAGE('T3 GDP XQ'!AN58:AQ58)</f>
        <v>50.25</v>
      </c>
      <c r="L54" s="33">
        <f>AVERAGE('T3 GDP XQ'!AR58:AU58)</f>
        <v>70.5</v>
      </c>
      <c r="M54" s="33">
        <f>AVERAGE('T3 GDP XQ'!AV58:AY58)</f>
        <v>73.75</v>
      </c>
      <c r="N54" s="33">
        <f>AVERAGE('T3 GDP XQ'!AZ58:BC58)</f>
        <v>83.25</v>
      </c>
      <c r="O54" s="33">
        <f>AVERAGE('T3 GDP XQ'!BD58:BG58)</f>
        <v>85.25</v>
      </c>
      <c r="P54" s="33">
        <f>AVERAGE('T3 GDP XQ'!BH58:BK58)</f>
        <v>91.5</v>
      </c>
      <c r="Q54" s="33">
        <f>AVERAGE('T3 GDP XQ'!BL58:BO58)</f>
        <v>74.25</v>
      </c>
      <c r="R54" s="33">
        <f>AVERAGE('T3 GDP XQ'!BP58:BS58)</f>
        <v>84.75</v>
      </c>
      <c r="S54" s="33">
        <f>AVERAGE('T3 GDP XQ'!BU58:BX58)</f>
        <v>97.5</v>
      </c>
      <c r="T54" s="33">
        <f>AVERAGE('T3 GDP XQ'!BY58:CB58)</f>
        <v>102</v>
      </c>
      <c r="U54" s="33">
        <f>SUM('T3 GDP XQ'!CB58:CD58)</f>
        <v>322</v>
      </c>
    </row>
    <row r="55" spans="1:21" x14ac:dyDescent="0.6">
      <c r="A55" s="36" t="s">
        <v>156</v>
      </c>
      <c r="B55" s="37">
        <f>AVERAGE('T3 GDP XQ'!D59:G59)</f>
        <v>24.5</v>
      </c>
      <c r="C55" s="37">
        <f>AVERAGE('T3 GDP XQ'!H59:K59)</f>
        <v>26.5</v>
      </c>
      <c r="D55" s="37">
        <f>AVERAGE('T3 GDP XQ'!L59:O59)</f>
        <v>40.75</v>
      </c>
      <c r="E55" s="37">
        <f>AVERAGE('T3 GDP XQ'!P59:S59)</f>
        <v>40</v>
      </c>
      <c r="F55" s="37">
        <f>AVERAGE('T3 GDP XQ'!T59:W59)</f>
        <v>43.5</v>
      </c>
      <c r="G55" s="37">
        <f>AVERAGE('T3 GDP XQ'!X59:AA59)</f>
        <v>43.25</v>
      </c>
      <c r="H55" s="37">
        <f>AVERAGE('T3 GDP XQ'!AB59:AE59)</f>
        <v>44</v>
      </c>
      <c r="I55" s="37">
        <f>AVERAGE('T3 GDP XQ'!AF59:AI59)</f>
        <v>44</v>
      </c>
      <c r="J55" s="37">
        <f>AVERAGE('T3 GDP XQ'!AJ59:AM59)</f>
        <v>44</v>
      </c>
      <c r="K55" s="37">
        <f>AVERAGE('T3 GDP XQ'!AN59:AQ59)</f>
        <v>41.75</v>
      </c>
      <c r="L55" s="37">
        <f>AVERAGE('T3 GDP XQ'!AR59:AU59)</f>
        <v>46</v>
      </c>
      <c r="M55" s="37">
        <f>AVERAGE('T3 GDP XQ'!AV59:AY59)</f>
        <v>47.75</v>
      </c>
      <c r="N55" s="37">
        <f>AVERAGE('T3 GDP XQ'!AZ59:BC59)</f>
        <v>37.75</v>
      </c>
      <c r="O55" s="37">
        <f>AVERAGE('T3 GDP XQ'!BD59:BG59)</f>
        <v>37</v>
      </c>
      <c r="P55" s="37">
        <f>AVERAGE('T3 GDP XQ'!BH59:BK59)</f>
        <v>38.75</v>
      </c>
      <c r="Q55" s="37">
        <f>AVERAGE('T3 GDP XQ'!BL59:BO59)</f>
        <v>76.75</v>
      </c>
      <c r="R55" s="37">
        <f>AVERAGE('T3 GDP XQ'!BP59:BS59)</f>
        <v>85</v>
      </c>
      <c r="S55" s="37">
        <f>AVERAGE('T3 GDP XQ'!BU59:BX59)</f>
        <v>92.25</v>
      </c>
      <c r="T55" s="37">
        <f>AVERAGE('T3 GDP XQ'!BY59:CB59)</f>
        <v>102.5</v>
      </c>
      <c r="U55" s="37">
        <f>SUM('T3 GDP XQ'!CB59:CD59)</f>
        <v>318</v>
      </c>
    </row>
    <row r="56" spans="1:21" x14ac:dyDescent="0.6">
      <c r="A56" s="34" t="s">
        <v>154</v>
      </c>
      <c r="B56" s="33">
        <f>AVERAGE('T3 GDP XQ'!D60:G60)</f>
        <v>27.75</v>
      </c>
      <c r="C56" s="33">
        <f>AVERAGE('T3 GDP XQ'!H60:K60)</f>
        <v>28.75</v>
      </c>
      <c r="D56" s="33">
        <f>AVERAGE('T3 GDP XQ'!L60:O60)</f>
        <v>37.5</v>
      </c>
      <c r="E56" s="33">
        <f>AVERAGE('T3 GDP XQ'!P60:S60)</f>
        <v>39.25</v>
      </c>
      <c r="F56" s="33">
        <f>AVERAGE('T3 GDP XQ'!T60:W60)</f>
        <v>42.75</v>
      </c>
      <c r="G56" s="33">
        <f>AVERAGE('T3 GDP XQ'!X60:AA60)</f>
        <v>42</v>
      </c>
      <c r="H56" s="33">
        <f>AVERAGE('T3 GDP XQ'!AB60:AE60)</f>
        <v>43.5</v>
      </c>
      <c r="I56" s="33">
        <f>AVERAGE('T3 GDP XQ'!AF60:AI60)</f>
        <v>43.25</v>
      </c>
      <c r="J56" s="33">
        <f>AVERAGE('T3 GDP XQ'!AJ60:AM60)</f>
        <v>42.75</v>
      </c>
      <c r="K56" s="33">
        <f>AVERAGE('T3 GDP XQ'!AN60:AQ60)</f>
        <v>40</v>
      </c>
      <c r="L56" s="33">
        <f>AVERAGE('T3 GDP XQ'!AR60:AU60)</f>
        <v>45</v>
      </c>
      <c r="M56" s="33">
        <f>AVERAGE('T3 GDP XQ'!AV60:AY60)</f>
        <v>46.75</v>
      </c>
      <c r="N56" s="33">
        <f>AVERAGE('T3 GDP XQ'!AZ60:BC60)</f>
        <v>35</v>
      </c>
      <c r="O56" s="33">
        <f>AVERAGE('T3 GDP XQ'!BD60:BG60)</f>
        <v>34.75</v>
      </c>
      <c r="P56" s="33">
        <f>AVERAGE('T3 GDP XQ'!BH60:BK60)</f>
        <v>36.75</v>
      </c>
      <c r="Q56" s="33">
        <f>AVERAGE('T3 GDP XQ'!BL60:BO60)</f>
        <v>76.75</v>
      </c>
      <c r="R56" s="33">
        <f>AVERAGE('T3 GDP XQ'!BP60:BS60)</f>
        <v>85.5</v>
      </c>
      <c r="S56" s="33">
        <f>AVERAGE('T3 GDP XQ'!BU60:BX60)</f>
        <v>92.25</v>
      </c>
      <c r="T56" s="33">
        <f>AVERAGE('T3 GDP XQ'!BY60:CB60)</f>
        <v>102.75</v>
      </c>
      <c r="U56" s="33">
        <f>SUM('T3 GDP XQ'!CB60:CD60)</f>
        <v>322</v>
      </c>
    </row>
    <row r="57" spans="1:21" ht="13.75" thickBot="1" x14ac:dyDescent="0.75">
      <c r="A57" s="38" t="s">
        <v>155</v>
      </c>
      <c r="B57" s="39">
        <f>AVERAGE('T3 GDP XQ'!D61:G61)</f>
        <v>21.25</v>
      </c>
      <c r="C57" s="39">
        <f>AVERAGE('T3 GDP XQ'!H61:K61)</f>
        <v>24</v>
      </c>
      <c r="D57" s="39">
        <f>AVERAGE('T3 GDP XQ'!L61:O61)</f>
        <v>49.5</v>
      </c>
      <c r="E57" s="39">
        <f>AVERAGE('T3 GDP XQ'!P61:S61)</f>
        <v>42.5</v>
      </c>
      <c r="F57" s="39">
        <f>AVERAGE('T3 GDP XQ'!T61:W61)</f>
        <v>48.75</v>
      </c>
      <c r="G57" s="39">
        <f>AVERAGE('T3 GDP XQ'!X61:AA61)</f>
        <v>49.5</v>
      </c>
      <c r="H57" s="39">
        <f>AVERAGE('T3 GDP XQ'!AB61:AE61)</f>
        <v>49.5</v>
      </c>
      <c r="I57" s="39">
        <f>AVERAGE('T3 GDP XQ'!AF61:AI61)</f>
        <v>50.25</v>
      </c>
      <c r="J57" s="39">
        <f>AVERAGE('T3 GDP XQ'!AJ61:AM61)</f>
        <v>51</v>
      </c>
      <c r="K57" s="39">
        <f>AVERAGE('T3 GDP XQ'!AN61:AQ61)</f>
        <v>49.5</v>
      </c>
      <c r="L57" s="39">
        <f>AVERAGE('T3 GDP XQ'!AR61:AU61)</f>
        <v>52</v>
      </c>
      <c r="M57" s="39">
        <f>AVERAGE('T3 GDP XQ'!AV61:AY61)</f>
        <v>54</v>
      </c>
      <c r="N57" s="39">
        <f>AVERAGE('T3 GDP XQ'!AZ61:BC61)</f>
        <v>47.75</v>
      </c>
      <c r="O57" s="39">
        <f>AVERAGE('T3 GDP XQ'!BD61:BG61)</f>
        <v>47.5</v>
      </c>
      <c r="P57" s="39">
        <f>AVERAGE('T3 GDP XQ'!BH61:BK61)</f>
        <v>50.5</v>
      </c>
      <c r="Q57" s="39">
        <f>AVERAGE('T3 GDP XQ'!BL61:BO61)</f>
        <v>76</v>
      </c>
      <c r="R57" s="39">
        <f>AVERAGE('T3 GDP XQ'!BP61:BS61)</f>
        <v>83.25</v>
      </c>
      <c r="S57" s="39">
        <f>AVERAGE('T3 GDP XQ'!BU61:BX61)</f>
        <v>90.75</v>
      </c>
      <c r="T57" s="39">
        <f>AVERAGE('T3 GDP XQ'!BY61:CB61)</f>
        <v>102</v>
      </c>
      <c r="U57" s="39">
        <f>SUM('T3 GDP XQ'!CB61:CD61)</f>
        <v>307</v>
      </c>
    </row>
    <row r="58" spans="1:21" ht="13.75" thickTop="1" x14ac:dyDescent="0.6"/>
    <row r="61" spans="1:21" x14ac:dyDescent="0.6">
      <c r="A61" s="173" t="s">
        <v>311</v>
      </c>
      <c r="B61" s="192">
        <f>B3/B$3</f>
        <v>1</v>
      </c>
      <c r="C61" s="192">
        <f t="shared" ref="C61:U61" si="0">C3/C$3</f>
        <v>1</v>
      </c>
      <c r="D61" s="192">
        <f t="shared" si="0"/>
        <v>1</v>
      </c>
      <c r="E61" s="192">
        <f t="shared" si="0"/>
        <v>1</v>
      </c>
      <c r="F61" s="192">
        <f t="shared" si="0"/>
        <v>1</v>
      </c>
      <c r="G61" s="192">
        <f t="shared" si="0"/>
        <v>1</v>
      </c>
      <c r="H61" s="192">
        <f t="shared" si="0"/>
        <v>1</v>
      </c>
      <c r="I61" s="192">
        <f t="shared" si="0"/>
        <v>1</v>
      </c>
      <c r="J61" s="192">
        <f t="shared" si="0"/>
        <v>1</v>
      </c>
      <c r="K61" s="192">
        <f t="shared" si="0"/>
        <v>1</v>
      </c>
      <c r="L61" s="192">
        <f t="shared" si="0"/>
        <v>1</v>
      </c>
      <c r="M61" s="192">
        <f t="shared" si="0"/>
        <v>1</v>
      </c>
      <c r="N61" s="192">
        <f t="shared" si="0"/>
        <v>1</v>
      </c>
      <c r="O61" s="192">
        <f t="shared" si="0"/>
        <v>1</v>
      </c>
      <c r="P61" s="192">
        <f t="shared" si="0"/>
        <v>1</v>
      </c>
      <c r="Q61" s="192">
        <f t="shared" si="0"/>
        <v>1</v>
      </c>
      <c r="R61" s="192">
        <f t="shared" si="0"/>
        <v>1</v>
      </c>
      <c r="S61" s="192">
        <f t="shared" si="0"/>
        <v>1</v>
      </c>
      <c r="T61" s="192">
        <f t="shared" si="0"/>
        <v>1</v>
      </c>
      <c r="U61" s="192">
        <f t="shared" si="0"/>
        <v>1</v>
      </c>
    </row>
    <row r="62" spans="1:21" ht="17.75" x14ac:dyDescent="0.75">
      <c r="A62" s="174"/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</row>
    <row r="63" spans="1:21" x14ac:dyDescent="0.6">
      <c r="A63" s="173" t="s">
        <v>10</v>
      </c>
      <c r="B63" s="192">
        <f t="shared" ref="B63:U63" si="1">B5/B$3</f>
        <v>0.96179401993355484</v>
      </c>
      <c r="C63" s="192">
        <f t="shared" si="1"/>
        <v>0.91715976331360949</v>
      </c>
      <c r="D63" s="192">
        <f t="shared" si="1"/>
        <v>0.93604858878170771</v>
      </c>
      <c r="E63" s="192">
        <f t="shared" si="1"/>
        <v>0.94945054945054941</v>
      </c>
      <c r="F63" s="192">
        <f t="shared" si="1"/>
        <v>0.95239444601870216</v>
      </c>
      <c r="G63" s="192">
        <f t="shared" si="1"/>
        <v>0.93462291870714986</v>
      </c>
      <c r="H63" s="192">
        <f t="shared" si="1"/>
        <v>0.93127962085308058</v>
      </c>
      <c r="I63" s="192">
        <f t="shared" si="1"/>
        <v>0.91178829190056132</v>
      </c>
      <c r="J63" s="192">
        <f t="shared" si="1"/>
        <v>0.92826243691420329</v>
      </c>
      <c r="K63" s="192">
        <f t="shared" si="1"/>
        <v>0.94441703667160004</v>
      </c>
      <c r="L63" s="192">
        <f t="shared" si="1"/>
        <v>0.92656619385342787</v>
      </c>
      <c r="M63" s="192">
        <f t="shared" si="1"/>
        <v>0.88649783492979928</v>
      </c>
      <c r="N63" s="192">
        <f t="shared" si="1"/>
        <v>0.8682151883499819</v>
      </c>
      <c r="O63" s="192">
        <f t="shared" si="1"/>
        <v>0.83171247357293865</v>
      </c>
      <c r="P63" s="192">
        <f t="shared" si="1"/>
        <v>0.88838337882923868</v>
      </c>
      <c r="Q63" s="192">
        <f t="shared" si="1"/>
        <v>0.91775280898876399</v>
      </c>
      <c r="R63" s="192">
        <f t="shared" si="1"/>
        <v>0.79596159277040379</v>
      </c>
      <c r="S63" s="192">
        <f t="shared" si="1"/>
        <v>0.79767836919592294</v>
      </c>
      <c r="T63" s="192">
        <f t="shared" si="1"/>
        <v>0.8007253384912959</v>
      </c>
      <c r="U63" s="192">
        <f t="shared" si="1"/>
        <v>0.78722891566265063</v>
      </c>
    </row>
    <row r="64" spans="1:21" x14ac:dyDescent="0.6">
      <c r="A64" s="175" t="s">
        <v>11</v>
      </c>
      <c r="B64" s="192">
        <f t="shared" ref="B64:U64" si="2">B6/B$3</f>
        <v>0.16279069767441862</v>
      </c>
      <c r="C64" s="192">
        <f t="shared" si="2"/>
        <v>0.14337733272644515</v>
      </c>
      <c r="D64" s="192">
        <f t="shared" si="2"/>
        <v>0.12433011789924973</v>
      </c>
      <c r="E64" s="192">
        <f t="shared" si="2"/>
        <v>0.12904238618524333</v>
      </c>
      <c r="F64" s="192">
        <f t="shared" si="2"/>
        <v>0.13261547180504393</v>
      </c>
      <c r="G64" s="192">
        <f t="shared" si="2"/>
        <v>0.12169441723800196</v>
      </c>
      <c r="H64" s="192">
        <f t="shared" si="2"/>
        <v>0.13119345109866437</v>
      </c>
      <c r="I64" s="192">
        <f t="shared" si="2"/>
        <v>0.13031275060144346</v>
      </c>
      <c r="J64" s="192">
        <f t="shared" si="2"/>
        <v>0.14473684210526316</v>
      </c>
      <c r="K64" s="192">
        <f t="shared" si="2"/>
        <v>0.14010853478046373</v>
      </c>
      <c r="L64" s="192">
        <f t="shared" si="2"/>
        <v>0.15233451536643025</v>
      </c>
      <c r="M64" s="192">
        <f t="shared" si="2"/>
        <v>0.15168613042907755</v>
      </c>
      <c r="N64" s="192">
        <f t="shared" si="2"/>
        <v>0.13924660007221085</v>
      </c>
      <c r="O64" s="192">
        <f t="shared" si="2"/>
        <v>0.14714587737843551</v>
      </c>
      <c r="P64" s="192">
        <f t="shared" si="2"/>
        <v>0.15023758972803558</v>
      </c>
      <c r="Q64" s="192">
        <f t="shared" si="2"/>
        <v>0.17644943820224718</v>
      </c>
      <c r="R64" s="192">
        <f t="shared" si="2"/>
        <v>0.17269133013273086</v>
      </c>
      <c r="S64" s="192">
        <f t="shared" si="2"/>
        <v>0.16330690826727068</v>
      </c>
      <c r="T64" s="192">
        <f t="shared" si="2"/>
        <v>0.16711798839458414</v>
      </c>
      <c r="U64" s="192">
        <f t="shared" si="2"/>
        <v>0.15740963855421686</v>
      </c>
    </row>
    <row r="65" spans="1:21" x14ac:dyDescent="0.6">
      <c r="A65" s="175" t="s">
        <v>150</v>
      </c>
      <c r="B65" s="192">
        <f t="shared" ref="B65:U65" si="3">B7/B$3</f>
        <v>0.79900332225913617</v>
      </c>
      <c r="C65" s="192">
        <f t="shared" si="3"/>
        <v>0.77378243058716434</v>
      </c>
      <c r="D65" s="192">
        <f t="shared" si="3"/>
        <v>0.81171847088245797</v>
      </c>
      <c r="E65" s="192">
        <f t="shared" si="3"/>
        <v>0.82040816326530608</v>
      </c>
      <c r="F65" s="192">
        <f t="shared" si="3"/>
        <v>0.81977897421365831</v>
      </c>
      <c r="G65" s="192">
        <f t="shared" si="3"/>
        <v>0.81292850146914786</v>
      </c>
      <c r="H65" s="192">
        <f t="shared" si="3"/>
        <v>0.80008616975441615</v>
      </c>
      <c r="I65" s="192">
        <f t="shared" si="3"/>
        <v>0.78147554129911789</v>
      </c>
      <c r="J65" s="192">
        <f t="shared" si="3"/>
        <v>0.78352559480894013</v>
      </c>
      <c r="K65" s="192">
        <f t="shared" si="3"/>
        <v>0.80430850189113634</v>
      </c>
      <c r="L65" s="192">
        <f t="shared" si="3"/>
        <v>0.77423167848699759</v>
      </c>
      <c r="M65" s="192">
        <f t="shared" si="3"/>
        <v>0.73481170450072164</v>
      </c>
      <c r="N65" s="192">
        <f t="shared" si="3"/>
        <v>0.72884823685160671</v>
      </c>
      <c r="O65" s="192">
        <f t="shared" si="3"/>
        <v>0.68446088794926008</v>
      </c>
      <c r="P65" s="192">
        <f t="shared" si="3"/>
        <v>0.7381457891012031</v>
      </c>
      <c r="Q65" s="192">
        <f t="shared" si="3"/>
        <v>0.74130337078651687</v>
      </c>
      <c r="R65" s="192">
        <f t="shared" si="3"/>
        <v>0.62334086416266588</v>
      </c>
      <c r="S65" s="192">
        <f t="shared" si="3"/>
        <v>0.63448471121177807</v>
      </c>
      <c r="T65" s="192">
        <f t="shared" si="3"/>
        <v>0.63360735009671176</v>
      </c>
      <c r="U65" s="192">
        <f t="shared" si="3"/>
        <v>0.62981927710843377</v>
      </c>
    </row>
    <row r="66" spans="1:21" ht="17.75" x14ac:dyDescent="0.75">
      <c r="A66" s="174"/>
      <c r="B66" s="192"/>
      <c r="C66" s="192"/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</row>
    <row r="67" spans="1:21" x14ac:dyDescent="0.6">
      <c r="A67" s="173" t="s">
        <v>13</v>
      </c>
      <c r="B67" s="192">
        <f t="shared" ref="B67:U67" si="4">B9/B$3</f>
        <v>0.15227021040974528</v>
      </c>
      <c r="C67" s="192">
        <f t="shared" si="4"/>
        <v>0.16977696859353664</v>
      </c>
      <c r="D67" s="192">
        <f t="shared" si="4"/>
        <v>0.21614862450875313</v>
      </c>
      <c r="E67" s="192">
        <f t="shared" si="4"/>
        <v>0.21287284144427002</v>
      </c>
      <c r="F67" s="192">
        <f t="shared" si="4"/>
        <v>0.20799093227543214</v>
      </c>
      <c r="G67" s="192">
        <f t="shared" si="4"/>
        <v>0.2113124387855044</v>
      </c>
      <c r="H67" s="192">
        <f t="shared" si="4"/>
        <v>0.23610512710038775</v>
      </c>
      <c r="I67" s="192">
        <f t="shared" si="4"/>
        <v>0.24739374498797112</v>
      </c>
      <c r="J67" s="192">
        <f t="shared" si="4"/>
        <v>0.23540014419610669</v>
      </c>
      <c r="K67" s="192">
        <f t="shared" si="4"/>
        <v>0.24518993586581153</v>
      </c>
      <c r="L67" s="192">
        <f t="shared" si="4"/>
        <v>0.26196808510638298</v>
      </c>
      <c r="M67" s="192">
        <f t="shared" si="4"/>
        <v>0.24091326597559376</v>
      </c>
      <c r="N67" s="192">
        <f t="shared" si="4"/>
        <v>0.17920327355879168</v>
      </c>
      <c r="O67" s="192">
        <f t="shared" si="4"/>
        <v>0.21659619450317125</v>
      </c>
      <c r="P67" s="192">
        <f t="shared" si="4"/>
        <v>0.18188251946213729</v>
      </c>
      <c r="Q67" s="192">
        <f t="shared" si="4"/>
        <v>0.3543370786516854</v>
      </c>
      <c r="R67" s="192">
        <f t="shared" si="4"/>
        <v>0.37764755718723525</v>
      </c>
      <c r="S67" s="192">
        <f t="shared" si="4"/>
        <v>0.3924122310305776</v>
      </c>
      <c r="T67" s="192">
        <f t="shared" si="4"/>
        <v>0.34501934235976789</v>
      </c>
      <c r="U67" s="192">
        <f t="shared" si="4"/>
        <v>0.35156626506024097</v>
      </c>
    </row>
    <row r="68" spans="1:21" x14ac:dyDescent="0.6">
      <c r="A68" s="175" t="s">
        <v>151</v>
      </c>
      <c r="B68" s="192">
        <f t="shared" ref="B68:U68" si="5">B10/B$3</f>
        <v>0.11738648947951273</v>
      </c>
      <c r="C68" s="192">
        <f t="shared" si="5"/>
        <v>0.12061902594446973</v>
      </c>
      <c r="D68" s="192">
        <f t="shared" si="5"/>
        <v>0.13969274740978921</v>
      </c>
      <c r="E68" s="192">
        <f t="shared" si="5"/>
        <v>0.1368916797488226</v>
      </c>
      <c r="F68" s="192">
        <f t="shared" si="5"/>
        <v>0.13771606687446869</v>
      </c>
      <c r="G68" s="192">
        <f t="shared" si="5"/>
        <v>0.1540156709108717</v>
      </c>
      <c r="H68" s="192">
        <f t="shared" si="5"/>
        <v>0.16544592847910383</v>
      </c>
      <c r="I68" s="192">
        <f t="shared" si="5"/>
        <v>0.17742582197273457</v>
      </c>
      <c r="J68" s="192">
        <f t="shared" si="5"/>
        <v>0.17033165104542178</v>
      </c>
      <c r="K68" s="192">
        <f t="shared" si="5"/>
        <v>0.18220687386942938</v>
      </c>
      <c r="L68" s="192">
        <f t="shared" si="5"/>
        <v>0.17745271867612294</v>
      </c>
      <c r="M68" s="192">
        <f t="shared" si="5"/>
        <v>0.14998031754362945</v>
      </c>
      <c r="N68" s="192">
        <f t="shared" si="5"/>
        <v>0.11938861475508485</v>
      </c>
      <c r="O68" s="192">
        <f t="shared" si="5"/>
        <v>0.13985200845665963</v>
      </c>
      <c r="P68" s="192">
        <f t="shared" si="5"/>
        <v>0.1275907390557072</v>
      </c>
      <c r="Q68" s="192">
        <f t="shared" si="5"/>
        <v>0.21060674157303372</v>
      </c>
      <c r="R68" s="192">
        <f t="shared" si="5"/>
        <v>0.22239480372776052</v>
      </c>
      <c r="S68" s="192">
        <f t="shared" si="5"/>
        <v>0.23238958097395243</v>
      </c>
      <c r="T68" s="192">
        <f t="shared" si="5"/>
        <v>0.21905222437137331</v>
      </c>
      <c r="U68" s="192">
        <f t="shared" si="5"/>
        <v>0.21933734939759036</v>
      </c>
    </row>
    <row r="69" spans="1:21" x14ac:dyDescent="0.6">
      <c r="A69" s="175" t="s">
        <v>152</v>
      </c>
      <c r="B69" s="192">
        <f t="shared" ref="B69:U69" si="6">B11/B$3</f>
        <v>3.4883720930232558E-2</v>
      </c>
      <c r="C69" s="192">
        <f t="shared" si="6"/>
        <v>4.9157942649066907E-2</v>
      </c>
      <c r="D69" s="192">
        <f t="shared" si="6"/>
        <v>7.6455877098963912E-2</v>
      </c>
      <c r="E69" s="192">
        <f t="shared" si="6"/>
        <v>7.5981161695447413E-2</v>
      </c>
      <c r="F69" s="192">
        <f t="shared" si="6"/>
        <v>7.0274865400963449E-2</v>
      </c>
      <c r="G69" s="192">
        <f t="shared" si="6"/>
        <v>5.7296767874632712E-2</v>
      </c>
      <c r="H69" s="192">
        <f t="shared" si="6"/>
        <v>7.0659198621283933E-2</v>
      </c>
      <c r="I69" s="192">
        <f t="shared" si="6"/>
        <v>6.9967923015236563E-2</v>
      </c>
      <c r="J69" s="192">
        <f t="shared" si="6"/>
        <v>6.5068493150684928E-2</v>
      </c>
      <c r="K69" s="192">
        <f t="shared" si="6"/>
        <v>6.2983061996382178E-2</v>
      </c>
      <c r="L69" s="192">
        <f t="shared" si="6"/>
        <v>8.4515366430260044E-2</v>
      </c>
      <c r="M69" s="192">
        <f t="shared" si="6"/>
        <v>9.0932948431964311E-2</v>
      </c>
      <c r="N69" s="192">
        <f t="shared" si="6"/>
        <v>5.9814658803706823E-2</v>
      </c>
      <c r="O69" s="192">
        <f t="shared" si="6"/>
        <v>7.6744186046511634E-2</v>
      </c>
      <c r="P69" s="192">
        <f t="shared" si="6"/>
        <v>5.419067839450005E-2</v>
      </c>
      <c r="Q69" s="192">
        <f t="shared" si="6"/>
        <v>0.14364044943820226</v>
      </c>
      <c r="R69" s="192">
        <f t="shared" si="6"/>
        <v>0.15511155040948885</v>
      </c>
      <c r="S69" s="192">
        <f t="shared" si="6"/>
        <v>0.16002265005662514</v>
      </c>
      <c r="T69" s="192">
        <f t="shared" si="6"/>
        <v>0.12601547388781431</v>
      </c>
      <c r="U69" s="192">
        <f t="shared" si="6"/>
        <v>0.13216867469879517</v>
      </c>
    </row>
    <row r="70" spans="1:21" ht="17.75" x14ac:dyDescent="0.75">
      <c r="A70" s="174"/>
      <c r="B70" s="192"/>
      <c r="C70" s="192"/>
      <c r="D70" s="192"/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</row>
    <row r="71" spans="1:21" x14ac:dyDescent="0.6">
      <c r="A71" s="173" t="s">
        <v>14</v>
      </c>
      <c r="B71" s="192">
        <f t="shared" ref="B71:U71" si="7">B13/B$3</f>
        <v>-0.11406423034330011</v>
      </c>
      <c r="C71" s="192">
        <f t="shared" si="7"/>
        <v>-8.6936731907146111E-2</v>
      </c>
      <c r="D71" s="192">
        <f t="shared" si="7"/>
        <v>-0.15219721329046088</v>
      </c>
      <c r="E71" s="192">
        <f t="shared" si="7"/>
        <v>-0.16232339089481945</v>
      </c>
      <c r="F71" s="192">
        <f t="shared" si="7"/>
        <v>-0.16038537829413432</v>
      </c>
      <c r="G71" s="192">
        <f t="shared" si="7"/>
        <v>-0.14593535749265427</v>
      </c>
      <c r="H71" s="192">
        <f t="shared" si="7"/>
        <v>-0.16738474795346833</v>
      </c>
      <c r="I71" s="192">
        <f t="shared" si="7"/>
        <v>-0.15918203688853247</v>
      </c>
      <c r="J71" s="192">
        <f t="shared" si="7"/>
        <v>-0.16366258111031001</v>
      </c>
      <c r="K71" s="192">
        <f t="shared" si="7"/>
        <v>-0.1896069725374116</v>
      </c>
      <c r="L71" s="192">
        <f t="shared" si="7"/>
        <v>-0.18853427895981087</v>
      </c>
      <c r="M71" s="192">
        <f t="shared" si="7"/>
        <v>-0.12741110090539298</v>
      </c>
      <c r="N71" s="192">
        <f t="shared" si="7"/>
        <v>-4.7057407630280421E-2</v>
      </c>
      <c r="O71" s="192">
        <f t="shared" si="7"/>
        <v>-4.8308668076109937E-2</v>
      </c>
      <c r="P71" s="192">
        <f t="shared" si="7"/>
        <v>-7.0265898291376E-2</v>
      </c>
      <c r="Q71" s="192">
        <f t="shared" si="7"/>
        <v>-0.27200000000000002</v>
      </c>
      <c r="R71" s="192">
        <f t="shared" si="7"/>
        <v>-0.17367975148263201</v>
      </c>
      <c r="S71" s="192">
        <f t="shared" si="7"/>
        <v>-0.19014722536806342</v>
      </c>
      <c r="T71" s="192">
        <f t="shared" si="7"/>
        <v>-0.14569632495164411</v>
      </c>
      <c r="U71" s="192">
        <f t="shared" si="7"/>
        <v>-0.13873493975903614</v>
      </c>
    </row>
    <row r="72" spans="1:21" x14ac:dyDescent="0.6">
      <c r="A72" s="176" t="s">
        <v>153</v>
      </c>
      <c r="B72" s="192">
        <f t="shared" ref="B72:U72" si="8">B14/B$3</f>
        <v>0.11129568106312292</v>
      </c>
      <c r="C72" s="192">
        <f t="shared" si="8"/>
        <v>0.13882567137005006</v>
      </c>
      <c r="D72" s="192">
        <f t="shared" si="8"/>
        <v>0.11396927474097893</v>
      </c>
      <c r="E72" s="192">
        <f t="shared" si="8"/>
        <v>0.10486656200941916</v>
      </c>
      <c r="F72" s="192">
        <f t="shared" si="8"/>
        <v>0.1085293284216492</v>
      </c>
      <c r="G72" s="192">
        <f t="shared" si="8"/>
        <v>0.12781586679725759</v>
      </c>
      <c r="H72" s="192">
        <f t="shared" si="8"/>
        <v>0.12171477811288238</v>
      </c>
      <c r="I72" s="192">
        <f t="shared" si="8"/>
        <v>0.1367281475541299</v>
      </c>
      <c r="J72" s="192">
        <f t="shared" si="8"/>
        <v>0.14059120403749098</v>
      </c>
      <c r="K72" s="192">
        <f t="shared" si="8"/>
        <v>0.1338595625719454</v>
      </c>
      <c r="L72" s="192">
        <f t="shared" si="8"/>
        <v>0.15617612293144209</v>
      </c>
      <c r="M72" s="192">
        <f t="shared" si="8"/>
        <v>0.20732187376984648</v>
      </c>
      <c r="N72" s="192">
        <f t="shared" si="8"/>
        <v>0.21627151281742688</v>
      </c>
      <c r="O72" s="192">
        <f t="shared" si="8"/>
        <v>0.22029598308668077</v>
      </c>
      <c r="P72" s="192">
        <f t="shared" si="8"/>
        <v>0.18673541603477908</v>
      </c>
      <c r="Q72" s="192">
        <f t="shared" si="8"/>
        <v>0.19280898876404495</v>
      </c>
      <c r="R72" s="192">
        <f t="shared" si="8"/>
        <v>0.21801750917819826</v>
      </c>
      <c r="S72" s="192">
        <f t="shared" si="8"/>
        <v>0.24229898074745188</v>
      </c>
      <c r="T72" s="192">
        <f t="shared" si="8"/>
        <v>0.28002901353965182</v>
      </c>
      <c r="U72" s="192">
        <f t="shared" si="8"/>
        <v>0.22457831325301206</v>
      </c>
    </row>
    <row r="73" spans="1:21" x14ac:dyDescent="0.6">
      <c r="A73" s="175" t="s">
        <v>154</v>
      </c>
      <c r="B73" s="192">
        <f t="shared" ref="B73:U73" si="9">B15/B$3</f>
        <v>4.706533776301218E-2</v>
      </c>
      <c r="C73" s="192">
        <f t="shared" si="9"/>
        <v>4.7792444242148381E-2</v>
      </c>
      <c r="D73" s="192">
        <f t="shared" si="9"/>
        <v>5.6448731689889245E-2</v>
      </c>
      <c r="E73" s="192">
        <f t="shared" si="9"/>
        <v>3.8304552590266876E-2</v>
      </c>
      <c r="F73" s="192">
        <f t="shared" si="9"/>
        <v>4.7605553981297816E-2</v>
      </c>
      <c r="G73" s="192">
        <f t="shared" si="9"/>
        <v>7.2967678746327133E-2</v>
      </c>
      <c r="H73" s="192">
        <f t="shared" si="9"/>
        <v>7.2813442481688931E-2</v>
      </c>
      <c r="I73" s="192">
        <f t="shared" si="9"/>
        <v>8.4001603849238174E-2</v>
      </c>
      <c r="J73" s="192">
        <f t="shared" si="9"/>
        <v>7.7325162220620039E-2</v>
      </c>
      <c r="K73" s="192">
        <f t="shared" si="9"/>
        <v>6.6107548100641345E-2</v>
      </c>
      <c r="L73" s="192">
        <f t="shared" si="9"/>
        <v>5.7771867612293144E-2</v>
      </c>
      <c r="M73" s="192">
        <f t="shared" si="9"/>
        <v>0.11192756856055636</v>
      </c>
      <c r="N73" s="192">
        <f t="shared" si="9"/>
        <v>0.10951979780960404</v>
      </c>
      <c r="O73" s="192">
        <f t="shared" si="9"/>
        <v>0.11152219873150106</v>
      </c>
      <c r="P73" s="192">
        <f t="shared" si="9"/>
        <v>0.13112930947325852</v>
      </c>
      <c r="Q73" s="192">
        <f t="shared" si="9"/>
        <v>0.14157303370786517</v>
      </c>
      <c r="R73" s="192">
        <f t="shared" si="9"/>
        <v>0.15369951990963004</v>
      </c>
      <c r="S73" s="192">
        <f t="shared" si="9"/>
        <v>0.17191392978482445</v>
      </c>
      <c r="T73" s="192">
        <f t="shared" si="9"/>
        <v>0.20952611218568665</v>
      </c>
      <c r="U73" s="192">
        <f t="shared" si="9"/>
        <v>0.1541566265060241</v>
      </c>
    </row>
    <row r="74" spans="1:21" x14ac:dyDescent="0.6">
      <c r="A74" s="175" t="s">
        <v>155</v>
      </c>
      <c r="B74" s="192">
        <f t="shared" ref="B74:U74" si="10">B16/B$3</f>
        <v>6.4230343300110737E-2</v>
      </c>
      <c r="C74" s="192">
        <f t="shared" si="10"/>
        <v>9.1033227127901684E-2</v>
      </c>
      <c r="D74" s="192">
        <f t="shared" si="10"/>
        <v>5.7520543051089675E-2</v>
      </c>
      <c r="E74" s="192">
        <f t="shared" si="10"/>
        <v>6.6562009419152274E-2</v>
      </c>
      <c r="F74" s="192">
        <f t="shared" si="10"/>
        <v>6.0923774440351373E-2</v>
      </c>
      <c r="G74" s="192">
        <f t="shared" si="10"/>
        <v>5.484818805093046E-2</v>
      </c>
      <c r="H74" s="192">
        <f t="shared" si="10"/>
        <v>4.8901335631193449E-2</v>
      </c>
      <c r="I74" s="192">
        <f t="shared" si="10"/>
        <v>5.2726543704891743E-2</v>
      </c>
      <c r="J74" s="192">
        <f t="shared" si="10"/>
        <v>6.3266041816870941E-2</v>
      </c>
      <c r="K74" s="192">
        <f t="shared" si="10"/>
        <v>6.7752014471304065E-2</v>
      </c>
      <c r="L74" s="192">
        <f t="shared" si="10"/>
        <v>9.8404255319148939E-2</v>
      </c>
      <c r="M74" s="192">
        <f t="shared" si="10"/>
        <v>9.5394305209290126E-2</v>
      </c>
      <c r="N74" s="192">
        <f t="shared" si="10"/>
        <v>0.10675171500782284</v>
      </c>
      <c r="O74" s="192">
        <f t="shared" si="10"/>
        <v>0.1087737843551797</v>
      </c>
      <c r="P74" s="192">
        <f t="shared" si="10"/>
        <v>5.5505004549590536E-2</v>
      </c>
      <c r="Q74" s="192">
        <f t="shared" si="10"/>
        <v>5.1325842696629216E-2</v>
      </c>
      <c r="R74" s="192">
        <f t="shared" si="10"/>
        <v>6.424738774357526E-2</v>
      </c>
      <c r="S74" s="192">
        <f t="shared" si="10"/>
        <v>7.032842582106455E-2</v>
      </c>
      <c r="T74" s="192">
        <f t="shared" si="10"/>
        <v>7.0502901353965183E-2</v>
      </c>
      <c r="U74" s="192">
        <f t="shared" si="10"/>
        <v>7.0421686746987955E-2</v>
      </c>
    </row>
    <row r="75" spans="1:21" x14ac:dyDescent="0.6">
      <c r="A75" s="176" t="s">
        <v>156</v>
      </c>
      <c r="B75" s="192">
        <f t="shared" ref="B75:U75" si="11">B17/B$3</f>
        <v>0.22535991140642303</v>
      </c>
      <c r="C75" s="192">
        <f t="shared" si="11"/>
        <v>0.22576240327719618</v>
      </c>
      <c r="D75" s="192">
        <f t="shared" si="11"/>
        <v>0.26616648803143977</v>
      </c>
      <c r="E75" s="192">
        <f t="shared" si="11"/>
        <v>0.26718995290423864</v>
      </c>
      <c r="F75" s="192">
        <f t="shared" si="11"/>
        <v>0.26891470671578349</v>
      </c>
      <c r="G75" s="192">
        <f t="shared" si="11"/>
        <v>0.27375122428991183</v>
      </c>
      <c r="H75" s="192">
        <f t="shared" si="11"/>
        <v>0.2890995260663507</v>
      </c>
      <c r="I75" s="192">
        <f t="shared" si="11"/>
        <v>0.29591018444266237</v>
      </c>
      <c r="J75" s="192">
        <f t="shared" si="11"/>
        <v>0.30425378514780099</v>
      </c>
      <c r="K75" s="192">
        <f t="shared" si="11"/>
        <v>0.32346653510935702</v>
      </c>
      <c r="L75" s="192">
        <f t="shared" si="11"/>
        <v>0.34471040189125296</v>
      </c>
      <c r="M75" s="192">
        <f t="shared" si="11"/>
        <v>0.33473297467523949</v>
      </c>
      <c r="N75" s="192">
        <f t="shared" si="11"/>
        <v>0.26356962330003608</v>
      </c>
      <c r="O75" s="192">
        <f t="shared" si="11"/>
        <v>0.2686046511627907</v>
      </c>
      <c r="P75" s="192">
        <f t="shared" si="11"/>
        <v>0.25690021231422505</v>
      </c>
      <c r="Q75" s="192">
        <f t="shared" si="11"/>
        <v>0.46498876404494383</v>
      </c>
      <c r="R75" s="192">
        <f t="shared" si="11"/>
        <v>0.39155605761084439</v>
      </c>
      <c r="S75" s="192">
        <f t="shared" si="11"/>
        <v>0.43244620611551526</v>
      </c>
      <c r="T75" s="192">
        <f t="shared" si="11"/>
        <v>0.42587040618955513</v>
      </c>
      <c r="U75" s="192">
        <f t="shared" si="11"/>
        <v>0.36337349397590363</v>
      </c>
    </row>
    <row r="76" spans="1:21" x14ac:dyDescent="0.6">
      <c r="A76" s="175" t="s">
        <v>154</v>
      </c>
      <c r="B76" s="192">
        <f t="shared" ref="B76:U76" si="12">B18/B$3</f>
        <v>0.12790697674418605</v>
      </c>
      <c r="C76" s="192">
        <f t="shared" si="12"/>
        <v>0.13837050523441055</v>
      </c>
      <c r="D76" s="192">
        <f t="shared" si="12"/>
        <v>0.16720257234726688</v>
      </c>
      <c r="E76" s="192">
        <f t="shared" si="12"/>
        <v>0.176138147566719</v>
      </c>
      <c r="F76" s="192">
        <f t="shared" si="12"/>
        <v>0.18702181921224142</v>
      </c>
      <c r="G76" s="192">
        <f t="shared" si="12"/>
        <v>0.19343780607247796</v>
      </c>
      <c r="H76" s="192">
        <f t="shared" si="12"/>
        <v>0.21413183972425678</v>
      </c>
      <c r="I76" s="192">
        <f t="shared" si="12"/>
        <v>0.20970328789093826</v>
      </c>
      <c r="J76" s="192">
        <f t="shared" si="12"/>
        <v>0.21160778658976206</v>
      </c>
      <c r="K76" s="192">
        <f t="shared" si="12"/>
        <v>0.20078934385791811</v>
      </c>
      <c r="L76" s="192">
        <f t="shared" si="12"/>
        <v>0.21793735224586289</v>
      </c>
      <c r="M76" s="192">
        <f t="shared" si="12"/>
        <v>0.2193937803437869</v>
      </c>
      <c r="N76" s="192">
        <f t="shared" si="12"/>
        <v>0.17041761944879047</v>
      </c>
      <c r="O76" s="192">
        <f t="shared" si="12"/>
        <v>0.18509513742071881</v>
      </c>
      <c r="P76" s="192">
        <f t="shared" si="12"/>
        <v>0.21271863310079869</v>
      </c>
      <c r="Q76" s="192">
        <f t="shared" si="12"/>
        <v>0.40260674157303372</v>
      </c>
      <c r="R76" s="192">
        <f t="shared" si="12"/>
        <v>0.32766167749223385</v>
      </c>
      <c r="S76" s="192">
        <f t="shared" si="12"/>
        <v>0.36896942242355607</v>
      </c>
      <c r="T76" s="192">
        <f t="shared" si="12"/>
        <v>0.36121856866537716</v>
      </c>
      <c r="U76" s="192">
        <f t="shared" si="12"/>
        <v>0.29867469879518072</v>
      </c>
    </row>
    <row r="77" spans="1:21" ht="13.75" thickBot="1" x14ac:dyDescent="0.75">
      <c r="A77" s="177" t="s">
        <v>155</v>
      </c>
      <c r="B77" s="192">
        <f t="shared" ref="B77:U77" si="13">B19/B$3</f>
        <v>9.7452934662236992E-2</v>
      </c>
      <c r="C77" s="192">
        <f t="shared" si="13"/>
        <v>8.7391898042785618E-2</v>
      </c>
      <c r="D77" s="192">
        <f t="shared" si="13"/>
        <v>9.8963915684172912E-2</v>
      </c>
      <c r="E77" s="192">
        <f t="shared" si="13"/>
        <v>9.1051805337519623E-2</v>
      </c>
      <c r="F77" s="192">
        <f t="shared" si="13"/>
        <v>8.1892887503542081E-2</v>
      </c>
      <c r="G77" s="192">
        <f t="shared" si="13"/>
        <v>8.0313418217433888E-2</v>
      </c>
      <c r="H77" s="192">
        <f t="shared" si="13"/>
        <v>7.4967686342093928E-2</v>
      </c>
      <c r="I77" s="192">
        <f t="shared" si="13"/>
        <v>8.6206896551724144E-2</v>
      </c>
      <c r="J77" s="192">
        <f t="shared" si="13"/>
        <v>9.2645998558038928E-2</v>
      </c>
      <c r="K77" s="192">
        <f t="shared" si="13"/>
        <v>0.1226771912514389</v>
      </c>
      <c r="L77" s="192">
        <f t="shared" si="13"/>
        <v>0.12677304964539007</v>
      </c>
      <c r="M77" s="192">
        <f t="shared" si="13"/>
        <v>0.11533919433145257</v>
      </c>
      <c r="N77" s="192">
        <f t="shared" si="13"/>
        <v>9.303165242508124E-2</v>
      </c>
      <c r="O77" s="192">
        <f t="shared" si="13"/>
        <v>8.3615221987315011E-2</v>
      </c>
      <c r="P77" s="192">
        <f t="shared" si="13"/>
        <v>4.4080477201496313E-2</v>
      </c>
      <c r="Q77" s="192">
        <f t="shared" si="13"/>
        <v>6.238202247191011E-2</v>
      </c>
      <c r="R77" s="192">
        <f t="shared" si="13"/>
        <v>6.3894380118610566E-2</v>
      </c>
      <c r="S77" s="192">
        <f t="shared" si="13"/>
        <v>6.3533408833522084E-2</v>
      </c>
      <c r="T77" s="192">
        <f t="shared" si="13"/>
        <v>6.4555125725338489E-2</v>
      </c>
      <c r="U77" s="192">
        <f t="shared" si="13"/>
        <v>6.4698795180722898E-2</v>
      </c>
    </row>
    <row r="78" spans="1:21" ht="13.75" thickTop="1" x14ac:dyDescent="0.6"/>
  </sheetData>
  <pageMargins left="0.7" right="0.7" top="0.75" bottom="0.75" header="0.3" footer="0.3"/>
  <ignoredErrors>
    <ignoredError sqref="B3:L3 B5:L7 B9:L11 B13:L19 B22:L38 M3:U3 M13:U19 M9:U11 M5:U7 M22:U38 B41:T57" formulaRange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C5B58-DBF6-49E1-8939-C3FF1118580E}">
  <sheetPr codeName="Sheet11"/>
  <dimension ref="A1:U130"/>
  <sheetViews>
    <sheetView topLeftCell="A109" workbookViewId="0">
      <selection activeCell="A100" sqref="A100"/>
    </sheetView>
  </sheetViews>
  <sheetFormatPr defaultRowHeight="13" x14ac:dyDescent="0.6"/>
  <cols>
    <col min="1" max="1" width="47.58984375" style="172" customWidth="1"/>
    <col min="13" max="13" width="8.7265625" style="186"/>
  </cols>
  <sheetData>
    <row r="1" spans="1:21" ht="19.25" thickTop="1" thickBot="1" x14ac:dyDescent="0.75">
      <c r="A1" s="69" t="s">
        <v>165</v>
      </c>
      <c r="B1" s="157">
        <v>2006</v>
      </c>
      <c r="C1" s="157">
        <v>2007</v>
      </c>
      <c r="D1" s="157">
        <v>2008</v>
      </c>
      <c r="E1" s="157">
        <v>2009</v>
      </c>
      <c r="F1" s="157">
        <v>2010</v>
      </c>
      <c r="G1" s="157">
        <v>2011</v>
      </c>
      <c r="H1" s="157">
        <v>2012</v>
      </c>
      <c r="I1" s="157">
        <v>2013</v>
      </c>
      <c r="J1" s="157">
        <v>2014</v>
      </c>
      <c r="K1" s="157">
        <v>2015</v>
      </c>
      <c r="L1" s="157">
        <v>2016</v>
      </c>
      <c r="M1" s="185">
        <v>2017</v>
      </c>
      <c r="N1" s="157">
        <v>2018</v>
      </c>
      <c r="O1" s="157">
        <v>2019</v>
      </c>
      <c r="P1" s="157">
        <v>2020</v>
      </c>
      <c r="Q1" s="157">
        <v>2021</v>
      </c>
      <c r="R1" s="157">
        <v>2022</v>
      </c>
      <c r="S1" s="157">
        <v>2023</v>
      </c>
      <c r="T1" s="157">
        <v>2024</v>
      </c>
      <c r="U1" s="157">
        <v>2025</v>
      </c>
    </row>
    <row r="2" spans="1:21" ht="16.25" thickTop="1" x14ac:dyDescent="0.7">
      <c r="A2" s="166" t="s">
        <v>307</v>
      </c>
      <c r="M2"/>
    </row>
    <row r="3" spans="1:21" x14ac:dyDescent="0.6">
      <c r="M3"/>
    </row>
    <row r="4" spans="1:21" x14ac:dyDescent="0.6">
      <c r="A4" s="178" t="s">
        <v>219</v>
      </c>
      <c r="B4" s="83">
        <f>SUM(QGDP_KP!E7:H7)</f>
        <v>5869</v>
      </c>
      <c r="C4" s="83">
        <f>SUM(QGDP_KP!I7:L7)</f>
        <v>6316</v>
      </c>
      <c r="D4" s="83">
        <f>SUM(QGDP_KP!M7:P7)</f>
        <v>7021</v>
      </c>
      <c r="E4" s="83">
        <f>SUM(QGDP_KP!Q7:T7)</f>
        <v>7460</v>
      </c>
      <c r="F4" s="83">
        <f>SUM(QGDP_KP!U7:X7)</f>
        <v>8006</v>
      </c>
      <c r="G4" s="83">
        <f>SUM(QGDP_KP!Y7:AB7)</f>
        <v>8644</v>
      </c>
      <c r="H4" s="83">
        <f>SUM(QGDP_KP!AC7:AF7)</f>
        <v>9390</v>
      </c>
      <c r="I4" s="83">
        <f>SUM(QGDP_KP!BG7:BJ7)</f>
        <v>14501</v>
      </c>
      <c r="J4" s="83">
        <f>SUM(QGDP_KP!AK7:AN7)</f>
        <v>10392</v>
      </c>
      <c r="K4" s="83">
        <f>SUM(QGDP_KP!AO7:AR7)</f>
        <v>11314</v>
      </c>
      <c r="L4" s="83">
        <f>SUM(QGDP_KP!AS7:AV7)</f>
        <v>11954</v>
      </c>
      <c r="M4" s="83">
        <f>SUM(QGDP_KP!AW7:AZ7)</f>
        <v>12517</v>
      </c>
      <c r="N4" s="83">
        <f>SUM(QGDP_KP!BA7:BD7)</f>
        <v>13527</v>
      </c>
      <c r="O4" s="83">
        <f>SUM(QGDP_KP!BE7:BH7)</f>
        <v>14782</v>
      </c>
      <c r="P4" s="83">
        <f>SUM(QGDP_KP!BJ7:BL7)</f>
        <v>10751</v>
      </c>
      <c r="Q4" s="83">
        <f>SUM(QGDP_KP!BM7:BP7)</f>
        <v>15581</v>
      </c>
      <c r="R4" s="83">
        <f>SUM(QGDP_KP!BQ7:BT7)</f>
        <v>17111</v>
      </c>
      <c r="S4" s="83">
        <f>SUM(QGDP_KP!BU7:BX7)</f>
        <v>18576</v>
      </c>
      <c r="T4" s="83">
        <f>SUM(QGDP_KP!BY7:CB7)</f>
        <v>19917</v>
      </c>
      <c r="U4" s="83">
        <f>SUM(QGDP_KP!CC7:CE7)</f>
        <v>15681</v>
      </c>
    </row>
    <row r="5" spans="1:21" ht="14.25" x14ac:dyDescent="0.6">
      <c r="A5" s="179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</row>
    <row r="6" spans="1:21" x14ac:dyDescent="0.6">
      <c r="A6" s="178" t="s">
        <v>222</v>
      </c>
      <c r="B6" s="83">
        <f>SUM(QGDP_KP!E9:H9)</f>
        <v>1881</v>
      </c>
      <c r="C6" s="83">
        <f>SUM(QGDP_KP!I9:L9)</f>
        <v>1929</v>
      </c>
      <c r="D6" s="83">
        <f>SUM(QGDP_KP!M9:P9)</f>
        <v>2053</v>
      </c>
      <c r="E6" s="83">
        <f>SUM(QGDP_KP!Q9:T9)</f>
        <v>2212</v>
      </c>
      <c r="F6" s="83">
        <f>SUM(QGDP_KP!U9:X9)</f>
        <v>2322</v>
      </c>
      <c r="G6" s="83">
        <f>SUM(QGDP_KP!Y9:AB9)</f>
        <v>2424</v>
      </c>
      <c r="H6" s="83">
        <f>SUM(QGDP_KP!AC9:AF9)</f>
        <v>2588</v>
      </c>
      <c r="I6" s="83">
        <f>SUM(QGDP_KP!BG9:BJ9)</f>
        <v>3583</v>
      </c>
      <c r="J6" s="83">
        <f>SUM(QGDP_KP!AK9:AN9)</f>
        <v>2813</v>
      </c>
      <c r="K6" s="83">
        <f>SUM(QGDP_KP!AO9:AR9)</f>
        <v>2940</v>
      </c>
      <c r="L6" s="83">
        <f>SUM(QGDP_KP!AS9:AV9)</f>
        <v>3020</v>
      </c>
      <c r="M6" s="83">
        <f>SUM(QGDP_KP!AW9:AZ9)</f>
        <v>3257</v>
      </c>
      <c r="N6" s="83">
        <f>SUM(QGDP_KP!BA9:BD9)</f>
        <v>3401</v>
      </c>
      <c r="O6" s="83">
        <f>SUM(QGDP_KP!BE9:BH9)</f>
        <v>3548</v>
      </c>
      <c r="P6" s="83">
        <f>SUM(QGDP_KP!BJ9:BL9)</f>
        <v>2797</v>
      </c>
      <c r="Q6" s="83">
        <f>SUM(QGDP_KP!BM9:BP9)</f>
        <v>3809</v>
      </c>
      <c r="R6" s="83">
        <f>SUM(QGDP_KP!BQ9:BT9)</f>
        <v>3826</v>
      </c>
      <c r="S6" s="83">
        <f>SUM(QGDP_KP!BU9:BX9)</f>
        <v>4013</v>
      </c>
      <c r="T6" s="83">
        <f>SUM(QGDP_KP!BY9:CB9)</f>
        <v>4142</v>
      </c>
      <c r="U6" s="83">
        <f>SUM(QGDP_KP!CC9:CE9)</f>
        <v>3030</v>
      </c>
    </row>
    <row r="7" spans="1:21" x14ac:dyDescent="0.6">
      <c r="A7" s="180" t="s">
        <v>224</v>
      </c>
      <c r="B7" s="87">
        <f>SUM(QGDP_KP!E10:H10)</f>
        <v>1142</v>
      </c>
      <c r="C7" s="87">
        <f>SUM(QGDP_KP!I10:L10)</f>
        <v>1188</v>
      </c>
      <c r="D7" s="87">
        <f>SUM(QGDP_KP!M10:P10)</f>
        <v>1260</v>
      </c>
      <c r="E7" s="87">
        <f>SUM(QGDP_KP!Q10:T10)</f>
        <v>1380</v>
      </c>
      <c r="F7" s="87">
        <f>SUM(QGDP_KP!U10:X10)</f>
        <v>1446</v>
      </c>
      <c r="G7" s="87">
        <f>SUM(QGDP_KP!Y10:AB10)</f>
        <v>1500</v>
      </c>
      <c r="H7" s="87">
        <f>SUM(QGDP_KP!AC10:AF10)</f>
        <v>1624</v>
      </c>
      <c r="I7" s="87">
        <f>SUM(QGDP_KP!BG10:BJ10)</f>
        <v>2218</v>
      </c>
      <c r="J7" s="87">
        <f>SUM(QGDP_KP!AK10:AN10)</f>
        <v>1785</v>
      </c>
      <c r="K7" s="87">
        <f>SUM(QGDP_KP!AO10:AR10)</f>
        <v>1844</v>
      </c>
      <c r="L7" s="87">
        <f>SUM(QGDP_KP!AS10:AV10)</f>
        <v>1872</v>
      </c>
      <c r="M7" s="87">
        <f>SUM(QGDP_KP!AW10:AZ10)</f>
        <v>2058</v>
      </c>
      <c r="N7" s="87">
        <f>SUM(QGDP_KP!BA10:BD10)</f>
        <v>2123</v>
      </c>
      <c r="O7" s="87">
        <f>SUM(QGDP_KP!BE10:BH10)</f>
        <v>2185</v>
      </c>
      <c r="P7" s="87">
        <f>SUM(QGDP_KP!BJ10:BL10)</f>
        <v>1738</v>
      </c>
      <c r="Q7" s="87">
        <f>SUM(QGDP_KP!BM10:BP10)</f>
        <v>2289</v>
      </c>
      <c r="R7" s="87">
        <f>SUM(QGDP_KP!BQ10:BT10)</f>
        <v>2241</v>
      </c>
      <c r="S7" s="87">
        <f>SUM(QGDP_KP!BU10:BX10)</f>
        <v>2363</v>
      </c>
      <c r="T7" s="87">
        <f>SUM(QGDP_KP!BY10:CB10)</f>
        <v>2373</v>
      </c>
      <c r="U7" s="87">
        <f>SUM(QGDP_KP!CC10:CE10)</f>
        <v>1588</v>
      </c>
    </row>
    <row r="8" spans="1:21" x14ac:dyDescent="0.6">
      <c r="A8" s="180" t="s">
        <v>226</v>
      </c>
      <c r="B8" s="87">
        <f>SUM(QGDP_KP!E11:H11)</f>
        <v>278</v>
      </c>
      <c r="C8" s="87">
        <f>SUM(QGDP_KP!I11:L11)</f>
        <v>197</v>
      </c>
      <c r="D8" s="87">
        <f>SUM(QGDP_KP!M11:P11)</f>
        <v>254</v>
      </c>
      <c r="E8" s="87">
        <f>SUM(QGDP_KP!Q11:T11)</f>
        <v>216</v>
      </c>
      <c r="F8" s="87">
        <f>SUM(QGDP_KP!U11:X11)</f>
        <v>246</v>
      </c>
      <c r="G8" s="87">
        <f>SUM(QGDP_KP!Y11:AB11)</f>
        <v>254</v>
      </c>
      <c r="H8" s="87">
        <f>SUM(QGDP_KP!AC11:AF11)</f>
        <v>276</v>
      </c>
      <c r="I8" s="87">
        <f>SUM(QGDP_KP!BG11:BJ11)</f>
        <v>319</v>
      </c>
      <c r="J8" s="87">
        <f>SUM(QGDP_KP!AK11:AN11)</f>
        <v>257</v>
      </c>
      <c r="K8" s="87">
        <f>SUM(QGDP_KP!AO11:AR11)</f>
        <v>295</v>
      </c>
      <c r="L8" s="87">
        <f>SUM(QGDP_KP!AS11:AV11)</f>
        <v>302</v>
      </c>
      <c r="M8" s="87">
        <f>SUM(QGDP_KP!AW11:AZ11)</f>
        <v>306</v>
      </c>
      <c r="N8" s="87">
        <f>SUM(QGDP_KP!BA11:BD11)</f>
        <v>327</v>
      </c>
      <c r="O8" s="87">
        <f>SUM(QGDP_KP!BE11:BH11)</f>
        <v>342</v>
      </c>
      <c r="P8" s="87">
        <f>SUM(QGDP_KP!BJ11:BL11)</f>
        <v>251</v>
      </c>
      <c r="Q8" s="87">
        <f>SUM(QGDP_KP!BM11:BP11)</f>
        <v>359</v>
      </c>
      <c r="R8" s="87">
        <f>SUM(QGDP_KP!BQ11:BT11)</f>
        <v>346</v>
      </c>
      <c r="S8" s="87">
        <f>SUM(QGDP_KP!BU11:BX11)</f>
        <v>345</v>
      </c>
      <c r="T8" s="87">
        <f>SUM(QGDP_KP!BY11:CB11)</f>
        <v>352</v>
      </c>
      <c r="U8" s="87">
        <f>SUM(QGDP_KP!CC11:CE11)</f>
        <v>311</v>
      </c>
    </row>
    <row r="9" spans="1:21" x14ac:dyDescent="0.6">
      <c r="A9" s="180" t="s">
        <v>228</v>
      </c>
      <c r="B9" s="87">
        <f>SUM(QGDP_KP!E12:H12)</f>
        <v>169</v>
      </c>
      <c r="C9" s="87">
        <f>SUM(QGDP_KP!I12:L12)</f>
        <v>174</v>
      </c>
      <c r="D9" s="87">
        <f>SUM(QGDP_KP!M12:P12)</f>
        <v>178</v>
      </c>
      <c r="E9" s="87">
        <f>SUM(QGDP_KP!Q12:T12)</f>
        <v>184</v>
      </c>
      <c r="F9" s="87">
        <f>SUM(QGDP_KP!U12:X12)</f>
        <v>192</v>
      </c>
      <c r="G9" s="87">
        <f>SUM(QGDP_KP!Y12:AB12)</f>
        <v>198</v>
      </c>
      <c r="H9" s="87">
        <f>SUM(QGDP_KP!AC12:AF12)</f>
        <v>211</v>
      </c>
      <c r="I9" s="87">
        <f>SUM(QGDP_KP!BG12:BJ12)</f>
        <v>404</v>
      </c>
      <c r="J9" s="87">
        <f>SUM(QGDP_KP!AK12:AN12)</f>
        <v>243</v>
      </c>
      <c r="K9" s="87">
        <f>SUM(QGDP_KP!AO12:AR12)</f>
        <v>264</v>
      </c>
      <c r="L9" s="87">
        <f>SUM(QGDP_KP!AS12:AV12)</f>
        <v>290</v>
      </c>
      <c r="M9" s="87">
        <f>SUM(QGDP_KP!AW12:AZ12)</f>
        <v>316</v>
      </c>
      <c r="N9" s="87">
        <f>SUM(QGDP_KP!BA12:BD12)</f>
        <v>350</v>
      </c>
      <c r="O9" s="87">
        <f>SUM(QGDP_KP!BE12:BH12)</f>
        <v>388</v>
      </c>
      <c r="P9" s="87">
        <f>SUM(QGDP_KP!BJ12:BL12)</f>
        <v>321</v>
      </c>
      <c r="Q9" s="87">
        <f>SUM(QGDP_KP!BM12:BP12)</f>
        <v>446</v>
      </c>
      <c r="R9" s="87">
        <f>SUM(QGDP_KP!BQ12:BT12)</f>
        <v>476</v>
      </c>
      <c r="S9" s="87">
        <f>SUM(QGDP_KP!BU12:BX12)</f>
        <v>510</v>
      </c>
      <c r="T9" s="87">
        <f>SUM(QGDP_KP!BY12:CB12)</f>
        <v>581</v>
      </c>
      <c r="U9" s="87">
        <f>SUM(QGDP_KP!CC12:CE12)</f>
        <v>466</v>
      </c>
    </row>
    <row r="10" spans="1:21" x14ac:dyDescent="0.6">
      <c r="A10" s="180" t="s">
        <v>230</v>
      </c>
      <c r="B10" s="87">
        <f>SUM(QGDP_KP!E13:H13)</f>
        <v>386</v>
      </c>
      <c r="C10" s="87">
        <f>SUM(QGDP_KP!I13:L13)</f>
        <v>399</v>
      </c>
      <c r="D10" s="87">
        <f>SUM(QGDP_KP!M13:P13)</f>
        <v>414</v>
      </c>
      <c r="E10" s="87">
        <f>SUM(QGDP_KP!Q13:T13)</f>
        <v>423</v>
      </c>
      <c r="F10" s="87">
        <f>SUM(QGDP_KP!U13:X13)</f>
        <v>437</v>
      </c>
      <c r="G10" s="87">
        <f>SUM(QGDP_KP!Y13:AB13)</f>
        <v>448</v>
      </c>
      <c r="H10" s="87">
        <f>SUM(QGDP_KP!AC13:AF13)</f>
        <v>466</v>
      </c>
      <c r="I10" s="87">
        <f>SUM(QGDP_KP!BG13:BJ13)</f>
        <v>614</v>
      </c>
      <c r="J10" s="87">
        <f>SUM(QGDP_KP!AK13:AN13)</f>
        <v>494</v>
      </c>
      <c r="K10" s="87">
        <f>SUM(QGDP_KP!AO13:AR13)</f>
        <v>512</v>
      </c>
      <c r="L10" s="87">
        <f>SUM(QGDP_KP!AS13:AV13)</f>
        <v>531</v>
      </c>
      <c r="M10" s="87">
        <f>SUM(QGDP_KP!AW13:AZ13)</f>
        <v>548</v>
      </c>
      <c r="N10" s="87">
        <f>SUM(QGDP_KP!BA13:BD13)</f>
        <v>572</v>
      </c>
      <c r="O10" s="87">
        <f>SUM(QGDP_KP!BE13:BH13)</f>
        <v>605</v>
      </c>
      <c r="P10" s="87">
        <f>SUM(QGDP_KP!BJ13:BL13)</f>
        <v>472</v>
      </c>
      <c r="Q10" s="87">
        <f>SUM(QGDP_KP!BM13:BP13)</f>
        <v>658</v>
      </c>
      <c r="R10" s="87">
        <f>SUM(QGDP_KP!BQ13:BT13)</f>
        <v>704</v>
      </c>
      <c r="S10" s="87">
        <f>SUM(QGDP_KP!BU13:BX13)</f>
        <v>742</v>
      </c>
      <c r="T10" s="87">
        <f>SUM(QGDP_KP!BY13:CB13)</f>
        <v>783</v>
      </c>
      <c r="U10" s="87">
        <f>SUM(QGDP_KP!CC13:CE13)</f>
        <v>616</v>
      </c>
    </row>
    <row r="11" spans="1:21" x14ac:dyDescent="0.6">
      <c r="A11" s="180" t="s">
        <v>232</v>
      </c>
      <c r="B11" s="87">
        <f>SUM(QGDP_KP!E14:H14)</f>
        <v>36</v>
      </c>
      <c r="C11" s="87">
        <f>SUM(QGDP_KP!I14:L14)</f>
        <v>36</v>
      </c>
      <c r="D11" s="87">
        <f>SUM(QGDP_KP!M14:P14)</f>
        <v>39</v>
      </c>
      <c r="E11" s="87">
        <f>SUM(QGDP_KP!Q14:T14)</f>
        <v>40</v>
      </c>
      <c r="F11" s="87">
        <f>SUM(QGDP_KP!U14:X14)</f>
        <v>40</v>
      </c>
      <c r="G11" s="87">
        <f>SUM(QGDP_KP!Y14:AB14)</f>
        <v>42</v>
      </c>
      <c r="H11" s="87">
        <f>SUM(QGDP_KP!AC14:AF14)</f>
        <v>40</v>
      </c>
      <c r="I11" s="87">
        <f>SUM(QGDP_KP!BG14:BJ14)</f>
        <v>48</v>
      </c>
      <c r="J11" s="87">
        <f>SUM(QGDP_KP!AK14:AN14)</f>
        <v>44</v>
      </c>
      <c r="K11" s="87">
        <f>SUM(QGDP_KP!AO14:AR14)</f>
        <v>44</v>
      </c>
      <c r="L11" s="87">
        <f>SUM(QGDP_KP!AS14:AV14)</f>
        <v>48</v>
      </c>
      <c r="M11" s="87">
        <f>SUM(QGDP_KP!AW14:AZ14)</f>
        <v>49</v>
      </c>
      <c r="N11" s="87">
        <f>SUM(QGDP_KP!BA14:BD14)</f>
        <v>52</v>
      </c>
      <c r="O11" s="87">
        <f>SUM(QGDP_KP!BE14:BH14)</f>
        <v>53</v>
      </c>
      <c r="P11" s="87">
        <f>SUM(QGDP_KP!BJ14:BL14)</f>
        <v>32</v>
      </c>
      <c r="Q11" s="87">
        <f>SUM(QGDP_KP!BM14:BP14)</f>
        <v>56</v>
      </c>
      <c r="R11" s="87">
        <f>SUM(QGDP_KP!BQ14:BT14)</f>
        <v>56</v>
      </c>
      <c r="S11" s="87">
        <f>SUM(QGDP_KP!BU14:BX14)</f>
        <v>55</v>
      </c>
      <c r="T11" s="87">
        <f>SUM(QGDP_KP!BY14:CB14)</f>
        <v>53</v>
      </c>
      <c r="U11" s="87">
        <f>SUM(QGDP_KP!CC14:CE14)</f>
        <v>50</v>
      </c>
    </row>
    <row r="12" spans="1:21" x14ac:dyDescent="0.6">
      <c r="A12" s="178" t="s">
        <v>234</v>
      </c>
      <c r="B12" s="83">
        <f>SUM(QGDP_KP!E15:H15)</f>
        <v>1045</v>
      </c>
      <c r="C12" s="83">
        <f>SUM(QGDP_KP!I15:L15)</f>
        <v>1138</v>
      </c>
      <c r="D12" s="83">
        <f>SUM(QGDP_KP!M15:P15)</f>
        <v>1311</v>
      </c>
      <c r="E12" s="83">
        <f>SUM(QGDP_KP!Q15:T15)</f>
        <v>1328</v>
      </c>
      <c r="F12" s="83">
        <f>SUM(QGDP_KP!U15:X15)</f>
        <v>1441</v>
      </c>
      <c r="G12" s="83">
        <f>SUM(QGDP_KP!Y15:AB15)</f>
        <v>1697</v>
      </c>
      <c r="H12" s="83">
        <f>SUM(QGDP_KP!AC15:AF15)</f>
        <v>1838</v>
      </c>
      <c r="I12" s="83">
        <f>SUM(QGDP_KP!BG15:BJ15)</f>
        <v>2944</v>
      </c>
      <c r="J12" s="83">
        <f>SUM(QGDP_KP!AK15:AN15)</f>
        <v>2061</v>
      </c>
      <c r="K12" s="83">
        <f>SUM(QGDP_KP!AO15:AR15)</f>
        <v>2245</v>
      </c>
      <c r="L12" s="83">
        <f>SUM(QGDP_KP!AS15:AV15)</f>
        <v>2395</v>
      </c>
      <c r="M12" s="83">
        <f>SUM(QGDP_KP!AW15:AZ15)</f>
        <v>2431</v>
      </c>
      <c r="N12" s="83">
        <f>SUM(QGDP_KP!BA15:BD15)</f>
        <v>2642</v>
      </c>
      <c r="O12" s="83">
        <f>SUM(QGDP_KP!BE15:BH15)</f>
        <v>3078</v>
      </c>
      <c r="P12" s="83">
        <f>SUM(QGDP_KP!BJ15:BL15)</f>
        <v>2227</v>
      </c>
      <c r="Q12" s="83">
        <f>SUM(QGDP_KP!BM15:BP15)</f>
        <v>3099</v>
      </c>
      <c r="R12" s="83">
        <f>SUM(QGDP_KP!BQ15:BT15)</f>
        <v>3767</v>
      </c>
      <c r="S12" s="83">
        <f>SUM(QGDP_KP!BU15:BX15)</f>
        <v>4089</v>
      </c>
      <c r="T12" s="83">
        <f>SUM(QGDP_KP!BY15:CB15)</f>
        <v>4396</v>
      </c>
      <c r="U12" s="83">
        <f>SUM(QGDP_KP!CC15:CE15)</f>
        <v>3550</v>
      </c>
    </row>
    <row r="13" spans="1:21" x14ac:dyDescent="0.6">
      <c r="A13" s="180" t="s">
        <v>236</v>
      </c>
      <c r="B13" s="87">
        <f>SUM(QGDP_KP!E16:H16)</f>
        <v>137</v>
      </c>
      <c r="C13" s="87">
        <f>SUM(QGDP_KP!I16:L16)</f>
        <v>195</v>
      </c>
      <c r="D13" s="87">
        <f>SUM(QGDP_KP!M16:P16)</f>
        <v>165</v>
      </c>
      <c r="E13" s="87">
        <f>SUM(QGDP_KP!Q16:T16)</f>
        <v>136</v>
      </c>
      <c r="F13" s="87">
        <f>SUM(QGDP_KP!U16:X16)</f>
        <v>121</v>
      </c>
      <c r="G13" s="87">
        <f>SUM(QGDP_KP!Y16:AB16)</f>
        <v>181</v>
      </c>
      <c r="H13" s="87">
        <f>SUM(QGDP_KP!AC16:AF16)</f>
        <v>168</v>
      </c>
      <c r="I13" s="87">
        <f>SUM(QGDP_KP!BG16:BJ16)</f>
        <v>259</v>
      </c>
      <c r="J13" s="87">
        <f>SUM(QGDP_KP!AK16:AN16)</f>
        <v>252</v>
      </c>
      <c r="K13" s="87">
        <f>SUM(QGDP_KP!AO16:AR16)</f>
        <v>239</v>
      </c>
      <c r="L13" s="87">
        <f>SUM(QGDP_KP!AS16:AV16)</f>
        <v>265</v>
      </c>
      <c r="M13" s="87">
        <f>SUM(QGDP_KP!AW16:AZ16)</f>
        <v>318</v>
      </c>
      <c r="N13" s="87">
        <f>SUM(QGDP_KP!BA16:BD16)</f>
        <v>328</v>
      </c>
      <c r="O13" s="87">
        <f>SUM(QGDP_KP!BE16:BH16)</f>
        <v>325</v>
      </c>
      <c r="P13" s="87">
        <f>SUM(QGDP_KP!BJ16:BL16)</f>
        <v>167</v>
      </c>
      <c r="Q13" s="87">
        <f>SUM(QGDP_KP!BM16:BP16)</f>
        <v>238</v>
      </c>
      <c r="R13" s="87">
        <f>SUM(QGDP_KP!BQ16:BT16)</f>
        <v>305</v>
      </c>
      <c r="S13" s="87">
        <f>SUM(QGDP_KP!BU16:BX16)</f>
        <v>327</v>
      </c>
      <c r="T13" s="87">
        <f>SUM(QGDP_KP!BY16:CB16)</f>
        <v>354</v>
      </c>
      <c r="U13" s="87">
        <f>SUM(QGDP_KP!CC16:CE16)</f>
        <v>289</v>
      </c>
    </row>
    <row r="14" spans="1:21" x14ac:dyDescent="0.6">
      <c r="A14" s="181" t="s">
        <v>238</v>
      </c>
      <c r="B14" s="90">
        <f>SUM(QGDP_KP!E17:H17)</f>
        <v>594</v>
      </c>
      <c r="C14" s="90">
        <f>SUM(QGDP_KP!I17:L17)</f>
        <v>598</v>
      </c>
      <c r="D14" s="90">
        <f>SUM(QGDP_KP!M17:P17)</f>
        <v>630</v>
      </c>
      <c r="E14" s="90">
        <f>SUM(QGDP_KP!Q17:T17)</f>
        <v>648</v>
      </c>
      <c r="F14" s="90">
        <f>SUM(QGDP_KP!U17:X17)</f>
        <v>708</v>
      </c>
      <c r="G14" s="90">
        <f>SUM(QGDP_KP!Y17:AB17)</f>
        <v>769</v>
      </c>
      <c r="H14" s="90">
        <f>SUM(QGDP_KP!AC17:AF17)</f>
        <v>814</v>
      </c>
      <c r="I14" s="90">
        <f>SUM(QGDP_KP!BG17:BJ17)</f>
        <v>1133</v>
      </c>
      <c r="J14" s="90">
        <f>SUM(QGDP_KP!AK17:AN17)</f>
        <v>744</v>
      </c>
      <c r="K14" s="90">
        <f>SUM(QGDP_KP!AO17:AR17)</f>
        <v>805</v>
      </c>
      <c r="L14" s="90">
        <f>SUM(QGDP_KP!AS17:AV17)</f>
        <v>860</v>
      </c>
      <c r="M14" s="90">
        <f>SUM(QGDP_KP!AW17:AZ17)</f>
        <v>915</v>
      </c>
      <c r="N14" s="90">
        <f>SUM(QGDP_KP!BA17:BD17)</f>
        <v>1040</v>
      </c>
      <c r="O14" s="90">
        <f>SUM(QGDP_KP!BE17:BH17)</f>
        <v>1156</v>
      </c>
      <c r="P14" s="90">
        <f>SUM(QGDP_KP!BJ17:BL17)</f>
        <v>897</v>
      </c>
      <c r="Q14" s="90">
        <f>SUM(QGDP_KP!BM17:BP17)</f>
        <v>1272</v>
      </c>
      <c r="R14" s="90">
        <f>SUM(QGDP_KP!BQ17:BT17)</f>
        <v>1390</v>
      </c>
      <c r="S14" s="90">
        <f>SUM(QGDP_KP!BU17:BX17)</f>
        <v>1525</v>
      </c>
      <c r="T14" s="90">
        <f>SUM(QGDP_KP!BY17:CB17)</f>
        <v>1619</v>
      </c>
      <c r="U14" s="90">
        <f>SUM(QGDP_KP!CC17:CE17)</f>
        <v>1287</v>
      </c>
    </row>
    <row r="15" spans="1:21" x14ac:dyDescent="0.6">
      <c r="A15" s="182" t="s">
        <v>240</v>
      </c>
      <c r="B15" s="113">
        <f>SUM(QGDP_KP!E18:H18)</f>
        <v>99</v>
      </c>
      <c r="C15" s="113">
        <f>SUM(QGDP_KP!I18:L18)</f>
        <v>94</v>
      </c>
      <c r="D15" s="113">
        <f>SUM(QGDP_KP!M18:P18)</f>
        <v>102</v>
      </c>
      <c r="E15" s="113">
        <f>SUM(QGDP_KP!Q18:T18)</f>
        <v>109</v>
      </c>
      <c r="F15" s="113">
        <f>SUM(QGDP_KP!U18:X18)</f>
        <v>118</v>
      </c>
      <c r="G15" s="113">
        <f>SUM(QGDP_KP!Y18:AB18)</f>
        <v>123</v>
      </c>
      <c r="H15" s="113">
        <f>SUM(QGDP_KP!AC18:AF18)</f>
        <v>124</v>
      </c>
      <c r="I15" s="113">
        <f>SUM(QGDP_KP!BG18:BJ18)</f>
        <v>210</v>
      </c>
      <c r="J15" s="113">
        <f>SUM(QGDP_KP!AK18:AN18)</f>
        <v>143</v>
      </c>
      <c r="K15" s="113">
        <f>SUM(QGDP_KP!AO18:AR18)</f>
        <v>143</v>
      </c>
      <c r="L15" s="113">
        <f>SUM(QGDP_KP!AS18:AV18)</f>
        <v>155</v>
      </c>
      <c r="M15" s="113">
        <f>SUM(QGDP_KP!AW18:AZ18)</f>
        <v>172</v>
      </c>
      <c r="N15" s="113">
        <f>SUM(QGDP_KP!BA18:BD18)</f>
        <v>196</v>
      </c>
      <c r="O15" s="113">
        <f>SUM(QGDP_KP!BE18:BH18)</f>
        <v>204</v>
      </c>
      <c r="P15" s="113">
        <f>SUM(QGDP_KP!BJ18:BL18)</f>
        <v>163</v>
      </c>
      <c r="Q15" s="113">
        <f>SUM(QGDP_KP!BM18:BP18)</f>
        <v>293</v>
      </c>
      <c r="R15" s="113">
        <f>SUM(QGDP_KP!BQ18:BT18)</f>
        <v>333</v>
      </c>
      <c r="S15" s="113">
        <f>SUM(QGDP_KP!BU18:BX18)</f>
        <v>376</v>
      </c>
      <c r="T15" s="113">
        <f>SUM(QGDP_KP!BY18:CB18)</f>
        <v>383</v>
      </c>
      <c r="U15" s="113">
        <f>SUM(QGDP_KP!CC18:CE18)</f>
        <v>288</v>
      </c>
    </row>
    <row r="16" spans="1:21" x14ac:dyDescent="0.6">
      <c r="A16" s="182" t="s">
        <v>242</v>
      </c>
      <c r="B16" s="113">
        <f>SUM(QGDP_KP!E19:H19)</f>
        <v>313</v>
      </c>
      <c r="C16" s="113">
        <f>SUM(QGDP_KP!I19:L19)</f>
        <v>308</v>
      </c>
      <c r="D16" s="113">
        <f>SUM(QGDP_KP!M19:P19)</f>
        <v>317</v>
      </c>
      <c r="E16" s="113">
        <f>SUM(QGDP_KP!Q19:T19)</f>
        <v>331</v>
      </c>
      <c r="F16" s="113">
        <f>SUM(QGDP_KP!U19:X19)</f>
        <v>337</v>
      </c>
      <c r="G16" s="113">
        <f>SUM(QGDP_KP!Y19:AB19)</f>
        <v>364</v>
      </c>
      <c r="H16" s="113">
        <f>SUM(QGDP_KP!AC19:AF19)</f>
        <v>378</v>
      </c>
      <c r="I16" s="113">
        <f>SUM(QGDP_KP!BG19:BJ19)</f>
        <v>478</v>
      </c>
      <c r="J16" s="113">
        <f>SUM(QGDP_KP!AK19:AN19)</f>
        <v>422</v>
      </c>
      <c r="K16" s="113">
        <f>SUM(QGDP_KP!AO19:AR19)</f>
        <v>446</v>
      </c>
      <c r="L16" s="113">
        <f>SUM(QGDP_KP!AS19:AV19)</f>
        <v>461</v>
      </c>
      <c r="M16" s="113">
        <f>SUM(QGDP_KP!AW19:AZ19)</f>
        <v>423</v>
      </c>
      <c r="N16" s="113">
        <f>SUM(QGDP_KP!BA19:BD19)</f>
        <v>439</v>
      </c>
      <c r="O16" s="113">
        <f>SUM(QGDP_KP!BE19:BH19)</f>
        <v>487</v>
      </c>
      <c r="P16" s="113">
        <f>SUM(QGDP_KP!BJ19:BL19)</f>
        <v>376</v>
      </c>
      <c r="Q16" s="113">
        <f>SUM(QGDP_KP!BM19:BP19)</f>
        <v>411</v>
      </c>
      <c r="R16" s="113">
        <f>SUM(QGDP_KP!BQ19:BT19)</f>
        <v>462</v>
      </c>
      <c r="S16" s="113">
        <f>SUM(QGDP_KP!BU19:BX19)</f>
        <v>460</v>
      </c>
      <c r="T16" s="113">
        <f>SUM(QGDP_KP!BY19:CB19)</f>
        <v>486</v>
      </c>
      <c r="U16" s="113">
        <f>SUM(QGDP_KP!CC19:CE19)</f>
        <v>366</v>
      </c>
    </row>
    <row r="17" spans="1:21" x14ac:dyDescent="0.6">
      <c r="A17" s="182" t="s">
        <v>244</v>
      </c>
      <c r="B17" s="113">
        <f>SUM(QGDP_KP!E20:H20)</f>
        <v>116</v>
      </c>
      <c r="C17" s="113">
        <f>SUM(QGDP_KP!I20:L20)</f>
        <v>127</v>
      </c>
      <c r="D17" s="113">
        <f>SUM(QGDP_KP!M20:P20)</f>
        <v>125</v>
      </c>
      <c r="E17" s="113">
        <f>SUM(QGDP_KP!Q20:T20)</f>
        <v>124</v>
      </c>
      <c r="F17" s="113">
        <f>SUM(QGDP_KP!U20:X20)</f>
        <v>128</v>
      </c>
      <c r="G17" s="113">
        <f>SUM(QGDP_KP!Y20:AB20)</f>
        <v>124</v>
      </c>
      <c r="H17" s="113">
        <f>SUM(QGDP_KP!AC20:AF20)</f>
        <v>134</v>
      </c>
      <c r="I17" s="113">
        <f>SUM(QGDP_KP!BG20:BJ20)</f>
        <v>94</v>
      </c>
      <c r="J17" s="113">
        <f>SUM(QGDP_KP!AK20:AN20)</f>
        <v>32</v>
      </c>
      <c r="K17" s="113">
        <f>SUM(QGDP_KP!AO20:AR20)</f>
        <v>32</v>
      </c>
      <c r="L17" s="113">
        <f>SUM(QGDP_KP!AS20:AV20)</f>
        <v>37</v>
      </c>
      <c r="M17" s="113">
        <f>SUM(QGDP_KP!AW20:AZ20)</f>
        <v>50</v>
      </c>
      <c r="N17" s="113">
        <f>SUM(QGDP_KP!BA20:BD20)</f>
        <v>81</v>
      </c>
      <c r="O17" s="113">
        <f>SUM(QGDP_KP!BE20:BH20)</f>
        <v>95</v>
      </c>
      <c r="P17" s="113">
        <f>SUM(QGDP_KP!BJ20:BL20)</f>
        <v>69</v>
      </c>
      <c r="Q17" s="113">
        <f>SUM(QGDP_KP!BM20:BP20)</f>
        <v>99</v>
      </c>
      <c r="R17" s="113">
        <f>SUM(QGDP_KP!BQ20:BT20)</f>
        <v>109</v>
      </c>
      <c r="S17" s="113">
        <f>SUM(QGDP_KP!BU20:BX20)</f>
        <v>124</v>
      </c>
      <c r="T17" s="113">
        <f>SUM(QGDP_KP!BY20:CB20)</f>
        <v>136</v>
      </c>
      <c r="U17" s="113">
        <f>SUM(QGDP_KP!CC20:CE20)</f>
        <v>96</v>
      </c>
    </row>
    <row r="18" spans="1:21" x14ac:dyDescent="0.6">
      <c r="A18" s="182" t="s">
        <v>246</v>
      </c>
      <c r="B18" s="113">
        <f>SUM(QGDP_KP!E21:H21)</f>
        <v>13</v>
      </c>
      <c r="C18" s="113">
        <f>SUM(QGDP_KP!I21:L21)</f>
        <v>15</v>
      </c>
      <c r="D18" s="113">
        <f>SUM(QGDP_KP!M21:P21)</f>
        <v>15</v>
      </c>
      <c r="E18" s="113">
        <f>SUM(QGDP_KP!Q21:T21)</f>
        <v>17</v>
      </c>
      <c r="F18" s="113">
        <f>SUM(QGDP_KP!U21:X21)</f>
        <v>18</v>
      </c>
      <c r="G18" s="113">
        <f>SUM(QGDP_KP!Y21:AB21)</f>
        <v>17</v>
      </c>
      <c r="H18" s="113">
        <f>SUM(QGDP_KP!AC21:AF21)</f>
        <v>18</v>
      </c>
      <c r="I18" s="113">
        <f>SUM(QGDP_KP!BG21:BJ21)</f>
        <v>33</v>
      </c>
      <c r="J18" s="113">
        <f>SUM(QGDP_KP!AK21:AN21)</f>
        <v>24</v>
      </c>
      <c r="K18" s="113">
        <f>SUM(QGDP_KP!AO21:AR21)</f>
        <v>25</v>
      </c>
      <c r="L18" s="113">
        <f>SUM(QGDP_KP!AS21:AV21)</f>
        <v>28</v>
      </c>
      <c r="M18" s="113">
        <f>SUM(QGDP_KP!AW21:AZ21)</f>
        <v>26</v>
      </c>
      <c r="N18" s="113">
        <f>SUM(QGDP_KP!BA21:BD21)</f>
        <v>29</v>
      </c>
      <c r="O18" s="113">
        <f>SUM(QGDP_KP!BE21:BH21)</f>
        <v>37</v>
      </c>
      <c r="P18" s="113">
        <f>SUM(QGDP_KP!BJ21:BL21)</f>
        <v>26</v>
      </c>
      <c r="Q18" s="113">
        <f>SUM(QGDP_KP!BM21:BP21)</f>
        <v>43</v>
      </c>
      <c r="R18" s="113">
        <f>SUM(QGDP_KP!BQ21:BT21)</f>
        <v>57</v>
      </c>
      <c r="S18" s="113">
        <f>SUM(QGDP_KP!BU21:BX21)</f>
        <v>67</v>
      </c>
      <c r="T18" s="113">
        <f>SUM(QGDP_KP!BY21:CB21)</f>
        <v>78</v>
      </c>
      <c r="U18" s="113">
        <f>SUM(QGDP_KP!CC21:CE21)</f>
        <v>66</v>
      </c>
    </row>
    <row r="19" spans="1:21" x14ac:dyDescent="0.6">
      <c r="A19" s="182" t="s">
        <v>248</v>
      </c>
      <c r="B19" s="113">
        <f>SUM(QGDP_KP!E22:H22)</f>
        <v>33</v>
      </c>
      <c r="C19" s="113">
        <f>SUM(QGDP_KP!I22:L22)</f>
        <v>32</v>
      </c>
      <c r="D19" s="113">
        <f>SUM(QGDP_KP!M22:P22)</f>
        <v>32</v>
      </c>
      <c r="E19" s="113">
        <f>SUM(QGDP_KP!Q22:T22)</f>
        <v>32</v>
      </c>
      <c r="F19" s="113">
        <f>SUM(QGDP_KP!U22:X22)</f>
        <v>35</v>
      </c>
      <c r="G19" s="113">
        <f>SUM(QGDP_KP!Y22:AB22)</f>
        <v>39</v>
      </c>
      <c r="H19" s="113">
        <f>SUM(QGDP_KP!AC22:AF22)</f>
        <v>41</v>
      </c>
      <c r="I19" s="113">
        <f>SUM(QGDP_KP!BG22:BJ22)</f>
        <v>93</v>
      </c>
      <c r="J19" s="113">
        <f>SUM(QGDP_KP!AK22:AN22)</f>
        <v>39</v>
      </c>
      <c r="K19" s="113">
        <f>SUM(QGDP_KP!AO22:AR22)</f>
        <v>44</v>
      </c>
      <c r="L19" s="113">
        <f>SUM(QGDP_KP!AS22:AV22)</f>
        <v>45</v>
      </c>
      <c r="M19" s="113">
        <f>SUM(QGDP_KP!AW22:AZ22)</f>
        <v>60</v>
      </c>
      <c r="N19" s="113">
        <f>SUM(QGDP_KP!BA22:BD22)</f>
        <v>73</v>
      </c>
      <c r="O19" s="113">
        <f>SUM(QGDP_KP!BE22:BH22)</f>
        <v>94</v>
      </c>
      <c r="P19" s="113">
        <f>SUM(QGDP_KP!BJ22:BL22)</f>
        <v>74</v>
      </c>
      <c r="Q19" s="113">
        <f>SUM(QGDP_KP!BM22:BP22)</f>
        <v>127</v>
      </c>
      <c r="R19" s="113">
        <f>SUM(QGDP_KP!BQ22:BT22)</f>
        <v>121</v>
      </c>
      <c r="S19" s="113">
        <f>SUM(QGDP_KP!BU22:BX22)</f>
        <v>173</v>
      </c>
      <c r="T19" s="113">
        <f>SUM(QGDP_KP!BY22:CB22)</f>
        <v>187</v>
      </c>
      <c r="U19" s="113">
        <f>SUM(QGDP_KP!CC22:CE22)</f>
        <v>168</v>
      </c>
    </row>
    <row r="20" spans="1:21" x14ac:dyDescent="0.6">
      <c r="A20" s="182" t="s">
        <v>250</v>
      </c>
      <c r="B20" s="113">
        <f>SUM(QGDP_KP!E23:H23)</f>
        <v>24</v>
      </c>
      <c r="C20" s="113">
        <f>SUM(QGDP_KP!I23:L23)</f>
        <v>25</v>
      </c>
      <c r="D20" s="113">
        <f>SUM(QGDP_KP!M23:P23)</f>
        <v>26</v>
      </c>
      <c r="E20" s="113">
        <f>SUM(QGDP_KP!Q23:T23)</f>
        <v>24</v>
      </c>
      <c r="F20" s="113">
        <f>SUM(QGDP_KP!U23:X23)</f>
        <v>27</v>
      </c>
      <c r="G20" s="113">
        <f>SUM(QGDP_KP!Y23:AB23)</f>
        <v>31</v>
      </c>
      <c r="H20" s="113">
        <f>SUM(QGDP_KP!AC23:AF23)</f>
        <v>37</v>
      </c>
      <c r="I20" s="113">
        <f>SUM(QGDP_KP!BG23:BJ23)</f>
        <v>88</v>
      </c>
      <c r="J20" s="113">
        <f>SUM(QGDP_KP!AK23:AN23)</f>
        <v>45</v>
      </c>
      <c r="K20" s="113">
        <f>SUM(QGDP_KP!AO23:AR23)</f>
        <v>53</v>
      </c>
      <c r="L20" s="113">
        <f>SUM(QGDP_KP!AS23:AV23)</f>
        <v>65</v>
      </c>
      <c r="M20" s="113">
        <f>SUM(QGDP_KP!AW23:AZ23)</f>
        <v>71</v>
      </c>
      <c r="N20" s="113">
        <f>SUM(QGDP_KP!BA23:BD23)</f>
        <v>78</v>
      </c>
      <c r="O20" s="113">
        <f>SUM(QGDP_KP!BE23:BH23)</f>
        <v>93</v>
      </c>
      <c r="P20" s="113">
        <f>SUM(QGDP_KP!BJ23:BL23)</f>
        <v>72</v>
      </c>
      <c r="Q20" s="113">
        <f>SUM(QGDP_KP!BM23:BP23)</f>
        <v>102</v>
      </c>
      <c r="R20" s="113">
        <f>SUM(QGDP_KP!BQ23:BT23)</f>
        <v>110</v>
      </c>
      <c r="S20" s="113">
        <f>SUM(QGDP_KP!BU23:BX23)</f>
        <v>127</v>
      </c>
      <c r="T20" s="113">
        <f>SUM(QGDP_KP!BY23:CB23)</f>
        <v>122</v>
      </c>
      <c r="U20" s="113">
        <f>SUM(QGDP_KP!CC23:CE23)</f>
        <v>114</v>
      </c>
    </row>
    <row r="21" spans="1:21" x14ac:dyDescent="0.6">
      <c r="A21" s="182" t="s">
        <v>252</v>
      </c>
      <c r="B21" s="113">
        <f>SUM(QGDP_KP!E24:H24)</f>
        <v>7</v>
      </c>
      <c r="C21" s="113">
        <f>SUM(QGDP_KP!I24:L24)</f>
        <v>9</v>
      </c>
      <c r="D21" s="113">
        <f>SUM(QGDP_KP!M24:P24)</f>
        <v>10</v>
      </c>
      <c r="E21" s="113">
        <f>SUM(QGDP_KP!Q24:T24)</f>
        <v>9</v>
      </c>
      <c r="F21" s="113">
        <f>SUM(QGDP_KP!U24:X24)</f>
        <v>15</v>
      </c>
      <c r="G21" s="113">
        <f>SUM(QGDP_KP!Y24:AB24)</f>
        <v>19</v>
      </c>
      <c r="H21" s="113">
        <f>SUM(QGDP_KP!AC24:AF24)</f>
        <v>23</v>
      </c>
      <c r="I21" s="113">
        <f>SUM(QGDP_KP!BG24:BJ24)</f>
        <v>63</v>
      </c>
      <c r="J21" s="113">
        <f>SUM(QGDP_KP!AK24:AN24)</f>
        <v>26</v>
      </c>
      <c r="K21" s="113">
        <f>SUM(QGDP_KP!AO24:AR24)</f>
        <v>37</v>
      </c>
      <c r="L21" s="113">
        <f>SUM(QGDP_KP!AS24:AV24)</f>
        <v>42</v>
      </c>
      <c r="M21" s="113">
        <f>SUM(QGDP_KP!AW24:AZ24)</f>
        <v>47</v>
      </c>
      <c r="N21" s="113">
        <f>SUM(QGDP_KP!BA24:BD24)</f>
        <v>57</v>
      </c>
      <c r="O21" s="113">
        <f>SUM(QGDP_KP!BE24:BH24)</f>
        <v>69</v>
      </c>
      <c r="P21" s="113">
        <f>SUM(QGDP_KP!BJ24:BL24)</f>
        <v>61</v>
      </c>
      <c r="Q21" s="113">
        <f>SUM(QGDP_KP!BM24:BP24)</f>
        <v>74</v>
      </c>
      <c r="R21" s="113">
        <f>SUM(QGDP_KP!BQ24:BT24)</f>
        <v>85</v>
      </c>
      <c r="S21" s="113">
        <f>SUM(QGDP_KP!BU24:BX24)</f>
        <v>97</v>
      </c>
      <c r="T21" s="113">
        <f>SUM(QGDP_KP!BY24:CB24)</f>
        <v>118</v>
      </c>
      <c r="U21" s="113">
        <f>SUM(QGDP_KP!CC24:CE24)</f>
        <v>105</v>
      </c>
    </row>
    <row r="22" spans="1:21" x14ac:dyDescent="0.6">
      <c r="A22" s="182" t="s">
        <v>254</v>
      </c>
      <c r="B22" s="113">
        <f>SUM(QGDP_KP!E25:H25)</f>
        <v>24</v>
      </c>
      <c r="C22" s="113">
        <f>SUM(QGDP_KP!I25:L25)</f>
        <v>29</v>
      </c>
      <c r="D22" s="113">
        <f>SUM(QGDP_KP!M25:P25)</f>
        <v>33</v>
      </c>
      <c r="E22" s="113">
        <f>SUM(QGDP_KP!Q25:T25)</f>
        <v>31</v>
      </c>
      <c r="F22" s="113">
        <f>SUM(QGDP_KP!U25:X25)</f>
        <v>43</v>
      </c>
      <c r="G22" s="113">
        <f>SUM(QGDP_KP!Y25:AB25)</f>
        <v>59</v>
      </c>
      <c r="H22" s="113">
        <f>SUM(QGDP_KP!AC25:AF25)</f>
        <v>65</v>
      </c>
      <c r="I22" s="113">
        <f>SUM(QGDP_KP!BG25:BJ25)</f>
        <v>98</v>
      </c>
      <c r="J22" s="113">
        <f>SUM(QGDP_KP!AK25:AN25)</f>
        <v>81</v>
      </c>
      <c r="K22" s="113">
        <f>SUM(QGDP_KP!AO25:AR25)</f>
        <v>95</v>
      </c>
      <c r="L22" s="113">
        <f>SUM(QGDP_KP!AS25:AV25)</f>
        <v>86</v>
      </c>
      <c r="M22" s="113">
        <f>SUM(QGDP_KP!AW25:AZ25)</f>
        <v>97</v>
      </c>
      <c r="N22" s="113">
        <f>SUM(QGDP_KP!BA25:BD25)</f>
        <v>106</v>
      </c>
      <c r="O22" s="113">
        <f>SUM(QGDP_KP!BE25:BH25)</f>
        <v>109</v>
      </c>
      <c r="P22" s="113">
        <f>SUM(QGDP_KP!BJ25:BL25)</f>
        <v>78</v>
      </c>
      <c r="Q22" s="113">
        <f>SUM(QGDP_KP!BM25:BP25)</f>
        <v>127</v>
      </c>
      <c r="R22" s="113">
        <f>SUM(QGDP_KP!BQ25:BT25)</f>
        <v>113</v>
      </c>
      <c r="S22" s="113">
        <f>SUM(QGDP_KP!BU25:BX25)</f>
        <v>105</v>
      </c>
      <c r="T22" s="113">
        <f>SUM(QGDP_KP!BY25:CB25)</f>
        <v>110</v>
      </c>
      <c r="U22" s="113">
        <f>SUM(QGDP_KP!CC25:CE25)</f>
        <v>85</v>
      </c>
    </row>
    <row r="23" spans="1:21" x14ac:dyDescent="0.6">
      <c r="A23" s="180" t="s">
        <v>256</v>
      </c>
      <c r="B23" s="87">
        <f>SUM(QGDP_KP!E26:H26)</f>
        <v>22</v>
      </c>
      <c r="C23" s="87">
        <f>SUM(QGDP_KP!I26:L26)</f>
        <v>24</v>
      </c>
      <c r="D23" s="87">
        <f>SUM(QGDP_KP!M26:P26)</f>
        <v>27</v>
      </c>
      <c r="E23" s="87">
        <f>SUM(QGDP_KP!Q26:T26)</f>
        <v>30</v>
      </c>
      <c r="F23" s="87">
        <f>SUM(QGDP_KP!U26:X26)</f>
        <v>35</v>
      </c>
      <c r="G23" s="87">
        <f>SUM(QGDP_KP!Y26:AB26)</f>
        <v>41</v>
      </c>
      <c r="H23" s="87">
        <f>SUM(QGDP_KP!AC26:AF26)</f>
        <v>48</v>
      </c>
      <c r="I23" s="87">
        <f>SUM(QGDP_KP!BG26:BJ26)</f>
        <v>87</v>
      </c>
      <c r="J23" s="87">
        <f>SUM(QGDP_KP!AK26:AN26)</f>
        <v>56</v>
      </c>
      <c r="K23" s="87">
        <f>SUM(QGDP_KP!AO26:AR26)</f>
        <v>60</v>
      </c>
      <c r="L23" s="87">
        <f>SUM(QGDP_KP!AS26:AV26)</f>
        <v>69</v>
      </c>
      <c r="M23" s="87">
        <f>SUM(QGDP_KP!AW26:AZ26)</f>
        <v>74</v>
      </c>
      <c r="N23" s="87">
        <f>SUM(QGDP_KP!BA26:BD26)</f>
        <v>81</v>
      </c>
      <c r="O23" s="87">
        <f>SUM(QGDP_KP!BE26:BH26)</f>
        <v>88</v>
      </c>
      <c r="P23" s="87">
        <f>SUM(QGDP_KP!BJ26:BL26)</f>
        <v>67</v>
      </c>
      <c r="Q23" s="87">
        <f>SUM(QGDP_KP!BM26:BP26)</f>
        <v>99</v>
      </c>
      <c r="R23" s="87">
        <f>SUM(QGDP_KP!BQ26:BT26)</f>
        <v>113</v>
      </c>
      <c r="S23" s="87">
        <f>SUM(QGDP_KP!BU26:BX26)</f>
        <v>122</v>
      </c>
      <c r="T23" s="87">
        <f>SUM(QGDP_KP!BY26:CB26)</f>
        <v>147</v>
      </c>
      <c r="U23" s="87">
        <f>SUM(QGDP_KP!CC26:CE26)</f>
        <v>124</v>
      </c>
    </row>
    <row r="24" spans="1:21" x14ac:dyDescent="0.6">
      <c r="A24" s="180" t="s">
        <v>258</v>
      </c>
      <c r="B24" s="87">
        <f>SUM(QGDP_KP!E27:H27)</f>
        <v>25</v>
      </c>
      <c r="C24" s="87">
        <f>SUM(QGDP_KP!I27:L27)</f>
        <v>26</v>
      </c>
      <c r="D24" s="87">
        <f>SUM(QGDP_KP!M27:P27)</f>
        <v>31</v>
      </c>
      <c r="E24" s="87">
        <f>SUM(QGDP_KP!Q27:T27)</f>
        <v>35</v>
      </c>
      <c r="F24" s="87">
        <f>SUM(QGDP_KP!U27:X27)</f>
        <v>41</v>
      </c>
      <c r="G24" s="87">
        <f>SUM(QGDP_KP!Y27:AB27)</f>
        <v>47</v>
      </c>
      <c r="H24" s="87">
        <f>SUM(QGDP_KP!AC27:AF27)</f>
        <v>51</v>
      </c>
      <c r="I24" s="87">
        <f>SUM(QGDP_KP!BG27:BJ27)</f>
        <v>64</v>
      </c>
      <c r="J24" s="87">
        <f>SUM(QGDP_KP!AK27:AN27)</f>
        <v>56</v>
      </c>
      <c r="K24" s="87">
        <f>SUM(QGDP_KP!AO27:AR27)</f>
        <v>56</v>
      </c>
      <c r="L24" s="87">
        <f>SUM(QGDP_KP!AS27:AV27)</f>
        <v>60</v>
      </c>
      <c r="M24" s="87">
        <f>SUM(QGDP_KP!AW27:AZ27)</f>
        <v>60</v>
      </c>
      <c r="N24" s="87">
        <f>SUM(QGDP_KP!BA27:BD27)</f>
        <v>62</v>
      </c>
      <c r="O24" s="87">
        <f>SUM(QGDP_KP!BE27:BH27)</f>
        <v>63</v>
      </c>
      <c r="P24" s="87">
        <f>SUM(QGDP_KP!BJ27:BL27)</f>
        <v>48</v>
      </c>
      <c r="Q24" s="87">
        <f>SUM(QGDP_KP!BM27:BP27)</f>
        <v>69</v>
      </c>
      <c r="R24" s="87">
        <f>SUM(QGDP_KP!BQ27:BT27)</f>
        <v>72</v>
      </c>
      <c r="S24" s="87">
        <f>SUM(QGDP_KP!BU27:BX27)</f>
        <v>74</v>
      </c>
      <c r="T24" s="87">
        <f>SUM(QGDP_KP!BY27:CB27)</f>
        <v>78</v>
      </c>
      <c r="U24" s="87">
        <f>SUM(QGDP_KP!CC27:CE27)</f>
        <v>61</v>
      </c>
    </row>
    <row r="25" spans="1:21" x14ac:dyDescent="0.6">
      <c r="A25" s="180" t="s">
        <v>260</v>
      </c>
      <c r="B25" s="87">
        <f>SUM(QGDP_KP!E28:H28)</f>
        <v>342</v>
      </c>
      <c r="C25" s="87">
        <f>SUM(QGDP_KP!I28:L28)</f>
        <v>392</v>
      </c>
      <c r="D25" s="87">
        <f>SUM(QGDP_KP!M28:P28)</f>
        <v>503</v>
      </c>
      <c r="E25" s="87">
        <f>SUM(QGDP_KP!Q28:T28)</f>
        <v>510</v>
      </c>
      <c r="F25" s="87">
        <f>SUM(QGDP_KP!U28:X28)</f>
        <v>553</v>
      </c>
      <c r="G25" s="87">
        <f>SUM(QGDP_KP!Y28:AB28)</f>
        <v>686</v>
      </c>
      <c r="H25" s="87">
        <f>SUM(QGDP_KP!AC28:AF28)</f>
        <v>785</v>
      </c>
      <c r="I25" s="87">
        <f>SUM(QGDP_KP!BG28:BJ28)</f>
        <v>1394</v>
      </c>
      <c r="J25" s="87">
        <f>SUM(QGDP_KP!AK28:AN28)</f>
        <v>955</v>
      </c>
      <c r="K25" s="87">
        <f>SUM(QGDP_KP!AO28:AR28)</f>
        <v>1103</v>
      </c>
      <c r="L25" s="87">
        <f>SUM(QGDP_KP!AS28:AV28)</f>
        <v>1156</v>
      </c>
      <c r="M25" s="87">
        <f>SUM(QGDP_KP!AW28:AZ28)</f>
        <v>1043</v>
      </c>
      <c r="N25" s="87">
        <f>SUM(QGDP_KP!BA28:BD28)</f>
        <v>1089</v>
      </c>
      <c r="O25" s="87">
        <f>SUM(QGDP_KP!BE28:BH28)</f>
        <v>1445</v>
      </c>
      <c r="P25" s="87">
        <f>SUM(QGDP_KP!BJ28:BL28)</f>
        <v>1027</v>
      </c>
      <c r="Q25" s="87">
        <f>SUM(QGDP_KP!BM28:BP28)</f>
        <v>1422</v>
      </c>
      <c r="R25" s="87">
        <f>SUM(QGDP_KP!BQ28:BT28)</f>
        <v>1887</v>
      </c>
      <c r="S25" s="87">
        <f>SUM(QGDP_KP!BU28:BX28)</f>
        <v>2039</v>
      </c>
      <c r="T25" s="87">
        <f>SUM(QGDP_KP!BY28:CB28)</f>
        <v>2199</v>
      </c>
      <c r="U25" s="87">
        <f>SUM(QGDP_KP!CC28:CE28)</f>
        <v>1787</v>
      </c>
    </row>
    <row r="26" spans="1:21" x14ac:dyDescent="0.6">
      <c r="A26" s="178" t="s">
        <v>262</v>
      </c>
      <c r="B26" s="83">
        <f>SUM(QGDP_KP!E29:H29)</f>
        <v>2460</v>
      </c>
      <c r="C26" s="83">
        <f>SUM(QGDP_KP!I29:L29)</f>
        <v>2761</v>
      </c>
      <c r="D26" s="83">
        <f>SUM(QGDP_KP!M29:P29)</f>
        <v>3142</v>
      </c>
      <c r="E26" s="83">
        <f>SUM(QGDP_KP!Q29:T29)</f>
        <v>3337</v>
      </c>
      <c r="F26" s="83">
        <f>SUM(QGDP_KP!U29:X29)</f>
        <v>3644</v>
      </c>
      <c r="G26" s="83">
        <f>SUM(QGDP_KP!Y29:AB29)</f>
        <v>3936</v>
      </c>
      <c r="H26" s="83">
        <f>SUM(QGDP_KP!AC29:AF29)</f>
        <v>4392</v>
      </c>
      <c r="I26" s="83">
        <f>SUM(QGDP_KP!BG29:BJ29)</f>
        <v>7134</v>
      </c>
      <c r="J26" s="83">
        <f>SUM(QGDP_KP!AK29:AN29)</f>
        <v>4944</v>
      </c>
      <c r="K26" s="83">
        <f>SUM(QGDP_KP!AO29:AR29)</f>
        <v>5460</v>
      </c>
      <c r="L26" s="83">
        <f>SUM(QGDP_KP!AS29:AV29)</f>
        <v>5850</v>
      </c>
      <c r="M26" s="83">
        <f>SUM(QGDP_KP!AW29:AZ29)</f>
        <v>6177</v>
      </c>
      <c r="N26" s="83">
        <f>SUM(QGDP_KP!BA29:BD29)</f>
        <v>6776</v>
      </c>
      <c r="O26" s="83">
        <f>SUM(QGDP_KP!BE29:BH29)</f>
        <v>7337</v>
      </c>
      <c r="P26" s="83">
        <f>SUM(QGDP_KP!BJ29:BL29)</f>
        <v>5114</v>
      </c>
      <c r="Q26" s="83">
        <f>SUM(QGDP_KP!BM29:BP29)</f>
        <v>7768</v>
      </c>
      <c r="R26" s="83">
        <f>SUM(QGDP_KP!BQ29:BT29)</f>
        <v>8567</v>
      </c>
      <c r="S26" s="83">
        <f>SUM(QGDP_KP!BU29:BX29)</f>
        <v>9562</v>
      </c>
      <c r="T26" s="83">
        <f>SUM(QGDP_KP!BY29:CB29)</f>
        <v>10395</v>
      </c>
      <c r="U26" s="83">
        <f>SUM(QGDP_KP!CC29:CE29)</f>
        <v>8262</v>
      </c>
    </row>
    <row r="27" spans="1:21" x14ac:dyDescent="0.6">
      <c r="A27" s="178" t="s">
        <v>264</v>
      </c>
      <c r="B27" s="83">
        <f>SUM(QGDP_KP!E30:H30)</f>
        <v>672</v>
      </c>
      <c r="C27" s="83">
        <f>SUM(QGDP_KP!I30:L30)</f>
        <v>773</v>
      </c>
      <c r="D27" s="83">
        <f>SUM(QGDP_KP!M30:P30)</f>
        <v>931</v>
      </c>
      <c r="E27" s="83">
        <f>SUM(QGDP_KP!Q30:T30)</f>
        <v>982</v>
      </c>
      <c r="F27" s="83">
        <f>SUM(QGDP_KP!U30:X30)</f>
        <v>1071</v>
      </c>
      <c r="G27" s="83">
        <f>SUM(QGDP_KP!Y30:AB30)</f>
        <v>1144</v>
      </c>
      <c r="H27" s="83">
        <f>SUM(QGDP_KP!AC30:AF30)</f>
        <v>1315</v>
      </c>
      <c r="I27" s="83">
        <f>SUM(QGDP_KP!BG30:BJ30)</f>
        <v>2401</v>
      </c>
      <c r="J27" s="83">
        <f>SUM(QGDP_KP!AK30:AN30)</f>
        <v>1486</v>
      </c>
      <c r="K27" s="83">
        <f>SUM(QGDP_KP!AO30:AR30)</f>
        <v>1657</v>
      </c>
      <c r="L27" s="83">
        <f>SUM(QGDP_KP!AS30:AV30)</f>
        <v>1769</v>
      </c>
      <c r="M27" s="83">
        <f>SUM(QGDP_KP!AW30:AZ30)</f>
        <v>1886</v>
      </c>
      <c r="N27" s="83">
        <f>SUM(QGDP_KP!BA30:BD30)</f>
        <v>2227</v>
      </c>
      <c r="O27" s="83">
        <f>SUM(QGDP_KP!BE30:BH30)</f>
        <v>2542</v>
      </c>
      <c r="P27" s="83">
        <f>SUM(QGDP_KP!BJ30:BL30)</f>
        <v>1662</v>
      </c>
      <c r="Q27" s="83">
        <f>SUM(QGDP_KP!BM30:BP30)</f>
        <v>2565</v>
      </c>
      <c r="R27" s="83">
        <f>SUM(QGDP_KP!BQ30:BT30)</f>
        <v>2905</v>
      </c>
      <c r="S27" s="83">
        <f>SUM(QGDP_KP!BU30:BX30)</f>
        <v>3306</v>
      </c>
      <c r="T27" s="83">
        <f>SUM(QGDP_KP!BY30:CB30)</f>
        <v>3594</v>
      </c>
      <c r="U27" s="83">
        <f>SUM(QGDP_KP!CC30:CE30)</f>
        <v>2925</v>
      </c>
    </row>
    <row r="28" spans="1:21" x14ac:dyDescent="0.6">
      <c r="A28" s="180" t="s">
        <v>266</v>
      </c>
      <c r="B28" s="87">
        <f>SUM(QGDP_KP!E31:H31)</f>
        <v>23</v>
      </c>
      <c r="C28" s="87">
        <f>SUM(QGDP_KP!I31:L31)</f>
        <v>27</v>
      </c>
      <c r="D28" s="87">
        <f>SUM(QGDP_KP!M31:P31)</f>
        <v>33</v>
      </c>
      <c r="E28" s="87">
        <f>SUM(QGDP_KP!Q31:T31)</f>
        <v>32</v>
      </c>
      <c r="F28" s="87">
        <f>SUM(QGDP_KP!U31:X31)</f>
        <v>37</v>
      </c>
      <c r="G28" s="87">
        <f>SUM(QGDP_KP!Y31:AB31)</f>
        <v>40</v>
      </c>
      <c r="H28" s="87">
        <f>SUM(QGDP_KP!AC31:AF31)</f>
        <v>42</v>
      </c>
      <c r="I28" s="87">
        <f>SUM(QGDP_KP!BG31:BJ31)</f>
        <v>56</v>
      </c>
      <c r="J28" s="87">
        <f>SUM(QGDP_KP!AK31:AN31)</f>
        <v>48</v>
      </c>
      <c r="K28" s="87">
        <f>SUM(QGDP_KP!AO31:AR31)</f>
        <v>48</v>
      </c>
      <c r="L28" s="87">
        <f>SUM(QGDP_KP!AS31:AV31)</f>
        <v>52</v>
      </c>
      <c r="M28" s="87">
        <f>SUM(QGDP_KP!AW31:AZ31)</f>
        <v>56</v>
      </c>
      <c r="N28" s="87">
        <f>SUM(QGDP_KP!BA31:BD31)</f>
        <v>59</v>
      </c>
      <c r="O28" s="87">
        <f>SUM(QGDP_KP!BE31:BH31)</f>
        <v>63</v>
      </c>
      <c r="P28" s="87">
        <f>SUM(QGDP_KP!BJ31:BL31)</f>
        <v>46</v>
      </c>
      <c r="Q28" s="87">
        <f>SUM(QGDP_KP!BM31:BP31)</f>
        <v>87</v>
      </c>
      <c r="R28" s="87">
        <f>SUM(QGDP_KP!BQ31:BT31)</f>
        <v>98</v>
      </c>
      <c r="S28" s="87">
        <f>SUM(QGDP_KP!BU31:BX31)</f>
        <v>113</v>
      </c>
      <c r="T28" s="87">
        <f>SUM(QGDP_KP!BY31:CB31)</f>
        <v>129</v>
      </c>
      <c r="U28" s="87">
        <f>SUM(QGDP_KP!CC31:CE31)</f>
        <v>122</v>
      </c>
    </row>
    <row r="29" spans="1:21" x14ac:dyDescent="0.6">
      <c r="A29" s="180" t="s">
        <v>268</v>
      </c>
      <c r="B29" s="87">
        <f>SUM(QGDP_KP!E32:H32)</f>
        <v>343</v>
      </c>
      <c r="C29" s="87">
        <f>SUM(QGDP_KP!I32:L32)</f>
        <v>395</v>
      </c>
      <c r="D29" s="87">
        <f>SUM(QGDP_KP!M32:P32)</f>
        <v>471</v>
      </c>
      <c r="E29" s="87">
        <f>SUM(QGDP_KP!Q32:T32)</f>
        <v>490</v>
      </c>
      <c r="F29" s="87">
        <f>SUM(QGDP_KP!U32:X32)</f>
        <v>534</v>
      </c>
      <c r="G29" s="87">
        <f>SUM(QGDP_KP!Y32:AB32)</f>
        <v>576</v>
      </c>
      <c r="H29" s="87">
        <f>SUM(QGDP_KP!AC32:AF32)</f>
        <v>658</v>
      </c>
      <c r="I29" s="87">
        <f>SUM(QGDP_KP!BG32:BJ32)</f>
        <v>1220</v>
      </c>
      <c r="J29" s="87">
        <f>SUM(QGDP_KP!AK32:AN32)</f>
        <v>754</v>
      </c>
      <c r="K29" s="87">
        <f>SUM(QGDP_KP!AO32:AR32)</f>
        <v>850</v>
      </c>
      <c r="L29" s="87">
        <f>SUM(QGDP_KP!AS32:AV32)</f>
        <v>902</v>
      </c>
      <c r="M29" s="87">
        <f>SUM(QGDP_KP!AW32:AZ32)</f>
        <v>919</v>
      </c>
      <c r="N29" s="87">
        <f>SUM(QGDP_KP!BA32:BD32)</f>
        <v>1086</v>
      </c>
      <c r="O29" s="87">
        <f>SUM(QGDP_KP!BE32:BH32)</f>
        <v>1257</v>
      </c>
      <c r="P29" s="87">
        <f>SUM(QGDP_KP!BJ32:BL32)</f>
        <v>901</v>
      </c>
      <c r="Q29" s="87">
        <f>SUM(QGDP_KP!BM32:BP32)</f>
        <v>1336</v>
      </c>
      <c r="R29" s="87">
        <f>SUM(QGDP_KP!BQ32:BT32)</f>
        <v>1447</v>
      </c>
      <c r="S29" s="87">
        <f>SUM(QGDP_KP!BU32:BX32)</f>
        <v>1643</v>
      </c>
      <c r="T29" s="87">
        <f>SUM(QGDP_KP!BY32:CB32)</f>
        <v>1822</v>
      </c>
      <c r="U29" s="87">
        <f>SUM(QGDP_KP!CC32:CE32)</f>
        <v>1528</v>
      </c>
    </row>
    <row r="30" spans="1:21" x14ac:dyDescent="0.6">
      <c r="A30" s="180" t="s">
        <v>270</v>
      </c>
      <c r="B30" s="87">
        <f>SUM(QGDP_KP!E33:H33)</f>
        <v>308</v>
      </c>
      <c r="C30" s="87">
        <f>SUM(QGDP_KP!I33:L33)</f>
        <v>354</v>
      </c>
      <c r="D30" s="87">
        <f>SUM(QGDP_KP!M33:P33)</f>
        <v>437</v>
      </c>
      <c r="E30" s="87">
        <f>SUM(QGDP_KP!Q33:T33)</f>
        <v>478</v>
      </c>
      <c r="F30" s="87">
        <f>SUM(QGDP_KP!U33:X33)</f>
        <v>520</v>
      </c>
      <c r="G30" s="87">
        <f>SUM(QGDP_KP!Y33:AB33)</f>
        <v>544</v>
      </c>
      <c r="H30" s="87">
        <f>SUM(QGDP_KP!AC33:AF33)</f>
        <v>646</v>
      </c>
      <c r="I30" s="87">
        <f>SUM(QGDP_KP!BG33:BJ33)</f>
        <v>1189</v>
      </c>
      <c r="J30" s="87">
        <f>SUM(QGDP_KP!AK33:AN33)</f>
        <v>718</v>
      </c>
      <c r="K30" s="87">
        <f>SUM(QGDP_KP!AO33:AR33)</f>
        <v>788</v>
      </c>
      <c r="L30" s="87">
        <f>SUM(QGDP_KP!AS33:AV33)</f>
        <v>850</v>
      </c>
      <c r="M30" s="87">
        <f>SUM(QGDP_KP!AW33:AZ33)</f>
        <v>979</v>
      </c>
      <c r="N30" s="87">
        <f>SUM(QGDP_KP!BA33:BD33)</f>
        <v>1172</v>
      </c>
      <c r="O30" s="87">
        <f>SUM(QGDP_KP!BE33:BH33)</f>
        <v>1316</v>
      </c>
      <c r="P30" s="87">
        <f>SUM(QGDP_KP!BJ33:BL33)</f>
        <v>707</v>
      </c>
      <c r="Q30" s="87">
        <f>SUM(QGDP_KP!BM33:BP33)</f>
        <v>1143</v>
      </c>
      <c r="R30" s="87">
        <f>SUM(QGDP_KP!BQ33:BT33)</f>
        <v>1358</v>
      </c>
      <c r="S30" s="87">
        <f>SUM(QGDP_KP!BU33:BX33)</f>
        <v>1550</v>
      </c>
      <c r="T30" s="87">
        <f>SUM(QGDP_KP!BY33:CB33)</f>
        <v>1644</v>
      </c>
      <c r="U30" s="87">
        <f>SUM(QGDP_KP!CC33:CE33)</f>
        <v>1275</v>
      </c>
    </row>
    <row r="31" spans="1:21" x14ac:dyDescent="0.6">
      <c r="A31" s="178" t="s">
        <v>272</v>
      </c>
      <c r="B31" s="83">
        <f>SUM(QGDP_KP!E34:H34)</f>
        <v>1803</v>
      </c>
      <c r="C31" s="83">
        <f>SUM(QGDP_KP!I34:L34)</f>
        <v>1997</v>
      </c>
      <c r="D31" s="83">
        <f>SUM(QGDP_KP!M34:P34)</f>
        <v>2194</v>
      </c>
      <c r="E31" s="83">
        <f>SUM(QGDP_KP!Q34:T34)</f>
        <v>2342</v>
      </c>
      <c r="F31" s="83">
        <f>SUM(QGDP_KP!U34:X34)</f>
        <v>2560</v>
      </c>
      <c r="G31" s="83">
        <f>SUM(QGDP_KP!Y34:AB34)</f>
        <v>2783</v>
      </c>
      <c r="H31" s="83">
        <f>SUM(QGDP_KP!AC34:AF34)</f>
        <v>3061</v>
      </c>
      <c r="I31" s="83">
        <f>SUM(QGDP_KP!BG34:BJ34)</f>
        <v>4748</v>
      </c>
      <c r="J31" s="83">
        <f>SUM(QGDP_KP!AK34:AN34)</f>
        <v>3439</v>
      </c>
      <c r="K31" s="83">
        <f>SUM(QGDP_KP!AO34:AR34)</f>
        <v>3785</v>
      </c>
      <c r="L31" s="83">
        <f>SUM(QGDP_KP!AS34:AV34)</f>
        <v>4062</v>
      </c>
      <c r="M31" s="83">
        <f>SUM(QGDP_KP!AW34:AZ34)</f>
        <v>4273</v>
      </c>
      <c r="N31" s="83">
        <f>SUM(QGDP_KP!BA34:BD34)</f>
        <v>4554</v>
      </c>
      <c r="O31" s="83">
        <f>SUM(QGDP_KP!BE34:BH34)</f>
        <v>4822</v>
      </c>
      <c r="P31" s="83">
        <f>SUM(QGDP_KP!BJ34:BL34)</f>
        <v>3453</v>
      </c>
      <c r="Q31" s="83">
        <f>SUM(QGDP_KP!BM34:BP34)</f>
        <v>5203</v>
      </c>
      <c r="R31" s="83">
        <f>SUM(QGDP_KP!BQ34:BT34)</f>
        <v>5662</v>
      </c>
      <c r="S31" s="83">
        <f>SUM(QGDP_KP!BU34:BX34)</f>
        <v>6258</v>
      </c>
      <c r="T31" s="83">
        <f>SUM(QGDP_KP!BY34:CB34)</f>
        <v>6802</v>
      </c>
      <c r="U31" s="83">
        <f>SUM(QGDP_KP!CC34:CE34)</f>
        <v>5337</v>
      </c>
    </row>
    <row r="32" spans="1:21" x14ac:dyDescent="0.6">
      <c r="A32" s="180" t="s">
        <v>274</v>
      </c>
      <c r="B32" s="87">
        <f>SUM(QGDP_KP!E35:H35)</f>
        <v>279</v>
      </c>
      <c r="C32" s="87">
        <f>SUM(QGDP_KP!I35:L35)</f>
        <v>289</v>
      </c>
      <c r="D32" s="87">
        <f>SUM(QGDP_KP!M35:P35)</f>
        <v>304</v>
      </c>
      <c r="E32" s="87">
        <f>SUM(QGDP_KP!Q35:T35)</f>
        <v>286</v>
      </c>
      <c r="F32" s="87">
        <f>SUM(QGDP_KP!U35:X35)</f>
        <v>309</v>
      </c>
      <c r="G32" s="87">
        <f>SUM(QGDP_KP!Y35:AB35)</f>
        <v>321</v>
      </c>
      <c r="H32" s="87">
        <f>SUM(QGDP_KP!AC35:AF35)</f>
        <v>340</v>
      </c>
      <c r="I32" s="87">
        <f>SUM(QGDP_KP!BG35:BJ35)</f>
        <v>520</v>
      </c>
      <c r="J32" s="87">
        <f>SUM(QGDP_KP!AK35:AN35)</f>
        <v>394</v>
      </c>
      <c r="K32" s="87">
        <f>SUM(QGDP_KP!AO35:AR35)</f>
        <v>431</v>
      </c>
      <c r="L32" s="87">
        <f>SUM(QGDP_KP!AS35:AV35)</f>
        <v>480</v>
      </c>
      <c r="M32" s="87">
        <f>SUM(QGDP_KP!AW35:AZ35)</f>
        <v>515</v>
      </c>
      <c r="N32" s="87">
        <f>SUM(QGDP_KP!BA35:BD35)</f>
        <v>553</v>
      </c>
      <c r="O32" s="87">
        <f>SUM(QGDP_KP!BE35:BH35)</f>
        <v>606</v>
      </c>
      <c r="P32" s="87">
        <f>SUM(QGDP_KP!BJ35:BL35)</f>
        <v>216</v>
      </c>
      <c r="Q32" s="87">
        <f>SUM(QGDP_KP!BM35:BP35)</f>
        <v>437</v>
      </c>
      <c r="R32" s="87">
        <f>SUM(QGDP_KP!BQ35:BT35)</f>
        <v>534</v>
      </c>
      <c r="S32" s="87">
        <f>SUM(QGDP_KP!BU35:BX35)</f>
        <v>612</v>
      </c>
      <c r="T32" s="87">
        <f>SUM(QGDP_KP!BY35:CB35)</f>
        <v>681</v>
      </c>
      <c r="U32" s="87">
        <f>SUM(QGDP_KP!CC35:CE35)</f>
        <v>494</v>
      </c>
    </row>
    <row r="33" spans="1:21" x14ac:dyDescent="0.6">
      <c r="A33" s="180" t="s">
        <v>276</v>
      </c>
      <c r="B33" s="87">
        <f>SUM(QGDP_KP!E36:H36)</f>
        <v>32</v>
      </c>
      <c r="C33" s="87">
        <f>SUM(QGDP_KP!I36:L36)</f>
        <v>38</v>
      </c>
      <c r="D33" s="87">
        <f>SUM(QGDP_KP!M36:P36)</f>
        <v>46</v>
      </c>
      <c r="E33" s="87">
        <f>SUM(QGDP_KP!Q36:T36)</f>
        <v>52</v>
      </c>
      <c r="F33" s="87">
        <f>SUM(QGDP_KP!U36:X36)</f>
        <v>55</v>
      </c>
      <c r="G33" s="87">
        <f>SUM(QGDP_KP!Y36:AB36)</f>
        <v>57</v>
      </c>
      <c r="H33" s="87">
        <f>SUM(QGDP_KP!AC36:AF36)</f>
        <v>76</v>
      </c>
      <c r="I33" s="87">
        <f>SUM(QGDP_KP!BG36:BJ36)</f>
        <v>164</v>
      </c>
      <c r="J33" s="87">
        <f>SUM(QGDP_KP!AK36:AN36)</f>
        <v>81</v>
      </c>
      <c r="K33" s="87">
        <f>SUM(QGDP_KP!AO36:AR36)</f>
        <v>96</v>
      </c>
      <c r="L33" s="87">
        <f>SUM(QGDP_KP!AS36:AV36)</f>
        <v>104</v>
      </c>
      <c r="M33" s="87">
        <f>SUM(QGDP_KP!AW36:AZ36)</f>
        <v>115</v>
      </c>
      <c r="N33" s="87">
        <f>SUM(QGDP_KP!BA36:BD36)</f>
        <v>130</v>
      </c>
      <c r="O33" s="87">
        <f>SUM(QGDP_KP!BE36:BH36)</f>
        <v>143</v>
      </c>
      <c r="P33" s="87">
        <f>SUM(QGDP_KP!BJ36:BL36)</f>
        <v>144</v>
      </c>
      <c r="Q33" s="87">
        <f>SUM(QGDP_KP!BM36:BP36)</f>
        <v>225</v>
      </c>
      <c r="R33" s="87">
        <f>SUM(QGDP_KP!BQ36:BT36)</f>
        <v>272</v>
      </c>
      <c r="S33" s="87">
        <f>SUM(QGDP_KP!BU36:BX36)</f>
        <v>360</v>
      </c>
      <c r="T33" s="87">
        <f>SUM(QGDP_KP!BY36:CB36)</f>
        <v>433</v>
      </c>
      <c r="U33" s="87">
        <f>SUM(QGDP_KP!CC36:CE36)</f>
        <v>362</v>
      </c>
    </row>
    <row r="34" spans="1:21" x14ac:dyDescent="0.6">
      <c r="A34" s="180" t="s">
        <v>278</v>
      </c>
      <c r="B34" s="87">
        <f>SUM(QGDP_KP!E37:H37)</f>
        <v>126</v>
      </c>
      <c r="C34" s="87">
        <f>SUM(QGDP_KP!I37:L37)</f>
        <v>141</v>
      </c>
      <c r="D34" s="87">
        <f>SUM(QGDP_KP!M37:P37)</f>
        <v>143</v>
      </c>
      <c r="E34" s="87">
        <f>SUM(QGDP_KP!Q37:T37)</f>
        <v>137</v>
      </c>
      <c r="F34" s="87">
        <f>SUM(QGDP_KP!U37:X37)</f>
        <v>170</v>
      </c>
      <c r="G34" s="87">
        <f>SUM(QGDP_KP!Y37:AB37)</f>
        <v>205</v>
      </c>
      <c r="H34" s="87">
        <f>SUM(QGDP_KP!AC37:AF37)</f>
        <v>230</v>
      </c>
      <c r="I34" s="87">
        <f>SUM(QGDP_KP!BG37:BJ37)</f>
        <v>375</v>
      </c>
      <c r="J34" s="87">
        <f>SUM(QGDP_KP!AK37:AN37)</f>
        <v>262</v>
      </c>
      <c r="K34" s="87">
        <f>SUM(QGDP_KP!AO37:AR37)</f>
        <v>294</v>
      </c>
      <c r="L34" s="87">
        <f>SUM(QGDP_KP!AS37:AV37)</f>
        <v>304</v>
      </c>
      <c r="M34" s="87">
        <f>SUM(QGDP_KP!AW37:AZ37)</f>
        <v>324</v>
      </c>
      <c r="N34" s="87">
        <f>SUM(QGDP_KP!BA37:BD37)</f>
        <v>357</v>
      </c>
      <c r="O34" s="87">
        <f>SUM(QGDP_KP!BE37:BH37)</f>
        <v>388</v>
      </c>
      <c r="P34" s="87">
        <f>SUM(QGDP_KP!BJ37:BL37)</f>
        <v>288</v>
      </c>
      <c r="Q34" s="87">
        <f>SUM(QGDP_KP!BM37:BP37)</f>
        <v>410</v>
      </c>
      <c r="R34" s="87">
        <f>SUM(QGDP_KP!BQ37:BT37)</f>
        <v>455</v>
      </c>
      <c r="S34" s="87">
        <f>SUM(QGDP_KP!BU37:BX37)</f>
        <v>446</v>
      </c>
      <c r="T34" s="87">
        <f>SUM(QGDP_KP!BY37:CB37)</f>
        <v>498</v>
      </c>
      <c r="U34" s="87">
        <f>SUM(QGDP_KP!CC37:CE37)</f>
        <v>401</v>
      </c>
    </row>
    <row r="35" spans="1:21" x14ac:dyDescent="0.6">
      <c r="A35" s="180" t="s">
        <v>280</v>
      </c>
      <c r="B35" s="87">
        <f>SUM(QGDP_KP!E38:H38)</f>
        <v>620</v>
      </c>
      <c r="C35" s="87">
        <f>SUM(QGDP_KP!I38:L38)</f>
        <v>687</v>
      </c>
      <c r="D35" s="87">
        <f>SUM(QGDP_KP!M38:P38)</f>
        <v>794</v>
      </c>
      <c r="E35" s="87">
        <f>SUM(QGDP_KP!Q38:T38)</f>
        <v>858</v>
      </c>
      <c r="F35" s="87">
        <f>SUM(QGDP_KP!U38:X38)</f>
        <v>867</v>
      </c>
      <c r="G35" s="87">
        <f>SUM(QGDP_KP!Y38:AB38)</f>
        <v>865</v>
      </c>
      <c r="H35" s="87">
        <f>SUM(QGDP_KP!AC38:AF38)</f>
        <v>862</v>
      </c>
      <c r="I35" s="87">
        <f>SUM(QGDP_KP!BG38:BJ38)</f>
        <v>1164</v>
      </c>
      <c r="J35" s="87">
        <f>SUM(QGDP_KP!AK38:AN38)</f>
        <v>918</v>
      </c>
      <c r="K35" s="87">
        <f>SUM(QGDP_KP!AO38:AR38)</f>
        <v>959</v>
      </c>
      <c r="L35" s="87">
        <f>SUM(QGDP_KP!AS38:AV38)</f>
        <v>1019</v>
      </c>
      <c r="M35" s="87">
        <f>SUM(QGDP_KP!AW38:AZ38)</f>
        <v>1090</v>
      </c>
      <c r="N35" s="87">
        <f>SUM(QGDP_KP!BA38:BD38)</f>
        <v>1143</v>
      </c>
      <c r="O35" s="87">
        <f>SUM(QGDP_KP!BE38:BH38)</f>
        <v>1187</v>
      </c>
      <c r="P35" s="87">
        <f>SUM(QGDP_KP!BJ38:BL38)</f>
        <v>896</v>
      </c>
      <c r="Q35" s="87">
        <f>SUM(QGDP_KP!BM38:BP38)</f>
        <v>1239</v>
      </c>
      <c r="R35" s="87">
        <f>SUM(QGDP_KP!BQ38:BT38)</f>
        <v>1257</v>
      </c>
      <c r="S35" s="87">
        <f>SUM(QGDP_KP!BU38:BX38)</f>
        <v>1317</v>
      </c>
      <c r="T35" s="87">
        <f>SUM(QGDP_KP!BY38:CB38)</f>
        <v>1372</v>
      </c>
      <c r="U35" s="87">
        <f>SUM(QGDP_KP!CC38:CE38)</f>
        <v>1015</v>
      </c>
    </row>
    <row r="36" spans="1:21" x14ac:dyDescent="0.6">
      <c r="A36" s="180" t="s">
        <v>282</v>
      </c>
      <c r="B36" s="87">
        <f>SUM(QGDP_KP!E39:H39)</f>
        <v>168</v>
      </c>
      <c r="C36" s="87">
        <f>SUM(QGDP_KP!I39:L39)</f>
        <v>185</v>
      </c>
      <c r="D36" s="87">
        <f>SUM(QGDP_KP!M39:P39)</f>
        <v>214</v>
      </c>
      <c r="E36" s="87">
        <f>SUM(QGDP_KP!Q39:T39)</f>
        <v>232</v>
      </c>
      <c r="F36" s="87">
        <f>SUM(QGDP_KP!U39:X39)</f>
        <v>234</v>
      </c>
      <c r="G36" s="87">
        <f>SUM(QGDP_KP!Y39:AB39)</f>
        <v>233</v>
      </c>
      <c r="H36" s="87">
        <f>SUM(QGDP_KP!AC39:AF39)</f>
        <v>248</v>
      </c>
      <c r="I36" s="87">
        <f>SUM(QGDP_KP!BG39:BJ39)</f>
        <v>368</v>
      </c>
      <c r="J36" s="87">
        <f>SUM(QGDP_KP!AK39:AN39)</f>
        <v>237</v>
      </c>
      <c r="K36" s="87">
        <f>SUM(QGDP_KP!AO39:AR39)</f>
        <v>273</v>
      </c>
      <c r="L36" s="87">
        <f>SUM(QGDP_KP!AS39:AV39)</f>
        <v>288</v>
      </c>
      <c r="M36" s="87">
        <f>SUM(QGDP_KP!AW39:AZ39)</f>
        <v>310</v>
      </c>
      <c r="N36" s="87">
        <f>SUM(QGDP_KP!BA39:BD39)</f>
        <v>341</v>
      </c>
      <c r="O36" s="87">
        <f>SUM(QGDP_KP!BE39:BH39)</f>
        <v>375</v>
      </c>
      <c r="P36" s="87">
        <f>SUM(QGDP_KP!BJ39:BL39)</f>
        <v>282</v>
      </c>
      <c r="Q36" s="87">
        <f>SUM(QGDP_KP!BM39:BP39)</f>
        <v>430</v>
      </c>
      <c r="R36" s="87">
        <f>SUM(QGDP_KP!BQ39:BT39)</f>
        <v>467</v>
      </c>
      <c r="S36" s="87">
        <f>SUM(QGDP_KP!BU39:BX39)</f>
        <v>515</v>
      </c>
      <c r="T36" s="87">
        <f>SUM(QGDP_KP!BY39:CB39)</f>
        <v>588</v>
      </c>
      <c r="U36" s="87">
        <f>SUM(QGDP_KP!CC39:CE39)</f>
        <v>505</v>
      </c>
    </row>
    <row r="37" spans="1:21" x14ac:dyDescent="0.6">
      <c r="A37" s="180" t="s">
        <v>284</v>
      </c>
      <c r="B37" s="87">
        <f>SUM(QGDP_KP!E40:H40)</f>
        <v>217</v>
      </c>
      <c r="C37" s="87">
        <f>SUM(QGDP_KP!I40:L40)</f>
        <v>238</v>
      </c>
      <c r="D37" s="87">
        <f>SUM(QGDP_KP!M40:P40)</f>
        <v>276</v>
      </c>
      <c r="E37" s="87">
        <f>SUM(QGDP_KP!Q40:T40)</f>
        <v>300</v>
      </c>
      <c r="F37" s="87">
        <f>SUM(QGDP_KP!U40:X40)</f>
        <v>301</v>
      </c>
      <c r="G37" s="87">
        <f>SUM(QGDP_KP!Y40:AB40)</f>
        <v>301</v>
      </c>
      <c r="H37" s="87">
        <f>SUM(QGDP_KP!AC40:AF40)</f>
        <v>320</v>
      </c>
      <c r="I37" s="87">
        <f>SUM(QGDP_KP!BG40:BJ40)</f>
        <v>542</v>
      </c>
      <c r="J37" s="87">
        <f>SUM(QGDP_KP!AK40:AN40)</f>
        <v>381</v>
      </c>
      <c r="K37" s="87">
        <f>SUM(QGDP_KP!AO40:AR40)</f>
        <v>443</v>
      </c>
      <c r="L37" s="87">
        <f>SUM(QGDP_KP!AS40:AV40)</f>
        <v>486</v>
      </c>
      <c r="M37" s="87">
        <f>SUM(QGDP_KP!AW40:AZ40)</f>
        <v>505</v>
      </c>
      <c r="N37" s="87">
        <f>SUM(QGDP_KP!BA40:BD40)</f>
        <v>528</v>
      </c>
      <c r="O37" s="87">
        <f>SUM(QGDP_KP!BE40:BH40)</f>
        <v>552</v>
      </c>
      <c r="P37" s="87">
        <f>SUM(QGDP_KP!BJ40:BL40)</f>
        <v>381</v>
      </c>
      <c r="Q37" s="87">
        <f>SUM(QGDP_KP!BM40:BP40)</f>
        <v>578</v>
      </c>
      <c r="R37" s="87">
        <f>SUM(QGDP_KP!BQ40:BT40)</f>
        <v>653</v>
      </c>
      <c r="S37" s="87">
        <f>SUM(QGDP_KP!BU40:BX40)</f>
        <v>737</v>
      </c>
      <c r="T37" s="87">
        <f>SUM(QGDP_KP!BY40:CB40)</f>
        <v>840</v>
      </c>
      <c r="U37" s="87">
        <f>SUM(QGDP_KP!CC40:CE40)</f>
        <v>663</v>
      </c>
    </row>
    <row r="38" spans="1:21" x14ac:dyDescent="0.6">
      <c r="A38" s="180" t="s">
        <v>286</v>
      </c>
      <c r="B38" s="87">
        <f>SUM(QGDP_KP!E41:H41)</f>
        <v>195</v>
      </c>
      <c r="C38" s="87">
        <f>SUM(QGDP_KP!I41:L41)</f>
        <v>205</v>
      </c>
      <c r="D38" s="87">
        <f>SUM(QGDP_KP!M41:P41)</f>
        <v>215</v>
      </c>
      <c r="E38" s="87">
        <f>SUM(QGDP_KP!Q41:T41)</f>
        <v>231</v>
      </c>
      <c r="F38" s="87">
        <f>SUM(QGDP_KP!U41:X41)</f>
        <v>265</v>
      </c>
      <c r="G38" s="87">
        <f>SUM(QGDP_KP!Y41:AB41)</f>
        <v>304</v>
      </c>
      <c r="H38" s="87">
        <f>SUM(QGDP_KP!AC41:AF41)</f>
        <v>370</v>
      </c>
      <c r="I38" s="87">
        <f>SUM(QGDP_KP!BG41:BJ41)</f>
        <v>593</v>
      </c>
      <c r="J38" s="87">
        <f>SUM(QGDP_KP!AK41:AN41)</f>
        <v>433</v>
      </c>
      <c r="K38" s="87">
        <f>SUM(QGDP_KP!AO41:AR41)</f>
        <v>455</v>
      </c>
      <c r="L38" s="87">
        <f>SUM(QGDP_KP!AS41:AV41)</f>
        <v>505</v>
      </c>
      <c r="M38" s="87">
        <f>SUM(QGDP_KP!AW41:AZ41)</f>
        <v>517</v>
      </c>
      <c r="N38" s="87">
        <f>SUM(QGDP_KP!BA41:BD41)</f>
        <v>553</v>
      </c>
      <c r="O38" s="87">
        <f>SUM(QGDP_KP!BE41:BH41)</f>
        <v>579</v>
      </c>
      <c r="P38" s="87">
        <f>SUM(QGDP_KP!BJ41:BL41)</f>
        <v>444</v>
      </c>
      <c r="Q38" s="87">
        <f>SUM(QGDP_KP!BM41:BP41)</f>
        <v>615</v>
      </c>
      <c r="R38" s="87">
        <f>SUM(QGDP_KP!BQ41:BT41)</f>
        <v>676</v>
      </c>
      <c r="S38" s="87">
        <f>SUM(QGDP_KP!BU41:BX41)</f>
        <v>748</v>
      </c>
      <c r="T38" s="87">
        <f>SUM(QGDP_KP!BY41:CB41)</f>
        <v>825</v>
      </c>
      <c r="U38" s="87">
        <f>SUM(QGDP_KP!CC41:CE41)</f>
        <v>658</v>
      </c>
    </row>
    <row r="39" spans="1:21" x14ac:dyDescent="0.6">
      <c r="A39" s="180" t="s">
        <v>288</v>
      </c>
      <c r="B39" s="87">
        <f>SUM(QGDP_KP!E42:H42)</f>
        <v>240</v>
      </c>
      <c r="C39" s="87">
        <f>SUM(QGDP_KP!I42:L42)</f>
        <v>276</v>
      </c>
      <c r="D39" s="87">
        <f>SUM(QGDP_KP!M42:P42)</f>
        <v>292</v>
      </c>
      <c r="E39" s="87">
        <f>SUM(QGDP_KP!Q42:T42)</f>
        <v>340</v>
      </c>
      <c r="F39" s="87">
        <f>SUM(QGDP_KP!U42:X42)</f>
        <v>368</v>
      </c>
      <c r="G39" s="87">
        <f>SUM(QGDP_KP!Y42:AB42)</f>
        <v>436</v>
      </c>
      <c r="H39" s="87">
        <f>SUM(QGDP_KP!AC42:AF42)</f>
        <v>465</v>
      </c>
      <c r="I39" s="87">
        <f>SUM(QGDP_KP!BG42:BJ42)</f>
        <v>473</v>
      </c>
      <c r="J39" s="87">
        <f>SUM(QGDP_KP!AK42:AN42)</f>
        <v>504</v>
      </c>
      <c r="K39" s="87">
        <f>SUM(QGDP_KP!AO42:AR42)</f>
        <v>512</v>
      </c>
      <c r="L39" s="87">
        <f>SUM(QGDP_KP!AS42:AV42)</f>
        <v>528</v>
      </c>
      <c r="M39" s="87">
        <f>SUM(QGDP_KP!AW42:AZ42)</f>
        <v>540</v>
      </c>
      <c r="N39" s="87">
        <f>SUM(QGDP_KP!BA42:BD42)</f>
        <v>560</v>
      </c>
      <c r="O39" s="87">
        <f>SUM(QGDP_KP!BE42:BH42)</f>
        <v>572</v>
      </c>
      <c r="P39" s="87">
        <f>SUM(QGDP_KP!BJ42:BL42)</f>
        <v>219</v>
      </c>
      <c r="Q39" s="87">
        <f>SUM(QGDP_KP!BM42:BP42)</f>
        <v>588</v>
      </c>
      <c r="R39" s="87">
        <f>SUM(QGDP_KP!BQ42:BT42)</f>
        <v>620</v>
      </c>
      <c r="S39" s="87">
        <f>SUM(QGDP_KP!BU42:BX42)</f>
        <v>648</v>
      </c>
      <c r="T39" s="87">
        <f>SUM(QGDP_KP!BY42:CB42)</f>
        <v>676</v>
      </c>
      <c r="U39" s="87">
        <f>SUM(QGDP_KP!CC42:CE42)</f>
        <v>534</v>
      </c>
    </row>
    <row r="40" spans="1:21" x14ac:dyDescent="0.6">
      <c r="A40" s="180" t="s">
        <v>290</v>
      </c>
      <c r="B40" s="87">
        <f>SUM(QGDP_KP!E43:H43)</f>
        <v>48</v>
      </c>
      <c r="C40" s="87">
        <f>SUM(QGDP_KP!I43:L43)</f>
        <v>56</v>
      </c>
      <c r="D40" s="87">
        <f>SUM(QGDP_KP!M43:P43)</f>
        <v>63</v>
      </c>
      <c r="E40" s="87">
        <f>SUM(QGDP_KP!Q43:T43)</f>
        <v>71</v>
      </c>
      <c r="F40" s="87">
        <f>SUM(QGDP_KP!U43:X43)</f>
        <v>83</v>
      </c>
      <c r="G40" s="87">
        <f>SUM(QGDP_KP!Y43:AB43)</f>
        <v>84</v>
      </c>
      <c r="H40" s="87">
        <f>SUM(QGDP_KP!AC43:AF43)</f>
        <v>104</v>
      </c>
      <c r="I40" s="87">
        <f>SUM(QGDP_KP!BG43:BJ43)</f>
        <v>164</v>
      </c>
      <c r="J40" s="87">
        <f>SUM(QGDP_KP!AK43:AN43)</f>
        <v>120</v>
      </c>
      <c r="K40" s="87">
        <f>SUM(QGDP_KP!AO43:AR43)</f>
        <v>131</v>
      </c>
      <c r="L40" s="87">
        <f>SUM(QGDP_KP!AS43:AV43)</f>
        <v>140</v>
      </c>
      <c r="M40" s="87">
        <f>SUM(QGDP_KP!AW43:AZ43)</f>
        <v>146</v>
      </c>
      <c r="N40" s="87">
        <f>SUM(QGDP_KP!BA43:BD43)</f>
        <v>146</v>
      </c>
      <c r="O40" s="87">
        <f>SUM(QGDP_KP!BE43:BH43)</f>
        <v>151</v>
      </c>
      <c r="P40" s="87">
        <f>SUM(QGDP_KP!BJ43:BL43)</f>
        <v>127</v>
      </c>
      <c r="Q40" s="87">
        <f>SUM(QGDP_KP!BM43:BP43)</f>
        <v>195</v>
      </c>
      <c r="R40" s="87">
        <f>SUM(QGDP_KP!BQ43:BT43)</f>
        <v>213</v>
      </c>
      <c r="S40" s="87">
        <f>SUM(QGDP_KP!BU43:BX43)</f>
        <v>213</v>
      </c>
      <c r="T40" s="87">
        <f>SUM(QGDP_KP!BY43:CB43)</f>
        <v>249</v>
      </c>
      <c r="U40" s="87">
        <f>SUM(QGDP_KP!CC43:CE43)</f>
        <v>174</v>
      </c>
    </row>
    <row r="41" spans="1:21" x14ac:dyDescent="0.6">
      <c r="A41" s="180" t="s">
        <v>292</v>
      </c>
      <c r="B41" s="87">
        <f>SUM(QGDP_KP!E44:H44)</f>
        <v>168</v>
      </c>
      <c r="C41" s="87">
        <f>SUM(QGDP_KP!I44:L44)</f>
        <v>191</v>
      </c>
      <c r="D41" s="87">
        <f>SUM(QGDP_KP!M44:P44)</f>
        <v>195</v>
      </c>
      <c r="E41" s="87">
        <f>SUM(QGDP_KP!Q44:T44)</f>
        <v>184</v>
      </c>
      <c r="F41" s="87">
        <f>SUM(QGDP_KP!U44:X44)</f>
        <v>197</v>
      </c>
      <c r="G41" s="87">
        <f>SUM(QGDP_KP!Y44:AB44)</f>
        <v>195</v>
      </c>
      <c r="H41" s="87">
        <f>SUM(QGDP_KP!AC44:AF44)</f>
        <v>217</v>
      </c>
      <c r="I41" s="87">
        <f>SUM(QGDP_KP!BG44:BJ44)</f>
        <v>443</v>
      </c>
      <c r="J41" s="87">
        <f>SUM(QGDP_KP!AK44:AN44)</f>
        <v>283</v>
      </c>
      <c r="K41" s="87">
        <f>SUM(QGDP_KP!AO44:AR44)</f>
        <v>337</v>
      </c>
      <c r="L41" s="87">
        <f>SUM(QGDP_KP!AS44:AV44)</f>
        <v>360</v>
      </c>
      <c r="M41" s="87">
        <f>SUM(QGDP_KP!AW44:AZ44)</f>
        <v>379</v>
      </c>
      <c r="N41" s="87">
        <f>SUM(QGDP_KP!BA44:BD44)</f>
        <v>412</v>
      </c>
      <c r="O41" s="87">
        <f>SUM(QGDP_KP!BE44:BH44)</f>
        <v>447</v>
      </c>
      <c r="P41" s="87">
        <f>SUM(QGDP_KP!BJ44:BL44)</f>
        <v>335</v>
      </c>
      <c r="Q41" s="87">
        <f>SUM(QGDP_KP!BM44:BP44)</f>
        <v>486</v>
      </c>
      <c r="R41" s="87">
        <f>SUM(QGDP_KP!BQ44:BT44)</f>
        <v>515</v>
      </c>
      <c r="S41" s="87">
        <f>SUM(QGDP_KP!BU44:BX44)</f>
        <v>666</v>
      </c>
      <c r="T41" s="87">
        <f>SUM(QGDP_KP!BY44:CB44)</f>
        <v>640</v>
      </c>
      <c r="U41" s="87">
        <f>SUM(QGDP_KP!CC44:CE44)</f>
        <v>533</v>
      </c>
    </row>
    <row r="42" spans="1:21" ht="11.75" customHeight="1" x14ac:dyDescent="0.75">
      <c r="A42" s="183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</row>
    <row r="43" spans="1:21" x14ac:dyDescent="0.6">
      <c r="A43" s="178" t="s">
        <v>294</v>
      </c>
      <c r="B43" s="83">
        <f>SUM(QGDP_KP!E46:H46)</f>
        <v>394</v>
      </c>
      <c r="C43" s="83">
        <f>SUM(QGDP_KP!I46:L46)</f>
        <v>411</v>
      </c>
      <c r="D43" s="83">
        <f>SUM(QGDP_KP!M46:P46)</f>
        <v>459</v>
      </c>
      <c r="E43" s="83">
        <f>SUM(QGDP_KP!Q46:T46)</f>
        <v>503</v>
      </c>
      <c r="F43" s="83">
        <f>SUM(QGDP_KP!U46:X46)</f>
        <v>528</v>
      </c>
      <c r="G43" s="83">
        <f>SUM(QGDP_KP!Y46:AB46)</f>
        <v>537</v>
      </c>
      <c r="H43" s="83">
        <f>SUM(QGDP_KP!AC46:AF46)</f>
        <v>545</v>
      </c>
      <c r="I43" s="83">
        <f>SUM(QGDP_KP!BG46:BJ46)</f>
        <v>830</v>
      </c>
      <c r="J43" s="83">
        <f>SUM(QGDP_KP!AK46:AN46)</f>
        <v>570</v>
      </c>
      <c r="K43" s="83">
        <f>SUM(QGDP_KP!AO46:AR46)</f>
        <v>651</v>
      </c>
      <c r="L43" s="83">
        <f>SUM(QGDP_KP!AS46:AV46)</f>
        <v>679</v>
      </c>
      <c r="M43" s="83">
        <f>SUM(QGDP_KP!AW46:AZ46)</f>
        <v>662</v>
      </c>
      <c r="N43" s="83">
        <f>SUM(QGDP_KP!BA46:BD46)</f>
        <v>722</v>
      </c>
      <c r="O43" s="83">
        <f>SUM(QGDP_KP!BE46:BH46)</f>
        <v>831</v>
      </c>
      <c r="P43" s="83">
        <f>SUM(QGDP_KP!BJ46:BL46)</f>
        <v>608</v>
      </c>
      <c r="Q43" s="83">
        <f>SUM(QGDP_KP!BM46:BP46)</f>
        <v>903</v>
      </c>
      <c r="R43" s="83">
        <f>SUM(QGDP_KP!BQ46:BT46)</f>
        <v>950</v>
      </c>
      <c r="S43" s="83">
        <f>SUM(QGDP_KP!BU46:BX46)</f>
        <v>912</v>
      </c>
      <c r="T43" s="83">
        <f>SUM(QGDP_KP!BY46:CB46)</f>
        <v>985</v>
      </c>
      <c r="U43" s="83">
        <f>SUM(QGDP_KP!CC46:CE46)</f>
        <v>838</v>
      </c>
    </row>
    <row r="44" spans="1:21" ht="15" thickBot="1" x14ac:dyDescent="0.8">
      <c r="A44" s="184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187"/>
      <c r="N44" s="96"/>
      <c r="O44" s="96"/>
      <c r="P44" s="96"/>
      <c r="Q44" s="96"/>
      <c r="R44" s="96"/>
      <c r="S44" s="96"/>
      <c r="T44" s="96"/>
      <c r="U44" s="96"/>
    </row>
    <row r="45" spans="1:21" ht="13.75" thickTop="1" x14ac:dyDescent="0.6"/>
    <row r="47" spans="1:21" x14ac:dyDescent="0.6">
      <c r="A47" s="178" t="s">
        <v>219</v>
      </c>
      <c r="B47" s="83">
        <f>SUM(QGDP_CP!E7:H7)</f>
        <v>1806</v>
      </c>
      <c r="C47" s="83">
        <f>SUM(QGDP_CP!I7:L7)</f>
        <v>2197</v>
      </c>
      <c r="D47" s="83">
        <f>SUM(QGDP_CP!M7:P7)</f>
        <v>2799</v>
      </c>
      <c r="E47" s="83">
        <f>SUM(QGDP_CP!Q7:T7)</f>
        <v>3185</v>
      </c>
      <c r="F47" s="83">
        <f>SUM(QGDP_CP!U7:X7)</f>
        <v>3529</v>
      </c>
      <c r="G47" s="83">
        <f>SUM(QGDP_CP!Y7:AB7)</f>
        <v>4084</v>
      </c>
      <c r="H47" s="83">
        <f>SUM(QGDP_CP!AC7:AF7)</f>
        <v>4642</v>
      </c>
      <c r="I47" s="83">
        <f>SUM(QGDP_CP!BG7:BJ7)</f>
        <v>9640</v>
      </c>
      <c r="J47" s="83">
        <f>SUM(QGDP_CP!AK7:AN7)</f>
        <v>5548</v>
      </c>
      <c r="K47" s="83">
        <f>SUM(QGDP_CP!AO7:AR7)</f>
        <v>6081</v>
      </c>
      <c r="L47" s="83">
        <f>SUM(QGDP_CP!AS7:AV7)</f>
        <v>6768</v>
      </c>
      <c r="M47" s="83">
        <f>SUM(QGDP_CP!AW7:AZ7)</f>
        <v>7621</v>
      </c>
      <c r="N47" s="83">
        <f>SUM(QGDP_CP!BA7:BD7)</f>
        <v>8309</v>
      </c>
      <c r="O47" s="83">
        <f>SUM(QGDP_CP!BE7:BH7)</f>
        <v>9460</v>
      </c>
      <c r="P47" s="83">
        <f>SUM(QGDP_CP!BJ7:BL7)</f>
        <v>7496</v>
      </c>
      <c r="Q47" s="83">
        <f>SUM(QGDP_CP!BM7:BP7)</f>
        <v>11125</v>
      </c>
      <c r="R47" s="83">
        <f>SUM(QGDP_CP!BQ7:BT7)</f>
        <v>14164</v>
      </c>
      <c r="S47" s="83">
        <f>SUM(QGDP_CP!BU7:BX7)</f>
        <v>17177</v>
      </c>
      <c r="T47" s="83">
        <f>SUM(QGDP_CP!BY7:CB7)</f>
        <v>19918</v>
      </c>
      <c r="U47" s="83">
        <f>SUM(QGDP_CP!CC7:CE7)</f>
        <v>16600</v>
      </c>
    </row>
    <row r="48" spans="1:21" ht="14.25" x14ac:dyDescent="0.6">
      <c r="A48" s="179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</row>
    <row r="49" spans="1:21" x14ac:dyDescent="0.6">
      <c r="A49" s="178" t="s">
        <v>222</v>
      </c>
      <c r="B49" s="83">
        <f>SUM(QGDP_CP!E9:H9)</f>
        <v>525</v>
      </c>
      <c r="C49" s="83">
        <f>SUM(QGDP_CP!I9:L9)</f>
        <v>551</v>
      </c>
      <c r="D49" s="83">
        <f>SUM(QGDP_CP!M9:P9)</f>
        <v>670</v>
      </c>
      <c r="E49" s="83">
        <f>SUM(QGDP_CP!Q9:T9)</f>
        <v>777</v>
      </c>
      <c r="F49" s="83">
        <f>SUM(QGDP_CP!U9:X9)</f>
        <v>827</v>
      </c>
      <c r="G49" s="83">
        <f>SUM(QGDP_CP!Y9:AB9)</f>
        <v>936</v>
      </c>
      <c r="H49" s="83">
        <f>SUM(QGDP_CP!AC9:AF9)</f>
        <v>1105</v>
      </c>
      <c r="I49" s="83">
        <f>SUM(QGDP_CP!BG9:BJ9)</f>
        <v>2232</v>
      </c>
      <c r="J49" s="83">
        <f>SUM(QGDP_CP!AK9:AN9)</f>
        <v>1314</v>
      </c>
      <c r="K49" s="83">
        <f>SUM(QGDP_CP!AO9:AR9)</f>
        <v>1405</v>
      </c>
      <c r="L49" s="83">
        <f>SUM(QGDP_CP!AS9:AV9)</f>
        <v>1644</v>
      </c>
      <c r="M49" s="83">
        <f>SUM(QGDP_CP!AW9:AZ9)</f>
        <v>1954</v>
      </c>
      <c r="N49" s="83">
        <f>SUM(QGDP_CP!BA9:BD9)</f>
        <v>1934</v>
      </c>
      <c r="O49" s="83">
        <f>SUM(QGDP_CP!BE9:BH9)</f>
        <v>2040</v>
      </c>
      <c r="P49" s="83">
        <f>SUM(QGDP_CP!BJ9:BL9)</f>
        <v>1834</v>
      </c>
      <c r="Q49" s="83">
        <f>SUM(QGDP_CP!BM9:BP9)</f>
        <v>2385</v>
      </c>
      <c r="R49" s="83">
        <f>SUM(QGDP_CP!BQ9:BT9)</f>
        <v>3106</v>
      </c>
      <c r="S49" s="83">
        <f>SUM(QGDP_CP!BU9:BX9)</f>
        <v>3974</v>
      </c>
      <c r="T49" s="83">
        <f>SUM(QGDP_CP!BY9:CB9)</f>
        <v>4141</v>
      </c>
      <c r="U49" s="83">
        <f>SUM(QGDP_CP!CC9:CE9)</f>
        <v>3233</v>
      </c>
    </row>
    <row r="50" spans="1:21" x14ac:dyDescent="0.6">
      <c r="A50" s="180" t="s">
        <v>224</v>
      </c>
      <c r="B50" s="87">
        <f>SUM(QGDP_CP!E10:H10)</f>
        <v>247</v>
      </c>
      <c r="C50" s="87">
        <f>SUM(QGDP_CP!I10:L10)</f>
        <v>283</v>
      </c>
      <c r="D50" s="87">
        <f>SUM(QGDP_CP!M10:P10)</f>
        <v>317</v>
      </c>
      <c r="E50" s="87">
        <f>SUM(QGDP_CP!Q10:T10)</f>
        <v>397</v>
      </c>
      <c r="F50" s="87">
        <f>SUM(QGDP_CP!U10:X10)</f>
        <v>414</v>
      </c>
      <c r="G50" s="87">
        <f>SUM(QGDP_CP!Y10:AB10)</f>
        <v>485</v>
      </c>
      <c r="H50" s="87">
        <f>SUM(QGDP_CP!AC10:AF10)</f>
        <v>592</v>
      </c>
      <c r="I50" s="87">
        <f>SUM(QGDP_CP!BG10:BJ10)</f>
        <v>1277</v>
      </c>
      <c r="J50" s="87">
        <f>SUM(QGDP_CP!AK10:AN10)</f>
        <v>749</v>
      </c>
      <c r="K50" s="87">
        <f>SUM(QGDP_CP!AO10:AR10)</f>
        <v>804</v>
      </c>
      <c r="L50" s="87">
        <f>SUM(QGDP_CP!AS10:AV10)</f>
        <v>988</v>
      </c>
      <c r="M50" s="87">
        <f>SUM(QGDP_CP!AW10:AZ10)</f>
        <v>1223</v>
      </c>
      <c r="N50" s="87">
        <f>SUM(QGDP_CP!BA10:BD10)</f>
        <v>1061</v>
      </c>
      <c r="O50" s="87">
        <f>SUM(QGDP_CP!BE10:BH10)</f>
        <v>1127</v>
      </c>
      <c r="P50" s="87">
        <f>SUM(QGDP_CP!BJ10:BL10)</f>
        <v>1085</v>
      </c>
      <c r="Q50" s="87">
        <f>SUM(QGDP_CP!BM10:BP10)</f>
        <v>1285</v>
      </c>
      <c r="R50" s="87">
        <f>SUM(QGDP_CP!BQ10:BT10)</f>
        <v>1695</v>
      </c>
      <c r="S50" s="87">
        <f>SUM(QGDP_CP!BU10:BX10)</f>
        <v>2454</v>
      </c>
      <c r="T50" s="87">
        <f>SUM(QGDP_CP!BY10:CB10)</f>
        <v>2373</v>
      </c>
      <c r="U50" s="87">
        <f>SUM(QGDP_CP!CC10:CE10)</f>
        <v>1637</v>
      </c>
    </row>
    <row r="51" spans="1:21" x14ac:dyDescent="0.6">
      <c r="A51" s="180" t="s">
        <v>226</v>
      </c>
      <c r="B51" s="87">
        <f>SUM(QGDP_CP!E11:H11)</f>
        <v>57</v>
      </c>
      <c r="C51" s="87">
        <f>SUM(QGDP_CP!I11:L11)</f>
        <v>41</v>
      </c>
      <c r="D51" s="87">
        <f>SUM(QGDP_CP!M11:P11)</f>
        <v>55</v>
      </c>
      <c r="E51" s="87">
        <f>SUM(QGDP_CP!Q11:T11)</f>
        <v>52</v>
      </c>
      <c r="F51" s="87">
        <f>SUM(QGDP_CP!U11:X11)</f>
        <v>65</v>
      </c>
      <c r="G51" s="87">
        <f>SUM(QGDP_CP!Y11:AB11)</f>
        <v>67</v>
      </c>
      <c r="H51" s="87">
        <f>SUM(QGDP_CP!AC11:AF11)</f>
        <v>86</v>
      </c>
      <c r="I51" s="87">
        <f>SUM(QGDP_CP!BG11:BJ11)</f>
        <v>129</v>
      </c>
      <c r="J51" s="87">
        <f>SUM(QGDP_CP!AK11:AN11)</f>
        <v>87</v>
      </c>
      <c r="K51" s="87">
        <f>SUM(QGDP_CP!AO11:AR11)</f>
        <v>89</v>
      </c>
      <c r="L51" s="87">
        <f>SUM(QGDP_CP!AS11:AV11)</f>
        <v>104</v>
      </c>
      <c r="M51" s="87">
        <f>SUM(QGDP_CP!AW11:AZ11)</f>
        <v>138</v>
      </c>
      <c r="N51" s="87">
        <f>SUM(QGDP_CP!BA11:BD11)</f>
        <v>144</v>
      </c>
      <c r="O51" s="87">
        <f>SUM(QGDP_CP!BE11:BH11)</f>
        <v>125</v>
      </c>
      <c r="P51" s="87">
        <f>SUM(QGDP_CP!BJ11:BL11)</f>
        <v>114</v>
      </c>
      <c r="Q51" s="87">
        <f>SUM(QGDP_CP!BM11:BP11)</f>
        <v>159</v>
      </c>
      <c r="R51" s="87">
        <f>SUM(QGDP_CP!BQ11:BT11)</f>
        <v>261</v>
      </c>
      <c r="S51" s="87">
        <f>SUM(QGDP_CP!BU11:BX11)</f>
        <v>259</v>
      </c>
      <c r="T51" s="87">
        <f>SUM(QGDP_CP!BY11:CB11)</f>
        <v>352</v>
      </c>
      <c r="U51" s="87">
        <f>SUM(QGDP_CP!CC11:CE11)</f>
        <v>377</v>
      </c>
    </row>
    <row r="52" spans="1:21" x14ac:dyDescent="0.6">
      <c r="A52" s="180" t="s">
        <v>228</v>
      </c>
      <c r="B52" s="87">
        <f>SUM(QGDP_CP!E12:H12)</f>
        <v>50</v>
      </c>
      <c r="C52" s="87">
        <f>SUM(QGDP_CP!I12:L12)</f>
        <v>53</v>
      </c>
      <c r="D52" s="87">
        <f>SUM(QGDP_CP!M12:P12)</f>
        <v>68</v>
      </c>
      <c r="E52" s="87">
        <f>SUM(QGDP_CP!Q12:T12)</f>
        <v>80</v>
      </c>
      <c r="F52" s="87">
        <f>SUM(QGDP_CP!U12:X12)</f>
        <v>84</v>
      </c>
      <c r="G52" s="87">
        <f>SUM(QGDP_CP!Y12:AB12)</f>
        <v>94</v>
      </c>
      <c r="H52" s="87">
        <f>SUM(QGDP_CP!AC12:AF12)</f>
        <v>106</v>
      </c>
      <c r="I52" s="87">
        <f>SUM(QGDP_CP!BG12:BJ12)</f>
        <v>270</v>
      </c>
      <c r="J52" s="87">
        <f>SUM(QGDP_CP!AK12:AN12)</f>
        <v>130</v>
      </c>
      <c r="K52" s="87">
        <f>SUM(QGDP_CP!AO12:AR12)</f>
        <v>144</v>
      </c>
      <c r="L52" s="87">
        <f>SUM(QGDP_CP!AS12:AV12)</f>
        <v>166</v>
      </c>
      <c r="M52" s="87">
        <f>SUM(QGDP_CP!AW12:AZ12)</f>
        <v>186</v>
      </c>
      <c r="N52" s="87">
        <f>SUM(QGDP_CP!BA12:BD12)</f>
        <v>206</v>
      </c>
      <c r="O52" s="87">
        <f>SUM(QGDP_CP!BE12:BH12)</f>
        <v>241</v>
      </c>
      <c r="P52" s="87">
        <f>SUM(QGDP_CP!BJ12:BL12)</f>
        <v>220</v>
      </c>
      <c r="Q52" s="87">
        <f>SUM(QGDP_CP!BM12:BP12)</f>
        <v>324</v>
      </c>
      <c r="R52" s="87">
        <f>SUM(QGDP_CP!BQ12:BT12)</f>
        <v>400</v>
      </c>
      <c r="S52" s="87">
        <f>SUM(QGDP_CP!BU12:BX12)</f>
        <v>477</v>
      </c>
      <c r="T52" s="87">
        <f>SUM(QGDP_CP!BY12:CB12)</f>
        <v>581</v>
      </c>
      <c r="U52" s="87">
        <f>SUM(QGDP_CP!CC12:CE12)</f>
        <v>553</v>
      </c>
    </row>
    <row r="53" spans="1:21" x14ac:dyDescent="0.6">
      <c r="A53" s="180" t="s">
        <v>230</v>
      </c>
      <c r="B53" s="87">
        <f>SUM(QGDP_CP!E13:H13)</f>
        <v>165</v>
      </c>
      <c r="C53" s="87">
        <f>SUM(QGDP_CP!I13:L13)</f>
        <v>169</v>
      </c>
      <c r="D53" s="87">
        <f>SUM(QGDP_CP!M13:P13)</f>
        <v>220</v>
      </c>
      <c r="E53" s="87">
        <f>SUM(QGDP_CP!Q13:T13)</f>
        <v>237</v>
      </c>
      <c r="F53" s="87">
        <f>SUM(QGDP_CP!U13:X13)</f>
        <v>250</v>
      </c>
      <c r="G53" s="87">
        <f>SUM(QGDP_CP!Y13:AB13)</f>
        <v>274</v>
      </c>
      <c r="H53" s="87">
        <f>SUM(QGDP_CP!AC13:AF13)</f>
        <v>303</v>
      </c>
      <c r="I53" s="87">
        <f>SUM(QGDP_CP!BG13:BJ13)</f>
        <v>526</v>
      </c>
      <c r="J53" s="87">
        <f>SUM(QGDP_CP!AK13:AN13)</f>
        <v>327</v>
      </c>
      <c r="K53" s="87">
        <f>SUM(QGDP_CP!AO13:AR13)</f>
        <v>343</v>
      </c>
      <c r="L53" s="87">
        <f>SUM(QGDP_CP!AS13:AV13)</f>
        <v>360</v>
      </c>
      <c r="M53" s="87">
        <f>SUM(QGDP_CP!AW13:AZ13)</f>
        <v>379</v>
      </c>
      <c r="N53" s="87">
        <f>SUM(QGDP_CP!BA13:BD13)</f>
        <v>490</v>
      </c>
      <c r="O53" s="87">
        <f>SUM(QGDP_CP!BE13:BH13)</f>
        <v>515</v>
      </c>
      <c r="P53" s="87">
        <f>SUM(QGDP_CP!BJ13:BL13)</f>
        <v>394</v>
      </c>
      <c r="Q53" s="87">
        <f>SUM(QGDP_CP!BM13:BP13)</f>
        <v>583</v>
      </c>
      <c r="R53" s="87">
        <f>SUM(QGDP_CP!BQ13:BT13)</f>
        <v>709</v>
      </c>
      <c r="S53" s="87">
        <f>SUM(QGDP_CP!BU13:BX13)</f>
        <v>740</v>
      </c>
      <c r="T53" s="87">
        <f>SUM(QGDP_CP!BY13:CB13)</f>
        <v>783</v>
      </c>
      <c r="U53" s="87">
        <f>SUM(QGDP_CP!CC13:CE13)</f>
        <v>624</v>
      </c>
    </row>
    <row r="54" spans="1:21" x14ac:dyDescent="0.6">
      <c r="A54" s="180" t="s">
        <v>232</v>
      </c>
      <c r="B54" s="87">
        <f>SUM(QGDP_CP!E14:H14)</f>
        <v>8</v>
      </c>
      <c r="C54" s="87">
        <f>SUM(QGDP_CP!I14:L14)</f>
        <v>8</v>
      </c>
      <c r="D54" s="87">
        <f>SUM(QGDP_CP!M14:P14)</f>
        <v>10</v>
      </c>
      <c r="E54" s="87">
        <f>SUM(QGDP_CP!Q14:T14)</f>
        <v>12</v>
      </c>
      <c r="F54" s="87">
        <f>SUM(QGDP_CP!U14:X14)</f>
        <v>12</v>
      </c>
      <c r="G54" s="87">
        <f>SUM(QGDP_CP!Y14:AB14)</f>
        <v>15</v>
      </c>
      <c r="H54" s="87">
        <f>SUM(QGDP_CP!AC14:AF14)</f>
        <v>17</v>
      </c>
      <c r="I54" s="87">
        <f>SUM(QGDP_CP!BG14:BJ14)</f>
        <v>28</v>
      </c>
      <c r="J54" s="87">
        <f>SUM(QGDP_CP!AK14:AN14)</f>
        <v>22</v>
      </c>
      <c r="K54" s="87">
        <f>SUM(QGDP_CP!AO14:AR14)</f>
        <v>25</v>
      </c>
      <c r="L54" s="87">
        <f>SUM(QGDP_CP!AS14:AV14)</f>
        <v>26</v>
      </c>
      <c r="M54" s="87">
        <f>SUM(QGDP_CP!AW14:AZ14)</f>
        <v>29</v>
      </c>
      <c r="N54" s="87">
        <f>SUM(QGDP_CP!BA14:BD14)</f>
        <v>31</v>
      </c>
      <c r="O54" s="87">
        <f>SUM(QGDP_CP!BE14:BH14)</f>
        <v>31</v>
      </c>
      <c r="P54" s="87">
        <f>SUM(QGDP_CP!BJ14:BL14)</f>
        <v>20</v>
      </c>
      <c r="Q54" s="87">
        <f>SUM(QGDP_CP!BM14:BP14)</f>
        <v>34</v>
      </c>
      <c r="R54" s="87">
        <f>SUM(QGDP_CP!BQ14:BT14)</f>
        <v>42</v>
      </c>
      <c r="S54" s="87">
        <f>SUM(QGDP_CP!BU14:BX14)</f>
        <v>43</v>
      </c>
      <c r="T54" s="87">
        <f>SUM(QGDP_CP!BY14:CB14)</f>
        <v>54</v>
      </c>
      <c r="U54" s="87">
        <f>SUM(QGDP_CP!CC14:CE14)</f>
        <v>42</v>
      </c>
    </row>
    <row r="55" spans="1:21" x14ac:dyDescent="0.6">
      <c r="A55" s="178" t="s">
        <v>234</v>
      </c>
      <c r="B55" s="83">
        <f>SUM(QGDP_CP!E15:H15)</f>
        <v>290</v>
      </c>
      <c r="C55" s="83">
        <f>SUM(QGDP_CP!I15:L15)</f>
        <v>372</v>
      </c>
      <c r="D55" s="83">
        <f>SUM(QGDP_CP!M15:P15)</f>
        <v>461</v>
      </c>
      <c r="E55" s="83">
        <f>SUM(QGDP_CP!Q15:T15)</f>
        <v>506</v>
      </c>
      <c r="F55" s="83">
        <f>SUM(QGDP_CP!U15:X15)</f>
        <v>583</v>
      </c>
      <c r="G55" s="83">
        <f>SUM(QGDP_CP!Y15:AB15)</f>
        <v>750</v>
      </c>
      <c r="H55" s="83">
        <f>SUM(QGDP_CP!AC15:AF15)</f>
        <v>857</v>
      </c>
      <c r="I55" s="83">
        <f>SUM(QGDP_CP!BG15:BJ15)</f>
        <v>1880</v>
      </c>
      <c r="J55" s="83">
        <f>SUM(QGDP_CP!AK15:AN15)</f>
        <v>987</v>
      </c>
      <c r="K55" s="83">
        <f>SUM(QGDP_CP!AO15:AR15)</f>
        <v>1073</v>
      </c>
      <c r="L55" s="83">
        <f>SUM(QGDP_CP!AS15:AV15)</f>
        <v>1152</v>
      </c>
      <c r="M55" s="83">
        <f>SUM(QGDP_CP!AW15:AZ15)</f>
        <v>1330</v>
      </c>
      <c r="N55" s="83">
        <f>SUM(QGDP_CP!BA15:BD15)</f>
        <v>1460</v>
      </c>
      <c r="O55" s="83">
        <f>SUM(QGDP_CP!BE15:BH15)</f>
        <v>1819</v>
      </c>
      <c r="P55" s="83">
        <f>SUM(QGDP_CP!BJ15:BL15)</f>
        <v>1418</v>
      </c>
      <c r="Q55" s="83">
        <f>SUM(QGDP_CP!BM15:BP15)</f>
        <v>2357</v>
      </c>
      <c r="R55" s="83">
        <f>SUM(QGDP_CP!BQ15:BT15)</f>
        <v>3081</v>
      </c>
      <c r="S55" s="83">
        <f>SUM(QGDP_CP!BU15:BX15)</f>
        <v>3689</v>
      </c>
      <c r="T55" s="83">
        <f>SUM(QGDP_CP!BY15:CB15)</f>
        <v>4395</v>
      </c>
      <c r="U55" s="83">
        <f>SUM(QGDP_CP!CC15:CE15)</f>
        <v>3721</v>
      </c>
    </row>
    <row r="56" spans="1:21" x14ac:dyDescent="0.6">
      <c r="A56" s="180" t="s">
        <v>236</v>
      </c>
      <c r="B56" s="87">
        <f>SUM(QGDP_CP!E16:H16)</f>
        <v>19</v>
      </c>
      <c r="C56" s="87">
        <f>SUM(QGDP_CP!I16:L16)</f>
        <v>34</v>
      </c>
      <c r="D56" s="87">
        <f>SUM(QGDP_CP!M16:P16)</f>
        <v>41</v>
      </c>
      <c r="E56" s="87">
        <f>SUM(QGDP_CP!Q16:T16)</f>
        <v>27</v>
      </c>
      <c r="F56" s="87">
        <f>SUM(QGDP_CP!U16:X16)</f>
        <v>36</v>
      </c>
      <c r="G56" s="87">
        <f>SUM(QGDP_CP!Y16:AB16)</f>
        <v>82</v>
      </c>
      <c r="H56" s="87">
        <f>SUM(QGDP_CP!AC16:AF16)</f>
        <v>77</v>
      </c>
      <c r="I56" s="87">
        <f>SUM(QGDP_CP!BG16:BJ16)</f>
        <v>103</v>
      </c>
      <c r="J56" s="87">
        <f>SUM(QGDP_CP!AK16:AN16)</f>
        <v>119</v>
      </c>
      <c r="K56" s="87">
        <f>SUM(QGDP_CP!AO16:AR16)</f>
        <v>105</v>
      </c>
      <c r="L56" s="87">
        <f>SUM(QGDP_CP!AS16:AV16)</f>
        <v>111</v>
      </c>
      <c r="M56" s="87">
        <f>SUM(QGDP_CP!AW16:AZ16)</f>
        <v>166</v>
      </c>
      <c r="N56" s="87">
        <f>SUM(QGDP_CP!BA16:BD16)</f>
        <v>177</v>
      </c>
      <c r="O56" s="87">
        <f>SUM(QGDP_CP!BE16:BH16)</f>
        <v>122</v>
      </c>
      <c r="P56" s="87">
        <f>SUM(QGDP_CP!BJ16:BL16)</f>
        <v>77</v>
      </c>
      <c r="Q56" s="87">
        <f>SUM(QGDP_CP!BM16:BP16)</f>
        <v>255</v>
      </c>
      <c r="R56" s="87">
        <f>SUM(QGDP_CP!BQ16:BT16)</f>
        <v>309</v>
      </c>
      <c r="S56" s="87">
        <f>SUM(QGDP_CP!BU16:BX16)</f>
        <v>283</v>
      </c>
      <c r="T56" s="87">
        <f>SUM(QGDP_CP!BY16:CB16)</f>
        <v>355</v>
      </c>
      <c r="U56" s="87">
        <f>SUM(QGDP_CP!CC16:CE16)</f>
        <v>308</v>
      </c>
    </row>
    <row r="57" spans="1:21" x14ac:dyDescent="0.6">
      <c r="A57" s="181" t="s">
        <v>238</v>
      </c>
      <c r="B57" s="90">
        <f>SUM(QGDP_CP!E17:H17)</f>
        <v>165</v>
      </c>
      <c r="C57" s="90">
        <f>SUM(QGDP_CP!I17:L17)</f>
        <v>181</v>
      </c>
      <c r="D57" s="90">
        <f>SUM(QGDP_CP!M17:P17)</f>
        <v>225</v>
      </c>
      <c r="E57" s="90">
        <f>SUM(QGDP_CP!Q17:T17)</f>
        <v>257</v>
      </c>
      <c r="F57" s="90">
        <f>SUM(QGDP_CP!U17:X17)</f>
        <v>295</v>
      </c>
      <c r="G57" s="90">
        <f>SUM(QGDP_CP!Y17:AB17)</f>
        <v>345</v>
      </c>
      <c r="H57" s="90">
        <f>SUM(QGDP_CP!AC17:AF17)</f>
        <v>389</v>
      </c>
      <c r="I57" s="90">
        <f>SUM(QGDP_CP!BG17:BJ17)</f>
        <v>790</v>
      </c>
      <c r="J57" s="90">
        <f>SUM(QGDP_CP!AK17:AN17)</f>
        <v>383</v>
      </c>
      <c r="K57" s="90">
        <f>SUM(QGDP_CP!AO17:AR17)</f>
        <v>419</v>
      </c>
      <c r="L57" s="90">
        <f>SUM(QGDP_CP!AS17:AV17)</f>
        <v>459</v>
      </c>
      <c r="M57" s="90">
        <f>SUM(QGDP_CP!AW17:AZ17)</f>
        <v>590</v>
      </c>
      <c r="N57" s="90">
        <f>SUM(QGDP_CP!BA17:BD17)</f>
        <v>629</v>
      </c>
      <c r="O57" s="90">
        <f>SUM(QGDP_CP!BE17:BH17)</f>
        <v>767</v>
      </c>
      <c r="P57" s="90">
        <f>SUM(QGDP_CP!BJ17:BL17)</f>
        <v>632</v>
      </c>
      <c r="Q57" s="90">
        <f>SUM(QGDP_CP!BM17:BP17)</f>
        <v>994</v>
      </c>
      <c r="R57" s="90">
        <f>SUM(QGDP_CP!BQ17:BT17)</f>
        <v>1302</v>
      </c>
      <c r="S57" s="90">
        <f>SUM(QGDP_CP!BU17:BX17)</f>
        <v>1473</v>
      </c>
      <c r="T57" s="90">
        <f>SUM(QGDP_CP!BY17:CB17)</f>
        <v>1618</v>
      </c>
      <c r="U57" s="90">
        <f>SUM(QGDP_CP!CC17:CE17)</f>
        <v>1391</v>
      </c>
    </row>
    <row r="58" spans="1:21" x14ac:dyDescent="0.6">
      <c r="A58" s="182" t="s">
        <v>240</v>
      </c>
      <c r="B58" s="113">
        <f>SUM(QGDP_CP!E18:H18)</f>
        <v>36</v>
      </c>
      <c r="C58" s="113">
        <f>SUM(QGDP_CP!I18:L18)</f>
        <v>35</v>
      </c>
      <c r="D58" s="113">
        <f>SUM(QGDP_CP!M18:P18)</f>
        <v>48</v>
      </c>
      <c r="E58" s="113">
        <f>SUM(QGDP_CP!Q18:T18)</f>
        <v>59</v>
      </c>
      <c r="F58" s="113">
        <f>SUM(QGDP_CP!U18:X18)</f>
        <v>69</v>
      </c>
      <c r="G58" s="113">
        <f>SUM(QGDP_CP!Y18:AB18)</f>
        <v>82</v>
      </c>
      <c r="H58" s="113">
        <f>SUM(QGDP_CP!AC18:AF18)</f>
        <v>89</v>
      </c>
      <c r="I58" s="113">
        <f>SUM(QGDP_CP!BG18:BJ18)</f>
        <v>235</v>
      </c>
      <c r="J58" s="113">
        <f>SUM(QGDP_CP!AK18:AN18)</f>
        <v>104</v>
      </c>
      <c r="K58" s="113">
        <f>SUM(QGDP_CP!AO18:AR18)</f>
        <v>108</v>
      </c>
      <c r="L58" s="113">
        <f>SUM(QGDP_CP!AS18:AV18)</f>
        <v>124</v>
      </c>
      <c r="M58" s="113">
        <f>SUM(QGDP_CP!AW18:AZ18)</f>
        <v>211</v>
      </c>
      <c r="N58" s="113">
        <f>SUM(QGDP_CP!BA18:BD18)</f>
        <v>173</v>
      </c>
      <c r="O58" s="113">
        <f>SUM(QGDP_CP!BE18:BH18)</f>
        <v>223</v>
      </c>
      <c r="P58" s="113">
        <f>SUM(QGDP_CP!BJ18:BL18)</f>
        <v>183</v>
      </c>
      <c r="Q58" s="113">
        <f>SUM(QGDP_CP!BM18:BP18)</f>
        <v>271</v>
      </c>
      <c r="R58" s="113">
        <f>SUM(QGDP_CP!BQ18:BT18)</f>
        <v>417</v>
      </c>
      <c r="S58" s="113">
        <f>SUM(QGDP_CP!BU18:BX18)</f>
        <v>462</v>
      </c>
      <c r="T58" s="113">
        <f>SUM(QGDP_CP!BY18:CB18)</f>
        <v>383</v>
      </c>
      <c r="U58" s="113">
        <f>SUM(QGDP_CP!CC18:CE18)</f>
        <v>324</v>
      </c>
    </row>
    <row r="59" spans="1:21" x14ac:dyDescent="0.6">
      <c r="A59" s="182" t="s">
        <v>242</v>
      </c>
      <c r="B59" s="113">
        <f>SUM(QGDP_CP!E19:H19)</f>
        <v>35</v>
      </c>
      <c r="C59" s="113">
        <f>SUM(QGDP_CP!I19:L19)</f>
        <v>39</v>
      </c>
      <c r="D59" s="113">
        <f>SUM(QGDP_CP!M19:P19)</f>
        <v>52</v>
      </c>
      <c r="E59" s="113">
        <f>SUM(QGDP_CP!Q19:T19)</f>
        <v>72</v>
      </c>
      <c r="F59" s="113">
        <f>SUM(QGDP_CP!U19:X19)</f>
        <v>78</v>
      </c>
      <c r="G59" s="113">
        <f>SUM(QGDP_CP!Y19:AB19)</f>
        <v>83</v>
      </c>
      <c r="H59" s="113">
        <f>SUM(QGDP_CP!AC19:AF19)</f>
        <v>99</v>
      </c>
      <c r="I59" s="113">
        <f>SUM(QGDP_CP!BG19:BJ19)</f>
        <v>197</v>
      </c>
      <c r="J59" s="113">
        <f>SUM(QGDP_CP!AK19:AN19)</f>
        <v>122</v>
      </c>
      <c r="K59" s="113">
        <f>SUM(QGDP_CP!AO19:AR19)</f>
        <v>131</v>
      </c>
      <c r="L59" s="113">
        <f>SUM(QGDP_CP!AS19:AV19)</f>
        <v>140</v>
      </c>
      <c r="M59" s="113">
        <f>SUM(QGDP_CP!AW19:AZ19)</f>
        <v>159</v>
      </c>
      <c r="N59" s="113">
        <f>SUM(QGDP_CP!BA19:BD19)</f>
        <v>176</v>
      </c>
      <c r="O59" s="113">
        <f>SUM(QGDP_CP!BE19:BH19)</f>
        <v>192</v>
      </c>
      <c r="P59" s="113">
        <f>SUM(QGDP_CP!BJ19:BL19)</f>
        <v>146</v>
      </c>
      <c r="Q59" s="113">
        <f>SUM(QGDP_CP!BM19:BP19)</f>
        <v>250</v>
      </c>
      <c r="R59" s="113">
        <f>SUM(QGDP_CP!BQ19:BT19)</f>
        <v>302</v>
      </c>
      <c r="S59" s="113">
        <f>SUM(QGDP_CP!BU19:BX19)</f>
        <v>367</v>
      </c>
      <c r="T59" s="113">
        <f>SUM(QGDP_CP!BY19:CB19)</f>
        <v>486</v>
      </c>
      <c r="U59" s="113">
        <f>SUM(QGDP_CP!CC19:CE19)</f>
        <v>419</v>
      </c>
    </row>
    <row r="60" spans="1:21" x14ac:dyDescent="0.6">
      <c r="A60" s="182" t="s">
        <v>244</v>
      </c>
      <c r="B60" s="113">
        <f>SUM(QGDP_CP!E20:H20)</f>
        <v>49</v>
      </c>
      <c r="C60" s="113">
        <f>SUM(QGDP_CP!I20:L20)</f>
        <v>54</v>
      </c>
      <c r="D60" s="113">
        <f>SUM(QGDP_CP!M20:P20)</f>
        <v>63</v>
      </c>
      <c r="E60" s="113">
        <f>SUM(QGDP_CP!Q20:T20)</f>
        <v>62</v>
      </c>
      <c r="F60" s="113">
        <f>SUM(QGDP_CP!U20:X20)</f>
        <v>67</v>
      </c>
      <c r="G60" s="113">
        <f>SUM(QGDP_CP!Y20:AB20)</f>
        <v>81</v>
      </c>
      <c r="H60" s="113">
        <f>SUM(QGDP_CP!AC20:AF20)</f>
        <v>88</v>
      </c>
      <c r="I60" s="113">
        <f>SUM(QGDP_CP!BG20:BJ20)</f>
        <v>74</v>
      </c>
      <c r="J60" s="113">
        <f>SUM(QGDP_CP!AK20:AN20)</f>
        <v>23</v>
      </c>
      <c r="K60" s="113">
        <f>SUM(QGDP_CP!AO20:AR20)</f>
        <v>23</v>
      </c>
      <c r="L60" s="113">
        <f>SUM(QGDP_CP!AS20:AV20)</f>
        <v>25</v>
      </c>
      <c r="M60" s="113">
        <f>SUM(QGDP_CP!AW20:AZ20)</f>
        <v>33</v>
      </c>
      <c r="N60" s="113">
        <f>SUM(QGDP_CP!BA20:BD20)</f>
        <v>58</v>
      </c>
      <c r="O60" s="113">
        <f>SUM(QGDP_CP!BE20:BH20)</f>
        <v>69</v>
      </c>
      <c r="P60" s="113">
        <f>SUM(QGDP_CP!BJ20:BL20)</f>
        <v>59</v>
      </c>
      <c r="Q60" s="113">
        <f>SUM(QGDP_CP!BM20:BP20)</f>
        <v>88</v>
      </c>
      <c r="R60" s="113">
        <f>SUM(QGDP_CP!BQ20:BT20)</f>
        <v>96</v>
      </c>
      <c r="S60" s="113">
        <f>SUM(QGDP_CP!BU20:BX20)</f>
        <v>114</v>
      </c>
      <c r="T60" s="113">
        <f>SUM(QGDP_CP!BY20:CB20)</f>
        <v>134</v>
      </c>
      <c r="U60" s="113">
        <f>SUM(QGDP_CP!CC20:CE20)</f>
        <v>97</v>
      </c>
    </row>
    <row r="61" spans="1:21" x14ac:dyDescent="0.6">
      <c r="A61" s="182" t="s">
        <v>246</v>
      </c>
      <c r="B61" s="113">
        <f>SUM(QGDP_CP!E21:H21)</f>
        <v>9</v>
      </c>
      <c r="C61" s="113">
        <f>SUM(QGDP_CP!I21:L21)</f>
        <v>12</v>
      </c>
      <c r="D61" s="113">
        <f>SUM(QGDP_CP!M21:P21)</f>
        <v>12</v>
      </c>
      <c r="E61" s="113">
        <f>SUM(QGDP_CP!Q21:T21)</f>
        <v>13</v>
      </c>
      <c r="F61" s="113">
        <f>SUM(QGDP_CP!U21:X21)</f>
        <v>15</v>
      </c>
      <c r="G61" s="113">
        <f>SUM(QGDP_CP!Y21:AB21)</f>
        <v>15</v>
      </c>
      <c r="H61" s="113">
        <f>SUM(QGDP_CP!AC21:AF21)</f>
        <v>17</v>
      </c>
      <c r="I61" s="113">
        <f>SUM(QGDP_CP!BG21:BJ21)</f>
        <v>37</v>
      </c>
      <c r="J61" s="113">
        <f>SUM(QGDP_CP!AK21:AN21)</f>
        <v>20</v>
      </c>
      <c r="K61" s="113">
        <f>SUM(QGDP_CP!AO21:AR21)</f>
        <v>25</v>
      </c>
      <c r="L61" s="113">
        <f>SUM(QGDP_CP!AS21:AV21)</f>
        <v>28</v>
      </c>
      <c r="M61" s="113">
        <f>SUM(QGDP_CP!AW21:AZ21)</f>
        <v>26</v>
      </c>
      <c r="N61" s="113">
        <f>SUM(QGDP_CP!BA21:BD21)</f>
        <v>30</v>
      </c>
      <c r="O61" s="113">
        <f>SUM(QGDP_CP!BE21:BH21)</f>
        <v>40</v>
      </c>
      <c r="P61" s="113">
        <f>SUM(QGDP_CP!BJ21:BL21)</f>
        <v>30</v>
      </c>
      <c r="Q61" s="113">
        <f>SUM(QGDP_CP!BM21:BP21)</f>
        <v>52</v>
      </c>
      <c r="R61" s="113">
        <f>SUM(QGDP_CP!BQ21:BT21)</f>
        <v>53</v>
      </c>
      <c r="S61" s="113">
        <f>SUM(QGDP_CP!BU21:BX21)</f>
        <v>66</v>
      </c>
      <c r="T61" s="113">
        <f>SUM(QGDP_CP!BY21:CB21)</f>
        <v>79</v>
      </c>
      <c r="U61" s="113">
        <f>SUM(QGDP_CP!CC21:CE21)</f>
        <v>64</v>
      </c>
    </row>
    <row r="62" spans="1:21" x14ac:dyDescent="0.6">
      <c r="A62" s="182" t="s">
        <v>248</v>
      </c>
      <c r="B62" s="113">
        <f>SUM(QGDP_CP!E22:H22)</f>
        <v>14</v>
      </c>
      <c r="C62" s="113">
        <f>SUM(QGDP_CP!I22:L22)</f>
        <v>15</v>
      </c>
      <c r="D62" s="113">
        <f>SUM(QGDP_CP!M22:P22)</f>
        <v>17</v>
      </c>
      <c r="E62" s="113">
        <f>SUM(QGDP_CP!Q22:T22)</f>
        <v>17</v>
      </c>
      <c r="F62" s="113">
        <f>SUM(QGDP_CP!U22:X22)</f>
        <v>19</v>
      </c>
      <c r="G62" s="113">
        <f>SUM(QGDP_CP!Y22:AB22)</f>
        <v>23</v>
      </c>
      <c r="H62" s="113">
        <f>SUM(QGDP_CP!AC22:AF22)</f>
        <v>26</v>
      </c>
      <c r="I62" s="113">
        <f>SUM(QGDP_CP!BG22:BJ22)</f>
        <v>75</v>
      </c>
      <c r="J62" s="113">
        <f>SUM(QGDP_CP!AK22:AN22)</f>
        <v>27</v>
      </c>
      <c r="K62" s="113">
        <f>SUM(QGDP_CP!AO22:AR22)</f>
        <v>29</v>
      </c>
      <c r="L62" s="113">
        <f>SUM(QGDP_CP!AS22:AV22)</f>
        <v>30</v>
      </c>
      <c r="M62" s="113">
        <f>SUM(QGDP_CP!AW22:AZ22)</f>
        <v>34</v>
      </c>
      <c r="N62" s="113">
        <f>SUM(QGDP_CP!BA22:BD22)</f>
        <v>41</v>
      </c>
      <c r="O62" s="113">
        <f>SUM(QGDP_CP!BE22:BH22)</f>
        <v>64</v>
      </c>
      <c r="P62" s="113">
        <f>SUM(QGDP_CP!BJ22:BL22)</f>
        <v>67</v>
      </c>
      <c r="Q62" s="113">
        <f>SUM(QGDP_CP!BM22:BP22)</f>
        <v>113</v>
      </c>
      <c r="R62" s="113">
        <f>SUM(QGDP_CP!BQ22:BT22)</f>
        <v>169</v>
      </c>
      <c r="S62" s="113">
        <f>SUM(QGDP_CP!BU22:BX22)</f>
        <v>171</v>
      </c>
      <c r="T62" s="113">
        <f>SUM(QGDP_CP!BY22:CB22)</f>
        <v>187</v>
      </c>
      <c r="U62" s="113">
        <f>SUM(QGDP_CP!CC22:CE22)</f>
        <v>175</v>
      </c>
    </row>
    <row r="63" spans="1:21" x14ac:dyDescent="0.6">
      <c r="A63" s="182" t="s">
        <v>250</v>
      </c>
      <c r="B63" s="113">
        <f>SUM(QGDP_CP!E23:H23)</f>
        <v>8</v>
      </c>
      <c r="C63" s="113">
        <f>SUM(QGDP_CP!I23:L23)</f>
        <v>8</v>
      </c>
      <c r="D63" s="113">
        <f>SUM(QGDP_CP!M23:P23)</f>
        <v>9</v>
      </c>
      <c r="E63" s="113">
        <f>SUM(QGDP_CP!Q23:T23)</f>
        <v>10</v>
      </c>
      <c r="F63" s="113">
        <f>SUM(QGDP_CP!U23:X23)</f>
        <v>11</v>
      </c>
      <c r="G63" s="113">
        <f>SUM(QGDP_CP!Y23:AB23)</f>
        <v>14</v>
      </c>
      <c r="H63" s="113">
        <f>SUM(QGDP_CP!AC23:AF23)</f>
        <v>18</v>
      </c>
      <c r="I63" s="113">
        <f>SUM(QGDP_CP!BG23:BJ23)</f>
        <v>47</v>
      </c>
      <c r="J63" s="113">
        <f>SUM(QGDP_CP!AK23:AN23)</f>
        <v>22</v>
      </c>
      <c r="K63" s="113">
        <f>SUM(QGDP_CP!AO23:AR23)</f>
        <v>24</v>
      </c>
      <c r="L63" s="113">
        <f>SUM(QGDP_CP!AS23:AV23)</f>
        <v>30</v>
      </c>
      <c r="M63" s="113">
        <f>SUM(QGDP_CP!AW23:AZ23)</f>
        <v>34</v>
      </c>
      <c r="N63" s="113">
        <f>SUM(QGDP_CP!BA23:BD23)</f>
        <v>36</v>
      </c>
      <c r="O63" s="113">
        <f>SUM(QGDP_CP!BE23:BH23)</f>
        <v>49</v>
      </c>
      <c r="P63" s="113">
        <f>SUM(QGDP_CP!BJ23:BL23)</f>
        <v>41</v>
      </c>
      <c r="Q63" s="113">
        <f>SUM(QGDP_CP!BM23:BP23)</f>
        <v>58</v>
      </c>
      <c r="R63" s="113">
        <f>SUM(QGDP_CP!BQ23:BT23)</f>
        <v>82</v>
      </c>
      <c r="S63" s="113">
        <f>SUM(QGDP_CP!BU23:BX23)</f>
        <v>90</v>
      </c>
      <c r="T63" s="113">
        <f>SUM(QGDP_CP!BY23:CB23)</f>
        <v>121</v>
      </c>
      <c r="U63" s="113">
        <f>SUM(QGDP_CP!CC23:CE23)</f>
        <v>112</v>
      </c>
    </row>
    <row r="64" spans="1:21" x14ac:dyDescent="0.6">
      <c r="A64" s="182" t="s">
        <v>252</v>
      </c>
      <c r="B64" s="113">
        <f>SUM(QGDP_CP!E24:H24)</f>
        <v>4</v>
      </c>
      <c r="C64" s="113">
        <f>SUM(QGDP_CP!I24:L24)</f>
        <v>4</v>
      </c>
      <c r="D64" s="113">
        <f>SUM(QGDP_CP!M24:P24)</f>
        <v>6</v>
      </c>
      <c r="E64" s="113">
        <f>SUM(QGDP_CP!Q24:T24)</f>
        <v>6</v>
      </c>
      <c r="F64" s="113">
        <f>SUM(QGDP_CP!U24:X24)</f>
        <v>9</v>
      </c>
      <c r="G64" s="113">
        <f>SUM(QGDP_CP!Y24:AB24)</f>
        <v>13</v>
      </c>
      <c r="H64" s="113">
        <f>SUM(QGDP_CP!AC24:AF24)</f>
        <v>17</v>
      </c>
      <c r="I64" s="113">
        <f>SUM(QGDP_CP!BG24:BJ24)</f>
        <v>50</v>
      </c>
      <c r="J64" s="113">
        <f>SUM(QGDP_CP!AK24:AN24)</f>
        <v>18</v>
      </c>
      <c r="K64" s="113">
        <f>SUM(QGDP_CP!AO24:AR24)</f>
        <v>24</v>
      </c>
      <c r="L64" s="113">
        <f>SUM(QGDP_CP!AS24:AV24)</f>
        <v>28</v>
      </c>
      <c r="M64" s="113">
        <f>SUM(QGDP_CP!AW24:AZ24)</f>
        <v>32</v>
      </c>
      <c r="N64" s="113">
        <f>SUM(QGDP_CP!BA24:BD24)</f>
        <v>43</v>
      </c>
      <c r="O64" s="113">
        <f>SUM(QGDP_CP!BE24:BH24)</f>
        <v>53</v>
      </c>
      <c r="P64" s="113">
        <f>SUM(QGDP_CP!BJ24:BL24)</f>
        <v>48</v>
      </c>
      <c r="Q64" s="113">
        <f>SUM(QGDP_CP!BM24:BP24)</f>
        <v>67</v>
      </c>
      <c r="R64" s="113">
        <f>SUM(QGDP_CP!BQ24:BT24)</f>
        <v>78</v>
      </c>
      <c r="S64" s="113">
        <f>SUM(QGDP_CP!BU24:BX24)</f>
        <v>93</v>
      </c>
      <c r="T64" s="113">
        <f>SUM(QGDP_CP!BY24:CB24)</f>
        <v>117</v>
      </c>
      <c r="U64" s="113">
        <f>SUM(QGDP_CP!CC24:CE24)</f>
        <v>109</v>
      </c>
    </row>
    <row r="65" spans="1:21" x14ac:dyDescent="0.6">
      <c r="A65" s="182" t="s">
        <v>254</v>
      </c>
      <c r="B65" s="113">
        <f>SUM(QGDP_CP!E25:H25)</f>
        <v>10</v>
      </c>
      <c r="C65" s="113">
        <f>SUM(QGDP_CP!I25:L25)</f>
        <v>13</v>
      </c>
      <c r="D65" s="113">
        <f>SUM(QGDP_CP!M25:P25)</f>
        <v>17</v>
      </c>
      <c r="E65" s="113">
        <f>SUM(QGDP_CP!Q25:T25)</f>
        <v>17</v>
      </c>
      <c r="F65" s="113">
        <f>SUM(QGDP_CP!U25:X25)</f>
        <v>24</v>
      </c>
      <c r="G65" s="113">
        <f>SUM(QGDP_CP!Y25:AB25)</f>
        <v>32</v>
      </c>
      <c r="H65" s="113">
        <f>SUM(QGDP_CP!AC25:AF25)</f>
        <v>37</v>
      </c>
      <c r="I65" s="113">
        <f>SUM(QGDP_CP!BG25:BJ25)</f>
        <v>75</v>
      </c>
      <c r="J65" s="113">
        <f>SUM(QGDP_CP!AK25:AN25)</f>
        <v>47</v>
      </c>
      <c r="K65" s="113">
        <f>SUM(QGDP_CP!AO25:AR25)</f>
        <v>55</v>
      </c>
      <c r="L65" s="113">
        <f>SUM(QGDP_CP!AS25:AV25)</f>
        <v>51</v>
      </c>
      <c r="M65" s="113">
        <f>SUM(QGDP_CP!AW25:AZ25)</f>
        <v>62</v>
      </c>
      <c r="N65" s="113">
        <f>SUM(QGDP_CP!BA25:BD25)</f>
        <v>71</v>
      </c>
      <c r="O65" s="113">
        <f>SUM(QGDP_CP!BE25:BH25)</f>
        <v>78</v>
      </c>
      <c r="P65" s="113">
        <f>SUM(QGDP_CP!BJ25:BL25)</f>
        <v>57</v>
      </c>
      <c r="Q65" s="113">
        <f>SUM(QGDP_CP!BM25:BP25)</f>
        <v>95</v>
      </c>
      <c r="R65" s="113">
        <f>SUM(QGDP_CP!BQ25:BT25)</f>
        <v>107</v>
      </c>
      <c r="S65" s="113">
        <f>SUM(QGDP_CP!BU25:BX25)</f>
        <v>108</v>
      </c>
      <c r="T65" s="113">
        <f>SUM(QGDP_CP!BY25:CB25)</f>
        <v>110</v>
      </c>
      <c r="U65" s="113">
        <f>SUM(QGDP_CP!CC25:CE25)</f>
        <v>91</v>
      </c>
    </row>
    <row r="66" spans="1:21" x14ac:dyDescent="0.6">
      <c r="A66" s="180" t="s">
        <v>256</v>
      </c>
      <c r="B66" s="87">
        <f>SUM(QGDP_CP!E26:H26)</f>
        <v>11</v>
      </c>
      <c r="C66" s="87">
        <f>SUM(QGDP_CP!I26:L26)</f>
        <v>25</v>
      </c>
      <c r="D66" s="87">
        <f>SUM(QGDP_CP!M26:P26)</f>
        <v>17</v>
      </c>
      <c r="E66" s="87">
        <f>SUM(QGDP_CP!Q26:T26)</f>
        <v>20</v>
      </c>
      <c r="F66" s="87">
        <f>SUM(QGDP_CP!U26:X26)</f>
        <v>23</v>
      </c>
      <c r="G66" s="87">
        <f>SUM(QGDP_CP!Y26:AB26)</f>
        <v>28</v>
      </c>
      <c r="H66" s="87">
        <f>SUM(QGDP_CP!AC26:AF26)</f>
        <v>35</v>
      </c>
      <c r="I66" s="87">
        <f>SUM(QGDP_CP!BG26:BJ26)</f>
        <v>111</v>
      </c>
      <c r="J66" s="87">
        <f>SUM(QGDP_CP!AK26:AN26)</f>
        <v>45</v>
      </c>
      <c r="K66" s="87">
        <f>SUM(QGDP_CP!AO26:AR26)</f>
        <v>56</v>
      </c>
      <c r="L66" s="87">
        <f>SUM(QGDP_CP!AS26:AV26)</f>
        <v>77</v>
      </c>
      <c r="M66" s="87">
        <f>SUM(QGDP_CP!AW26:AZ26)</f>
        <v>84</v>
      </c>
      <c r="N66" s="87">
        <f>SUM(QGDP_CP!BA26:BD26)</f>
        <v>95</v>
      </c>
      <c r="O66" s="87">
        <f>SUM(QGDP_CP!BE26:BH26)</f>
        <v>109</v>
      </c>
      <c r="P66" s="87">
        <f>SUM(QGDP_CP!BJ26:BL26)</f>
        <v>94</v>
      </c>
      <c r="Q66" s="87">
        <f>SUM(QGDP_CP!BM26:BP26)</f>
        <v>136</v>
      </c>
      <c r="R66" s="87">
        <f>SUM(QGDP_CP!BQ26:BT26)</f>
        <v>107</v>
      </c>
      <c r="S66" s="87">
        <f>SUM(QGDP_CP!BU26:BX26)</f>
        <v>110</v>
      </c>
      <c r="T66" s="87">
        <f>SUM(QGDP_CP!BY26:CB26)</f>
        <v>147</v>
      </c>
      <c r="U66" s="87">
        <f>SUM(QGDP_CP!CC26:CE26)</f>
        <v>131</v>
      </c>
    </row>
    <row r="67" spans="1:21" x14ac:dyDescent="0.6">
      <c r="A67" s="180" t="s">
        <v>258</v>
      </c>
      <c r="B67" s="87">
        <f>SUM(QGDP_CP!E27:H27)</f>
        <v>9</v>
      </c>
      <c r="C67" s="87">
        <f>SUM(QGDP_CP!I27:L27)</f>
        <v>21</v>
      </c>
      <c r="D67" s="87">
        <f>SUM(QGDP_CP!M27:P27)</f>
        <v>13</v>
      </c>
      <c r="E67" s="87">
        <f>SUM(QGDP_CP!Q27:T27)</f>
        <v>16</v>
      </c>
      <c r="F67" s="87">
        <f>SUM(QGDP_CP!U27:X27)</f>
        <v>19</v>
      </c>
      <c r="G67" s="87">
        <f>SUM(QGDP_CP!Y27:AB27)</f>
        <v>22</v>
      </c>
      <c r="H67" s="87">
        <f>SUM(QGDP_CP!AC27:AF27)</f>
        <v>24</v>
      </c>
      <c r="I67" s="87">
        <f>SUM(QGDP_CP!BG27:BJ27)</f>
        <v>63</v>
      </c>
      <c r="J67" s="87">
        <f>SUM(QGDP_CP!AK27:AN27)</f>
        <v>27</v>
      </c>
      <c r="K67" s="87">
        <f>SUM(QGDP_CP!AO27:AR27)</f>
        <v>29</v>
      </c>
      <c r="L67" s="87">
        <f>SUM(QGDP_CP!AS27:AV27)</f>
        <v>32</v>
      </c>
      <c r="M67" s="87">
        <f>SUM(QGDP_CP!AW27:AZ27)</f>
        <v>32</v>
      </c>
      <c r="N67" s="87">
        <f>SUM(QGDP_CP!BA27:BD27)</f>
        <v>34</v>
      </c>
      <c r="O67" s="87">
        <f>SUM(QGDP_CP!BE27:BH27)</f>
        <v>59</v>
      </c>
      <c r="P67" s="87">
        <f>SUM(QGDP_CP!BJ27:BL27)</f>
        <v>49</v>
      </c>
      <c r="Q67" s="87">
        <f>SUM(QGDP_CP!BM27:BP27)</f>
        <v>70</v>
      </c>
      <c r="R67" s="87">
        <f>SUM(QGDP_CP!BQ27:BT27)</f>
        <v>73</v>
      </c>
      <c r="S67" s="87">
        <f>SUM(QGDP_CP!BU27:BX27)</f>
        <v>74</v>
      </c>
      <c r="T67" s="87">
        <f>SUM(QGDP_CP!BY27:CB27)</f>
        <v>78</v>
      </c>
      <c r="U67" s="87">
        <f>SUM(QGDP_CP!CC27:CE27)</f>
        <v>61</v>
      </c>
    </row>
    <row r="68" spans="1:21" x14ac:dyDescent="0.6">
      <c r="A68" s="180" t="s">
        <v>260</v>
      </c>
      <c r="B68" s="87">
        <f>SUM(QGDP_CP!E28:H28)</f>
        <v>87</v>
      </c>
      <c r="C68" s="87">
        <f>SUM(QGDP_CP!I28:L28)</f>
        <v>111</v>
      </c>
      <c r="D68" s="87">
        <f>SUM(QGDP_CP!M28:P28)</f>
        <v>164</v>
      </c>
      <c r="E68" s="87">
        <f>SUM(QGDP_CP!Q28:T28)</f>
        <v>185</v>
      </c>
      <c r="F68" s="87">
        <f>SUM(QGDP_CP!U28:X28)</f>
        <v>208</v>
      </c>
      <c r="G68" s="87">
        <f>SUM(QGDP_CP!Y28:AB28)</f>
        <v>272</v>
      </c>
      <c r="H68" s="87">
        <f>SUM(QGDP_CP!AC28:AF28)</f>
        <v>331</v>
      </c>
      <c r="I68" s="87">
        <f>SUM(QGDP_CP!BG28:BJ28)</f>
        <v>812</v>
      </c>
      <c r="J68" s="87">
        <f>SUM(QGDP_CP!AK28:AN28)</f>
        <v>413</v>
      </c>
      <c r="K68" s="87">
        <f>SUM(QGDP_CP!AO28:AR28)</f>
        <v>464</v>
      </c>
      <c r="L68" s="87">
        <f>SUM(QGDP_CP!AS28:AV28)</f>
        <v>474</v>
      </c>
      <c r="M68" s="87">
        <f>SUM(QGDP_CP!AW28:AZ28)</f>
        <v>458</v>
      </c>
      <c r="N68" s="87">
        <f>SUM(QGDP_CP!BA28:BD28)</f>
        <v>526</v>
      </c>
      <c r="O68" s="87">
        <f>SUM(QGDP_CP!BE28:BH28)</f>
        <v>761</v>
      </c>
      <c r="P68" s="87">
        <f>SUM(QGDP_CP!BJ28:BL28)</f>
        <v>568</v>
      </c>
      <c r="Q68" s="87">
        <f>SUM(QGDP_CP!BM28:BP28)</f>
        <v>902</v>
      </c>
      <c r="R68" s="87">
        <f>SUM(QGDP_CP!BQ28:BT28)</f>
        <v>1290</v>
      </c>
      <c r="S68" s="87">
        <f>SUM(QGDP_CP!BU28:BX28)</f>
        <v>1749</v>
      </c>
      <c r="T68" s="87">
        <f>SUM(QGDP_CP!BY28:CB28)</f>
        <v>2199</v>
      </c>
      <c r="U68" s="87">
        <f>SUM(QGDP_CP!CC28:CE28)</f>
        <v>1829</v>
      </c>
    </row>
    <row r="69" spans="1:21" x14ac:dyDescent="0.6">
      <c r="A69" s="178" t="s">
        <v>262</v>
      </c>
      <c r="B69" s="83">
        <f>SUM(QGDP_CP!E29:H29)</f>
        <v>829</v>
      </c>
      <c r="C69" s="83">
        <f>SUM(QGDP_CP!I29:L29)</f>
        <v>1072</v>
      </c>
      <c r="D69" s="83">
        <f>SUM(QGDP_CP!M29:P29)</f>
        <v>1397</v>
      </c>
      <c r="E69" s="83">
        <f>SUM(QGDP_CP!Q29:T29)</f>
        <v>1597</v>
      </c>
      <c r="F69" s="83">
        <f>SUM(QGDP_CP!U29:X29)</f>
        <v>1781</v>
      </c>
      <c r="G69" s="83">
        <f>SUM(QGDP_CP!Y29:AB29)</f>
        <v>1980</v>
      </c>
      <c r="H69" s="83">
        <f>SUM(QGDP_CP!AC29:AF29)</f>
        <v>2298</v>
      </c>
      <c r="I69" s="83">
        <f>SUM(QGDP_CP!BG29:BJ29)</f>
        <v>4755</v>
      </c>
      <c r="J69" s="83">
        <f>SUM(QGDP_CP!AK29:AN29)</f>
        <v>2767</v>
      </c>
      <c r="K69" s="83">
        <f>SUM(QGDP_CP!AO29:AR29)</f>
        <v>3059</v>
      </c>
      <c r="L69" s="83">
        <f>SUM(QGDP_CP!AS29:AV29)</f>
        <v>3374</v>
      </c>
      <c r="M69" s="83">
        <f>SUM(QGDP_CP!AW29:AZ29)</f>
        <v>3683</v>
      </c>
      <c r="N69" s="83">
        <f>SUM(QGDP_CP!BA29:BD29)</f>
        <v>4225</v>
      </c>
      <c r="O69" s="83">
        <f>SUM(QGDP_CP!BE29:BH29)</f>
        <v>4813</v>
      </c>
      <c r="P69" s="83">
        <f>SUM(QGDP_CP!BJ29:BL29)</f>
        <v>3662</v>
      </c>
      <c r="Q69" s="83">
        <f>SUM(QGDP_CP!BM29:BP29)</f>
        <v>5750</v>
      </c>
      <c r="R69" s="83">
        <f>SUM(QGDP_CP!BQ29:BT29)</f>
        <v>7203</v>
      </c>
      <c r="S69" s="83">
        <f>SUM(QGDP_CP!BU29:BX29)</f>
        <v>8646</v>
      </c>
      <c r="T69" s="83">
        <f>SUM(QGDP_CP!BY29:CB29)</f>
        <v>10397</v>
      </c>
      <c r="U69" s="83">
        <f>SUM(QGDP_CP!CC29:CE29)</f>
        <v>8752</v>
      </c>
    </row>
    <row r="70" spans="1:21" x14ac:dyDescent="0.6">
      <c r="A70" s="178" t="s">
        <v>264</v>
      </c>
      <c r="B70" s="83">
        <f>SUM(QGDP_CP!E30:H30)</f>
        <v>207</v>
      </c>
      <c r="C70" s="83">
        <f>SUM(QGDP_CP!I30:L30)</f>
        <v>259</v>
      </c>
      <c r="D70" s="83">
        <f>SUM(QGDP_CP!M30:P30)</f>
        <v>376</v>
      </c>
      <c r="E70" s="83">
        <f>SUM(QGDP_CP!Q30:T30)</f>
        <v>417</v>
      </c>
      <c r="F70" s="83">
        <f>SUM(QGDP_CP!U30:X30)</f>
        <v>474</v>
      </c>
      <c r="G70" s="83">
        <f>SUM(QGDP_CP!Y30:AB30)</f>
        <v>538</v>
      </c>
      <c r="H70" s="83">
        <f>SUM(QGDP_CP!AC30:AF30)</f>
        <v>649</v>
      </c>
      <c r="I70" s="83">
        <f>SUM(QGDP_CP!BG30:BJ30)</f>
        <v>1387</v>
      </c>
      <c r="J70" s="83">
        <f>SUM(QGDP_CP!AK30:AN30)</f>
        <v>754</v>
      </c>
      <c r="K70" s="83">
        <f>SUM(QGDP_CP!AO30:AR30)</f>
        <v>823</v>
      </c>
      <c r="L70" s="83">
        <f>SUM(QGDP_CP!AS30:AV30)</f>
        <v>897</v>
      </c>
      <c r="M70" s="83">
        <f>SUM(QGDP_CP!AW30:AZ30)</f>
        <v>991</v>
      </c>
      <c r="N70" s="83">
        <f>SUM(QGDP_CP!BA30:BD30)</f>
        <v>1223</v>
      </c>
      <c r="O70" s="83">
        <f>SUM(QGDP_CP!BE30:BH30)</f>
        <v>1424</v>
      </c>
      <c r="P70" s="83">
        <f>SUM(QGDP_CP!BJ30:BL30)</f>
        <v>1086</v>
      </c>
      <c r="Q70" s="83">
        <f>SUM(QGDP_CP!BM30:BP30)</f>
        <v>1731</v>
      </c>
      <c r="R70" s="83">
        <f>SUM(QGDP_CP!BQ30:BT30)</f>
        <v>2286</v>
      </c>
      <c r="S70" s="83">
        <f>SUM(QGDP_CP!BU30:BX30)</f>
        <v>2663</v>
      </c>
      <c r="T70" s="83">
        <f>SUM(QGDP_CP!BY30:CB30)</f>
        <v>3594</v>
      </c>
      <c r="U70" s="83">
        <f>SUM(QGDP_CP!CC30:CE30)</f>
        <v>3131</v>
      </c>
    </row>
    <row r="71" spans="1:21" x14ac:dyDescent="0.6">
      <c r="A71" s="180" t="s">
        <v>266</v>
      </c>
      <c r="B71" s="87">
        <f>SUM(QGDP_CP!E31:H31)</f>
        <v>8</v>
      </c>
      <c r="C71" s="87">
        <f>SUM(QGDP_CP!I31:L31)</f>
        <v>11</v>
      </c>
      <c r="D71" s="87">
        <f>SUM(QGDP_CP!M31:P31)</f>
        <v>17</v>
      </c>
      <c r="E71" s="87">
        <f>SUM(QGDP_CP!Q31:T31)</f>
        <v>20</v>
      </c>
      <c r="F71" s="87">
        <f>SUM(QGDP_CP!U31:X31)</f>
        <v>21</v>
      </c>
      <c r="G71" s="87">
        <f>SUM(QGDP_CP!Y31:AB31)</f>
        <v>24</v>
      </c>
      <c r="H71" s="87">
        <f>SUM(QGDP_CP!AC31:AF31)</f>
        <v>28</v>
      </c>
      <c r="I71" s="87">
        <f>SUM(QGDP_CP!BG31:BJ31)</f>
        <v>61</v>
      </c>
      <c r="J71" s="87">
        <f>SUM(QGDP_CP!AK31:AN31)</f>
        <v>32</v>
      </c>
      <c r="K71" s="87">
        <f>SUM(QGDP_CP!AO31:AR31)</f>
        <v>33</v>
      </c>
      <c r="L71" s="87">
        <f>SUM(QGDP_CP!AS31:AV31)</f>
        <v>38</v>
      </c>
      <c r="M71" s="87">
        <f>SUM(QGDP_CP!AW31:AZ31)</f>
        <v>40</v>
      </c>
      <c r="N71" s="87">
        <f>SUM(QGDP_CP!BA31:BD31)</f>
        <v>47</v>
      </c>
      <c r="O71" s="87">
        <f>SUM(QGDP_CP!BE31:BH31)</f>
        <v>55</v>
      </c>
      <c r="P71" s="87">
        <f>SUM(QGDP_CP!BJ31:BL31)</f>
        <v>54</v>
      </c>
      <c r="Q71" s="87">
        <f>SUM(QGDP_CP!BM31:BP31)</f>
        <v>83</v>
      </c>
      <c r="R71" s="87">
        <f>SUM(QGDP_CP!BQ31:BT31)</f>
        <v>97</v>
      </c>
      <c r="S71" s="87">
        <f>SUM(QGDP_CP!BU31:BX31)</f>
        <v>109</v>
      </c>
      <c r="T71" s="87">
        <f>SUM(QGDP_CP!BY31:CB31)</f>
        <v>128</v>
      </c>
      <c r="U71" s="87">
        <f>SUM(QGDP_CP!CC31:CE31)</f>
        <v>131</v>
      </c>
    </row>
    <row r="72" spans="1:21" x14ac:dyDescent="0.6">
      <c r="A72" s="180" t="s">
        <v>268</v>
      </c>
      <c r="B72" s="87">
        <f>SUM(QGDP_CP!E32:H32)</f>
        <v>130</v>
      </c>
      <c r="C72" s="87">
        <f>SUM(QGDP_CP!I32:L32)</f>
        <v>164</v>
      </c>
      <c r="D72" s="87">
        <f>SUM(QGDP_CP!M32:P32)</f>
        <v>246</v>
      </c>
      <c r="E72" s="87">
        <f>SUM(QGDP_CP!Q32:T32)</f>
        <v>267</v>
      </c>
      <c r="F72" s="87">
        <f>SUM(QGDP_CP!U32:X32)</f>
        <v>301</v>
      </c>
      <c r="G72" s="87">
        <f>SUM(QGDP_CP!Y32:AB32)</f>
        <v>344</v>
      </c>
      <c r="H72" s="87">
        <f>SUM(QGDP_CP!AC32:AF32)</f>
        <v>408</v>
      </c>
      <c r="I72" s="87">
        <f>SUM(QGDP_CP!BG32:BJ32)</f>
        <v>685</v>
      </c>
      <c r="J72" s="87">
        <f>SUM(QGDP_CP!AK32:AN32)</f>
        <v>482</v>
      </c>
      <c r="K72" s="87">
        <f>SUM(QGDP_CP!AO32:AR32)</f>
        <v>529</v>
      </c>
      <c r="L72" s="87">
        <f>SUM(QGDP_CP!AS32:AV32)</f>
        <v>560</v>
      </c>
      <c r="M72" s="87">
        <f>SUM(QGDP_CP!AW32:AZ32)</f>
        <v>597</v>
      </c>
      <c r="N72" s="87">
        <f>SUM(QGDP_CP!BA32:BD32)</f>
        <v>682</v>
      </c>
      <c r="O72" s="87">
        <f>SUM(QGDP_CP!BE32:BH32)</f>
        <v>734</v>
      </c>
      <c r="P72" s="87">
        <f>SUM(QGDP_CP!BJ32:BL32)</f>
        <v>552</v>
      </c>
      <c r="Q72" s="87">
        <f>SUM(QGDP_CP!BM32:BP32)</f>
        <v>899</v>
      </c>
      <c r="R72" s="87">
        <f>SUM(QGDP_CP!BQ32:BT32)</f>
        <v>1131</v>
      </c>
      <c r="S72" s="87">
        <f>SUM(QGDP_CP!BU32:BX32)</f>
        <v>1377</v>
      </c>
      <c r="T72" s="87">
        <f>SUM(QGDP_CP!BY32:CB32)</f>
        <v>1822</v>
      </c>
      <c r="U72" s="87">
        <f>SUM(QGDP_CP!CC32:CE32)</f>
        <v>1585</v>
      </c>
    </row>
    <row r="73" spans="1:21" x14ac:dyDescent="0.6">
      <c r="A73" s="180" t="s">
        <v>270</v>
      </c>
      <c r="B73" s="87">
        <f>SUM(QGDP_CP!E33:H33)</f>
        <v>67</v>
      </c>
      <c r="C73" s="87">
        <f>SUM(QGDP_CP!I33:L33)</f>
        <v>84</v>
      </c>
      <c r="D73" s="87">
        <f>SUM(QGDP_CP!M33:P33)</f>
        <v>115</v>
      </c>
      <c r="E73" s="87">
        <f>SUM(QGDP_CP!Q33:T33)</f>
        <v>131</v>
      </c>
      <c r="F73" s="87">
        <f>SUM(QGDP_CP!U33:X33)</f>
        <v>152</v>
      </c>
      <c r="G73" s="87">
        <f>SUM(QGDP_CP!Y33:AB33)</f>
        <v>171</v>
      </c>
      <c r="H73" s="87">
        <f>SUM(QGDP_CP!AC33:AF33)</f>
        <v>214</v>
      </c>
      <c r="I73" s="87">
        <f>SUM(QGDP_CP!BG33:BJ33)</f>
        <v>642</v>
      </c>
      <c r="J73" s="87">
        <f>SUM(QGDP_CP!AK33:AN33)</f>
        <v>242</v>
      </c>
      <c r="K73" s="87">
        <f>SUM(QGDP_CP!AO33:AR33)</f>
        <v>263</v>
      </c>
      <c r="L73" s="87">
        <f>SUM(QGDP_CP!AS33:AV33)</f>
        <v>301</v>
      </c>
      <c r="M73" s="87">
        <f>SUM(QGDP_CP!AW33:AZ33)</f>
        <v>356</v>
      </c>
      <c r="N73" s="87">
        <f>SUM(QGDP_CP!BA33:BD33)</f>
        <v>492</v>
      </c>
      <c r="O73" s="87">
        <f>SUM(QGDP_CP!BE33:BH33)</f>
        <v>635</v>
      </c>
      <c r="P73" s="87">
        <f>SUM(QGDP_CP!BJ33:BL33)</f>
        <v>480</v>
      </c>
      <c r="Q73" s="87">
        <f>SUM(QGDP_CP!BM33:BP33)</f>
        <v>747</v>
      </c>
      <c r="R73" s="87">
        <f>SUM(QGDP_CP!BQ33:BT33)</f>
        <v>1058</v>
      </c>
      <c r="S73" s="87">
        <f>SUM(QGDP_CP!BU33:BX33)</f>
        <v>1177</v>
      </c>
      <c r="T73" s="87">
        <f>SUM(QGDP_CP!BY33:CB33)</f>
        <v>1644</v>
      </c>
      <c r="U73" s="87">
        <f>SUM(QGDP_CP!CC33:CE33)</f>
        <v>1416</v>
      </c>
    </row>
    <row r="74" spans="1:21" x14ac:dyDescent="0.6">
      <c r="A74" s="178" t="s">
        <v>272</v>
      </c>
      <c r="B74" s="83">
        <f>SUM(QGDP_CP!E34:H34)</f>
        <v>621</v>
      </c>
      <c r="C74" s="83">
        <f>SUM(QGDP_CP!I34:L34)</f>
        <v>814</v>
      </c>
      <c r="D74" s="83">
        <f>SUM(QGDP_CP!M34:P34)</f>
        <v>1020</v>
      </c>
      <c r="E74" s="83">
        <f>SUM(QGDP_CP!Q34:T34)</f>
        <v>1180</v>
      </c>
      <c r="F74" s="83">
        <f>SUM(QGDP_CP!U34:X34)</f>
        <v>1306</v>
      </c>
      <c r="G74" s="83">
        <f>SUM(QGDP_CP!Y34:AB34)</f>
        <v>1441</v>
      </c>
      <c r="H74" s="83">
        <f>SUM(QGDP_CP!AC34:AF34)</f>
        <v>1648</v>
      </c>
      <c r="I74" s="83">
        <f>SUM(QGDP_CP!BG34:BJ34)</f>
        <v>3368</v>
      </c>
      <c r="J74" s="83">
        <f>SUM(QGDP_CP!AK34:AN34)</f>
        <v>2013</v>
      </c>
      <c r="K74" s="83">
        <f>SUM(QGDP_CP!AO34:AR34)</f>
        <v>2234</v>
      </c>
      <c r="L74" s="83">
        <f>SUM(QGDP_CP!AS34:AV34)</f>
        <v>2478</v>
      </c>
      <c r="M74" s="83">
        <f>SUM(QGDP_CP!AW34:AZ34)</f>
        <v>2693</v>
      </c>
      <c r="N74" s="83">
        <f>SUM(QGDP_CP!BA34:BD34)</f>
        <v>3004</v>
      </c>
      <c r="O74" s="83">
        <f>SUM(QGDP_CP!BE34:BH34)</f>
        <v>3389</v>
      </c>
      <c r="P74" s="83">
        <f>SUM(QGDP_CP!BJ34:BL34)</f>
        <v>2576</v>
      </c>
      <c r="Q74" s="83">
        <f>SUM(QGDP_CP!BM34:BP34)</f>
        <v>4020</v>
      </c>
      <c r="R74" s="83">
        <f>SUM(QGDP_CP!BQ34:BT34)</f>
        <v>4917</v>
      </c>
      <c r="S74" s="83">
        <f>SUM(QGDP_CP!BU34:BX34)</f>
        <v>5983</v>
      </c>
      <c r="T74" s="83">
        <f>SUM(QGDP_CP!BY34:CB34)</f>
        <v>6802</v>
      </c>
      <c r="U74" s="83">
        <f>SUM(QGDP_CP!CC34:CE34)</f>
        <v>5621</v>
      </c>
    </row>
    <row r="75" spans="1:21" x14ac:dyDescent="0.6">
      <c r="A75" s="180" t="s">
        <v>274</v>
      </c>
      <c r="B75" s="87">
        <f>SUM(QGDP_CP!E35:H35)</f>
        <v>49</v>
      </c>
      <c r="C75" s="87">
        <f>SUM(QGDP_CP!I35:L35)</f>
        <v>59</v>
      </c>
      <c r="D75" s="87">
        <f>SUM(QGDP_CP!M35:P35)</f>
        <v>71</v>
      </c>
      <c r="E75" s="87">
        <f>SUM(QGDP_CP!Q35:T35)</f>
        <v>75</v>
      </c>
      <c r="F75" s="87">
        <f>SUM(QGDP_CP!U35:X35)</f>
        <v>84</v>
      </c>
      <c r="G75" s="87">
        <f>SUM(QGDP_CP!Y35:AB35)</f>
        <v>90</v>
      </c>
      <c r="H75" s="87">
        <f>SUM(QGDP_CP!AC35:AF35)</f>
        <v>96</v>
      </c>
      <c r="I75" s="87">
        <f>SUM(QGDP_CP!BG35:BJ35)</f>
        <v>190</v>
      </c>
      <c r="J75" s="87">
        <f>SUM(QGDP_CP!AK35:AN35)</f>
        <v>119</v>
      </c>
      <c r="K75" s="87">
        <f>SUM(QGDP_CP!AO35:AR35)</f>
        <v>133</v>
      </c>
      <c r="L75" s="87">
        <f>SUM(QGDP_CP!AS35:AV35)</f>
        <v>154</v>
      </c>
      <c r="M75" s="87">
        <f>SUM(QGDP_CP!AW35:AZ35)</f>
        <v>140</v>
      </c>
      <c r="N75" s="87">
        <f>SUM(QGDP_CP!BA35:BD35)</f>
        <v>180</v>
      </c>
      <c r="O75" s="87">
        <f>SUM(QGDP_CP!BE35:BH35)</f>
        <v>224</v>
      </c>
      <c r="P75" s="87">
        <f>SUM(QGDP_CP!BJ35:BL35)</f>
        <v>95</v>
      </c>
      <c r="Q75" s="87">
        <f>SUM(QGDP_CP!BM35:BP35)</f>
        <v>182</v>
      </c>
      <c r="R75" s="87">
        <f>SUM(QGDP_CP!BQ35:BT35)</f>
        <v>366</v>
      </c>
      <c r="S75" s="87">
        <f>SUM(QGDP_CP!BU35:BX35)</f>
        <v>426</v>
      </c>
      <c r="T75" s="87">
        <f>SUM(QGDP_CP!BY35:CB35)</f>
        <v>681</v>
      </c>
      <c r="U75" s="87">
        <f>SUM(QGDP_CP!CC35:CE35)</f>
        <v>641</v>
      </c>
    </row>
    <row r="76" spans="1:21" x14ac:dyDescent="0.6">
      <c r="A76" s="180" t="s">
        <v>276</v>
      </c>
      <c r="B76" s="87">
        <f>SUM(QGDP_CP!E36:H36)</f>
        <v>33</v>
      </c>
      <c r="C76" s="87">
        <f>SUM(QGDP_CP!I36:L36)</f>
        <v>45</v>
      </c>
      <c r="D76" s="87">
        <f>SUM(QGDP_CP!M36:P36)</f>
        <v>58</v>
      </c>
      <c r="E76" s="87">
        <f>SUM(QGDP_CP!Q36:T36)</f>
        <v>67</v>
      </c>
      <c r="F76" s="87">
        <f>SUM(QGDP_CP!U36:X36)</f>
        <v>77</v>
      </c>
      <c r="G76" s="87">
        <f>SUM(QGDP_CP!Y36:AB36)</f>
        <v>86</v>
      </c>
      <c r="H76" s="87">
        <f>SUM(QGDP_CP!AC36:AF36)</f>
        <v>109</v>
      </c>
      <c r="I76" s="87">
        <f>SUM(QGDP_CP!BG36:BJ36)</f>
        <v>219</v>
      </c>
      <c r="J76" s="87">
        <f>SUM(QGDP_CP!AK36:AN36)</f>
        <v>118</v>
      </c>
      <c r="K76" s="87">
        <f>SUM(QGDP_CP!AO36:AR36)</f>
        <v>135</v>
      </c>
      <c r="L76" s="87">
        <f>SUM(QGDP_CP!AS36:AV36)</f>
        <v>138</v>
      </c>
      <c r="M76" s="87">
        <f>SUM(QGDP_CP!AW36:AZ36)</f>
        <v>134</v>
      </c>
      <c r="N76" s="87">
        <f>SUM(QGDP_CP!BA36:BD36)</f>
        <v>152</v>
      </c>
      <c r="O76" s="87">
        <f>SUM(QGDP_CP!BE36:BH36)</f>
        <v>208</v>
      </c>
      <c r="P76" s="87">
        <f>SUM(QGDP_CP!BJ36:BL36)</f>
        <v>180</v>
      </c>
      <c r="Q76" s="87">
        <f>SUM(QGDP_CP!BM36:BP36)</f>
        <v>270</v>
      </c>
      <c r="R76" s="87">
        <f>SUM(QGDP_CP!BQ36:BT36)</f>
        <v>266</v>
      </c>
      <c r="S76" s="87">
        <f>SUM(QGDP_CP!BU36:BX36)</f>
        <v>340</v>
      </c>
      <c r="T76" s="87">
        <f>SUM(QGDP_CP!BY36:CB36)</f>
        <v>432</v>
      </c>
      <c r="U76" s="87">
        <f>SUM(QGDP_CP!CC36:CE36)</f>
        <v>316</v>
      </c>
    </row>
    <row r="77" spans="1:21" x14ac:dyDescent="0.6">
      <c r="A77" s="180" t="s">
        <v>278</v>
      </c>
      <c r="B77" s="87">
        <f>SUM(QGDP_CP!E37:H37)</f>
        <v>44</v>
      </c>
      <c r="C77" s="87">
        <f>SUM(QGDP_CP!I37:L37)</f>
        <v>54</v>
      </c>
      <c r="D77" s="87">
        <f>SUM(QGDP_CP!M37:P37)</f>
        <v>60</v>
      </c>
      <c r="E77" s="87">
        <f>SUM(QGDP_CP!Q37:T37)</f>
        <v>60</v>
      </c>
      <c r="F77" s="87">
        <f>SUM(QGDP_CP!U37:X37)</f>
        <v>75</v>
      </c>
      <c r="G77" s="87">
        <f>SUM(QGDP_CP!Y37:AB37)</f>
        <v>94</v>
      </c>
      <c r="H77" s="87">
        <f>SUM(QGDP_CP!AC37:AF37)</f>
        <v>121</v>
      </c>
      <c r="I77" s="87">
        <f>SUM(QGDP_CP!BG37:BJ37)</f>
        <v>240</v>
      </c>
      <c r="J77" s="87">
        <f>SUM(QGDP_CP!AK37:AN37)</f>
        <v>146</v>
      </c>
      <c r="K77" s="87">
        <f>SUM(QGDP_CP!AO37:AR37)</f>
        <v>160</v>
      </c>
      <c r="L77" s="87">
        <f>SUM(QGDP_CP!AS37:AV37)</f>
        <v>164</v>
      </c>
      <c r="M77" s="87">
        <f>SUM(QGDP_CP!AW37:AZ37)</f>
        <v>191</v>
      </c>
      <c r="N77" s="87">
        <f>SUM(QGDP_CP!BA37:BD37)</f>
        <v>216</v>
      </c>
      <c r="O77" s="87">
        <f>SUM(QGDP_CP!BE37:BH37)</f>
        <v>250</v>
      </c>
      <c r="P77" s="87">
        <f>SUM(QGDP_CP!BJ37:BL37)</f>
        <v>194</v>
      </c>
      <c r="Q77" s="87">
        <f>SUM(QGDP_CP!BM37:BP37)</f>
        <v>345</v>
      </c>
      <c r="R77" s="87">
        <f>SUM(QGDP_CP!BQ37:BT37)</f>
        <v>475</v>
      </c>
      <c r="S77" s="87">
        <f>SUM(QGDP_CP!BU37:BX37)</f>
        <v>527</v>
      </c>
      <c r="T77" s="87">
        <f>SUM(QGDP_CP!BY37:CB37)</f>
        <v>498</v>
      </c>
      <c r="U77" s="87">
        <f>SUM(QGDP_CP!CC37:CE37)</f>
        <v>432</v>
      </c>
    </row>
    <row r="78" spans="1:21" x14ac:dyDescent="0.6">
      <c r="A78" s="180" t="s">
        <v>280</v>
      </c>
      <c r="B78" s="87">
        <f>SUM(QGDP_CP!E38:H38)</f>
        <v>133</v>
      </c>
      <c r="C78" s="87">
        <f>SUM(QGDP_CP!I38:L38)</f>
        <v>203</v>
      </c>
      <c r="D78" s="87">
        <f>SUM(QGDP_CP!M38:P38)</f>
        <v>280</v>
      </c>
      <c r="E78" s="87">
        <f>SUM(QGDP_CP!Q38:T38)</f>
        <v>340</v>
      </c>
      <c r="F78" s="87">
        <f>SUM(QGDP_CP!U38:X38)</f>
        <v>356</v>
      </c>
      <c r="G78" s="87">
        <f>SUM(QGDP_CP!Y38:AB38)</f>
        <v>375</v>
      </c>
      <c r="H78" s="87">
        <f>SUM(QGDP_CP!AC38:AF38)</f>
        <v>370</v>
      </c>
      <c r="I78" s="87">
        <f>SUM(QGDP_CP!BG38:BJ38)</f>
        <v>758</v>
      </c>
      <c r="J78" s="87">
        <f>SUM(QGDP_CP!AK38:AN38)</f>
        <v>401</v>
      </c>
      <c r="K78" s="87">
        <f>SUM(QGDP_CP!AO38:AR38)</f>
        <v>429</v>
      </c>
      <c r="L78" s="87">
        <f>SUM(QGDP_CP!AS38:AV38)</f>
        <v>488</v>
      </c>
      <c r="M78" s="87">
        <f>SUM(QGDP_CP!AW38:AZ38)</f>
        <v>559</v>
      </c>
      <c r="N78" s="87">
        <f>SUM(QGDP_CP!BA38:BD38)</f>
        <v>655</v>
      </c>
      <c r="O78" s="87">
        <f>SUM(QGDP_CP!BE38:BH38)</f>
        <v>755</v>
      </c>
      <c r="P78" s="87">
        <f>SUM(QGDP_CP!BJ38:BL38)</f>
        <v>616</v>
      </c>
      <c r="Q78" s="87">
        <f>SUM(QGDP_CP!BM38:BP38)</f>
        <v>926</v>
      </c>
      <c r="R78" s="87">
        <f>SUM(QGDP_CP!BQ38:BT38)</f>
        <v>1041</v>
      </c>
      <c r="S78" s="87">
        <f>SUM(QGDP_CP!BU38:BX38)</f>
        <v>1288</v>
      </c>
      <c r="T78" s="87">
        <f>SUM(QGDP_CP!BY38:CB38)</f>
        <v>1372</v>
      </c>
      <c r="U78" s="87">
        <f>SUM(QGDP_CP!CC38:CE38)</f>
        <v>992</v>
      </c>
    </row>
    <row r="79" spans="1:21" x14ac:dyDescent="0.6">
      <c r="A79" s="180" t="s">
        <v>282</v>
      </c>
      <c r="B79" s="87">
        <f>SUM(QGDP_CP!E39:H39)</f>
        <v>34</v>
      </c>
      <c r="C79" s="87">
        <f>SUM(QGDP_CP!I39:L39)</f>
        <v>52</v>
      </c>
      <c r="D79" s="87">
        <f>SUM(QGDP_CP!M39:P39)</f>
        <v>71</v>
      </c>
      <c r="E79" s="87">
        <f>SUM(QGDP_CP!Q39:T39)</f>
        <v>87</v>
      </c>
      <c r="F79" s="87">
        <f>SUM(QGDP_CP!U39:X39)</f>
        <v>90</v>
      </c>
      <c r="G79" s="87">
        <f>SUM(QGDP_CP!Y39:AB39)</f>
        <v>96</v>
      </c>
      <c r="H79" s="87">
        <f>SUM(QGDP_CP!AC39:AF39)</f>
        <v>107</v>
      </c>
      <c r="I79" s="87">
        <f>SUM(QGDP_CP!BG39:BJ39)</f>
        <v>247</v>
      </c>
      <c r="J79" s="87">
        <f>SUM(QGDP_CP!AK39:AN39)</f>
        <v>110</v>
      </c>
      <c r="K79" s="87">
        <f>SUM(QGDP_CP!AO39:AR39)</f>
        <v>128</v>
      </c>
      <c r="L79" s="87">
        <f>SUM(QGDP_CP!AS39:AV39)</f>
        <v>144</v>
      </c>
      <c r="M79" s="87">
        <f>SUM(QGDP_CP!AW39:AZ39)</f>
        <v>164</v>
      </c>
      <c r="N79" s="87">
        <f>SUM(QGDP_CP!BA39:BD39)</f>
        <v>194</v>
      </c>
      <c r="O79" s="87">
        <f>SUM(QGDP_CP!BE39:BH39)</f>
        <v>233</v>
      </c>
      <c r="P79" s="87">
        <f>SUM(QGDP_CP!BJ39:BL39)</f>
        <v>205</v>
      </c>
      <c r="Q79" s="87">
        <f>SUM(QGDP_CP!BM39:BP39)</f>
        <v>326</v>
      </c>
      <c r="R79" s="87">
        <f>SUM(QGDP_CP!BQ39:BT39)</f>
        <v>402</v>
      </c>
      <c r="S79" s="87">
        <f>SUM(QGDP_CP!BU39:BX39)</f>
        <v>513</v>
      </c>
      <c r="T79" s="87">
        <f>SUM(QGDP_CP!BY39:CB39)</f>
        <v>588</v>
      </c>
      <c r="U79" s="87">
        <f>SUM(QGDP_CP!CC39:CE39)</f>
        <v>532</v>
      </c>
    </row>
    <row r="80" spans="1:21" x14ac:dyDescent="0.6">
      <c r="A80" s="180" t="s">
        <v>284</v>
      </c>
      <c r="B80" s="87">
        <f>SUM(QGDP_CP!E40:H40)</f>
        <v>46</v>
      </c>
      <c r="C80" s="87">
        <f>SUM(QGDP_CP!I40:L40)</f>
        <v>70</v>
      </c>
      <c r="D80" s="87">
        <f>SUM(QGDP_CP!M40:P40)</f>
        <v>96</v>
      </c>
      <c r="E80" s="87">
        <f>SUM(QGDP_CP!Q40:T40)</f>
        <v>116</v>
      </c>
      <c r="F80" s="87">
        <f>SUM(QGDP_CP!U40:X40)</f>
        <v>122</v>
      </c>
      <c r="G80" s="87">
        <f>SUM(QGDP_CP!Y40:AB40)</f>
        <v>128</v>
      </c>
      <c r="H80" s="87">
        <f>SUM(QGDP_CP!AC40:AF40)</f>
        <v>145</v>
      </c>
      <c r="I80" s="87">
        <f>SUM(QGDP_CP!BG40:BJ40)</f>
        <v>389</v>
      </c>
      <c r="J80" s="87">
        <f>SUM(QGDP_CP!AK40:AN40)</f>
        <v>183</v>
      </c>
      <c r="K80" s="87">
        <f>SUM(QGDP_CP!AO40:AR40)</f>
        <v>218</v>
      </c>
      <c r="L80" s="87">
        <f>SUM(QGDP_CP!AS40:AV40)</f>
        <v>252</v>
      </c>
      <c r="M80" s="87">
        <f>SUM(QGDP_CP!AW40:AZ40)</f>
        <v>276</v>
      </c>
      <c r="N80" s="87">
        <f>SUM(QGDP_CP!BA40:BD40)</f>
        <v>313</v>
      </c>
      <c r="O80" s="87">
        <f>SUM(QGDP_CP!BE40:BH40)</f>
        <v>360</v>
      </c>
      <c r="P80" s="87">
        <f>SUM(QGDP_CP!BJ40:BL40)</f>
        <v>290</v>
      </c>
      <c r="Q80" s="87">
        <f>SUM(QGDP_CP!BM40:BP40)</f>
        <v>445</v>
      </c>
      <c r="R80" s="87">
        <f>SUM(QGDP_CP!BQ40:BT40)</f>
        <v>553</v>
      </c>
      <c r="S80" s="87">
        <f>SUM(QGDP_CP!BU40:BX40)</f>
        <v>697</v>
      </c>
      <c r="T80" s="87">
        <f>SUM(QGDP_CP!BY40:CB40)</f>
        <v>840</v>
      </c>
      <c r="U80" s="87">
        <f>SUM(QGDP_CP!CC40:CE40)</f>
        <v>701</v>
      </c>
    </row>
    <row r="81" spans="1:21" x14ac:dyDescent="0.6">
      <c r="A81" s="180" t="s">
        <v>286</v>
      </c>
      <c r="B81" s="87">
        <f>SUM(QGDP_CP!E41:H41)</f>
        <v>97</v>
      </c>
      <c r="C81" s="87">
        <f>SUM(QGDP_CP!I41:L41)</f>
        <v>110</v>
      </c>
      <c r="D81" s="87">
        <f>SUM(QGDP_CP!M41:P41)</f>
        <v>127</v>
      </c>
      <c r="E81" s="87">
        <f>SUM(QGDP_CP!Q41:T41)</f>
        <v>147</v>
      </c>
      <c r="F81" s="87">
        <f>SUM(QGDP_CP!U41:X41)</f>
        <v>175</v>
      </c>
      <c r="G81" s="87">
        <f>SUM(QGDP_CP!Y41:AB41)</f>
        <v>210</v>
      </c>
      <c r="H81" s="87">
        <f>SUM(QGDP_CP!AC41:AF41)</f>
        <v>267</v>
      </c>
      <c r="I81" s="87">
        <f>SUM(QGDP_CP!BG41:BJ41)</f>
        <v>501</v>
      </c>
      <c r="J81" s="87">
        <f>SUM(QGDP_CP!AK41:AN41)</f>
        <v>332</v>
      </c>
      <c r="K81" s="87">
        <f>SUM(QGDP_CP!AO41:AR41)</f>
        <v>359</v>
      </c>
      <c r="L81" s="87">
        <f>SUM(QGDP_CP!AS41:AV41)</f>
        <v>418</v>
      </c>
      <c r="M81" s="87">
        <f>SUM(QGDP_CP!AW41:AZ41)</f>
        <v>446</v>
      </c>
      <c r="N81" s="87">
        <f>SUM(QGDP_CP!BA41:BD41)</f>
        <v>475</v>
      </c>
      <c r="O81" s="87">
        <f>SUM(QGDP_CP!BE41:BH41)</f>
        <v>491</v>
      </c>
      <c r="P81" s="87">
        <f>SUM(QGDP_CP!BJ41:BL41)</f>
        <v>386</v>
      </c>
      <c r="Q81" s="87">
        <f>SUM(QGDP_CP!BM41:BP41)</f>
        <v>519</v>
      </c>
      <c r="R81" s="87">
        <f>SUM(QGDP_CP!BQ41:BT41)</f>
        <v>615</v>
      </c>
      <c r="S81" s="87">
        <f>SUM(QGDP_CP!BU41:BX41)</f>
        <v>727</v>
      </c>
      <c r="T81" s="87">
        <f>SUM(QGDP_CP!BY41:CB41)</f>
        <v>826</v>
      </c>
      <c r="U81" s="87">
        <f>SUM(QGDP_CP!CC41:CE41)</f>
        <v>684</v>
      </c>
    </row>
    <row r="82" spans="1:21" x14ac:dyDescent="0.6">
      <c r="A82" s="180" t="s">
        <v>288</v>
      </c>
      <c r="B82" s="87">
        <f>SUM(QGDP_CP!E42:H42)</f>
        <v>40</v>
      </c>
      <c r="C82" s="87">
        <f>SUM(QGDP_CP!I42:L42)</f>
        <v>50</v>
      </c>
      <c r="D82" s="87">
        <f>SUM(QGDP_CP!M42:P42)</f>
        <v>60</v>
      </c>
      <c r="E82" s="87">
        <f>SUM(QGDP_CP!Q42:T42)</f>
        <v>74</v>
      </c>
      <c r="F82" s="87">
        <f>SUM(QGDP_CP!U42:X42)</f>
        <v>90</v>
      </c>
      <c r="G82" s="87">
        <f>SUM(QGDP_CP!Y42:AB42)</f>
        <v>113</v>
      </c>
      <c r="H82" s="87">
        <f>SUM(QGDP_CP!AC42:AF42)</f>
        <v>138</v>
      </c>
      <c r="I82" s="87">
        <f>SUM(QGDP_CP!BG42:BJ42)</f>
        <v>197</v>
      </c>
      <c r="J82" s="87">
        <f>SUM(QGDP_CP!AK42:AN42)</f>
        <v>204</v>
      </c>
      <c r="K82" s="87">
        <f>SUM(QGDP_CP!AO42:AR42)</f>
        <v>208</v>
      </c>
      <c r="L82" s="87">
        <f>SUM(QGDP_CP!AS42:AV42)</f>
        <v>219</v>
      </c>
      <c r="M82" s="87">
        <f>SUM(QGDP_CP!AW42:AZ42)</f>
        <v>230</v>
      </c>
      <c r="N82" s="87">
        <f>SUM(QGDP_CP!BA42:BD42)</f>
        <v>236</v>
      </c>
      <c r="O82" s="87">
        <f>SUM(QGDP_CP!BE42:BH42)</f>
        <v>250</v>
      </c>
      <c r="P82" s="87">
        <f>SUM(QGDP_CP!BJ42:BL42)</f>
        <v>115</v>
      </c>
      <c r="Q82" s="87">
        <f>SUM(QGDP_CP!BM42:BP42)</f>
        <v>308</v>
      </c>
      <c r="R82" s="87">
        <f>SUM(QGDP_CP!BQ42:BT42)</f>
        <v>461</v>
      </c>
      <c r="S82" s="87">
        <f>SUM(QGDP_CP!BU42:BX42)</f>
        <v>643</v>
      </c>
      <c r="T82" s="87">
        <f>SUM(QGDP_CP!BY42:CB42)</f>
        <v>677</v>
      </c>
      <c r="U82" s="87">
        <f>SUM(QGDP_CP!CC42:CE42)</f>
        <v>550</v>
      </c>
    </row>
    <row r="83" spans="1:21" x14ac:dyDescent="0.6">
      <c r="A83" s="180" t="s">
        <v>290</v>
      </c>
      <c r="B83" s="87">
        <f>SUM(QGDP_CP!E43:H43)</f>
        <v>32</v>
      </c>
      <c r="C83" s="87">
        <f>SUM(QGDP_CP!I43:L43)</f>
        <v>43</v>
      </c>
      <c r="D83" s="87">
        <f>SUM(QGDP_CP!M43:P43)</f>
        <v>53</v>
      </c>
      <c r="E83" s="87">
        <f>SUM(QGDP_CP!Q43:T43)</f>
        <v>64</v>
      </c>
      <c r="F83" s="87">
        <f>SUM(QGDP_CP!U43:X43)</f>
        <v>76</v>
      </c>
      <c r="G83" s="87">
        <f>SUM(QGDP_CP!Y43:AB43)</f>
        <v>79</v>
      </c>
      <c r="H83" s="87">
        <f>SUM(QGDP_CP!AC43:AF43)</f>
        <v>100</v>
      </c>
      <c r="I83" s="87">
        <f>SUM(QGDP_CP!BG43:BJ43)</f>
        <v>193</v>
      </c>
      <c r="J83" s="87">
        <f>SUM(QGDP_CP!AK43:AN43)</f>
        <v>130</v>
      </c>
      <c r="K83" s="87">
        <f>SUM(QGDP_CP!AO43:AR43)</f>
        <v>134</v>
      </c>
      <c r="L83" s="87">
        <f>SUM(QGDP_CP!AS43:AV43)</f>
        <v>137</v>
      </c>
      <c r="M83" s="87">
        <f>SUM(QGDP_CP!AW43:AZ43)</f>
        <v>160</v>
      </c>
      <c r="N83" s="87">
        <f>SUM(QGDP_CP!BA43:BD43)</f>
        <v>163</v>
      </c>
      <c r="O83" s="87">
        <f>SUM(QGDP_CP!BE43:BH43)</f>
        <v>175</v>
      </c>
      <c r="P83" s="87">
        <f>SUM(QGDP_CP!BJ43:BL43)</f>
        <v>170</v>
      </c>
      <c r="Q83" s="87">
        <f>SUM(QGDP_CP!BM43:BP43)</f>
        <v>243</v>
      </c>
      <c r="R83" s="87">
        <f>SUM(QGDP_CP!BQ43:BT43)</f>
        <v>245</v>
      </c>
      <c r="S83" s="87">
        <f>SUM(QGDP_CP!BU43:BX43)</f>
        <v>218</v>
      </c>
      <c r="T83" s="87">
        <f>SUM(QGDP_CP!BY43:CB43)</f>
        <v>249</v>
      </c>
      <c r="U83" s="87">
        <f>SUM(QGDP_CP!CC43:CE43)</f>
        <v>221</v>
      </c>
    </row>
    <row r="84" spans="1:21" x14ac:dyDescent="0.6">
      <c r="A84" s="180" t="s">
        <v>292</v>
      </c>
      <c r="B84" s="87">
        <f>SUM(QGDP_CP!E44:H44)</f>
        <v>111</v>
      </c>
      <c r="C84" s="87">
        <f>SUM(QGDP_CP!I44:L44)</f>
        <v>130</v>
      </c>
      <c r="D84" s="87">
        <f>SUM(QGDP_CP!M44:P44)</f>
        <v>146</v>
      </c>
      <c r="E84" s="87">
        <f>SUM(QGDP_CP!Q44:T44)</f>
        <v>149</v>
      </c>
      <c r="F84" s="87">
        <f>SUM(QGDP_CP!U44:X44)</f>
        <v>161</v>
      </c>
      <c r="G84" s="87">
        <f>SUM(QGDP_CP!Y44:AB44)</f>
        <v>170</v>
      </c>
      <c r="H84" s="87">
        <f>SUM(QGDP_CP!AC44:AF44)</f>
        <v>195</v>
      </c>
      <c r="I84" s="87">
        <f>SUM(QGDP_CP!BG44:BJ44)</f>
        <v>433</v>
      </c>
      <c r="J84" s="87">
        <f>SUM(QGDP_CP!AK44:AN44)</f>
        <v>271</v>
      </c>
      <c r="K84" s="87">
        <f>SUM(QGDP_CP!AO44:AR44)</f>
        <v>330</v>
      </c>
      <c r="L84" s="87">
        <f>SUM(QGDP_CP!AS44:AV44)</f>
        <v>362</v>
      </c>
      <c r="M84" s="87">
        <f>SUM(QGDP_CP!AW44:AZ44)</f>
        <v>390</v>
      </c>
      <c r="N84" s="87">
        <f>SUM(QGDP_CP!BA44:BD44)</f>
        <v>421</v>
      </c>
      <c r="O84" s="87">
        <f>SUM(QGDP_CP!BE44:BH44)</f>
        <v>442</v>
      </c>
      <c r="P84" s="87">
        <f>SUM(QGDP_CP!BJ44:BL44)</f>
        <v>324</v>
      </c>
      <c r="Q84" s="87">
        <f>SUM(QGDP_CP!BM44:BP44)</f>
        <v>457</v>
      </c>
      <c r="R84" s="87">
        <f>SUM(QGDP_CP!BQ44:BT44)</f>
        <v>494</v>
      </c>
      <c r="S84" s="87">
        <f>SUM(QGDP_CP!BU44:BX44)</f>
        <v>604</v>
      </c>
      <c r="T84" s="87">
        <f>SUM(QGDP_CP!BY44:CB44)</f>
        <v>640</v>
      </c>
      <c r="U84" s="87">
        <f>SUM(QGDP_CP!CC44:CE44)</f>
        <v>549</v>
      </c>
    </row>
    <row r="85" spans="1:21" ht="17.75" x14ac:dyDescent="0.75">
      <c r="A85" s="183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</row>
    <row r="86" spans="1:21" x14ac:dyDescent="0.6">
      <c r="A86" s="178" t="s">
        <v>294</v>
      </c>
      <c r="B86" s="83">
        <f>SUM(QGDP_CP!E46:H46)</f>
        <v>164</v>
      </c>
      <c r="C86" s="83">
        <f>SUM(QGDP_CP!I46:L46)</f>
        <v>201</v>
      </c>
      <c r="D86" s="83">
        <f>SUM(QGDP_CP!M46:P46)</f>
        <v>273</v>
      </c>
      <c r="E86" s="83">
        <f>SUM(QGDP_CP!Q46:T46)</f>
        <v>305</v>
      </c>
      <c r="F86" s="83">
        <f>SUM(QGDP_CP!U46:X46)</f>
        <v>338</v>
      </c>
      <c r="G86" s="83">
        <f>SUM(QGDP_CP!Y46:AB46)</f>
        <v>418</v>
      </c>
      <c r="H86" s="83">
        <f>SUM(QGDP_CP!AC46:AF46)</f>
        <v>384</v>
      </c>
      <c r="I86" s="83">
        <f>SUM(QGDP_CP!BG46:BJ46)</f>
        <v>774</v>
      </c>
      <c r="J86" s="83">
        <f>SUM(QGDP_CP!AK46:AN46)</f>
        <v>480</v>
      </c>
      <c r="K86" s="83">
        <f>SUM(QGDP_CP!AO46:AR46)</f>
        <v>543</v>
      </c>
      <c r="L86" s="83">
        <f>SUM(QGDP_CP!AS46:AV46)</f>
        <v>596</v>
      </c>
      <c r="M86" s="83">
        <f>SUM(QGDP_CP!AW46:AZ46)</f>
        <v>652</v>
      </c>
      <c r="N86" s="83">
        <f>SUM(QGDP_CP!BA46:BD46)</f>
        <v>692</v>
      </c>
      <c r="O86" s="83">
        <f>SUM(QGDP_CP!BE46:BH46)</f>
        <v>789</v>
      </c>
      <c r="P86" s="83">
        <f>SUM(QGDP_CP!BJ46:BL46)</f>
        <v>584</v>
      </c>
      <c r="Q86" s="83">
        <f>SUM(QGDP_CP!BM46:BP46)</f>
        <v>633</v>
      </c>
      <c r="R86" s="83">
        <f>SUM(QGDP_CP!BQ46:BT46)</f>
        <v>774</v>
      </c>
      <c r="S86" s="83">
        <f>SUM(QGDP_CP!BU46:BX46)</f>
        <v>868</v>
      </c>
      <c r="T86" s="83">
        <f>SUM(QGDP_CP!BY46:CB46)</f>
        <v>985</v>
      </c>
      <c r="U86" s="83">
        <f>SUM(QGDP_CP!CC46:CE46)</f>
        <v>894</v>
      </c>
    </row>
    <row r="89" spans="1:21" x14ac:dyDescent="0.6">
      <c r="A89" s="172" t="s">
        <v>312</v>
      </c>
    </row>
    <row r="91" spans="1:21" x14ac:dyDescent="0.6">
      <c r="A91" s="178" t="s">
        <v>219</v>
      </c>
      <c r="B91" s="193">
        <f>B47/B$47</f>
        <v>1</v>
      </c>
      <c r="C91" s="193">
        <f t="shared" ref="C91:U91" si="0">C47/C$47</f>
        <v>1</v>
      </c>
      <c r="D91" s="193">
        <f t="shared" si="0"/>
        <v>1</v>
      </c>
      <c r="E91" s="193">
        <f t="shared" si="0"/>
        <v>1</v>
      </c>
      <c r="F91" s="193">
        <f t="shared" si="0"/>
        <v>1</v>
      </c>
      <c r="G91" s="193">
        <f t="shared" si="0"/>
        <v>1</v>
      </c>
      <c r="H91" s="193">
        <f t="shared" si="0"/>
        <v>1</v>
      </c>
      <c r="I91" s="193">
        <f t="shared" si="0"/>
        <v>1</v>
      </c>
      <c r="J91" s="193">
        <f t="shared" si="0"/>
        <v>1</v>
      </c>
      <c r="K91" s="193">
        <f t="shared" si="0"/>
        <v>1</v>
      </c>
      <c r="L91" s="193">
        <f t="shared" si="0"/>
        <v>1</v>
      </c>
      <c r="M91" s="193">
        <f t="shared" si="0"/>
        <v>1</v>
      </c>
      <c r="N91" s="193">
        <f t="shared" si="0"/>
        <v>1</v>
      </c>
      <c r="O91" s="193">
        <f t="shared" si="0"/>
        <v>1</v>
      </c>
      <c r="P91" s="193">
        <f t="shared" si="0"/>
        <v>1</v>
      </c>
      <c r="Q91" s="193">
        <f t="shared" si="0"/>
        <v>1</v>
      </c>
      <c r="R91" s="193">
        <f t="shared" si="0"/>
        <v>1</v>
      </c>
      <c r="S91" s="193">
        <f t="shared" si="0"/>
        <v>1</v>
      </c>
      <c r="T91" s="193">
        <f t="shared" si="0"/>
        <v>1</v>
      </c>
      <c r="U91" s="193">
        <f t="shared" si="0"/>
        <v>1</v>
      </c>
    </row>
    <row r="92" spans="1:21" ht="14.25" x14ac:dyDescent="0.6">
      <c r="A92" s="179"/>
      <c r="B92" s="194"/>
      <c r="C92" s="194"/>
      <c r="D92" s="194"/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</row>
    <row r="93" spans="1:21" x14ac:dyDescent="0.6">
      <c r="A93" s="178" t="s">
        <v>222</v>
      </c>
      <c r="B93" s="193">
        <f t="shared" ref="B93:U93" si="1">B49/B$47</f>
        <v>0.29069767441860467</v>
      </c>
      <c r="C93" s="193">
        <f t="shared" si="1"/>
        <v>0.25079654073736912</v>
      </c>
      <c r="D93" s="193">
        <f t="shared" si="1"/>
        <v>0.23937120400142908</v>
      </c>
      <c r="E93" s="193">
        <f t="shared" si="1"/>
        <v>0.24395604395604395</v>
      </c>
      <c r="F93" s="193">
        <f t="shared" si="1"/>
        <v>0.23434400680079343</v>
      </c>
      <c r="G93" s="193">
        <f t="shared" si="1"/>
        <v>0.22918707149853085</v>
      </c>
      <c r="H93" s="193">
        <f t="shared" si="1"/>
        <v>0.23804394657475225</v>
      </c>
      <c r="I93" s="193">
        <f t="shared" si="1"/>
        <v>0.23153526970954358</v>
      </c>
      <c r="J93" s="193">
        <f t="shared" si="1"/>
        <v>0.23684210526315788</v>
      </c>
      <c r="K93" s="193">
        <f t="shared" si="1"/>
        <v>0.23104752507811216</v>
      </c>
      <c r="L93" s="193">
        <f t="shared" si="1"/>
        <v>0.24290780141843971</v>
      </c>
      <c r="M93" s="193">
        <f t="shared" si="1"/>
        <v>0.25639679832043039</v>
      </c>
      <c r="N93" s="193">
        <f t="shared" si="1"/>
        <v>0.23275965820194969</v>
      </c>
      <c r="O93" s="193">
        <f t="shared" si="1"/>
        <v>0.21564482029598309</v>
      </c>
      <c r="P93" s="193">
        <f t="shared" si="1"/>
        <v>0.24466382070437567</v>
      </c>
      <c r="Q93" s="193">
        <f t="shared" si="1"/>
        <v>0.2143820224719101</v>
      </c>
      <c r="R93" s="193">
        <f t="shared" si="1"/>
        <v>0.21928833662807118</v>
      </c>
      <c r="S93" s="193">
        <f t="shared" si="1"/>
        <v>0.23135588286662398</v>
      </c>
      <c r="T93" s="193">
        <f t="shared" si="1"/>
        <v>0.20790239983934131</v>
      </c>
      <c r="U93" s="193">
        <f t="shared" si="1"/>
        <v>0.19475903614457832</v>
      </c>
    </row>
    <row r="94" spans="1:21" x14ac:dyDescent="0.6">
      <c r="A94" s="180" t="s">
        <v>224</v>
      </c>
      <c r="B94" s="195">
        <f t="shared" ref="B94:U94" si="2">B50/B$47</f>
        <v>0.13676633444075303</v>
      </c>
      <c r="C94" s="195">
        <f t="shared" si="2"/>
        <v>0.12881201638598089</v>
      </c>
      <c r="D94" s="195">
        <f t="shared" si="2"/>
        <v>0.11325473383351196</v>
      </c>
      <c r="E94" s="195">
        <f t="shared" si="2"/>
        <v>0.12464678178963894</v>
      </c>
      <c r="F94" s="195">
        <f t="shared" si="2"/>
        <v>0.11731368659676962</v>
      </c>
      <c r="G94" s="195">
        <f t="shared" si="2"/>
        <v>0.11875612144955926</v>
      </c>
      <c r="H94" s="195">
        <f t="shared" si="2"/>
        <v>0.12753123653597587</v>
      </c>
      <c r="I94" s="195">
        <f t="shared" si="2"/>
        <v>0.13246887966804979</v>
      </c>
      <c r="J94" s="195">
        <f t="shared" si="2"/>
        <v>0.13500360490266763</v>
      </c>
      <c r="K94" s="195">
        <f t="shared" si="2"/>
        <v>0.13221509620128269</v>
      </c>
      <c r="L94" s="195">
        <f t="shared" si="2"/>
        <v>0.14598108747044916</v>
      </c>
      <c r="M94" s="195">
        <f t="shared" si="2"/>
        <v>0.16047762760792547</v>
      </c>
      <c r="N94" s="195">
        <f t="shared" si="2"/>
        <v>0.12769286316042844</v>
      </c>
      <c r="O94" s="195">
        <f t="shared" si="2"/>
        <v>0.11913319238900634</v>
      </c>
      <c r="P94" s="195">
        <f t="shared" si="2"/>
        <v>0.14474386339381004</v>
      </c>
      <c r="Q94" s="195">
        <f t="shared" si="2"/>
        <v>0.11550561797752809</v>
      </c>
      <c r="R94" s="195">
        <f t="shared" si="2"/>
        <v>0.11966958486303304</v>
      </c>
      <c r="S94" s="195">
        <f t="shared" si="2"/>
        <v>0.14286545962624439</v>
      </c>
      <c r="T94" s="195">
        <f t="shared" si="2"/>
        <v>0.11913846771764233</v>
      </c>
      <c r="U94" s="195">
        <f t="shared" si="2"/>
        <v>9.8614457831325303E-2</v>
      </c>
    </row>
    <row r="95" spans="1:21" x14ac:dyDescent="0.6">
      <c r="A95" s="180" t="s">
        <v>226</v>
      </c>
      <c r="B95" s="195">
        <f t="shared" ref="B95:U95" si="3">B51/B$47</f>
        <v>3.1561461794019932E-2</v>
      </c>
      <c r="C95" s="195">
        <f t="shared" si="3"/>
        <v>1.8661811561219845E-2</v>
      </c>
      <c r="D95" s="195">
        <f t="shared" si="3"/>
        <v>1.9649874955341193E-2</v>
      </c>
      <c r="E95" s="195">
        <f t="shared" si="3"/>
        <v>1.6326530612244899E-2</v>
      </c>
      <c r="F95" s="195">
        <f t="shared" si="3"/>
        <v>1.8418815528478322E-2</v>
      </c>
      <c r="G95" s="195">
        <f t="shared" si="3"/>
        <v>1.6405484818805095E-2</v>
      </c>
      <c r="H95" s="195">
        <f t="shared" si="3"/>
        <v>1.8526497199482982E-2</v>
      </c>
      <c r="I95" s="195">
        <f t="shared" si="3"/>
        <v>1.3381742738589211E-2</v>
      </c>
      <c r="J95" s="195">
        <f t="shared" si="3"/>
        <v>1.5681326604181686E-2</v>
      </c>
      <c r="K95" s="195">
        <f t="shared" si="3"/>
        <v>1.4635750698898208E-2</v>
      </c>
      <c r="L95" s="195">
        <f t="shared" si="3"/>
        <v>1.5366430260047281E-2</v>
      </c>
      <c r="M95" s="195">
        <f t="shared" si="3"/>
        <v>1.8107859860910642E-2</v>
      </c>
      <c r="N95" s="195">
        <f t="shared" si="3"/>
        <v>1.7330605367673606E-2</v>
      </c>
      <c r="O95" s="195">
        <f t="shared" si="3"/>
        <v>1.3213530655391121E-2</v>
      </c>
      <c r="P95" s="195">
        <f t="shared" si="3"/>
        <v>1.5208110992529349E-2</v>
      </c>
      <c r="Q95" s="195">
        <f t="shared" si="3"/>
        <v>1.4292134831460674E-2</v>
      </c>
      <c r="R95" s="195">
        <f t="shared" si="3"/>
        <v>1.8426998023157299E-2</v>
      </c>
      <c r="S95" s="195">
        <f t="shared" si="3"/>
        <v>1.5078302381090994E-2</v>
      </c>
      <c r="T95" s="195">
        <f t="shared" si="3"/>
        <v>1.7672457074003414E-2</v>
      </c>
      <c r="U95" s="195">
        <f t="shared" si="3"/>
        <v>2.2710843373493977E-2</v>
      </c>
    </row>
    <row r="96" spans="1:21" x14ac:dyDescent="0.6">
      <c r="A96" s="180" t="s">
        <v>228</v>
      </c>
      <c r="B96" s="195">
        <f t="shared" ref="B96:U96" si="4">B52/B$47</f>
        <v>2.768549280177187E-2</v>
      </c>
      <c r="C96" s="195">
        <f t="shared" si="4"/>
        <v>2.4123805188893947E-2</v>
      </c>
      <c r="D96" s="195">
        <f t="shared" si="4"/>
        <v>2.4294390853876385E-2</v>
      </c>
      <c r="E96" s="195">
        <f t="shared" si="4"/>
        <v>2.5117739403453691E-2</v>
      </c>
      <c r="F96" s="195">
        <f t="shared" si="4"/>
        <v>2.3802776990648908E-2</v>
      </c>
      <c r="G96" s="195">
        <f t="shared" si="4"/>
        <v>2.3016650342801176E-2</v>
      </c>
      <c r="H96" s="195">
        <f t="shared" si="4"/>
        <v>2.2834984920292976E-2</v>
      </c>
      <c r="I96" s="195">
        <f t="shared" si="4"/>
        <v>2.8008298755186723E-2</v>
      </c>
      <c r="J96" s="195">
        <f t="shared" si="4"/>
        <v>2.343186733958183E-2</v>
      </c>
      <c r="K96" s="195">
        <f t="shared" si="4"/>
        <v>2.3680315737543166E-2</v>
      </c>
      <c r="L96" s="195">
        <f t="shared" si="4"/>
        <v>2.4527186761229315E-2</v>
      </c>
      <c r="M96" s="195">
        <f t="shared" si="4"/>
        <v>2.4406245899488255E-2</v>
      </c>
      <c r="N96" s="195">
        <f t="shared" si="4"/>
        <v>2.4792393789866411E-2</v>
      </c>
      <c r="O96" s="195">
        <f t="shared" si="4"/>
        <v>2.5475687103594082E-2</v>
      </c>
      <c r="P96" s="195">
        <f t="shared" si="4"/>
        <v>2.934898612593383E-2</v>
      </c>
      <c r="Q96" s="195">
        <f t="shared" si="4"/>
        <v>2.9123595505617977E-2</v>
      </c>
      <c r="R96" s="195">
        <f t="shared" si="4"/>
        <v>2.8240609997175939E-2</v>
      </c>
      <c r="S96" s="195">
        <f t="shared" si="4"/>
        <v>2.776969203004017E-2</v>
      </c>
      <c r="T96" s="195">
        <f t="shared" si="4"/>
        <v>2.9169595340897681E-2</v>
      </c>
      <c r="U96" s="195">
        <f t="shared" si="4"/>
        <v>3.331325301204819E-2</v>
      </c>
    </row>
    <row r="97" spans="1:21" x14ac:dyDescent="0.6">
      <c r="A97" s="180" t="s">
        <v>230</v>
      </c>
      <c r="B97" s="195">
        <f t="shared" ref="B97:U97" si="5">B53/B$47</f>
        <v>9.1362126245847178E-2</v>
      </c>
      <c r="C97" s="195">
        <f t="shared" si="5"/>
        <v>7.6923076923076927E-2</v>
      </c>
      <c r="D97" s="195">
        <f t="shared" si="5"/>
        <v>7.8599499821364771E-2</v>
      </c>
      <c r="E97" s="195">
        <f t="shared" si="5"/>
        <v>7.4411302982731548E-2</v>
      </c>
      <c r="F97" s="195">
        <f t="shared" si="5"/>
        <v>7.0841598186455093E-2</v>
      </c>
      <c r="G97" s="195">
        <f t="shared" si="5"/>
        <v>6.7091087169441718E-2</v>
      </c>
      <c r="H97" s="195">
        <f t="shared" si="5"/>
        <v>6.527358897027144E-2</v>
      </c>
      <c r="I97" s="195">
        <f t="shared" si="5"/>
        <v>5.4564315352697096E-2</v>
      </c>
      <c r="J97" s="195">
        <f t="shared" si="5"/>
        <v>5.8940158615717372E-2</v>
      </c>
      <c r="K97" s="195">
        <f t="shared" si="5"/>
        <v>5.6405196513731291E-2</v>
      </c>
      <c r="L97" s="195">
        <f t="shared" si="5"/>
        <v>5.3191489361702128E-2</v>
      </c>
      <c r="M97" s="195">
        <f t="shared" si="5"/>
        <v>4.9731006429602417E-2</v>
      </c>
      <c r="N97" s="195">
        <f t="shared" si="5"/>
        <v>5.8972198820556022E-2</v>
      </c>
      <c r="O97" s="195">
        <f t="shared" si="5"/>
        <v>5.4439746300211415E-2</v>
      </c>
      <c r="P97" s="195">
        <f t="shared" si="5"/>
        <v>5.2561366061899678E-2</v>
      </c>
      <c r="Q97" s="195">
        <f t="shared" si="5"/>
        <v>5.2404494382022472E-2</v>
      </c>
      <c r="R97" s="195">
        <f t="shared" si="5"/>
        <v>5.0056481219994349E-2</v>
      </c>
      <c r="S97" s="195">
        <f t="shared" si="5"/>
        <v>4.3080863945974268E-2</v>
      </c>
      <c r="T97" s="195">
        <f t="shared" si="5"/>
        <v>3.9311175820865546E-2</v>
      </c>
      <c r="U97" s="195">
        <f t="shared" si="5"/>
        <v>3.7590361445783135E-2</v>
      </c>
    </row>
    <row r="98" spans="1:21" x14ac:dyDescent="0.6">
      <c r="A98" s="180" t="s">
        <v>232</v>
      </c>
      <c r="B98" s="195">
        <f t="shared" ref="B98:U98" si="6">B54/B$47</f>
        <v>4.4296788482834993E-3</v>
      </c>
      <c r="C98" s="195">
        <f t="shared" si="6"/>
        <v>3.6413290851160674E-3</v>
      </c>
      <c r="D98" s="195">
        <f t="shared" si="6"/>
        <v>3.5727045373347625E-3</v>
      </c>
      <c r="E98" s="195">
        <f t="shared" si="6"/>
        <v>3.7676609105180532E-3</v>
      </c>
      <c r="F98" s="195">
        <f t="shared" si="6"/>
        <v>3.4003967129498441E-3</v>
      </c>
      <c r="G98" s="195">
        <f t="shared" si="6"/>
        <v>3.6728697355533791E-3</v>
      </c>
      <c r="H98" s="195">
        <f t="shared" si="6"/>
        <v>3.6622145626884965E-3</v>
      </c>
      <c r="I98" s="195">
        <f t="shared" si="6"/>
        <v>2.9045643153526972E-3</v>
      </c>
      <c r="J98" s="195">
        <f t="shared" si="6"/>
        <v>3.9653929343907712E-3</v>
      </c>
      <c r="K98" s="195">
        <f t="shared" si="6"/>
        <v>4.1111659266567999E-3</v>
      </c>
      <c r="L98" s="195">
        <f t="shared" si="6"/>
        <v>3.8416075650118202E-3</v>
      </c>
      <c r="M98" s="195">
        <f t="shared" si="6"/>
        <v>3.8052748983073087E-3</v>
      </c>
      <c r="N98" s="195">
        <f t="shared" si="6"/>
        <v>3.7308942110964014E-3</v>
      </c>
      <c r="O98" s="195">
        <f t="shared" si="6"/>
        <v>3.276955602536998E-3</v>
      </c>
      <c r="P98" s="195">
        <f t="shared" si="6"/>
        <v>2.6680896478121665E-3</v>
      </c>
      <c r="Q98" s="195">
        <f t="shared" si="6"/>
        <v>3.056179775280899E-3</v>
      </c>
      <c r="R98" s="195">
        <f t="shared" si="6"/>
        <v>2.9652640497034735E-3</v>
      </c>
      <c r="S98" s="195">
        <f t="shared" si="6"/>
        <v>2.5033474995633698E-3</v>
      </c>
      <c r="T98" s="195">
        <f t="shared" si="6"/>
        <v>2.7111155738527965E-3</v>
      </c>
      <c r="U98" s="195">
        <f t="shared" si="6"/>
        <v>2.5301204819277107E-3</v>
      </c>
    </row>
    <row r="99" spans="1:21" x14ac:dyDescent="0.6">
      <c r="A99" s="178" t="s">
        <v>234</v>
      </c>
      <c r="B99" s="193">
        <f t="shared" ref="B99:U99" si="7">B55/B$47</f>
        <v>0.16057585825027684</v>
      </c>
      <c r="C99" s="193">
        <f t="shared" si="7"/>
        <v>0.16932180245789713</v>
      </c>
      <c r="D99" s="193">
        <f t="shared" si="7"/>
        <v>0.16470167917113254</v>
      </c>
      <c r="E99" s="193">
        <f t="shared" si="7"/>
        <v>0.15886970172684459</v>
      </c>
      <c r="F99" s="193">
        <f t="shared" si="7"/>
        <v>0.16520260697081326</v>
      </c>
      <c r="G99" s="193">
        <f t="shared" si="7"/>
        <v>0.18364348677766895</v>
      </c>
      <c r="H99" s="193">
        <f t="shared" si="7"/>
        <v>0.18461869883670831</v>
      </c>
      <c r="I99" s="193">
        <f t="shared" si="7"/>
        <v>0.19502074688796681</v>
      </c>
      <c r="J99" s="193">
        <f t="shared" si="7"/>
        <v>0.17790194664744052</v>
      </c>
      <c r="K99" s="193">
        <f t="shared" si="7"/>
        <v>0.17645124157210984</v>
      </c>
      <c r="L99" s="193">
        <f t="shared" si="7"/>
        <v>0.1702127659574468</v>
      </c>
      <c r="M99" s="193">
        <f t="shared" si="7"/>
        <v>0.17451777981892141</v>
      </c>
      <c r="N99" s="193">
        <f t="shared" si="7"/>
        <v>0.17571308220002407</v>
      </c>
      <c r="O99" s="193">
        <f t="shared" si="7"/>
        <v>0.19228329809725159</v>
      </c>
      <c r="P99" s="193">
        <f t="shared" si="7"/>
        <v>0.18916755602988261</v>
      </c>
      <c r="Q99" s="193">
        <f t="shared" si="7"/>
        <v>0.21186516853932585</v>
      </c>
      <c r="R99" s="193">
        <f t="shared" si="7"/>
        <v>0.21752329850324767</v>
      </c>
      <c r="S99" s="193">
        <f t="shared" si="7"/>
        <v>0.21476392850905279</v>
      </c>
      <c r="T99" s="193">
        <f t="shared" si="7"/>
        <v>0.22065468420524148</v>
      </c>
      <c r="U99" s="193">
        <f t="shared" si="7"/>
        <v>0.22415662650602411</v>
      </c>
    </row>
    <row r="100" spans="1:21" x14ac:dyDescent="0.6">
      <c r="A100" s="180" t="s">
        <v>236</v>
      </c>
      <c r="B100" s="195">
        <f t="shared" ref="B100:U100" si="8">B56/B$47</f>
        <v>1.0520487264673311E-2</v>
      </c>
      <c r="C100" s="195">
        <f t="shared" si="8"/>
        <v>1.5475648611743286E-2</v>
      </c>
      <c r="D100" s="195">
        <f t="shared" si="8"/>
        <v>1.4648088603072526E-2</v>
      </c>
      <c r="E100" s="195">
        <f t="shared" si="8"/>
        <v>8.4772370486656205E-3</v>
      </c>
      <c r="F100" s="195">
        <f t="shared" si="8"/>
        <v>1.0201190138849533E-2</v>
      </c>
      <c r="G100" s="195">
        <f t="shared" si="8"/>
        <v>2.0078354554358472E-2</v>
      </c>
      <c r="H100" s="195">
        <f t="shared" si="8"/>
        <v>1.6587677725118485E-2</v>
      </c>
      <c r="I100" s="195">
        <f t="shared" si="8"/>
        <v>1.0684647302904565E-2</v>
      </c>
      <c r="J100" s="195">
        <f t="shared" si="8"/>
        <v>2.1449170872386444E-2</v>
      </c>
      <c r="K100" s="195">
        <f t="shared" si="8"/>
        <v>1.7266896891958559E-2</v>
      </c>
      <c r="L100" s="195">
        <f t="shared" si="8"/>
        <v>1.6400709219858155E-2</v>
      </c>
      <c r="M100" s="195">
        <f t="shared" si="8"/>
        <v>2.1781918383414249E-2</v>
      </c>
      <c r="N100" s="195">
        <f t="shared" si="8"/>
        <v>2.1302202431098809E-2</v>
      </c>
      <c r="O100" s="195">
        <f t="shared" si="8"/>
        <v>1.2896405919661734E-2</v>
      </c>
      <c r="P100" s="195">
        <f t="shared" si="8"/>
        <v>1.0272145144076841E-2</v>
      </c>
      <c r="Q100" s="195">
        <f t="shared" si="8"/>
        <v>2.2921348314606741E-2</v>
      </c>
      <c r="R100" s="195">
        <f t="shared" si="8"/>
        <v>2.1815871222818414E-2</v>
      </c>
      <c r="S100" s="195">
        <f t="shared" si="8"/>
        <v>1.6475519590149618E-2</v>
      </c>
      <c r="T100" s="195">
        <f t="shared" si="8"/>
        <v>1.7823074605884125E-2</v>
      </c>
      <c r="U100" s="195">
        <f t="shared" si="8"/>
        <v>1.8554216867469879E-2</v>
      </c>
    </row>
    <row r="101" spans="1:21" x14ac:dyDescent="0.6">
      <c r="A101" s="181" t="s">
        <v>238</v>
      </c>
      <c r="B101" s="196">
        <f t="shared" ref="B101:U101" si="9">B57/B$47</f>
        <v>9.1362126245847178E-2</v>
      </c>
      <c r="C101" s="196">
        <f t="shared" si="9"/>
        <v>8.2385070550751019E-2</v>
      </c>
      <c r="D101" s="196">
        <f t="shared" si="9"/>
        <v>8.0385852090032156E-2</v>
      </c>
      <c r="E101" s="196">
        <f t="shared" si="9"/>
        <v>8.0690737833594983E-2</v>
      </c>
      <c r="F101" s="196">
        <f t="shared" si="9"/>
        <v>8.3593085860017E-2</v>
      </c>
      <c r="G101" s="196">
        <f t="shared" si="9"/>
        <v>8.4476003917727721E-2</v>
      </c>
      <c r="H101" s="196">
        <f t="shared" si="9"/>
        <v>8.3800086169754415E-2</v>
      </c>
      <c r="I101" s="196">
        <f t="shared" si="9"/>
        <v>8.1950207468879668E-2</v>
      </c>
      <c r="J101" s="196">
        <f t="shared" si="9"/>
        <v>6.9033886085075699E-2</v>
      </c>
      <c r="K101" s="196">
        <f t="shared" si="9"/>
        <v>6.8903140930767964E-2</v>
      </c>
      <c r="L101" s="196">
        <f t="shared" si="9"/>
        <v>6.7819148936170207E-2</v>
      </c>
      <c r="M101" s="196">
        <f t="shared" si="9"/>
        <v>7.7417661724183184E-2</v>
      </c>
      <c r="N101" s="196">
        <f t="shared" si="9"/>
        <v>7.5701047057407628E-2</v>
      </c>
      <c r="O101" s="196">
        <f t="shared" si="9"/>
        <v>8.1078224101479912E-2</v>
      </c>
      <c r="P101" s="196">
        <f t="shared" si="9"/>
        <v>8.4311632870864461E-2</v>
      </c>
      <c r="Q101" s="196">
        <f t="shared" si="9"/>
        <v>8.9348314606741572E-2</v>
      </c>
      <c r="R101" s="196">
        <f t="shared" si="9"/>
        <v>9.1923185540807681E-2</v>
      </c>
      <c r="S101" s="196">
        <f t="shared" si="9"/>
        <v>8.5754206205973099E-2</v>
      </c>
      <c r="T101" s="196">
        <f t="shared" si="9"/>
        <v>8.1233055527663425E-2</v>
      </c>
      <c r="U101" s="196">
        <f t="shared" si="9"/>
        <v>8.3795180722891563E-2</v>
      </c>
    </row>
    <row r="102" spans="1:21" x14ac:dyDescent="0.6">
      <c r="A102" s="182" t="s">
        <v>240</v>
      </c>
      <c r="B102" s="197">
        <f t="shared" ref="B102:U102" si="10">B58/B$47</f>
        <v>1.9933554817275746E-2</v>
      </c>
      <c r="C102" s="197">
        <f t="shared" si="10"/>
        <v>1.5930814747382796E-2</v>
      </c>
      <c r="D102" s="197">
        <f t="shared" si="10"/>
        <v>1.7148981779206859E-2</v>
      </c>
      <c r="E102" s="197">
        <f t="shared" si="10"/>
        <v>1.8524332810047096E-2</v>
      </c>
      <c r="F102" s="197">
        <f t="shared" si="10"/>
        <v>1.9552281099461603E-2</v>
      </c>
      <c r="G102" s="197">
        <f t="shared" si="10"/>
        <v>2.0078354554358472E-2</v>
      </c>
      <c r="H102" s="197">
        <f t="shared" si="10"/>
        <v>1.9172770357604479E-2</v>
      </c>
      <c r="I102" s="197">
        <f t="shared" si="10"/>
        <v>2.4377593360995851E-2</v>
      </c>
      <c r="J102" s="197">
        <f t="shared" si="10"/>
        <v>1.8745493871665464E-2</v>
      </c>
      <c r="K102" s="197">
        <f t="shared" si="10"/>
        <v>1.7760236803157376E-2</v>
      </c>
      <c r="L102" s="197">
        <f t="shared" si="10"/>
        <v>1.8321513002364065E-2</v>
      </c>
      <c r="M102" s="197">
        <f t="shared" si="10"/>
        <v>2.7686655294580764E-2</v>
      </c>
      <c r="N102" s="197">
        <f t="shared" si="10"/>
        <v>2.0820796726441208E-2</v>
      </c>
      <c r="O102" s="197">
        <f t="shared" si="10"/>
        <v>2.3572938689217757E-2</v>
      </c>
      <c r="P102" s="197">
        <f t="shared" si="10"/>
        <v>2.4413020277481323E-2</v>
      </c>
      <c r="Q102" s="197">
        <f t="shared" si="10"/>
        <v>2.4359550561797751E-2</v>
      </c>
      <c r="R102" s="197">
        <f t="shared" si="10"/>
        <v>2.9440835922055916E-2</v>
      </c>
      <c r="S102" s="197">
        <f t="shared" si="10"/>
        <v>2.6896431274378529E-2</v>
      </c>
      <c r="T102" s="197">
        <f t="shared" si="10"/>
        <v>1.9228838236770761E-2</v>
      </c>
      <c r="U102" s="197">
        <f t="shared" si="10"/>
        <v>1.9518072289156627E-2</v>
      </c>
    </row>
    <row r="103" spans="1:21" x14ac:dyDescent="0.6">
      <c r="A103" s="182" t="s">
        <v>242</v>
      </c>
      <c r="B103" s="197">
        <f t="shared" ref="B103:U103" si="11">B59/B$47</f>
        <v>1.937984496124031E-2</v>
      </c>
      <c r="C103" s="197">
        <f t="shared" si="11"/>
        <v>1.7751479289940829E-2</v>
      </c>
      <c r="D103" s="197">
        <f t="shared" si="11"/>
        <v>1.8578063594140763E-2</v>
      </c>
      <c r="E103" s="197">
        <f t="shared" si="11"/>
        <v>2.2605965463108321E-2</v>
      </c>
      <c r="F103" s="197">
        <f t="shared" si="11"/>
        <v>2.2102578634173985E-2</v>
      </c>
      <c r="G103" s="197">
        <f t="shared" si="11"/>
        <v>2.0323212536728696E-2</v>
      </c>
      <c r="H103" s="197">
        <f t="shared" si="11"/>
        <v>2.132701421800948E-2</v>
      </c>
      <c r="I103" s="197">
        <f t="shared" si="11"/>
        <v>2.0435684647302905E-2</v>
      </c>
      <c r="J103" s="197">
        <f t="shared" si="11"/>
        <v>2.198990627253064E-2</v>
      </c>
      <c r="K103" s="197">
        <f t="shared" si="11"/>
        <v>2.1542509455681633E-2</v>
      </c>
      <c r="L103" s="197">
        <f t="shared" si="11"/>
        <v>2.0685579196217493E-2</v>
      </c>
      <c r="M103" s="197">
        <f t="shared" si="11"/>
        <v>2.0863403752788348E-2</v>
      </c>
      <c r="N103" s="197">
        <f t="shared" si="11"/>
        <v>2.1181851004934409E-2</v>
      </c>
      <c r="O103" s="197">
        <f t="shared" si="11"/>
        <v>2.029598308668076E-2</v>
      </c>
      <c r="P103" s="197">
        <f t="shared" si="11"/>
        <v>1.9477054429028817E-2</v>
      </c>
      <c r="Q103" s="197">
        <f t="shared" si="11"/>
        <v>2.247191011235955E-2</v>
      </c>
      <c r="R103" s="197">
        <f t="shared" si="11"/>
        <v>2.1321660547867834E-2</v>
      </c>
      <c r="S103" s="197">
        <f t="shared" si="11"/>
        <v>2.1365779821854804E-2</v>
      </c>
      <c r="T103" s="197">
        <f t="shared" si="11"/>
        <v>2.4400040164675167E-2</v>
      </c>
      <c r="U103" s="197">
        <f t="shared" si="11"/>
        <v>2.5240963855421687E-2</v>
      </c>
    </row>
    <row r="104" spans="1:21" x14ac:dyDescent="0.6">
      <c r="A104" s="182" t="s">
        <v>244</v>
      </c>
      <c r="B104" s="197">
        <f t="shared" ref="B104:U104" si="12">B60/B$47</f>
        <v>2.7131782945736434E-2</v>
      </c>
      <c r="C104" s="197">
        <f t="shared" si="12"/>
        <v>2.4578971324533454E-2</v>
      </c>
      <c r="D104" s="197">
        <f t="shared" si="12"/>
        <v>2.2508038585209004E-2</v>
      </c>
      <c r="E104" s="197">
        <f t="shared" si="12"/>
        <v>1.946624803767661E-2</v>
      </c>
      <c r="F104" s="197">
        <f t="shared" si="12"/>
        <v>1.8985548313969963E-2</v>
      </c>
      <c r="G104" s="197">
        <f t="shared" si="12"/>
        <v>1.9833496571988248E-2</v>
      </c>
      <c r="H104" s="197">
        <f t="shared" si="12"/>
        <v>1.8957345971563982E-2</v>
      </c>
      <c r="I104" s="197">
        <f t="shared" si="12"/>
        <v>7.6763485477178419E-3</v>
      </c>
      <c r="J104" s="197">
        <f t="shared" si="12"/>
        <v>4.1456380677721699E-3</v>
      </c>
      <c r="K104" s="197">
        <f t="shared" si="12"/>
        <v>3.7822726525242557E-3</v>
      </c>
      <c r="L104" s="197">
        <f t="shared" si="12"/>
        <v>3.6938534278959812E-3</v>
      </c>
      <c r="M104" s="197">
        <f t="shared" si="12"/>
        <v>4.3301404015221104E-3</v>
      </c>
      <c r="N104" s="197">
        <f t="shared" si="12"/>
        <v>6.9803827175352025E-3</v>
      </c>
      <c r="O104" s="197">
        <f t="shared" si="12"/>
        <v>7.2938689217758989E-3</v>
      </c>
      <c r="P104" s="197">
        <f t="shared" si="12"/>
        <v>7.8708644610458907E-3</v>
      </c>
      <c r="Q104" s="197">
        <f t="shared" si="12"/>
        <v>7.9101123595505616E-3</v>
      </c>
      <c r="R104" s="197">
        <f t="shared" si="12"/>
        <v>6.7777463993222258E-3</v>
      </c>
      <c r="S104" s="197">
        <f t="shared" si="12"/>
        <v>6.6367817430284682E-3</v>
      </c>
      <c r="T104" s="197">
        <f t="shared" si="12"/>
        <v>6.7275830906717545E-3</v>
      </c>
      <c r="U104" s="197">
        <f t="shared" si="12"/>
        <v>5.8433734939759034E-3</v>
      </c>
    </row>
    <row r="105" spans="1:21" x14ac:dyDescent="0.6">
      <c r="A105" s="182" t="s">
        <v>246</v>
      </c>
      <c r="B105" s="197">
        <f t="shared" ref="B105:U105" si="13">B61/B$47</f>
        <v>4.9833887043189366E-3</v>
      </c>
      <c r="C105" s="197">
        <f t="shared" si="13"/>
        <v>5.4619936276741011E-3</v>
      </c>
      <c r="D105" s="197">
        <f t="shared" si="13"/>
        <v>4.2872454448017148E-3</v>
      </c>
      <c r="E105" s="197">
        <f t="shared" si="13"/>
        <v>4.0816326530612249E-3</v>
      </c>
      <c r="F105" s="197">
        <f t="shared" si="13"/>
        <v>4.2504958911873053E-3</v>
      </c>
      <c r="G105" s="197">
        <f t="shared" si="13"/>
        <v>3.6728697355533791E-3</v>
      </c>
      <c r="H105" s="197">
        <f t="shared" si="13"/>
        <v>3.6622145626884965E-3</v>
      </c>
      <c r="I105" s="197">
        <f t="shared" si="13"/>
        <v>3.838174273858921E-3</v>
      </c>
      <c r="J105" s="197">
        <f t="shared" si="13"/>
        <v>3.6049026676279738E-3</v>
      </c>
      <c r="K105" s="197">
        <f t="shared" si="13"/>
        <v>4.1111659266567999E-3</v>
      </c>
      <c r="L105" s="197">
        <f t="shared" si="13"/>
        <v>4.1371158392434987E-3</v>
      </c>
      <c r="M105" s="197">
        <f t="shared" si="13"/>
        <v>3.4116257708962077E-3</v>
      </c>
      <c r="N105" s="197">
        <f t="shared" si="13"/>
        <v>3.6105427849320013E-3</v>
      </c>
      <c r="O105" s="197">
        <f t="shared" si="13"/>
        <v>4.2283298097251587E-3</v>
      </c>
      <c r="P105" s="197">
        <f t="shared" si="13"/>
        <v>4.0021344717182496E-3</v>
      </c>
      <c r="Q105" s="197">
        <f t="shared" si="13"/>
        <v>4.6741573033707868E-3</v>
      </c>
      <c r="R105" s="197">
        <f t="shared" si="13"/>
        <v>3.741880824625812E-3</v>
      </c>
      <c r="S105" s="197">
        <f t="shared" si="13"/>
        <v>3.8423473249112185E-3</v>
      </c>
      <c r="T105" s="197">
        <f t="shared" si="13"/>
        <v>3.9662616728587206E-3</v>
      </c>
      <c r="U105" s="197">
        <f t="shared" si="13"/>
        <v>3.8554216867469878E-3</v>
      </c>
    </row>
    <row r="106" spans="1:21" x14ac:dyDescent="0.6">
      <c r="A106" s="182" t="s">
        <v>248</v>
      </c>
      <c r="B106" s="197">
        <f t="shared" ref="B106:U106" si="14">B62/B$47</f>
        <v>7.7519379844961239E-3</v>
      </c>
      <c r="C106" s="197">
        <f t="shared" si="14"/>
        <v>6.8274920345926266E-3</v>
      </c>
      <c r="D106" s="197">
        <f t="shared" si="14"/>
        <v>6.0735977134690963E-3</v>
      </c>
      <c r="E106" s="197">
        <f t="shared" si="14"/>
        <v>5.3375196232339087E-3</v>
      </c>
      <c r="F106" s="197">
        <f t="shared" si="14"/>
        <v>5.383961462170587E-3</v>
      </c>
      <c r="G106" s="197">
        <f t="shared" si="14"/>
        <v>5.6317335945151809E-3</v>
      </c>
      <c r="H106" s="197">
        <f t="shared" si="14"/>
        <v>5.6010340370529947E-3</v>
      </c>
      <c r="I106" s="197">
        <f t="shared" si="14"/>
        <v>7.7800829875518673E-3</v>
      </c>
      <c r="J106" s="197">
        <f t="shared" si="14"/>
        <v>4.8666186012977647E-3</v>
      </c>
      <c r="K106" s="197">
        <f t="shared" si="14"/>
        <v>4.7689524749218882E-3</v>
      </c>
      <c r="L106" s="197">
        <f t="shared" si="14"/>
        <v>4.4326241134751776E-3</v>
      </c>
      <c r="M106" s="197">
        <f t="shared" si="14"/>
        <v>4.4613567773258101E-3</v>
      </c>
      <c r="N106" s="197">
        <f t="shared" si="14"/>
        <v>4.9344084727404019E-3</v>
      </c>
      <c r="O106" s="197">
        <f t="shared" si="14"/>
        <v>6.7653276955602533E-3</v>
      </c>
      <c r="P106" s="197">
        <f t="shared" si="14"/>
        <v>8.9381003201707571E-3</v>
      </c>
      <c r="Q106" s="197">
        <f t="shared" si="14"/>
        <v>1.0157303370786517E-2</v>
      </c>
      <c r="R106" s="197">
        <f t="shared" si="14"/>
        <v>1.1931657723806834E-2</v>
      </c>
      <c r="S106" s="197">
        <f t="shared" si="14"/>
        <v>9.9551726145427032E-3</v>
      </c>
      <c r="T106" s="197">
        <f t="shared" si="14"/>
        <v>9.3884928205643144E-3</v>
      </c>
      <c r="U106" s="197">
        <f t="shared" si="14"/>
        <v>1.0542168674698794E-2</v>
      </c>
    </row>
    <row r="107" spans="1:21" x14ac:dyDescent="0.6">
      <c r="A107" s="182" t="s">
        <v>250</v>
      </c>
      <c r="B107" s="197">
        <f t="shared" ref="B107:U107" si="15">B63/B$47</f>
        <v>4.4296788482834993E-3</v>
      </c>
      <c r="C107" s="197">
        <f t="shared" si="15"/>
        <v>3.6413290851160674E-3</v>
      </c>
      <c r="D107" s="197">
        <f t="shared" si="15"/>
        <v>3.2154340836012861E-3</v>
      </c>
      <c r="E107" s="197">
        <f t="shared" si="15"/>
        <v>3.1397174254317113E-3</v>
      </c>
      <c r="F107" s="197">
        <f t="shared" si="15"/>
        <v>3.1170303202040237E-3</v>
      </c>
      <c r="G107" s="197">
        <f t="shared" si="15"/>
        <v>3.4280117531831538E-3</v>
      </c>
      <c r="H107" s="197">
        <f t="shared" si="15"/>
        <v>3.8776389487289961E-3</v>
      </c>
      <c r="I107" s="197">
        <f t="shared" si="15"/>
        <v>4.8755186721991702E-3</v>
      </c>
      <c r="J107" s="197">
        <f t="shared" si="15"/>
        <v>3.9653929343907712E-3</v>
      </c>
      <c r="K107" s="197">
        <f t="shared" si="15"/>
        <v>3.9467192895905282E-3</v>
      </c>
      <c r="L107" s="197">
        <f t="shared" si="15"/>
        <v>4.4326241134751776E-3</v>
      </c>
      <c r="M107" s="197">
        <f t="shared" si="15"/>
        <v>4.4613567773258101E-3</v>
      </c>
      <c r="N107" s="197">
        <f t="shared" si="15"/>
        <v>4.3326513419184014E-3</v>
      </c>
      <c r="O107" s="197">
        <f t="shared" si="15"/>
        <v>5.1797040169133191E-3</v>
      </c>
      <c r="P107" s="197">
        <f t="shared" si="15"/>
        <v>5.4695837780149416E-3</v>
      </c>
      <c r="Q107" s="197">
        <f t="shared" si="15"/>
        <v>5.2134831460674156E-3</v>
      </c>
      <c r="R107" s="197">
        <f t="shared" si="15"/>
        <v>5.7893250494210676E-3</v>
      </c>
      <c r="S107" s="197">
        <f t="shared" si="15"/>
        <v>5.2395645339698435E-3</v>
      </c>
      <c r="T107" s="197">
        <f t="shared" si="15"/>
        <v>6.0749071191886737E-3</v>
      </c>
      <c r="U107" s="197">
        <f t="shared" si="15"/>
        <v>6.7469879518072288E-3</v>
      </c>
    </row>
    <row r="108" spans="1:21" x14ac:dyDescent="0.6">
      <c r="A108" s="182" t="s">
        <v>252</v>
      </c>
      <c r="B108" s="197">
        <f t="shared" ref="B108:U108" si="16">B64/B$47</f>
        <v>2.2148394241417496E-3</v>
      </c>
      <c r="C108" s="197">
        <f t="shared" si="16"/>
        <v>1.8206645425580337E-3</v>
      </c>
      <c r="D108" s="197">
        <f t="shared" si="16"/>
        <v>2.1436227224008574E-3</v>
      </c>
      <c r="E108" s="197">
        <f t="shared" si="16"/>
        <v>1.8838304552590266E-3</v>
      </c>
      <c r="F108" s="197">
        <f t="shared" si="16"/>
        <v>2.5502975347123833E-3</v>
      </c>
      <c r="G108" s="197">
        <f t="shared" si="16"/>
        <v>3.1831537708129284E-3</v>
      </c>
      <c r="H108" s="197">
        <f t="shared" si="16"/>
        <v>3.6622145626884965E-3</v>
      </c>
      <c r="I108" s="197">
        <f t="shared" si="16"/>
        <v>5.1867219917012446E-3</v>
      </c>
      <c r="J108" s="197">
        <f t="shared" si="16"/>
        <v>3.2444124008651765E-3</v>
      </c>
      <c r="K108" s="197">
        <f t="shared" si="16"/>
        <v>3.9467192895905282E-3</v>
      </c>
      <c r="L108" s="197">
        <f t="shared" si="16"/>
        <v>4.1371158392434987E-3</v>
      </c>
      <c r="M108" s="197">
        <f t="shared" si="16"/>
        <v>4.1989240257184098E-3</v>
      </c>
      <c r="N108" s="197">
        <f t="shared" si="16"/>
        <v>5.1751113250692021E-3</v>
      </c>
      <c r="O108" s="197">
        <f t="shared" si="16"/>
        <v>5.6025369978858347E-3</v>
      </c>
      <c r="P108" s="197">
        <f t="shared" si="16"/>
        <v>6.4034151547491995E-3</v>
      </c>
      <c r="Q108" s="197">
        <f t="shared" si="16"/>
        <v>6.0224719101123593E-3</v>
      </c>
      <c r="R108" s="197">
        <f t="shared" si="16"/>
        <v>5.5069189494493078E-3</v>
      </c>
      <c r="S108" s="197">
        <f t="shared" si="16"/>
        <v>5.4142166851021715E-3</v>
      </c>
      <c r="T108" s="197">
        <f t="shared" si="16"/>
        <v>5.8740837433477258E-3</v>
      </c>
      <c r="U108" s="197">
        <f t="shared" si="16"/>
        <v>6.5662650602409641E-3</v>
      </c>
    </row>
    <row r="109" spans="1:21" x14ac:dyDescent="0.6">
      <c r="A109" s="182" t="s">
        <v>254</v>
      </c>
      <c r="B109" s="197">
        <f t="shared" ref="B109:U109" si="17">B65/B$47</f>
        <v>5.5370985603543747E-3</v>
      </c>
      <c r="C109" s="197">
        <f t="shared" si="17"/>
        <v>5.9171597633136093E-3</v>
      </c>
      <c r="D109" s="197">
        <f t="shared" si="17"/>
        <v>6.0735977134690963E-3</v>
      </c>
      <c r="E109" s="197">
        <f t="shared" si="17"/>
        <v>5.3375196232339087E-3</v>
      </c>
      <c r="F109" s="197">
        <f t="shared" si="17"/>
        <v>6.8007934258996882E-3</v>
      </c>
      <c r="G109" s="197">
        <f t="shared" si="17"/>
        <v>7.8354554358472089E-3</v>
      </c>
      <c r="H109" s="197">
        <f t="shared" si="17"/>
        <v>7.9707022834984917E-3</v>
      </c>
      <c r="I109" s="197">
        <f t="shared" si="17"/>
        <v>7.7800829875518673E-3</v>
      </c>
      <c r="J109" s="197">
        <f t="shared" si="17"/>
        <v>8.4715212689257385E-3</v>
      </c>
      <c r="K109" s="197">
        <f t="shared" si="17"/>
        <v>9.0445650386449597E-3</v>
      </c>
      <c r="L109" s="197">
        <f t="shared" si="17"/>
        <v>7.535460992907801E-3</v>
      </c>
      <c r="M109" s="197">
        <f t="shared" si="17"/>
        <v>8.1354152998294182E-3</v>
      </c>
      <c r="N109" s="197">
        <f t="shared" si="17"/>
        <v>8.5449512576724028E-3</v>
      </c>
      <c r="O109" s="197">
        <f t="shared" si="17"/>
        <v>8.2452431289640592E-3</v>
      </c>
      <c r="P109" s="197">
        <f t="shared" si="17"/>
        <v>7.6040554962646745E-3</v>
      </c>
      <c r="Q109" s="197">
        <f t="shared" si="17"/>
        <v>8.5393258426966299E-3</v>
      </c>
      <c r="R109" s="197">
        <f t="shared" si="17"/>
        <v>7.5543631742445638E-3</v>
      </c>
      <c r="S109" s="197">
        <f t="shared" si="17"/>
        <v>6.2874774407638123E-3</v>
      </c>
      <c r="T109" s="197">
        <f t="shared" si="17"/>
        <v>5.522642835626067E-3</v>
      </c>
      <c r="U109" s="197">
        <f t="shared" si="17"/>
        <v>5.4819277108433739E-3</v>
      </c>
    </row>
    <row r="110" spans="1:21" x14ac:dyDescent="0.6">
      <c r="A110" s="180" t="s">
        <v>256</v>
      </c>
      <c r="B110" s="195">
        <f t="shared" ref="B110:U110" si="18">B66/B$47</f>
        <v>6.090808416389812E-3</v>
      </c>
      <c r="C110" s="195">
        <f t="shared" si="18"/>
        <v>1.137915339098771E-2</v>
      </c>
      <c r="D110" s="195">
        <f t="shared" si="18"/>
        <v>6.0735977134690963E-3</v>
      </c>
      <c r="E110" s="195">
        <f t="shared" si="18"/>
        <v>6.2794348508634227E-3</v>
      </c>
      <c r="F110" s="195">
        <f t="shared" si="18"/>
        <v>6.5174270331538678E-3</v>
      </c>
      <c r="G110" s="195">
        <f t="shared" si="18"/>
        <v>6.8560235063663075E-3</v>
      </c>
      <c r="H110" s="195">
        <f t="shared" si="18"/>
        <v>7.5398535114174926E-3</v>
      </c>
      <c r="I110" s="195">
        <f t="shared" si="18"/>
        <v>1.1514522821576764E-2</v>
      </c>
      <c r="J110" s="195">
        <f t="shared" si="18"/>
        <v>8.1110310021629412E-3</v>
      </c>
      <c r="K110" s="195">
        <f t="shared" si="18"/>
        <v>9.2090116757112313E-3</v>
      </c>
      <c r="L110" s="195">
        <f t="shared" si="18"/>
        <v>1.1377068557919623E-2</v>
      </c>
      <c r="M110" s="195">
        <f t="shared" si="18"/>
        <v>1.1022175567510825E-2</v>
      </c>
      <c r="N110" s="195">
        <f t="shared" si="18"/>
        <v>1.1433385485618005E-2</v>
      </c>
      <c r="O110" s="195">
        <f t="shared" si="18"/>
        <v>1.1522198731501057E-2</v>
      </c>
      <c r="P110" s="195">
        <f t="shared" si="18"/>
        <v>1.2540021344717182E-2</v>
      </c>
      <c r="Q110" s="195">
        <f t="shared" si="18"/>
        <v>1.2224719101123596E-2</v>
      </c>
      <c r="R110" s="195">
        <f t="shared" si="18"/>
        <v>7.5543631742445638E-3</v>
      </c>
      <c r="S110" s="195">
        <f t="shared" si="18"/>
        <v>6.4039122081853642E-3</v>
      </c>
      <c r="T110" s="195">
        <f t="shared" si="18"/>
        <v>7.3802590621548352E-3</v>
      </c>
      <c r="U110" s="195">
        <f t="shared" si="18"/>
        <v>7.8915662650602403E-3</v>
      </c>
    </row>
    <row r="111" spans="1:21" x14ac:dyDescent="0.6">
      <c r="A111" s="180" t="s">
        <v>258</v>
      </c>
      <c r="B111" s="195">
        <f t="shared" ref="B111:U111" si="19">B67/B$47</f>
        <v>4.9833887043189366E-3</v>
      </c>
      <c r="C111" s="195">
        <f t="shared" si="19"/>
        <v>9.5584888484296776E-3</v>
      </c>
      <c r="D111" s="195">
        <f t="shared" si="19"/>
        <v>4.6445158985351908E-3</v>
      </c>
      <c r="E111" s="195">
        <f t="shared" si="19"/>
        <v>5.023547880690738E-3</v>
      </c>
      <c r="F111" s="195">
        <f t="shared" si="19"/>
        <v>5.383961462170587E-3</v>
      </c>
      <c r="G111" s="195">
        <f t="shared" si="19"/>
        <v>5.3868756121449556E-3</v>
      </c>
      <c r="H111" s="195">
        <f t="shared" si="19"/>
        <v>5.1701852649719948E-3</v>
      </c>
      <c r="I111" s="195">
        <f t="shared" si="19"/>
        <v>6.5352697095435687E-3</v>
      </c>
      <c r="J111" s="195">
        <f t="shared" si="19"/>
        <v>4.8666186012977647E-3</v>
      </c>
      <c r="K111" s="195">
        <f t="shared" si="19"/>
        <v>4.7689524749218882E-3</v>
      </c>
      <c r="L111" s="195">
        <f t="shared" si="19"/>
        <v>4.7281323877068557E-3</v>
      </c>
      <c r="M111" s="195">
        <f t="shared" si="19"/>
        <v>4.1989240257184098E-3</v>
      </c>
      <c r="N111" s="195">
        <f t="shared" si="19"/>
        <v>4.0919484895896013E-3</v>
      </c>
      <c r="O111" s="195">
        <f t="shared" si="19"/>
        <v>6.2367864693446086E-3</v>
      </c>
      <c r="P111" s="195">
        <f t="shared" si="19"/>
        <v>6.5368196371398081E-3</v>
      </c>
      <c r="Q111" s="195">
        <f t="shared" si="19"/>
        <v>6.2921348314606742E-3</v>
      </c>
      <c r="R111" s="195">
        <f t="shared" si="19"/>
        <v>5.1539113244846091E-3</v>
      </c>
      <c r="S111" s="195">
        <f t="shared" si="19"/>
        <v>4.3080863945974268E-3</v>
      </c>
      <c r="T111" s="195">
        <f t="shared" si="19"/>
        <v>3.9160558288984836E-3</v>
      </c>
      <c r="U111" s="195">
        <f t="shared" si="19"/>
        <v>3.674698795180723E-3</v>
      </c>
    </row>
    <row r="112" spans="1:21" x14ac:dyDescent="0.6">
      <c r="A112" s="180" t="s">
        <v>260</v>
      </c>
      <c r="B112" s="195">
        <f t="shared" ref="B112:U112" si="20">B68/B$47</f>
        <v>4.817275747508306E-2</v>
      </c>
      <c r="C112" s="195">
        <f t="shared" si="20"/>
        <v>5.0523441055985434E-2</v>
      </c>
      <c r="D112" s="195">
        <f t="shared" si="20"/>
        <v>5.8592354412290104E-2</v>
      </c>
      <c r="E112" s="195">
        <f t="shared" si="20"/>
        <v>5.8084772370486655E-2</v>
      </c>
      <c r="F112" s="195">
        <f t="shared" si="20"/>
        <v>5.8940209691130632E-2</v>
      </c>
      <c r="G112" s="195">
        <f t="shared" si="20"/>
        <v>6.6601371204701276E-2</v>
      </c>
      <c r="H112" s="195">
        <f t="shared" si="20"/>
        <v>7.1305471779405424E-2</v>
      </c>
      <c r="I112" s="195">
        <f t="shared" si="20"/>
        <v>8.4232365145228222E-2</v>
      </c>
      <c r="J112" s="195">
        <f t="shared" si="20"/>
        <v>7.444124008651766E-2</v>
      </c>
      <c r="K112" s="195">
        <f t="shared" si="20"/>
        <v>7.6303239598750211E-2</v>
      </c>
      <c r="L112" s="195">
        <f t="shared" si="20"/>
        <v>7.0035460992907805E-2</v>
      </c>
      <c r="M112" s="195">
        <f t="shared" si="20"/>
        <v>6.0097100118094736E-2</v>
      </c>
      <c r="N112" s="195">
        <f t="shared" si="20"/>
        <v>6.3304850162474419E-2</v>
      </c>
      <c r="O112" s="195">
        <f t="shared" si="20"/>
        <v>8.0443974630021148E-2</v>
      </c>
      <c r="P112" s="195">
        <f t="shared" si="20"/>
        <v>7.577374599786553E-2</v>
      </c>
      <c r="Q112" s="195">
        <f t="shared" si="20"/>
        <v>8.1078651685393258E-2</v>
      </c>
      <c r="R112" s="195">
        <f t="shared" si="20"/>
        <v>9.1075967240892397E-2</v>
      </c>
      <c r="S112" s="195">
        <f t="shared" si="20"/>
        <v>0.10182220411014729</v>
      </c>
      <c r="T112" s="195">
        <f t="shared" si="20"/>
        <v>0.1104026508685611</v>
      </c>
      <c r="U112" s="195">
        <f t="shared" si="20"/>
        <v>0.11018072289156626</v>
      </c>
    </row>
    <row r="113" spans="1:21" x14ac:dyDescent="0.6">
      <c r="A113" s="178" t="s">
        <v>262</v>
      </c>
      <c r="B113" s="193">
        <f t="shared" ref="B113:U113" si="21">B69/B$47</f>
        <v>0.45902547065337762</v>
      </c>
      <c r="C113" s="193">
        <f t="shared" si="21"/>
        <v>0.48793809740555305</v>
      </c>
      <c r="D113" s="193">
        <f t="shared" si="21"/>
        <v>0.49910682386566629</v>
      </c>
      <c r="E113" s="193">
        <f t="shared" si="21"/>
        <v>0.50141287284144431</v>
      </c>
      <c r="F113" s="193">
        <f t="shared" si="21"/>
        <v>0.50467554548030602</v>
      </c>
      <c r="G113" s="193">
        <f t="shared" si="21"/>
        <v>0.48481880509304603</v>
      </c>
      <c r="H113" s="193">
        <f t="shared" si="21"/>
        <v>0.49504523912106851</v>
      </c>
      <c r="I113" s="193">
        <f t="shared" si="21"/>
        <v>0.49325726141078841</v>
      </c>
      <c r="J113" s="193">
        <f t="shared" si="21"/>
        <v>0.4987382840663302</v>
      </c>
      <c r="K113" s="193">
        <f t="shared" si="21"/>
        <v>0.50304226278572606</v>
      </c>
      <c r="L113" s="193">
        <f t="shared" si="21"/>
        <v>0.49852245862884159</v>
      </c>
      <c r="M113" s="193">
        <f t="shared" si="21"/>
        <v>0.48326991208502823</v>
      </c>
      <c r="N113" s="193">
        <f t="shared" si="21"/>
        <v>0.50848477554459015</v>
      </c>
      <c r="O113" s="193">
        <f t="shared" si="21"/>
        <v>0.50877378435517973</v>
      </c>
      <c r="P113" s="193">
        <f t="shared" si="21"/>
        <v>0.48852721451440767</v>
      </c>
      <c r="Q113" s="193">
        <f t="shared" si="21"/>
        <v>0.5168539325842697</v>
      </c>
      <c r="R113" s="193">
        <f t="shared" si="21"/>
        <v>0.5085427845241457</v>
      </c>
      <c r="S113" s="193">
        <f t="shared" si="21"/>
        <v>0.50334749956336966</v>
      </c>
      <c r="T113" s="193">
        <f t="shared" si="21"/>
        <v>0.52199015965458384</v>
      </c>
      <c r="U113" s="193">
        <f t="shared" si="21"/>
        <v>0.52722891566265062</v>
      </c>
    </row>
    <row r="114" spans="1:21" x14ac:dyDescent="0.6">
      <c r="A114" s="178" t="s">
        <v>264</v>
      </c>
      <c r="B114" s="193">
        <f t="shared" ref="B114:U114" si="22">B70/B$47</f>
        <v>0.11461794019933555</v>
      </c>
      <c r="C114" s="193">
        <f t="shared" si="22"/>
        <v>0.11788802913063268</v>
      </c>
      <c r="D114" s="193">
        <f t="shared" si="22"/>
        <v>0.13433369060378705</v>
      </c>
      <c r="E114" s="193">
        <f t="shared" si="22"/>
        <v>0.13092621664050236</v>
      </c>
      <c r="F114" s="193">
        <f t="shared" si="22"/>
        <v>0.13431567016151885</v>
      </c>
      <c r="G114" s="193">
        <f t="shared" si="22"/>
        <v>0.13173359451518118</v>
      </c>
      <c r="H114" s="193">
        <f t="shared" si="22"/>
        <v>0.13981042654028436</v>
      </c>
      <c r="I114" s="193">
        <f t="shared" si="22"/>
        <v>0.14387966804979252</v>
      </c>
      <c r="J114" s="193">
        <f t="shared" si="22"/>
        <v>0.13590483056957461</v>
      </c>
      <c r="K114" s="193">
        <f t="shared" si="22"/>
        <v>0.13533958230554186</v>
      </c>
      <c r="L114" s="193">
        <f t="shared" si="22"/>
        <v>0.13253546099290781</v>
      </c>
      <c r="M114" s="193">
        <f t="shared" si="22"/>
        <v>0.13003542842146701</v>
      </c>
      <c r="N114" s="193">
        <f t="shared" si="22"/>
        <v>0.14718979419906125</v>
      </c>
      <c r="O114" s="193">
        <f t="shared" si="22"/>
        <v>0.15052854122621565</v>
      </c>
      <c r="P114" s="193">
        <f t="shared" si="22"/>
        <v>0.14487726787620064</v>
      </c>
      <c r="Q114" s="193">
        <f t="shared" si="22"/>
        <v>0.15559550561797753</v>
      </c>
      <c r="R114" s="193">
        <f t="shared" si="22"/>
        <v>0.1613950861338605</v>
      </c>
      <c r="S114" s="193">
        <f t="shared" si="22"/>
        <v>0.15503289282179658</v>
      </c>
      <c r="T114" s="193">
        <f t="shared" si="22"/>
        <v>0.18043980319309166</v>
      </c>
      <c r="U114" s="193">
        <f t="shared" si="22"/>
        <v>0.1886144578313253</v>
      </c>
    </row>
    <row r="115" spans="1:21" x14ac:dyDescent="0.6">
      <c r="A115" s="180" t="s">
        <v>266</v>
      </c>
      <c r="B115" s="195">
        <f t="shared" ref="B115:U115" si="23">B71/B$47</f>
        <v>4.4296788482834993E-3</v>
      </c>
      <c r="C115" s="195">
        <f t="shared" si="23"/>
        <v>5.0068274920345929E-3</v>
      </c>
      <c r="D115" s="195">
        <f t="shared" si="23"/>
        <v>6.0735977134690963E-3</v>
      </c>
      <c r="E115" s="195">
        <f t="shared" si="23"/>
        <v>6.2794348508634227E-3</v>
      </c>
      <c r="F115" s="195">
        <f t="shared" si="23"/>
        <v>5.950694247662227E-3</v>
      </c>
      <c r="G115" s="195">
        <f t="shared" si="23"/>
        <v>5.8765915768854062E-3</v>
      </c>
      <c r="H115" s="195">
        <f t="shared" si="23"/>
        <v>6.0318828091339939E-3</v>
      </c>
      <c r="I115" s="195">
        <f t="shared" si="23"/>
        <v>6.3278008298755187E-3</v>
      </c>
      <c r="J115" s="195">
        <f t="shared" si="23"/>
        <v>5.7678442682047582E-3</v>
      </c>
      <c r="K115" s="195">
        <f t="shared" si="23"/>
        <v>5.4267390231869756E-3</v>
      </c>
      <c r="L115" s="195">
        <f t="shared" si="23"/>
        <v>5.6146572104018916E-3</v>
      </c>
      <c r="M115" s="195">
        <f t="shared" si="23"/>
        <v>5.2486550321480122E-3</v>
      </c>
      <c r="N115" s="195">
        <f t="shared" si="23"/>
        <v>5.6565170297268024E-3</v>
      </c>
      <c r="O115" s="195">
        <f t="shared" si="23"/>
        <v>5.8139534883720929E-3</v>
      </c>
      <c r="P115" s="195">
        <f t="shared" si="23"/>
        <v>7.2038420490928498E-3</v>
      </c>
      <c r="Q115" s="195">
        <f t="shared" si="23"/>
        <v>7.4606741573033705E-3</v>
      </c>
      <c r="R115" s="195">
        <f t="shared" si="23"/>
        <v>6.8483479243151655E-3</v>
      </c>
      <c r="S115" s="195">
        <f t="shared" si="23"/>
        <v>6.3456948244745882E-3</v>
      </c>
      <c r="T115" s="195">
        <f t="shared" si="23"/>
        <v>6.4263480269103326E-3</v>
      </c>
      <c r="U115" s="195">
        <f t="shared" si="23"/>
        <v>7.8915662650602403E-3</v>
      </c>
    </row>
    <row r="116" spans="1:21" x14ac:dyDescent="0.6">
      <c r="A116" s="180" t="s">
        <v>268</v>
      </c>
      <c r="B116" s="195">
        <f t="shared" ref="B116:U116" si="24">B72/B$47</f>
        <v>7.1982281284606861E-2</v>
      </c>
      <c r="C116" s="195">
        <f t="shared" si="24"/>
        <v>7.4647246244879381E-2</v>
      </c>
      <c r="D116" s="195">
        <f t="shared" si="24"/>
        <v>8.7888531618435156E-2</v>
      </c>
      <c r="E116" s="195">
        <f t="shared" si="24"/>
        <v>8.3830455259026687E-2</v>
      </c>
      <c r="F116" s="195">
        <f t="shared" si="24"/>
        <v>8.5293284216491919E-2</v>
      </c>
      <c r="G116" s="195">
        <f t="shared" si="24"/>
        <v>8.4231145935357493E-2</v>
      </c>
      <c r="H116" s="195">
        <f t="shared" si="24"/>
        <v>8.7893149504523913E-2</v>
      </c>
      <c r="I116" s="195">
        <f t="shared" si="24"/>
        <v>7.1058091286307051E-2</v>
      </c>
      <c r="J116" s="195">
        <f t="shared" si="24"/>
        <v>8.687815428983417E-2</v>
      </c>
      <c r="K116" s="195">
        <f t="shared" si="24"/>
        <v>8.6992271008057884E-2</v>
      </c>
      <c r="L116" s="195">
        <f t="shared" si="24"/>
        <v>8.2742316784869971E-2</v>
      </c>
      <c r="M116" s="195">
        <f t="shared" si="24"/>
        <v>7.8336176354809078E-2</v>
      </c>
      <c r="N116" s="195">
        <f t="shared" si="24"/>
        <v>8.2079672644120832E-2</v>
      </c>
      <c r="O116" s="195">
        <f t="shared" si="24"/>
        <v>7.7589852008456653E-2</v>
      </c>
      <c r="P116" s="195">
        <f t="shared" si="24"/>
        <v>7.3639274279615793E-2</v>
      </c>
      <c r="Q116" s="195">
        <f t="shared" si="24"/>
        <v>8.0808988764044951E-2</v>
      </c>
      <c r="R116" s="195">
        <f t="shared" si="24"/>
        <v>7.9850324767014966E-2</v>
      </c>
      <c r="S116" s="195">
        <f t="shared" si="24"/>
        <v>8.0165337369738604E-2</v>
      </c>
      <c r="T116" s="195">
        <f t="shared" si="24"/>
        <v>9.1475047695551759E-2</v>
      </c>
      <c r="U116" s="195">
        <f t="shared" si="24"/>
        <v>9.5481927710843378E-2</v>
      </c>
    </row>
    <row r="117" spans="1:21" x14ac:dyDescent="0.6">
      <c r="A117" s="180" t="s">
        <v>270</v>
      </c>
      <c r="B117" s="195">
        <f t="shared" ref="B117:U117" si="25">B73/B$47</f>
        <v>3.709856035437431E-2</v>
      </c>
      <c r="C117" s="195">
        <f t="shared" si="25"/>
        <v>3.823395539371871E-2</v>
      </c>
      <c r="D117" s="195">
        <f t="shared" si="25"/>
        <v>4.108610217934977E-2</v>
      </c>
      <c r="E117" s="195">
        <f t="shared" si="25"/>
        <v>4.1130298273155418E-2</v>
      </c>
      <c r="F117" s="195">
        <f t="shared" si="25"/>
        <v>4.3071691697364696E-2</v>
      </c>
      <c r="G117" s="195">
        <f t="shared" si="25"/>
        <v>4.1870714985308519E-2</v>
      </c>
      <c r="H117" s="195">
        <f t="shared" si="25"/>
        <v>4.6100818612666954E-2</v>
      </c>
      <c r="I117" s="195">
        <f t="shared" si="25"/>
        <v>6.6597510373443983E-2</v>
      </c>
      <c r="J117" s="195">
        <f t="shared" si="25"/>
        <v>4.3619322278298484E-2</v>
      </c>
      <c r="K117" s="195">
        <f t="shared" si="25"/>
        <v>4.3249465548429532E-2</v>
      </c>
      <c r="L117" s="195">
        <f t="shared" si="25"/>
        <v>4.4473995271867614E-2</v>
      </c>
      <c r="M117" s="195">
        <f t="shared" si="25"/>
        <v>4.6713029786117306E-2</v>
      </c>
      <c r="N117" s="195">
        <f t="shared" si="25"/>
        <v>5.9212901672884823E-2</v>
      </c>
      <c r="O117" s="195">
        <f t="shared" si="25"/>
        <v>6.7124735729386889E-2</v>
      </c>
      <c r="P117" s="195">
        <f t="shared" si="25"/>
        <v>6.4034151547491994E-2</v>
      </c>
      <c r="Q117" s="195">
        <f t="shared" si="25"/>
        <v>6.7146067415730343E-2</v>
      </c>
      <c r="R117" s="195">
        <f t="shared" si="25"/>
        <v>7.4696413442530363E-2</v>
      </c>
      <c r="S117" s="195">
        <f t="shared" si="25"/>
        <v>6.8521860627583392E-2</v>
      </c>
      <c r="T117" s="195">
        <f t="shared" si="25"/>
        <v>8.2538407470629585E-2</v>
      </c>
      <c r="U117" s="195">
        <f t="shared" si="25"/>
        <v>8.530120481927711E-2</v>
      </c>
    </row>
    <row r="118" spans="1:21" x14ac:dyDescent="0.6">
      <c r="A118" s="178" t="s">
        <v>272</v>
      </c>
      <c r="B118" s="193">
        <f t="shared" ref="B118:U118" si="26">B74/B$47</f>
        <v>0.34385382059800662</v>
      </c>
      <c r="C118" s="193">
        <f t="shared" si="26"/>
        <v>0.37050523441055988</v>
      </c>
      <c r="D118" s="193">
        <f t="shared" si="26"/>
        <v>0.36441586280814575</v>
      </c>
      <c r="E118" s="193">
        <f t="shared" si="26"/>
        <v>0.3704866562009419</v>
      </c>
      <c r="F118" s="193">
        <f t="shared" si="26"/>
        <v>0.37007650892604138</v>
      </c>
      <c r="G118" s="193">
        <f t="shared" si="26"/>
        <v>0.35284035259549462</v>
      </c>
      <c r="H118" s="193">
        <f t="shared" si="26"/>
        <v>0.35501938819474366</v>
      </c>
      <c r="I118" s="193">
        <f t="shared" si="26"/>
        <v>0.34937759336099583</v>
      </c>
      <c r="J118" s="193">
        <f t="shared" si="26"/>
        <v>0.36283345349675561</v>
      </c>
      <c r="K118" s="193">
        <f t="shared" si="26"/>
        <v>0.36737378720605163</v>
      </c>
      <c r="L118" s="193">
        <f t="shared" si="26"/>
        <v>0.36613475177304966</v>
      </c>
      <c r="M118" s="193">
        <f t="shared" si="26"/>
        <v>0.35336570003936491</v>
      </c>
      <c r="N118" s="193">
        <f t="shared" si="26"/>
        <v>0.36153568419785775</v>
      </c>
      <c r="O118" s="193">
        <f t="shared" si="26"/>
        <v>0.35824524312896405</v>
      </c>
      <c r="P118" s="193">
        <f t="shared" si="26"/>
        <v>0.34364994663820703</v>
      </c>
      <c r="Q118" s="193">
        <f t="shared" si="26"/>
        <v>0.36134831460674155</v>
      </c>
      <c r="R118" s="193">
        <f t="shared" si="26"/>
        <v>0.34714769839028525</v>
      </c>
      <c r="S118" s="193">
        <f t="shared" si="26"/>
        <v>0.34831460674157305</v>
      </c>
      <c r="T118" s="193">
        <f t="shared" si="26"/>
        <v>0.34150015061753186</v>
      </c>
      <c r="U118" s="193">
        <f t="shared" si="26"/>
        <v>0.33861445783132532</v>
      </c>
    </row>
    <row r="119" spans="1:21" x14ac:dyDescent="0.6">
      <c r="A119" s="180" t="s">
        <v>274</v>
      </c>
      <c r="B119" s="195">
        <f t="shared" ref="B119:U119" si="27">B75/B$47</f>
        <v>2.7131782945736434E-2</v>
      </c>
      <c r="C119" s="195">
        <f t="shared" si="27"/>
        <v>2.6854802002730997E-2</v>
      </c>
      <c r="D119" s="195">
        <f t="shared" si="27"/>
        <v>2.5366202215076811E-2</v>
      </c>
      <c r="E119" s="195">
        <f t="shared" si="27"/>
        <v>2.3547880690737835E-2</v>
      </c>
      <c r="F119" s="195">
        <f t="shared" si="27"/>
        <v>2.3802776990648908E-2</v>
      </c>
      <c r="G119" s="195">
        <f t="shared" si="27"/>
        <v>2.2037218413320275E-2</v>
      </c>
      <c r="H119" s="195">
        <f t="shared" si="27"/>
        <v>2.0680741059887979E-2</v>
      </c>
      <c r="I119" s="195">
        <f t="shared" si="27"/>
        <v>1.970954356846473E-2</v>
      </c>
      <c r="J119" s="195">
        <f t="shared" si="27"/>
        <v>2.1449170872386444E-2</v>
      </c>
      <c r="K119" s="195">
        <f t="shared" si="27"/>
        <v>2.1871402729814176E-2</v>
      </c>
      <c r="L119" s="195">
        <f t="shared" si="27"/>
        <v>2.2754137115839245E-2</v>
      </c>
      <c r="M119" s="195">
        <f t="shared" si="27"/>
        <v>1.8370292612518043E-2</v>
      </c>
      <c r="N119" s="195">
        <f t="shared" si="27"/>
        <v>2.1663256709592009E-2</v>
      </c>
      <c r="O119" s="195">
        <f t="shared" si="27"/>
        <v>2.3678646934460888E-2</v>
      </c>
      <c r="P119" s="195">
        <f t="shared" si="27"/>
        <v>1.2673425827107791E-2</v>
      </c>
      <c r="Q119" s="195">
        <f t="shared" si="27"/>
        <v>1.6359550561797751E-2</v>
      </c>
      <c r="R119" s="195">
        <f t="shared" si="27"/>
        <v>2.5840158147415984E-2</v>
      </c>
      <c r="S119" s="195">
        <f t="shared" si="27"/>
        <v>2.4800605460790593E-2</v>
      </c>
      <c r="T119" s="195">
        <f t="shared" si="27"/>
        <v>3.4190179736921379E-2</v>
      </c>
      <c r="U119" s="195">
        <f t="shared" si="27"/>
        <v>3.8614457831325298E-2</v>
      </c>
    </row>
    <row r="120" spans="1:21" x14ac:dyDescent="0.6">
      <c r="A120" s="180" t="s">
        <v>276</v>
      </c>
      <c r="B120" s="195">
        <f t="shared" ref="B120:U120" si="28">B76/B$47</f>
        <v>1.8272425249169437E-2</v>
      </c>
      <c r="C120" s="195">
        <f t="shared" si="28"/>
        <v>2.0482476103777878E-2</v>
      </c>
      <c r="D120" s="195">
        <f t="shared" si="28"/>
        <v>2.0721686316541622E-2</v>
      </c>
      <c r="E120" s="195">
        <f t="shared" si="28"/>
        <v>2.1036106750392466E-2</v>
      </c>
      <c r="F120" s="195">
        <f t="shared" si="28"/>
        <v>2.1819212241428167E-2</v>
      </c>
      <c r="G120" s="195">
        <f t="shared" si="28"/>
        <v>2.1057786483839373E-2</v>
      </c>
      <c r="H120" s="195">
        <f t="shared" si="28"/>
        <v>2.3481258078414478E-2</v>
      </c>
      <c r="I120" s="195">
        <f t="shared" si="28"/>
        <v>2.2717842323651451E-2</v>
      </c>
      <c r="J120" s="195">
        <f t="shared" si="28"/>
        <v>2.1268925739005046E-2</v>
      </c>
      <c r="K120" s="195">
        <f t="shared" si="28"/>
        <v>2.2200296003946719E-2</v>
      </c>
      <c r="L120" s="195">
        <f t="shared" si="28"/>
        <v>2.0390070921985817E-2</v>
      </c>
      <c r="M120" s="195">
        <f t="shared" si="28"/>
        <v>1.7582994357695839E-2</v>
      </c>
      <c r="N120" s="195">
        <f t="shared" si="28"/>
        <v>1.8293416776988806E-2</v>
      </c>
      <c r="O120" s="195">
        <f t="shared" si="28"/>
        <v>2.1987315010570826E-2</v>
      </c>
      <c r="P120" s="195">
        <f t="shared" si="28"/>
        <v>2.4012806830309499E-2</v>
      </c>
      <c r="Q120" s="195">
        <f t="shared" si="28"/>
        <v>2.4269662921348314E-2</v>
      </c>
      <c r="R120" s="195">
        <f t="shared" si="28"/>
        <v>1.8780005648121999E-2</v>
      </c>
      <c r="S120" s="195">
        <f t="shared" si="28"/>
        <v>1.9793910461663854E-2</v>
      </c>
      <c r="T120" s="195">
        <f t="shared" si="28"/>
        <v>2.1688924590822372E-2</v>
      </c>
      <c r="U120" s="195">
        <f t="shared" si="28"/>
        <v>1.9036144578313253E-2</v>
      </c>
    </row>
    <row r="121" spans="1:21" x14ac:dyDescent="0.6">
      <c r="A121" s="180" t="s">
        <v>278</v>
      </c>
      <c r="B121" s="195">
        <f t="shared" ref="B121:U121" si="29">B77/B$47</f>
        <v>2.4363233665559248E-2</v>
      </c>
      <c r="C121" s="195">
        <f t="shared" si="29"/>
        <v>2.4578971324533454E-2</v>
      </c>
      <c r="D121" s="195">
        <f t="shared" si="29"/>
        <v>2.1436227224008574E-2</v>
      </c>
      <c r="E121" s="195">
        <f t="shared" si="29"/>
        <v>1.8838304552590265E-2</v>
      </c>
      <c r="F121" s="195">
        <f t="shared" si="29"/>
        <v>2.1252479455936526E-2</v>
      </c>
      <c r="G121" s="195">
        <f t="shared" si="29"/>
        <v>2.3016650342801176E-2</v>
      </c>
      <c r="H121" s="195">
        <f t="shared" si="29"/>
        <v>2.6066350710900472E-2</v>
      </c>
      <c r="I121" s="195">
        <f t="shared" si="29"/>
        <v>2.4896265560165973E-2</v>
      </c>
      <c r="J121" s="195">
        <f t="shared" si="29"/>
        <v>2.6315789473684209E-2</v>
      </c>
      <c r="K121" s="195">
        <f t="shared" si="29"/>
        <v>2.6311461930603519E-2</v>
      </c>
      <c r="L121" s="195">
        <f t="shared" si="29"/>
        <v>2.4231678486997636E-2</v>
      </c>
      <c r="M121" s="195">
        <f t="shared" si="29"/>
        <v>2.5062327778506758E-2</v>
      </c>
      <c r="N121" s="195">
        <f t="shared" si="29"/>
        <v>2.5995908051510412E-2</v>
      </c>
      <c r="O121" s="195">
        <f t="shared" si="29"/>
        <v>2.6427061310782242E-2</v>
      </c>
      <c r="P121" s="195">
        <f t="shared" si="29"/>
        <v>2.5880469583778015E-2</v>
      </c>
      <c r="Q121" s="195">
        <f t="shared" si="29"/>
        <v>3.1011235955056178E-2</v>
      </c>
      <c r="R121" s="195">
        <f t="shared" si="29"/>
        <v>3.3535724371646425E-2</v>
      </c>
      <c r="S121" s="195">
        <f t="shared" si="29"/>
        <v>3.0680561215578973E-2</v>
      </c>
      <c r="T121" s="195">
        <f t="shared" si="29"/>
        <v>2.5002510292198011E-2</v>
      </c>
      <c r="U121" s="195">
        <f t="shared" si="29"/>
        <v>2.6024096385542168E-2</v>
      </c>
    </row>
    <row r="122" spans="1:21" x14ac:dyDescent="0.6">
      <c r="A122" s="180" t="s">
        <v>280</v>
      </c>
      <c r="B122" s="195">
        <f t="shared" ref="B122:U122" si="30">B78/B$47</f>
        <v>7.3643410852713184E-2</v>
      </c>
      <c r="C122" s="195">
        <f t="shared" si="30"/>
        <v>9.2398725534820203E-2</v>
      </c>
      <c r="D122" s="195">
        <f t="shared" si="30"/>
        <v>0.10003572704537335</v>
      </c>
      <c r="E122" s="195">
        <f t="shared" si="30"/>
        <v>0.10675039246467818</v>
      </c>
      <c r="F122" s="195">
        <f t="shared" si="30"/>
        <v>0.10087843581751205</v>
      </c>
      <c r="G122" s="195">
        <f t="shared" si="30"/>
        <v>9.1821743388834476E-2</v>
      </c>
      <c r="H122" s="195">
        <f t="shared" si="30"/>
        <v>7.9707022834984917E-2</v>
      </c>
      <c r="I122" s="195">
        <f t="shared" si="30"/>
        <v>7.863070539419087E-2</v>
      </c>
      <c r="J122" s="195">
        <f t="shared" si="30"/>
        <v>7.2278298485940876E-2</v>
      </c>
      <c r="K122" s="195">
        <f t="shared" si="30"/>
        <v>7.0547607301430684E-2</v>
      </c>
      <c r="L122" s="195">
        <f t="shared" si="30"/>
        <v>7.2104018912529558E-2</v>
      </c>
      <c r="M122" s="195">
        <f t="shared" si="30"/>
        <v>7.3349954074268475E-2</v>
      </c>
      <c r="N122" s="195">
        <f t="shared" si="30"/>
        <v>7.883018413768203E-2</v>
      </c>
      <c r="O122" s="195">
        <f t="shared" si="30"/>
        <v>7.980972515856237E-2</v>
      </c>
      <c r="P122" s="195">
        <f t="shared" si="30"/>
        <v>8.2177161152614725E-2</v>
      </c>
      <c r="Q122" s="195">
        <f t="shared" si="30"/>
        <v>8.323595505617977E-2</v>
      </c>
      <c r="R122" s="195">
        <f t="shared" si="30"/>
        <v>7.3496187517650385E-2</v>
      </c>
      <c r="S122" s="195">
        <f t="shared" si="30"/>
        <v>7.4983990219479532E-2</v>
      </c>
      <c r="T122" s="195">
        <f t="shared" si="30"/>
        <v>6.8882417913445126E-2</v>
      </c>
      <c r="U122" s="195">
        <f t="shared" si="30"/>
        <v>5.9759036144578316E-2</v>
      </c>
    </row>
    <row r="123" spans="1:21" x14ac:dyDescent="0.6">
      <c r="A123" s="180" t="s">
        <v>282</v>
      </c>
      <c r="B123" s="195">
        <f t="shared" ref="B123:U123" si="31">B79/B$47</f>
        <v>1.8826135105204873E-2</v>
      </c>
      <c r="C123" s="195">
        <f t="shared" si="31"/>
        <v>2.3668639053254437E-2</v>
      </c>
      <c r="D123" s="195">
        <f t="shared" si="31"/>
        <v>2.5366202215076811E-2</v>
      </c>
      <c r="E123" s="195">
        <f t="shared" si="31"/>
        <v>2.7315541601255888E-2</v>
      </c>
      <c r="F123" s="195">
        <f t="shared" si="31"/>
        <v>2.550297534712383E-2</v>
      </c>
      <c r="G123" s="195">
        <f t="shared" si="31"/>
        <v>2.3506366307541625E-2</v>
      </c>
      <c r="H123" s="195">
        <f t="shared" si="31"/>
        <v>2.3050409306333477E-2</v>
      </c>
      <c r="I123" s="195">
        <f t="shared" si="31"/>
        <v>2.5622406639004149E-2</v>
      </c>
      <c r="J123" s="195">
        <f t="shared" si="31"/>
        <v>1.9826964671953856E-2</v>
      </c>
      <c r="K123" s="195">
        <f t="shared" si="31"/>
        <v>2.1049169544482816E-2</v>
      </c>
      <c r="L123" s="195">
        <f t="shared" si="31"/>
        <v>2.1276595744680851E-2</v>
      </c>
      <c r="M123" s="195">
        <f t="shared" si="31"/>
        <v>2.1519485631806848E-2</v>
      </c>
      <c r="N123" s="195">
        <f t="shared" si="31"/>
        <v>2.334817667589361E-2</v>
      </c>
      <c r="O123" s="195">
        <f t="shared" si="31"/>
        <v>2.4630021141649049E-2</v>
      </c>
      <c r="P123" s="195">
        <f t="shared" si="31"/>
        <v>2.7347918890074707E-2</v>
      </c>
      <c r="Q123" s="195">
        <f t="shared" si="31"/>
        <v>2.9303370786516854E-2</v>
      </c>
      <c r="R123" s="195">
        <f t="shared" si="31"/>
        <v>2.8381813047161818E-2</v>
      </c>
      <c r="S123" s="195">
        <f t="shared" si="31"/>
        <v>2.9865517843628106E-2</v>
      </c>
      <c r="T123" s="195">
        <f t="shared" si="31"/>
        <v>2.9521036248619341E-2</v>
      </c>
      <c r="U123" s="195">
        <f t="shared" si="31"/>
        <v>3.2048192771084338E-2</v>
      </c>
    </row>
    <row r="124" spans="1:21" x14ac:dyDescent="0.6">
      <c r="A124" s="180" t="s">
        <v>284</v>
      </c>
      <c r="B124" s="195">
        <f t="shared" ref="B124:U124" si="32">B80/B$47</f>
        <v>2.5470653377630121E-2</v>
      </c>
      <c r="C124" s="195">
        <f t="shared" si="32"/>
        <v>3.1861629494765592E-2</v>
      </c>
      <c r="D124" s="195">
        <f t="shared" si="32"/>
        <v>3.4297963558413719E-2</v>
      </c>
      <c r="E124" s="195">
        <f t="shared" si="32"/>
        <v>3.6420722135007848E-2</v>
      </c>
      <c r="F124" s="195">
        <f t="shared" si="32"/>
        <v>3.457069991499008E-2</v>
      </c>
      <c r="G124" s="195">
        <f t="shared" si="32"/>
        <v>3.1341821743388835E-2</v>
      </c>
      <c r="H124" s="195">
        <f t="shared" si="32"/>
        <v>3.1236535975872469E-2</v>
      </c>
      <c r="I124" s="195">
        <f t="shared" si="32"/>
        <v>4.0352697095435687E-2</v>
      </c>
      <c r="J124" s="195">
        <f t="shared" si="32"/>
        <v>3.2984859408795961E-2</v>
      </c>
      <c r="K124" s="195">
        <f t="shared" si="32"/>
        <v>3.5849366880447292E-2</v>
      </c>
      <c r="L124" s="195">
        <f t="shared" si="32"/>
        <v>3.7234042553191488E-2</v>
      </c>
      <c r="M124" s="195">
        <f t="shared" si="32"/>
        <v>3.6215719721821284E-2</v>
      </c>
      <c r="N124" s="195">
        <f t="shared" si="32"/>
        <v>3.7669996389457214E-2</v>
      </c>
      <c r="O124" s="195">
        <f t="shared" si="32"/>
        <v>3.8054968287526428E-2</v>
      </c>
      <c r="P124" s="195">
        <f t="shared" si="32"/>
        <v>3.8687299893276413E-2</v>
      </c>
      <c r="Q124" s="195">
        <f t="shared" si="32"/>
        <v>0.04</v>
      </c>
      <c r="R124" s="195">
        <f t="shared" si="32"/>
        <v>3.9042643321095735E-2</v>
      </c>
      <c r="S124" s="195">
        <f t="shared" si="32"/>
        <v>4.0577516446410895E-2</v>
      </c>
      <c r="T124" s="195">
        <f t="shared" si="32"/>
        <v>4.2172908926599056E-2</v>
      </c>
      <c r="U124" s="195">
        <f t="shared" si="32"/>
        <v>4.22289156626506E-2</v>
      </c>
    </row>
    <row r="125" spans="1:21" x14ac:dyDescent="0.6">
      <c r="A125" s="180" t="s">
        <v>286</v>
      </c>
      <c r="B125" s="195">
        <f t="shared" ref="B125:U125" si="33">B81/B$47</f>
        <v>5.3709856035437431E-2</v>
      </c>
      <c r="C125" s="195">
        <f t="shared" si="33"/>
        <v>5.0068274920345927E-2</v>
      </c>
      <c r="D125" s="195">
        <f t="shared" si="33"/>
        <v>4.5373347624151482E-2</v>
      </c>
      <c r="E125" s="195">
        <f t="shared" si="33"/>
        <v>4.6153846153846156E-2</v>
      </c>
      <c r="F125" s="195">
        <f t="shared" si="33"/>
        <v>4.9589118730518564E-2</v>
      </c>
      <c r="G125" s="195">
        <f t="shared" si="33"/>
        <v>5.1420176297747304E-2</v>
      </c>
      <c r="H125" s="195">
        <f t="shared" si="33"/>
        <v>5.7518311072813445E-2</v>
      </c>
      <c r="I125" s="195">
        <f t="shared" si="33"/>
        <v>5.1970954356846476E-2</v>
      </c>
      <c r="J125" s="195">
        <f t="shared" si="33"/>
        <v>5.9841384282624366E-2</v>
      </c>
      <c r="K125" s="195">
        <f t="shared" si="33"/>
        <v>5.9036342706791645E-2</v>
      </c>
      <c r="L125" s="195">
        <f t="shared" si="33"/>
        <v>6.1761229314420803E-2</v>
      </c>
      <c r="M125" s="195">
        <f t="shared" si="33"/>
        <v>5.8522503608450335E-2</v>
      </c>
      <c r="N125" s="195">
        <f t="shared" si="33"/>
        <v>5.7166927428090021E-2</v>
      </c>
      <c r="O125" s="195">
        <f t="shared" si="33"/>
        <v>5.1902748414376323E-2</v>
      </c>
      <c r="P125" s="195">
        <f t="shared" si="33"/>
        <v>5.149413020277481E-2</v>
      </c>
      <c r="Q125" s="195">
        <f t="shared" si="33"/>
        <v>4.6651685393258424E-2</v>
      </c>
      <c r="R125" s="195">
        <f t="shared" si="33"/>
        <v>4.3419937870658003E-2</v>
      </c>
      <c r="S125" s="195">
        <f t="shared" si="33"/>
        <v>4.2324037957734179E-2</v>
      </c>
      <c r="T125" s="195">
        <f t="shared" si="33"/>
        <v>4.1470027111155737E-2</v>
      </c>
      <c r="U125" s="195">
        <f t="shared" si="33"/>
        <v>4.1204819277108437E-2</v>
      </c>
    </row>
    <row r="126" spans="1:21" x14ac:dyDescent="0.6">
      <c r="A126" s="180" t="s">
        <v>288</v>
      </c>
      <c r="B126" s="195">
        <f t="shared" ref="B126:U126" si="34">B82/B$47</f>
        <v>2.2148394241417499E-2</v>
      </c>
      <c r="C126" s="195">
        <f t="shared" si="34"/>
        <v>2.2758306781975421E-2</v>
      </c>
      <c r="D126" s="195">
        <f t="shared" si="34"/>
        <v>2.1436227224008574E-2</v>
      </c>
      <c r="E126" s="195">
        <f t="shared" si="34"/>
        <v>2.3233908948194663E-2</v>
      </c>
      <c r="F126" s="195">
        <f t="shared" si="34"/>
        <v>2.550297534712383E-2</v>
      </c>
      <c r="G126" s="195">
        <f t="shared" si="34"/>
        <v>2.7668952007835455E-2</v>
      </c>
      <c r="H126" s="195">
        <f t="shared" si="34"/>
        <v>2.9728565273588969E-2</v>
      </c>
      <c r="I126" s="195">
        <f t="shared" si="34"/>
        <v>2.0435684647302905E-2</v>
      </c>
      <c r="J126" s="195">
        <f t="shared" si="34"/>
        <v>3.6770007209805333E-2</v>
      </c>
      <c r="K126" s="195">
        <f t="shared" si="34"/>
        <v>3.4204900509784572E-2</v>
      </c>
      <c r="L126" s="195">
        <f t="shared" si="34"/>
        <v>3.2358156028368792E-2</v>
      </c>
      <c r="M126" s="195">
        <f t="shared" si="34"/>
        <v>3.0179766434851069E-2</v>
      </c>
      <c r="N126" s="195">
        <f t="shared" si="34"/>
        <v>2.840293657479841E-2</v>
      </c>
      <c r="O126" s="195">
        <f t="shared" si="34"/>
        <v>2.6427061310782242E-2</v>
      </c>
      <c r="P126" s="195">
        <f t="shared" si="34"/>
        <v>1.5341515474919958E-2</v>
      </c>
      <c r="Q126" s="195">
        <f t="shared" si="34"/>
        <v>2.7685393258426966E-2</v>
      </c>
      <c r="R126" s="195">
        <f t="shared" si="34"/>
        <v>3.2547303021745272E-2</v>
      </c>
      <c r="S126" s="195">
        <f t="shared" si="34"/>
        <v>3.7433777726028995E-2</v>
      </c>
      <c r="T126" s="195">
        <f t="shared" si="34"/>
        <v>3.3989356361080428E-2</v>
      </c>
      <c r="U126" s="195">
        <f t="shared" si="34"/>
        <v>3.313253012048193E-2</v>
      </c>
    </row>
    <row r="127" spans="1:21" x14ac:dyDescent="0.6">
      <c r="A127" s="180" t="s">
        <v>290</v>
      </c>
      <c r="B127" s="195">
        <f t="shared" ref="B127:U127" si="35">B83/B$47</f>
        <v>1.7718715393133997E-2</v>
      </c>
      <c r="C127" s="195">
        <f t="shared" si="35"/>
        <v>1.9572143832498862E-2</v>
      </c>
      <c r="D127" s="195">
        <f t="shared" si="35"/>
        <v>1.8935334047874241E-2</v>
      </c>
      <c r="E127" s="195">
        <f t="shared" si="35"/>
        <v>2.0094191522762952E-2</v>
      </c>
      <c r="F127" s="195">
        <f t="shared" si="35"/>
        <v>2.1535845848682348E-2</v>
      </c>
      <c r="G127" s="195">
        <f t="shared" si="35"/>
        <v>1.9343780607247795E-2</v>
      </c>
      <c r="H127" s="195">
        <f t="shared" si="35"/>
        <v>2.1542438604049977E-2</v>
      </c>
      <c r="I127" s="195">
        <f t="shared" si="35"/>
        <v>2.0020746887966807E-2</v>
      </c>
      <c r="J127" s="195">
        <f t="shared" si="35"/>
        <v>2.343186733958183E-2</v>
      </c>
      <c r="K127" s="195">
        <f t="shared" si="35"/>
        <v>2.2035849366880446E-2</v>
      </c>
      <c r="L127" s="195">
        <f t="shared" si="35"/>
        <v>2.0242316784869978E-2</v>
      </c>
      <c r="M127" s="195">
        <f t="shared" si="35"/>
        <v>2.0994620128592049E-2</v>
      </c>
      <c r="N127" s="195">
        <f t="shared" si="35"/>
        <v>1.9617282464797207E-2</v>
      </c>
      <c r="O127" s="195">
        <f t="shared" si="35"/>
        <v>1.849894291754757E-2</v>
      </c>
      <c r="P127" s="195">
        <f t="shared" si="35"/>
        <v>2.2678762006403414E-2</v>
      </c>
      <c r="Q127" s="195">
        <f t="shared" si="35"/>
        <v>2.1842696629213482E-2</v>
      </c>
      <c r="R127" s="195">
        <f t="shared" si="35"/>
        <v>1.7297373623270263E-2</v>
      </c>
      <c r="S127" s="195">
        <f t="shared" si="35"/>
        <v>1.2691389648949176E-2</v>
      </c>
      <c r="T127" s="195">
        <f t="shared" si="35"/>
        <v>1.2501255146099005E-2</v>
      </c>
      <c r="U127" s="195">
        <f t="shared" si="35"/>
        <v>1.3313253012048193E-2</v>
      </c>
    </row>
    <row r="128" spans="1:21" x14ac:dyDescent="0.6">
      <c r="A128" s="180" t="s">
        <v>292</v>
      </c>
      <c r="B128" s="195">
        <f t="shared" ref="B128:U128" si="36">B84/B$47</f>
        <v>6.1461794019933555E-2</v>
      </c>
      <c r="C128" s="195">
        <f t="shared" si="36"/>
        <v>5.9171597633136092E-2</v>
      </c>
      <c r="D128" s="195">
        <f t="shared" si="36"/>
        <v>5.2161486245087534E-2</v>
      </c>
      <c r="E128" s="195">
        <f t="shared" si="36"/>
        <v>4.6781789638932494E-2</v>
      </c>
      <c r="F128" s="195">
        <f t="shared" si="36"/>
        <v>4.5621989232077075E-2</v>
      </c>
      <c r="G128" s="195">
        <f t="shared" si="36"/>
        <v>4.1625857002938298E-2</v>
      </c>
      <c r="H128" s="195">
        <f t="shared" si="36"/>
        <v>4.2007755277897456E-2</v>
      </c>
      <c r="I128" s="195">
        <f t="shared" si="36"/>
        <v>4.491701244813278E-2</v>
      </c>
      <c r="J128" s="195">
        <f t="shared" si="36"/>
        <v>4.8846431146359046E-2</v>
      </c>
      <c r="K128" s="195">
        <f t="shared" si="36"/>
        <v>5.4267390231869758E-2</v>
      </c>
      <c r="L128" s="195">
        <f t="shared" si="36"/>
        <v>5.3486997635933807E-2</v>
      </c>
      <c r="M128" s="195">
        <f t="shared" si="36"/>
        <v>5.1174386563443121E-2</v>
      </c>
      <c r="N128" s="195">
        <f t="shared" si="36"/>
        <v>5.0667950415212423E-2</v>
      </c>
      <c r="O128" s="195">
        <f t="shared" si="36"/>
        <v>4.6723044397463005E-2</v>
      </c>
      <c r="P128" s="195">
        <f t="shared" si="36"/>
        <v>4.3223052294557099E-2</v>
      </c>
      <c r="Q128" s="195">
        <f t="shared" si="36"/>
        <v>4.1078651685393257E-2</v>
      </c>
      <c r="R128" s="195">
        <f t="shared" si="36"/>
        <v>3.4877153346512285E-2</v>
      </c>
      <c r="S128" s="195">
        <f t="shared" si="36"/>
        <v>3.5163299761308726E-2</v>
      </c>
      <c r="T128" s="195">
        <f t="shared" si="36"/>
        <v>3.213174013455166E-2</v>
      </c>
      <c r="U128" s="195">
        <f t="shared" si="36"/>
        <v>3.3072289156626508E-2</v>
      </c>
    </row>
    <row r="129" spans="1:21" ht="17.75" x14ac:dyDescent="0.75">
      <c r="A129" s="183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</row>
    <row r="130" spans="1:21" x14ac:dyDescent="0.6">
      <c r="A130" s="178" t="s">
        <v>294</v>
      </c>
      <c r="B130" s="193">
        <f t="shared" ref="B130:U130" si="37">B86/B$47</f>
        <v>9.0808416389811741E-2</v>
      </c>
      <c r="C130" s="193">
        <f t="shared" si="37"/>
        <v>9.148839326354119E-2</v>
      </c>
      <c r="D130" s="193">
        <f t="shared" si="37"/>
        <v>9.7534833869239015E-2</v>
      </c>
      <c r="E130" s="193">
        <f t="shared" si="37"/>
        <v>9.5761381475667193E-2</v>
      </c>
      <c r="F130" s="193">
        <f t="shared" si="37"/>
        <v>9.5777840748087276E-2</v>
      </c>
      <c r="G130" s="193">
        <f t="shared" si="37"/>
        <v>0.10235063663075417</v>
      </c>
      <c r="H130" s="193">
        <f t="shared" si="37"/>
        <v>8.2722964239551916E-2</v>
      </c>
      <c r="I130" s="193">
        <f t="shared" si="37"/>
        <v>8.0290456431535276E-2</v>
      </c>
      <c r="J130" s="193">
        <f t="shared" si="37"/>
        <v>8.6517664023071372E-2</v>
      </c>
      <c r="K130" s="193">
        <f t="shared" si="37"/>
        <v>8.9294523926985697E-2</v>
      </c>
      <c r="L130" s="193">
        <f t="shared" si="37"/>
        <v>8.8061465721040191E-2</v>
      </c>
      <c r="M130" s="193">
        <f t="shared" si="37"/>
        <v>8.5553077024012603E-2</v>
      </c>
      <c r="N130" s="193">
        <f t="shared" si="37"/>
        <v>8.3283186905764833E-2</v>
      </c>
      <c r="O130" s="193">
        <f t="shared" si="37"/>
        <v>8.3403805496828756E-2</v>
      </c>
      <c r="P130" s="193">
        <f t="shared" si="37"/>
        <v>7.7908217716115266E-2</v>
      </c>
      <c r="Q130" s="193">
        <f t="shared" si="37"/>
        <v>5.6898876404494383E-2</v>
      </c>
      <c r="R130" s="193">
        <f t="shared" si="37"/>
        <v>5.4645580344535441E-2</v>
      </c>
      <c r="S130" s="193">
        <f t="shared" si="37"/>
        <v>5.0532689060953602E-2</v>
      </c>
      <c r="T130" s="193">
        <f t="shared" si="37"/>
        <v>4.9452756300833414E-2</v>
      </c>
      <c r="U130" s="193">
        <f t="shared" si="37"/>
        <v>5.3855421686746986E-2</v>
      </c>
    </row>
  </sheetData>
  <conditionalFormatting sqref="A4:U43">
    <cfRule type="cellIs" dxfId="6" priority="10" operator="lessThan">
      <formula>0</formula>
    </cfRule>
  </conditionalFormatting>
  <conditionalFormatting sqref="A47:U85 A86">
    <cfRule type="cellIs" dxfId="5" priority="5" operator="lessThan">
      <formula>0</formula>
    </cfRule>
  </conditionalFormatting>
  <conditionalFormatting sqref="A91:A130">
    <cfRule type="cellIs" dxfId="3" priority="4" operator="lessThan">
      <formula>0</formula>
    </cfRule>
  </conditionalFormatting>
  <conditionalFormatting sqref="B86:U86">
    <cfRule type="cellIs" dxfId="2" priority="3" operator="lessThan">
      <formula>0</formula>
    </cfRule>
  </conditionalFormatting>
  <conditionalFormatting sqref="B91:U129">
    <cfRule type="cellIs" dxfId="1" priority="2" operator="lessThan">
      <formula>0</formula>
    </cfRule>
  </conditionalFormatting>
  <conditionalFormatting sqref="B130:U130">
    <cfRule type="cellIs" dxfId="0" priority="1" operator="lessThan">
      <formula>0</formula>
    </cfRule>
  </conditionalFormatting>
  <pageMargins left="0.7" right="0.7" top="0.75" bottom="0.75" header="0.3" footer="0.3"/>
  <ignoredErrors>
    <ignoredError sqref="B4:O43 P4:U41 B47:U47 B49:U84 B86:U86" formulaRange="1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F2121-43AF-4CD4-BC54-3522ACA5B877}">
  <sheetPr codeName="Sheet12"/>
  <dimension ref="A1:U42"/>
  <sheetViews>
    <sheetView topLeftCell="A22" workbookViewId="0">
      <selection activeCell="B3" sqref="B3"/>
    </sheetView>
  </sheetViews>
  <sheetFormatPr defaultRowHeight="13" x14ac:dyDescent="0.6"/>
  <cols>
    <col min="1" max="1" width="37.5" customWidth="1"/>
    <col min="21" max="21" width="7.90625" customWidth="1"/>
  </cols>
  <sheetData>
    <row r="1" spans="1:21" ht="13.75" thickBot="1" x14ac:dyDescent="0.75"/>
    <row r="2" spans="1:21" ht="14.5" thickTop="1" thickBot="1" x14ac:dyDescent="0.75">
      <c r="B2" s="157">
        <v>2006</v>
      </c>
      <c r="C2" s="157">
        <v>2007</v>
      </c>
      <c r="D2" s="157">
        <v>2008</v>
      </c>
      <c r="E2" s="157">
        <v>2009</v>
      </c>
      <c r="F2" s="157">
        <v>2010</v>
      </c>
      <c r="G2" s="157">
        <v>2011</v>
      </c>
      <c r="H2" s="157">
        <v>2012</v>
      </c>
      <c r="I2" s="157">
        <v>2013</v>
      </c>
      <c r="J2" s="157">
        <v>2014</v>
      </c>
      <c r="K2" s="157">
        <v>2015</v>
      </c>
      <c r="L2" s="157">
        <v>2016</v>
      </c>
      <c r="M2" s="185">
        <v>2017</v>
      </c>
      <c r="N2" s="157">
        <v>2018</v>
      </c>
      <c r="O2" s="157">
        <v>2019</v>
      </c>
      <c r="P2" s="157">
        <v>2020</v>
      </c>
      <c r="Q2" s="157">
        <v>2021</v>
      </c>
      <c r="R2" s="157">
        <v>2022</v>
      </c>
      <c r="S2" s="157">
        <v>2023</v>
      </c>
      <c r="T2" s="157">
        <v>2024</v>
      </c>
      <c r="U2" s="157">
        <v>2025</v>
      </c>
    </row>
    <row r="3" spans="1:21" ht="13.75" thickTop="1" x14ac:dyDescent="0.6">
      <c r="A3" s="178" t="s">
        <v>219</v>
      </c>
      <c r="B3" s="83">
        <v>1806</v>
      </c>
      <c r="C3" s="83">
        <v>2197</v>
      </c>
      <c r="D3" s="83">
        <v>2799</v>
      </c>
      <c r="E3" s="83">
        <v>3185</v>
      </c>
      <c r="F3" s="83">
        <v>3529</v>
      </c>
      <c r="G3" s="83">
        <v>4084</v>
      </c>
      <c r="H3" s="83">
        <v>4642</v>
      </c>
      <c r="I3" s="83">
        <v>9640</v>
      </c>
      <c r="J3" s="83">
        <v>5548</v>
      </c>
      <c r="K3" s="83">
        <v>6081</v>
      </c>
      <c r="L3" s="83">
        <v>6768</v>
      </c>
      <c r="M3" s="83">
        <v>7621</v>
      </c>
      <c r="N3" s="83">
        <v>8309</v>
      </c>
      <c r="O3" s="83">
        <v>9460</v>
      </c>
      <c r="P3" s="83">
        <v>7496</v>
      </c>
      <c r="Q3" s="83">
        <v>11125</v>
      </c>
      <c r="R3" s="83">
        <v>14164</v>
      </c>
      <c r="S3" s="83">
        <v>17177</v>
      </c>
      <c r="T3" s="83">
        <v>19918</v>
      </c>
      <c r="U3" s="83">
        <v>16600</v>
      </c>
    </row>
    <row r="4" spans="1:21" ht="14.25" x14ac:dyDescent="0.6">
      <c r="A4" s="179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</row>
    <row r="5" spans="1:21" x14ac:dyDescent="0.6">
      <c r="A5" s="178" t="s">
        <v>222</v>
      </c>
      <c r="B5" s="83">
        <v>525</v>
      </c>
      <c r="C5" s="83">
        <v>551</v>
      </c>
      <c r="D5" s="83">
        <v>670</v>
      </c>
      <c r="E5" s="83">
        <v>777</v>
      </c>
      <c r="F5" s="83">
        <v>827</v>
      </c>
      <c r="G5" s="83">
        <v>936</v>
      </c>
      <c r="H5" s="83">
        <v>1105</v>
      </c>
      <c r="I5" s="83">
        <v>2232</v>
      </c>
      <c r="J5" s="83">
        <v>1314</v>
      </c>
      <c r="K5" s="83">
        <v>1405</v>
      </c>
      <c r="L5" s="83">
        <v>1644</v>
      </c>
      <c r="M5" s="83">
        <v>1954</v>
      </c>
      <c r="N5" s="83">
        <v>1934</v>
      </c>
      <c r="O5" s="83">
        <v>2040</v>
      </c>
      <c r="P5" s="83">
        <v>1834</v>
      </c>
      <c r="Q5" s="83">
        <v>2385</v>
      </c>
      <c r="R5" s="83">
        <v>3106</v>
      </c>
      <c r="S5" s="83">
        <v>3974</v>
      </c>
      <c r="T5" s="83">
        <v>4141</v>
      </c>
      <c r="U5" s="83">
        <v>3233</v>
      </c>
    </row>
    <row r="6" spans="1:21" x14ac:dyDescent="0.6">
      <c r="A6" s="180" t="s">
        <v>224</v>
      </c>
      <c r="B6" s="87">
        <v>247</v>
      </c>
      <c r="C6" s="87">
        <v>283</v>
      </c>
      <c r="D6" s="87">
        <v>317</v>
      </c>
      <c r="E6" s="87">
        <v>397</v>
      </c>
      <c r="F6" s="87">
        <v>414</v>
      </c>
      <c r="G6" s="87">
        <v>485</v>
      </c>
      <c r="H6" s="87">
        <v>592</v>
      </c>
      <c r="I6" s="87">
        <v>1277</v>
      </c>
      <c r="J6" s="87">
        <v>749</v>
      </c>
      <c r="K6" s="87">
        <v>804</v>
      </c>
      <c r="L6" s="87">
        <v>988</v>
      </c>
      <c r="M6" s="87">
        <v>1223</v>
      </c>
      <c r="N6" s="87">
        <v>1061</v>
      </c>
      <c r="O6" s="87">
        <v>1127</v>
      </c>
      <c r="P6" s="87">
        <v>1085</v>
      </c>
      <c r="Q6" s="87">
        <v>1285</v>
      </c>
      <c r="R6" s="87">
        <v>1695</v>
      </c>
      <c r="S6" s="87">
        <v>2454</v>
      </c>
      <c r="T6" s="87">
        <v>2373</v>
      </c>
      <c r="U6" s="87">
        <v>1637</v>
      </c>
    </row>
    <row r="7" spans="1:21" x14ac:dyDescent="0.6">
      <c r="A7" s="180" t="s">
        <v>226</v>
      </c>
      <c r="B7" s="87">
        <v>57</v>
      </c>
      <c r="C7" s="87">
        <v>41</v>
      </c>
      <c r="D7" s="87">
        <v>55</v>
      </c>
      <c r="E7" s="87">
        <v>52</v>
      </c>
      <c r="F7" s="87">
        <v>65</v>
      </c>
      <c r="G7" s="87">
        <v>67</v>
      </c>
      <c r="H7" s="87">
        <v>86</v>
      </c>
      <c r="I7" s="87">
        <v>129</v>
      </c>
      <c r="J7" s="87">
        <v>87</v>
      </c>
      <c r="K7" s="87">
        <v>89</v>
      </c>
      <c r="L7" s="87">
        <v>104</v>
      </c>
      <c r="M7" s="87">
        <v>138</v>
      </c>
      <c r="N7" s="87">
        <v>144</v>
      </c>
      <c r="O7" s="87">
        <v>125</v>
      </c>
      <c r="P7" s="87">
        <v>114</v>
      </c>
      <c r="Q7" s="87">
        <v>159</v>
      </c>
      <c r="R7" s="87">
        <v>261</v>
      </c>
      <c r="S7" s="87">
        <v>259</v>
      </c>
      <c r="T7" s="87">
        <v>352</v>
      </c>
      <c r="U7" s="87">
        <v>377</v>
      </c>
    </row>
    <row r="8" spans="1:21" x14ac:dyDescent="0.6">
      <c r="A8" s="180" t="s">
        <v>228</v>
      </c>
      <c r="B8" s="87">
        <v>50</v>
      </c>
      <c r="C8" s="87">
        <v>53</v>
      </c>
      <c r="D8" s="87">
        <v>68</v>
      </c>
      <c r="E8" s="87">
        <v>80</v>
      </c>
      <c r="F8" s="87">
        <v>84</v>
      </c>
      <c r="G8" s="87">
        <v>94</v>
      </c>
      <c r="H8" s="87">
        <v>106</v>
      </c>
      <c r="I8" s="87">
        <v>270</v>
      </c>
      <c r="J8" s="87">
        <v>130</v>
      </c>
      <c r="K8" s="87">
        <v>144</v>
      </c>
      <c r="L8" s="87">
        <v>166</v>
      </c>
      <c r="M8" s="87">
        <v>186</v>
      </c>
      <c r="N8" s="87">
        <v>206</v>
      </c>
      <c r="O8" s="87">
        <v>241</v>
      </c>
      <c r="P8" s="87">
        <v>220</v>
      </c>
      <c r="Q8" s="87">
        <v>324</v>
      </c>
      <c r="R8" s="87">
        <v>400</v>
      </c>
      <c r="S8" s="87">
        <v>477</v>
      </c>
      <c r="T8" s="87">
        <v>581</v>
      </c>
      <c r="U8" s="87">
        <v>553</v>
      </c>
    </row>
    <row r="9" spans="1:21" x14ac:dyDescent="0.6">
      <c r="A9" s="180" t="s">
        <v>230</v>
      </c>
      <c r="B9" s="87">
        <v>165</v>
      </c>
      <c r="C9" s="87">
        <v>169</v>
      </c>
      <c r="D9" s="87">
        <v>220</v>
      </c>
      <c r="E9" s="87">
        <v>237</v>
      </c>
      <c r="F9" s="87">
        <v>250</v>
      </c>
      <c r="G9" s="87">
        <v>274</v>
      </c>
      <c r="H9" s="87">
        <v>303</v>
      </c>
      <c r="I9" s="87">
        <v>526</v>
      </c>
      <c r="J9" s="87">
        <v>327</v>
      </c>
      <c r="K9" s="87">
        <v>343</v>
      </c>
      <c r="L9" s="87">
        <v>360</v>
      </c>
      <c r="M9" s="87">
        <v>379</v>
      </c>
      <c r="N9" s="87">
        <v>490</v>
      </c>
      <c r="O9" s="87">
        <v>515</v>
      </c>
      <c r="P9" s="87">
        <v>394</v>
      </c>
      <c r="Q9" s="87">
        <v>583</v>
      </c>
      <c r="R9" s="87">
        <v>709</v>
      </c>
      <c r="S9" s="87">
        <v>740</v>
      </c>
      <c r="T9" s="87">
        <v>783</v>
      </c>
      <c r="U9" s="87">
        <v>624</v>
      </c>
    </row>
    <row r="10" spans="1:21" x14ac:dyDescent="0.6">
      <c r="A10" s="180" t="s">
        <v>232</v>
      </c>
      <c r="B10" s="87">
        <v>8</v>
      </c>
      <c r="C10" s="87">
        <v>8</v>
      </c>
      <c r="D10" s="87">
        <v>10</v>
      </c>
      <c r="E10" s="87">
        <v>12</v>
      </c>
      <c r="F10" s="87">
        <v>12</v>
      </c>
      <c r="G10" s="87">
        <v>15</v>
      </c>
      <c r="H10" s="87">
        <v>17</v>
      </c>
      <c r="I10" s="87">
        <v>28</v>
      </c>
      <c r="J10" s="87">
        <v>22</v>
      </c>
      <c r="K10" s="87">
        <v>25</v>
      </c>
      <c r="L10" s="87">
        <v>26</v>
      </c>
      <c r="M10" s="87">
        <v>29</v>
      </c>
      <c r="N10" s="87">
        <v>31</v>
      </c>
      <c r="O10" s="87">
        <v>31</v>
      </c>
      <c r="P10" s="87">
        <v>20</v>
      </c>
      <c r="Q10" s="87">
        <v>34</v>
      </c>
      <c r="R10" s="87">
        <v>42</v>
      </c>
      <c r="S10" s="87">
        <v>43</v>
      </c>
      <c r="T10" s="87">
        <v>54</v>
      </c>
      <c r="U10" s="87">
        <v>42</v>
      </c>
    </row>
    <row r="11" spans="1:21" x14ac:dyDescent="0.6">
      <c r="A11" s="178" t="s">
        <v>234</v>
      </c>
      <c r="B11" s="83">
        <v>290</v>
      </c>
      <c r="C11" s="83">
        <v>372</v>
      </c>
      <c r="D11" s="83">
        <v>461</v>
      </c>
      <c r="E11" s="83">
        <v>506</v>
      </c>
      <c r="F11" s="83">
        <v>583</v>
      </c>
      <c r="G11" s="83">
        <v>750</v>
      </c>
      <c r="H11" s="83">
        <v>857</v>
      </c>
      <c r="I11" s="83">
        <v>1880</v>
      </c>
      <c r="J11" s="83">
        <v>987</v>
      </c>
      <c r="K11" s="83">
        <v>1073</v>
      </c>
      <c r="L11" s="83">
        <v>1152</v>
      </c>
      <c r="M11" s="83">
        <v>1330</v>
      </c>
      <c r="N11" s="83">
        <v>1460</v>
      </c>
      <c r="O11" s="83">
        <v>1819</v>
      </c>
      <c r="P11" s="83">
        <v>1418</v>
      </c>
      <c r="Q11" s="83">
        <v>2357</v>
      </c>
      <c r="R11" s="83">
        <v>3081</v>
      </c>
      <c r="S11" s="83">
        <v>3689</v>
      </c>
      <c r="T11" s="83">
        <v>4395</v>
      </c>
      <c r="U11" s="83">
        <v>3721</v>
      </c>
    </row>
    <row r="12" spans="1:21" x14ac:dyDescent="0.6">
      <c r="A12" s="180" t="s">
        <v>236</v>
      </c>
      <c r="B12" s="87">
        <v>19</v>
      </c>
      <c r="C12" s="87">
        <v>34</v>
      </c>
      <c r="D12" s="87">
        <v>41</v>
      </c>
      <c r="E12" s="87">
        <v>27</v>
      </c>
      <c r="F12" s="87">
        <v>36</v>
      </c>
      <c r="G12" s="87">
        <v>82</v>
      </c>
      <c r="H12" s="87">
        <v>77</v>
      </c>
      <c r="I12" s="87">
        <v>103</v>
      </c>
      <c r="J12" s="87">
        <v>119</v>
      </c>
      <c r="K12" s="87">
        <v>105</v>
      </c>
      <c r="L12" s="87">
        <v>111</v>
      </c>
      <c r="M12" s="87">
        <v>166</v>
      </c>
      <c r="N12" s="87">
        <v>177</v>
      </c>
      <c r="O12" s="87">
        <v>122</v>
      </c>
      <c r="P12" s="87">
        <v>77</v>
      </c>
      <c r="Q12" s="87">
        <v>255</v>
      </c>
      <c r="R12" s="87">
        <v>309</v>
      </c>
      <c r="S12" s="87">
        <v>283</v>
      </c>
      <c r="T12" s="87">
        <v>355</v>
      </c>
      <c r="U12" s="87">
        <v>308</v>
      </c>
    </row>
    <row r="13" spans="1:21" x14ac:dyDescent="0.6">
      <c r="A13" s="181" t="s">
        <v>238</v>
      </c>
      <c r="B13" s="90">
        <v>165</v>
      </c>
      <c r="C13" s="90">
        <v>181</v>
      </c>
      <c r="D13" s="90">
        <v>225</v>
      </c>
      <c r="E13" s="90">
        <v>257</v>
      </c>
      <c r="F13" s="90">
        <v>295</v>
      </c>
      <c r="G13" s="90">
        <v>345</v>
      </c>
      <c r="H13" s="90">
        <v>389</v>
      </c>
      <c r="I13" s="90">
        <v>790</v>
      </c>
      <c r="J13" s="90">
        <v>383</v>
      </c>
      <c r="K13" s="90">
        <v>419</v>
      </c>
      <c r="L13" s="90">
        <v>459</v>
      </c>
      <c r="M13" s="90">
        <v>590</v>
      </c>
      <c r="N13" s="90">
        <v>629</v>
      </c>
      <c r="O13" s="90">
        <v>767</v>
      </c>
      <c r="P13" s="90">
        <v>632</v>
      </c>
      <c r="Q13" s="90">
        <v>994</v>
      </c>
      <c r="R13" s="90">
        <v>1302</v>
      </c>
      <c r="S13" s="90">
        <v>1473</v>
      </c>
      <c r="T13" s="90">
        <v>1618</v>
      </c>
      <c r="U13" s="90">
        <v>1391</v>
      </c>
    </row>
    <row r="14" spans="1:21" x14ac:dyDescent="0.6">
      <c r="A14" s="182" t="s">
        <v>240</v>
      </c>
      <c r="B14" s="113">
        <v>36</v>
      </c>
      <c r="C14" s="113">
        <v>35</v>
      </c>
      <c r="D14" s="113">
        <v>48</v>
      </c>
      <c r="E14" s="113">
        <v>59</v>
      </c>
      <c r="F14" s="113">
        <v>69</v>
      </c>
      <c r="G14" s="113">
        <v>82</v>
      </c>
      <c r="H14" s="113">
        <v>89</v>
      </c>
      <c r="I14" s="113">
        <v>235</v>
      </c>
      <c r="J14" s="113">
        <v>104</v>
      </c>
      <c r="K14" s="113">
        <v>108</v>
      </c>
      <c r="L14" s="113">
        <v>124</v>
      </c>
      <c r="M14" s="113">
        <v>211</v>
      </c>
      <c r="N14" s="113">
        <v>173</v>
      </c>
      <c r="O14" s="113">
        <v>223</v>
      </c>
      <c r="P14" s="113">
        <v>183</v>
      </c>
      <c r="Q14" s="113">
        <v>271</v>
      </c>
      <c r="R14" s="113">
        <v>417</v>
      </c>
      <c r="S14" s="113">
        <v>462</v>
      </c>
      <c r="T14" s="113">
        <v>383</v>
      </c>
      <c r="U14" s="113">
        <v>324</v>
      </c>
    </row>
    <row r="15" spans="1:21" x14ac:dyDescent="0.6">
      <c r="A15" s="182" t="s">
        <v>242</v>
      </c>
      <c r="B15" s="113">
        <v>35</v>
      </c>
      <c r="C15" s="113">
        <v>39</v>
      </c>
      <c r="D15" s="113">
        <v>52</v>
      </c>
      <c r="E15" s="113">
        <v>72</v>
      </c>
      <c r="F15" s="113">
        <v>78</v>
      </c>
      <c r="G15" s="113">
        <v>83</v>
      </c>
      <c r="H15" s="113">
        <v>99</v>
      </c>
      <c r="I15" s="113">
        <v>197</v>
      </c>
      <c r="J15" s="113">
        <v>122</v>
      </c>
      <c r="K15" s="113">
        <v>131</v>
      </c>
      <c r="L15" s="113">
        <v>140</v>
      </c>
      <c r="M15" s="113">
        <v>159</v>
      </c>
      <c r="N15" s="113">
        <v>176</v>
      </c>
      <c r="O15" s="113">
        <v>192</v>
      </c>
      <c r="P15" s="113">
        <v>146</v>
      </c>
      <c r="Q15" s="113">
        <v>250</v>
      </c>
      <c r="R15" s="113">
        <v>302</v>
      </c>
      <c r="S15" s="113">
        <v>367</v>
      </c>
      <c r="T15" s="113">
        <v>486</v>
      </c>
      <c r="U15" s="113">
        <v>419</v>
      </c>
    </row>
    <row r="16" spans="1:21" x14ac:dyDescent="0.6">
      <c r="A16" s="182" t="s">
        <v>244</v>
      </c>
      <c r="B16" s="113">
        <v>49</v>
      </c>
      <c r="C16" s="113">
        <v>54</v>
      </c>
      <c r="D16" s="113">
        <v>63</v>
      </c>
      <c r="E16" s="113">
        <v>62</v>
      </c>
      <c r="F16" s="113">
        <v>67</v>
      </c>
      <c r="G16" s="113">
        <v>81</v>
      </c>
      <c r="H16" s="113">
        <v>88</v>
      </c>
      <c r="I16" s="113">
        <v>74</v>
      </c>
      <c r="J16" s="113">
        <v>23</v>
      </c>
      <c r="K16" s="113">
        <v>23</v>
      </c>
      <c r="L16" s="113">
        <v>25</v>
      </c>
      <c r="M16" s="113">
        <v>33</v>
      </c>
      <c r="N16" s="113">
        <v>58</v>
      </c>
      <c r="O16" s="113">
        <v>69</v>
      </c>
      <c r="P16" s="113">
        <v>59</v>
      </c>
      <c r="Q16" s="113">
        <v>88</v>
      </c>
      <c r="R16" s="113">
        <v>96</v>
      </c>
      <c r="S16" s="113">
        <v>114</v>
      </c>
      <c r="T16" s="113">
        <v>134</v>
      </c>
      <c r="U16" s="113">
        <v>97</v>
      </c>
    </row>
    <row r="17" spans="1:21" x14ac:dyDescent="0.6">
      <c r="A17" s="182" t="s">
        <v>246</v>
      </c>
      <c r="B17" s="113">
        <v>9</v>
      </c>
      <c r="C17" s="113">
        <v>12</v>
      </c>
      <c r="D17" s="113">
        <v>12</v>
      </c>
      <c r="E17" s="113">
        <v>13</v>
      </c>
      <c r="F17" s="113">
        <v>15</v>
      </c>
      <c r="G17" s="113">
        <v>15</v>
      </c>
      <c r="H17" s="113">
        <v>17</v>
      </c>
      <c r="I17" s="113">
        <v>37</v>
      </c>
      <c r="J17" s="113">
        <v>20</v>
      </c>
      <c r="K17" s="113">
        <v>25</v>
      </c>
      <c r="L17" s="113">
        <v>28</v>
      </c>
      <c r="M17" s="113">
        <v>26</v>
      </c>
      <c r="N17" s="113">
        <v>30</v>
      </c>
      <c r="O17" s="113">
        <v>40</v>
      </c>
      <c r="P17" s="113">
        <v>30</v>
      </c>
      <c r="Q17" s="113">
        <v>52</v>
      </c>
      <c r="R17" s="113">
        <v>53</v>
      </c>
      <c r="S17" s="113">
        <v>66</v>
      </c>
      <c r="T17" s="113">
        <v>79</v>
      </c>
      <c r="U17" s="113">
        <v>64</v>
      </c>
    </row>
    <row r="18" spans="1:21" x14ac:dyDescent="0.6">
      <c r="A18" s="182" t="s">
        <v>248</v>
      </c>
      <c r="B18" s="113">
        <v>14</v>
      </c>
      <c r="C18" s="113">
        <v>15</v>
      </c>
      <c r="D18" s="113">
        <v>17</v>
      </c>
      <c r="E18" s="113">
        <v>17</v>
      </c>
      <c r="F18" s="113">
        <v>19</v>
      </c>
      <c r="G18" s="113">
        <v>23</v>
      </c>
      <c r="H18" s="113">
        <v>26</v>
      </c>
      <c r="I18" s="113">
        <v>75</v>
      </c>
      <c r="J18" s="113">
        <v>27</v>
      </c>
      <c r="K18" s="113">
        <v>29</v>
      </c>
      <c r="L18" s="113">
        <v>30</v>
      </c>
      <c r="M18" s="113">
        <v>34</v>
      </c>
      <c r="N18" s="113">
        <v>41</v>
      </c>
      <c r="O18" s="113">
        <v>64</v>
      </c>
      <c r="P18" s="113">
        <v>67</v>
      </c>
      <c r="Q18" s="113">
        <v>113</v>
      </c>
      <c r="R18" s="113">
        <v>169</v>
      </c>
      <c r="S18" s="113">
        <v>171</v>
      </c>
      <c r="T18" s="113">
        <v>187</v>
      </c>
      <c r="U18" s="113">
        <v>175</v>
      </c>
    </row>
    <row r="19" spans="1:21" x14ac:dyDescent="0.6">
      <c r="A19" s="182" t="s">
        <v>250</v>
      </c>
      <c r="B19" s="113">
        <v>8</v>
      </c>
      <c r="C19" s="113">
        <v>8</v>
      </c>
      <c r="D19" s="113">
        <v>9</v>
      </c>
      <c r="E19" s="113">
        <v>10</v>
      </c>
      <c r="F19" s="113">
        <v>11</v>
      </c>
      <c r="G19" s="113">
        <v>14</v>
      </c>
      <c r="H19" s="113">
        <v>18</v>
      </c>
      <c r="I19" s="113">
        <v>47</v>
      </c>
      <c r="J19" s="113">
        <v>22</v>
      </c>
      <c r="K19" s="113">
        <v>24</v>
      </c>
      <c r="L19" s="113">
        <v>30</v>
      </c>
      <c r="M19" s="113">
        <v>34</v>
      </c>
      <c r="N19" s="113">
        <v>36</v>
      </c>
      <c r="O19" s="113">
        <v>49</v>
      </c>
      <c r="P19" s="113">
        <v>41</v>
      </c>
      <c r="Q19" s="113">
        <v>58</v>
      </c>
      <c r="R19" s="113">
        <v>82</v>
      </c>
      <c r="S19" s="113">
        <v>90</v>
      </c>
      <c r="T19" s="113">
        <v>121</v>
      </c>
      <c r="U19" s="113">
        <v>112</v>
      </c>
    </row>
    <row r="20" spans="1:21" x14ac:dyDescent="0.6">
      <c r="A20" s="182" t="s">
        <v>252</v>
      </c>
      <c r="B20" s="113">
        <v>4</v>
      </c>
      <c r="C20" s="113">
        <v>4</v>
      </c>
      <c r="D20" s="113">
        <v>6</v>
      </c>
      <c r="E20" s="113">
        <v>6</v>
      </c>
      <c r="F20" s="113">
        <v>9</v>
      </c>
      <c r="G20" s="113">
        <v>13</v>
      </c>
      <c r="H20" s="113">
        <v>17</v>
      </c>
      <c r="I20" s="113">
        <v>50</v>
      </c>
      <c r="J20" s="113">
        <v>18</v>
      </c>
      <c r="K20" s="113">
        <v>24</v>
      </c>
      <c r="L20" s="113">
        <v>28</v>
      </c>
      <c r="M20" s="113">
        <v>32</v>
      </c>
      <c r="N20" s="113">
        <v>43</v>
      </c>
      <c r="O20" s="113">
        <v>53</v>
      </c>
      <c r="P20" s="113">
        <v>48</v>
      </c>
      <c r="Q20" s="113">
        <v>67</v>
      </c>
      <c r="R20" s="113">
        <v>78</v>
      </c>
      <c r="S20" s="113">
        <v>93</v>
      </c>
      <c r="T20" s="113">
        <v>117</v>
      </c>
      <c r="U20" s="113">
        <v>109</v>
      </c>
    </row>
    <row r="21" spans="1:21" x14ac:dyDescent="0.6">
      <c r="A21" s="182" t="s">
        <v>254</v>
      </c>
      <c r="B21" s="113">
        <v>10</v>
      </c>
      <c r="C21" s="113">
        <v>13</v>
      </c>
      <c r="D21" s="113">
        <v>17</v>
      </c>
      <c r="E21" s="113">
        <v>17</v>
      </c>
      <c r="F21" s="113">
        <v>24</v>
      </c>
      <c r="G21" s="113">
        <v>32</v>
      </c>
      <c r="H21" s="113">
        <v>37</v>
      </c>
      <c r="I21" s="113">
        <v>75</v>
      </c>
      <c r="J21" s="113">
        <v>47</v>
      </c>
      <c r="K21" s="113">
        <v>55</v>
      </c>
      <c r="L21" s="113">
        <v>51</v>
      </c>
      <c r="M21" s="113">
        <v>62</v>
      </c>
      <c r="N21" s="113">
        <v>71</v>
      </c>
      <c r="O21" s="113">
        <v>78</v>
      </c>
      <c r="P21" s="113">
        <v>57</v>
      </c>
      <c r="Q21" s="113">
        <v>95</v>
      </c>
      <c r="R21" s="113">
        <v>107</v>
      </c>
      <c r="S21" s="113">
        <v>108</v>
      </c>
      <c r="T21" s="113">
        <v>110</v>
      </c>
      <c r="U21" s="113">
        <v>91</v>
      </c>
    </row>
    <row r="22" spans="1:21" x14ac:dyDescent="0.6">
      <c r="A22" s="180" t="s">
        <v>256</v>
      </c>
      <c r="B22" s="87">
        <v>11</v>
      </c>
      <c r="C22" s="87">
        <v>25</v>
      </c>
      <c r="D22" s="87">
        <v>17</v>
      </c>
      <c r="E22" s="87">
        <v>20</v>
      </c>
      <c r="F22" s="87">
        <v>23</v>
      </c>
      <c r="G22" s="87">
        <v>28</v>
      </c>
      <c r="H22" s="87">
        <v>35</v>
      </c>
      <c r="I22" s="87">
        <v>111</v>
      </c>
      <c r="J22" s="87">
        <v>45</v>
      </c>
      <c r="K22" s="87">
        <v>56</v>
      </c>
      <c r="L22" s="87">
        <v>77</v>
      </c>
      <c r="M22" s="87">
        <v>84</v>
      </c>
      <c r="N22" s="87">
        <v>95</v>
      </c>
      <c r="O22" s="87">
        <v>109</v>
      </c>
      <c r="P22" s="87">
        <v>94</v>
      </c>
      <c r="Q22" s="87">
        <v>136</v>
      </c>
      <c r="R22" s="87">
        <v>107</v>
      </c>
      <c r="S22" s="87">
        <v>110</v>
      </c>
      <c r="T22" s="87">
        <v>147</v>
      </c>
      <c r="U22" s="87">
        <v>131</v>
      </c>
    </row>
    <row r="23" spans="1:21" x14ac:dyDescent="0.6">
      <c r="A23" s="180" t="s">
        <v>258</v>
      </c>
      <c r="B23" s="87">
        <v>9</v>
      </c>
      <c r="C23" s="87">
        <v>21</v>
      </c>
      <c r="D23" s="87">
        <v>13</v>
      </c>
      <c r="E23" s="87">
        <v>16</v>
      </c>
      <c r="F23" s="87">
        <v>19</v>
      </c>
      <c r="G23" s="87">
        <v>22</v>
      </c>
      <c r="H23" s="87">
        <v>24</v>
      </c>
      <c r="I23" s="87">
        <v>63</v>
      </c>
      <c r="J23" s="87">
        <v>27</v>
      </c>
      <c r="K23" s="87">
        <v>29</v>
      </c>
      <c r="L23" s="87">
        <v>32</v>
      </c>
      <c r="M23" s="87">
        <v>32</v>
      </c>
      <c r="N23" s="87">
        <v>34</v>
      </c>
      <c r="O23" s="87">
        <v>59</v>
      </c>
      <c r="P23" s="87">
        <v>49</v>
      </c>
      <c r="Q23" s="87">
        <v>70</v>
      </c>
      <c r="R23" s="87">
        <v>73</v>
      </c>
      <c r="S23" s="87">
        <v>74</v>
      </c>
      <c r="T23" s="87">
        <v>78</v>
      </c>
      <c r="U23" s="87">
        <v>61</v>
      </c>
    </row>
    <row r="24" spans="1:21" x14ac:dyDescent="0.6">
      <c r="A24" s="180" t="s">
        <v>260</v>
      </c>
      <c r="B24" s="87">
        <v>87</v>
      </c>
      <c r="C24" s="87">
        <v>111</v>
      </c>
      <c r="D24" s="87">
        <v>164</v>
      </c>
      <c r="E24" s="87">
        <v>185</v>
      </c>
      <c r="F24" s="87">
        <v>208</v>
      </c>
      <c r="G24" s="87">
        <v>272</v>
      </c>
      <c r="H24" s="87">
        <v>331</v>
      </c>
      <c r="I24" s="87">
        <v>812</v>
      </c>
      <c r="J24" s="87">
        <v>413</v>
      </c>
      <c r="K24" s="87">
        <v>464</v>
      </c>
      <c r="L24" s="87">
        <v>474</v>
      </c>
      <c r="M24" s="87">
        <v>458</v>
      </c>
      <c r="N24" s="87">
        <v>526</v>
      </c>
      <c r="O24" s="87">
        <v>761</v>
      </c>
      <c r="P24" s="87">
        <v>568</v>
      </c>
      <c r="Q24" s="87">
        <v>902</v>
      </c>
      <c r="R24" s="87">
        <v>1290</v>
      </c>
      <c r="S24" s="87">
        <v>1749</v>
      </c>
      <c r="T24" s="87">
        <v>2199</v>
      </c>
      <c r="U24" s="87">
        <v>1829</v>
      </c>
    </row>
    <row r="25" spans="1:21" x14ac:dyDescent="0.6">
      <c r="A25" s="178" t="s">
        <v>262</v>
      </c>
      <c r="B25" s="83">
        <v>829</v>
      </c>
      <c r="C25" s="83">
        <v>1072</v>
      </c>
      <c r="D25" s="83">
        <v>1397</v>
      </c>
      <c r="E25" s="83">
        <v>1597</v>
      </c>
      <c r="F25" s="83">
        <v>1781</v>
      </c>
      <c r="G25" s="83">
        <v>1980</v>
      </c>
      <c r="H25" s="83">
        <v>2298</v>
      </c>
      <c r="I25" s="83">
        <v>4755</v>
      </c>
      <c r="J25" s="83">
        <v>2767</v>
      </c>
      <c r="K25" s="83">
        <v>3059</v>
      </c>
      <c r="L25" s="83">
        <v>3374</v>
      </c>
      <c r="M25" s="83">
        <v>3683</v>
      </c>
      <c r="N25" s="83">
        <v>4225</v>
      </c>
      <c r="O25" s="83">
        <v>4813</v>
      </c>
      <c r="P25" s="83">
        <v>3662</v>
      </c>
      <c r="Q25" s="83">
        <v>5750</v>
      </c>
      <c r="R25" s="83">
        <v>7203</v>
      </c>
      <c r="S25" s="83">
        <v>8646</v>
      </c>
      <c r="T25" s="83">
        <v>10397</v>
      </c>
      <c r="U25" s="83">
        <v>8752</v>
      </c>
    </row>
    <row r="26" spans="1:21" x14ac:dyDescent="0.6">
      <c r="A26" s="178" t="s">
        <v>264</v>
      </c>
      <c r="B26" s="83">
        <v>207</v>
      </c>
      <c r="C26" s="83">
        <v>259</v>
      </c>
      <c r="D26" s="83">
        <v>376</v>
      </c>
      <c r="E26" s="83">
        <v>417</v>
      </c>
      <c r="F26" s="83">
        <v>474</v>
      </c>
      <c r="G26" s="83">
        <v>538</v>
      </c>
      <c r="H26" s="83">
        <v>649</v>
      </c>
      <c r="I26" s="83">
        <v>1387</v>
      </c>
      <c r="J26" s="83">
        <v>754</v>
      </c>
      <c r="K26" s="83">
        <v>823</v>
      </c>
      <c r="L26" s="83">
        <v>897</v>
      </c>
      <c r="M26" s="83">
        <v>991</v>
      </c>
      <c r="N26" s="83">
        <v>1223</v>
      </c>
      <c r="O26" s="83">
        <v>1424</v>
      </c>
      <c r="P26" s="83">
        <v>1086</v>
      </c>
      <c r="Q26" s="83">
        <v>1731</v>
      </c>
      <c r="R26" s="83">
        <v>2286</v>
      </c>
      <c r="S26" s="83">
        <v>2663</v>
      </c>
      <c r="T26" s="83">
        <v>3594</v>
      </c>
      <c r="U26" s="83">
        <v>3131</v>
      </c>
    </row>
    <row r="27" spans="1:21" x14ac:dyDescent="0.6">
      <c r="A27" s="180" t="s">
        <v>266</v>
      </c>
      <c r="B27" s="87">
        <v>8</v>
      </c>
      <c r="C27" s="87">
        <v>11</v>
      </c>
      <c r="D27" s="87">
        <v>17</v>
      </c>
      <c r="E27" s="87">
        <v>20</v>
      </c>
      <c r="F27" s="87">
        <v>21</v>
      </c>
      <c r="G27" s="87">
        <v>24</v>
      </c>
      <c r="H27" s="87">
        <v>28</v>
      </c>
      <c r="I27" s="87">
        <v>61</v>
      </c>
      <c r="J27" s="87">
        <v>32</v>
      </c>
      <c r="K27" s="87">
        <v>33</v>
      </c>
      <c r="L27" s="87">
        <v>38</v>
      </c>
      <c r="M27" s="87">
        <v>40</v>
      </c>
      <c r="N27" s="87">
        <v>47</v>
      </c>
      <c r="O27" s="87">
        <v>55</v>
      </c>
      <c r="P27" s="87">
        <v>54</v>
      </c>
      <c r="Q27" s="87">
        <v>83</v>
      </c>
      <c r="R27" s="87">
        <v>97</v>
      </c>
      <c r="S27" s="87">
        <v>109</v>
      </c>
      <c r="T27" s="87">
        <v>128</v>
      </c>
      <c r="U27" s="87">
        <v>131</v>
      </c>
    </row>
    <row r="28" spans="1:21" x14ac:dyDescent="0.6">
      <c r="A28" s="180" t="s">
        <v>268</v>
      </c>
      <c r="B28" s="87">
        <v>130</v>
      </c>
      <c r="C28" s="87">
        <v>164</v>
      </c>
      <c r="D28" s="87">
        <v>246</v>
      </c>
      <c r="E28" s="87">
        <v>267</v>
      </c>
      <c r="F28" s="87">
        <v>301</v>
      </c>
      <c r="G28" s="87">
        <v>344</v>
      </c>
      <c r="H28" s="87">
        <v>408</v>
      </c>
      <c r="I28" s="87">
        <v>685</v>
      </c>
      <c r="J28" s="87">
        <v>482</v>
      </c>
      <c r="K28" s="87">
        <v>529</v>
      </c>
      <c r="L28" s="87">
        <v>560</v>
      </c>
      <c r="M28" s="87">
        <v>597</v>
      </c>
      <c r="N28" s="87">
        <v>682</v>
      </c>
      <c r="O28" s="87">
        <v>734</v>
      </c>
      <c r="P28" s="87">
        <v>552</v>
      </c>
      <c r="Q28" s="87">
        <v>899</v>
      </c>
      <c r="R28" s="87">
        <v>1131</v>
      </c>
      <c r="S28" s="87">
        <v>1377</v>
      </c>
      <c r="T28" s="87">
        <v>1822</v>
      </c>
      <c r="U28" s="87">
        <v>1585</v>
      </c>
    </row>
    <row r="29" spans="1:21" x14ac:dyDescent="0.6">
      <c r="A29" s="180" t="s">
        <v>270</v>
      </c>
      <c r="B29" s="87">
        <v>67</v>
      </c>
      <c r="C29" s="87">
        <v>84</v>
      </c>
      <c r="D29" s="87">
        <v>115</v>
      </c>
      <c r="E29" s="87">
        <v>131</v>
      </c>
      <c r="F29" s="87">
        <v>152</v>
      </c>
      <c r="G29" s="87">
        <v>171</v>
      </c>
      <c r="H29" s="87">
        <v>214</v>
      </c>
      <c r="I29" s="87">
        <v>642</v>
      </c>
      <c r="J29" s="87">
        <v>242</v>
      </c>
      <c r="K29" s="87">
        <v>263</v>
      </c>
      <c r="L29" s="87">
        <v>301</v>
      </c>
      <c r="M29" s="87">
        <v>356</v>
      </c>
      <c r="N29" s="87">
        <v>492</v>
      </c>
      <c r="O29" s="87">
        <v>635</v>
      </c>
      <c r="P29" s="87">
        <v>480</v>
      </c>
      <c r="Q29" s="87">
        <v>747</v>
      </c>
      <c r="R29" s="87">
        <v>1058</v>
      </c>
      <c r="S29" s="87">
        <v>1177</v>
      </c>
      <c r="T29" s="87">
        <v>1644</v>
      </c>
      <c r="U29" s="87">
        <v>1416</v>
      </c>
    </row>
    <row r="30" spans="1:21" x14ac:dyDescent="0.6">
      <c r="A30" s="178" t="s">
        <v>272</v>
      </c>
      <c r="B30" s="83">
        <v>621</v>
      </c>
      <c r="C30" s="83">
        <v>814</v>
      </c>
      <c r="D30" s="83">
        <v>1020</v>
      </c>
      <c r="E30" s="83">
        <v>1180</v>
      </c>
      <c r="F30" s="83">
        <v>1306</v>
      </c>
      <c r="G30" s="83">
        <v>1441</v>
      </c>
      <c r="H30" s="83">
        <v>1648</v>
      </c>
      <c r="I30" s="83">
        <v>3368</v>
      </c>
      <c r="J30" s="83">
        <v>2013</v>
      </c>
      <c r="K30" s="83">
        <v>2234</v>
      </c>
      <c r="L30" s="83">
        <v>2478</v>
      </c>
      <c r="M30" s="83">
        <v>2693</v>
      </c>
      <c r="N30" s="83">
        <v>3004</v>
      </c>
      <c r="O30" s="83">
        <v>3389</v>
      </c>
      <c r="P30" s="83">
        <v>2576</v>
      </c>
      <c r="Q30" s="83">
        <v>4020</v>
      </c>
      <c r="R30" s="83">
        <v>4917</v>
      </c>
      <c r="S30" s="83">
        <v>5983</v>
      </c>
      <c r="T30" s="83">
        <v>6802</v>
      </c>
      <c r="U30" s="83">
        <v>5621</v>
      </c>
    </row>
    <row r="31" spans="1:21" x14ac:dyDescent="0.6">
      <c r="A31" s="180" t="s">
        <v>274</v>
      </c>
      <c r="B31" s="87">
        <v>49</v>
      </c>
      <c r="C31" s="87">
        <v>59</v>
      </c>
      <c r="D31" s="87">
        <v>71</v>
      </c>
      <c r="E31" s="87">
        <v>75</v>
      </c>
      <c r="F31" s="87">
        <v>84</v>
      </c>
      <c r="G31" s="87">
        <v>90</v>
      </c>
      <c r="H31" s="87">
        <v>96</v>
      </c>
      <c r="I31" s="87">
        <v>190</v>
      </c>
      <c r="J31" s="87">
        <v>119</v>
      </c>
      <c r="K31" s="87">
        <v>133</v>
      </c>
      <c r="L31" s="87">
        <v>154</v>
      </c>
      <c r="M31" s="87">
        <v>140</v>
      </c>
      <c r="N31" s="87">
        <v>180</v>
      </c>
      <c r="O31" s="87">
        <v>224</v>
      </c>
      <c r="P31" s="87">
        <v>95</v>
      </c>
      <c r="Q31" s="87">
        <v>182</v>
      </c>
      <c r="R31" s="87">
        <v>366</v>
      </c>
      <c r="S31" s="87">
        <v>426</v>
      </c>
      <c r="T31" s="87">
        <v>681</v>
      </c>
      <c r="U31" s="87">
        <v>641</v>
      </c>
    </row>
    <row r="32" spans="1:21" x14ac:dyDescent="0.6">
      <c r="A32" s="180" t="s">
        <v>276</v>
      </c>
      <c r="B32" s="87">
        <v>33</v>
      </c>
      <c r="C32" s="87">
        <v>45</v>
      </c>
      <c r="D32" s="87">
        <v>58</v>
      </c>
      <c r="E32" s="87">
        <v>67</v>
      </c>
      <c r="F32" s="87">
        <v>77</v>
      </c>
      <c r="G32" s="87">
        <v>86</v>
      </c>
      <c r="H32" s="87">
        <v>109</v>
      </c>
      <c r="I32" s="87">
        <v>219</v>
      </c>
      <c r="J32" s="87">
        <v>118</v>
      </c>
      <c r="K32" s="87">
        <v>135</v>
      </c>
      <c r="L32" s="87">
        <v>138</v>
      </c>
      <c r="M32" s="87">
        <v>134</v>
      </c>
      <c r="N32" s="87">
        <v>152</v>
      </c>
      <c r="O32" s="87">
        <v>208</v>
      </c>
      <c r="P32" s="87">
        <v>180</v>
      </c>
      <c r="Q32" s="87">
        <v>270</v>
      </c>
      <c r="R32" s="87">
        <v>266</v>
      </c>
      <c r="S32" s="87">
        <v>340</v>
      </c>
      <c r="T32" s="87">
        <v>432</v>
      </c>
      <c r="U32" s="87">
        <v>316</v>
      </c>
    </row>
    <row r="33" spans="1:21" x14ac:dyDescent="0.6">
      <c r="A33" s="180" t="s">
        <v>278</v>
      </c>
      <c r="B33" s="87">
        <v>44</v>
      </c>
      <c r="C33" s="87">
        <v>54</v>
      </c>
      <c r="D33" s="87">
        <v>60</v>
      </c>
      <c r="E33" s="87">
        <v>60</v>
      </c>
      <c r="F33" s="87">
        <v>75</v>
      </c>
      <c r="G33" s="87">
        <v>94</v>
      </c>
      <c r="H33" s="87">
        <v>121</v>
      </c>
      <c r="I33" s="87">
        <v>240</v>
      </c>
      <c r="J33" s="87">
        <v>146</v>
      </c>
      <c r="K33" s="87">
        <v>160</v>
      </c>
      <c r="L33" s="87">
        <v>164</v>
      </c>
      <c r="M33" s="87">
        <v>191</v>
      </c>
      <c r="N33" s="87">
        <v>216</v>
      </c>
      <c r="O33" s="87">
        <v>250</v>
      </c>
      <c r="P33" s="87">
        <v>194</v>
      </c>
      <c r="Q33" s="87">
        <v>345</v>
      </c>
      <c r="R33" s="87">
        <v>475</v>
      </c>
      <c r="S33" s="87">
        <v>527</v>
      </c>
      <c r="T33" s="87">
        <v>498</v>
      </c>
      <c r="U33" s="87">
        <v>432</v>
      </c>
    </row>
    <row r="34" spans="1:21" x14ac:dyDescent="0.6">
      <c r="A34" s="180" t="s">
        <v>280</v>
      </c>
      <c r="B34" s="87">
        <v>133</v>
      </c>
      <c r="C34" s="87">
        <v>203</v>
      </c>
      <c r="D34" s="87">
        <v>280</v>
      </c>
      <c r="E34" s="87">
        <v>340</v>
      </c>
      <c r="F34" s="87">
        <v>356</v>
      </c>
      <c r="G34" s="87">
        <v>375</v>
      </c>
      <c r="H34" s="87">
        <v>370</v>
      </c>
      <c r="I34" s="87">
        <v>758</v>
      </c>
      <c r="J34" s="87">
        <v>401</v>
      </c>
      <c r="K34" s="87">
        <v>429</v>
      </c>
      <c r="L34" s="87">
        <v>488</v>
      </c>
      <c r="M34" s="87">
        <v>559</v>
      </c>
      <c r="N34" s="87">
        <v>655</v>
      </c>
      <c r="O34" s="87">
        <v>755</v>
      </c>
      <c r="P34" s="87">
        <v>616</v>
      </c>
      <c r="Q34" s="87">
        <v>926</v>
      </c>
      <c r="R34" s="87">
        <v>1041</v>
      </c>
      <c r="S34" s="87">
        <v>1288</v>
      </c>
      <c r="T34" s="87">
        <v>1372</v>
      </c>
      <c r="U34" s="87">
        <v>992</v>
      </c>
    </row>
    <row r="35" spans="1:21" x14ac:dyDescent="0.6">
      <c r="A35" s="180" t="s">
        <v>282</v>
      </c>
      <c r="B35" s="87">
        <v>34</v>
      </c>
      <c r="C35" s="87">
        <v>52</v>
      </c>
      <c r="D35" s="87">
        <v>71</v>
      </c>
      <c r="E35" s="87">
        <v>87</v>
      </c>
      <c r="F35" s="87">
        <v>90</v>
      </c>
      <c r="G35" s="87">
        <v>96</v>
      </c>
      <c r="H35" s="87">
        <v>107</v>
      </c>
      <c r="I35" s="87">
        <v>247</v>
      </c>
      <c r="J35" s="87">
        <v>110</v>
      </c>
      <c r="K35" s="87">
        <v>128</v>
      </c>
      <c r="L35" s="87">
        <v>144</v>
      </c>
      <c r="M35" s="87">
        <v>164</v>
      </c>
      <c r="N35" s="87">
        <v>194</v>
      </c>
      <c r="O35" s="87">
        <v>233</v>
      </c>
      <c r="P35" s="87">
        <v>205</v>
      </c>
      <c r="Q35" s="87">
        <v>326</v>
      </c>
      <c r="R35" s="87">
        <v>402</v>
      </c>
      <c r="S35" s="87">
        <v>513</v>
      </c>
      <c r="T35" s="87">
        <v>588</v>
      </c>
      <c r="U35" s="87">
        <v>532</v>
      </c>
    </row>
    <row r="36" spans="1:21" x14ac:dyDescent="0.6">
      <c r="A36" s="180" t="s">
        <v>284</v>
      </c>
      <c r="B36" s="87">
        <v>46</v>
      </c>
      <c r="C36" s="87">
        <v>70</v>
      </c>
      <c r="D36" s="87">
        <v>96</v>
      </c>
      <c r="E36" s="87">
        <v>116</v>
      </c>
      <c r="F36" s="87">
        <v>122</v>
      </c>
      <c r="G36" s="87">
        <v>128</v>
      </c>
      <c r="H36" s="87">
        <v>145</v>
      </c>
      <c r="I36" s="87">
        <v>389</v>
      </c>
      <c r="J36" s="87">
        <v>183</v>
      </c>
      <c r="K36" s="87">
        <v>218</v>
      </c>
      <c r="L36" s="87">
        <v>252</v>
      </c>
      <c r="M36" s="87">
        <v>276</v>
      </c>
      <c r="N36" s="87">
        <v>313</v>
      </c>
      <c r="O36" s="87">
        <v>360</v>
      </c>
      <c r="P36" s="87">
        <v>290</v>
      </c>
      <c r="Q36" s="87">
        <v>445</v>
      </c>
      <c r="R36" s="87">
        <v>553</v>
      </c>
      <c r="S36" s="87">
        <v>697</v>
      </c>
      <c r="T36" s="87">
        <v>840</v>
      </c>
      <c r="U36" s="87">
        <v>701</v>
      </c>
    </row>
    <row r="37" spans="1:21" x14ac:dyDescent="0.6">
      <c r="A37" s="180" t="s">
        <v>286</v>
      </c>
      <c r="B37" s="87">
        <v>97</v>
      </c>
      <c r="C37" s="87">
        <v>110</v>
      </c>
      <c r="D37" s="87">
        <v>127</v>
      </c>
      <c r="E37" s="87">
        <v>147</v>
      </c>
      <c r="F37" s="87">
        <v>175</v>
      </c>
      <c r="G37" s="87">
        <v>210</v>
      </c>
      <c r="H37" s="87">
        <v>267</v>
      </c>
      <c r="I37" s="87">
        <v>501</v>
      </c>
      <c r="J37" s="87">
        <v>332</v>
      </c>
      <c r="K37" s="87">
        <v>359</v>
      </c>
      <c r="L37" s="87">
        <v>418</v>
      </c>
      <c r="M37" s="87">
        <v>446</v>
      </c>
      <c r="N37" s="87">
        <v>475</v>
      </c>
      <c r="O37" s="87">
        <v>491</v>
      </c>
      <c r="P37" s="87">
        <v>386</v>
      </c>
      <c r="Q37" s="87">
        <v>519</v>
      </c>
      <c r="R37" s="87">
        <v>615</v>
      </c>
      <c r="S37" s="87">
        <v>727</v>
      </c>
      <c r="T37" s="87">
        <v>826</v>
      </c>
      <c r="U37" s="87">
        <v>684</v>
      </c>
    </row>
    <row r="38" spans="1:21" x14ac:dyDescent="0.6">
      <c r="A38" s="180" t="s">
        <v>288</v>
      </c>
      <c r="B38" s="87">
        <v>40</v>
      </c>
      <c r="C38" s="87">
        <v>50</v>
      </c>
      <c r="D38" s="87">
        <v>60</v>
      </c>
      <c r="E38" s="87">
        <v>74</v>
      </c>
      <c r="F38" s="87">
        <v>90</v>
      </c>
      <c r="G38" s="87">
        <v>113</v>
      </c>
      <c r="H38" s="87">
        <v>138</v>
      </c>
      <c r="I38" s="87">
        <v>197</v>
      </c>
      <c r="J38" s="87">
        <v>204</v>
      </c>
      <c r="K38" s="87">
        <v>208</v>
      </c>
      <c r="L38" s="87">
        <v>219</v>
      </c>
      <c r="M38" s="87">
        <v>230</v>
      </c>
      <c r="N38" s="87">
        <v>236</v>
      </c>
      <c r="O38" s="87">
        <v>250</v>
      </c>
      <c r="P38" s="87">
        <v>115</v>
      </c>
      <c r="Q38" s="87">
        <v>308</v>
      </c>
      <c r="R38" s="87">
        <v>461</v>
      </c>
      <c r="S38" s="87">
        <v>643</v>
      </c>
      <c r="T38" s="87">
        <v>677</v>
      </c>
      <c r="U38" s="87">
        <v>550</v>
      </c>
    </row>
    <row r="39" spans="1:21" x14ac:dyDescent="0.6">
      <c r="A39" s="180" t="s">
        <v>290</v>
      </c>
      <c r="B39" s="87">
        <v>32</v>
      </c>
      <c r="C39" s="87">
        <v>43</v>
      </c>
      <c r="D39" s="87">
        <v>53</v>
      </c>
      <c r="E39" s="87">
        <v>64</v>
      </c>
      <c r="F39" s="87">
        <v>76</v>
      </c>
      <c r="G39" s="87">
        <v>79</v>
      </c>
      <c r="H39" s="87">
        <v>100</v>
      </c>
      <c r="I39" s="87">
        <v>193</v>
      </c>
      <c r="J39" s="87">
        <v>130</v>
      </c>
      <c r="K39" s="87">
        <v>134</v>
      </c>
      <c r="L39" s="87">
        <v>137</v>
      </c>
      <c r="M39" s="87">
        <v>160</v>
      </c>
      <c r="N39" s="87">
        <v>163</v>
      </c>
      <c r="O39" s="87">
        <v>175</v>
      </c>
      <c r="P39" s="87">
        <v>170</v>
      </c>
      <c r="Q39" s="87">
        <v>243</v>
      </c>
      <c r="R39" s="87">
        <v>245</v>
      </c>
      <c r="S39" s="87">
        <v>218</v>
      </c>
      <c r="T39" s="87">
        <v>249</v>
      </c>
      <c r="U39" s="87">
        <v>221</v>
      </c>
    </row>
    <row r="40" spans="1:21" x14ac:dyDescent="0.6">
      <c r="A40" s="180" t="s">
        <v>292</v>
      </c>
      <c r="B40" s="87">
        <v>111</v>
      </c>
      <c r="C40" s="87">
        <v>130</v>
      </c>
      <c r="D40" s="87">
        <v>146</v>
      </c>
      <c r="E40" s="87">
        <v>149</v>
      </c>
      <c r="F40" s="87">
        <v>161</v>
      </c>
      <c r="G40" s="87">
        <v>170</v>
      </c>
      <c r="H40" s="87">
        <v>195</v>
      </c>
      <c r="I40" s="87">
        <v>433</v>
      </c>
      <c r="J40" s="87">
        <v>271</v>
      </c>
      <c r="K40" s="87">
        <v>330</v>
      </c>
      <c r="L40" s="87">
        <v>362</v>
      </c>
      <c r="M40" s="87">
        <v>390</v>
      </c>
      <c r="N40" s="87">
        <v>421</v>
      </c>
      <c r="O40" s="87">
        <v>442</v>
      </c>
      <c r="P40" s="87">
        <v>324</v>
      </c>
      <c r="Q40" s="87">
        <v>457</v>
      </c>
      <c r="R40" s="87">
        <v>494</v>
      </c>
      <c r="S40" s="87">
        <v>604</v>
      </c>
      <c r="T40" s="87">
        <v>640</v>
      </c>
      <c r="U40" s="87">
        <v>549</v>
      </c>
    </row>
    <row r="41" spans="1:21" ht="17.75" x14ac:dyDescent="0.75">
      <c r="A41" s="183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</row>
    <row r="42" spans="1:21" x14ac:dyDescent="0.6">
      <c r="A42" s="178" t="s">
        <v>294</v>
      </c>
      <c r="B42" s="83">
        <v>164</v>
      </c>
      <c r="C42" s="83">
        <v>201</v>
      </c>
      <c r="D42" s="83">
        <v>273</v>
      </c>
      <c r="E42" s="83">
        <v>305</v>
      </c>
      <c r="F42" s="83">
        <v>338</v>
      </c>
      <c r="G42" s="83">
        <v>418</v>
      </c>
      <c r="H42" s="83">
        <v>384</v>
      </c>
      <c r="I42" s="83">
        <v>774</v>
      </c>
      <c r="J42" s="83">
        <v>480</v>
      </c>
      <c r="K42" s="83">
        <v>543</v>
      </c>
      <c r="L42" s="83">
        <v>596</v>
      </c>
      <c r="M42" s="83">
        <v>652</v>
      </c>
      <c r="N42" s="83">
        <v>692</v>
      </c>
      <c r="O42" s="83">
        <v>789</v>
      </c>
      <c r="P42" s="83">
        <v>584</v>
      </c>
      <c r="Q42" s="83">
        <v>633</v>
      </c>
      <c r="R42" s="83">
        <v>774</v>
      </c>
      <c r="S42" s="83">
        <v>868</v>
      </c>
      <c r="T42" s="83">
        <v>985</v>
      </c>
      <c r="U42" s="83">
        <v>894</v>
      </c>
    </row>
  </sheetData>
  <conditionalFormatting sqref="A3:U42">
    <cfRule type="cellIs" dxfId="4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14</vt:i4>
      </vt:variant>
    </vt:vector>
  </HeadingPairs>
  <TitlesOfParts>
    <vt:vector size="26" baseType="lpstr">
      <vt:lpstr>Table A Q</vt:lpstr>
      <vt:lpstr>QGDP_CP</vt:lpstr>
      <vt:lpstr>QGDP_SH</vt:lpstr>
      <vt:lpstr>QGDP_KP</vt:lpstr>
      <vt:lpstr>QGDP_Gr</vt:lpstr>
      <vt:lpstr>QGDP_Cont</vt:lpstr>
      <vt:lpstr>QGDP_DF</vt:lpstr>
      <vt:lpstr>T3 GDP XQ</vt:lpstr>
      <vt:lpstr>T3A GDP XQ</vt:lpstr>
      <vt:lpstr>USE</vt:lpstr>
      <vt:lpstr>SUP</vt:lpstr>
      <vt:lpstr>DF_Sup</vt:lpstr>
      <vt:lpstr>QGDP_Cont!Print_Area</vt:lpstr>
      <vt:lpstr>QGDP_CP!Print_Area</vt:lpstr>
      <vt:lpstr>QGDP_DF!Print_Area</vt:lpstr>
      <vt:lpstr>QGDP_Gr!Print_Area</vt:lpstr>
      <vt:lpstr>QGDP_KP!Print_Area</vt:lpstr>
      <vt:lpstr>QGDP_SH!Print_Area</vt:lpstr>
      <vt:lpstr>'T3 GDP XQ'!Print_Area</vt:lpstr>
      <vt:lpstr>'T3A GDP XQ'!Print_Area</vt:lpstr>
      <vt:lpstr>QGDP_Cont!Print_Titles</vt:lpstr>
      <vt:lpstr>QGDP_CP!Print_Titles</vt:lpstr>
      <vt:lpstr>QGDP_DF!Print_Titles</vt:lpstr>
      <vt:lpstr>QGDP_Gr!Print_Titles</vt:lpstr>
      <vt:lpstr>QGDP_KP!Print_Titles</vt:lpstr>
      <vt:lpstr>QGDP_SH!Print_Titles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NISR</dc:creator>
  <cp:lastModifiedBy>Evariste MANIRUMVA</cp:lastModifiedBy>
  <cp:lastPrinted>2025-12-16T11:15:19Z</cp:lastPrinted>
  <dcterms:created xsi:type="dcterms:W3CDTF">2025-12-16T08:06:49Z</dcterms:created>
  <dcterms:modified xsi:type="dcterms:W3CDTF">2026-02-19T19:38:17Z</dcterms:modified>
</cp:coreProperties>
</file>