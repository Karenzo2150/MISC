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MINECOFIN\Macro\IntMF&amp;IMF-Mission\Preparations\March 2026\"/>
    </mc:Choice>
  </mc:AlternateContent>
  <xr:revisionPtr revIDLastSave="0" documentId="13_ncr:1_{8EDD343C-0FCC-48CE-85CF-0F708528FB7B}" xr6:coauthVersionLast="47" xr6:coauthVersionMax="47" xr10:uidLastSave="{00000000-0000-0000-0000-000000000000}"/>
  <bookViews>
    <workbookView xWindow="-90" yWindow="-90" windowWidth="19380" windowHeight="11460" firstSheet="2" activeTab="2" xr2:uid="{00000000-000D-0000-FFFF-FFFF00000000}"/>
  </bookViews>
  <sheets>
    <sheet name="CPI" sheetId="19" r:id="rId1"/>
    <sheet name="PPI" sheetId="18" r:id="rId2"/>
    <sheet name="GDP" sheetId="20" r:id="rId3"/>
    <sheet name="Quarterly IIP_Manu" sheetId="10" r:id="rId4"/>
    <sheet name="IIP_Manu_Ann" sheetId="9" r:id="rId5"/>
    <sheet name="R_GDP Details 2023_ann" sheetId="17" r:id="rId6"/>
    <sheet name="Cement import" sheetId="8" r:id="rId7"/>
    <sheet name="Ann Ind Production" sheetId="4" r:id="rId8"/>
    <sheet name="Large Ind Prod" sheetId="5" r:id="rId9"/>
    <sheet name="Turnovers" sheetId="21" r:id="rId10"/>
    <sheet name="Agric Prod KP" sheetId="11" r:id="rId11"/>
    <sheet name="Nowcasting" sheetId="13" r:id="rId12"/>
  </sheets>
  <externalReferences>
    <externalReference r:id="rId13"/>
  </externalReferences>
  <calcPr calcId="191029"/>
</workbook>
</file>

<file path=xl/calcChain.xml><?xml version="1.0" encoding="utf-8"?>
<calcChain xmlns="http://schemas.openxmlformats.org/spreadsheetml/2006/main">
  <c r="BX43" i="8" l="1"/>
  <c r="BX44" i="8"/>
  <c r="BX42" i="8"/>
  <c r="BW42" i="8"/>
  <c r="BW43" i="8" l="1"/>
  <c r="BW44" i="8"/>
  <c r="BV42" i="8"/>
  <c r="BV43" i="8"/>
  <c r="BV44" i="8"/>
  <c r="CB21" i="18" l="1"/>
  <c r="CB20" i="18"/>
  <c r="CB19" i="18"/>
  <c r="CB18" i="18"/>
  <c r="CB17" i="18"/>
  <c r="CB15" i="18"/>
  <c r="CB16" i="18"/>
  <c r="CB14" i="18"/>
  <c r="CB13" i="18"/>
  <c r="CB12" i="18"/>
  <c r="CB11" i="18"/>
  <c r="CB9" i="18"/>
  <c r="BM4" i="18"/>
  <c r="BM5" i="18"/>
  <c r="BM6" i="18"/>
  <c r="BM7" i="18"/>
  <c r="BM8" i="18"/>
  <c r="BM9" i="18"/>
  <c r="BM10" i="18"/>
  <c r="BM11" i="18"/>
  <c r="BM12" i="18"/>
  <c r="BM13" i="18"/>
  <c r="BM14" i="18"/>
  <c r="BM15" i="18"/>
  <c r="BM16" i="18"/>
  <c r="BM17" i="18"/>
  <c r="BM18" i="18"/>
  <c r="BM19" i="18"/>
  <c r="BM20" i="18"/>
  <c r="BM21" i="18"/>
  <c r="BM22" i="18"/>
  <c r="BM23" i="18"/>
  <c r="BM24" i="18"/>
  <c r="BN24" i="18" s="1"/>
  <c r="BM25" i="18"/>
  <c r="BM26" i="18"/>
  <c r="BM27" i="18"/>
  <c r="BM28" i="18"/>
  <c r="BM29" i="18"/>
  <c r="BM30" i="18"/>
  <c r="BM31" i="18"/>
  <c r="BM32" i="18"/>
  <c r="BM33" i="18"/>
  <c r="BM34" i="18"/>
  <c r="BM35" i="18"/>
  <c r="BM36" i="18"/>
  <c r="BM37" i="18"/>
  <c r="BM38" i="18"/>
  <c r="BM39" i="18"/>
  <c r="BM40" i="18"/>
  <c r="BM41" i="18"/>
  <c r="BM42" i="18"/>
  <c r="BM43" i="18"/>
  <c r="BM44" i="18"/>
  <c r="BM45" i="18"/>
  <c r="BM46" i="18"/>
  <c r="BM47" i="18"/>
  <c r="BM48" i="18"/>
  <c r="BM49" i="18"/>
  <c r="BM50" i="18"/>
  <c r="BM51" i="18"/>
  <c r="BM52" i="18"/>
  <c r="BM53" i="18"/>
  <c r="BM54" i="18"/>
  <c r="BM55" i="18"/>
  <c r="BM56" i="18"/>
  <c r="BM57" i="18"/>
  <c r="BM58" i="18"/>
  <c r="BM59" i="18"/>
  <c r="BM60" i="18"/>
  <c r="BM61" i="18"/>
  <c r="BM62" i="18"/>
  <c r="BM63" i="18"/>
  <c r="BM64" i="18"/>
  <c r="BM65" i="18"/>
  <c r="BM66" i="18"/>
  <c r="BM67" i="18"/>
  <c r="BM68" i="18"/>
  <c r="BM69" i="18"/>
  <c r="BM70" i="18"/>
  <c r="BM71" i="18"/>
  <c r="BM72" i="18"/>
  <c r="BM73" i="18"/>
  <c r="BM74" i="18"/>
  <c r="BM75" i="18"/>
  <c r="BM76" i="18"/>
  <c r="BM77" i="18"/>
  <c r="BM78" i="18"/>
  <c r="BM79" i="18"/>
  <c r="BM80" i="18"/>
  <c r="BM81" i="18"/>
  <c r="BM82" i="18"/>
  <c r="BM83" i="18"/>
  <c r="BM84" i="18"/>
  <c r="BM3" i="18"/>
  <c r="BL24" i="18"/>
  <c r="BM36" i="19"/>
  <c r="BM32" i="19"/>
  <c r="BM31" i="19"/>
  <c r="BM30" i="19"/>
  <c r="BM29" i="19"/>
  <c r="BM28" i="19"/>
  <c r="BM27" i="19"/>
  <c r="BM25" i="19"/>
  <c r="BM24" i="19"/>
  <c r="BM23" i="19"/>
  <c r="CF4" i="21" l="1"/>
  <c r="CF5" i="21"/>
  <c r="CF6" i="21"/>
  <c r="CF7" i="21"/>
  <c r="CF8" i="21"/>
  <c r="CF9" i="21"/>
  <c r="CF10" i="21"/>
  <c r="CF11" i="21"/>
  <c r="CF12" i="21"/>
  <c r="CF13" i="21"/>
  <c r="CF14" i="21"/>
  <c r="CF15" i="21"/>
  <c r="CF16" i="21"/>
  <c r="CF17" i="21"/>
  <c r="CF18" i="21"/>
  <c r="CF19" i="21"/>
  <c r="CF20" i="21"/>
  <c r="CF21" i="21"/>
  <c r="CF22" i="21"/>
  <c r="CF23" i="21"/>
  <c r="CF24" i="21"/>
  <c r="CF25" i="21"/>
  <c r="CF26" i="21"/>
  <c r="CF27" i="21"/>
  <c r="CF28" i="21"/>
  <c r="CF29" i="21"/>
  <c r="CF30" i="21"/>
  <c r="CF31" i="21"/>
  <c r="CF32" i="21"/>
  <c r="CF33" i="21"/>
  <c r="CF34" i="21"/>
  <c r="CF35" i="21"/>
  <c r="CF36" i="21"/>
  <c r="CF3" i="21"/>
  <c r="CE4" i="21"/>
  <c r="CE5" i="21"/>
  <c r="CE6" i="21"/>
  <c r="CE7" i="21"/>
  <c r="CE8" i="21"/>
  <c r="CE9" i="21"/>
  <c r="CE10" i="21"/>
  <c r="CE11" i="21"/>
  <c r="CE12" i="21"/>
  <c r="CE13" i="21"/>
  <c r="CE14" i="21"/>
  <c r="CE15" i="21"/>
  <c r="CE16" i="21"/>
  <c r="CE17" i="21"/>
  <c r="CE18" i="21"/>
  <c r="CE19" i="21"/>
  <c r="CE20" i="21"/>
  <c r="CE21" i="21"/>
  <c r="CE22" i="21"/>
  <c r="CE23" i="21"/>
  <c r="CE24" i="21"/>
  <c r="CE25" i="21"/>
  <c r="CE26" i="21"/>
  <c r="CE27" i="21"/>
  <c r="CE28" i="21"/>
  <c r="CE29" i="21"/>
  <c r="CE30" i="21"/>
  <c r="CE31" i="21"/>
  <c r="CE32" i="21"/>
  <c r="CE33" i="21"/>
  <c r="CE34" i="21"/>
  <c r="CE35" i="21"/>
  <c r="CE36" i="21"/>
  <c r="CE3" i="21"/>
  <c r="BR4" i="21"/>
  <c r="BR5" i="21"/>
  <c r="BR6" i="21"/>
  <c r="BR7" i="21"/>
  <c r="BR8" i="21"/>
  <c r="BR9" i="21"/>
  <c r="BR10" i="21"/>
  <c r="BR11" i="21"/>
  <c r="BR12" i="21"/>
  <c r="BR13" i="21"/>
  <c r="BR14" i="21"/>
  <c r="BR15" i="21"/>
  <c r="BR16" i="21"/>
  <c r="BR17" i="21"/>
  <c r="BR18" i="21"/>
  <c r="BR19" i="21"/>
  <c r="BR20" i="21"/>
  <c r="BR21" i="21"/>
  <c r="BR22" i="21"/>
  <c r="BR23" i="21"/>
  <c r="BR24" i="21"/>
  <c r="BR25" i="21"/>
  <c r="BR26" i="21"/>
  <c r="BR27" i="21"/>
  <c r="BR28" i="21"/>
  <c r="BR29" i="21"/>
  <c r="BR30" i="21"/>
  <c r="BR31" i="21"/>
  <c r="BR32" i="21"/>
  <c r="BR33" i="21"/>
  <c r="BR34" i="21"/>
  <c r="BR35" i="21"/>
  <c r="BR36" i="21"/>
  <c r="BR3" i="21"/>
  <c r="AB5" i="20" l="1"/>
  <c r="AB6" i="20"/>
  <c r="AB7" i="20"/>
  <c r="AB8" i="20"/>
  <c r="AB9" i="20"/>
  <c r="AB10" i="20"/>
  <c r="AB11" i="20"/>
  <c r="AB12" i="20"/>
  <c r="AB13" i="20"/>
  <c r="AB14" i="20"/>
  <c r="AB15" i="20"/>
  <c r="AB16" i="20"/>
  <c r="AB17" i="20"/>
  <c r="AB18" i="20"/>
  <c r="AB19" i="20"/>
  <c r="AB20" i="20"/>
  <c r="AB21" i="20"/>
  <c r="AB22" i="20"/>
  <c r="AB23" i="20"/>
  <c r="AB24" i="20"/>
  <c r="AB25" i="20"/>
  <c r="AB26" i="20"/>
  <c r="AB27" i="20"/>
  <c r="AB28" i="20"/>
  <c r="AB29" i="20"/>
  <c r="AB30" i="20"/>
  <c r="AB31" i="20"/>
  <c r="AB32" i="20"/>
  <c r="AB33" i="20"/>
  <c r="AB34" i="20"/>
  <c r="AB35" i="20"/>
  <c r="AB36" i="20"/>
  <c r="AB37" i="20"/>
  <c r="AB38" i="20"/>
  <c r="AB39" i="20"/>
  <c r="AB40" i="20"/>
  <c r="AB42" i="20"/>
  <c r="AB3" i="20"/>
  <c r="AA5" i="20"/>
  <c r="AA6" i="20"/>
  <c r="AA7" i="20"/>
  <c r="AA8" i="20"/>
  <c r="AA9" i="20"/>
  <c r="AA10" i="20"/>
  <c r="AA11" i="20"/>
  <c r="AA12" i="20"/>
  <c r="AA13" i="20"/>
  <c r="AA14" i="20"/>
  <c r="AA15" i="20"/>
  <c r="AA16" i="20"/>
  <c r="AA17" i="20"/>
  <c r="AA18" i="20"/>
  <c r="AA19" i="20"/>
  <c r="AA20" i="20"/>
  <c r="AA21" i="20"/>
  <c r="AA22" i="20"/>
  <c r="AA23" i="20"/>
  <c r="AA24" i="20"/>
  <c r="AA25" i="20"/>
  <c r="AA26" i="20"/>
  <c r="AA27" i="20"/>
  <c r="AA28" i="20"/>
  <c r="AA29" i="20"/>
  <c r="AA30" i="20"/>
  <c r="AA31" i="20"/>
  <c r="AA32" i="20"/>
  <c r="AA33" i="20"/>
  <c r="AA34" i="20"/>
  <c r="AA35" i="20"/>
  <c r="AA36" i="20"/>
  <c r="AA37" i="20"/>
  <c r="AA38" i="20"/>
  <c r="AA39" i="20"/>
  <c r="AA40" i="20"/>
  <c r="AA42" i="20"/>
  <c r="AA3" i="20"/>
  <c r="V5" i="20"/>
  <c r="V6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V40" i="20"/>
  <c r="V42" i="20"/>
  <c r="V3" i="20"/>
  <c r="S8" i="9"/>
  <c r="S4" i="9" a="1"/>
  <c r="S4" i="9" s="1"/>
  <c r="BO3" i="10"/>
  <c r="BO4" i="10"/>
  <c r="BO5" i="10"/>
  <c r="BO6" i="10"/>
  <c r="BO7" i="10"/>
  <c r="BO8" i="10"/>
  <c r="BO9" i="10"/>
  <c r="BO10" i="10"/>
  <c r="BO11" i="10"/>
  <c r="BO12" i="10"/>
  <c r="BO13" i="10"/>
  <c r="BO14" i="10"/>
  <c r="EG2" i="10"/>
  <c r="BO2" i="10"/>
  <c r="S7" i="9"/>
  <c r="S6" i="9" l="1"/>
  <c r="S5" i="9"/>
  <c r="R4" i="9"/>
  <c r="R5" i="9"/>
  <c r="R6" i="9"/>
  <c r="S3" i="9"/>
  <c r="B49" i="20"/>
  <c r="BB17" i="10" l="1"/>
  <c r="BC17" i="10"/>
  <c r="BD17" i="10"/>
  <c r="BE17" i="10"/>
  <c r="BF17" i="10"/>
  <c r="BG17" i="10"/>
  <c r="BH17" i="10"/>
  <c r="BI17" i="10"/>
  <c r="BB18" i="10"/>
  <c r="BC18" i="10"/>
  <c r="BD18" i="10"/>
  <c r="BE18" i="10"/>
  <c r="BF18" i="10"/>
  <c r="BG18" i="10"/>
  <c r="BH18" i="10"/>
  <c r="BI18" i="10"/>
  <c r="BB19" i="10"/>
  <c r="BC19" i="10"/>
  <c r="BD19" i="10"/>
  <c r="BE19" i="10"/>
  <c r="BF19" i="10"/>
  <c r="BG19" i="10"/>
  <c r="BH19" i="10"/>
  <c r="BI19" i="10"/>
  <c r="BB20" i="10"/>
  <c r="BC20" i="10"/>
  <c r="BD20" i="10"/>
  <c r="BE20" i="10"/>
  <c r="BF20" i="10"/>
  <c r="BG20" i="10"/>
  <c r="BH20" i="10"/>
  <c r="BI20" i="10"/>
  <c r="BB21" i="10"/>
  <c r="BC21" i="10"/>
  <c r="BD21" i="10"/>
  <c r="BE21" i="10"/>
  <c r="BF21" i="10"/>
  <c r="BG21" i="10"/>
  <c r="BH21" i="10"/>
  <c r="BI21" i="10"/>
  <c r="BB22" i="10"/>
  <c r="BC22" i="10"/>
  <c r="BD22" i="10"/>
  <c r="BE22" i="10"/>
  <c r="BF22" i="10"/>
  <c r="BG22" i="10"/>
  <c r="BH22" i="10"/>
  <c r="BI22" i="10"/>
  <c r="BB23" i="10"/>
  <c r="BC23" i="10"/>
  <c r="BD23" i="10"/>
  <c r="BE23" i="10"/>
  <c r="BF23" i="10"/>
  <c r="BG23" i="10"/>
  <c r="BH23" i="10"/>
  <c r="BI23" i="10"/>
  <c r="BB24" i="10"/>
  <c r="BC24" i="10"/>
  <c r="BD24" i="10"/>
  <c r="BE24" i="10"/>
  <c r="BF24" i="10"/>
  <c r="BG24" i="10"/>
  <c r="BH24" i="10"/>
  <c r="BI24" i="10"/>
  <c r="BB25" i="10"/>
  <c r="BC25" i="10"/>
  <c r="BD25" i="10"/>
  <c r="BE25" i="10"/>
  <c r="BF25" i="10"/>
  <c r="BG25" i="10"/>
  <c r="BH25" i="10"/>
  <c r="BI25" i="10"/>
  <c r="BB26" i="10"/>
  <c r="BC26" i="10"/>
  <c r="BD26" i="10"/>
  <c r="BE26" i="10"/>
  <c r="BF26" i="10"/>
  <c r="BG26" i="10"/>
  <c r="BH26" i="10"/>
  <c r="BI26" i="10"/>
  <c r="BB27" i="10"/>
  <c r="BC27" i="10"/>
  <c r="BD27" i="10"/>
  <c r="BE27" i="10"/>
  <c r="BF27" i="10"/>
  <c r="BG27" i="10"/>
  <c r="BH27" i="10"/>
  <c r="BI27" i="10"/>
  <c r="BB28" i="10"/>
  <c r="BC28" i="10"/>
  <c r="BD28" i="10"/>
  <c r="BE28" i="10"/>
  <c r="BF28" i="10"/>
  <c r="BG28" i="10"/>
  <c r="BH28" i="10"/>
  <c r="BI28" i="10"/>
  <c r="BF16" i="10"/>
  <c r="BG16" i="10"/>
  <c r="BH16" i="10"/>
  <c r="BI16" i="10"/>
  <c r="BE16" i="10"/>
  <c r="BB16" i="10"/>
  <c r="BC16" i="10"/>
  <c r="BD16" i="10"/>
  <c r="AW16" i="10"/>
  <c r="BQ2" i="10"/>
  <c r="EF10" i="10"/>
  <c r="EF11" i="10"/>
  <c r="DX3" i="10"/>
  <c r="DX4" i="10"/>
  <c r="DX5" i="10"/>
  <c r="DX6" i="10"/>
  <c r="DX7" i="10"/>
  <c r="DX8" i="10"/>
  <c r="DX9" i="10"/>
  <c r="DX10" i="10"/>
  <c r="DX11" i="10"/>
  <c r="DX12" i="10"/>
  <c r="DX13" i="10"/>
  <c r="DX14" i="10"/>
  <c r="DX2" i="10"/>
  <c r="DW3" i="10"/>
  <c r="EF3" i="10" s="1"/>
  <c r="DW4" i="10"/>
  <c r="EF4" i="10" s="1"/>
  <c r="DW5" i="10"/>
  <c r="EF5" i="10" s="1"/>
  <c r="DW6" i="10"/>
  <c r="DW7" i="10"/>
  <c r="EF7" i="10" s="1"/>
  <c r="DW8" i="10"/>
  <c r="EF8" i="10" s="1"/>
  <c r="DW9" i="10"/>
  <c r="DW10" i="10"/>
  <c r="DW11" i="10"/>
  <c r="DW12" i="10"/>
  <c r="EF12" i="10" s="1"/>
  <c r="DW13" i="10"/>
  <c r="EF13" i="10" s="1"/>
  <c r="DW14" i="10"/>
  <c r="EF14" i="10" s="1"/>
  <c r="DU15" i="10"/>
  <c r="DU16" i="10"/>
  <c r="DW2" i="10"/>
  <c r="EF2" i="10" s="1"/>
  <c r="DV3" i="10"/>
  <c r="DV4" i="10"/>
  <c r="DV5" i="10"/>
  <c r="DV6" i="10"/>
  <c r="DV7" i="10"/>
  <c r="DV8" i="10"/>
  <c r="DV9" i="10"/>
  <c r="DV10" i="10"/>
  <c r="DV11" i="10"/>
  <c r="DV12" i="10"/>
  <c r="DV13" i="10"/>
  <c r="DV14" i="10"/>
  <c r="DV2" i="10"/>
  <c r="DU3" i="10"/>
  <c r="DU4" i="10"/>
  <c r="DU5" i="10"/>
  <c r="DU6" i="10"/>
  <c r="DU7" i="10"/>
  <c r="DU8" i="10"/>
  <c r="DU9" i="10"/>
  <c r="DU10" i="10"/>
  <c r="DU11" i="10"/>
  <c r="DU12" i="10"/>
  <c r="DU13" i="10"/>
  <c r="DU14" i="10"/>
  <c r="DU2" i="10"/>
  <c r="DT3" i="10"/>
  <c r="DT4" i="10"/>
  <c r="DT5" i="10"/>
  <c r="DT6" i="10"/>
  <c r="DT7" i="10"/>
  <c r="DT8" i="10"/>
  <c r="DT9" i="10"/>
  <c r="DT10" i="10"/>
  <c r="DT11" i="10"/>
  <c r="DT12" i="10"/>
  <c r="DT13" i="10"/>
  <c r="DT14" i="10"/>
  <c r="DT2" i="10"/>
  <c r="EF9" i="10" l="1"/>
  <c r="EF6" i="10"/>
  <c r="DS3" i="10"/>
  <c r="DS4" i="10"/>
  <c r="DS5" i="10"/>
  <c r="DS6" i="10"/>
  <c r="DS7" i="10"/>
  <c r="DS8" i="10"/>
  <c r="DS9" i="10"/>
  <c r="DS10" i="10"/>
  <c r="DS11" i="10"/>
  <c r="DS12" i="10"/>
  <c r="DS13" i="10"/>
  <c r="DS14" i="10"/>
  <c r="DS2" i="10"/>
  <c r="DR3" i="10"/>
  <c r="DR4" i="10"/>
  <c r="DR5" i="10"/>
  <c r="DR6" i="10"/>
  <c r="DR7" i="10"/>
  <c r="DR8" i="10"/>
  <c r="DR9" i="10"/>
  <c r="DR10" i="10"/>
  <c r="DR11" i="10"/>
  <c r="DR12" i="10"/>
  <c r="DR13" i="10"/>
  <c r="DR14" i="10"/>
  <c r="DR2" i="10"/>
  <c r="DQ3" i="10"/>
  <c r="DQ4" i="10"/>
  <c r="DQ5" i="10"/>
  <c r="DQ6" i="10"/>
  <c r="DQ7" i="10"/>
  <c r="DQ8" i="10"/>
  <c r="DQ9" i="10"/>
  <c r="DQ10" i="10"/>
  <c r="DQ11" i="10"/>
  <c r="DQ12" i="10"/>
  <c r="DQ13" i="10"/>
  <c r="DQ14" i="10"/>
  <c r="DQ2" i="10"/>
  <c r="DP3" i="10"/>
  <c r="DP4" i="10"/>
  <c r="DP5" i="10"/>
  <c r="DP6" i="10"/>
  <c r="DP7" i="10"/>
  <c r="DP8" i="10"/>
  <c r="DP9" i="10"/>
  <c r="DP10" i="10"/>
  <c r="DP11" i="10"/>
  <c r="DP12" i="10"/>
  <c r="DP13" i="10"/>
  <c r="DP14" i="10"/>
  <c r="DP2" i="10"/>
  <c r="DO3" i="10"/>
  <c r="DO4" i="10"/>
  <c r="DO5" i="10"/>
  <c r="DO6" i="10"/>
  <c r="DO7" i="10"/>
  <c r="DO8" i="10"/>
  <c r="DO9" i="10"/>
  <c r="DO10" i="10"/>
  <c r="DO11" i="10"/>
  <c r="DO12" i="10"/>
  <c r="DO13" i="10"/>
  <c r="DO14" i="10"/>
  <c r="DO2" i="10"/>
  <c r="DN3" i="10"/>
  <c r="DN4" i="10"/>
  <c r="DN5" i="10"/>
  <c r="DN6" i="10"/>
  <c r="DN7" i="10"/>
  <c r="DN8" i="10"/>
  <c r="DN9" i="10"/>
  <c r="DN10" i="10"/>
  <c r="DN11" i="10"/>
  <c r="DN12" i="10"/>
  <c r="DN13" i="10"/>
  <c r="DN14" i="10"/>
  <c r="DN2" i="10"/>
  <c r="DM3" i="10"/>
  <c r="DM4" i="10"/>
  <c r="DM5" i="10"/>
  <c r="DM6" i="10"/>
  <c r="DM7" i="10"/>
  <c r="DM8" i="10"/>
  <c r="DM9" i="10"/>
  <c r="DM10" i="10"/>
  <c r="DM11" i="10"/>
  <c r="DM12" i="10"/>
  <c r="DM13" i="10"/>
  <c r="DM14" i="10"/>
  <c r="DM2" i="10"/>
  <c r="DL3" i="10"/>
  <c r="DL4" i="10"/>
  <c r="DL5" i="10"/>
  <c r="DL6" i="10"/>
  <c r="DL7" i="10"/>
  <c r="DL8" i="10"/>
  <c r="DL9" i="10"/>
  <c r="DL10" i="10"/>
  <c r="DL11" i="10"/>
  <c r="DL12" i="10"/>
  <c r="DL13" i="10"/>
  <c r="DL14" i="10"/>
  <c r="DL2" i="10"/>
  <c r="DK3" i="10"/>
  <c r="DK4" i="10"/>
  <c r="DK5" i="10"/>
  <c r="DK6" i="10"/>
  <c r="DK7" i="10"/>
  <c r="DK8" i="10"/>
  <c r="DK9" i="10"/>
  <c r="DK10" i="10"/>
  <c r="DK11" i="10"/>
  <c r="DK12" i="10"/>
  <c r="DK13" i="10"/>
  <c r="DK14" i="10"/>
  <c r="DK2" i="10"/>
  <c r="DJ3" i="10"/>
  <c r="DJ4" i="10"/>
  <c r="DJ5" i="10"/>
  <c r="DJ6" i="10"/>
  <c r="DJ7" i="10"/>
  <c r="DJ8" i="10"/>
  <c r="DJ9" i="10"/>
  <c r="DJ10" i="10"/>
  <c r="DJ11" i="10"/>
  <c r="DJ12" i="10"/>
  <c r="DJ13" i="10"/>
  <c r="DJ14" i="10"/>
  <c r="DJ2" i="10"/>
  <c r="DI3" i="10"/>
  <c r="DI4" i="10"/>
  <c r="DI5" i="10"/>
  <c r="DI6" i="10"/>
  <c r="DI7" i="10"/>
  <c r="DI8" i="10"/>
  <c r="DI9" i="10"/>
  <c r="DI10" i="10"/>
  <c r="DI11" i="10"/>
  <c r="DI12" i="10"/>
  <c r="DI13" i="10"/>
  <c r="DI14" i="10"/>
  <c r="DI2" i="10"/>
  <c r="DH3" i="10"/>
  <c r="DH4" i="10"/>
  <c r="DH5" i="10"/>
  <c r="DH6" i="10"/>
  <c r="DH7" i="10"/>
  <c r="DH8" i="10"/>
  <c r="DH9" i="10"/>
  <c r="DH10" i="10"/>
  <c r="DH11" i="10"/>
  <c r="DH12" i="10"/>
  <c r="DH13" i="10"/>
  <c r="DH14" i="10"/>
  <c r="DH2" i="10"/>
  <c r="DG3" i="10"/>
  <c r="DG4" i="10"/>
  <c r="DG5" i="10"/>
  <c r="DG6" i="10"/>
  <c r="DG7" i="10"/>
  <c r="DG8" i="10"/>
  <c r="DG9" i="10"/>
  <c r="DG10" i="10"/>
  <c r="DG11" i="10"/>
  <c r="DG12" i="10"/>
  <c r="DG13" i="10"/>
  <c r="DG14" i="10"/>
  <c r="DG2" i="10"/>
  <c r="DF3" i="10"/>
  <c r="DF4" i="10"/>
  <c r="DF5" i="10"/>
  <c r="DF6" i="10"/>
  <c r="DF7" i="10"/>
  <c r="DF8" i="10"/>
  <c r="DF9" i="10"/>
  <c r="DF10" i="10"/>
  <c r="DF11" i="10"/>
  <c r="DF12" i="10"/>
  <c r="DF13" i="10"/>
  <c r="DF14" i="10"/>
  <c r="DF2" i="10"/>
  <c r="DE3" i="10"/>
  <c r="DE4" i="10"/>
  <c r="DE5" i="10"/>
  <c r="DE6" i="10"/>
  <c r="DE7" i="10"/>
  <c r="DE8" i="10"/>
  <c r="DE9" i="10"/>
  <c r="DE10" i="10"/>
  <c r="DE11" i="10"/>
  <c r="DE12" i="10"/>
  <c r="DE13" i="10"/>
  <c r="DE14" i="10"/>
  <c r="DE2" i="10"/>
  <c r="DD3" i="10"/>
  <c r="DD4" i="10"/>
  <c r="DD5" i="10"/>
  <c r="DD6" i="10"/>
  <c r="DD7" i="10"/>
  <c r="DD8" i="10"/>
  <c r="DD9" i="10"/>
  <c r="DD10" i="10"/>
  <c r="DD11" i="10"/>
  <c r="DD12" i="10"/>
  <c r="DD13" i="10"/>
  <c r="DD14" i="10"/>
  <c r="DD2" i="10"/>
  <c r="DC3" i="10"/>
  <c r="DC4" i="10"/>
  <c r="DC5" i="10"/>
  <c r="DC6" i="10"/>
  <c r="DC7" i="10"/>
  <c r="DC8" i="10"/>
  <c r="DC9" i="10"/>
  <c r="DC10" i="10"/>
  <c r="DC11" i="10"/>
  <c r="DC12" i="10"/>
  <c r="DC13" i="10"/>
  <c r="DC14" i="10"/>
  <c r="DC2" i="10"/>
  <c r="DB3" i="10"/>
  <c r="DB4" i="10"/>
  <c r="DB5" i="10"/>
  <c r="DB6" i="10"/>
  <c r="DB7" i="10"/>
  <c r="DB8" i="10"/>
  <c r="DB9" i="10"/>
  <c r="DB10" i="10"/>
  <c r="DB11" i="10"/>
  <c r="DB12" i="10"/>
  <c r="DB13" i="10"/>
  <c r="DB14" i="10"/>
  <c r="DB2" i="10"/>
  <c r="DA3" i="10"/>
  <c r="DA4" i="10"/>
  <c r="DA5" i="10"/>
  <c r="DA6" i="10"/>
  <c r="DA7" i="10"/>
  <c r="DA8" i="10"/>
  <c r="DA9" i="10"/>
  <c r="DA10" i="10"/>
  <c r="DA11" i="10"/>
  <c r="DA12" i="10"/>
  <c r="DA13" i="10"/>
  <c r="DA14" i="10"/>
  <c r="DA2" i="10"/>
  <c r="CZ3" i="10"/>
  <c r="CZ4" i="10"/>
  <c r="CZ5" i="10"/>
  <c r="CZ6" i="10"/>
  <c r="CZ7" i="10"/>
  <c r="CZ8" i="10"/>
  <c r="CZ9" i="10"/>
  <c r="CZ10" i="10"/>
  <c r="CZ11" i="10"/>
  <c r="CZ12" i="10"/>
  <c r="CZ13" i="10"/>
  <c r="CZ14" i="10"/>
  <c r="CZ2" i="10"/>
  <c r="CY3" i="10"/>
  <c r="CY4" i="10"/>
  <c r="CY5" i="10"/>
  <c r="CY6" i="10"/>
  <c r="CY7" i="10"/>
  <c r="CY8" i="10"/>
  <c r="CY9" i="10"/>
  <c r="CY10" i="10"/>
  <c r="CY11" i="10"/>
  <c r="CY12" i="10"/>
  <c r="CY13" i="10"/>
  <c r="CY14" i="10"/>
  <c r="CY2" i="10"/>
  <c r="CX3" i="10"/>
  <c r="CX4" i="10"/>
  <c r="CX5" i="10"/>
  <c r="CX6" i="10"/>
  <c r="CX7" i="10"/>
  <c r="CX8" i="10"/>
  <c r="CX9" i="10"/>
  <c r="CX10" i="10"/>
  <c r="CX11" i="10"/>
  <c r="CX12" i="10"/>
  <c r="CX13" i="10"/>
  <c r="CX14" i="10"/>
  <c r="CX2" i="10"/>
  <c r="CW3" i="10"/>
  <c r="CW4" i="10"/>
  <c r="CW5" i="10"/>
  <c r="CW6" i="10"/>
  <c r="CW7" i="10"/>
  <c r="CW8" i="10"/>
  <c r="CW9" i="10"/>
  <c r="CW10" i="10"/>
  <c r="CW11" i="10"/>
  <c r="CW12" i="10"/>
  <c r="CW13" i="10"/>
  <c r="CW14" i="10"/>
  <c r="CW2" i="10"/>
  <c r="CV3" i="10"/>
  <c r="CV4" i="10"/>
  <c r="CV5" i="10"/>
  <c r="CV6" i="10"/>
  <c r="CV7" i="10"/>
  <c r="CV8" i="10"/>
  <c r="CV9" i="10"/>
  <c r="CV10" i="10"/>
  <c r="CV11" i="10"/>
  <c r="CV12" i="10"/>
  <c r="CV13" i="10"/>
  <c r="CV14" i="10"/>
  <c r="CV2" i="10"/>
  <c r="CU3" i="10"/>
  <c r="CU4" i="10"/>
  <c r="CU5" i="10"/>
  <c r="CU6" i="10"/>
  <c r="CU7" i="10"/>
  <c r="CU8" i="10"/>
  <c r="CU9" i="10"/>
  <c r="CU10" i="10"/>
  <c r="CU11" i="10"/>
  <c r="CU12" i="10"/>
  <c r="CU13" i="10"/>
  <c r="CU14" i="10"/>
  <c r="CU2" i="10"/>
  <c r="CT3" i="10"/>
  <c r="CT4" i="10"/>
  <c r="CT5" i="10"/>
  <c r="CT6" i="10"/>
  <c r="CT7" i="10"/>
  <c r="CT8" i="10"/>
  <c r="CT9" i="10"/>
  <c r="CT10" i="10"/>
  <c r="CT11" i="10"/>
  <c r="CT12" i="10"/>
  <c r="CT13" i="10"/>
  <c r="CT14" i="10"/>
  <c r="CT2" i="10"/>
  <c r="CS3" i="10"/>
  <c r="CS4" i="10"/>
  <c r="CS5" i="10"/>
  <c r="CS6" i="10"/>
  <c r="CS7" i="10"/>
  <c r="CS8" i="10"/>
  <c r="CS9" i="10"/>
  <c r="CS10" i="10"/>
  <c r="CS11" i="10"/>
  <c r="CS12" i="10"/>
  <c r="CS13" i="10"/>
  <c r="CS14" i="10"/>
  <c r="CS2" i="10"/>
  <c r="CR3" i="10"/>
  <c r="CR4" i="10"/>
  <c r="CR5" i="10"/>
  <c r="CR6" i="10"/>
  <c r="CR7" i="10"/>
  <c r="CR8" i="10"/>
  <c r="CR9" i="10"/>
  <c r="CR10" i="10"/>
  <c r="CR11" i="10"/>
  <c r="CR12" i="10"/>
  <c r="CR13" i="10"/>
  <c r="CR14" i="10"/>
  <c r="CR2" i="10"/>
  <c r="CQ3" i="10"/>
  <c r="CQ4" i="10"/>
  <c r="CQ5" i="10"/>
  <c r="CQ6" i="10"/>
  <c r="CQ7" i="10"/>
  <c r="CQ8" i="10"/>
  <c r="CQ9" i="10"/>
  <c r="CQ10" i="10"/>
  <c r="CQ11" i="10"/>
  <c r="CQ12" i="10"/>
  <c r="CQ13" i="10"/>
  <c r="CQ14" i="10"/>
  <c r="CQ2" i="10"/>
  <c r="CP3" i="10"/>
  <c r="CP4" i="10"/>
  <c r="CP5" i="10"/>
  <c r="CP6" i="10"/>
  <c r="CP7" i="10"/>
  <c r="CP8" i="10"/>
  <c r="CP9" i="10"/>
  <c r="CP10" i="10"/>
  <c r="CP11" i="10"/>
  <c r="CP12" i="10"/>
  <c r="CP13" i="10"/>
  <c r="CP14" i="10"/>
  <c r="CP2" i="10"/>
  <c r="CO3" i="10"/>
  <c r="CO4" i="10"/>
  <c r="CO5" i="10"/>
  <c r="CO6" i="10"/>
  <c r="CO7" i="10"/>
  <c r="CO8" i="10"/>
  <c r="CO9" i="10"/>
  <c r="CO10" i="10"/>
  <c r="CO11" i="10"/>
  <c r="CO12" i="10"/>
  <c r="CO13" i="10"/>
  <c r="CO14" i="10"/>
  <c r="CO2" i="10"/>
  <c r="CN3" i="10"/>
  <c r="CN4" i="10"/>
  <c r="CN5" i="10"/>
  <c r="CN6" i="10"/>
  <c r="CN7" i="10"/>
  <c r="CN8" i="10"/>
  <c r="CN9" i="10"/>
  <c r="CN10" i="10"/>
  <c r="CN11" i="10"/>
  <c r="CN12" i="10"/>
  <c r="CN13" i="10"/>
  <c r="CN14" i="10"/>
  <c r="CN2" i="10"/>
  <c r="CM3" i="10"/>
  <c r="CM4" i="10"/>
  <c r="CM5" i="10"/>
  <c r="CM6" i="10"/>
  <c r="CM7" i="10"/>
  <c r="CM8" i="10"/>
  <c r="CM9" i="10"/>
  <c r="CM10" i="10"/>
  <c r="CM11" i="10"/>
  <c r="CM12" i="10"/>
  <c r="CM13" i="10"/>
  <c r="CM14" i="10"/>
  <c r="CM2" i="10"/>
  <c r="CL3" i="10"/>
  <c r="CL4" i="10"/>
  <c r="CL5" i="10"/>
  <c r="CL6" i="10"/>
  <c r="CL7" i="10"/>
  <c r="CL8" i="10"/>
  <c r="CL9" i="10"/>
  <c r="CL10" i="10"/>
  <c r="CL11" i="10"/>
  <c r="CL12" i="10"/>
  <c r="CL13" i="10"/>
  <c r="CL14" i="10"/>
  <c r="CL2" i="10"/>
  <c r="CK3" i="10"/>
  <c r="CK4" i="10"/>
  <c r="CK5" i="10"/>
  <c r="CK6" i="10"/>
  <c r="CK7" i="10"/>
  <c r="CK8" i="10"/>
  <c r="CK9" i="10"/>
  <c r="CK10" i="10"/>
  <c r="CK11" i="10"/>
  <c r="CK12" i="10"/>
  <c r="CK13" i="10"/>
  <c r="CK14" i="10"/>
  <c r="CK2" i="10"/>
  <c r="CJ3" i="10"/>
  <c r="CJ4" i="10"/>
  <c r="CJ5" i="10"/>
  <c r="CJ6" i="10"/>
  <c r="CJ7" i="10"/>
  <c r="CJ8" i="10"/>
  <c r="CJ9" i="10"/>
  <c r="CJ10" i="10"/>
  <c r="CJ11" i="10"/>
  <c r="CJ12" i="10"/>
  <c r="CJ13" i="10"/>
  <c r="CJ14" i="10"/>
  <c r="CJ2" i="10"/>
  <c r="CI3" i="10"/>
  <c r="CI4" i="10"/>
  <c r="CI5" i="10"/>
  <c r="CI6" i="10"/>
  <c r="CI7" i="10"/>
  <c r="CI8" i="10"/>
  <c r="CI9" i="10"/>
  <c r="CI10" i="10"/>
  <c r="CI11" i="10"/>
  <c r="CI12" i="10"/>
  <c r="CI13" i="10"/>
  <c r="CI14" i="10"/>
  <c r="CI2" i="10"/>
  <c r="CH2" i="10"/>
  <c r="CH3" i="10"/>
  <c r="CH4" i="10"/>
  <c r="CH5" i="10"/>
  <c r="CH6" i="10"/>
  <c r="CH7" i="10"/>
  <c r="CH8" i="10"/>
  <c r="CH9" i="10"/>
  <c r="CH10" i="10"/>
  <c r="CH11" i="10"/>
  <c r="CH12" i="10"/>
  <c r="CH13" i="10"/>
  <c r="CH14" i="10"/>
  <c r="CG3" i="10"/>
  <c r="CG4" i="10"/>
  <c r="CG5" i="10"/>
  <c r="CG6" i="10"/>
  <c r="CG7" i="10"/>
  <c r="CG8" i="10"/>
  <c r="CG9" i="10"/>
  <c r="CG10" i="10"/>
  <c r="CG11" i="10"/>
  <c r="CG12" i="10"/>
  <c r="CG13" i="10"/>
  <c r="CG14" i="10"/>
  <c r="CG2" i="10"/>
  <c r="CF3" i="10"/>
  <c r="CF4" i="10"/>
  <c r="CF5" i="10"/>
  <c r="CF6" i="10"/>
  <c r="CF7" i="10"/>
  <c r="CF8" i="10"/>
  <c r="CF9" i="10"/>
  <c r="CF10" i="10"/>
  <c r="CF11" i="10"/>
  <c r="CF12" i="10"/>
  <c r="CF13" i="10"/>
  <c r="CF14" i="10"/>
  <c r="CF2" i="10"/>
  <c r="CE3" i="10"/>
  <c r="CE4" i="10"/>
  <c r="CE5" i="10"/>
  <c r="CE6" i="10"/>
  <c r="CE7" i="10"/>
  <c r="CE8" i="10"/>
  <c r="CE9" i="10"/>
  <c r="CE10" i="10"/>
  <c r="CE11" i="10"/>
  <c r="CE12" i="10"/>
  <c r="CE13" i="10"/>
  <c r="CE14" i="10"/>
  <c r="CE2" i="10"/>
  <c r="CD3" i="10"/>
  <c r="CD4" i="10"/>
  <c r="CD5" i="10"/>
  <c r="CD6" i="10"/>
  <c r="CD7" i="10"/>
  <c r="CD8" i="10"/>
  <c r="CD9" i="10"/>
  <c r="CD10" i="10"/>
  <c r="CD11" i="10"/>
  <c r="CD12" i="10"/>
  <c r="CD13" i="10"/>
  <c r="CD14" i="10"/>
  <c r="CD2" i="10"/>
  <c r="CC3" i="10"/>
  <c r="CC4" i="10"/>
  <c r="CC5" i="10"/>
  <c r="CC6" i="10"/>
  <c r="CC7" i="10"/>
  <c r="CC8" i="10"/>
  <c r="CC9" i="10"/>
  <c r="CC10" i="10"/>
  <c r="CC11" i="10"/>
  <c r="CC12" i="10"/>
  <c r="CC13" i="10"/>
  <c r="CC14" i="10"/>
  <c r="CC2" i="10"/>
  <c r="CB3" i="10"/>
  <c r="CB4" i="10"/>
  <c r="CB5" i="10"/>
  <c r="CB6" i="10"/>
  <c r="CB7" i="10"/>
  <c r="CB8" i="10"/>
  <c r="CB9" i="10"/>
  <c r="CB10" i="10"/>
  <c r="CB11" i="10"/>
  <c r="CB12" i="10"/>
  <c r="CB13" i="10"/>
  <c r="CB14" i="10"/>
  <c r="CB2" i="10"/>
  <c r="CA3" i="10"/>
  <c r="CA4" i="10"/>
  <c r="CA5" i="10"/>
  <c r="CA6" i="10"/>
  <c r="CA7" i="10"/>
  <c r="CA8" i="10"/>
  <c r="CA9" i="10"/>
  <c r="CA10" i="10"/>
  <c r="CA11" i="10"/>
  <c r="CA12" i="10"/>
  <c r="CA13" i="10"/>
  <c r="CA14" i="10"/>
  <c r="CA2" i="10"/>
  <c r="BZ3" i="10"/>
  <c r="BZ4" i="10"/>
  <c r="BZ5" i="10"/>
  <c r="BZ6" i="10"/>
  <c r="BZ7" i="10"/>
  <c r="BZ8" i="10"/>
  <c r="BZ9" i="10"/>
  <c r="BZ10" i="10"/>
  <c r="BZ11" i="10"/>
  <c r="BZ12" i="10"/>
  <c r="BZ13" i="10"/>
  <c r="BZ14" i="10"/>
  <c r="BZ2" i="10"/>
  <c r="BY3" i="10"/>
  <c r="BY4" i="10"/>
  <c r="BY5" i="10"/>
  <c r="BY6" i="10"/>
  <c r="BY7" i="10"/>
  <c r="BY8" i="10"/>
  <c r="BY9" i="10"/>
  <c r="BY10" i="10"/>
  <c r="BY11" i="10"/>
  <c r="BY12" i="10"/>
  <c r="BY13" i="10"/>
  <c r="BY14" i="10"/>
  <c r="BY2" i="10"/>
  <c r="BX3" i="10"/>
  <c r="BX4" i="10"/>
  <c r="BX5" i="10"/>
  <c r="BX6" i="10"/>
  <c r="BX7" i="10"/>
  <c r="BX8" i="10"/>
  <c r="BX9" i="10"/>
  <c r="BX10" i="10"/>
  <c r="BX11" i="10"/>
  <c r="BX12" i="10"/>
  <c r="BX13" i="10"/>
  <c r="BX14" i="10"/>
  <c r="BX2" i="10"/>
  <c r="BW3" i="10"/>
  <c r="BW4" i="10"/>
  <c r="BW5" i="10"/>
  <c r="BW6" i="10"/>
  <c r="BW7" i="10"/>
  <c r="BW8" i="10"/>
  <c r="BW9" i="10"/>
  <c r="BW10" i="10"/>
  <c r="BW11" i="10"/>
  <c r="BW12" i="10"/>
  <c r="BW13" i="10"/>
  <c r="BW14" i="10"/>
  <c r="BW2" i="10"/>
  <c r="BV4" i="10"/>
  <c r="BV3" i="10"/>
  <c r="BV5" i="10"/>
  <c r="BV6" i="10"/>
  <c r="BV7" i="10"/>
  <c r="BV8" i="10"/>
  <c r="BV9" i="10"/>
  <c r="BV10" i="10"/>
  <c r="BV11" i="10"/>
  <c r="BV12" i="10"/>
  <c r="BV13" i="10"/>
  <c r="BV14" i="10"/>
  <c r="BV2" i="10"/>
  <c r="BU3" i="10"/>
  <c r="BU4" i="10"/>
  <c r="BU5" i="10"/>
  <c r="BU6" i="10"/>
  <c r="BU7" i="10"/>
  <c r="BU8" i="10"/>
  <c r="BU9" i="10"/>
  <c r="BU10" i="10"/>
  <c r="BU11" i="10"/>
  <c r="BU12" i="10"/>
  <c r="BU13" i="10"/>
  <c r="BU14" i="10"/>
  <c r="BU2" i="10"/>
  <c r="BT3" i="10"/>
  <c r="BT4" i="10"/>
  <c r="BT5" i="10"/>
  <c r="BT6" i="10"/>
  <c r="BT7" i="10"/>
  <c r="BT8" i="10"/>
  <c r="BT9" i="10"/>
  <c r="BT10" i="10"/>
  <c r="BT11" i="10"/>
  <c r="BT12" i="10"/>
  <c r="BT13" i="10"/>
  <c r="BT14" i="10"/>
  <c r="BT2" i="10"/>
  <c r="BS3" i="10"/>
  <c r="BS4" i="10"/>
  <c r="BS5" i="10"/>
  <c r="BS6" i="10"/>
  <c r="BS7" i="10"/>
  <c r="BS8" i="10"/>
  <c r="BS9" i="10"/>
  <c r="BS10" i="10"/>
  <c r="BS11" i="10"/>
  <c r="BS12" i="10"/>
  <c r="BS13" i="10"/>
  <c r="BS14" i="10"/>
  <c r="BS2" i="10"/>
  <c r="BR3" i="10"/>
  <c r="BR4" i="10"/>
  <c r="BR5" i="10"/>
  <c r="BR6" i="10"/>
  <c r="BR7" i="10"/>
  <c r="BR8" i="10"/>
  <c r="BR9" i="10"/>
  <c r="BR10" i="10"/>
  <c r="BR11" i="10"/>
  <c r="BR12" i="10"/>
  <c r="BR13" i="10"/>
  <c r="BR14" i="10"/>
  <c r="BR2" i="10"/>
  <c r="BQ14" i="10"/>
  <c r="BQ3" i="10"/>
  <c r="BQ4" i="10"/>
  <c r="BQ5" i="10"/>
  <c r="BQ6" i="10"/>
  <c r="BQ7" i="10"/>
  <c r="BQ8" i="10"/>
  <c r="BQ9" i="10"/>
  <c r="BQ10" i="10"/>
  <c r="BQ11" i="10"/>
  <c r="BQ12" i="10"/>
  <c r="BQ13" i="10"/>
  <c r="O5" i="9" l="1"/>
  <c r="BM5" i="19" l="1"/>
  <c r="BM6" i="19" l="1"/>
  <c r="BM4" i="19"/>
  <c r="BM3" i="19"/>
  <c r="BM2" i="19"/>
  <c r="BI21" i="19"/>
  <c r="BI22" i="19"/>
  <c r="BI23" i="19"/>
  <c r="BI24" i="19"/>
  <c r="BI25" i="19"/>
  <c r="BI26" i="19"/>
  <c r="BI27" i="19"/>
  <c r="BI28" i="19"/>
  <c r="BI29" i="19"/>
  <c r="BI30" i="19"/>
  <c r="BI31" i="19"/>
  <c r="BI32" i="19"/>
  <c r="BI33" i="19"/>
  <c r="BI34" i="19"/>
  <c r="BI35" i="19"/>
  <c r="BI36" i="19"/>
  <c r="BI37" i="19"/>
  <c r="BI20" i="19"/>
  <c r="AW20" i="19" l="1"/>
  <c r="BK2" i="19" s="1"/>
  <c r="AD27" i="11" l="1"/>
  <c r="AD26" i="11"/>
  <c r="AC25" i="11"/>
  <c r="AB25" i="11"/>
  <c r="AD25" i="11" s="1"/>
  <c r="AD24" i="11"/>
  <c r="AD23" i="11"/>
  <c r="AD22" i="11"/>
  <c r="AD21" i="11"/>
  <c r="AC20" i="11"/>
  <c r="AB20" i="11"/>
  <c r="AD20" i="11" s="1"/>
  <c r="AD19" i="11"/>
  <c r="AD18" i="11"/>
  <c r="AD17" i="11"/>
  <c r="AC16" i="11"/>
  <c r="AB16" i="11"/>
  <c r="AD16" i="11" s="1"/>
  <c r="AD15" i="11"/>
  <c r="AD14" i="11"/>
  <c r="AD13" i="11"/>
  <c r="AD12" i="11"/>
  <c r="AC11" i="11"/>
  <c r="AC4" i="11" s="1"/>
  <c r="AB11" i="11"/>
  <c r="AD11" i="11" s="1"/>
  <c r="AD10" i="11"/>
  <c r="AD9" i="11"/>
  <c r="AD8" i="11"/>
  <c r="AD7" i="11"/>
  <c r="AD6" i="11"/>
  <c r="AC5" i="11"/>
  <c r="AB5" i="11"/>
  <c r="AD5" i="11" s="1"/>
  <c r="AA27" i="11"/>
  <c r="AA26" i="11"/>
  <c r="Z25" i="11"/>
  <c r="Y25" i="11"/>
  <c r="AA25" i="11" s="1"/>
  <c r="AA24" i="11"/>
  <c r="AA23" i="11"/>
  <c r="AA22" i="11"/>
  <c r="AA21" i="11"/>
  <c r="Z20" i="11"/>
  <c r="Y20" i="11"/>
  <c r="AA20" i="11" s="1"/>
  <c r="AA19" i="11"/>
  <c r="AA18" i="11"/>
  <c r="AA17" i="11"/>
  <c r="Z16" i="11"/>
  <c r="Y16" i="11"/>
  <c r="AA16" i="11" s="1"/>
  <c r="AA15" i="11"/>
  <c r="AA14" i="11"/>
  <c r="AA13" i="11"/>
  <c r="AA12" i="11"/>
  <c r="Z11" i="11"/>
  <c r="AA11" i="11" s="1"/>
  <c r="Y11" i="11"/>
  <c r="AA10" i="11"/>
  <c r="AA9" i="11"/>
  <c r="AA8" i="11"/>
  <c r="AA7" i="11"/>
  <c r="AA6" i="11"/>
  <c r="Z5" i="11"/>
  <c r="Y5" i="11"/>
  <c r="AA5" i="11" s="1"/>
  <c r="AA4" i="11" s="1"/>
  <c r="Y4" i="11"/>
  <c r="X27" i="11"/>
  <c r="X26" i="11"/>
  <c r="W25" i="11"/>
  <c r="V25" i="11"/>
  <c r="X25" i="11" s="1"/>
  <c r="X24" i="11"/>
  <c r="X23" i="11"/>
  <c r="X22" i="11"/>
  <c r="X21" i="11"/>
  <c r="W20" i="11"/>
  <c r="V20" i="11"/>
  <c r="X20" i="11" s="1"/>
  <c r="X19" i="11"/>
  <c r="X18" i="11"/>
  <c r="X17" i="11"/>
  <c r="W16" i="11"/>
  <c r="V16" i="11"/>
  <c r="X16" i="11" s="1"/>
  <c r="X15" i="11"/>
  <c r="X14" i="11"/>
  <c r="X13" i="11"/>
  <c r="X12" i="11"/>
  <c r="W11" i="11"/>
  <c r="W4" i="11" s="1"/>
  <c r="V11" i="11"/>
  <c r="X10" i="11"/>
  <c r="X9" i="11"/>
  <c r="X8" i="11"/>
  <c r="X7" i="11"/>
  <c r="X6" i="11"/>
  <c r="W5" i="11"/>
  <c r="V5" i="11"/>
  <c r="X5" i="11" s="1"/>
  <c r="V4" i="11"/>
  <c r="U27" i="11"/>
  <c r="U26" i="11"/>
  <c r="U25" i="11"/>
  <c r="T25" i="11"/>
  <c r="S25" i="11"/>
  <c r="U24" i="11"/>
  <c r="U23" i="11"/>
  <c r="U22" i="11"/>
  <c r="U21" i="11"/>
  <c r="U20" i="11"/>
  <c r="T20" i="11"/>
  <c r="S20" i="11"/>
  <c r="U19" i="11"/>
  <c r="U18" i="11"/>
  <c r="U17" i="11"/>
  <c r="U16" i="11"/>
  <c r="T16" i="11"/>
  <c r="S16" i="11"/>
  <c r="U15" i="11"/>
  <c r="U14" i="11"/>
  <c r="U13" i="11"/>
  <c r="U12" i="11"/>
  <c r="U11" i="11"/>
  <c r="T11" i="11"/>
  <c r="S11" i="11"/>
  <c r="U10" i="11"/>
  <c r="U9" i="11"/>
  <c r="U8" i="11"/>
  <c r="U7" i="11"/>
  <c r="U6" i="11"/>
  <c r="U5" i="11"/>
  <c r="U4" i="11" s="1"/>
  <c r="T5" i="11"/>
  <c r="S5" i="11"/>
  <c r="T4" i="11"/>
  <c r="S4" i="11"/>
  <c r="AD4" i="11" l="1"/>
  <c r="AB4" i="11"/>
  <c r="Z4" i="11"/>
  <c r="X4" i="11"/>
  <c r="X11" i="11"/>
  <c r="R14" i="9" l="1"/>
  <c r="R13" i="9"/>
  <c r="R12" i="9"/>
  <c r="R11" i="9"/>
  <c r="R10" i="9"/>
  <c r="R9" i="9"/>
  <c r="R8" i="9"/>
  <c r="R7" i="9"/>
  <c r="R3" i="9"/>
  <c r="AV46" i="8"/>
  <c r="AP46" i="8"/>
  <c r="BG46" i="8" l="1"/>
  <c r="EE3" i="10" l="1"/>
  <c r="EG3" i="10" s="1"/>
  <c r="EE5" i="10"/>
  <c r="EG5" i="10" s="1"/>
  <c r="EE7" i="10"/>
  <c r="EG7" i="10" s="1"/>
  <c r="EE8" i="10"/>
  <c r="EG8" i="10" s="1"/>
  <c r="EE9" i="10"/>
  <c r="EG9" i="10" s="1"/>
  <c r="EE10" i="10"/>
  <c r="EG10" i="10" s="1"/>
  <c r="EE11" i="10"/>
  <c r="EG11" i="10" s="1"/>
  <c r="EE12" i="10"/>
  <c r="EG12" i="10" s="1"/>
  <c r="EE13" i="10"/>
  <c r="EG13" i="10" s="1"/>
  <c r="EE14" i="10"/>
  <c r="EG14" i="10" s="1"/>
  <c r="EE2" i="10"/>
  <c r="CC33" i="5"/>
  <c r="BE6" i="21"/>
  <c r="BE7" i="21"/>
  <c r="BE8" i="21"/>
  <c r="BE9" i="21"/>
  <c r="BE10" i="21"/>
  <c r="BE11" i="21"/>
  <c r="BE12" i="21"/>
  <c r="BE13" i="21"/>
  <c r="BE14" i="21"/>
  <c r="BE15" i="21"/>
  <c r="BE16" i="21"/>
  <c r="BE17" i="21"/>
  <c r="BE18" i="21"/>
  <c r="BE19" i="21"/>
  <c r="BE20" i="21"/>
  <c r="BE21" i="21"/>
  <c r="BE22" i="21"/>
  <c r="BE23" i="21"/>
  <c r="BE24" i="21"/>
  <c r="BE25" i="21"/>
  <c r="BE26" i="21"/>
  <c r="BE27" i="21"/>
  <c r="BE28" i="21"/>
  <c r="BE29" i="21"/>
  <c r="BE30" i="21"/>
  <c r="BE31" i="21"/>
  <c r="BE32" i="21"/>
  <c r="BE33" i="21"/>
  <c r="BE34" i="21"/>
  <c r="BE35" i="21"/>
  <c r="BE36" i="21"/>
  <c r="BE5" i="21"/>
  <c r="EE6" i="10" l="1"/>
  <c r="EG6" i="10" s="1"/>
  <c r="EE4" i="10"/>
  <c r="EG4" i="10" s="1"/>
  <c r="M18" i="9"/>
  <c r="M19" i="9"/>
  <c r="M17" i="9"/>
  <c r="L18" i="9"/>
  <c r="L19" i="9"/>
  <c r="L17" i="9"/>
  <c r="O19" i="9"/>
  <c r="O18" i="9"/>
  <c r="P18" i="9"/>
  <c r="P19" i="9"/>
  <c r="P17" i="9"/>
  <c r="O17" i="9"/>
  <c r="Q17" i="9" s="1"/>
  <c r="N17" i="9" l="1"/>
  <c r="AR2" i="4" l="1"/>
  <c r="CD3" i="5"/>
  <c r="CE3" i="5" l="1"/>
  <c r="AS2" i="4" s="1"/>
  <c r="AT2" i="4" s="1"/>
  <c r="CE63" i="5"/>
  <c r="AS62" i="4" s="1"/>
  <c r="CD63" i="5"/>
  <c r="AR62" i="4" s="1"/>
  <c r="AT62" i="4" s="1"/>
  <c r="CC63" i="5"/>
  <c r="CE62" i="5"/>
  <c r="AS61" i="4" s="1"/>
  <c r="CD62" i="5"/>
  <c r="AR61" i="4" s="1"/>
  <c r="AT61" i="4" s="1"/>
  <c r="CC62" i="5"/>
  <c r="CE61" i="5"/>
  <c r="AS60" i="4" s="1"/>
  <c r="CD61" i="5"/>
  <c r="AR60" i="4" s="1"/>
  <c r="AT60" i="4" s="1"/>
  <c r="CC61" i="5"/>
  <c r="CE60" i="5"/>
  <c r="AS59" i="4" s="1"/>
  <c r="CD60" i="5"/>
  <c r="AR59" i="4" s="1"/>
  <c r="AT59" i="4" s="1"/>
  <c r="CC60" i="5"/>
  <c r="CE59" i="5"/>
  <c r="AS58" i="4" s="1"/>
  <c r="CD59" i="5"/>
  <c r="AR58" i="4" s="1"/>
  <c r="AT58" i="4" s="1"/>
  <c r="CC59" i="5"/>
  <c r="CE58" i="5"/>
  <c r="AS57" i="4" s="1"/>
  <c r="CD58" i="5"/>
  <c r="AR57" i="4" s="1"/>
  <c r="AT57" i="4" s="1"/>
  <c r="CC58" i="5"/>
  <c r="CE57" i="5"/>
  <c r="AS56" i="4" s="1"/>
  <c r="CD57" i="5"/>
  <c r="AR56" i="4" s="1"/>
  <c r="AT56" i="4" s="1"/>
  <c r="CC57" i="5"/>
  <c r="CE56" i="5"/>
  <c r="AS55" i="4" s="1"/>
  <c r="CD56" i="5"/>
  <c r="AR55" i="4" s="1"/>
  <c r="AT55" i="4" s="1"/>
  <c r="CC56" i="5"/>
  <c r="CE55" i="5"/>
  <c r="AS54" i="4" s="1"/>
  <c r="CD55" i="5"/>
  <c r="AR54" i="4" s="1"/>
  <c r="CC55" i="5"/>
  <c r="CE54" i="5"/>
  <c r="AS53" i="4" s="1"/>
  <c r="CD54" i="5"/>
  <c r="AR53" i="4" s="1"/>
  <c r="AT53" i="4" s="1"/>
  <c r="CC54" i="5"/>
  <c r="CE53" i="5"/>
  <c r="AS52" i="4" s="1"/>
  <c r="CD53" i="5"/>
  <c r="AR52" i="4" s="1"/>
  <c r="AT52" i="4" s="1"/>
  <c r="CC53" i="5"/>
  <c r="CE52" i="5"/>
  <c r="AS51" i="4" s="1"/>
  <c r="CD52" i="5"/>
  <c r="AR51" i="4" s="1"/>
  <c r="AT51" i="4" s="1"/>
  <c r="CC52" i="5"/>
  <c r="CE51" i="5"/>
  <c r="AS50" i="4" s="1"/>
  <c r="CD51" i="5"/>
  <c r="AR50" i="4" s="1"/>
  <c r="AT50" i="4" s="1"/>
  <c r="CC51" i="5"/>
  <c r="CE50" i="5"/>
  <c r="AS49" i="4" s="1"/>
  <c r="CD50" i="5"/>
  <c r="AR49" i="4" s="1"/>
  <c r="AT49" i="4" s="1"/>
  <c r="CC50" i="5"/>
  <c r="CE49" i="5"/>
  <c r="AS48" i="4" s="1"/>
  <c r="CD49" i="5"/>
  <c r="AR48" i="4" s="1"/>
  <c r="AT48" i="4" s="1"/>
  <c r="CC49" i="5"/>
  <c r="CE48" i="5"/>
  <c r="AS47" i="4" s="1"/>
  <c r="CD48" i="5"/>
  <c r="AR47" i="4" s="1"/>
  <c r="AT47" i="4" s="1"/>
  <c r="CC48" i="5"/>
  <c r="CE47" i="5"/>
  <c r="AS46" i="4" s="1"/>
  <c r="CD47" i="5"/>
  <c r="AR46" i="4" s="1"/>
  <c r="AT46" i="4" s="1"/>
  <c r="CC47" i="5"/>
  <c r="CE46" i="5"/>
  <c r="AS45" i="4" s="1"/>
  <c r="CD46" i="5"/>
  <c r="AR45" i="4" s="1"/>
  <c r="AT45" i="4" s="1"/>
  <c r="CC46" i="5"/>
  <c r="CE45" i="5"/>
  <c r="AS44" i="4" s="1"/>
  <c r="CD45" i="5"/>
  <c r="AR44" i="4" s="1"/>
  <c r="CC45" i="5"/>
  <c r="CE44" i="5"/>
  <c r="AS43" i="4" s="1"/>
  <c r="CD44" i="5"/>
  <c r="AR43" i="4" s="1"/>
  <c r="AT43" i="4" s="1"/>
  <c r="CC44" i="5"/>
  <c r="CE43" i="5"/>
  <c r="AS42" i="4" s="1"/>
  <c r="CD43" i="5"/>
  <c r="AR42" i="4" s="1"/>
  <c r="AT42" i="4" s="1"/>
  <c r="CC43" i="5"/>
  <c r="CE42" i="5"/>
  <c r="AS41" i="4" s="1"/>
  <c r="CD42" i="5"/>
  <c r="AR41" i="4" s="1"/>
  <c r="AT41" i="4" s="1"/>
  <c r="CC42" i="5"/>
  <c r="CE41" i="5"/>
  <c r="AS40" i="4" s="1"/>
  <c r="CD41" i="5"/>
  <c r="AR40" i="4" s="1"/>
  <c r="AT40" i="4" s="1"/>
  <c r="CC41" i="5"/>
  <c r="CE40" i="5"/>
  <c r="CD40" i="5"/>
  <c r="CC40" i="5"/>
  <c r="CE39" i="5"/>
  <c r="AS38" i="4" s="1"/>
  <c r="CD39" i="5"/>
  <c r="AR38" i="4" s="1"/>
  <c r="AT38" i="4" s="1"/>
  <c r="CC39" i="5"/>
  <c r="CE38" i="5"/>
  <c r="AS37" i="4" s="1"/>
  <c r="CD38" i="5"/>
  <c r="AR37" i="4" s="1"/>
  <c r="AT37" i="4" s="1"/>
  <c r="CC38" i="5"/>
  <c r="CE37" i="5"/>
  <c r="AS36" i="4" s="1"/>
  <c r="CD37" i="5"/>
  <c r="AR36" i="4" s="1"/>
  <c r="AT36" i="4" s="1"/>
  <c r="CC37" i="5"/>
  <c r="CE36" i="5"/>
  <c r="AS35" i="4" s="1"/>
  <c r="CD36" i="5"/>
  <c r="AR35" i="4" s="1"/>
  <c r="AT35" i="4" s="1"/>
  <c r="CC36" i="5"/>
  <c r="CE35" i="5"/>
  <c r="AS34" i="4" s="1"/>
  <c r="CD35" i="5"/>
  <c r="AR34" i="4" s="1"/>
  <c r="AT34" i="4" s="1"/>
  <c r="CC35" i="5"/>
  <c r="CE34" i="5"/>
  <c r="AS33" i="4" s="1"/>
  <c r="CD34" i="5"/>
  <c r="AR33" i="4" s="1"/>
  <c r="AT33" i="4" s="1"/>
  <c r="CC34" i="5"/>
  <c r="CE33" i="5"/>
  <c r="AS32" i="4" s="1"/>
  <c r="CD33" i="5"/>
  <c r="AR32" i="4" s="1"/>
  <c r="AT32" i="4" s="1"/>
  <c r="CE32" i="5"/>
  <c r="AS31" i="4" s="1"/>
  <c r="CD32" i="5"/>
  <c r="AR31" i="4" s="1"/>
  <c r="AT31" i="4" s="1"/>
  <c r="CC32" i="5"/>
  <c r="CE31" i="5"/>
  <c r="AS30" i="4" s="1"/>
  <c r="CD31" i="5"/>
  <c r="AR30" i="4" s="1"/>
  <c r="CC31" i="5"/>
  <c r="CE30" i="5"/>
  <c r="AS29" i="4" s="1"/>
  <c r="AT29" i="4" s="1"/>
  <c r="CD30" i="5"/>
  <c r="AR29" i="4" s="1"/>
  <c r="CC30" i="5"/>
  <c r="CE29" i="5"/>
  <c r="AS28" i="4" s="1"/>
  <c r="CD29" i="5"/>
  <c r="AR28" i="4" s="1"/>
  <c r="AT28" i="4" s="1"/>
  <c r="CC29" i="5"/>
  <c r="CE28" i="5"/>
  <c r="AS27" i="4" s="1"/>
  <c r="CD28" i="5"/>
  <c r="AR27" i="4" s="1"/>
  <c r="AT27" i="4" s="1"/>
  <c r="CC28" i="5"/>
  <c r="CE27" i="5"/>
  <c r="AS26" i="4" s="1"/>
  <c r="CD27" i="5"/>
  <c r="AR26" i="4" s="1"/>
  <c r="CC27" i="5"/>
  <c r="CE26" i="5"/>
  <c r="AS25" i="4" s="1"/>
  <c r="CD26" i="5"/>
  <c r="AR25" i="4" s="1"/>
  <c r="CC26" i="5"/>
  <c r="CE25" i="5"/>
  <c r="AS24" i="4" s="1"/>
  <c r="CD25" i="5"/>
  <c r="AR24" i="4" s="1"/>
  <c r="CC25" i="5"/>
  <c r="CE24" i="5"/>
  <c r="AS23" i="4" s="1"/>
  <c r="CD24" i="5"/>
  <c r="AR23" i="4" s="1"/>
  <c r="AT23" i="4" s="1"/>
  <c r="CC24" i="5"/>
  <c r="CE23" i="5"/>
  <c r="AS22" i="4" s="1"/>
  <c r="CD23" i="5"/>
  <c r="AR22" i="4" s="1"/>
  <c r="CC23" i="5"/>
  <c r="CE22" i="5"/>
  <c r="AS21" i="4" s="1"/>
  <c r="CD22" i="5"/>
  <c r="AR21" i="4" s="1"/>
  <c r="CC22" i="5"/>
  <c r="CE21" i="5"/>
  <c r="AS20" i="4" s="1"/>
  <c r="CD21" i="5"/>
  <c r="AR20" i="4" s="1"/>
  <c r="AT20" i="4" s="1"/>
  <c r="CC21" i="5"/>
  <c r="CE20" i="5"/>
  <c r="AS19" i="4" s="1"/>
  <c r="CD20" i="5"/>
  <c r="AR19" i="4" s="1"/>
  <c r="AT19" i="4" s="1"/>
  <c r="CC20" i="5"/>
  <c r="CE19" i="5"/>
  <c r="AS18" i="4" s="1"/>
  <c r="CD19" i="5"/>
  <c r="AR18" i="4" s="1"/>
  <c r="CC19" i="5"/>
  <c r="CE18" i="5"/>
  <c r="AS17" i="4" s="1"/>
  <c r="CD18" i="5"/>
  <c r="AR17" i="4" s="1"/>
  <c r="CC18" i="5"/>
  <c r="CE17" i="5"/>
  <c r="AS16" i="4" s="1"/>
  <c r="CD17" i="5"/>
  <c r="AR16" i="4" s="1"/>
  <c r="AT16" i="4" s="1"/>
  <c r="CC17" i="5"/>
  <c r="CE16" i="5"/>
  <c r="AS15" i="4" s="1"/>
  <c r="CD16" i="5"/>
  <c r="AR15" i="4" s="1"/>
  <c r="AT15" i="4" s="1"/>
  <c r="CC16" i="5"/>
  <c r="CE15" i="5"/>
  <c r="AS14" i="4" s="1"/>
  <c r="CD15" i="5"/>
  <c r="AR14" i="4" s="1"/>
  <c r="CC15" i="5"/>
  <c r="CE14" i="5"/>
  <c r="AS13" i="4" s="1"/>
  <c r="CD14" i="5"/>
  <c r="AR13" i="4" s="1"/>
  <c r="CC14" i="5"/>
  <c r="CE13" i="5"/>
  <c r="AS12" i="4" s="1"/>
  <c r="CD13" i="5"/>
  <c r="AR12" i="4" s="1"/>
  <c r="AT12" i="4" s="1"/>
  <c r="CC13" i="5"/>
  <c r="CE12" i="5"/>
  <c r="AS11" i="4" s="1"/>
  <c r="CD12" i="5"/>
  <c r="AR11" i="4" s="1"/>
  <c r="AT11" i="4" s="1"/>
  <c r="CC12" i="5"/>
  <c r="CE11" i="5"/>
  <c r="AS10" i="4" s="1"/>
  <c r="CD11" i="5"/>
  <c r="AR10" i="4" s="1"/>
  <c r="CC11" i="5"/>
  <c r="CE10" i="5"/>
  <c r="AS9" i="4" s="1"/>
  <c r="CD10" i="5"/>
  <c r="AR9" i="4" s="1"/>
  <c r="CC10" i="5"/>
  <c r="CE9" i="5"/>
  <c r="AS8" i="4" s="1"/>
  <c r="CD9" i="5"/>
  <c r="AR8" i="4" s="1"/>
  <c r="AT8" i="4" s="1"/>
  <c r="CC9" i="5"/>
  <c r="CE8" i="5"/>
  <c r="CD8" i="5"/>
  <c r="CC8" i="5"/>
  <c r="CE7" i="5"/>
  <c r="CD7" i="5"/>
  <c r="CC7" i="5"/>
  <c r="CE6" i="5"/>
  <c r="AS5" i="4" s="1"/>
  <c r="CD6" i="5"/>
  <c r="AR5" i="4" s="1"/>
  <c r="CC6" i="5"/>
  <c r="CE5" i="5"/>
  <c r="AS4" i="4" s="1"/>
  <c r="CD5" i="5"/>
  <c r="AR4" i="4" s="1"/>
  <c r="CC5" i="5"/>
  <c r="CE4" i="5"/>
  <c r="AS3" i="4" s="1"/>
  <c r="CD4" i="5"/>
  <c r="AR3" i="4" s="1"/>
  <c r="AT3" i="4" s="1"/>
  <c r="CC4" i="5"/>
  <c r="CC3" i="5"/>
  <c r="AT4" i="4" l="1"/>
  <c r="AT5" i="4"/>
  <c r="AT9" i="4"/>
  <c r="AT13" i="4"/>
  <c r="AT17" i="4"/>
  <c r="AT21" i="4"/>
  <c r="AT25" i="4"/>
  <c r="O23" i="9"/>
  <c r="AR7" i="4"/>
  <c r="P21" i="9"/>
  <c r="AS6" i="4"/>
  <c r="AT44" i="4"/>
  <c r="O22" i="9"/>
  <c r="AR39" i="4"/>
  <c r="P22" i="9"/>
  <c r="AS39" i="4"/>
  <c r="P23" i="9"/>
  <c r="AS7" i="4"/>
  <c r="AT24" i="4"/>
  <c r="O21" i="9"/>
  <c r="AR6" i="4"/>
  <c r="AT10" i="4"/>
  <c r="AT14" i="4"/>
  <c r="AT18" i="4"/>
  <c r="AT22" i="4"/>
  <c r="AT26" i="4"/>
  <c r="AT30" i="4"/>
  <c r="AT54" i="4"/>
  <c r="P14" i="9"/>
  <c r="P13" i="9"/>
  <c r="P5" i="9"/>
  <c r="P6" i="9"/>
  <c r="P7" i="9"/>
  <c r="P8" i="9"/>
  <c r="P9" i="9"/>
  <c r="P10" i="9"/>
  <c r="P11" i="9"/>
  <c r="P12" i="9"/>
  <c r="P4" i="9"/>
  <c r="P3" i="9"/>
  <c r="O14" i="9"/>
  <c r="O13" i="9"/>
  <c r="O6" i="9"/>
  <c r="O7" i="9"/>
  <c r="O8" i="9"/>
  <c r="O9" i="9"/>
  <c r="O10" i="9"/>
  <c r="O11" i="9"/>
  <c r="O12" i="9"/>
  <c r="O4" i="9"/>
  <c r="O3" i="9"/>
  <c r="EB2" i="10"/>
  <c r="EB3" i="10"/>
  <c r="EB4" i="10"/>
  <c r="EB5" i="10"/>
  <c r="EB6" i="10"/>
  <c r="EB7" i="10"/>
  <c r="EB8" i="10"/>
  <c r="EB9" i="10"/>
  <c r="EB11" i="10"/>
  <c r="EB13" i="10"/>
  <c r="EB14" i="10"/>
  <c r="EC14" i="10"/>
  <c r="EC13" i="10"/>
  <c r="ED13" i="10" s="1"/>
  <c r="BL13" i="10" s="1"/>
  <c r="EC12" i="10"/>
  <c r="EC9" i="10"/>
  <c r="EC8" i="10"/>
  <c r="AW21" i="19"/>
  <c r="BK3" i="19" s="1"/>
  <c r="AW22" i="19"/>
  <c r="BK4" i="19" s="1"/>
  <c r="AW23" i="19"/>
  <c r="BK5" i="19" s="1"/>
  <c r="AW24" i="19"/>
  <c r="BK6" i="19" s="1"/>
  <c r="AW25" i="19"/>
  <c r="BK7" i="19" s="1"/>
  <c r="AW26" i="19"/>
  <c r="BK8" i="19" s="1"/>
  <c r="AW27" i="19"/>
  <c r="BK9" i="19" s="1"/>
  <c r="AW28" i="19"/>
  <c r="BK10" i="19" s="1"/>
  <c r="AW29" i="19"/>
  <c r="BK11" i="19" s="1"/>
  <c r="AW30" i="19"/>
  <c r="BK12" i="19" s="1"/>
  <c r="AW31" i="19"/>
  <c r="BK13" i="19" s="1"/>
  <c r="AW37" i="19"/>
  <c r="BK19" i="19" s="1"/>
  <c r="AW36" i="19"/>
  <c r="BK18" i="19" s="1"/>
  <c r="AW35" i="19"/>
  <c r="BK17" i="19" s="1"/>
  <c r="AW34" i="19"/>
  <c r="BK16" i="19" s="1"/>
  <c r="AW33" i="19"/>
  <c r="BK15" i="19" s="1"/>
  <c r="AW32" i="19"/>
  <c r="BK14" i="19" s="1"/>
  <c r="BL4" i="18"/>
  <c r="BN4" i="18" s="1"/>
  <c r="BL5" i="18"/>
  <c r="BN5" i="18" s="1"/>
  <c r="BL6" i="18"/>
  <c r="BN6" i="18" s="1"/>
  <c r="BL7" i="18"/>
  <c r="BN7" i="18" s="1"/>
  <c r="BL8" i="18"/>
  <c r="BN8" i="18" s="1"/>
  <c r="BL9" i="18"/>
  <c r="BN9" i="18" s="1"/>
  <c r="BL10" i="18"/>
  <c r="BN10" i="18" s="1"/>
  <c r="BL11" i="18"/>
  <c r="BN11" i="18" s="1"/>
  <c r="BL12" i="18"/>
  <c r="BN12" i="18" s="1"/>
  <c r="BL13" i="18"/>
  <c r="BN13" i="18" s="1"/>
  <c r="BL14" i="18"/>
  <c r="BN14" i="18" s="1"/>
  <c r="BL15" i="18"/>
  <c r="BN15" i="18" s="1"/>
  <c r="BL16" i="18"/>
  <c r="BN16" i="18" s="1"/>
  <c r="BL17" i="18"/>
  <c r="BN17" i="18" s="1"/>
  <c r="BL18" i="18"/>
  <c r="BN18" i="18" s="1"/>
  <c r="BL19" i="18"/>
  <c r="BN19" i="18" s="1"/>
  <c r="BL20" i="18"/>
  <c r="BN20" i="18" s="1"/>
  <c r="BL21" i="18"/>
  <c r="BN21" i="18" s="1"/>
  <c r="BL22" i="18"/>
  <c r="BN22" i="18" s="1"/>
  <c r="BL23" i="18"/>
  <c r="BN23" i="18" s="1"/>
  <c r="BL25" i="18"/>
  <c r="BN25" i="18" s="1"/>
  <c r="BL26" i="18"/>
  <c r="BN26" i="18" s="1"/>
  <c r="BL27" i="18"/>
  <c r="BN27" i="18" s="1"/>
  <c r="BL28" i="18"/>
  <c r="BN28" i="18" s="1"/>
  <c r="BL29" i="18"/>
  <c r="BN29" i="18" s="1"/>
  <c r="BL30" i="18"/>
  <c r="BN30" i="18" s="1"/>
  <c r="BL31" i="18"/>
  <c r="BN31" i="18" s="1"/>
  <c r="BL32" i="18"/>
  <c r="BN32" i="18" s="1"/>
  <c r="BL33" i="18"/>
  <c r="BN33" i="18" s="1"/>
  <c r="BL34" i="18"/>
  <c r="BN34" i="18" s="1"/>
  <c r="BL35" i="18"/>
  <c r="BN35" i="18" s="1"/>
  <c r="BL36" i="18"/>
  <c r="BN36" i="18" s="1"/>
  <c r="BL37" i="18"/>
  <c r="BN37" i="18" s="1"/>
  <c r="BL38" i="18"/>
  <c r="BN38" i="18" s="1"/>
  <c r="BL39" i="18"/>
  <c r="BN39" i="18" s="1"/>
  <c r="BL40" i="18"/>
  <c r="BN40" i="18" s="1"/>
  <c r="BL41" i="18"/>
  <c r="BN41" i="18" s="1"/>
  <c r="BL42" i="18"/>
  <c r="BN42" i="18" s="1"/>
  <c r="BL43" i="18"/>
  <c r="BN43" i="18" s="1"/>
  <c r="BL44" i="18"/>
  <c r="BN44" i="18" s="1"/>
  <c r="BL45" i="18"/>
  <c r="BN45" i="18" s="1"/>
  <c r="BL46" i="18"/>
  <c r="BN46" i="18" s="1"/>
  <c r="BL47" i="18"/>
  <c r="BN47" i="18" s="1"/>
  <c r="BL48" i="18"/>
  <c r="BN48" i="18" s="1"/>
  <c r="BL49" i="18"/>
  <c r="BN49" i="18" s="1"/>
  <c r="BL50" i="18"/>
  <c r="BN50" i="18" s="1"/>
  <c r="BL51" i="18"/>
  <c r="BN51" i="18" s="1"/>
  <c r="BL52" i="18"/>
  <c r="BN52" i="18" s="1"/>
  <c r="BL53" i="18"/>
  <c r="BN53" i="18" s="1"/>
  <c r="BL54" i="18"/>
  <c r="BN54" i="18" s="1"/>
  <c r="BL55" i="18"/>
  <c r="BN55" i="18" s="1"/>
  <c r="BL56" i="18"/>
  <c r="BN56" i="18" s="1"/>
  <c r="BL57" i="18"/>
  <c r="BN57" i="18" s="1"/>
  <c r="BL58" i="18"/>
  <c r="BN58" i="18" s="1"/>
  <c r="BL59" i="18"/>
  <c r="BN59" i="18" s="1"/>
  <c r="BL60" i="18"/>
  <c r="BN60" i="18" s="1"/>
  <c r="BL61" i="18"/>
  <c r="BN61" i="18" s="1"/>
  <c r="BL62" i="18"/>
  <c r="BN62" i="18" s="1"/>
  <c r="BL63" i="18"/>
  <c r="BN63" i="18" s="1"/>
  <c r="BL64" i="18"/>
  <c r="BN64" i="18" s="1"/>
  <c r="BL65" i="18"/>
  <c r="BN65" i="18" s="1"/>
  <c r="BL66" i="18"/>
  <c r="BN66" i="18" s="1"/>
  <c r="BL67" i="18"/>
  <c r="BN67" i="18" s="1"/>
  <c r="BL68" i="18"/>
  <c r="BN68" i="18" s="1"/>
  <c r="BL69" i="18"/>
  <c r="BN69" i="18" s="1"/>
  <c r="BL70" i="18"/>
  <c r="BN70" i="18" s="1"/>
  <c r="BL71" i="18"/>
  <c r="BN71" i="18" s="1"/>
  <c r="BL72" i="18"/>
  <c r="BN72" i="18" s="1"/>
  <c r="BL73" i="18"/>
  <c r="BN73" i="18" s="1"/>
  <c r="BL74" i="18"/>
  <c r="BN74" i="18" s="1"/>
  <c r="BL75" i="18"/>
  <c r="BN75" i="18" s="1"/>
  <c r="BL76" i="18"/>
  <c r="BN76" i="18" s="1"/>
  <c r="BL77" i="18"/>
  <c r="BN77" i="18" s="1"/>
  <c r="BL78" i="18"/>
  <c r="BN78" i="18" s="1"/>
  <c r="BL79" i="18"/>
  <c r="BN79" i="18" s="1"/>
  <c r="BL80" i="18"/>
  <c r="BN80" i="18" s="1"/>
  <c r="BL81" i="18"/>
  <c r="BN81" i="18" s="1"/>
  <c r="BL82" i="18"/>
  <c r="BN82" i="18" s="1"/>
  <c r="BL83" i="18"/>
  <c r="BN83" i="18" s="1"/>
  <c r="BL84" i="18"/>
  <c r="BN84" i="18" s="1"/>
  <c r="BL3" i="18"/>
  <c r="BN3" i="18" s="1"/>
  <c r="BN43" i="5"/>
  <c r="BO43" i="5"/>
  <c r="C14" i="9"/>
  <c r="C13" i="9"/>
  <c r="D14" i="9"/>
  <c r="D13" i="9"/>
  <c r="G14" i="9"/>
  <c r="G13" i="9"/>
  <c r="G5" i="9"/>
  <c r="G6" i="9"/>
  <c r="G7" i="9"/>
  <c r="G8" i="9"/>
  <c r="G9" i="9"/>
  <c r="G10" i="9"/>
  <c r="G11" i="9"/>
  <c r="G12" i="9"/>
  <c r="G4" i="9"/>
  <c r="F14" i="9"/>
  <c r="F13" i="9"/>
  <c r="F5" i="9"/>
  <c r="F6" i="9"/>
  <c r="F7" i="9"/>
  <c r="F8" i="9"/>
  <c r="F9" i="9"/>
  <c r="F10" i="9"/>
  <c r="F11" i="9"/>
  <c r="F12" i="9"/>
  <c r="F4" i="9"/>
  <c r="I14" i="9"/>
  <c r="I13" i="9"/>
  <c r="J14" i="9"/>
  <c r="J13" i="9"/>
  <c r="L14" i="9"/>
  <c r="L13" i="9"/>
  <c r="L5" i="9"/>
  <c r="L6" i="9"/>
  <c r="L7" i="9"/>
  <c r="L8" i="9"/>
  <c r="L9" i="9"/>
  <c r="L10" i="9"/>
  <c r="L11" i="9"/>
  <c r="L12" i="9"/>
  <c r="M14" i="9"/>
  <c r="M13" i="9"/>
  <c r="M5" i="9"/>
  <c r="M6" i="9"/>
  <c r="M7" i="9"/>
  <c r="M8" i="9"/>
  <c r="M9" i="9"/>
  <c r="M10" i="9"/>
  <c r="M11" i="9"/>
  <c r="M12" i="9"/>
  <c r="M4" i="9"/>
  <c r="L4" i="9"/>
  <c r="M3" i="9"/>
  <c r="L3" i="9"/>
  <c r="I5" i="9"/>
  <c r="I6" i="9"/>
  <c r="I7" i="9"/>
  <c r="I8" i="9"/>
  <c r="I9" i="9"/>
  <c r="I10" i="9"/>
  <c r="I11" i="9"/>
  <c r="I12" i="9"/>
  <c r="J5" i="9"/>
  <c r="J6" i="9"/>
  <c r="J7" i="9"/>
  <c r="J8" i="9"/>
  <c r="J9" i="9"/>
  <c r="J10" i="9"/>
  <c r="J11" i="9"/>
  <c r="J12" i="9"/>
  <c r="J3" i="9"/>
  <c r="J4" i="9"/>
  <c r="I4" i="9"/>
  <c r="I3" i="9"/>
  <c r="G3" i="9"/>
  <c r="F3" i="9"/>
  <c r="D5" i="9"/>
  <c r="D6" i="9"/>
  <c r="D7" i="9"/>
  <c r="D8" i="9"/>
  <c r="D9" i="9"/>
  <c r="D10" i="9"/>
  <c r="D11" i="9"/>
  <c r="D12" i="9"/>
  <c r="C5" i="9"/>
  <c r="C6" i="9"/>
  <c r="C7" i="9"/>
  <c r="C8" i="9"/>
  <c r="C9" i="9"/>
  <c r="C10" i="9"/>
  <c r="C11" i="9"/>
  <c r="C12" i="9"/>
  <c r="D4" i="9"/>
  <c r="C4" i="9"/>
  <c r="D3" i="9"/>
  <c r="C3" i="9"/>
  <c r="N21" i="9"/>
  <c r="M21" i="9" s="1"/>
  <c r="I32" i="8"/>
  <c r="J32" i="8"/>
  <c r="K32" i="8"/>
  <c r="L32" i="8"/>
  <c r="M32" i="8"/>
  <c r="Q23" i="9" l="1"/>
  <c r="Q4" i="9"/>
  <c r="ED8" i="10"/>
  <c r="BL8" i="10" s="1"/>
  <c r="ED14" i="10"/>
  <c r="BL14" i="10" s="1"/>
  <c r="EC4" i="10"/>
  <c r="ED4" i="10" s="1"/>
  <c r="BL4" i="10" s="1"/>
  <c r="EC5" i="10"/>
  <c r="ED5" i="10" s="1"/>
  <c r="BL5" i="10" s="1"/>
  <c r="EB12" i="10"/>
  <c r="ED12" i="10"/>
  <c r="BL12" i="10" s="1"/>
  <c r="ED9" i="10"/>
  <c r="BL9" i="10" s="1"/>
  <c r="EC10" i="10"/>
  <c r="EC2" i="10"/>
  <c r="ED2" i="10" s="1"/>
  <c r="BL2" i="10" s="1"/>
  <c r="EC3" i="10"/>
  <c r="ED3" i="10" s="1"/>
  <c r="BL3" i="10" s="1"/>
  <c r="EC11" i="10"/>
  <c r="ED11" i="10" s="1"/>
  <c r="BL11" i="10" s="1"/>
  <c r="EC6" i="10"/>
  <c r="ED6" i="10" s="1"/>
  <c r="BL6" i="10" s="1"/>
  <c r="EC7" i="10"/>
  <c r="ED7" i="10" s="1"/>
  <c r="BL7" i="10" s="1"/>
  <c r="EB10" i="10"/>
  <c r="Q7" i="9"/>
  <c r="Q8" i="9"/>
  <c r="AT6" i="4"/>
  <c r="AT7" i="4"/>
  <c r="Q22" i="9"/>
  <c r="Q21" i="9"/>
  <c r="AT39" i="4"/>
  <c r="K4" i="9"/>
  <c r="Q11" i="9"/>
  <c r="Q5" i="9"/>
  <c r="Q6" i="9"/>
  <c r="N5" i="9"/>
  <c r="Q10" i="9"/>
  <c r="Q12" i="9"/>
  <c r="Q9" i="9"/>
  <c r="Q3" i="9"/>
  <c r="Q13" i="9"/>
  <c r="Q14" i="9"/>
  <c r="N12" i="9"/>
  <c r="N11" i="9"/>
  <c r="N9" i="9"/>
  <c r="N8" i="9"/>
  <c r="H11" i="9"/>
  <c r="N7" i="9"/>
  <c r="H12" i="9"/>
  <c r="H10" i="9"/>
  <c r="H9" i="9"/>
  <c r="H8" i="9"/>
  <c r="K11" i="9"/>
  <c r="K10" i="9"/>
  <c r="K9" i="9"/>
  <c r="K8" i="9"/>
  <c r="K6" i="9"/>
  <c r="K7" i="9"/>
  <c r="N3" i="9"/>
  <c r="K5" i="9"/>
  <c r="K13" i="9"/>
  <c r="N6" i="9"/>
  <c r="B3" i="9"/>
  <c r="H6" i="9"/>
  <c r="H7" i="9"/>
  <c r="H5" i="9"/>
  <c r="H4" i="9"/>
  <c r="K14" i="9"/>
  <c r="N10" i="9"/>
  <c r="N4" i="9"/>
  <c r="K12" i="9"/>
  <c r="K3" i="9"/>
  <c r="H3" i="9"/>
  <c r="E3" i="9"/>
  <c r="ED10" i="10" l="1"/>
  <c r="BL10" i="10" s="1"/>
  <c r="AX16" i="10"/>
  <c r="AP36" i="21" l="1"/>
  <c r="AO36" i="21"/>
  <c r="AA36" i="21"/>
  <c r="Z36" i="21"/>
  <c r="AP35" i="21"/>
  <c r="AO35" i="21"/>
  <c r="AA35" i="21"/>
  <c r="Z35" i="21"/>
  <c r="AP34" i="21"/>
  <c r="AO34" i="21"/>
  <c r="AA34" i="21"/>
  <c r="Z34" i="21"/>
  <c r="AP33" i="21"/>
  <c r="AO33" i="21"/>
  <c r="AA33" i="21"/>
  <c r="Z33" i="21"/>
  <c r="AP32" i="21"/>
  <c r="AO32" i="21"/>
  <c r="AA32" i="21"/>
  <c r="Z32" i="21"/>
  <c r="AP31" i="21"/>
  <c r="AO31" i="21"/>
  <c r="AA31" i="21"/>
  <c r="Z31" i="21"/>
  <c r="AP30" i="21"/>
  <c r="AO30" i="21"/>
  <c r="AA30" i="21"/>
  <c r="Z30" i="21"/>
  <c r="AP29" i="21"/>
  <c r="AO29" i="21"/>
  <c r="AA29" i="21"/>
  <c r="Z29" i="21"/>
  <c r="AP28" i="21"/>
  <c r="AO28" i="21"/>
  <c r="AA28" i="21"/>
  <c r="Z28" i="21"/>
  <c r="AP27" i="21"/>
  <c r="AO27" i="21"/>
  <c r="AA27" i="21"/>
  <c r="Z27" i="21"/>
  <c r="AP26" i="21"/>
  <c r="AO26" i="21"/>
  <c r="AA26" i="21"/>
  <c r="Z26" i="21"/>
  <c r="AP25" i="21"/>
  <c r="AO25" i="21"/>
  <c r="AA25" i="21"/>
  <c r="Z25" i="21"/>
  <c r="AP24" i="21"/>
  <c r="AO24" i="21"/>
  <c r="AA24" i="21"/>
  <c r="Z24" i="21"/>
  <c r="AP23" i="21"/>
  <c r="AO23" i="21"/>
  <c r="AA23" i="21"/>
  <c r="Z23" i="21"/>
  <c r="AP22" i="21"/>
  <c r="AO22" i="21"/>
  <c r="AA22" i="21"/>
  <c r="Z22" i="21"/>
  <c r="AP21" i="21"/>
  <c r="AO21" i="21"/>
  <c r="AA21" i="21"/>
  <c r="Z21" i="21"/>
  <c r="AP20" i="21"/>
  <c r="AO20" i="21"/>
  <c r="AA20" i="21"/>
  <c r="Z20" i="21"/>
  <c r="AB20" i="21" s="1"/>
  <c r="AP19" i="21"/>
  <c r="AO19" i="21"/>
  <c r="AA19" i="21"/>
  <c r="Z19" i="21"/>
  <c r="AB19" i="21" s="1"/>
  <c r="AP18" i="21"/>
  <c r="AO18" i="21"/>
  <c r="AA18" i="21"/>
  <c r="Z18" i="21"/>
  <c r="AP17" i="21"/>
  <c r="AO17" i="21"/>
  <c r="AA17" i="21"/>
  <c r="Z17" i="21"/>
  <c r="AP16" i="21"/>
  <c r="AO16" i="21"/>
  <c r="AA16" i="21"/>
  <c r="Z16" i="21"/>
  <c r="AP15" i="21"/>
  <c r="AO15" i="21"/>
  <c r="AA15" i="21"/>
  <c r="Z15" i="21"/>
  <c r="AP14" i="21"/>
  <c r="AO14" i="21"/>
  <c r="AA14" i="21"/>
  <c r="Z14" i="21"/>
  <c r="AP13" i="21"/>
  <c r="AO13" i="21"/>
  <c r="AA13" i="21"/>
  <c r="Z13" i="21"/>
  <c r="AP12" i="21"/>
  <c r="AO12" i="21"/>
  <c r="AA12" i="21"/>
  <c r="Z12" i="21"/>
  <c r="AP11" i="21"/>
  <c r="AO11" i="21"/>
  <c r="AA11" i="21"/>
  <c r="Z11" i="21"/>
  <c r="AP10" i="21"/>
  <c r="AO10" i="21"/>
  <c r="AA10" i="21"/>
  <c r="Z10" i="21"/>
  <c r="AP9" i="21"/>
  <c r="AO9" i="21"/>
  <c r="AA9" i="21"/>
  <c r="Z9" i="21"/>
  <c r="AP8" i="21"/>
  <c r="AO8" i="21"/>
  <c r="AA8" i="21"/>
  <c r="Z8" i="21"/>
  <c r="AP7" i="21"/>
  <c r="AO7" i="21"/>
  <c r="AA7" i="21"/>
  <c r="Z7" i="21"/>
  <c r="AP6" i="21"/>
  <c r="AO6" i="21"/>
  <c r="AA6" i="21"/>
  <c r="Z6" i="21"/>
  <c r="AP5" i="21"/>
  <c r="AO5" i="21"/>
  <c r="AA5" i="21"/>
  <c r="Z5" i="21"/>
  <c r="AA4" i="21"/>
  <c r="Z4" i="21"/>
  <c r="AA3" i="21"/>
  <c r="Z3" i="21"/>
  <c r="BO7" i="5"/>
  <c r="BN7" i="5"/>
  <c r="N45" i="4"/>
  <c r="H45" i="4"/>
  <c r="C37" i="4"/>
  <c r="D37" i="4"/>
  <c r="AP42" i="4"/>
  <c r="M5" i="4" s="1"/>
  <c r="BO3" i="5"/>
  <c r="AP2" i="4"/>
  <c r="M13" i="4" s="1"/>
  <c r="H32" i="8"/>
  <c r="B7" i="8"/>
  <c r="B18" i="8"/>
  <c r="H18" i="8"/>
  <c r="P86" i="20"/>
  <c r="O86" i="20"/>
  <c r="N86" i="20"/>
  <c r="M86" i="20"/>
  <c r="K86" i="20"/>
  <c r="J86" i="20"/>
  <c r="I86" i="20"/>
  <c r="H86" i="20"/>
  <c r="G86" i="20"/>
  <c r="F86" i="20"/>
  <c r="E86" i="20"/>
  <c r="D86" i="20"/>
  <c r="C86" i="20"/>
  <c r="B86" i="20"/>
  <c r="P84" i="20"/>
  <c r="O84" i="20"/>
  <c r="N84" i="20"/>
  <c r="M84" i="20"/>
  <c r="K84" i="20"/>
  <c r="J84" i="20"/>
  <c r="I84" i="20"/>
  <c r="H84" i="20"/>
  <c r="G84" i="20"/>
  <c r="F84" i="20"/>
  <c r="E84" i="20"/>
  <c r="D84" i="20"/>
  <c r="C84" i="20"/>
  <c r="B84" i="20"/>
  <c r="P83" i="20"/>
  <c r="O83" i="20"/>
  <c r="N83" i="20"/>
  <c r="M83" i="20"/>
  <c r="K83" i="20"/>
  <c r="J83" i="20"/>
  <c r="I83" i="20"/>
  <c r="H83" i="20"/>
  <c r="G83" i="20"/>
  <c r="F83" i="20"/>
  <c r="E83" i="20"/>
  <c r="D83" i="20"/>
  <c r="C83" i="20"/>
  <c r="B83" i="20"/>
  <c r="P82" i="20"/>
  <c r="O82" i="20"/>
  <c r="N82" i="20"/>
  <c r="M82" i="20"/>
  <c r="K82" i="20"/>
  <c r="J82" i="20"/>
  <c r="I82" i="20"/>
  <c r="H82" i="20"/>
  <c r="G82" i="20"/>
  <c r="F82" i="20"/>
  <c r="E82" i="20"/>
  <c r="D82" i="20"/>
  <c r="C82" i="20"/>
  <c r="B82" i="20"/>
  <c r="P81" i="20"/>
  <c r="O81" i="20"/>
  <c r="N81" i="20"/>
  <c r="M81" i="20"/>
  <c r="K81" i="20"/>
  <c r="J81" i="20"/>
  <c r="I81" i="20"/>
  <c r="H81" i="20"/>
  <c r="G81" i="20"/>
  <c r="F81" i="20"/>
  <c r="E81" i="20"/>
  <c r="D81" i="20"/>
  <c r="C81" i="20"/>
  <c r="B81" i="20"/>
  <c r="P80" i="20"/>
  <c r="O80" i="20"/>
  <c r="N80" i="20"/>
  <c r="M80" i="20"/>
  <c r="K80" i="20"/>
  <c r="J80" i="20"/>
  <c r="I80" i="20"/>
  <c r="H80" i="20"/>
  <c r="G80" i="20"/>
  <c r="F80" i="20"/>
  <c r="E80" i="20"/>
  <c r="D80" i="20"/>
  <c r="C80" i="20"/>
  <c r="B80" i="20"/>
  <c r="P79" i="20"/>
  <c r="O79" i="20"/>
  <c r="N79" i="20"/>
  <c r="M79" i="20"/>
  <c r="K79" i="20"/>
  <c r="J79" i="20"/>
  <c r="I79" i="20"/>
  <c r="H79" i="20"/>
  <c r="G79" i="20"/>
  <c r="F79" i="20"/>
  <c r="E79" i="20"/>
  <c r="D79" i="20"/>
  <c r="C79" i="20"/>
  <c r="B79" i="20"/>
  <c r="P78" i="20"/>
  <c r="O78" i="20"/>
  <c r="N78" i="20"/>
  <c r="M78" i="20"/>
  <c r="K78" i="20"/>
  <c r="J78" i="20"/>
  <c r="I78" i="20"/>
  <c r="H78" i="20"/>
  <c r="G78" i="20"/>
  <c r="F78" i="20"/>
  <c r="E78" i="20"/>
  <c r="D78" i="20"/>
  <c r="C78" i="20"/>
  <c r="B78" i="20"/>
  <c r="P77" i="20"/>
  <c r="O77" i="20"/>
  <c r="N77" i="20"/>
  <c r="M77" i="20"/>
  <c r="K77" i="20"/>
  <c r="J77" i="20"/>
  <c r="I77" i="20"/>
  <c r="H77" i="20"/>
  <c r="G77" i="20"/>
  <c r="F77" i="20"/>
  <c r="E77" i="20"/>
  <c r="D77" i="20"/>
  <c r="C77" i="20"/>
  <c r="B77" i="20"/>
  <c r="P76" i="20"/>
  <c r="O76" i="20"/>
  <c r="N76" i="20"/>
  <c r="M76" i="20"/>
  <c r="K76" i="20"/>
  <c r="J76" i="20"/>
  <c r="I76" i="20"/>
  <c r="H76" i="20"/>
  <c r="G76" i="20"/>
  <c r="F76" i="20"/>
  <c r="E76" i="20"/>
  <c r="D76" i="20"/>
  <c r="C76" i="20"/>
  <c r="B76" i="20"/>
  <c r="P75" i="20"/>
  <c r="O75" i="20"/>
  <c r="N75" i="20"/>
  <c r="M75" i="20"/>
  <c r="K75" i="20"/>
  <c r="J75" i="20"/>
  <c r="I75" i="20"/>
  <c r="H75" i="20"/>
  <c r="G75" i="20"/>
  <c r="F75" i="20"/>
  <c r="E75" i="20"/>
  <c r="D75" i="20"/>
  <c r="C75" i="20"/>
  <c r="B75" i="20"/>
  <c r="P74" i="20"/>
  <c r="O74" i="20"/>
  <c r="N74" i="20"/>
  <c r="M74" i="20"/>
  <c r="K74" i="20"/>
  <c r="J74" i="20"/>
  <c r="I74" i="20"/>
  <c r="H74" i="20"/>
  <c r="G74" i="20"/>
  <c r="F74" i="20"/>
  <c r="E74" i="20"/>
  <c r="D74" i="20"/>
  <c r="C74" i="20"/>
  <c r="B74" i="20"/>
  <c r="P73" i="20"/>
  <c r="O73" i="20"/>
  <c r="N73" i="20"/>
  <c r="M73" i="20"/>
  <c r="K73" i="20"/>
  <c r="J73" i="20"/>
  <c r="I73" i="20"/>
  <c r="H73" i="20"/>
  <c r="G73" i="20"/>
  <c r="F73" i="20"/>
  <c r="E73" i="20"/>
  <c r="D73" i="20"/>
  <c r="C73" i="20"/>
  <c r="B73" i="20"/>
  <c r="P72" i="20"/>
  <c r="O72" i="20"/>
  <c r="N72" i="20"/>
  <c r="M72" i="20"/>
  <c r="K72" i="20"/>
  <c r="J72" i="20"/>
  <c r="I72" i="20"/>
  <c r="H72" i="20"/>
  <c r="G72" i="20"/>
  <c r="F72" i="20"/>
  <c r="E72" i="20"/>
  <c r="D72" i="20"/>
  <c r="C72" i="20"/>
  <c r="B72" i="20"/>
  <c r="P71" i="20"/>
  <c r="O71" i="20"/>
  <c r="N71" i="20"/>
  <c r="M71" i="20"/>
  <c r="K71" i="20"/>
  <c r="J71" i="20"/>
  <c r="I71" i="20"/>
  <c r="H71" i="20"/>
  <c r="G71" i="20"/>
  <c r="F71" i="20"/>
  <c r="E71" i="20"/>
  <c r="D71" i="20"/>
  <c r="C71" i="20"/>
  <c r="B71" i="20"/>
  <c r="P70" i="20"/>
  <c r="O70" i="20"/>
  <c r="N70" i="20"/>
  <c r="M70" i="20"/>
  <c r="K70" i="20"/>
  <c r="J70" i="20"/>
  <c r="I70" i="20"/>
  <c r="H70" i="20"/>
  <c r="G70" i="20"/>
  <c r="F70" i="20"/>
  <c r="E70" i="20"/>
  <c r="D70" i="20"/>
  <c r="C70" i="20"/>
  <c r="B70" i="20"/>
  <c r="P69" i="20"/>
  <c r="O69" i="20"/>
  <c r="N69" i="20"/>
  <c r="M69" i="20"/>
  <c r="K69" i="20"/>
  <c r="J69" i="20"/>
  <c r="I69" i="20"/>
  <c r="H69" i="20"/>
  <c r="G69" i="20"/>
  <c r="F69" i="20"/>
  <c r="E69" i="20"/>
  <c r="D69" i="20"/>
  <c r="C69" i="20"/>
  <c r="B69" i="20"/>
  <c r="P68" i="20"/>
  <c r="O68" i="20"/>
  <c r="N68" i="20"/>
  <c r="M68" i="20"/>
  <c r="K68" i="20"/>
  <c r="J68" i="20"/>
  <c r="I68" i="20"/>
  <c r="H68" i="20"/>
  <c r="G68" i="20"/>
  <c r="F68" i="20"/>
  <c r="E68" i="20"/>
  <c r="D68" i="20"/>
  <c r="C68" i="20"/>
  <c r="B68" i="20"/>
  <c r="P67" i="20"/>
  <c r="O67" i="20"/>
  <c r="N67" i="20"/>
  <c r="M67" i="20"/>
  <c r="K67" i="20"/>
  <c r="J67" i="20"/>
  <c r="I67" i="20"/>
  <c r="H67" i="20"/>
  <c r="G67" i="20"/>
  <c r="F67" i="20"/>
  <c r="E67" i="20"/>
  <c r="D67" i="20"/>
  <c r="C67" i="20"/>
  <c r="B67" i="20"/>
  <c r="P66" i="20"/>
  <c r="O66" i="20"/>
  <c r="N66" i="20"/>
  <c r="M66" i="20"/>
  <c r="K66" i="20"/>
  <c r="J66" i="20"/>
  <c r="I66" i="20"/>
  <c r="H66" i="20"/>
  <c r="G66" i="20"/>
  <c r="F66" i="20"/>
  <c r="E66" i="20"/>
  <c r="D66" i="20"/>
  <c r="C66" i="20"/>
  <c r="B66" i="20"/>
  <c r="P65" i="20"/>
  <c r="O65" i="20"/>
  <c r="N65" i="20"/>
  <c r="M65" i="20"/>
  <c r="K65" i="20"/>
  <c r="J65" i="20"/>
  <c r="I65" i="20"/>
  <c r="H65" i="20"/>
  <c r="G65" i="20"/>
  <c r="F65" i="20"/>
  <c r="E65" i="20"/>
  <c r="D65" i="20"/>
  <c r="C65" i="20"/>
  <c r="B65" i="20"/>
  <c r="P64" i="20"/>
  <c r="O64" i="20"/>
  <c r="N64" i="20"/>
  <c r="M64" i="20"/>
  <c r="K64" i="20"/>
  <c r="J64" i="20"/>
  <c r="I64" i="20"/>
  <c r="H64" i="20"/>
  <c r="G64" i="20"/>
  <c r="F64" i="20"/>
  <c r="E64" i="20"/>
  <c r="D64" i="20"/>
  <c r="C64" i="20"/>
  <c r="B64" i="20"/>
  <c r="P63" i="20"/>
  <c r="O63" i="20"/>
  <c r="N63" i="20"/>
  <c r="M63" i="20"/>
  <c r="K63" i="20"/>
  <c r="J63" i="20"/>
  <c r="I63" i="20"/>
  <c r="H63" i="20"/>
  <c r="G63" i="20"/>
  <c r="F63" i="20"/>
  <c r="E63" i="20"/>
  <c r="D63" i="20"/>
  <c r="C63" i="20"/>
  <c r="B63" i="20"/>
  <c r="P62" i="20"/>
  <c r="O62" i="20"/>
  <c r="N62" i="20"/>
  <c r="M62" i="20"/>
  <c r="K62" i="20"/>
  <c r="J62" i="20"/>
  <c r="I62" i="20"/>
  <c r="H62" i="20"/>
  <c r="G62" i="20"/>
  <c r="F62" i="20"/>
  <c r="E62" i="20"/>
  <c r="D62" i="20"/>
  <c r="C62" i="20"/>
  <c r="B62" i="20"/>
  <c r="P61" i="20"/>
  <c r="O61" i="20"/>
  <c r="N61" i="20"/>
  <c r="M61" i="20"/>
  <c r="K61" i="20"/>
  <c r="J61" i="20"/>
  <c r="I61" i="20"/>
  <c r="H61" i="20"/>
  <c r="G61" i="20"/>
  <c r="F61" i="20"/>
  <c r="E61" i="20"/>
  <c r="D61" i="20"/>
  <c r="C61" i="20"/>
  <c r="B61" i="20"/>
  <c r="P60" i="20"/>
  <c r="O60" i="20"/>
  <c r="N60" i="20"/>
  <c r="M60" i="20"/>
  <c r="K60" i="20"/>
  <c r="J60" i="20"/>
  <c r="I60" i="20"/>
  <c r="H60" i="20"/>
  <c r="G60" i="20"/>
  <c r="F60" i="20"/>
  <c r="E60" i="20"/>
  <c r="D60" i="20"/>
  <c r="C60" i="20"/>
  <c r="B60" i="20"/>
  <c r="P59" i="20"/>
  <c r="O59" i="20"/>
  <c r="N59" i="20"/>
  <c r="M59" i="20"/>
  <c r="K59" i="20"/>
  <c r="J59" i="20"/>
  <c r="I59" i="20"/>
  <c r="H59" i="20"/>
  <c r="G59" i="20"/>
  <c r="F59" i="20"/>
  <c r="E59" i="20"/>
  <c r="D59" i="20"/>
  <c r="C59" i="20"/>
  <c r="B59" i="20"/>
  <c r="P58" i="20"/>
  <c r="O58" i="20"/>
  <c r="N58" i="20"/>
  <c r="M58" i="20"/>
  <c r="K58" i="20"/>
  <c r="J58" i="20"/>
  <c r="I58" i="20"/>
  <c r="H58" i="20"/>
  <c r="G58" i="20"/>
  <c r="F58" i="20"/>
  <c r="E58" i="20"/>
  <c r="D58" i="20"/>
  <c r="C58" i="20"/>
  <c r="B58" i="20"/>
  <c r="P57" i="20"/>
  <c r="O57" i="20"/>
  <c r="N57" i="20"/>
  <c r="M57" i="20"/>
  <c r="K57" i="20"/>
  <c r="J57" i="20"/>
  <c r="I57" i="20"/>
  <c r="H57" i="20"/>
  <c r="G57" i="20"/>
  <c r="F57" i="20"/>
  <c r="E57" i="20"/>
  <c r="D57" i="20"/>
  <c r="C57" i="20"/>
  <c r="B57" i="20"/>
  <c r="P56" i="20"/>
  <c r="O56" i="20"/>
  <c r="N56" i="20"/>
  <c r="M56" i="20"/>
  <c r="K56" i="20"/>
  <c r="J56" i="20"/>
  <c r="I56" i="20"/>
  <c r="H56" i="20"/>
  <c r="G56" i="20"/>
  <c r="F56" i="20"/>
  <c r="E56" i="20"/>
  <c r="D56" i="20"/>
  <c r="C56" i="20"/>
  <c r="B56" i="20"/>
  <c r="P55" i="20"/>
  <c r="O55" i="20"/>
  <c r="N55" i="20"/>
  <c r="M55" i="20"/>
  <c r="K55" i="20"/>
  <c r="J55" i="20"/>
  <c r="I55" i="20"/>
  <c r="H55" i="20"/>
  <c r="G55" i="20"/>
  <c r="F55" i="20"/>
  <c r="E55" i="20"/>
  <c r="D55" i="20"/>
  <c r="C55" i="20"/>
  <c r="B55" i="20"/>
  <c r="P54" i="20"/>
  <c r="O54" i="20"/>
  <c r="N54" i="20"/>
  <c r="M54" i="20"/>
  <c r="K54" i="20"/>
  <c r="J54" i="20"/>
  <c r="I54" i="20"/>
  <c r="H54" i="20"/>
  <c r="G54" i="20"/>
  <c r="F54" i="20"/>
  <c r="E54" i="20"/>
  <c r="D54" i="20"/>
  <c r="C54" i="20"/>
  <c r="B54" i="20"/>
  <c r="P53" i="20"/>
  <c r="O53" i="20"/>
  <c r="N53" i="20"/>
  <c r="M53" i="20"/>
  <c r="K53" i="20"/>
  <c r="J53" i="20"/>
  <c r="I53" i="20"/>
  <c r="H53" i="20"/>
  <c r="G53" i="20"/>
  <c r="F53" i="20"/>
  <c r="E53" i="20"/>
  <c r="D53" i="20"/>
  <c r="C53" i="20"/>
  <c r="B53" i="20"/>
  <c r="P52" i="20"/>
  <c r="O52" i="20"/>
  <c r="N52" i="20"/>
  <c r="M52" i="20"/>
  <c r="K52" i="20"/>
  <c r="J52" i="20"/>
  <c r="I52" i="20"/>
  <c r="H52" i="20"/>
  <c r="G52" i="20"/>
  <c r="F52" i="20"/>
  <c r="E52" i="20"/>
  <c r="D52" i="20"/>
  <c r="C52" i="20"/>
  <c r="B52" i="20"/>
  <c r="P51" i="20"/>
  <c r="O51" i="20"/>
  <c r="N51" i="20"/>
  <c r="M51" i="20"/>
  <c r="K51" i="20"/>
  <c r="J51" i="20"/>
  <c r="I51" i="20"/>
  <c r="H51" i="20"/>
  <c r="G51" i="20"/>
  <c r="F51" i="20"/>
  <c r="E51" i="20"/>
  <c r="D51" i="20"/>
  <c r="C51" i="20"/>
  <c r="B51" i="20"/>
  <c r="P50" i="20"/>
  <c r="O50" i="20"/>
  <c r="N50" i="20"/>
  <c r="M50" i="20"/>
  <c r="K50" i="20"/>
  <c r="J50" i="20"/>
  <c r="I50" i="20"/>
  <c r="H50" i="20"/>
  <c r="G50" i="20"/>
  <c r="F50" i="20"/>
  <c r="E50" i="20"/>
  <c r="D50" i="20"/>
  <c r="C50" i="20"/>
  <c r="B50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Y43" i="19"/>
  <c r="X43" i="19"/>
  <c r="W43" i="19"/>
  <c r="V43" i="19"/>
  <c r="U43" i="19"/>
  <c r="T43" i="19"/>
  <c r="S43" i="19"/>
  <c r="R43" i="19"/>
  <c r="Q43" i="19"/>
  <c r="P43" i="19"/>
  <c r="O43" i="19"/>
  <c r="N43" i="19"/>
  <c r="L43" i="19"/>
  <c r="K43" i="19"/>
  <c r="J43" i="19"/>
  <c r="I43" i="19"/>
  <c r="H43" i="19"/>
  <c r="G43" i="19"/>
  <c r="F43" i="19"/>
  <c r="E43" i="19"/>
  <c r="D43" i="19"/>
  <c r="C43" i="19"/>
  <c r="B43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L41" i="19"/>
  <c r="K41" i="19"/>
  <c r="J41" i="19"/>
  <c r="I41" i="19"/>
  <c r="H41" i="19"/>
  <c r="G41" i="19"/>
  <c r="F41" i="19"/>
  <c r="E41" i="19"/>
  <c r="D41" i="19"/>
  <c r="C41" i="19"/>
  <c r="B41" i="19"/>
  <c r="AK37" i="19"/>
  <c r="Y37" i="19"/>
  <c r="AK36" i="19"/>
  <c r="Y36" i="19"/>
  <c r="AK35" i="19"/>
  <c r="Y35" i="19"/>
  <c r="AK34" i="19"/>
  <c r="Y34" i="19"/>
  <c r="AK33" i="19"/>
  <c r="Y33" i="19"/>
  <c r="AK32" i="19"/>
  <c r="Y32" i="19"/>
  <c r="AK31" i="19"/>
  <c r="Y31" i="19"/>
  <c r="AK30" i="19"/>
  <c r="Y30" i="19"/>
  <c r="AK29" i="19"/>
  <c r="Y29" i="19"/>
  <c r="AK28" i="19"/>
  <c r="Y28" i="19"/>
  <c r="AK27" i="19"/>
  <c r="Y27" i="19"/>
  <c r="AK26" i="19"/>
  <c r="Y26" i="19"/>
  <c r="AK25" i="19"/>
  <c r="Y25" i="19"/>
  <c r="AK24" i="19"/>
  <c r="Y24" i="19"/>
  <c r="AK23" i="19"/>
  <c r="Y23" i="19"/>
  <c r="AK22" i="19"/>
  <c r="Y22" i="19"/>
  <c r="AK21" i="19"/>
  <c r="Y21" i="19"/>
  <c r="AK20" i="19"/>
  <c r="Y20" i="19"/>
  <c r="DZ3" i="10"/>
  <c r="DZ4" i="10"/>
  <c r="DZ6" i="10"/>
  <c r="DZ7" i="10"/>
  <c r="DZ9" i="10"/>
  <c r="DZ11" i="10"/>
  <c r="DZ13" i="10"/>
  <c r="DZ14" i="10"/>
  <c r="DZ2" i="10"/>
  <c r="DY3" i="10"/>
  <c r="DY4" i="10"/>
  <c r="DY5" i="10"/>
  <c r="DY9" i="10"/>
  <c r="DY12" i="10"/>
  <c r="DY13" i="10"/>
  <c r="EA13" i="10" s="1"/>
  <c r="DY14" i="10"/>
  <c r="EA14" i="10" s="1"/>
  <c r="DY2" i="10"/>
  <c r="BA16" i="10"/>
  <c r="AC6" i="17"/>
  <c r="EA3" i="10" l="1"/>
  <c r="EA4" i="10"/>
  <c r="EA2" i="10"/>
  <c r="DZ5" i="10"/>
  <c r="DY11" i="10"/>
  <c r="EA11" i="10" s="1"/>
  <c r="EA5" i="10"/>
  <c r="DY7" i="10"/>
  <c r="EA7" i="10" s="1"/>
  <c r="DY10" i="10"/>
  <c r="DZ12" i="10"/>
  <c r="EA12" i="10" s="1"/>
  <c r="EA9" i="10"/>
  <c r="DY8" i="10"/>
  <c r="DZ10" i="10"/>
  <c r="DY6" i="10"/>
  <c r="EA6" i="10" s="1"/>
  <c r="DZ8" i="10"/>
  <c r="AB23" i="21"/>
  <c r="AB31" i="21"/>
  <c r="AB25" i="21"/>
  <c r="AB9" i="21"/>
  <c r="AB15" i="21"/>
  <c r="AB29" i="21"/>
  <c r="AB6" i="21"/>
  <c r="AB4" i="21"/>
  <c r="AB26" i="21"/>
  <c r="AB21" i="21"/>
  <c r="AB22" i="21"/>
  <c r="AB24" i="21"/>
  <c r="AB11" i="21"/>
  <c r="AB8" i="21"/>
  <c r="AB16" i="21"/>
  <c r="AB35" i="21"/>
  <c r="AB10" i="21"/>
  <c r="AB13" i="21"/>
  <c r="AB7" i="21"/>
  <c r="AB32" i="21"/>
  <c r="AB17" i="21"/>
  <c r="AB28" i="21"/>
  <c r="AB36" i="21"/>
  <c r="AB33" i="21"/>
  <c r="AB30" i="21"/>
  <c r="AB5" i="21"/>
  <c r="AB18" i="21"/>
  <c r="AB27" i="21"/>
  <c r="AB12" i="21"/>
  <c r="AB34" i="21"/>
  <c r="AB3" i="21"/>
  <c r="AB14" i="21"/>
  <c r="BM13" i="19"/>
  <c r="BM14" i="19"/>
  <c r="BM20" i="19"/>
  <c r="BM10" i="19"/>
  <c r="BM15" i="19"/>
  <c r="BM11" i="19"/>
  <c r="BM17" i="19"/>
  <c r="BM12" i="19"/>
  <c r="BM18" i="19"/>
  <c r="BM16" i="19"/>
  <c r="BM19" i="19"/>
  <c r="BM8" i="19"/>
  <c r="O32" i="8"/>
  <c r="F32" i="8"/>
  <c r="G32" i="8"/>
  <c r="EA10" i="10" l="1"/>
  <c r="EA8" i="10"/>
  <c r="B32" i="8"/>
  <c r="P26" i="8"/>
  <c r="P27" i="8"/>
  <c r="P28" i="8"/>
  <c r="AA46" i="8" l="1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Q47" i="8" s="1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AQ48" i="8" s="1"/>
  <c r="Z47" i="8"/>
  <c r="Z48" i="8"/>
  <c r="Z46" i="8"/>
  <c r="O47" i="8"/>
  <c r="P47" i="8"/>
  <c r="Q47" i="8"/>
  <c r="R47" i="8"/>
  <c r="S47" i="8"/>
  <c r="T47" i="8"/>
  <c r="U47" i="8"/>
  <c r="V47" i="8"/>
  <c r="W47" i="8"/>
  <c r="X47" i="8"/>
  <c r="Y47" i="8"/>
  <c r="O48" i="8"/>
  <c r="P48" i="8"/>
  <c r="Q48" i="8"/>
  <c r="R48" i="8"/>
  <c r="S48" i="8"/>
  <c r="T48" i="8"/>
  <c r="U48" i="8"/>
  <c r="V48" i="8"/>
  <c r="W48" i="8"/>
  <c r="X48" i="8"/>
  <c r="Y48" i="8"/>
  <c r="P46" i="8"/>
  <c r="Q46" i="8"/>
  <c r="R46" i="8"/>
  <c r="S46" i="8"/>
  <c r="T46" i="8"/>
  <c r="U46" i="8"/>
  <c r="V46" i="8"/>
  <c r="W46" i="8"/>
  <c r="X46" i="8"/>
  <c r="Y46" i="8"/>
  <c r="O46" i="8"/>
  <c r="N47" i="8"/>
  <c r="N48" i="8"/>
  <c r="N46" i="8"/>
  <c r="N33" i="8"/>
  <c r="L38" i="4" s="1"/>
  <c r="I39" i="4"/>
  <c r="I40" i="4"/>
  <c r="I38" i="4"/>
  <c r="N25" i="8"/>
  <c r="O27" i="8"/>
  <c r="J39" i="4" s="1"/>
  <c r="O28" i="8"/>
  <c r="J40" i="4" s="1"/>
  <c r="O26" i="8"/>
  <c r="J38" i="4" s="1"/>
  <c r="N27" i="8"/>
  <c r="N28" i="8"/>
  <c r="N26" i="8"/>
  <c r="AR46" i="8" l="1"/>
  <c r="AT46" i="8" s="1"/>
  <c r="AX46" i="8" s="1"/>
  <c r="AZ46" i="8" s="1"/>
  <c r="BB46" i="8" s="1"/>
  <c r="O25" i="8"/>
  <c r="AT48" i="8"/>
  <c r="AS47" i="8"/>
  <c r="AU47" i="8" s="1"/>
  <c r="AW47" i="8" s="1"/>
  <c r="AY47" i="8" s="1"/>
  <c r="BA47" i="8" s="1"/>
  <c r="BC47" i="8" s="1"/>
  <c r="BE47" i="8" s="1"/>
  <c r="BG47" i="8" s="1"/>
  <c r="BI47" i="8" s="1"/>
  <c r="AS48" i="8"/>
  <c r="AR47" i="8"/>
  <c r="AP48" i="8"/>
  <c r="AR48" i="8"/>
  <c r="AP47" i="8"/>
  <c r="AQ46" i="8"/>
  <c r="AS46" i="8" s="1"/>
  <c r="AU46" i="8" s="1"/>
  <c r="AW46" i="8" s="1"/>
  <c r="AY46" i="8" s="1"/>
  <c r="BA46" i="8" s="1"/>
  <c r="BC46" i="8" s="1"/>
  <c r="BE46" i="8" s="1"/>
  <c r="BI46" i="8" s="1"/>
  <c r="AT47" i="8"/>
  <c r="AV47" i="8" s="1"/>
  <c r="AX47" i="8" s="1"/>
  <c r="AZ47" i="8" s="1"/>
  <c r="BB47" i="8" s="1"/>
  <c r="AB74" i="17"/>
  <c r="AB75" i="17"/>
  <c r="AB76" i="17"/>
  <c r="AB72" i="17"/>
  <c r="AD8" i="17"/>
  <c r="AD9" i="17"/>
  <c r="AD10" i="17"/>
  <c r="AD11" i="17"/>
  <c r="AD12" i="17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29" i="17"/>
  <c r="AD30" i="17"/>
  <c r="AD31" i="17"/>
  <c r="AD32" i="17"/>
  <c r="AD33" i="17"/>
  <c r="AD34" i="17"/>
  <c r="AD35" i="17"/>
  <c r="AD36" i="17"/>
  <c r="AD37" i="17"/>
  <c r="AD38" i="17"/>
  <c r="AD39" i="17"/>
  <c r="AD40" i="17"/>
  <c r="AD41" i="17"/>
  <c r="AD42" i="17"/>
  <c r="AD43" i="17"/>
  <c r="AD44" i="17"/>
  <c r="AD45" i="17"/>
  <c r="AD46" i="17"/>
  <c r="AD47" i="17"/>
  <c r="AD48" i="17"/>
  <c r="AD49" i="17"/>
  <c r="AD50" i="17"/>
  <c r="AD51" i="17"/>
  <c r="AD52" i="17"/>
  <c r="AD53" i="17"/>
  <c r="AD54" i="17"/>
  <c r="AD55" i="17"/>
  <c r="AD56" i="17"/>
  <c r="AD57" i="17"/>
  <c r="AD58" i="17"/>
  <c r="AD59" i="17"/>
  <c r="AD60" i="17"/>
  <c r="AD61" i="17"/>
  <c r="AD62" i="17"/>
  <c r="AD63" i="17"/>
  <c r="AD64" i="17"/>
  <c r="AD65" i="17"/>
  <c r="AD66" i="17"/>
  <c r="AD67" i="17"/>
  <c r="AD68" i="17"/>
  <c r="AD69" i="17"/>
  <c r="AD70" i="17"/>
  <c r="AD71" i="17"/>
  <c r="AD72" i="17"/>
  <c r="AD73" i="17"/>
  <c r="AD74" i="17"/>
  <c r="AD75" i="17"/>
  <c r="AD76" i="17"/>
  <c r="AD77" i="17"/>
  <c r="AD78" i="17"/>
  <c r="AD79" i="17"/>
  <c r="AD80" i="17"/>
  <c r="AD81" i="17"/>
  <c r="AD82" i="17"/>
  <c r="AD83" i="17"/>
  <c r="AD84" i="17"/>
  <c r="AD85" i="17"/>
  <c r="AD86" i="17"/>
  <c r="AD87" i="17"/>
  <c r="AD88" i="17"/>
  <c r="AD89" i="17"/>
  <c r="AD90" i="17"/>
  <c r="AD91" i="17"/>
  <c r="AD92" i="17"/>
  <c r="AD93" i="17"/>
  <c r="AD94" i="17"/>
  <c r="AD95" i="17"/>
  <c r="AD96" i="17"/>
  <c r="AD97" i="17"/>
  <c r="AD98" i="17"/>
  <c r="AD99" i="17"/>
  <c r="AD100" i="17"/>
  <c r="AD101" i="17"/>
  <c r="AD102" i="17"/>
  <c r="AD103" i="17"/>
  <c r="AD104" i="17"/>
  <c r="AD105" i="17"/>
  <c r="AD106" i="17"/>
  <c r="AD107" i="17"/>
  <c r="AD108" i="17"/>
  <c r="AD109" i="17"/>
  <c r="AD110" i="17"/>
  <c r="AD111" i="17"/>
  <c r="AD112" i="17"/>
  <c r="AD113" i="17"/>
  <c r="AD114" i="17"/>
  <c r="AD115" i="17"/>
  <c r="AD116" i="17"/>
  <c r="AD117" i="17"/>
  <c r="AD118" i="17"/>
  <c r="AD119" i="17"/>
  <c r="AD120" i="17"/>
  <c r="AC8" i="17"/>
  <c r="AC9" i="17"/>
  <c r="AC10" i="17"/>
  <c r="AC11" i="17"/>
  <c r="AC12" i="17"/>
  <c r="AC13" i="17"/>
  <c r="AC14" i="17"/>
  <c r="AC15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AC36" i="17"/>
  <c r="AC37" i="17"/>
  <c r="AC38" i="17"/>
  <c r="AC39" i="17"/>
  <c r="AC40" i="17"/>
  <c r="AC41" i="17"/>
  <c r="AC42" i="17"/>
  <c r="AC43" i="17"/>
  <c r="AC44" i="17"/>
  <c r="AC45" i="17"/>
  <c r="AC46" i="17"/>
  <c r="AC47" i="17"/>
  <c r="AC48" i="17"/>
  <c r="AC49" i="17"/>
  <c r="AC50" i="17"/>
  <c r="AC51" i="17"/>
  <c r="AC52" i="17"/>
  <c r="AC53" i="17"/>
  <c r="AC54" i="17"/>
  <c r="AC55" i="17"/>
  <c r="AC56" i="17"/>
  <c r="AC57" i="17"/>
  <c r="AC58" i="17"/>
  <c r="AC59" i="17"/>
  <c r="AC60" i="17"/>
  <c r="AC61" i="17"/>
  <c r="AC62" i="17"/>
  <c r="AC63" i="17"/>
  <c r="AC64" i="17"/>
  <c r="AC65" i="17"/>
  <c r="AC66" i="17"/>
  <c r="AC67" i="17"/>
  <c r="AC68" i="17"/>
  <c r="AC69" i="17"/>
  <c r="AC70" i="17"/>
  <c r="AC71" i="17"/>
  <c r="AC72" i="17"/>
  <c r="AC73" i="17"/>
  <c r="AC74" i="17"/>
  <c r="AC75" i="17"/>
  <c r="AC76" i="17"/>
  <c r="AC77" i="17"/>
  <c r="AC78" i="17"/>
  <c r="AC79" i="17"/>
  <c r="AC80" i="17"/>
  <c r="AC81" i="17"/>
  <c r="AC82" i="17"/>
  <c r="AC83" i="17"/>
  <c r="AC84" i="17"/>
  <c r="AC85" i="17"/>
  <c r="AC86" i="17"/>
  <c r="AC87" i="17"/>
  <c r="AC88" i="17"/>
  <c r="AC89" i="17"/>
  <c r="AC90" i="17"/>
  <c r="AC91" i="17"/>
  <c r="AC92" i="17"/>
  <c r="AC93" i="17"/>
  <c r="AC94" i="17"/>
  <c r="AC95" i="17"/>
  <c r="AC96" i="17"/>
  <c r="AC97" i="17"/>
  <c r="AC98" i="17"/>
  <c r="AC99" i="17"/>
  <c r="AC100" i="17"/>
  <c r="AC101" i="17"/>
  <c r="AC102" i="17"/>
  <c r="AC103" i="17"/>
  <c r="AC104" i="17"/>
  <c r="AC105" i="17"/>
  <c r="AC106" i="17"/>
  <c r="AC107" i="17"/>
  <c r="AC108" i="17"/>
  <c r="AC109" i="17"/>
  <c r="AC110" i="17"/>
  <c r="AC111" i="17"/>
  <c r="AC112" i="17"/>
  <c r="AC113" i="17"/>
  <c r="AC114" i="17"/>
  <c r="AC115" i="17"/>
  <c r="AC116" i="17"/>
  <c r="AC117" i="17"/>
  <c r="AC118" i="17"/>
  <c r="AC119" i="17"/>
  <c r="AC120" i="17"/>
  <c r="AB8" i="17"/>
  <c r="AB9" i="17"/>
  <c r="AB10" i="17"/>
  <c r="AB11" i="17"/>
  <c r="AB12" i="17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7" i="17"/>
  <c r="AB38" i="17"/>
  <c r="AB39" i="17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5" i="17"/>
  <c r="AB66" i="17"/>
  <c r="AB67" i="17"/>
  <c r="AB68" i="17"/>
  <c r="AB69" i="17"/>
  <c r="AB70" i="17"/>
  <c r="AB71" i="17"/>
  <c r="AB73" i="17"/>
  <c r="AB77" i="17"/>
  <c r="AB78" i="17"/>
  <c r="AB79" i="17"/>
  <c r="AB80" i="17"/>
  <c r="AB81" i="17"/>
  <c r="AB82" i="17"/>
  <c r="AB83" i="17"/>
  <c r="AB84" i="17"/>
  <c r="AB85" i="17"/>
  <c r="AB86" i="17"/>
  <c r="AB87" i="17"/>
  <c r="AB88" i="17"/>
  <c r="AB89" i="17"/>
  <c r="AB90" i="17"/>
  <c r="AB91" i="17"/>
  <c r="AB92" i="17"/>
  <c r="AB93" i="17"/>
  <c r="AB94" i="17"/>
  <c r="AB95" i="17"/>
  <c r="AB96" i="17"/>
  <c r="AB97" i="17"/>
  <c r="AB98" i="17"/>
  <c r="AB99" i="17"/>
  <c r="AB100" i="17"/>
  <c r="AB101" i="17"/>
  <c r="AB102" i="17"/>
  <c r="AB103" i="17"/>
  <c r="AB104" i="17"/>
  <c r="AB105" i="17"/>
  <c r="AB106" i="17"/>
  <c r="AB107" i="17"/>
  <c r="AB108" i="17"/>
  <c r="AB109" i="17"/>
  <c r="AB110" i="17"/>
  <c r="AB111" i="17"/>
  <c r="AB112" i="17"/>
  <c r="AB113" i="17"/>
  <c r="AB114" i="17"/>
  <c r="AB115" i="17"/>
  <c r="AB116" i="17"/>
  <c r="AB117" i="17"/>
  <c r="AB118" i="17"/>
  <c r="AB119" i="17"/>
  <c r="AB120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6" i="17"/>
  <c r="AA57" i="17"/>
  <c r="AA58" i="17"/>
  <c r="AA59" i="17"/>
  <c r="AA60" i="17"/>
  <c r="AA61" i="17"/>
  <c r="AA62" i="17"/>
  <c r="AA63" i="17"/>
  <c r="AA64" i="17"/>
  <c r="AA65" i="17"/>
  <c r="AA66" i="17"/>
  <c r="AA67" i="17"/>
  <c r="AA68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81" i="17"/>
  <c r="AA82" i="17"/>
  <c r="AA83" i="17"/>
  <c r="AA84" i="17"/>
  <c r="AA85" i="17"/>
  <c r="AA86" i="17"/>
  <c r="AA87" i="17"/>
  <c r="AA88" i="17"/>
  <c r="AA89" i="17"/>
  <c r="AA90" i="17"/>
  <c r="AA91" i="17"/>
  <c r="AA92" i="17"/>
  <c r="AA93" i="17"/>
  <c r="AA94" i="17"/>
  <c r="AA95" i="17"/>
  <c r="AA96" i="17"/>
  <c r="AA97" i="17"/>
  <c r="AA98" i="17"/>
  <c r="AA99" i="17"/>
  <c r="AA100" i="17"/>
  <c r="AA101" i="17"/>
  <c r="AA102" i="17"/>
  <c r="AA103" i="17"/>
  <c r="AA104" i="17"/>
  <c r="AA105" i="17"/>
  <c r="AA106" i="17"/>
  <c r="AA107" i="17"/>
  <c r="AA108" i="17"/>
  <c r="AA109" i="17"/>
  <c r="AA110" i="17"/>
  <c r="AA111" i="17"/>
  <c r="AA112" i="17"/>
  <c r="AA113" i="17"/>
  <c r="AA114" i="17"/>
  <c r="AA115" i="17"/>
  <c r="AA116" i="17"/>
  <c r="AA117" i="17"/>
  <c r="AA118" i="17"/>
  <c r="AA119" i="17"/>
  <c r="AA120" i="17"/>
  <c r="Z8" i="17"/>
  <c r="Z9" i="17"/>
  <c r="Z10" i="17"/>
  <c r="Z11" i="17"/>
  <c r="Z12" i="17"/>
  <c r="Z13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39" i="17"/>
  <c r="Z40" i="17"/>
  <c r="Z41" i="17"/>
  <c r="Z42" i="17"/>
  <c r="Z43" i="17"/>
  <c r="Z44" i="17"/>
  <c r="Z45" i="17"/>
  <c r="Z46" i="17"/>
  <c r="Z47" i="17"/>
  <c r="Z48" i="17"/>
  <c r="Z49" i="17"/>
  <c r="Z50" i="17"/>
  <c r="Z51" i="17"/>
  <c r="Z52" i="17"/>
  <c r="Z53" i="17"/>
  <c r="Z54" i="17"/>
  <c r="Z55" i="17"/>
  <c r="Z56" i="17"/>
  <c r="Z57" i="17"/>
  <c r="Z58" i="17"/>
  <c r="Z59" i="17"/>
  <c r="Z60" i="17"/>
  <c r="Z61" i="17"/>
  <c r="Z62" i="17"/>
  <c r="Z63" i="17"/>
  <c r="Z64" i="17"/>
  <c r="Z65" i="17"/>
  <c r="Z66" i="17"/>
  <c r="Z67" i="17"/>
  <c r="Z68" i="17"/>
  <c r="Z69" i="17"/>
  <c r="Z70" i="17"/>
  <c r="Z71" i="17"/>
  <c r="Z72" i="17"/>
  <c r="Z73" i="17"/>
  <c r="Z74" i="17"/>
  <c r="Z75" i="17"/>
  <c r="Z76" i="17"/>
  <c r="Z77" i="17"/>
  <c r="Z78" i="17"/>
  <c r="Z79" i="17"/>
  <c r="Z80" i="17"/>
  <c r="Z81" i="17"/>
  <c r="Z82" i="17"/>
  <c r="Z83" i="17"/>
  <c r="Z84" i="17"/>
  <c r="Z85" i="17"/>
  <c r="Z86" i="17"/>
  <c r="Z87" i="17"/>
  <c r="Z88" i="17"/>
  <c r="Z89" i="17"/>
  <c r="Z90" i="17"/>
  <c r="Z91" i="17"/>
  <c r="Z92" i="17"/>
  <c r="Z93" i="17"/>
  <c r="Z94" i="17"/>
  <c r="Z95" i="17"/>
  <c r="Z96" i="17"/>
  <c r="Z97" i="17"/>
  <c r="Z98" i="17"/>
  <c r="Z99" i="17"/>
  <c r="Z100" i="17"/>
  <c r="Z101" i="17"/>
  <c r="Z102" i="17"/>
  <c r="Z103" i="17"/>
  <c r="Z104" i="17"/>
  <c r="Z105" i="17"/>
  <c r="Z106" i="17"/>
  <c r="Z107" i="17"/>
  <c r="Z108" i="17"/>
  <c r="Z109" i="17"/>
  <c r="Z110" i="17"/>
  <c r="Z111" i="17"/>
  <c r="Z112" i="17"/>
  <c r="Z113" i="17"/>
  <c r="Z114" i="17"/>
  <c r="Z115" i="17"/>
  <c r="Z116" i="17"/>
  <c r="Z117" i="17"/>
  <c r="Z118" i="17"/>
  <c r="Z119" i="17"/>
  <c r="Z120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114" i="17"/>
  <c r="X115" i="17"/>
  <c r="X116" i="17"/>
  <c r="X117" i="17"/>
  <c r="X118" i="17"/>
  <c r="X119" i="17"/>
  <c r="X120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AD5" i="17"/>
  <c r="AD6" i="17"/>
  <c r="AD7" i="17"/>
  <c r="AC5" i="17"/>
  <c r="AC7" i="17"/>
  <c r="AB5" i="17"/>
  <c r="AB6" i="17"/>
  <c r="AB7" i="17"/>
  <c r="AA5" i="17"/>
  <c r="AA6" i="17"/>
  <c r="AA7" i="17"/>
  <c r="Z5" i="17"/>
  <c r="Z6" i="17"/>
  <c r="Z7" i="17"/>
  <c r="Y5" i="17"/>
  <c r="Y6" i="17"/>
  <c r="Y7" i="17"/>
  <c r="X5" i="17"/>
  <c r="X6" i="17"/>
  <c r="X7" i="17"/>
  <c r="W5" i="17"/>
  <c r="W6" i="17"/>
  <c r="W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5" i="17"/>
  <c r="V6" i="17"/>
  <c r="V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5" i="17"/>
  <c r="U6" i="17"/>
  <c r="U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5" i="17"/>
  <c r="T6" i="17"/>
  <c r="T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5" i="17"/>
  <c r="S6" i="17"/>
  <c r="S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5" i="17"/>
  <c r="R6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5" i="17"/>
  <c r="Q6" i="17"/>
  <c r="Q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5" i="17"/>
  <c r="P6" i="17"/>
  <c r="P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7" i="17"/>
  <c r="O5" i="17"/>
  <c r="O6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7" i="17"/>
  <c r="N6" i="17"/>
  <c r="N5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7" i="17"/>
  <c r="M6" i="17"/>
  <c r="M5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R7" i="17"/>
  <c r="I32" i="17"/>
  <c r="I120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4" i="17"/>
  <c r="C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J3" i="17"/>
  <c r="I3" i="17"/>
  <c r="H3" i="17"/>
  <c r="G3" i="17"/>
  <c r="F3" i="17"/>
  <c r="E3" i="17"/>
  <c r="D3" i="17"/>
  <c r="B4" i="17"/>
  <c r="B5" i="17"/>
  <c r="C3" i="17"/>
  <c r="B3" i="17"/>
  <c r="C2" i="17"/>
  <c r="D2" i="17" s="1"/>
  <c r="E2" i="17" s="1"/>
  <c r="F2" i="17" s="1"/>
  <c r="G2" i="17" s="1"/>
  <c r="H2" i="17" s="1"/>
  <c r="I2" i="17" s="1"/>
  <c r="J2" i="17" s="1"/>
  <c r="BD46" i="8" l="1"/>
  <c r="BF46" i="8" s="1"/>
  <c r="BH46" i="8" s="1"/>
  <c r="BD47" i="8"/>
  <c r="BF47" i="8"/>
  <c r="BH47" i="8" s="1"/>
  <c r="BH48" i="8"/>
  <c r="BF48" i="8"/>
  <c r="AU48" i="8"/>
  <c r="AV48" i="8"/>
  <c r="AX48" i="8" s="1"/>
  <c r="AZ48" i="8" s="1"/>
  <c r="BB48" i="8" s="1"/>
  <c r="BD48" i="8" s="1"/>
  <c r="AE80" i="17"/>
  <c r="AH99" i="17"/>
  <c r="AI99" i="17"/>
  <c r="AH67" i="17"/>
  <c r="AI67" i="17"/>
  <c r="AH27" i="17"/>
  <c r="AI27" i="17"/>
  <c r="AJ27" i="17" s="1"/>
  <c r="AH106" i="17"/>
  <c r="AI106" i="17"/>
  <c r="AJ106" i="17" s="1"/>
  <c r="AH74" i="17"/>
  <c r="AI74" i="17"/>
  <c r="AH34" i="17"/>
  <c r="AI34" i="17"/>
  <c r="AH7" i="17"/>
  <c r="AI7" i="17"/>
  <c r="AJ7" i="17" s="1"/>
  <c r="AH113" i="17"/>
  <c r="AI113" i="17"/>
  <c r="AH105" i="17"/>
  <c r="AI105" i="17"/>
  <c r="AJ105" i="17" s="1"/>
  <c r="AH97" i="17"/>
  <c r="AI97" i="17"/>
  <c r="AH89" i="17"/>
  <c r="AI89" i="17"/>
  <c r="AH81" i="17"/>
  <c r="AI81" i="17"/>
  <c r="AH73" i="17"/>
  <c r="AI73" i="17"/>
  <c r="AJ73" i="17" s="1"/>
  <c r="AH65" i="17"/>
  <c r="AI65" i="17"/>
  <c r="AH57" i="17"/>
  <c r="AI57" i="17"/>
  <c r="AH49" i="17"/>
  <c r="AI49" i="17"/>
  <c r="AJ49" i="17" s="1"/>
  <c r="AH41" i="17"/>
  <c r="AI41" i="17"/>
  <c r="AH33" i="17"/>
  <c r="AI33" i="17"/>
  <c r="AH25" i="17"/>
  <c r="AI25" i="17"/>
  <c r="AJ25" i="17" s="1"/>
  <c r="AH17" i="17"/>
  <c r="AI17" i="17"/>
  <c r="AH9" i="17"/>
  <c r="AI9" i="17"/>
  <c r="AH5" i="17"/>
  <c r="AI5" i="17"/>
  <c r="AH83" i="17"/>
  <c r="AI83" i="17"/>
  <c r="AH43" i="17"/>
  <c r="AI43" i="17"/>
  <c r="AH11" i="17"/>
  <c r="AI11" i="17"/>
  <c r="AH98" i="17"/>
  <c r="AI98" i="17"/>
  <c r="AJ98" i="17" s="1"/>
  <c r="AH66" i="17"/>
  <c r="AI66" i="17"/>
  <c r="AH26" i="17"/>
  <c r="AI26" i="17"/>
  <c r="AJ26" i="17" s="1"/>
  <c r="AH120" i="17"/>
  <c r="AI120" i="17"/>
  <c r="AH112" i="17"/>
  <c r="AI112" i="17"/>
  <c r="AH104" i="17"/>
  <c r="AI104" i="17"/>
  <c r="AH96" i="17"/>
  <c r="AI96" i="17"/>
  <c r="AH88" i="17"/>
  <c r="AI88" i="17"/>
  <c r="AH80" i="17"/>
  <c r="AI80" i="17"/>
  <c r="AJ80" i="17" s="1"/>
  <c r="AH72" i="17"/>
  <c r="AI72" i="17"/>
  <c r="AH64" i="17"/>
  <c r="AI64" i="17"/>
  <c r="AH56" i="17"/>
  <c r="AI56" i="17"/>
  <c r="AJ56" i="17" s="1"/>
  <c r="AH48" i="17"/>
  <c r="AI48" i="17"/>
  <c r="AJ48" i="17" s="1"/>
  <c r="AH40" i="17"/>
  <c r="AI40" i="17"/>
  <c r="AH32" i="17"/>
  <c r="AI32" i="17"/>
  <c r="AH24" i="17"/>
  <c r="AI24" i="17"/>
  <c r="AH16" i="17"/>
  <c r="AI16" i="17"/>
  <c r="AH8" i="17"/>
  <c r="AI8" i="17"/>
  <c r="AJ8" i="17" s="1"/>
  <c r="AH91" i="17"/>
  <c r="AI91" i="17"/>
  <c r="AJ91" i="17" s="1"/>
  <c r="AH35" i="17"/>
  <c r="AI35" i="17"/>
  <c r="AH119" i="17"/>
  <c r="AI119" i="17"/>
  <c r="AH111" i="17"/>
  <c r="AI111" i="17"/>
  <c r="AH103" i="17"/>
  <c r="AI103" i="17"/>
  <c r="AJ103" i="17" s="1"/>
  <c r="AH95" i="17"/>
  <c r="AI95" i="17"/>
  <c r="AJ95" i="17" s="1"/>
  <c r="AH87" i="17"/>
  <c r="AI87" i="17"/>
  <c r="AH79" i="17"/>
  <c r="AI79" i="17"/>
  <c r="AH71" i="17"/>
  <c r="AI71" i="17"/>
  <c r="AH63" i="17"/>
  <c r="AI63" i="17"/>
  <c r="AH55" i="17"/>
  <c r="AI55" i="17"/>
  <c r="AJ55" i="17" s="1"/>
  <c r="AH47" i="17"/>
  <c r="AI47" i="17"/>
  <c r="AH39" i="17"/>
  <c r="AI39" i="17"/>
  <c r="AH31" i="17"/>
  <c r="AI31" i="17"/>
  <c r="AH23" i="17"/>
  <c r="AI23" i="17"/>
  <c r="AJ23" i="17" s="1"/>
  <c r="AH15" i="17"/>
  <c r="AI15" i="17"/>
  <c r="AH75" i="17"/>
  <c r="AI75" i="17"/>
  <c r="AH19" i="17"/>
  <c r="AI19" i="17"/>
  <c r="AH114" i="17"/>
  <c r="AI114" i="17"/>
  <c r="AH82" i="17"/>
  <c r="AI82" i="17"/>
  <c r="AH42" i="17"/>
  <c r="AI42" i="17"/>
  <c r="AH118" i="17"/>
  <c r="AI118" i="17"/>
  <c r="AH110" i="17"/>
  <c r="AI110" i="17"/>
  <c r="AJ110" i="17" s="1"/>
  <c r="AH102" i="17"/>
  <c r="AI102" i="17"/>
  <c r="AJ102" i="17" s="1"/>
  <c r="AH94" i="17"/>
  <c r="AI94" i="17"/>
  <c r="AJ94" i="17" s="1"/>
  <c r="AH86" i="17"/>
  <c r="AI86" i="17"/>
  <c r="AH78" i="17"/>
  <c r="AI78" i="17"/>
  <c r="AH70" i="17"/>
  <c r="AI70" i="17"/>
  <c r="AH62" i="17"/>
  <c r="AI62" i="17"/>
  <c r="AH54" i="17"/>
  <c r="AI54" i="17"/>
  <c r="AJ54" i="17" s="1"/>
  <c r="AH46" i="17"/>
  <c r="AI46" i="17"/>
  <c r="AJ46" i="17" s="1"/>
  <c r="AH38" i="17"/>
  <c r="AI38" i="17"/>
  <c r="AH30" i="17"/>
  <c r="AI30" i="17"/>
  <c r="AJ30" i="17" s="1"/>
  <c r="AH22" i="17"/>
  <c r="AI22" i="17"/>
  <c r="AH14" i="17"/>
  <c r="AI14" i="17"/>
  <c r="AH107" i="17"/>
  <c r="AI107" i="17"/>
  <c r="AJ107" i="17" s="1"/>
  <c r="AH51" i="17"/>
  <c r="AI51" i="17"/>
  <c r="AH58" i="17"/>
  <c r="AH18" i="17"/>
  <c r="AI18" i="17"/>
  <c r="AI3" i="17"/>
  <c r="AH3" i="17"/>
  <c r="AH117" i="17"/>
  <c r="AI117" i="17"/>
  <c r="AH109" i="17"/>
  <c r="AI109" i="17"/>
  <c r="AH101" i="17"/>
  <c r="AI101" i="17"/>
  <c r="AH93" i="17"/>
  <c r="AI93" i="17"/>
  <c r="AH85" i="17"/>
  <c r="AI85" i="17"/>
  <c r="AH77" i="17"/>
  <c r="AI77" i="17"/>
  <c r="AH69" i="17"/>
  <c r="AI69" i="17"/>
  <c r="AH61" i="17"/>
  <c r="AI61" i="17"/>
  <c r="AH53" i="17"/>
  <c r="AI53" i="17"/>
  <c r="AH45" i="17"/>
  <c r="AI45" i="17"/>
  <c r="AH37" i="17"/>
  <c r="AI37" i="17"/>
  <c r="AH29" i="17"/>
  <c r="AI29" i="17"/>
  <c r="AH21" i="17"/>
  <c r="AI21" i="17"/>
  <c r="AH13" i="17"/>
  <c r="AI13" i="17"/>
  <c r="AH115" i="17"/>
  <c r="AI115" i="17"/>
  <c r="AH59" i="17"/>
  <c r="AI59" i="17"/>
  <c r="AH6" i="17"/>
  <c r="AI6" i="17"/>
  <c r="AH90" i="17"/>
  <c r="AI90" i="17"/>
  <c r="AH50" i="17"/>
  <c r="AI50" i="17"/>
  <c r="AH10" i="17"/>
  <c r="AI10" i="17"/>
  <c r="AH116" i="17"/>
  <c r="AI116" i="17"/>
  <c r="AH108" i="17"/>
  <c r="AI108" i="17"/>
  <c r="AH100" i="17"/>
  <c r="AI100" i="17"/>
  <c r="AH92" i="17"/>
  <c r="AI92" i="17"/>
  <c r="AH84" i="17"/>
  <c r="AI84" i="17"/>
  <c r="AH76" i="17"/>
  <c r="AI76" i="17"/>
  <c r="AH68" i="17"/>
  <c r="AI68" i="17"/>
  <c r="AH60" i="17"/>
  <c r="AI60" i="17"/>
  <c r="AH52" i="17"/>
  <c r="AI52" i="17"/>
  <c r="AH44" i="17"/>
  <c r="AI44" i="17"/>
  <c r="AH36" i="17"/>
  <c r="AI36" i="17"/>
  <c r="AH28" i="17"/>
  <c r="AI28" i="17"/>
  <c r="AH20" i="17"/>
  <c r="AI20" i="17"/>
  <c r="AH12" i="17"/>
  <c r="AI12" i="17"/>
  <c r="Q67" i="5"/>
  <c r="AB3" i="4" s="1"/>
  <c r="Q68" i="5"/>
  <c r="AB4" i="4" s="1"/>
  <c r="Q69" i="5"/>
  <c r="AB5" i="4" s="1"/>
  <c r="Q70" i="5"/>
  <c r="AB6" i="4" s="1"/>
  <c r="Q71" i="5"/>
  <c r="AB7" i="4" s="1"/>
  <c r="Q72" i="5"/>
  <c r="AB8" i="4" s="1"/>
  <c r="Q73" i="5"/>
  <c r="AB9" i="4" s="1"/>
  <c r="Q74" i="5"/>
  <c r="AB10" i="4" s="1"/>
  <c r="Q75" i="5"/>
  <c r="AB11" i="4" s="1"/>
  <c r="Q76" i="5"/>
  <c r="AB12" i="4" s="1"/>
  <c r="Q77" i="5"/>
  <c r="AB13" i="4" s="1"/>
  <c r="Q78" i="5"/>
  <c r="AB14" i="4" s="1"/>
  <c r="Q79" i="5"/>
  <c r="AB15" i="4" s="1"/>
  <c r="Q80" i="5"/>
  <c r="AB16" i="4" s="1"/>
  <c r="Q81" i="5"/>
  <c r="AB17" i="4" s="1"/>
  <c r="Q82" i="5"/>
  <c r="AB18" i="4" s="1"/>
  <c r="Q83" i="5"/>
  <c r="AB19" i="4" s="1"/>
  <c r="Q84" i="5"/>
  <c r="AB20" i="4" s="1"/>
  <c r="Q85" i="5"/>
  <c r="AB21" i="4" s="1"/>
  <c r="Q86" i="5"/>
  <c r="AB22" i="4" s="1"/>
  <c r="Q87" i="5"/>
  <c r="AB23" i="4" s="1"/>
  <c r="Q88" i="5"/>
  <c r="AB24" i="4" s="1"/>
  <c r="Q89" i="5"/>
  <c r="AB25" i="4" s="1"/>
  <c r="Q90" i="5"/>
  <c r="AB26" i="4" s="1"/>
  <c r="Q91" i="5"/>
  <c r="AB27" i="4" s="1"/>
  <c r="Q92" i="5"/>
  <c r="AB28" i="4" s="1"/>
  <c r="Q93" i="5"/>
  <c r="AB29" i="4" s="1"/>
  <c r="Q94" i="5"/>
  <c r="AB30" i="4" s="1"/>
  <c r="Q95" i="5"/>
  <c r="AB31" i="4" s="1"/>
  <c r="Q96" i="5"/>
  <c r="AB32" i="4" s="1"/>
  <c r="Q97" i="5"/>
  <c r="AB33" i="4" s="1"/>
  <c r="Q98" i="5"/>
  <c r="AB34" i="4" s="1"/>
  <c r="Q99" i="5"/>
  <c r="AB35" i="4" s="1"/>
  <c r="Q100" i="5"/>
  <c r="AB36" i="4" s="1"/>
  <c r="Q101" i="5"/>
  <c r="AB37" i="4" s="1"/>
  <c r="Q102" i="5"/>
  <c r="AB38" i="4" s="1"/>
  <c r="Q103" i="5"/>
  <c r="AB39" i="4" s="1"/>
  <c r="Q104" i="5"/>
  <c r="AB40" i="4" s="1"/>
  <c r="Q105" i="5"/>
  <c r="AB41" i="4" s="1"/>
  <c r="Q106" i="5"/>
  <c r="AB42" i="4" s="1"/>
  <c r="Q107" i="5"/>
  <c r="AB43" i="4" s="1"/>
  <c r="Q108" i="5"/>
  <c r="AB44" i="4" s="1"/>
  <c r="Q109" i="5"/>
  <c r="AB45" i="4" s="1"/>
  <c r="Q110" i="5"/>
  <c r="AB46" i="4" s="1"/>
  <c r="Q111" i="5"/>
  <c r="AB47" i="4" s="1"/>
  <c r="Q112" i="5"/>
  <c r="AB48" i="4" s="1"/>
  <c r="Q113" i="5"/>
  <c r="AB49" i="4" s="1"/>
  <c r="Q114" i="5"/>
  <c r="AB50" i="4" s="1"/>
  <c r="Q115" i="5"/>
  <c r="AB51" i="4" s="1"/>
  <c r="Q116" i="5"/>
  <c r="AB52" i="4" s="1"/>
  <c r="Q117" i="5"/>
  <c r="AB53" i="4" s="1"/>
  <c r="Q118" i="5"/>
  <c r="AB54" i="4" s="1"/>
  <c r="Q119" i="5"/>
  <c r="AB55" i="4" s="1"/>
  <c r="Q120" i="5"/>
  <c r="AB56" i="4" s="1"/>
  <c r="Q121" i="5"/>
  <c r="AB57" i="4" s="1"/>
  <c r="Q122" i="5"/>
  <c r="AB58" i="4" s="1"/>
  <c r="Q123" i="5"/>
  <c r="AB59" i="4" s="1"/>
  <c r="Q124" i="5"/>
  <c r="AB60" i="4" s="1"/>
  <c r="Q125" i="5"/>
  <c r="AB61" i="4" s="1"/>
  <c r="Q126" i="5"/>
  <c r="AB62" i="4" s="1"/>
  <c r="P67" i="5"/>
  <c r="AA3" i="4" s="1"/>
  <c r="P68" i="5"/>
  <c r="AA4" i="4" s="1"/>
  <c r="P69" i="5"/>
  <c r="AA5" i="4" s="1"/>
  <c r="P70" i="5"/>
  <c r="AA6" i="4" s="1"/>
  <c r="P71" i="5"/>
  <c r="AA7" i="4" s="1"/>
  <c r="P72" i="5"/>
  <c r="AA8" i="4" s="1"/>
  <c r="P73" i="5"/>
  <c r="AA9" i="4" s="1"/>
  <c r="P74" i="5"/>
  <c r="AA10" i="4" s="1"/>
  <c r="P75" i="5"/>
  <c r="AA11" i="4" s="1"/>
  <c r="P76" i="5"/>
  <c r="AA12" i="4" s="1"/>
  <c r="P77" i="5"/>
  <c r="AA13" i="4" s="1"/>
  <c r="P78" i="5"/>
  <c r="AA14" i="4" s="1"/>
  <c r="P79" i="5"/>
  <c r="AA15" i="4" s="1"/>
  <c r="AG15" i="4" s="1"/>
  <c r="P80" i="5"/>
  <c r="AA16" i="4" s="1"/>
  <c r="P81" i="5"/>
  <c r="AA17" i="4" s="1"/>
  <c r="P82" i="5"/>
  <c r="AA18" i="4" s="1"/>
  <c r="P83" i="5"/>
  <c r="AA19" i="4" s="1"/>
  <c r="P84" i="5"/>
  <c r="AA20" i="4" s="1"/>
  <c r="P85" i="5"/>
  <c r="AA21" i="4" s="1"/>
  <c r="P86" i="5"/>
  <c r="AA22" i="4" s="1"/>
  <c r="P87" i="5"/>
  <c r="AA23" i="4" s="1"/>
  <c r="P88" i="5"/>
  <c r="AA24" i="4" s="1"/>
  <c r="P89" i="5"/>
  <c r="AA25" i="4" s="1"/>
  <c r="P90" i="5"/>
  <c r="AA26" i="4" s="1"/>
  <c r="P91" i="5"/>
  <c r="AA27" i="4" s="1"/>
  <c r="P92" i="5"/>
  <c r="AA28" i="4" s="1"/>
  <c r="P93" i="5"/>
  <c r="AA29" i="4" s="1"/>
  <c r="P94" i="5"/>
  <c r="AA30" i="4" s="1"/>
  <c r="P95" i="5"/>
  <c r="AA31" i="4" s="1"/>
  <c r="P96" i="5"/>
  <c r="AA32" i="4" s="1"/>
  <c r="AG32" i="4" s="1"/>
  <c r="P97" i="5"/>
  <c r="AA33" i="4" s="1"/>
  <c r="P98" i="5"/>
  <c r="AA34" i="4" s="1"/>
  <c r="P99" i="5"/>
  <c r="AA35" i="4" s="1"/>
  <c r="P100" i="5"/>
  <c r="AA36" i="4" s="1"/>
  <c r="P101" i="5"/>
  <c r="AA37" i="4" s="1"/>
  <c r="P102" i="5"/>
  <c r="AA38" i="4" s="1"/>
  <c r="P103" i="5"/>
  <c r="AA39" i="4" s="1"/>
  <c r="P104" i="5"/>
  <c r="AA40" i="4" s="1"/>
  <c r="AG40" i="4" s="1"/>
  <c r="P105" i="5"/>
  <c r="AA41" i="4" s="1"/>
  <c r="P106" i="5"/>
  <c r="AA42" i="4" s="1"/>
  <c r="P107" i="5"/>
  <c r="AA43" i="4" s="1"/>
  <c r="P108" i="5"/>
  <c r="AA44" i="4" s="1"/>
  <c r="P109" i="5"/>
  <c r="AA45" i="4" s="1"/>
  <c r="P110" i="5"/>
  <c r="AA46" i="4" s="1"/>
  <c r="P111" i="5"/>
  <c r="AA47" i="4" s="1"/>
  <c r="P112" i="5"/>
  <c r="AA48" i="4" s="1"/>
  <c r="P113" i="5"/>
  <c r="AA49" i="4" s="1"/>
  <c r="P114" i="5"/>
  <c r="AA50" i="4" s="1"/>
  <c r="P115" i="5"/>
  <c r="AA51" i="4" s="1"/>
  <c r="P116" i="5"/>
  <c r="AA52" i="4" s="1"/>
  <c r="P117" i="5"/>
  <c r="AA53" i="4" s="1"/>
  <c r="P118" i="5"/>
  <c r="AA54" i="4" s="1"/>
  <c r="P119" i="5"/>
  <c r="AA55" i="4" s="1"/>
  <c r="P120" i="5"/>
  <c r="AA56" i="4" s="1"/>
  <c r="P121" i="5"/>
  <c r="AA57" i="4" s="1"/>
  <c r="P122" i="5"/>
  <c r="AA58" i="4" s="1"/>
  <c r="P123" i="5"/>
  <c r="AA59" i="4" s="1"/>
  <c r="P124" i="5"/>
  <c r="AA60" i="4" s="1"/>
  <c r="P125" i="5"/>
  <c r="AA61" i="4" s="1"/>
  <c r="P126" i="5"/>
  <c r="AA62" i="4" s="1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Q64" i="5"/>
  <c r="Q66" i="5"/>
  <c r="AB2" i="4" s="1"/>
  <c r="P66" i="5"/>
  <c r="AA2" i="4" s="1"/>
  <c r="P64" i="5"/>
  <c r="O66" i="5"/>
  <c r="Q4" i="5"/>
  <c r="AE3" i="4" s="1"/>
  <c r="Q5" i="5"/>
  <c r="AE4" i="4" s="1"/>
  <c r="Q6" i="5"/>
  <c r="AE5" i="4" s="1"/>
  <c r="Q7" i="5"/>
  <c r="AE6" i="4" s="1"/>
  <c r="Q8" i="5"/>
  <c r="AE7" i="4" s="1"/>
  <c r="G44" i="4" s="1"/>
  <c r="Q9" i="5"/>
  <c r="AE8" i="4" s="1"/>
  <c r="Q10" i="5"/>
  <c r="AE9" i="4" s="1"/>
  <c r="Q11" i="5"/>
  <c r="AE10" i="4" s="1"/>
  <c r="Q12" i="5"/>
  <c r="AE11" i="4" s="1"/>
  <c r="Q13" i="5"/>
  <c r="AE12" i="4" s="1"/>
  <c r="Q14" i="5"/>
  <c r="AE13" i="4" s="1"/>
  <c r="Q15" i="5"/>
  <c r="AE14" i="4" s="1"/>
  <c r="Q16" i="5"/>
  <c r="AE15" i="4" s="1"/>
  <c r="Q17" i="5"/>
  <c r="AE16" i="4" s="1"/>
  <c r="Q18" i="5"/>
  <c r="AE17" i="4" s="1"/>
  <c r="Q19" i="5"/>
  <c r="AE18" i="4" s="1"/>
  <c r="Q20" i="5"/>
  <c r="AE19" i="4" s="1"/>
  <c r="Q21" i="5"/>
  <c r="AE20" i="4" s="1"/>
  <c r="Q22" i="5"/>
  <c r="AE21" i="4" s="1"/>
  <c r="Q23" i="5"/>
  <c r="AE22" i="4" s="1"/>
  <c r="Q24" i="5"/>
  <c r="AE23" i="4" s="1"/>
  <c r="Q25" i="5"/>
  <c r="AE24" i="4" s="1"/>
  <c r="Q26" i="5"/>
  <c r="AE25" i="4" s="1"/>
  <c r="Q27" i="5"/>
  <c r="AE26" i="4" s="1"/>
  <c r="Q28" i="5"/>
  <c r="AE27" i="4" s="1"/>
  <c r="Q29" i="5"/>
  <c r="AE28" i="4" s="1"/>
  <c r="Q30" i="5"/>
  <c r="AE29" i="4" s="1"/>
  <c r="Q31" i="5"/>
  <c r="AE30" i="4" s="1"/>
  <c r="Q32" i="5"/>
  <c r="AE31" i="4" s="1"/>
  <c r="Q33" i="5"/>
  <c r="AE32" i="4" s="1"/>
  <c r="Q34" i="5"/>
  <c r="AE33" i="4" s="1"/>
  <c r="Q35" i="5"/>
  <c r="AE34" i="4" s="1"/>
  <c r="Q36" i="5"/>
  <c r="AE35" i="4" s="1"/>
  <c r="Q37" i="5"/>
  <c r="AE36" i="4" s="1"/>
  <c r="Q38" i="5"/>
  <c r="AE37" i="4" s="1"/>
  <c r="Q39" i="5"/>
  <c r="AE38" i="4" s="1"/>
  <c r="Q40" i="5"/>
  <c r="AE39" i="4" s="1"/>
  <c r="G43" i="4" s="1"/>
  <c r="Q41" i="5"/>
  <c r="AE40" i="4" s="1"/>
  <c r="Q42" i="5"/>
  <c r="AE41" i="4" s="1"/>
  <c r="Q43" i="5"/>
  <c r="AE42" i="4" s="1"/>
  <c r="Q44" i="5"/>
  <c r="AE43" i="4" s="1"/>
  <c r="Q45" i="5"/>
  <c r="AE44" i="4" s="1"/>
  <c r="Q46" i="5"/>
  <c r="AE45" i="4" s="1"/>
  <c r="Q47" i="5"/>
  <c r="AE46" i="4" s="1"/>
  <c r="Q48" i="5"/>
  <c r="AE47" i="4" s="1"/>
  <c r="Q49" i="5"/>
  <c r="AE48" i="4" s="1"/>
  <c r="Q50" i="5"/>
  <c r="AE49" i="4" s="1"/>
  <c r="Q51" i="5"/>
  <c r="AE50" i="4" s="1"/>
  <c r="Q52" i="5"/>
  <c r="AE51" i="4" s="1"/>
  <c r="Q53" i="5"/>
  <c r="AE52" i="4" s="1"/>
  <c r="Q54" i="5"/>
  <c r="AE53" i="4" s="1"/>
  <c r="Q55" i="5"/>
  <c r="AE54" i="4" s="1"/>
  <c r="Q56" i="5"/>
  <c r="AE55" i="4" s="1"/>
  <c r="Q57" i="5"/>
  <c r="AE56" i="4" s="1"/>
  <c r="Q58" i="5"/>
  <c r="AE57" i="4" s="1"/>
  <c r="Q59" i="5"/>
  <c r="AE58" i="4" s="1"/>
  <c r="Q60" i="5"/>
  <c r="AE59" i="4" s="1"/>
  <c r="Q61" i="5"/>
  <c r="AE60" i="4" s="1"/>
  <c r="Q62" i="5"/>
  <c r="AE61" i="4" s="1"/>
  <c r="Q63" i="5"/>
  <c r="AE62" i="4" s="1"/>
  <c r="Q3" i="5"/>
  <c r="AE2" i="4" s="1"/>
  <c r="P4" i="5"/>
  <c r="AD3" i="4" s="1"/>
  <c r="P5" i="5"/>
  <c r="AD4" i="4" s="1"/>
  <c r="P6" i="5"/>
  <c r="AD5" i="4" s="1"/>
  <c r="P7" i="5"/>
  <c r="AD6" i="4" s="1"/>
  <c r="P8" i="5"/>
  <c r="AD7" i="4" s="1"/>
  <c r="P9" i="5"/>
  <c r="AD8" i="4" s="1"/>
  <c r="P10" i="5"/>
  <c r="AD9" i="4" s="1"/>
  <c r="P11" i="5"/>
  <c r="AD10" i="4" s="1"/>
  <c r="P12" i="5"/>
  <c r="AD11" i="4" s="1"/>
  <c r="P13" i="5"/>
  <c r="AD12" i="4" s="1"/>
  <c r="P14" i="5"/>
  <c r="AD13" i="4" s="1"/>
  <c r="P15" i="5"/>
  <c r="AD14" i="4" s="1"/>
  <c r="P16" i="5"/>
  <c r="AD15" i="4" s="1"/>
  <c r="P17" i="5"/>
  <c r="AD16" i="4" s="1"/>
  <c r="P18" i="5"/>
  <c r="AD17" i="4" s="1"/>
  <c r="P19" i="5"/>
  <c r="AD18" i="4" s="1"/>
  <c r="P20" i="5"/>
  <c r="AD19" i="4" s="1"/>
  <c r="P21" i="5"/>
  <c r="AD20" i="4" s="1"/>
  <c r="P22" i="5"/>
  <c r="AD21" i="4" s="1"/>
  <c r="P23" i="5"/>
  <c r="AD22" i="4" s="1"/>
  <c r="P24" i="5"/>
  <c r="AD23" i="4" s="1"/>
  <c r="AF23" i="4" s="1"/>
  <c r="P25" i="5"/>
  <c r="AD24" i="4" s="1"/>
  <c r="P26" i="5"/>
  <c r="AD25" i="4" s="1"/>
  <c r="P27" i="5"/>
  <c r="AD26" i="4" s="1"/>
  <c r="P28" i="5"/>
  <c r="AD27" i="4" s="1"/>
  <c r="P29" i="5"/>
  <c r="AD28" i="4" s="1"/>
  <c r="P30" i="5"/>
  <c r="AD29" i="4" s="1"/>
  <c r="P31" i="5"/>
  <c r="AD30" i="4" s="1"/>
  <c r="P32" i="5"/>
  <c r="AD31" i="4" s="1"/>
  <c r="P33" i="5"/>
  <c r="AD32" i="4" s="1"/>
  <c r="P34" i="5"/>
  <c r="AD33" i="4" s="1"/>
  <c r="P35" i="5"/>
  <c r="AD34" i="4" s="1"/>
  <c r="P36" i="5"/>
  <c r="AD35" i="4" s="1"/>
  <c r="P37" i="5"/>
  <c r="AD36" i="4" s="1"/>
  <c r="P38" i="5"/>
  <c r="AD37" i="4" s="1"/>
  <c r="P39" i="5"/>
  <c r="AD38" i="4" s="1"/>
  <c r="P40" i="5"/>
  <c r="AD39" i="4" s="1"/>
  <c r="AF39" i="4" s="1"/>
  <c r="P41" i="5"/>
  <c r="AD40" i="4" s="1"/>
  <c r="P42" i="5"/>
  <c r="AD41" i="4" s="1"/>
  <c r="P43" i="5"/>
  <c r="AD42" i="4" s="1"/>
  <c r="P44" i="5"/>
  <c r="AD43" i="4" s="1"/>
  <c r="P45" i="5"/>
  <c r="AD44" i="4" s="1"/>
  <c r="P46" i="5"/>
  <c r="AD45" i="4" s="1"/>
  <c r="P47" i="5"/>
  <c r="AD46" i="4" s="1"/>
  <c r="P48" i="5"/>
  <c r="AD47" i="4" s="1"/>
  <c r="P49" i="5"/>
  <c r="AD48" i="4" s="1"/>
  <c r="P50" i="5"/>
  <c r="AD49" i="4" s="1"/>
  <c r="P51" i="5"/>
  <c r="AD50" i="4" s="1"/>
  <c r="P52" i="5"/>
  <c r="AD51" i="4" s="1"/>
  <c r="P53" i="5"/>
  <c r="AD52" i="4" s="1"/>
  <c r="P54" i="5"/>
  <c r="AD53" i="4" s="1"/>
  <c r="P55" i="5"/>
  <c r="AD54" i="4" s="1"/>
  <c r="P56" i="5"/>
  <c r="AD55" i="4" s="1"/>
  <c r="P57" i="5"/>
  <c r="AD56" i="4" s="1"/>
  <c r="P58" i="5"/>
  <c r="AD57" i="4" s="1"/>
  <c r="P59" i="5"/>
  <c r="AD58" i="4" s="1"/>
  <c r="P60" i="5"/>
  <c r="AD59" i="4" s="1"/>
  <c r="P61" i="5"/>
  <c r="AD60" i="4" s="1"/>
  <c r="P62" i="5"/>
  <c r="AD61" i="4" s="1"/>
  <c r="P63" i="5"/>
  <c r="AD62" i="4" s="1"/>
  <c r="P3" i="5"/>
  <c r="AD2" i="4" s="1"/>
  <c r="BM4" i="5"/>
  <c r="BM5" i="5"/>
  <c r="BM6" i="5"/>
  <c r="BM7" i="5"/>
  <c r="BM8" i="5"/>
  <c r="BM9" i="5"/>
  <c r="BM10" i="5"/>
  <c r="BM11" i="5"/>
  <c r="BM12" i="5"/>
  <c r="BM13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3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9" i="5"/>
  <c r="BM60" i="5"/>
  <c r="BM61" i="5"/>
  <c r="BM62" i="5"/>
  <c r="BM63" i="5"/>
  <c r="AG3" i="5"/>
  <c r="AJ2" i="4" s="1"/>
  <c r="AG38" i="5"/>
  <c r="AJ37" i="4" s="1"/>
  <c r="AG39" i="5"/>
  <c r="AJ38" i="4" s="1"/>
  <c r="AG40" i="5"/>
  <c r="AJ39" i="4" s="1"/>
  <c r="AG41" i="5"/>
  <c r="AJ40" i="4" s="1"/>
  <c r="AG42" i="5"/>
  <c r="AJ41" i="4" s="1"/>
  <c r="AG43" i="5"/>
  <c r="AJ42" i="4" s="1"/>
  <c r="AG44" i="5"/>
  <c r="AJ43" i="4" s="1"/>
  <c r="AG45" i="5"/>
  <c r="AJ44" i="4" s="1"/>
  <c r="AG46" i="5"/>
  <c r="AJ45" i="4" s="1"/>
  <c r="AG47" i="5"/>
  <c r="AJ46" i="4" s="1"/>
  <c r="AG48" i="5"/>
  <c r="AJ47" i="4" s="1"/>
  <c r="AG49" i="5"/>
  <c r="AJ48" i="4" s="1"/>
  <c r="AG50" i="5"/>
  <c r="AJ49" i="4" s="1"/>
  <c r="AG51" i="5"/>
  <c r="AJ50" i="4" s="1"/>
  <c r="AG52" i="5"/>
  <c r="AJ51" i="4" s="1"/>
  <c r="AG53" i="5"/>
  <c r="AJ52" i="4" s="1"/>
  <c r="AG54" i="5"/>
  <c r="AJ53" i="4" s="1"/>
  <c r="AG55" i="5"/>
  <c r="AJ54" i="4" s="1"/>
  <c r="AG56" i="5"/>
  <c r="AJ55" i="4" s="1"/>
  <c r="AG57" i="5"/>
  <c r="AJ56" i="4" s="1"/>
  <c r="AG58" i="5"/>
  <c r="AJ57" i="4" s="1"/>
  <c r="AG59" i="5"/>
  <c r="AJ58" i="4" s="1"/>
  <c r="AG60" i="5"/>
  <c r="AJ59" i="4" s="1"/>
  <c r="AG61" i="5"/>
  <c r="AJ60" i="4" s="1"/>
  <c r="AG62" i="5"/>
  <c r="AJ61" i="4" s="1"/>
  <c r="AG63" i="5"/>
  <c r="AJ62" i="4" s="1"/>
  <c r="AG4" i="5"/>
  <c r="AJ3" i="4" s="1"/>
  <c r="AG5" i="5"/>
  <c r="AJ4" i="4" s="1"/>
  <c r="AG6" i="5"/>
  <c r="AJ5" i="4" s="1"/>
  <c r="AG7" i="5"/>
  <c r="AJ6" i="4" s="1"/>
  <c r="AG8" i="5"/>
  <c r="AJ7" i="4" s="1"/>
  <c r="AG9" i="5"/>
  <c r="AJ8" i="4" s="1"/>
  <c r="AG10" i="5"/>
  <c r="AJ9" i="4" s="1"/>
  <c r="AG11" i="5"/>
  <c r="AJ10" i="4" s="1"/>
  <c r="AG12" i="5"/>
  <c r="AJ11" i="4" s="1"/>
  <c r="AG13" i="5"/>
  <c r="AJ12" i="4" s="1"/>
  <c r="AG14" i="5"/>
  <c r="AJ13" i="4" s="1"/>
  <c r="AG15" i="5"/>
  <c r="AJ14" i="4" s="1"/>
  <c r="AG16" i="5"/>
  <c r="AJ15" i="4" s="1"/>
  <c r="AG17" i="5"/>
  <c r="AJ16" i="4" s="1"/>
  <c r="AG18" i="5"/>
  <c r="AJ17" i="4" s="1"/>
  <c r="AG19" i="5"/>
  <c r="AJ18" i="4" s="1"/>
  <c r="AG20" i="5"/>
  <c r="AJ19" i="4" s="1"/>
  <c r="AG21" i="5"/>
  <c r="AJ20" i="4" s="1"/>
  <c r="AG22" i="5"/>
  <c r="AJ21" i="4" s="1"/>
  <c r="AG23" i="5"/>
  <c r="AJ22" i="4" s="1"/>
  <c r="AG24" i="5"/>
  <c r="AJ23" i="4" s="1"/>
  <c r="AG25" i="5"/>
  <c r="AJ24" i="4" s="1"/>
  <c r="AG26" i="5"/>
  <c r="AJ25" i="4" s="1"/>
  <c r="AG27" i="5"/>
  <c r="AJ26" i="4" s="1"/>
  <c r="AG28" i="5"/>
  <c r="AJ27" i="4" s="1"/>
  <c r="AG29" i="5"/>
  <c r="AJ28" i="4" s="1"/>
  <c r="AG30" i="5"/>
  <c r="AJ29" i="4" s="1"/>
  <c r="AG31" i="5"/>
  <c r="AJ30" i="4" s="1"/>
  <c r="AG32" i="5"/>
  <c r="AJ31" i="4" s="1"/>
  <c r="AG33" i="5"/>
  <c r="AJ32" i="4" s="1"/>
  <c r="AG34" i="5"/>
  <c r="AJ33" i="4" s="1"/>
  <c r="AG35" i="5"/>
  <c r="AJ34" i="4" s="1"/>
  <c r="AG36" i="5"/>
  <c r="AJ35" i="4" s="1"/>
  <c r="AG37" i="5"/>
  <c r="AJ36" i="4" s="1"/>
  <c r="AF4" i="5"/>
  <c r="AI3" i="4" s="1"/>
  <c r="AF5" i="5"/>
  <c r="AI4" i="4" s="1"/>
  <c r="AF6" i="5"/>
  <c r="AI5" i="4" s="1"/>
  <c r="AF7" i="5"/>
  <c r="AI6" i="4" s="1"/>
  <c r="AF8" i="5"/>
  <c r="AI7" i="4" s="1"/>
  <c r="AF9" i="5"/>
  <c r="AI8" i="4" s="1"/>
  <c r="AF10" i="5"/>
  <c r="AI9" i="4" s="1"/>
  <c r="AF11" i="5"/>
  <c r="AI10" i="4" s="1"/>
  <c r="AF12" i="5"/>
  <c r="AI11" i="4" s="1"/>
  <c r="AF13" i="5"/>
  <c r="AI12" i="4" s="1"/>
  <c r="AF14" i="5"/>
  <c r="AI13" i="4" s="1"/>
  <c r="AF15" i="5"/>
  <c r="AI14" i="4" s="1"/>
  <c r="AF16" i="5"/>
  <c r="AI15" i="4" s="1"/>
  <c r="AF17" i="5"/>
  <c r="AI16" i="4" s="1"/>
  <c r="AF18" i="5"/>
  <c r="AI17" i="4" s="1"/>
  <c r="AF19" i="5"/>
  <c r="AI18" i="4" s="1"/>
  <c r="AF20" i="5"/>
  <c r="AI19" i="4" s="1"/>
  <c r="AF21" i="5"/>
  <c r="AI20" i="4" s="1"/>
  <c r="AF22" i="5"/>
  <c r="AI21" i="4" s="1"/>
  <c r="AF23" i="5"/>
  <c r="AI22" i="4" s="1"/>
  <c r="AF24" i="5"/>
  <c r="AI23" i="4" s="1"/>
  <c r="AF25" i="5"/>
  <c r="AI24" i="4" s="1"/>
  <c r="AF26" i="5"/>
  <c r="AI25" i="4" s="1"/>
  <c r="AF27" i="5"/>
  <c r="AI26" i="4" s="1"/>
  <c r="AF28" i="5"/>
  <c r="AI27" i="4" s="1"/>
  <c r="AF29" i="5"/>
  <c r="AI28" i="4" s="1"/>
  <c r="AF30" i="5"/>
  <c r="AI29" i="4" s="1"/>
  <c r="AF31" i="5"/>
  <c r="AI30" i="4" s="1"/>
  <c r="AF32" i="5"/>
  <c r="AI31" i="4" s="1"/>
  <c r="AF33" i="5"/>
  <c r="AI32" i="4" s="1"/>
  <c r="AF34" i="5"/>
  <c r="AI33" i="4" s="1"/>
  <c r="AF35" i="5"/>
  <c r="AI34" i="4" s="1"/>
  <c r="AF36" i="5"/>
  <c r="AI35" i="4" s="1"/>
  <c r="AF37" i="5"/>
  <c r="AI36" i="4" s="1"/>
  <c r="AF38" i="5"/>
  <c r="AI37" i="4" s="1"/>
  <c r="AF39" i="5"/>
  <c r="AI38" i="4" s="1"/>
  <c r="AF40" i="5"/>
  <c r="AI39" i="4" s="1"/>
  <c r="AF41" i="5"/>
  <c r="AI40" i="4" s="1"/>
  <c r="AF42" i="5"/>
  <c r="AI41" i="4" s="1"/>
  <c r="AF43" i="5"/>
  <c r="AI42" i="4" s="1"/>
  <c r="AF44" i="5"/>
  <c r="AI43" i="4" s="1"/>
  <c r="AF45" i="5"/>
  <c r="AI44" i="4" s="1"/>
  <c r="AF46" i="5"/>
  <c r="AI45" i="4" s="1"/>
  <c r="AF47" i="5"/>
  <c r="AI46" i="4" s="1"/>
  <c r="AF48" i="5"/>
  <c r="AI47" i="4" s="1"/>
  <c r="AF49" i="5"/>
  <c r="AI48" i="4" s="1"/>
  <c r="AF50" i="5"/>
  <c r="AI49" i="4" s="1"/>
  <c r="AF51" i="5"/>
  <c r="AI50" i="4" s="1"/>
  <c r="AF52" i="5"/>
  <c r="AI51" i="4" s="1"/>
  <c r="AF53" i="5"/>
  <c r="AI52" i="4" s="1"/>
  <c r="AF54" i="5"/>
  <c r="AI53" i="4" s="1"/>
  <c r="AF55" i="5"/>
  <c r="AI54" i="4" s="1"/>
  <c r="AF56" i="5"/>
  <c r="AI55" i="4" s="1"/>
  <c r="AF57" i="5"/>
  <c r="AI56" i="4" s="1"/>
  <c r="AF58" i="5"/>
  <c r="AI57" i="4" s="1"/>
  <c r="AF59" i="5"/>
  <c r="AI58" i="4" s="1"/>
  <c r="AF60" i="5"/>
  <c r="AI59" i="4" s="1"/>
  <c r="AF61" i="5"/>
  <c r="AI60" i="4" s="1"/>
  <c r="AF62" i="5"/>
  <c r="AI61" i="4" s="1"/>
  <c r="AF63" i="5"/>
  <c r="AI62" i="4" s="1"/>
  <c r="AF3" i="5"/>
  <c r="AI2" i="4" s="1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BN44" i="5"/>
  <c r="AO43" i="4" s="1"/>
  <c r="BN45" i="5"/>
  <c r="AO44" i="4" s="1"/>
  <c r="BN46" i="5"/>
  <c r="AO45" i="4" s="1"/>
  <c r="BN47" i="5"/>
  <c r="AO46" i="4" s="1"/>
  <c r="BN48" i="5"/>
  <c r="AO47" i="4" s="1"/>
  <c r="BN49" i="5"/>
  <c r="AO48" i="4" s="1"/>
  <c r="BN50" i="5"/>
  <c r="AO49" i="4" s="1"/>
  <c r="BN51" i="5"/>
  <c r="AO50" i="4" s="1"/>
  <c r="BN52" i="5"/>
  <c r="AO51" i="4" s="1"/>
  <c r="BN53" i="5"/>
  <c r="AO52" i="4" s="1"/>
  <c r="BN54" i="5"/>
  <c r="AO53" i="4" s="1"/>
  <c r="BN55" i="5"/>
  <c r="AO54" i="4" s="1"/>
  <c r="BN56" i="5"/>
  <c r="AO55" i="4" s="1"/>
  <c r="BN57" i="5"/>
  <c r="AO56" i="4" s="1"/>
  <c r="BN58" i="5"/>
  <c r="AO57" i="4" s="1"/>
  <c r="BN59" i="5"/>
  <c r="AO58" i="4" s="1"/>
  <c r="BN60" i="5"/>
  <c r="AO59" i="4" s="1"/>
  <c r="BN61" i="5"/>
  <c r="AO60" i="4" s="1"/>
  <c r="BN62" i="5"/>
  <c r="AO61" i="4" s="1"/>
  <c r="BN20" i="5"/>
  <c r="AO19" i="4" s="1"/>
  <c r="BN21" i="5"/>
  <c r="AO20" i="4" s="1"/>
  <c r="BN22" i="5"/>
  <c r="AO21" i="4" s="1"/>
  <c r="BN23" i="5"/>
  <c r="AO22" i="4" s="1"/>
  <c r="BN24" i="5"/>
  <c r="AO23" i="4" s="1"/>
  <c r="BN25" i="5"/>
  <c r="AO24" i="4" s="1"/>
  <c r="BN26" i="5"/>
  <c r="AO25" i="4" s="1"/>
  <c r="BN27" i="5"/>
  <c r="AO26" i="4" s="1"/>
  <c r="BN28" i="5"/>
  <c r="AO27" i="4" s="1"/>
  <c r="BN29" i="5"/>
  <c r="AO28" i="4" s="1"/>
  <c r="BN30" i="5"/>
  <c r="AO29" i="4" s="1"/>
  <c r="BN31" i="5"/>
  <c r="AO30" i="4" s="1"/>
  <c r="BN32" i="5"/>
  <c r="AO31" i="4" s="1"/>
  <c r="BN33" i="5"/>
  <c r="AO32" i="4" s="1"/>
  <c r="BN34" i="5"/>
  <c r="AO33" i="4" s="1"/>
  <c r="BN35" i="5"/>
  <c r="AO34" i="4" s="1"/>
  <c r="BN36" i="5"/>
  <c r="AO35" i="4" s="1"/>
  <c r="BN37" i="5"/>
  <c r="AO36" i="4" s="1"/>
  <c r="BN38" i="5"/>
  <c r="AO37" i="4" s="1"/>
  <c r="BN39" i="5"/>
  <c r="AO38" i="4" s="1"/>
  <c r="BN40" i="5"/>
  <c r="AO39" i="4" s="1"/>
  <c r="L43" i="4" s="1"/>
  <c r="BN41" i="5"/>
  <c r="AO40" i="4" s="1"/>
  <c r="BN42" i="5"/>
  <c r="AO41" i="4" s="1"/>
  <c r="AO42" i="4"/>
  <c r="BN4" i="5"/>
  <c r="AO3" i="4" s="1"/>
  <c r="BN5" i="5"/>
  <c r="AO4" i="4" s="1"/>
  <c r="BN6" i="5"/>
  <c r="AO5" i="4" s="1"/>
  <c r="AO6" i="4"/>
  <c r="L42" i="4" s="1"/>
  <c r="BN8" i="5"/>
  <c r="AO7" i="4" s="1"/>
  <c r="L44" i="4" s="1"/>
  <c r="BN9" i="5"/>
  <c r="AO8" i="4" s="1"/>
  <c r="BN10" i="5"/>
  <c r="AO9" i="4" s="1"/>
  <c r="BN11" i="5"/>
  <c r="AO10" i="4" s="1"/>
  <c r="BN12" i="5"/>
  <c r="AO11" i="4" s="1"/>
  <c r="BN13" i="5"/>
  <c r="AO12" i="4" s="1"/>
  <c r="BN15" i="5"/>
  <c r="AO14" i="4" s="1"/>
  <c r="BN16" i="5"/>
  <c r="AO15" i="4" s="1"/>
  <c r="BN17" i="5"/>
  <c r="AO16" i="4" s="1"/>
  <c r="BN18" i="5"/>
  <c r="AO17" i="4" s="1"/>
  <c r="BN19" i="5"/>
  <c r="AO18" i="4" s="1"/>
  <c r="BN3" i="5"/>
  <c r="BO4" i="5"/>
  <c r="AP3" i="4" s="1"/>
  <c r="M14" i="4" s="1"/>
  <c r="BO5" i="5"/>
  <c r="AP4" i="4" s="1"/>
  <c r="BO6" i="5"/>
  <c r="AP5" i="4" s="1"/>
  <c r="AP6" i="4"/>
  <c r="M42" i="4" s="1"/>
  <c r="BO8" i="5"/>
  <c r="AP7" i="4" s="1"/>
  <c r="M44" i="4" s="1"/>
  <c r="BO9" i="5"/>
  <c r="AP8" i="4" s="1"/>
  <c r="M25" i="4" s="1"/>
  <c r="BO10" i="5"/>
  <c r="AP9" i="4" s="1"/>
  <c r="M26" i="4" s="1"/>
  <c r="BO11" i="5"/>
  <c r="AP10" i="4" s="1"/>
  <c r="M27" i="4" s="1"/>
  <c r="BO12" i="5"/>
  <c r="AP11" i="4" s="1"/>
  <c r="M20" i="4" s="1"/>
  <c r="BO13" i="5"/>
  <c r="AP12" i="4" s="1"/>
  <c r="M10" i="4" s="1"/>
  <c r="BO14" i="5"/>
  <c r="AP13" i="4" s="1"/>
  <c r="M34" i="4" s="1"/>
  <c r="BO15" i="5"/>
  <c r="AP14" i="4" s="1"/>
  <c r="BO16" i="5"/>
  <c r="AP15" i="4" s="1"/>
  <c r="BO17" i="5"/>
  <c r="AP16" i="4" s="1"/>
  <c r="BO18" i="5"/>
  <c r="AP17" i="4" s="1"/>
  <c r="BO19" i="5"/>
  <c r="AP18" i="4" s="1"/>
  <c r="BO20" i="5"/>
  <c r="AP19" i="4" s="1"/>
  <c r="BO21" i="5"/>
  <c r="AP20" i="4" s="1"/>
  <c r="BO22" i="5"/>
  <c r="AP21" i="4" s="1"/>
  <c r="BO23" i="5"/>
  <c r="AP22" i="4" s="1"/>
  <c r="BO24" i="5"/>
  <c r="AP23" i="4" s="1"/>
  <c r="M35" i="4" s="1"/>
  <c r="BO25" i="5"/>
  <c r="AP24" i="4" s="1"/>
  <c r="BO26" i="5"/>
  <c r="AP25" i="4" s="1"/>
  <c r="BO27" i="5"/>
  <c r="AP26" i="4" s="1"/>
  <c r="BO28" i="5"/>
  <c r="AP27" i="4" s="1"/>
  <c r="BO29" i="5"/>
  <c r="AP28" i="4" s="1"/>
  <c r="BO30" i="5"/>
  <c r="AP29" i="4" s="1"/>
  <c r="BO31" i="5"/>
  <c r="AP30" i="4" s="1"/>
  <c r="BO32" i="5"/>
  <c r="AP31" i="4" s="1"/>
  <c r="BO33" i="5"/>
  <c r="AP32" i="4" s="1"/>
  <c r="BO34" i="5"/>
  <c r="AP33" i="4" s="1"/>
  <c r="BO35" i="5"/>
  <c r="AP34" i="4" s="1"/>
  <c r="BO36" i="5"/>
  <c r="AP35" i="4" s="1"/>
  <c r="BO37" i="5"/>
  <c r="AP36" i="4" s="1"/>
  <c r="BO38" i="5"/>
  <c r="AP37" i="4" s="1"/>
  <c r="BO39" i="5"/>
  <c r="AP38" i="4" s="1"/>
  <c r="BO40" i="5"/>
  <c r="AP39" i="4" s="1"/>
  <c r="BO41" i="5"/>
  <c r="AP40" i="4" s="1"/>
  <c r="M15" i="4" s="1"/>
  <c r="BO42" i="5"/>
  <c r="AP41" i="4" s="1"/>
  <c r="M16" i="4" s="1"/>
  <c r="BO44" i="5"/>
  <c r="AP43" i="4" s="1"/>
  <c r="M6" i="4" s="1"/>
  <c r="BO45" i="5"/>
  <c r="AP44" i="4" s="1"/>
  <c r="M7" i="4" s="1"/>
  <c r="BO46" i="5"/>
  <c r="AP45" i="4" s="1"/>
  <c r="M8" i="4" s="1"/>
  <c r="BO47" i="5"/>
  <c r="AP46" i="4" s="1"/>
  <c r="M9" i="4" s="1"/>
  <c r="BO48" i="5"/>
  <c r="AP47" i="4" s="1"/>
  <c r="M23" i="4" s="1"/>
  <c r="BO49" i="5"/>
  <c r="AP48" i="4" s="1"/>
  <c r="M29" i="4" s="1"/>
  <c r="BO50" i="5"/>
  <c r="AP49" i="4" s="1"/>
  <c r="BO51" i="5"/>
  <c r="AP50" i="4" s="1"/>
  <c r="BO52" i="5"/>
  <c r="AP51" i="4" s="1"/>
  <c r="BO53" i="5"/>
  <c r="AP52" i="4" s="1"/>
  <c r="M30" i="4" s="1"/>
  <c r="BO54" i="5"/>
  <c r="AP53" i="4" s="1"/>
  <c r="M17" i="4" s="1"/>
  <c r="BO55" i="5"/>
  <c r="AP54" i="4" s="1"/>
  <c r="M18" i="4" s="1"/>
  <c r="BO56" i="5"/>
  <c r="AP55" i="4" s="1"/>
  <c r="BO57" i="5"/>
  <c r="AP56" i="4" s="1"/>
  <c r="BO58" i="5"/>
  <c r="AP57" i="4" s="1"/>
  <c r="BO59" i="5"/>
  <c r="AP58" i="4" s="1"/>
  <c r="M22" i="4" s="1"/>
  <c r="BO60" i="5"/>
  <c r="AP59" i="4" s="1"/>
  <c r="BO61" i="5"/>
  <c r="AP60" i="4" s="1"/>
  <c r="BO62" i="5"/>
  <c r="AP61" i="4" s="1"/>
  <c r="BO63" i="5"/>
  <c r="AP62" i="4" s="1"/>
  <c r="AX4" i="5"/>
  <c r="AL3" i="4" s="1"/>
  <c r="AX5" i="5"/>
  <c r="AL4" i="4" s="1"/>
  <c r="AX6" i="5"/>
  <c r="AL5" i="4" s="1"/>
  <c r="AX7" i="5"/>
  <c r="AL6" i="4" s="1"/>
  <c r="AX8" i="5"/>
  <c r="AL7" i="4" s="1"/>
  <c r="AX9" i="5"/>
  <c r="AL8" i="4" s="1"/>
  <c r="AX10" i="5"/>
  <c r="AL9" i="4" s="1"/>
  <c r="AX11" i="5"/>
  <c r="AL10" i="4" s="1"/>
  <c r="AX12" i="5"/>
  <c r="AL11" i="4" s="1"/>
  <c r="AX13" i="5"/>
  <c r="AL12" i="4" s="1"/>
  <c r="AX14" i="5"/>
  <c r="AL13" i="4" s="1"/>
  <c r="AX15" i="5"/>
  <c r="AL14" i="4" s="1"/>
  <c r="AX16" i="5"/>
  <c r="AL15" i="4" s="1"/>
  <c r="AX17" i="5"/>
  <c r="AL16" i="4" s="1"/>
  <c r="AX18" i="5"/>
  <c r="AL17" i="4" s="1"/>
  <c r="AX19" i="5"/>
  <c r="AL18" i="4" s="1"/>
  <c r="AX20" i="5"/>
  <c r="AL19" i="4" s="1"/>
  <c r="AX21" i="5"/>
  <c r="AL20" i="4" s="1"/>
  <c r="AX22" i="5"/>
  <c r="AL21" i="4" s="1"/>
  <c r="AX23" i="5"/>
  <c r="AL22" i="4" s="1"/>
  <c r="AX24" i="5"/>
  <c r="AL23" i="4" s="1"/>
  <c r="AX25" i="5"/>
  <c r="AL24" i="4" s="1"/>
  <c r="AX26" i="5"/>
  <c r="AL25" i="4" s="1"/>
  <c r="AX27" i="5"/>
  <c r="AL26" i="4" s="1"/>
  <c r="AX28" i="5"/>
  <c r="AL27" i="4" s="1"/>
  <c r="AX29" i="5"/>
  <c r="AL28" i="4" s="1"/>
  <c r="AX30" i="5"/>
  <c r="AL29" i="4" s="1"/>
  <c r="AX31" i="5"/>
  <c r="AL30" i="4" s="1"/>
  <c r="AX32" i="5"/>
  <c r="AL31" i="4" s="1"/>
  <c r="AX33" i="5"/>
  <c r="AL32" i="4" s="1"/>
  <c r="AX34" i="5"/>
  <c r="AL33" i="4" s="1"/>
  <c r="AX35" i="5"/>
  <c r="AL34" i="4" s="1"/>
  <c r="AX36" i="5"/>
  <c r="AL35" i="4" s="1"/>
  <c r="AX37" i="5"/>
  <c r="AL36" i="4" s="1"/>
  <c r="AX38" i="5"/>
  <c r="AL37" i="4" s="1"/>
  <c r="AX39" i="5"/>
  <c r="AL38" i="4" s="1"/>
  <c r="AX40" i="5"/>
  <c r="AL39" i="4" s="1"/>
  <c r="AX41" i="5"/>
  <c r="AL40" i="4" s="1"/>
  <c r="AX42" i="5"/>
  <c r="AL41" i="4" s="1"/>
  <c r="AX43" i="5"/>
  <c r="AL42" i="4" s="1"/>
  <c r="AX44" i="5"/>
  <c r="AL43" i="4" s="1"/>
  <c r="AX45" i="5"/>
  <c r="AL44" i="4" s="1"/>
  <c r="AX46" i="5"/>
  <c r="AL45" i="4" s="1"/>
  <c r="AX47" i="5"/>
  <c r="AL46" i="4" s="1"/>
  <c r="AX48" i="5"/>
  <c r="AL47" i="4" s="1"/>
  <c r="AX49" i="5"/>
  <c r="AL48" i="4" s="1"/>
  <c r="AX50" i="5"/>
  <c r="AL49" i="4" s="1"/>
  <c r="AX51" i="5"/>
  <c r="AL50" i="4" s="1"/>
  <c r="AX52" i="5"/>
  <c r="AL51" i="4" s="1"/>
  <c r="AX53" i="5"/>
  <c r="AL52" i="4" s="1"/>
  <c r="AX54" i="5"/>
  <c r="AL53" i="4" s="1"/>
  <c r="AX55" i="5"/>
  <c r="AL54" i="4" s="1"/>
  <c r="AX56" i="5"/>
  <c r="AL55" i="4" s="1"/>
  <c r="AX57" i="5"/>
  <c r="AL56" i="4" s="1"/>
  <c r="AX58" i="5"/>
  <c r="AL57" i="4" s="1"/>
  <c r="AX59" i="5"/>
  <c r="AL58" i="4" s="1"/>
  <c r="AX60" i="5"/>
  <c r="AL59" i="4" s="1"/>
  <c r="AX61" i="5"/>
  <c r="AL60" i="4" s="1"/>
  <c r="AX62" i="5"/>
  <c r="AL61" i="4" s="1"/>
  <c r="AX63" i="5"/>
  <c r="AL62" i="4" s="1"/>
  <c r="AY4" i="5"/>
  <c r="AM3" i="4" s="1"/>
  <c r="AY5" i="5"/>
  <c r="AM4" i="4" s="1"/>
  <c r="AY6" i="5"/>
  <c r="AM5" i="4" s="1"/>
  <c r="AY7" i="5"/>
  <c r="AM6" i="4" s="1"/>
  <c r="J42" i="4" s="1"/>
  <c r="AY8" i="5"/>
  <c r="AM7" i="4" s="1"/>
  <c r="J44" i="4" s="1"/>
  <c r="AY9" i="5"/>
  <c r="AM8" i="4" s="1"/>
  <c r="AY10" i="5"/>
  <c r="AM9" i="4" s="1"/>
  <c r="AY11" i="5"/>
  <c r="AM10" i="4" s="1"/>
  <c r="AY12" i="5"/>
  <c r="AM11" i="4" s="1"/>
  <c r="AY13" i="5"/>
  <c r="AM12" i="4" s="1"/>
  <c r="AY14" i="5"/>
  <c r="AM13" i="4" s="1"/>
  <c r="AY15" i="5"/>
  <c r="AM14" i="4" s="1"/>
  <c r="AY16" i="5"/>
  <c r="AM15" i="4" s="1"/>
  <c r="AY17" i="5"/>
  <c r="AM16" i="4" s="1"/>
  <c r="AY18" i="5"/>
  <c r="AM17" i="4" s="1"/>
  <c r="AY19" i="5"/>
  <c r="AM18" i="4" s="1"/>
  <c r="AY20" i="5"/>
  <c r="AM19" i="4" s="1"/>
  <c r="AY21" i="5"/>
  <c r="AM20" i="4" s="1"/>
  <c r="AY22" i="5"/>
  <c r="AM21" i="4" s="1"/>
  <c r="AY23" i="5"/>
  <c r="AM22" i="4" s="1"/>
  <c r="AY24" i="5"/>
  <c r="AM23" i="4" s="1"/>
  <c r="AY25" i="5"/>
  <c r="AM24" i="4" s="1"/>
  <c r="AY26" i="5"/>
  <c r="AM25" i="4" s="1"/>
  <c r="AY27" i="5"/>
  <c r="AM26" i="4" s="1"/>
  <c r="AY28" i="5"/>
  <c r="AM27" i="4" s="1"/>
  <c r="AY29" i="5"/>
  <c r="AM28" i="4" s="1"/>
  <c r="AY30" i="5"/>
  <c r="AM29" i="4" s="1"/>
  <c r="AY31" i="5"/>
  <c r="AM30" i="4" s="1"/>
  <c r="AY32" i="5"/>
  <c r="AM31" i="4" s="1"/>
  <c r="AY33" i="5"/>
  <c r="AM32" i="4" s="1"/>
  <c r="AY34" i="5"/>
  <c r="AM33" i="4" s="1"/>
  <c r="AY35" i="5"/>
  <c r="AM34" i="4" s="1"/>
  <c r="AY36" i="5"/>
  <c r="AM35" i="4" s="1"/>
  <c r="AY37" i="5"/>
  <c r="AM36" i="4" s="1"/>
  <c r="AY38" i="5"/>
  <c r="AM37" i="4" s="1"/>
  <c r="AY39" i="5"/>
  <c r="AM38" i="4" s="1"/>
  <c r="AY40" i="5"/>
  <c r="AM39" i="4" s="1"/>
  <c r="J43" i="4" s="1"/>
  <c r="AY41" i="5"/>
  <c r="AM40" i="4" s="1"/>
  <c r="AY42" i="5"/>
  <c r="AM41" i="4" s="1"/>
  <c r="AY43" i="5"/>
  <c r="AM42" i="4" s="1"/>
  <c r="AY44" i="5"/>
  <c r="AM43" i="4" s="1"/>
  <c r="AY45" i="5"/>
  <c r="AM44" i="4" s="1"/>
  <c r="AY46" i="5"/>
  <c r="AM45" i="4" s="1"/>
  <c r="AY47" i="5"/>
  <c r="AM46" i="4" s="1"/>
  <c r="AY48" i="5"/>
  <c r="AM47" i="4" s="1"/>
  <c r="AY49" i="5"/>
  <c r="AM48" i="4" s="1"/>
  <c r="AY50" i="5"/>
  <c r="AM49" i="4" s="1"/>
  <c r="AY51" i="5"/>
  <c r="AM50" i="4" s="1"/>
  <c r="AY52" i="5"/>
  <c r="AM51" i="4" s="1"/>
  <c r="AY53" i="5"/>
  <c r="AM52" i="4" s="1"/>
  <c r="AY54" i="5"/>
  <c r="AM53" i="4" s="1"/>
  <c r="AY55" i="5"/>
  <c r="AM54" i="4" s="1"/>
  <c r="AY56" i="5"/>
  <c r="AM55" i="4" s="1"/>
  <c r="AY57" i="5"/>
  <c r="AM56" i="4" s="1"/>
  <c r="AY58" i="5"/>
  <c r="AM57" i="4" s="1"/>
  <c r="AY59" i="5"/>
  <c r="AM58" i="4" s="1"/>
  <c r="AY60" i="5"/>
  <c r="AM59" i="4" s="1"/>
  <c r="AY61" i="5"/>
  <c r="AM60" i="4" s="1"/>
  <c r="AY62" i="5"/>
  <c r="AM61" i="4" s="1"/>
  <c r="AY63" i="5"/>
  <c r="AM62" i="4" s="1"/>
  <c r="AY3" i="5"/>
  <c r="AX3" i="5"/>
  <c r="AW4" i="5"/>
  <c r="AW5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51" i="5"/>
  <c r="AW52" i="5"/>
  <c r="AW53" i="5"/>
  <c r="AW54" i="5"/>
  <c r="AW55" i="5"/>
  <c r="AW56" i="5"/>
  <c r="AW57" i="5"/>
  <c r="AW58" i="5"/>
  <c r="AW59" i="5"/>
  <c r="AW60" i="5"/>
  <c r="AW61" i="5"/>
  <c r="AW62" i="5"/>
  <c r="AW63" i="5"/>
  <c r="AW3" i="5"/>
  <c r="BM14" i="5"/>
  <c r="AJ47" i="17" l="1"/>
  <c r="AJ11" i="17"/>
  <c r="AJ57" i="17"/>
  <c r="AJ116" i="17"/>
  <c r="AF40" i="4"/>
  <c r="AJ117" i="17"/>
  <c r="AJ22" i="17"/>
  <c r="AJ111" i="17"/>
  <c r="AJ72" i="17"/>
  <c r="AJ74" i="17"/>
  <c r="AW48" i="8"/>
  <c r="AY48" i="8" s="1"/>
  <c r="BA48" i="8" s="1"/>
  <c r="BC48" i="8" s="1"/>
  <c r="BE48" i="8" s="1"/>
  <c r="BG48" i="8" s="1"/>
  <c r="BI48" i="8"/>
  <c r="M21" i="4"/>
  <c r="AJ38" i="17"/>
  <c r="AJ86" i="17"/>
  <c r="AJ31" i="17"/>
  <c r="AJ108" i="17"/>
  <c r="AJ68" i="17"/>
  <c r="AJ69" i="17"/>
  <c r="AJ84" i="17"/>
  <c r="AJ44" i="17"/>
  <c r="AJ114" i="17"/>
  <c r="AJ96" i="17"/>
  <c r="AJ5" i="17"/>
  <c r="AJ81" i="17"/>
  <c r="AJ77" i="17"/>
  <c r="AJ59" i="17"/>
  <c r="AJ115" i="17"/>
  <c r="AJ52" i="17"/>
  <c r="AJ50" i="17"/>
  <c r="AJ18" i="17"/>
  <c r="AJ19" i="17"/>
  <c r="AJ79" i="17"/>
  <c r="AJ24" i="17"/>
  <c r="AJ104" i="17"/>
  <c r="AJ9" i="17"/>
  <c r="AJ89" i="17"/>
  <c r="AJ99" i="17"/>
  <c r="AJ34" i="17"/>
  <c r="AJ60" i="17"/>
  <c r="AJ61" i="17"/>
  <c r="AJ51" i="17"/>
  <c r="AJ75" i="17"/>
  <c r="AJ32" i="17"/>
  <c r="AG48" i="4"/>
  <c r="AH48" i="4" s="1"/>
  <c r="AG8" i="4"/>
  <c r="AH8" i="4" s="1"/>
  <c r="AG56" i="4"/>
  <c r="AH56" i="4" s="1"/>
  <c r="AG16" i="4"/>
  <c r="AH16" i="4" s="1"/>
  <c r="AG39" i="4"/>
  <c r="AH39" i="4" s="1"/>
  <c r="AF8" i="4"/>
  <c r="AG23" i="4"/>
  <c r="AH23" i="4" s="1"/>
  <c r="AF55" i="4"/>
  <c r="AF15" i="4"/>
  <c r="AF32" i="4"/>
  <c r="N44" i="4"/>
  <c r="AF47" i="4"/>
  <c r="AF7" i="4"/>
  <c r="M12" i="4"/>
  <c r="M11" i="4" s="1"/>
  <c r="M4" i="4"/>
  <c r="M43" i="4"/>
  <c r="N43" i="4" s="1"/>
  <c r="M28" i="4"/>
  <c r="M24" i="4" s="1"/>
  <c r="AF31" i="4"/>
  <c r="J41" i="4"/>
  <c r="N42" i="4"/>
  <c r="L41" i="4"/>
  <c r="AJ20" i="17"/>
  <c r="AJ6" i="17"/>
  <c r="AJ21" i="17"/>
  <c r="AJ53" i="17"/>
  <c r="AJ85" i="17"/>
  <c r="AJ62" i="17"/>
  <c r="AJ42" i="17"/>
  <c r="AJ39" i="17"/>
  <c r="AJ71" i="17"/>
  <c r="AJ64" i="17"/>
  <c r="AJ43" i="17"/>
  <c r="AJ17" i="17"/>
  <c r="AJ113" i="17"/>
  <c r="AJ28" i="17"/>
  <c r="AJ92" i="17"/>
  <c r="AJ10" i="17"/>
  <c r="AJ29" i="17"/>
  <c r="AJ93" i="17"/>
  <c r="AJ3" i="17"/>
  <c r="AJ70" i="17"/>
  <c r="AJ82" i="17"/>
  <c r="AJ15" i="17"/>
  <c r="AJ40" i="17"/>
  <c r="AJ66" i="17"/>
  <c r="AJ83" i="17"/>
  <c r="AJ97" i="17"/>
  <c r="AJ36" i="17"/>
  <c r="AJ100" i="17"/>
  <c r="AJ37" i="17"/>
  <c r="AJ101" i="17"/>
  <c r="AJ14" i="17"/>
  <c r="AJ78" i="17"/>
  <c r="AJ87" i="17"/>
  <c r="AJ119" i="17"/>
  <c r="AJ16" i="17"/>
  <c r="AJ112" i="17"/>
  <c r="AJ33" i="17"/>
  <c r="AJ65" i="17"/>
  <c r="AJ67" i="17"/>
  <c r="AJ12" i="17"/>
  <c r="AJ76" i="17"/>
  <c r="AJ90" i="17"/>
  <c r="AJ13" i="17"/>
  <c r="AJ45" i="17"/>
  <c r="AJ109" i="17"/>
  <c r="AJ118" i="17"/>
  <c r="AJ63" i="17"/>
  <c r="AJ35" i="17"/>
  <c r="AJ88" i="17"/>
  <c r="AJ120" i="17"/>
  <c r="AJ41" i="17"/>
  <c r="AN52" i="4"/>
  <c r="AN27" i="4"/>
  <c r="AQ57" i="4"/>
  <c r="AQ49" i="4"/>
  <c r="AQ32" i="4"/>
  <c r="AQ16" i="4"/>
  <c r="AF62" i="4"/>
  <c r="AF54" i="4"/>
  <c r="AF46" i="4"/>
  <c r="AF38" i="4"/>
  <c r="AF30" i="4"/>
  <c r="AF22" i="4"/>
  <c r="AF14" i="4"/>
  <c r="AF6" i="4"/>
  <c r="AH40" i="4"/>
  <c r="AH32" i="4"/>
  <c r="AG62" i="4"/>
  <c r="AH62" i="4" s="1"/>
  <c r="AG46" i="4"/>
  <c r="AH46" i="4" s="1"/>
  <c r="AG38" i="4"/>
  <c r="AH38" i="4" s="1"/>
  <c r="AG22" i="4"/>
  <c r="AH22" i="4" s="1"/>
  <c r="AQ25" i="4"/>
  <c r="AN20" i="4"/>
  <c r="AQ15" i="4"/>
  <c r="AQ6" i="4"/>
  <c r="AN54" i="4"/>
  <c r="AN46" i="4"/>
  <c r="AN38" i="4"/>
  <c r="AN30" i="4"/>
  <c r="AN22" i="4"/>
  <c r="AN14" i="4"/>
  <c r="AN6" i="4"/>
  <c r="AQ54" i="4"/>
  <c r="AQ46" i="4"/>
  <c r="AQ61" i="4"/>
  <c r="AQ53" i="4"/>
  <c r="AQ45" i="4"/>
  <c r="AG59" i="4"/>
  <c r="AH59" i="4" s="1"/>
  <c r="AG51" i="4"/>
  <c r="AH51" i="4" s="1"/>
  <c r="AG35" i="4"/>
  <c r="AH35" i="4" s="1"/>
  <c r="AG27" i="4"/>
  <c r="AH27" i="4" s="1"/>
  <c r="AQ9" i="4"/>
  <c r="AQ41" i="4"/>
  <c r="AQ33" i="4"/>
  <c r="AQ17" i="4"/>
  <c r="AQ8" i="4"/>
  <c r="AQ40" i="4"/>
  <c r="AQ24" i="4"/>
  <c r="AG19" i="4"/>
  <c r="AH19" i="4" s="1"/>
  <c r="AG11" i="4"/>
  <c r="AH11" i="4" s="1"/>
  <c r="AQ19" i="4"/>
  <c r="AN37" i="4"/>
  <c r="AN21" i="4"/>
  <c r="AQ42" i="4"/>
  <c r="AQ26" i="4"/>
  <c r="AQ18" i="4"/>
  <c r="AQ60" i="4"/>
  <c r="AQ52" i="4"/>
  <c r="AQ44" i="4"/>
  <c r="AQ27" i="4"/>
  <c r="AG3" i="4"/>
  <c r="AH3" i="4" s="1"/>
  <c r="AN45" i="4"/>
  <c r="AN13" i="4"/>
  <c r="AQ10" i="4"/>
  <c r="AQ34" i="4"/>
  <c r="AQ59" i="4"/>
  <c r="AQ51" i="4"/>
  <c r="AQ43" i="4"/>
  <c r="AQ11" i="4"/>
  <c r="AN53" i="4"/>
  <c r="AN29" i="4"/>
  <c r="AN5" i="4"/>
  <c r="AG43" i="4"/>
  <c r="AH43" i="4" s="1"/>
  <c r="AQ7" i="4"/>
  <c r="AQ39" i="4"/>
  <c r="AQ31" i="4"/>
  <c r="AQ23" i="4"/>
  <c r="AQ58" i="4"/>
  <c r="AQ50" i="4"/>
  <c r="AF57" i="4"/>
  <c r="AF49" i="4"/>
  <c r="AF41" i="4"/>
  <c r="AF33" i="4"/>
  <c r="AF25" i="4"/>
  <c r="AF17" i="4"/>
  <c r="AF9" i="4"/>
  <c r="AG60" i="4"/>
  <c r="AH60" i="4" s="1"/>
  <c r="AG52" i="4"/>
  <c r="AH52" i="4" s="1"/>
  <c r="AG44" i="4"/>
  <c r="AH44" i="4" s="1"/>
  <c r="AG36" i="4"/>
  <c r="AH36" i="4" s="1"/>
  <c r="AG28" i="4"/>
  <c r="AH28" i="4" s="1"/>
  <c r="AG20" i="4"/>
  <c r="AH20" i="4" s="1"/>
  <c r="AG12" i="4"/>
  <c r="AH12" i="4" s="1"/>
  <c r="AG4" i="4"/>
  <c r="AH4" i="4" s="1"/>
  <c r="AQ35" i="4"/>
  <c r="AQ38" i="4"/>
  <c r="AQ22" i="4"/>
  <c r="AQ30" i="4"/>
  <c r="AN48" i="4"/>
  <c r="AN40" i="4"/>
  <c r="AN32" i="4"/>
  <c r="AN24" i="4"/>
  <c r="AN16" i="4"/>
  <c r="AN8" i="4"/>
  <c r="AQ14" i="4"/>
  <c r="AQ5" i="4"/>
  <c r="AQ37" i="4"/>
  <c r="AQ29" i="4"/>
  <c r="AQ21" i="4"/>
  <c r="AQ56" i="4"/>
  <c r="AQ48" i="4"/>
  <c r="AQ3" i="4"/>
  <c r="AN47" i="4"/>
  <c r="AN39" i="4"/>
  <c r="AN31" i="4"/>
  <c r="AN23" i="4"/>
  <c r="AN15" i="4"/>
  <c r="AN7" i="4"/>
  <c r="AQ12" i="4"/>
  <c r="AQ4" i="4"/>
  <c r="AQ36" i="4"/>
  <c r="AQ28" i="4"/>
  <c r="AQ20" i="4"/>
  <c r="AQ55" i="4"/>
  <c r="AQ47" i="4"/>
  <c r="AC24" i="4"/>
  <c r="AG24" i="4"/>
  <c r="AH24" i="4" s="1"/>
  <c r="AN51" i="4"/>
  <c r="AN19" i="4"/>
  <c r="AC53" i="4"/>
  <c r="AG53" i="4"/>
  <c r="AH53" i="4" s="1"/>
  <c r="AC13" i="4"/>
  <c r="AG13" i="4"/>
  <c r="AH13" i="4" s="1"/>
  <c r="AN44" i="4"/>
  <c r="AN12" i="4"/>
  <c r="AC2" i="4"/>
  <c r="AG2" i="4"/>
  <c r="AH2" i="4" s="1"/>
  <c r="AC45" i="4"/>
  <c r="AG45" i="4"/>
  <c r="AH45" i="4" s="1"/>
  <c r="AC29" i="4"/>
  <c r="AG29" i="4"/>
  <c r="AH29" i="4" s="1"/>
  <c r="AC5" i="4"/>
  <c r="AG5" i="4"/>
  <c r="AH5" i="4" s="1"/>
  <c r="AN50" i="4"/>
  <c r="AN42" i="4"/>
  <c r="AN34" i="4"/>
  <c r="AN26" i="4"/>
  <c r="AN18" i="4"/>
  <c r="AN10" i="4"/>
  <c r="AG55" i="4"/>
  <c r="AH55" i="4" s="1"/>
  <c r="AG14" i="4"/>
  <c r="AH14" i="4" s="1"/>
  <c r="AN43" i="4"/>
  <c r="AN11" i="4"/>
  <c r="AF53" i="4"/>
  <c r="AF21" i="4"/>
  <c r="AC61" i="4"/>
  <c r="AG61" i="4"/>
  <c r="AH61" i="4" s="1"/>
  <c r="AC37" i="4"/>
  <c r="AG37" i="4"/>
  <c r="AH37" i="4" s="1"/>
  <c r="AC21" i="4"/>
  <c r="AG21" i="4"/>
  <c r="AH21" i="4" s="1"/>
  <c r="AN49" i="4"/>
  <c r="AN41" i="4"/>
  <c r="AN33" i="4"/>
  <c r="AN25" i="4"/>
  <c r="AN17" i="4"/>
  <c r="AN9" i="4"/>
  <c r="AF56" i="4"/>
  <c r="AF48" i="4"/>
  <c r="AF24" i="4"/>
  <c r="AF16" i="4"/>
  <c r="AG54" i="4"/>
  <c r="AH54" i="4" s="1"/>
  <c r="AG31" i="4"/>
  <c r="AH31" i="4" s="1"/>
  <c r="AN36" i="4"/>
  <c r="AN4" i="4"/>
  <c r="AF13" i="4"/>
  <c r="AH15" i="4"/>
  <c r="AC58" i="4"/>
  <c r="AG58" i="4"/>
  <c r="AH58" i="4" s="1"/>
  <c r="AC50" i="4"/>
  <c r="AG50" i="4"/>
  <c r="AH50" i="4" s="1"/>
  <c r="AC42" i="4"/>
  <c r="AG42" i="4"/>
  <c r="AH42" i="4" s="1"/>
  <c r="AC34" i="4"/>
  <c r="AG34" i="4"/>
  <c r="AH34" i="4" s="1"/>
  <c r="AC26" i="4"/>
  <c r="AG26" i="4"/>
  <c r="AH26" i="4" s="1"/>
  <c r="AC18" i="4"/>
  <c r="AG18" i="4"/>
  <c r="AH18" i="4" s="1"/>
  <c r="AC10" i="4"/>
  <c r="AG10" i="4"/>
  <c r="AH10" i="4" s="1"/>
  <c r="AG30" i="4"/>
  <c r="AH30" i="4" s="1"/>
  <c r="AG7" i="4"/>
  <c r="AH7" i="4" s="1"/>
  <c r="AN35" i="4"/>
  <c r="AN3" i="4"/>
  <c r="AC57" i="4"/>
  <c r="AG57" i="4"/>
  <c r="AH57" i="4" s="1"/>
  <c r="AC49" i="4"/>
  <c r="AG49" i="4"/>
  <c r="AH49" i="4" s="1"/>
  <c r="AC41" i="4"/>
  <c r="AG41" i="4"/>
  <c r="AH41" i="4" s="1"/>
  <c r="AC33" i="4"/>
  <c r="AG33" i="4"/>
  <c r="AH33" i="4" s="1"/>
  <c r="AC25" i="4"/>
  <c r="AG25" i="4"/>
  <c r="AH25" i="4" s="1"/>
  <c r="AC17" i="4"/>
  <c r="AG17" i="4"/>
  <c r="AH17" i="4" s="1"/>
  <c r="AC9" i="4"/>
  <c r="AG9" i="4"/>
  <c r="AH9" i="4" s="1"/>
  <c r="AG47" i="4"/>
  <c r="AH47" i="4" s="1"/>
  <c r="AG6" i="4"/>
  <c r="AH6" i="4" s="1"/>
  <c r="AN28" i="4"/>
  <c r="AF61" i="4"/>
  <c r="AF45" i="4"/>
  <c r="AF37" i="4"/>
  <c r="AF29" i="4"/>
  <c r="AF5" i="4"/>
  <c r="AF60" i="4"/>
  <c r="AF52" i="4"/>
  <c r="AF44" i="4"/>
  <c r="AF36" i="4"/>
  <c r="AF28" i="4"/>
  <c r="AF20" i="4"/>
  <c r="AF12" i="4"/>
  <c r="AF4" i="4"/>
  <c r="AF2" i="4"/>
  <c r="AF59" i="4"/>
  <c r="AF51" i="4"/>
  <c r="AF43" i="4"/>
  <c r="AF35" i="4"/>
  <c r="AF27" i="4"/>
  <c r="AF19" i="4"/>
  <c r="AF11" i="4"/>
  <c r="AF3" i="4"/>
  <c r="AF58" i="4"/>
  <c r="AF50" i="4"/>
  <c r="AF42" i="4"/>
  <c r="AF34" i="4"/>
  <c r="AF26" i="4"/>
  <c r="AF18" i="4"/>
  <c r="AF10" i="4"/>
  <c r="AC55" i="4"/>
  <c r="AC47" i="4"/>
  <c r="AC39" i="4"/>
  <c r="AC31" i="4"/>
  <c r="AC23" i="4"/>
  <c r="AC15" i="4"/>
  <c r="AC7" i="4"/>
  <c r="AC56" i="4"/>
  <c r="AC48" i="4"/>
  <c r="AC40" i="4"/>
  <c r="AC32" i="4"/>
  <c r="AC16" i="4"/>
  <c r="AC8" i="4"/>
  <c r="AC62" i="4"/>
  <c r="AC54" i="4"/>
  <c r="AC46" i="4"/>
  <c r="AC38" i="4"/>
  <c r="AC30" i="4"/>
  <c r="AC22" i="4"/>
  <c r="AC14" i="4"/>
  <c r="AC6" i="4"/>
  <c r="AK55" i="4"/>
  <c r="AK47" i="4"/>
  <c r="AK39" i="4"/>
  <c r="AC60" i="4"/>
  <c r="AC52" i="4"/>
  <c r="AC44" i="4"/>
  <c r="AC36" i="4"/>
  <c r="AC28" i="4"/>
  <c r="AC20" i="4"/>
  <c r="AC12" i="4"/>
  <c r="AC4" i="4"/>
  <c r="AK29" i="4"/>
  <c r="AK21" i="4"/>
  <c r="AK13" i="4"/>
  <c r="AK5" i="4"/>
  <c r="AC59" i="4"/>
  <c r="AC51" i="4"/>
  <c r="AC43" i="4"/>
  <c r="AC35" i="4"/>
  <c r="AC27" i="4"/>
  <c r="AC19" i="4"/>
  <c r="AC11" i="4"/>
  <c r="AC3" i="4"/>
  <c r="AK46" i="4"/>
  <c r="AK12" i="4"/>
  <c r="AK61" i="4"/>
  <c r="AK45" i="4"/>
  <c r="AK37" i="4"/>
  <c r="AK53" i="4"/>
  <c r="AK14" i="4"/>
  <c r="AK22" i="4"/>
  <c r="AK56" i="4"/>
  <c r="AK48" i="4"/>
  <c r="AK40" i="4"/>
  <c r="AK38" i="4"/>
  <c r="AK59" i="4"/>
  <c r="AK51" i="4"/>
  <c r="AK43" i="4"/>
  <c r="AK35" i="4"/>
  <c r="AK27" i="4"/>
  <c r="AK19" i="4"/>
  <c r="AK11" i="4"/>
  <c r="AK3" i="4"/>
  <c r="AK36" i="4"/>
  <c r="AK20" i="4"/>
  <c r="AK57" i="4"/>
  <c r="AK49" i="4"/>
  <c r="AK41" i="4"/>
  <c r="AK33" i="4"/>
  <c r="AK25" i="4"/>
  <c r="AK17" i="4"/>
  <c r="AK9" i="4"/>
  <c r="AK32" i="4"/>
  <c r="AK24" i="4"/>
  <c r="AK16" i="4"/>
  <c r="AK8" i="4"/>
  <c r="AK54" i="4"/>
  <c r="AK2" i="4"/>
  <c r="AK31" i="4"/>
  <c r="AK23" i="4"/>
  <c r="AK15" i="4"/>
  <c r="AK7" i="4"/>
  <c r="AK52" i="4"/>
  <c r="AK6" i="4"/>
  <c r="AK44" i="4"/>
  <c r="AK4" i="4"/>
  <c r="AK62" i="4"/>
  <c r="AK30" i="4"/>
  <c r="AK60" i="4"/>
  <c r="AK28" i="4"/>
  <c r="AK58" i="4"/>
  <c r="AK50" i="4"/>
  <c r="AK42" i="4"/>
  <c r="AK34" i="4"/>
  <c r="AK26" i="4"/>
  <c r="AK18" i="4"/>
  <c r="AK10" i="4"/>
  <c r="BN14" i="5"/>
  <c r="AO13" i="4" s="1"/>
  <c r="AQ13" i="4" s="1"/>
  <c r="AN59" i="4"/>
  <c r="AN60" i="4"/>
  <c r="AN61" i="4"/>
  <c r="AN55" i="4"/>
  <c r="AN58" i="4"/>
  <c r="AN57" i="4"/>
  <c r="AN62" i="4"/>
  <c r="AN56" i="4"/>
  <c r="M41" i="4" l="1"/>
  <c r="N41" i="4" s="1"/>
  <c r="K39" i="4"/>
  <c r="K40" i="4"/>
  <c r="K38" i="4"/>
  <c r="K37" i="4" l="1"/>
  <c r="J37" i="4"/>
  <c r="J36" i="4" s="1"/>
  <c r="G37" i="4"/>
  <c r="I37" i="4"/>
  <c r="F37" i="4"/>
  <c r="F28" i="4"/>
  <c r="H37" i="4" l="1"/>
  <c r="BM3" i="5"/>
  <c r="AO2" i="4"/>
  <c r="J14" i="4"/>
  <c r="J10" i="4"/>
  <c r="AM2" i="4"/>
  <c r="J13" i="4" s="1"/>
  <c r="L13" i="4" l="1"/>
  <c r="N13" i="4" s="1"/>
  <c r="AQ2" i="4"/>
  <c r="J22" i="4" l="1"/>
  <c r="I22" i="4"/>
  <c r="J18" i="4"/>
  <c r="J17" i="4"/>
  <c r="J30" i="4"/>
  <c r="J29" i="4"/>
  <c r="J23" i="4"/>
  <c r="I23" i="4"/>
  <c r="J9" i="4"/>
  <c r="J8" i="4"/>
  <c r="J7" i="4"/>
  <c r="J6" i="4"/>
  <c r="J5" i="4"/>
  <c r="J16" i="4"/>
  <c r="J15" i="4"/>
  <c r="J28" i="4"/>
  <c r="J35" i="4"/>
  <c r="J34" i="4"/>
  <c r="J20" i="4"/>
  <c r="J27" i="4"/>
  <c r="J26" i="4"/>
  <c r="J25" i="4"/>
  <c r="AL2" i="4"/>
  <c r="AN2" i="4" s="1"/>
  <c r="BN63" i="5"/>
  <c r="AO62" i="4" s="1"/>
  <c r="AQ62" i="4" s="1"/>
  <c r="L22" i="4"/>
  <c r="N22" i="4" s="1"/>
  <c r="L18" i="4"/>
  <c r="N18" i="4" s="1"/>
  <c r="L17" i="4"/>
  <c r="N17" i="4" s="1"/>
  <c r="L30" i="4"/>
  <c r="N30" i="4" s="1"/>
  <c r="L29" i="4"/>
  <c r="N29" i="4" s="1"/>
  <c r="L23" i="4"/>
  <c r="N23" i="4" s="1"/>
  <c r="L9" i="4"/>
  <c r="N9" i="4" s="1"/>
  <c r="L8" i="4"/>
  <c r="N8" i="4" s="1"/>
  <c r="L7" i="4"/>
  <c r="N7" i="4" s="1"/>
  <c r="L6" i="4"/>
  <c r="N6" i="4" s="1"/>
  <c r="L5" i="4"/>
  <c r="N5" i="4" s="1"/>
  <c r="L16" i="4"/>
  <c r="N16" i="4" s="1"/>
  <c r="L15" i="4"/>
  <c r="N15" i="4" s="1"/>
  <c r="L28" i="4"/>
  <c r="N28" i="4" s="1"/>
  <c r="L35" i="4"/>
  <c r="N35" i="4" s="1"/>
  <c r="L34" i="4"/>
  <c r="N34" i="4" s="1"/>
  <c r="L10" i="4"/>
  <c r="N10" i="4" s="1"/>
  <c r="L20" i="4"/>
  <c r="N20" i="4" s="1"/>
  <c r="L27" i="4"/>
  <c r="N27" i="4" s="1"/>
  <c r="L26" i="4"/>
  <c r="N26" i="4" s="1"/>
  <c r="L25" i="4"/>
  <c r="N25" i="4" s="1"/>
  <c r="L14" i="4"/>
  <c r="N14" i="4" s="1"/>
  <c r="O3" i="5"/>
  <c r="N12" i="4" l="1"/>
  <c r="N11" i="4" s="1"/>
  <c r="N21" i="4"/>
  <c r="N24" i="4"/>
  <c r="L24" i="4"/>
  <c r="J24" i="4"/>
  <c r="J12" i="4"/>
  <c r="J11" i="4" s="1"/>
  <c r="I21" i="4"/>
  <c r="J4" i="4"/>
  <c r="J21" i="4"/>
  <c r="L4" i="4"/>
  <c r="N4" i="4" s="1"/>
  <c r="L21" i="4"/>
  <c r="L12" i="4"/>
  <c r="J3" i="4" l="1"/>
  <c r="K21" i="4"/>
  <c r="B4" i="9" l="1"/>
  <c r="AX28" i="10"/>
  <c r="AY28" i="10"/>
  <c r="AX27" i="10"/>
  <c r="AY27" i="10"/>
  <c r="AX26" i="10"/>
  <c r="AY26" i="10"/>
  <c r="AX25" i="10"/>
  <c r="AY25" i="10"/>
  <c r="AX24" i="10"/>
  <c r="AY24" i="10"/>
  <c r="AX23" i="10"/>
  <c r="X21" i="10" s="1"/>
  <c r="AY23" i="10"/>
  <c r="AX22" i="10"/>
  <c r="AY22" i="10"/>
  <c r="AX21" i="10"/>
  <c r="AY21" i="10"/>
  <c r="AX20" i="10"/>
  <c r="AY20" i="10"/>
  <c r="AX19" i="10"/>
  <c r="AY19" i="10"/>
  <c r="AX18" i="10"/>
  <c r="AY18" i="10"/>
  <c r="AX17" i="10"/>
  <c r="AY17" i="10"/>
  <c r="AY16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P23" i="10"/>
  <c r="V21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Z16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Z17" i="10"/>
  <c r="BA17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Q16" i="10" s="1"/>
  <c r="AP18" i="10"/>
  <c r="AQ18" i="10"/>
  <c r="AR18" i="10"/>
  <c r="AS18" i="10"/>
  <c r="AT18" i="10"/>
  <c r="AU18" i="10"/>
  <c r="AV18" i="10"/>
  <c r="AW18" i="10"/>
  <c r="AZ18" i="10"/>
  <c r="BA18" i="10"/>
  <c r="U16" i="10" s="1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Z19" i="10"/>
  <c r="BA19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S18" i="10" s="1"/>
  <c r="AV20" i="10"/>
  <c r="AW20" i="10"/>
  <c r="AZ20" i="10"/>
  <c r="BA20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Z21" i="10"/>
  <c r="BA21" i="10"/>
  <c r="Y19" i="10" s="1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Q20" i="10" s="1"/>
  <c r="AP22" i="10"/>
  <c r="AQ22" i="10"/>
  <c r="AR22" i="10"/>
  <c r="AS22" i="10"/>
  <c r="AT22" i="10"/>
  <c r="AU22" i="10"/>
  <c r="AV22" i="10"/>
  <c r="AW22" i="10"/>
  <c r="AZ22" i="10"/>
  <c r="BA22" i="10"/>
  <c r="Y20" i="10" s="1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R21" i="10" s="1"/>
  <c r="AS23" i="10"/>
  <c r="AT23" i="10"/>
  <c r="AU23" i="10"/>
  <c r="AV23" i="10"/>
  <c r="AW23" i="10"/>
  <c r="AZ23" i="10"/>
  <c r="BA23" i="10"/>
  <c r="Y21" i="10" s="1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Z24" i="10"/>
  <c r="BA24" i="10"/>
  <c r="Z25" i="10"/>
  <c r="L23" i="10" s="1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Z25" i="10"/>
  <c r="BA25" i="10"/>
  <c r="X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P24" i="10" s="1"/>
  <c r="AM26" i="10"/>
  <c r="AN26" i="10"/>
  <c r="AO26" i="10"/>
  <c r="AP26" i="10"/>
  <c r="AQ26" i="10"/>
  <c r="AR26" i="10"/>
  <c r="AS26" i="10"/>
  <c r="AT26" i="10"/>
  <c r="AU26" i="10"/>
  <c r="AV26" i="10"/>
  <c r="AW26" i="10"/>
  <c r="AZ26" i="10"/>
  <c r="BA26" i="10"/>
  <c r="Y24" i="10" s="1"/>
  <c r="H27" i="10"/>
  <c r="F25" i="10" s="1"/>
  <c r="I27" i="10"/>
  <c r="J27" i="10"/>
  <c r="K27" i="10"/>
  <c r="G25" i="10" s="1"/>
  <c r="L27" i="10"/>
  <c r="M27" i="10"/>
  <c r="N27" i="10"/>
  <c r="H25" i="10" s="1"/>
  <c r="F23" i="10" s="1"/>
  <c r="O27" i="10"/>
  <c r="P27" i="10"/>
  <c r="Q27" i="10"/>
  <c r="I25" i="10" s="1"/>
  <c r="R27" i="10"/>
  <c r="S27" i="10"/>
  <c r="T27" i="10"/>
  <c r="J25" i="10" s="1"/>
  <c r="U27" i="10"/>
  <c r="V27" i="10"/>
  <c r="W27" i="10"/>
  <c r="K25" i="10" s="1"/>
  <c r="G23" i="10" s="1"/>
  <c r="X27" i="10"/>
  <c r="Y27" i="10"/>
  <c r="Z27" i="10"/>
  <c r="L25" i="10" s="1"/>
  <c r="AA27" i="10"/>
  <c r="AB27" i="10"/>
  <c r="AC27" i="10"/>
  <c r="AD27" i="10"/>
  <c r="AE27" i="10"/>
  <c r="AF27" i="10"/>
  <c r="N25" i="10" s="1"/>
  <c r="H23" i="10" s="1"/>
  <c r="F21" i="10" s="1"/>
  <c r="AG27" i="10"/>
  <c r="AH27" i="10"/>
  <c r="AI27" i="10"/>
  <c r="O25" i="10" s="1"/>
  <c r="AJ27" i="10"/>
  <c r="AK27" i="10"/>
  <c r="AL27" i="10"/>
  <c r="AM27" i="10"/>
  <c r="AN27" i="10"/>
  <c r="AO27" i="10"/>
  <c r="AP27" i="10"/>
  <c r="AQ27" i="10"/>
  <c r="AR27" i="10"/>
  <c r="R25" i="10" s="1"/>
  <c r="AS27" i="10"/>
  <c r="AT27" i="10"/>
  <c r="AU27" i="10"/>
  <c r="S25" i="10" s="1"/>
  <c r="AV27" i="10"/>
  <c r="AW27" i="10"/>
  <c r="AZ27" i="10"/>
  <c r="BA27" i="10"/>
  <c r="Y25" i="10" s="1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Z28" i="10"/>
  <c r="BA28" i="10"/>
  <c r="G27" i="10"/>
  <c r="F28" i="10"/>
  <c r="F27" i="10"/>
  <c r="U23" i="10" l="1"/>
  <c r="Y26" i="10"/>
  <c r="V25" i="10"/>
  <c r="H26" i="10"/>
  <c r="F24" i="10" s="1"/>
  <c r="O26" i="10"/>
  <c r="Q25" i="10"/>
  <c r="I23" i="10" s="1"/>
  <c r="M25" i="10"/>
  <c r="W25" i="10"/>
  <c r="N26" i="10"/>
  <c r="H24" i="10" s="1"/>
  <c r="F22" i="10" s="1"/>
  <c r="U20" i="10"/>
  <c r="Y16" i="10"/>
  <c r="U21" i="10"/>
  <c r="P25" i="10"/>
  <c r="P21" i="10"/>
  <c r="W18" i="10"/>
  <c r="Q26" i="10"/>
  <c r="Q22" i="10"/>
  <c r="G26" i="10"/>
  <c r="P26" i="10"/>
  <c r="P22" i="10"/>
  <c r="F26" i="10"/>
  <c r="I26" i="10"/>
  <c r="N13" i="9"/>
  <c r="N14" i="9"/>
  <c r="E4" i="9"/>
  <c r="O33" i="8"/>
  <c r="M38" i="4" s="1"/>
  <c r="O34" i="8"/>
  <c r="M39" i="4" s="1"/>
  <c r="O35" i="8"/>
  <c r="M40" i="4" s="1"/>
  <c r="N34" i="8"/>
  <c r="L39" i="4" s="1"/>
  <c r="N35" i="8"/>
  <c r="L40" i="4" s="1"/>
  <c r="P33" i="8"/>
  <c r="P34" i="8"/>
  <c r="P35" i="8"/>
  <c r="I24" i="10" l="1"/>
  <c r="U19" i="10"/>
  <c r="Q19" i="10"/>
  <c r="S26" i="10"/>
  <c r="W26" i="10"/>
  <c r="Q18" i="10"/>
  <c r="U18" i="10"/>
  <c r="T23" i="10"/>
  <c r="X23" i="10"/>
  <c r="X17" i="10"/>
  <c r="T17" i="10"/>
  <c r="Q17" i="10"/>
  <c r="U17" i="10"/>
  <c r="Q24" i="10"/>
  <c r="U24" i="10"/>
  <c r="R16" i="10"/>
  <c r="V16" i="10"/>
  <c r="R24" i="10"/>
  <c r="V24" i="10"/>
  <c r="T21" i="10"/>
  <c r="M19" i="10"/>
  <c r="L24" i="10"/>
  <c r="T25" i="10"/>
  <c r="X25" i="10"/>
  <c r="R18" i="10"/>
  <c r="V18" i="10"/>
  <c r="K26" i="10"/>
  <c r="G24" i="10" s="1"/>
  <c r="T19" i="10"/>
  <c r="X19" i="10"/>
  <c r="R20" i="10"/>
  <c r="V20" i="10"/>
  <c r="U25" i="10"/>
  <c r="P20" i="10"/>
  <c r="L26" i="10"/>
  <c r="R17" i="10"/>
  <c r="V17" i="10"/>
  <c r="P17" i="10"/>
  <c r="S16" i="10"/>
  <c r="W16" i="10"/>
  <c r="W24" i="10"/>
  <c r="S24" i="10"/>
  <c r="J26" i="10"/>
  <c r="S21" i="10"/>
  <c r="W21" i="10"/>
  <c r="O20" i="10"/>
  <c r="O24" i="10"/>
  <c r="R26" i="10"/>
  <c r="V26" i="10"/>
  <c r="V19" i="10"/>
  <c r="R19" i="10"/>
  <c r="S17" i="10"/>
  <c r="W17" i="10"/>
  <c r="M23" i="10"/>
  <c r="P19" i="10"/>
  <c r="S20" i="10"/>
  <c r="W20" i="10"/>
  <c r="T16" i="10"/>
  <c r="X16" i="10"/>
  <c r="P16" i="10"/>
  <c r="U26" i="10"/>
  <c r="O22" i="10"/>
  <c r="Q23" i="10"/>
  <c r="I21" i="10" s="1"/>
  <c r="Q21" i="10"/>
  <c r="I19" i="10" s="1"/>
  <c r="R23" i="10"/>
  <c r="V23" i="10"/>
  <c r="T22" i="10"/>
  <c r="X22" i="10"/>
  <c r="P18" i="10"/>
  <c r="R22" i="10"/>
  <c r="V22" i="10"/>
  <c r="S22" i="10"/>
  <c r="W22" i="10"/>
  <c r="W19" i="10"/>
  <c r="S19" i="10"/>
  <c r="X24" i="10"/>
  <c r="T24" i="10"/>
  <c r="S23" i="10"/>
  <c r="W23" i="10"/>
  <c r="U22" i="10"/>
  <c r="X20" i="10"/>
  <c r="T20" i="10"/>
  <c r="T18" i="10"/>
  <c r="X18" i="10"/>
  <c r="M26" i="10"/>
  <c r="T26" i="10"/>
  <c r="N39" i="4"/>
  <c r="N40" i="4"/>
  <c r="M37" i="4"/>
  <c r="M36" i="4" s="1"/>
  <c r="M3" i="4" s="1"/>
  <c r="N38" i="4"/>
  <c r="L37" i="4"/>
  <c r="C32" i="8"/>
  <c r="D32" i="8"/>
  <c r="E32" i="8"/>
  <c r="K23" i="10" l="1"/>
  <c r="G21" i="10" s="1"/>
  <c r="O23" i="10"/>
  <c r="O16" i="10"/>
  <c r="I20" i="10"/>
  <c r="M20" i="10"/>
  <c r="O18" i="10"/>
  <c r="K20" i="10"/>
  <c r="G18" i="10" s="1"/>
  <c r="N18" i="10"/>
  <c r="N16" i="10"/>
  <c r="M24" i="10"/>
  <c r="O19" i="10"/>
  <c r="N19" i="10"/>
  <c r="J21" i="10"/>
  <c r="N21" i="10"/>
  <c r="M21" i="10"/>
  <c r="K24" i="10"/>
  <c r="G22" i="10" s="1"/>
  <c r="K22" i="10"/>
  <c r="G20" i="10" s="1"/>
  <c r="N37" i="4"/>
  <c r="N32" i="8"/>
  <c r="L36" i="4"/>
  <c r="N36" i="4" s="1"/>
  <c r="P32" i="8"/>
  <c r="C25" i="8"/>
  <c r="D25" i="8"/>
  <c r="E25" i="8"/>
  <c r="F25" i="8"/>
  <c r="G25" i="8"/>
  <c r="H25" i="8"/>
  <c r="I25" i="8"/>
  <c r="J25" i="8"/>
  <c r="K25" i="8"/>
  <c r="L25" i="8"/>
  <c r="M25" i="8"/>
  <c r="B25" i="8"/>
  <c r="J24" i="10" l="1"/>
  <c r="N24" i="10"/>
  <c r="M16" i="10"/>
  <c r="N17" i="10"/>
  <c r="M17" i="10"/>
  <c r="J23" i="10"/>
  <c r="N23" i="10"/>
  <c r="H17" i="10"/>
  <c r="L17" i="10"/>
  <c r="K18" i="10"/>
  <c r="M18" i="10"/>
  <c r="O17" i="10"/>
  <c r="I22" i="10"/>
  <c r="M22" i="10"/>
  <c r="K21" i="10"/>
  <c r="O21" i="10"/>
  <c r="J22" i="10"/>
  <c r="N22" i="10"/>
  <c r="N20" i="10"/>
  <c r="P25" i="8"/>
  <c r="Q5" i="11"/>
  <c r="H19" i="10" l="1"/>
  <c r="L19" i="10"/>
  <c r="H18" i="10"/>
  <c r="L18" i="10"/>
  <c r="G16" i="10"/>
  <c r="K16" i="10"/>
  <c r="H22" i="10"/>
  <c r="L22" i="10"/>
  <c r="H20" i="10"/>
  <c r="L20" i="10"/>
  <c r="H21" i="10"/>
  <c r="L21" i="10"/>
  <c r="G19" i="10"/>
  <c r="K19" i="10"/>
  <c r="H16" i="10"/>
  <c r="L16" i="10"/>
  <c r="C7" i="13"/>
  <c r="L11" i="4"/>
  <c r="L3" i="4" s="1"/>
  <c r="N3" i="4" s="1"/>
  <c r="B11" i="9"/>
  <c r="B5" i="9"/>
  <c r="F19" i="10" l="1"/>
  <c r="I17" i="10" s="1"/>
  <c r="J19" i="10"/>
  <c r="F18" i="10"/>
  <c r="I16" i="10" s="1"/>
  <c r="J18" i="10"/>
  <c r="F20" i="10"/>
  <c r="I18" i="10" s="1"/>
  <c r="J20" i="10"/>
  <c r="F16" i="10"/>
  <c r="J16" i="10"/>
  <c r="G17" i="10"/>
  <c r="K17" i="10"/>
  <c r="F17" i="10"/>
  <c r="J17" i="10"/>
  <c r="I5" i="4"/>
  <c r="K5" i="4" s="1"/>
  <c r="I6" i="4"/>
  <c r="K6" i="4" s="1"/>
  <c r="B6" i="9"/>
  <c r="B7" i="9"/>
  <c r="B8" i="9"/>
  <c r="B9" i="9"/>
  <c r="B10" i="9"/>
  <c r="B12" i="9"/>
  <c r="H40" i="4" l="1"/>
  <c r="H38" i="4"/>
  <c r="I43" i="4" l="1"/>
  <c r="K43" i="4" s="1"/>
  <c r="H39" i="4"/>
  <c r="I18" i="4"/>
  <c r="K18" i="4" s="1"/>
  <c r="I30" i="4"/>
  <c r="K30" i="4" s="1"/>
  <c r="I29" i="4"/>
  <c r="K29" i="4" s="1"/>
  <c r="I17" i="4"/>
  <c r="K17" i="4" s="1"/>
  <c r="I28" i="4" l="1"/>
  <c r="K28" i="4" s="1"/>
  <c r="I9" i="4"/>
  <c r="K9" i="4" s="1"/>
  <c r="B2" i="8" l="1"/>
  <c r="I14" i="4"/>
  <c r="K14" i="4" s="1"/>
  <c r="I42" i="4"/>
  <c r="I44" i="4"/>
  <c r="K44" i="4" s="1"/>
  <c r="I25" i="4"/>
  <c r="K25" i="4" s="1"/>
  <c r="I26" i="4"/>
  <c r="K26" i="4" s="1"/>
  <c r="I27" i="4"/>
  <c r="K27" i="4" s="1"/>
  <c r="I20" i="4"/>
  <c r="I10" i="4"/>
  <c r="K10" i="4" s="1"/>
  <c r="I34" i="4"/>
  <c r="K34" i="4" s="1"/>
  <c r="I35" i="4"/>
  <c r="K35" i="4" s="1"/>
  <c r="I15" i="4"/>
  <c r="K15" i="4" s="1"/>
  <c r="I16" i="4"/>
  <c r="K16" i="4" s="1"/>
  <c r="I7" i="4"/>
  <c r="K7" i="4" s="1"/>
  <c r="I8" i="4"/>
  <c r="K8" i="4" s="1"/>
  <c r="I13" i="4"/>
  <c r="K13" i="4" s="1"/>
  <c r="I41" i="4" l="1"/>
  <c r="I36" i="4" s="1"/>
  <c r="K36" i="4" s="1"/>
  <c r="K42" i="4"/>
  <c r="K41" i="4" s="1"/>
  <c r="I24" i="4"/>
  <c r="K24" i="4" s="1"/>
  <c r="I4" i="4"/>
  <c r="K4" i="4" s="1"/>
  <c r="I12" i="4"/>
  <c r="B14" i="9" l="1"/>
  <c r="B13" i="9"/>
  <c r="K12" i="4"/>
  <c r="K11" i="4"/>
  <c r="I3" i="4" l="1"/>
  <c r="K3" i="4" s="1"/>
  <c r="R27" i="11"/>
  <c r="O27" i="11"/>
  <c r="L27" i="11"/>
  <c r="I27" i="11"/>
  <c r="F27" i="11"/>
  <c r="R26" i="11"/>
  <c r="O26" i="11"/>
  <c r="L26" i="11"/>
  <c r="I26" i="11"/>
  <c r="F26" i="11"/>
  <c r="Q25" i="11"/>
  <c r="P25" i="11"/>
  <c r="N25" i="11"/>
  <c r="M25" i="11"/>
  <c r="K25" i="11"/>
  <c r="J25" i="11"/>
  <c r="H25" i="11"/>
  <c r="G25" i="11"/>
  <c r="E25" i="11"/>
  <c r="D25" i="11"/>
  <c r="R24" i="11"/>
  <c r="O24" i="11"/>
  <c r="L24" i="11"/>
  <c r="I24" i="11"/>
  <c r="F24" i="11"/>
  <c r="R23" i="11"/>
  <c r="O23" i="11"/>
  <c r="L23" i="11"/>
  <c r="I23" i="11"/>
  <c r="F23" i="11"/>
  <c r="R22" i="11"/>
  <c r="O22" i="11"/>
  <c r="L22" i="11"/>
  <c r="I22" i="11"/>
  <c r="F22" i="11"/>
  <c r="R21" i="11"/>
  <c r="O21" i="11"/>
  <c r="L21" i="11"/>
  <c r="I21" i="11"/>
  <c r="F21" i="11"/>
  <c r="Q20" i="11"/>
  <c r="P20" i="11"/>
  <c r="N20" i="11"/>
  <c r="M20" i="11"/>
  <c r="K20" i="11"/>
  <c r="J20" i="11"/>
  <c r="H20" i="11"/>
  <c r="G20" i="11"/>
  <c r="E20" i="11"/>
  <c r="D20" i="11"/>
  <c r="R19" i="11"/>
  <c r="O19" i="11"/>
  <c r="L19" i="11"/>
  <c r="I19" i="11"/>
  <c r="F19" i="11"/>
  <c r="R18" i="11"/>
  <c r="O18" i="11"/>
  <c r="L18" i="11"/>
  <c r="I18" i="11"/>
  <c r="F18" i="11"/>
  <c r="R17" i="11"/>
  <c r="O17" i="11"/>
  <c r="L17" i="11"/>
  <c r="I17" i="11"/>
  <c r="F17" i="11"/>
  <c r="Q16" i="11"/>
  <c r="P16" i="11"/>
  <c r="N16" i="11"/>
  <c r="M16" i="11"/>
  <c r="K16" i="11"/>
  <c r="J16" i="11"/>
  <c r="H16" i="11"/>
  <c r="G16" i="11"/>
  <c r="E16" i="11"/>
  <c r="D16" i="11"/>
  <c r="R15" i="11"/>
  <c r="O15" i="11"/>
  <c r="L15" i="11"/>
  <c r="I15" i="11"/>
  <c r="F15" i="11"/>
  <c r="R14" i="11"/>
  <c r="O14" i="11"/>
  <c r="L14" i="11"/>
  <c r="I14" i="11"/>
  <c r="F14" i="11"/>
  <c r="R13" i="11"/>
  <c r="O13" i="11"/>
  <c r="L13" i="11"/>
  <c r="I13" i="11"/>
  <c r="F13" i="11"/>
  <c r="R12" i="11"/>
  <c r="O12" i="11"/>
  <c r="L12" i="11"/>
  <c r="I12" i="11"/>
  <c r="F12" i="11"/>
  <c r="Q11" i="11"/>
  <c r="P11" i="11"/>
  <c r="N11" i="11"/>
  <c r="M11" i="11"/>
  <c r="K11" i="11"/>
  <c r="J11" i="11"/>
  <c r="H11" i="11"/>
  <c r="G11" i="11"/>
  <c r="E11" i="11"/>
  <c r="D11" i="11"/>
  <c r="R10" i="11"/>
  <c r="O10" i="11"/>
  <c r="L10" i="11"/>
  <c r="I10" i="11"/>
  <c r="F10" i="11"/>
  <c r="R9" i="11"/>
  <c r="O9" i="11"/>
  <c r="L9" i="11"/>
  <c r="I9" i="11"/>
  <c r="F9" i="11"/>
  <c r="R8" i="11"/>
  <c r="O8" i="11"/>
  <c r="L8" i="11"/>
  <c r="I8" i="11"/>
  <c r="F8" i="11"/>
  <c r="R7" i="11"/>
  <c r="O7" i="11"/>
  <c r="L7" i="11"/>
  <c r="I7" i="11"/>
  <c r="F7" i="11"/>
  <c r="R6" i="11"/>
  <c r="O6" i="11"/>
  <c r="L6" i="11"/>
  <c r="I6" i="11"/>
  <c r="F6" i="11"/>
  <c r="P5" i="11"/>
  <c r="N5" i="11"/>
  <c r="M5" i="11"/>
  <c r="K5" i="11"/>
  <c r="J5" i="11"/>
  <c r="H5" i="11"/>
  <c r="G5" i="11"/>
  <c r="E5" i="11"/>
  <c r="D5" i="11"/>
  <c r="F20" i="11" l="1"/>
  <c r="Q4" i="11"/>
  <c r="P4" i="11"/>
  <c r="R5" i="11"/>
  <c r="L20" i="11"/>
  <c r="O20" i="11"/>
  <c r="O5" i="11"/>
  <c r="N4" i="11"/>
  <c r="H4" i="11"/>
  <c r="I20" i="11"/>
  <c r="I11" i="11"/>
  <c r="E4" i="11"/>
  <c r="O16" i="11"/>
  <c r="F25" i="11"/>
  <c r="M4" i="11"/>
  <c r="F16" i="11"/>
  <c r="R16" i="11"/>
  <c r="L25" i="11"/>
  <c r="I25" i="11"/>
  <c r="L5" i="11"/>
  <c r="L16" i="11"/>
  <c r="R11" i="11"/>
  <c r="O25" i="11"/>
  <c r="D4" i="11"/>
  <c r="I5" i="11"/>
  <c r="J4" i="11"/>
  <c r="I16" i="11"/>
  <c r="R25" i="11"/>
  <c r="G4" i="11"/>
  <c r="F5" i="11"/>
  <c r="L11" i="11"/>
  <c r="R20" i="11"/>
  <c r="F11" i="11"/>
  <c r="K4" i="11"/>
  <c r="O11" i="11"/>
  <c r="R4" i="11" l="1"/>
  <c r="I4" i="11"/>
  <c r="O4" i="11"/>
  <c r="F4" i="11"/>
  <c r="L4" i="11"/>
  <c r="M20" i="8" l="1"/>
  <c r="L20" i="8"/>
  <c r="K20" i="8"/>
  <c r="J20" i="8"/>
  <c r="I20" i="8"/>
  <c r="H20" i="8"/>
  <c r="H23" i="8" s="1"/>
  <c r="G20" i="8"/>
  <c r="F20" i="8"/>
  <c r="E20" i="8"/>
  <c r="D20" i="8"/>
  <c r="C20" i="8"/>
  <c r="B20" i="8"/>
  <c r="M19" i="8"/>
  <c r="L19" i="8"/>
  <c r="K19" i="8"/>
  <c r="J19" i="8"/>
  <c r="I19" i="8"/>
  <c r="H19" i="8"/>
  <c r="G19" i="8"/>
  <c r="F19" i="8"/>
  <c r="E19" i="8"/>
  <c r="D19" i="8"/>
  <c r="C19" i="8"/>
  <c r="B19" i="8"/>
  <c r="G22" i="8" s="1"/>
  <c r="M18" i="8"/>
  <c r="L18" i="8"/>
  <c r="K18" i="8"/>
  <c r="J18" i="8"/>
  <c r="I18" i="8"/>
  <c r="G18" i="8"/>
  <c r="F18" i="8"/>
  <c r="E18" i="8"/>
  <c r="D18" i="8"/>
  <c r="C18" i="8"/>
  <c r="G21" i="8" l="1"/>
  <c r="G23" i="8"/>
  <c r="H22" i="8"/>
  <c r="H21" i="8"/>
  <c r="C2" i="8"/>
  <c r="D2" i="8"/>
  <c r="E2" i="8"/>
  <c r="F2" i="8"/>
  <c r="G2" i="8"/>
  <c r="H2" i="8"/>
  <c r="I2" i="8"/>
  <c r="G5" i="4" l="1"/>
  <c r="G8" i="4"/>
  <c r="AX5" i="4" l="1"/>
  <c r="H14" i="9" l="1"/>
  <c r="H13" i="9"/>
  <c r="E12" i="9" l="1"/>
  <c r="E9" i="9"/>
  <c r="E10" i="9"/>
  <c r="E7" i="9"/>
  <c r="E5" i="9"/>
  <c r="E13" i="9"/>
  <c r="E14" i="9"/>
  <c r="E11" i="9"/>
  <c r="E8" i="9"/>
  <c r="E6" i="9"/>
  <c r="O8" i="8" l="1"/>
  <c r="O9" i="8"/>
  <c r="O7" i="8"/>
  <c r="C7" i="8" l="1"/>
  <c r="D7" i="8"/>
  <c r="E7" i="8"/>
  <c r="F7" i="8"/>
  <c r="G7" i="8"/>
  <c r="H7" i="8"/>
  <c r="I7" i="8"/>
  <c r="J7" i="8"/>
  <c r="K7" i="8"/>
  <c r="L7" i="8"/>
  <c r="M7" i="8"/>
  <c r="C8" i="8"/>
  <c r="D8" i="8"/>
  <c r="E8" i="8"/>
  <c r="F8" i="8"/>
  <c r="G8" i="8"/>
  <c r="H8" i="8"/>
  <c r="I8" i="8"/>
  <c r="J8" i="8"/>
  <c r="K8" i="8"/>
  <c r="L8" i="8"/>
  <c r="M8" i="8"/>
  <c r="C9" i="8"/>
  <c r="D9" i="8"/>
  <c r="E9" i="8"/>
  <c r="F9" i="8"/>
  <c r="G9" i="8"/>
  <c r="H9" i="8"/>
  <c r="I9" i="8"/>
  <c r="J9" i="8"/>
  <c r="K9" i="8"/>
  <c r="L9" i="8"/>
  <c r="M9" i="8"/>
  <c r="B8" i="8"/>
  <c r="B9" i="8"/>
  <c r="G12" i="8" l="1"/>
  <c r="H12" i="8"/>
  <c r="J12" i="8" s="1"/>
  <c r="P9" i="8" s="1"/>
  <c r="H11" i="8"/>
  <c r="H10" i="8"/>
  <c r="G11" i="8"/>
  <c r="G10" i="8"/>
  <c r="J11" i="8" l="1"/>
  <c r="P8" i="8" s="1"/>
  <c r="J10" i="8"/>
  <c r="P7" i="8" s="1"/>
  <c r="E38" i="4" l="1"/>
  <c r="E39" i="4"/>
  <c r="E40" i="4"/>
  <c r="F35" i="4"/>
  <c r="F5" i="4"/>
  <c r="AW5" i="4" s="1"/>
  <c r="D14" i="4"/>
  <c r="D42" i="4"/>
  <c r="D44" i="4"/>
  <c r="D25" i="4"/>
  <c r="D26" i="4"/>
  <c r="D27" i="4"/>
  <c r="D20" i="4"/>
  <c r="D10" i="4"/>
  <c r="D34" i="4"/>
  <c r="D43" i="4"/>
  <c r="D15" i="4"/>
  <c r="D16" i="4"/>
  <c r="D5" i="4"/>
  <c r="D6" i="4"/>
  <c r="D7" i="4"/>
  <c r="D8" i="4"/>
  <c r="D9" i="4"/>
  <c r="D23" i="4"/>
  <c r="D29" i="4"/>
  <c r="D30" i="4"/>
  <c r="D17" i="4"/>
  <c r="D18" i="4"/>
  <c r="D22" i="4"/>
  <c r="D21" i="4" l="1"/>
  <c r="D4" i="4"/>
  <c r="D41" i="4"/>
  <c r="D36" i="4" s="1"/>
  <c r="E37" i="4"/>
  <c r="D13" i="4"/>
  <c r="D12" i="4" s="1"/>
  <c r="D11" i="4" s="1"/>
  <c r="H5" i="4"/>
  <c r="F34" i="4"/>
  <c r="F25" i="4"/>
  <c r="F18" i="4"/>
  <c r="F20" i="4"/>
  <c r="F44" i="4"/>
  <c r="H44" i="4" s="1"/>
  <c r="F29" i="4"/>
  <c r="F7" i="4"/>
  <c r="AW7" i="4" s="1"/>
  <c r="F15" i="4"/>
  <c r="F17" i="4"/>
  <c r="F42" i="4"/>
  <c r="F23" i="4"/>
  <c r="F30" i="4"/>
  <c r="F26" i="4"/>
  <c r="F10" i="4"/>
  <c r="AW10" i="4" s="1"/>
  <c r="F13" i="4"/>
  <c r="F8" i="4"/>
  <c r="AW8" i="4" s="1"/>
  <c r="F27" i="4"/>
  <c r="F22" i="4"/>
  <c r="F6" i="4"/>
  <c r="AW6" i="4" s="1"/>
  <c r="F9" i="4"/>
  <c r="AW9" i="4" s="1"/>
  <c r="C30" i="4"/>
  <c r="E30" i="4" s="1"/>
  <c r="C29" i="4"/>
  <c r="E29" i="4" s="1"/>
  <c r="C7" i="4"/>
  <c r="E7" i="4" s="1"/>
  <c r="C15" i="4"/>
  <c r="E15" i="4" s="1"/>
  <c r="C27" i="4"/>
  <c r="E27" i="4" s="1"/>
  <c r="C42" i="4"/>
  <c r="C22" i="4"/>
  <c r="C18" i="4"/>
  <c r="E18" i="4" s="1"/>
  <c r="C9" i="4"/>
  <c r="E9" i="4" s="1"/>
  <c r="C5" i="4"/>
  <c r="C10" i="4"/>
  <c r="E10" i="4" s="1"/>
  <c r="C25" i="4"/>
  <c r="C43" i="4"/>
  <c r="E43" i="4" s="1"/>
  <c r="C34" i="4"/>
  <c r="E34" i="4" s="1"/>
  <c r="C17" i="4"/>
  <c r="E17" i="4" s="1"/>
  <c r="C8" i="4"/>
  <c r="E8" i="4" s="1"/>
  <c r="C16" i="4"/>
  <c r="E16" i="4" s="1"/>
  <c r="C35" i="4"/>
  <c r="C20" i="4"/>
  <c r="E20" i="4" s="1"/>
  <c r="C44" i="4"/>
  <c r="E44" i="4" s="1"/>
  <c r="C14" i="4"/>
  <c r="E14" i="4" s="1"/>
  <c r="C23" i="4"/>
  <c r="E23" i="4" s="1"/>
  <c r="C26" i="4"/>
  <c r="E26" i="4" s="1"/>
  <c r="C13" i="4"/>
  <c r="F16" i="4"/>
  <c r="F14" i="4"/>
  <c r="D35" i="4"/>
  <c r="C6" i="4"/>
  <c r="E6" i="4" s="1"/>
  <c r="F43" i="4"/>
  <c r="H43" i="4" s="1"/>
  <c r="C28" i="4"/>
  <c r="D28" i="4"/>
  <c r="D24" i="4" s="1"/>
  <c r="D3" i="4" l="1"/>
  <c r="F24" i="4"/>
  <c r="E5" i="4"/>
  <c r="E4" i="4" s="1"/>
  <c r="C4" i="4"/>
  <c r="E25" i="4"/>
  <c r="C24" i="4"/>
  <c r="E24" i="4" s="1"/>
  <c r="E22" i="4"/>
  <c r="C21" i="4"/>
  <c r="E21" i="4" s="1"/>
  <c r="E42" i="4"/>
  <c r="C41" i="4"/>
  <c r="C12" i="4"/>
  <c r="C11" i="4" s="1"/>
  <c r="H20" i="4"/>
  <c r="F21" i="4"/>
  <c r="F41" i="4"/>
  <c r="F36" i="4" s="1"/>
  <c r="F12" i="4"/>
  <c r="F4" i="4"/>
  <c r="E13" i="4"/>
  <c r="E12" i="4" s="1"/>
  <c r="E11" i="4" s="1"/>
  <c r="G29" i="4"/>
  <c r="H29" i="4" s="1"/>
  <c r="G34" i="4"/>
  <c r="H34" i="4" s="1"/>
  <c r="G9" i="4"/>
  <c r="G42" i="4"/>
  <c r="H42" i="4" s="1"/>
  <c r="G17" i="4"/>
  <c r="H17" i="4" s="1"/>
  <c r="G26" i="4"/>
  <c r="H26" i="4" s="1"/>
  <c r="G20" i="4"/>
  <c r="G16" i="4"/>
  <c r="H16" i="4" s="1"/>
  <c r="G13" i="4"/>
  <c r="H13" i="4" s="1"/>
  <c r="G30" i="4"/>
  <c r="H30" i="4" s="1"/>
  <c r="G25" i="4"/>
  <c r="G23" i="4"/>
  <c r="H23" i="4" s="1"/>
  <c r="G18" i="4"/>
  <c r="H18" i="4" s="1"/>
  <c r="G6" i="4"/>
  <c r="G15" i="4"/>
  <c r="H15" i="4" s="1"/>
  <c r="G14" i="4"/>
  <c r="H14" i="4" s="1"/>
  <c r="G35" i="4"/>
  <c r="H35" i="4" s="1"/>
  <c r="G22" i="4"/>
  <c r="G27" i="4"/>
  <c r="H27" i="4" s="1"/>
  <c r="G10" i="4"/>
  <c r="G7" i="4"/>
  <c r="E35" i="4"/>
  <c r="E28" i="4"/>
  <c r="G4" i="4" l="1"/>
  <c r="H4" i="4" s="1"/>
  <c r="C36" i="4"/>
  <c r="E36" i="4" s="1"/>
  <c r="E3" i="4" s="1"/>
  <c r="E41" i="4"/>
  <c r="H22" i="4"/>
  <c r="G21" i="4"/>
  <c r="H21" i="4" s="1"/>
  <c r="G12" i="4"/>
  <c r="G11" i="4" s="1"/>
  <c r="F11" i="4"/>
  <c r="F3" i="4" s="1"/>
  <c r="H25" i="4"/>
  <c r="G24" i="4"/>
  <c r="H24" i="4" s="1"/>
  <c r="G41" i="4"/>
  <c r="AX6" i="4"/>
  <c r="H6" i="4"/>
  <c r="AX8" i="4"/>
  <c r="H8" i="4"/>
  <c r="AX9" i="4"/>
  <c r="H9" i="4"/>
  <c r="AX10" i="4"/>
  <c r="H10" i="4"/>
  <c r="AX7" i="4"/>
  <c r="H7" i="4"/>
  <c r="C3" i="4" l="1"/>
  <c r="H12" i="4"/>
  <c r="G36" i="4"/>
  <c r="G3" i="4" s="1"/>
  <c r="H3" i="4" s="1"/>
  <c r="H41" i="4"/>
  <c r="AW11" i="4"/>
  <c r="H11" i="4"/>
  <c r="H36" i="4" l="1"/>
  <c r="Q19" i="9" l="1"/>
  <c r="Q18" i="9"/>
  <c r="N18" i="9"/>
  <c r="N19" i="9"/>
  <c r="T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</author>
    <author>tc={BFEBE6F9-A866-4191-B742-095AF201322D}</author>
  </authors>
  <commentList>
    <comment ref="AX1" authorId="0" shapeId="0" xr:uid="{97A489FA-4CE2-4F7A-91CD-227F8D8E7B31}">
      <text>
        <r>
          <rPr>
            <b/>
            <sz val="9"/>
            <color indexed="81"/>
            <rFont val="Tahoma"/>
            <family val="2"/>
          </rPr>
          <t xml:space="preserve">Only 4 months as of end June 2023
</t>
        </r>
      </text>
    </comment>
    <comment ref="AZ1" authorId="1" shapeId="0" xr:uid="{BFEBE6F9-A866-4191-B742-095AF201322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ARIMA Forecast</t>
        </r>
      </text>
    </comment>
    <comment ref="BB1" authorId="0" shapeId="0" xr:uid="{F572375F-0F13-4FE9-B8DB-21C784441F27}">
      <text>
        <r>
          <rPr>
            <b/>
            <sz val="9"/>
            <color indexed="81"/>
            <rFont val="Tahoma"/>
            <family val="2"/>
          </rPr>
          <t xml:space="preserve">Only 4 months as of end June 2023
</t>
        </r>
      </text>
    </comment>
    <comment ref="BD1" authorId="1" shapeId="0" xr:uid="{1B584081-58ED-4E5B-B6EB-7418D32D7F1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ARIMA Forecast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</author>
  </authors>
  <commentList>
    <comment ref="A16" authorId="0" shapeId="0" xr:uid="{9B06AA4B-50B1-4AB1-9AE4-E636A8162170}">
      <text>
        <r>
          <rPr>
            <b/>
            <sz val="9"/>
            <color indexed="81"/>
            <rFont val="Tahoma"/>
            <family val="2"/>
          </rPr>
          <t>Intern:</t>
        </r>
        <r>
          <rPr>
            <sz val="9"/>
            <color indexed="81"/>
            <rFont val="Tahoma"/>
            <family val="2"/>
          </rPr>
          <t xml:space="preserve">
Update using Formal trade imports data</t>
        </r>
      </text>
    </comment>
    <comment ref="A20" authorId="0" shapeId="0" xr:uid="{EF5375B8-6369-44DC-B137-D4C3E2CDC4C6}">
      <text>
        <r>
          <rPr>
            <b/>
            <sz val="9"/>
            <color indexed="81"/>
            <rFont val="Tahoma"/>
            <family val="2"/>
          </rPr>
          <t>Intern:</t>
        </r>
        <r>
          <rPr>
            <sz val="9"/>
            <color indexed="81"/>
            <rFont val="Tahoma"/>
            <family val="2"/>
          </rPr>
          <t xml:space="preserve">
update using production data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tc={94B7F75C-2592-405A-B770-2E461B715033}</author>
  </authors>
  <commentList>
    <comment ref="A37" authorId="0" shapeId="0" xr:uid="{94B7F75C-2592-405A-B770-2E461B71503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See BOP intermediate IMPORTS BY ECONOMIC DESTINATION  2022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<sst xmlns="http://schemas.openxmlformats.org/spreadsheetml/2006/main" count="1906" uniqueCount="800">
  <si>
    <t>GENERAL INDEX (CPI)</t>
  </si>
  <si>
    <t>Food and non-alcoholic beverages</t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</si>
  <si>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 xml:space="preserve">Bread and cereals </t>
    </r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</si>
  <si>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>Meat</t>
    </r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</si>
  <si>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 xml:space="preserve">Fish </t>
    </r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</si>
  <si>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 xml:space="preserve">Vegetables </t>
    </r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</si>
  <si>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 xml:space="preserve">Non-alcoholic beverages </t>
    </r>
  </si>
  <si>
    <t>Alcoholic beverages and tobacco</t>
  </si>
  <si>
    <t>Clothing and footwear</t>
  </si>
  <si>
    <t>Housing, water, electricity, gas and other fuels</t>
  </si>
  <si>
    <t xml:space="preserve">Furnishing, household equipment and routine household maintenance </t>
  </si>
  <si>
    <t>Health</t>
  </si>
  <si>
    <t>Transport</t>
  </si>
  <si>
    <t>Communication</t>
  </si>
  <si>
    <t>Recreation and culture</t>
  </si>
  <si>
    <t>Education</t>
  </si>
  <si>
    <t>Restaurants and hotels</t>
  </si>
  <si>
    <t>Miscellaneous goods and services</t>
  </si>
  <si>
    <t>Deflator CPI food and non-alcoholic beverages - Average Jan Jul 2016/2015</t>
  </si>
  <si>
    <t>Food crops</t>
  </si>
  <si>
    <t>Deflator general CPI  - Average Jan-Jul 2016/2015</t>
  </si>
  <si>
    <t>Export crops</t>
  </si>
  <si>
    <t>Deflator CPI meat  - Average Jan Jul 2016/2015</t>
  </si>
  <si>
    <t>Livestock &amp; livestock products</t>
  </si>
  <si>
    <t>Deflator general CPI  - Average Jan Jul 2016/2015</t>
  </si>
  <si>
    <t>Forestry</t>
  </si>
  <si>
    <t>Deflator CPI fish - Average Jan Jul 2016/2015</t>
  </si>
  <si>
    <t>Fishing</t>
  </si>
  <si>
    <t>INDUSTRY</t>
  </si>
  <si>
    <t>Deflator PPI Mining - Average Jan-Jul 2016/2015</t>
  </si>
  <si>
    <t>Mining &amp; quarrying</t>
  </si>
  <si>
    <t xml:space="preserve"> </t>
  </si>
  <si>
    <t>TOTAL MANUFACTURING</t>
  </si>
  <si>
    <t>Deflator PPI Manufacturing food - Average Jan Jul 2016/2015</t>
  </si>
  <si>
    <t>Manufacturing of food</t>
  </si>
  <si>
    <t xml:space="preserve">Deflator PPI Beverages (tobacco neglected) - Average Jan Jul 2016/2015 </t>
  </si>
  <si>
    <t>Manufacturing of beverages &amp; tobacco</t>
  </si>
  <si>
    <t xml:space="preserve">Deflator PPI textiles - Average Jan Jul 2016/2015 </t>
  </si>
  <si>
    <t>Manufacturing of textiles, clothing &amp; leather goods</t>
  </si>
  <si>
    <t xml:space="preserve">Deflator PPI Paper (wood neglected) - Average Jan Jul 2016/2015 </t>
  </si>
  <si>
    <t>Manufacturing of wood &amp; paper; printing</t>
  </si>
  <si>
    <t xml:space="preserve">Deflator PPI Chemicals and chemical products - Average Jan Jul 2016/2015 </t>
  </si>
  <si>
    <t>Manufacturing of chemicals, rubber &amp; plastic products</t>
  </si>
  <si>
    <t xml:space="preserve">Deflator PPI non-metallic mineral products - Average Jan Jul 2016/2015 </t>
  </si>
  <si>
    <t>Manufacturing of non-metallic mineral products</t>
  </si>
  <si>
    <t xml:space="preserve">Deflator PPI  fabricated metal products, except machinery and equipment  - Average Jan Jul 2016/2015 </t>
  </si>
  <si>
    <t>Manufacturing of metal products, machinery &amp; equipment</t>
  </si>
  <si>
    <t xml:space="preserve">Deflator PPI Furniture  - Average Jan Jul 2016/2015 </t>
  </si>
  <si>
    <t xml:space="preserve">Furniture &amp; other manufacturing </t>
  </si>
  <si>
    <t xml:space="preserve">Deflator PPI Electricity  - Average Jan Jun 2015/2014 </t>
  </si>
  <si>
    <t>Electricity</t>
  </si>
  <si>
    <t xml:space="preserve">Deflator PPI Water  - Average Jan Jul 2016/2015 </t>
  </si>
  <si>
    <t>Water &amp; waste management</t>
  </si>
  <si>
    <t xml:space="preserve">Deflator general PPI  - Average Jan-Jul 2016/2015 </t>
  </si>
  <si>
    <t>Construction</t>
  </si>
  <si>
    <t>SERVICES</t>
  </si>
  <si>
    <t>Trade and Transport</t>
  </si>
  <si>
    <t>Maintenance &amp; repair of motor vehicles</t>
  </si>
  <si>
    <t>Wholesale &amp; retail trade</t>
  </si>
  <si>
    <t>Deflator CPI Transport - Average Jan Jul 2016/2015</t>
  </si>
  <si>
    <t>Transport services</t>
  </si>
  <si>
    <t>Other services</t>
  </si>
  <si>
    <t>Deflator CPI Hotels and Restaurants - Average Jan Jul 2016/2015</t>
  </si>
  <si>
    <t>Hotels &amp; restaurants</t>
  </si>
  <si>
    <t>Deflator CPI Communication  - Average Jan Jul 2016/2015</t>
  </si>
  <si>
    <t>Information &amp; communication</t>
  </si>
  <si>
    <t>Financial services</t>
  </si>
  <si>
    <t>Real estate activities</t>
  </si>
  <si>
    <t>Professional, scientific and technical activities</t>
  </si>
  <si>
    <t>Administrative and support service activities</t>
  </si>
  <si>
    <t>Deflator Increase in govt unit wages cost - linked to annual - comes from Fiscal</t>
  </si>
  <si>
    <t>Public administration and defence; compulsory social security</t>
  </si>
  <si>
    <t>Human health and social work activities</t>
  </si>
  <si>
    <t>Cultural, domestic &amp; other services</t>
  </si>
  <si>
    <t xml:space="preserve">Deflator - Deflator calculated in the annual (no link to avoid circularity) - considered as a target - exogenous </t>
  </si>
  <si>
    <t>Taxes less subsidies on products</t>
  </si>
  <si>
    <t>Rwanda</t>
  </si>
  <si>
    <t>Mining and quarrying</t>
  </si>
  <si>
    <t>Mining of metal ores</t>
  </si>
  <si>
    <t>Mining of non-ferrous metal ores</t>
  </si>
  <si>
    <t>Mining of other non-ferrous metal ores</t>
  </si>
  <si>
    <t>Manufacturing</t>
  </si>
  <si>
    <t>Manufacture of food products</t>
  </si>
  <si>
    <t>Processing and preserving of meat</t>
  </si>
  <si>
    <t>Processing and preserving of fruit and vegetables</t>
  </si>
  <si>
    <t>Manufacture of dairy products</t>
  </si>
  <si>
    <t>Manufacture of grain mill products</t>
  </si>
  <si>
    <t>Manufacture of other food products</t>
  </si>
  <si>
    <t>Manufacture of bakery products</t>
  </si>
  <si>
    <t>Manufacture of sugar</t>
  </si>
  <si>
    <t>Manufacture of other food products n.e.c. (coffee and tea)</t>
  </si>
  <si>
    <t>Manufacture of coffee products</t>
  </si>
  <si>
    <t>Manufacture of tea products</t>
  </si>
  <si>
    <t>Manufacture of beverages</t>
  </si>
  <si>
    <t>Manufacture of wines</t>
  </si>
  <si>
    <t>Manufacture of malt liquors and malt</t>
  </si>
  <si>
    <t>Manufacture of soft drinks; production of mineral waters and other bottled waters</t>
  </si>
  <si>
    <t>Manufacture of tobacco products</t>
  </si>
  <si>
    <t>Manufacture of textiles</t>
  </si>
  <si>
    <t>Manufacture of other textiles</t>
  </si>
  <si>
    <t>Manufacture of made-up textile articles, except apparel</t>
  </si>
  <si>
    <t>Manufacture of leather and related products</t>
  </si>
  <si>
    <t>Manufacture of footwear</t>
  </si>
  <si>
    <t>Manufacture of wood and of products of wood and cork, except furniture; manufacture of articles of straw and plaiting materials</t>
  </si>
  <si>
    <t>Manufacture of other products of wood; manufacture of articles of cork, straw and plaiting materials</t>
  </si>
  <si>
    <t>Manufacture of other products of wood; manufacture of articles of cork, straw and
plaiting materials</t>
  </si>
  <si>
    <t>Manufacture of paper and paper products</t>
  </si>
  <si>
    <t>Manufacture of other articles of paper and paperboard</t>
  </si>
  <si>
    <t>Printing and reproduction of recorded media</t>
  </si>
  <si>
    <t>Printing and service activities related to printing</t>
  </si>
  <si>
    <t>Printing and service activities related to printing (to combine 1811 and 1812)</t>
  </si>
  <si>
    <t>Manufacture of chemicals and chemical products</t>
  </si>
  <si>
    <t>Manufacture of other chemical products</t>
  </si>
  <si>
    <t>Manufacture of paints, varnishes and similar coatings, printing ink and mastics</t>
  </si>
  <si>
    <t>Manufacture of soap and detergents, cleaning and polishing preparations, perfumes
and toilet preparations</t>
  </si>
  <si>
    <t>Manufacture of other chemical products n.e.c.</t>
  </si>
  <si>
    <t>Manufacture of pharmaceuticals, medicinal chemical and botanical products</t>
  </si>
  <si>
    <t>Manufacture of rubber and plastics products</t>
  </si>
  <si>
    <t>Manufacture of rubber products</t>
  </si>
  <si>
    <t>Manufacture of rubber tyres and tubes; retreading and rebuilding of rubber tyres</t>
  </si>
  <si>
    <t>Manufacture of plastics products</t>
  </si>
  <si>
    <t>Manufacture of other non-metallic mineral products</t>
  </si>
  <si>
    <t>Manufacture of non-metallic mineral products n.e.c.</t>
  </si>
  <si>
    <t>Manufacture of fabricated metal products, except machinery and equipment</t>
  </si>
  <si>
    <t>Manufacture of electrical equipment</t>
  </si>
  <si>
    <t>Manufacture of batteries and accumulators</t>
  </si>
  <si>
    <t>Manufacture of furniture</t>
  </si>
  <si>
    <t>Electricity, gas, steam and air conditioning supply</t>
  </si>
  <si>
    <t>Electric power generation, transmission and distribution</t>
  </si>
  <si>
    <t>Water supply; sewerage, waste management and remediation activities</t>
  </si>
  <si>
    <t>Water collection, treatment and supply</t>
  </si>
  <si>
    <t>Information and communication</t>
  </si>
  <si>
    <t>Publishing activities</t>
  </si>
  <si>
    <t>Publishing of books, periodicals and other publishing activities</t>
  </si>
  <si>
    <t>Book publishing</t>
  </si>
  <si>
    <t>Publishing of newspapers, journals and periodicals</t>
  </si>
  <si>
    <t>Q1</t>
  </si>
  <si>
    <t>Q2</t>
  </si>
  <si>
    <t>Q3</t>
  </si>
  <si>
    <t>GROSS DOMESTIC PRODUCT (GDP)</t>
  </si>
  <si>
    <t>AGRICULTURE, FORESTRY &amp; FISHING</t>
  </si>
  <si>
    <t>Of which: Food</t>
  </si>
  <si>
    <t xml:space="preserve">              Beverages &amp; tobacco</t>
  </si>
  <si>
    <t xml:space="preserve">             Textiles, clothing &amp; leather goods</t>
  </si>
  <si>
    <t xml:space="preserve">             Wood &amp; paper; printing</t>
  </si>
  <si>
    <t xml:space="preserve">             Chemicals, rubber &amp; plastic products</t>
  </si>
  <si>
    <t xml:space="preserve">             Non-metallic mineral products</t>
  </si>
  <si>
    <t xml:space="preserve">             Metal products, machinery &amp; equipment</t>
  </si>
  <si>
    <t xml:space="preserve">             Furniture &amp; other manufacturing </t>
  </si>
  <si>
    <t>TRADE &amp;TRANSPORT</t>
  </si>
  <si>
    <t>OTHER SERVICES</t>
  </si>
  <si>
    <t>Professional, scientific &amp; technical activities</t>
  </si>
  <si>
    <t>Administrative &amp; support service activities</t>
  </si>
  <si>
    <t>Public administration &amp; defense; compulsory social security</t>
  </si>
  <si>
    <t>Human health &amp; social work activities</t>
  </si>
  <si>
    <t xml:space="preserve">    Animal feeds </t>
  </si>
  <si>
    <t xml:space="preserve">    Bakeries production</t>
  </si>
  <si>
    <t xml:space="preserve">    Biscuits </t>
  </si>
  <si>
    <t xml:space="preserve">    Flour production</t>
  </si>
  <si>
    <t xml:space="preserve">    Rice production</t>
  </si>
  <si>
    <t xml:space="preserve">    Sugar</t>
  </si>
  <si>
    <t xml:space="preserve">   Beverages</t>
  </si>
  <si>
    <t xml:space="preserve">         Modern beer</t>
  </si>
  <si>
    <t xml:space="preserve">         Soft drinks</t>
  </si>
  <si>
    <t xml:space="preserve">         Milk</t>
  </si>
  <si>
    <t xml:space="preserve">         Juice</t>
  </si>
  <si>
    <t xml:space="preserve">        Mineral water</t>
  </si>
  <si>
    <t xml:space="preserve">        Banana wine</t>
  </si>
  <si>
    <t xml:space="preserve">    Tobacco</t>
  </si>
  <si>
    <t xml:space="preserve">   Wood</t>
  </si>
  <si>
    <t xml:space="preserve">   Paper</t>
  </si>
  <si>
    <t xml:space="preserve">   Soap</t>
  </si>
  <si>
    <t xml:space="preserve">   Cosmetics</t>
  </si>
  <si>
    <t xml:space="preserve">   Paints</t>
  </si>
  <si>
    <t xml:space="preserve">   Plastic</t>
  </si>
  <si>
    <t xml:space="preserve">   Matresses</t>
  </si>
  <si>
    <t xml:space="preserve">   Other chemicals</t>
  </si>
  <si>
    <t>Imports</t>
  </si>
  <si>
    <t xml:space="preserve">   Cement and other similar products</t>
  </si>
  <si>
    <t xml:space="preserve">   Metalics construction material  </t>
  </si>
  <si>
    <t xml:space="preserve">   Other constructions materials</t>
  </si>
  <si>
    <t>Domestic</t>
  </si>
  <si>
    <t xml:space="preserve">   Cement</t>
  </si>
  <si>
    <t xml:space="preserve">   Plastic products</t>
  </si>
  <si>
    <t xml:space="preserve">   Metal products</t>
  </si>
  <si>
    <t>Share S1</t>
  </si>
  <si>
    <t>Semester 1</t>
  </si>
  <si>
    <t>Semester 2</t>
  </si>
  <si>
    <t>Total</t>
  </si>
  <si>
    <t xml:space="preserve"> Large Industrial Production</t>
  </si>
  <si>
    <t>Modern beer</t>
  </si>
  <si>
    <t>Soft drinks</t>
  </si>
  <si>
    <t>Beer &amp; Soft drinks</t>
  </si>
  <si>
    <t>Tobbaco(in millions of sticks)</t>
  </si>
  <si>
    <t>Cement</t>
  </si>
  <si>
    <t>Metal</t>
  </si>
  <si>
    <t>Soaps</t>
  </si>
  <si>
    <t>Cosmetics</t>
  </si>
  <si>
    <t>Paints</t>
  </si>
  <si>
    <t>textiles</t>
  </si>
  <si>
    <t>Sugar</t>
  </si>
  <si>
    <t xml:space="preserve">Electricity Supply: </t>
  </si>
  <si>
    <t xml:space="preserve"> Domestic production</t>
  </si>
  <si>
    <t>Of which: hydro production</t>
  </si>
  <si>
    <t xml:space="preserve">                 Thermal</t>
  </si>
  <si>
    <t xml:space="preserve">                Solar</t>
  </si>
  <si>
    <t xml:space="preserve">              Off Grid plants</t>
  </si>
  <si>
    <t xml:space="preserve">            METHANE GAS</t>
  </si>
  <si>
    <t xml:space="preserve">          PEAT ENERGY</t>
  </si>
  <si>
    <t xml:space="preserve"> Import</t>
  </si>
  <si>
    <t xml:space="preserve"> Export</t>
  </si>
  <si>
    <t>Water</t>
  </si>
  <si>
    <t xml:space="preserve">Coffee: </t>
  </si>
  <si>
    <t>Of which: Fully Washed</t>
  </si>
  <si>
    <t>Ordinary</t>
  </si>
  <si>
    <t>Triages</t>
  </si>
  <si>
    <t>Robusta</t>
  </si>
  <si>
    <t>Roasted</t>
  </si>
  <si>
    <t>Tea</t>
  </si>
  <si>
    <t>Pyrethrum:</t>
  </si>
  <si>
    <t>Of which: Rafine</t>
  </si>
  <si>
    <t>Mining production:</t>
  </si>
  <si>
    <t>Of which: Casseterite</t>
  </si>
  <si>
    <t xml:space="preserve">                 Coltan</t>
  </si>
  <si>
    <t xml:space="preserve">                 Wolfram</t>
  </si>
  <si>
    <t>Plastic products</t>
  </si>
  <si>
    <t>Milk production</t>
  </si>
  <si>
    <t>Juice production</t>
  </si>
  <si>
    <t xml:space="preserve">Animal feeds </t>
  </si>
  <si>
    <t>Bakeries production</t>
  </si>
  <si>
    <t xml:space="preserve">Biscuits </t>
  </si>
  <si>
    <t>Flour production</t>
  </si>
  <si>
    <t>Rice production</t>
  </si>
  <si>
    <t>Paper products</t>
  </si>
  <si>
    <t>Matresses production</t>
  </si>
  <si>
    <t>Vegetable conservation</t>
  </si>
  <si>
    <t>Bricks and tiles</t>
  </si>
  <si>
    <t>Lime production</t>
  </si>
  <si>
    <t>Other chemical products</t>
  </si>
  <si>
    <t>Mineral water</t>
  </si>
  <si>
    <t>Banana Wine</t>
  </si>
  <si>
    <t>Milk products</t>
  </si>
  <si>
    <t>Jam</t>
  </si>
  <si>
    <t>Yoghurt</t>
  </si>
  <si>
    <t>Wood materials</t>
  </si>
  <si>
    <t>Cooking Oil</t>
  </si>
  <si>
    <t>Unit</t>
  </si>
  <si>
    <t>HL</t>
  </si>
  <si>
    <t>Sticks</t>
  </si>
  <si>
    <t>Tons</t>
  </si>
  <si>
    <t>(Yards in 000)</t>
  </si>
  <si>
    <t>KhW</t>
  </si>
  <si>
    <t>M3</t>
  </si>
  <si>
    <t>Lt</t>
  </si>
  <si>
    <t>Kg</t>
  </si>
  <si>
    <t>pcs</t>
  </si>
  <si>
    <t>Lts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</si>
  <si>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</si>
  <si>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</si>
  <si>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</si>
  <si>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</si>
  <si>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</si>
  <si>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</si>
  <si>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</si>
  <si>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</si>
  <si>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</si>
  <si>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</si>
  <si>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</si>
  <si>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</si>
  <si>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Packing sacks</t>
  </si>
  <si>
    <t>ballon</t>
  </si>
  <si>
    <t>Kgs</t>
  </si>
  <si>
    <t>Potatoes crisps</t>
  </si>
  <si>
    <t>Distilled liquors</t>
  </si>
  <si>
    <t>Agriculture,  Forestry and Fishing</t>
  </si>
  <si>
    <t>Industry</t>
  </si>
  <si>
    <t>Mining and Quarrying</t>
  </si>
  <si>
    <t>Manufacturing:</t>
  </si>
  <si>
    <t xml:space="preserve">      Of which;  Breweries</t>
  </si>
  <si>
    <t xml:space="preserve">                          Other Manufacturing</t>
  </si>
  <si>
    <t>Energy Sector (Electricity, Gas and Water Supply):</t>
  </si>
  <si>
    <r>
      <rPr>
        <b/>
        <i/>
        <sz val="11"/>
        <color indexed="8"/>
        <rFont val="Cambria"/>
        <family val="1"/>
      </rPr>
      <t>Of which;</t>
    </r>
    <r>
      <rPr>
        <i/>
        <sz val="11"/>
        <color indexed="8"/>
        <rFont val="Cambria"/>
        <family val="1"/>
      </rPr>
      <t xml:space="preserve"> Electricity, gas, steam and air conditioning supply</t>
    </r>
  </si>
  <si>
    <t xml:space="preserve">                  Water supply, sewerage, waste management and remediation activities</t>
  </si>
  <si>
    <t>Construction Sector</t>
  </si>
  <si>
    <t>Services</t>
  </si>
  <si>
    <t>Wholesale and Retail trade; Repair of motor vehicles and motorcycles</t>
  </si>
  <si>
    <t xml:space="preserve">                                                        Wholesale and retail trade</t>
  </si>
  <si>
    <t>Transport and storage</t>
  </si>
  <si>
    <t>Accomodation and Food Services Activities</t>
  </si>
  <si>
    <t xml:space="preserve">                                        Hotels</t>
  </si>
  <si>
    <t xml:space="preserve">                                        Restaurants</t>
  </si>
  <si>
    <t>Information and Communication</t>
  </si>
  <si>
    <t>Financial and insurance activities:</t>
  </si>
  <si>
    <t xml:space="preserve">                              Banks</t>
  </si>
  <si>
    <t xml:space="preserve">                            Microfinance Institutions</t>
  </si>
  <si>
    <t xml:space="preserve">                            Others</t>
  </si>
  <si>
    <t xml:space="preserve">                              Insurance companies</t>
  </si>
  <si>
    <t>Real Estate Activities</t>
  </si>
  <si>
    <t>Professional, Scientific and Technical Activities</t>
  </si>
  <si>
    <t>Administrative and Support Services Activities</t>
  </si>
  <si>
    <t>Public Sector</t>
  </si>
  <si>
    <t>Human Health and Social Work Activities</t>
  </si>
  <si>
    <t>Arts, Entertainment and Recreation</t>
  </si>
  <si>
    <t>Other Services Activities</t>
  </si>
  <si>
    <t>TOTAL</t>
  </si>
  <si>
    <t>obald</t>
  </si>
  <si>
    <t>nisr</t>
  </si>
  <si>
    <t>2019 S2</t>
  </si>
  <si>
    <t>Q4</t>
  </si>
  <si>
    <t>2020 S1</t>
  </si>
  <si>
    <t>2020 S2</t>
  </si>
  <si>
    <t>2019                                                                                  (volume)</t>
  </si>
  <si>
    <t>2020                                                      (volume)</t>
  </si>
  <si>
    <t xml:space="preserve">Construction material </t>
  </si>
  <si>
    <t>Cement and other similar products</t>
  </si>
  <si>
    <t xml:space="preserve">Metallics construction material  </t>
  </si>
  <si>
    <t>Other construction materials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</si>
  <si>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</si>
  <si>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</si>
  <si>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</si>
  <si>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</si>
  <si>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</si>
  <si>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</si>
  <si>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</si>
  <si>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</si>
  <si>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</si>
  <si>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</si>
  <si>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</si>
  <si>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</si>
  <si>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</si>
  <si>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</si>
  <si>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</si>
  <si>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</si>
  <si>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</si>
  <si>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</si>
  <si>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</si>
  <si>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</si>
  <si>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</si>
  <si>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</si>
  <si>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</si>
  <si>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</si>
  <si>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</si>
  <si>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</si>
  <si>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</si>
  <si>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</si>
  <si>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</si>
  <si>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</si>
  <si>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</si>
  <si>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</si>
  <si>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</si>
  <si>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</si>
  <si>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</si>
  <si>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</si>
  <si>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</si>
  <si>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</si>
  <si>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</si>
  <si>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</si>
  <si>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</si>
  <si>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</si>
  <si>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Manufacturing of non-metalic mineral products</t>
  </si>
  <si>
    <t>Manufacturing Total</t>
  </si>
  <si>
    <t>Index of Industrial Production (formal acvtivity)</t>
  </si>
  <si>
    <t>2020                                                                                  (Index)</t>
  </si>
  <si>
    <t>2021                                                      (Index)</t>
  </si>
  <si>
    <t>2021 Q3</t>
  </si>
  <si>
    <t>2021 Q4</t>
  </si>
  <si>
    <t>TOTAL 2021</t>
  </si>
  <si>
    <t>TOTAL 2020</t>
  </si>
  <si>
    <t>Tot Output at constant 2017 Prices</t>
  </si>
  <si>
    <t>Tot.2017</t>
  </si>
  <si>
    <t>Tot.2018</t>
  </si>
  <si>
    <t>Tot.2019</t>
  </si>
  <si>
    <t>Tot.2020</t>
  </si>
  <si>
    <t>Tot.2021</t>
  </si>
  <si>
    <t>TOKP</t>
  </si>
  <si>
    <t>S1</t>
  </si>
  <si>
    <t>S2</t>
  </si>
  <si>
    <t>Both</t>
  </si>
  <si>
    <t xml:space="preserve">Cereals (céréales) </t>
  </si>
  <si>
    <t>A113</t>
  </si>
  <si>
    <t>Wheat</t>
  </si>
  <si>
    <t xml:space="preserve">   Wheat and other</t>
  </si>
  <si>
    <t>A112</t>
  </si>
  <si>
    <t>Maize</t>
  </si>
  <si>
    <t xml:space="preserve">   Maize (maïs)</t>
  </si>
  <si>
    <t>A116</t>
  </si>
  <si>
    <t>Paddy &amp; husked rice</t>
  </si>
  <si>
    <t xml:space="preserve">  Paddy (riz)</t>
  </si>
  <si>
    <t>A111</t>
  </si>
  <si>
    <t>Sorghum</t>
  </si>
  <si>
    <t xml:space="preserve">  Sorghum (sorgho)</t>
  </si>
  <si>
    <t>A119</t>
  </si>
  <si>
    <t>Other Cereals</t>
  </si>
  <si>
    <t xml:space="preserve">Roots &amp; tubers </t>
  </si>
  <si>
    <t>A121</t>
  </si>
  <si>
    <t>Irish potatoes</t>
  </si>
  <si>
    <t xml:space="preserve">   Irish potatoes (pomme de terre)</t>
  </si>
  <si>
    <t>A122</t>
  </si>
  <si>
    <t>Sweet potatoes</t>
  </si>
  <si>
    <t xml:space="preserve">   Sweet potatoes (potates douces) </t>
  </si>
  <si>
    <t>A123</t>
  </si>
  <si>
    <t>Cassava</t>
  </si>
  <si>
    <t xml:space="preserve">   Cassava (manioc)</t>
  </si>
  <si>
    <t>A129</t>
  </si>
  <si>
    <t>Other roots &amp; tubers</t>
  </si>
  <si>
    <t xml:space="preserve">   Other roots</t>
  </si>
  <si>
    <t>Legumes</t>
  </si>
  <si>
    <t>A131</t>
  </si>
  <si>
    <t xml:space="preserve">Dried beans </t>
  </si>
  <si>
    <t xml:space="preserve">   Beans, dried (haricot) </t>
  </si>
  <si>
    <t>A132</t>
  </si>
  <si>
    <t>Peas &amp; other legumes</t>
  </si>
  <si>
    <t xml:space="preserve">   Peas, etc, dried (petits pois)</t>
  </si>
  <si>
    <t>A139</t>
  </si>
  <si>
    <t>Other vegetables</t>
  </si>
  <si>
    <t>Other vegables</t>
  </si>
  <si>
    <t>Bananas</t>
  </si>
  <si>
    <t>A141</t>
  </si>
  <si>
    <t>Bananas for beer</t>
  </si>
  <si>
    <t xml:space="preserve">  'Bananas for beer</t>
  </si>
  <si>
    <t>A142</t>
  </si>
  <si>
    <t>Bananas for cooking</t>
  </si>
  <si>
    <t xml:space="preserve">  'Bananas for cooking</t>
  </si>
  <si>
    <t>A143</t>
  </si>
  <si>
    <t>Bananas (sweet)</t>
  </si>
  <si>
    <t xml:space="preserve">  'Bananas (sweet)</t>
  </si>
  <si>
    <t>A149</t>
  </si>
  <si>
    <t>Other fruit &amp; nuts</t>
  </si>
  <si>
    <t>Other fruits</t>
  </si>
  <si>
    <t>Oil seed</t>
  </si>
  <si>
    <t>A152</t>
  </si>
  <si>
    <t>Soya</t>
  </si>
  <si>
    <t xml:space="preserve">   Soya beans</t>
  </si>
  <si>
    <t>A151</t>
  </si>
  <si>
    <t>Ground nuts</t>
  </si>
  <si>
    <t xml:space="preserve">   Groundnuts (arachide)</t>
  </si>
  <si>
    <t>Coffee</t>
  </si>
  <si>
    <t>Pyrethrum</t>
  </si>
  <si>
    <t>Horticulture</t>
  </si>
  <si>
    <t>Flowers (stems)</t>
  </si>
  <si>
    <t>Hides and skins</t>
  </si>
  <si>
    <t>Milk</t>
  </si>
  <si>
    <t>Meat</t>
  </si>
  <si>
    <t>Live animals</t>
  </si>
  <si>
    <t>Cereals</t>
  </si>
  <si>
    <t xml:space="preserve">       Milk  (L)</t>
  </si>
  <si>
    <t xml:space="preserve">      Eggs (piece)</t>
  </si>
  <si>
    <t xml:space="preserve">      Honey (Kg)</t>
  </si>
  <si>
    <t xml:space="preserve">     Meat </t>
  </si>
  <si>
    <t xml:space="preserve">            1. Goat</t>
  </si>
  <si>
    <t xml:space="preserve">            2. Pork</t>
  </si>
  <si>
    <t xml:space="preserve">            3. Mutton</t>
  </si>
  <si>
    <t xml:space="preserve">            4.Beef</t>
  </si>
  <si>
    <t>2022                                                    (Index)</t>
  </si>
  <si>
    <t>2022 Q1</t>
  </si>
  <si>
    <t>2022 Q2</t>
  </si>
  <si>
    <t>Honey</t>
  </si>
  <si>
    <t>Natural</t>
  </si>
  <si>
    <t>kg</t>
  </si>
  <si>
    <t>2022                                                    (volume)</t>
  </si>
  <si>
    <t>2022 S1</t>
  </si>
  <si>
    <t>Tot.2022</t>
  </si>
  <si>
    <t>2022 Q3</t>
  </si>
  <si>
    <t>2022 Q4</t>
  </si>
  <si>
    <t xml:space="preserve">Av. </t>
  </si>
  <si>
    <t>TOTAL 2022</t>
  </si>
  <si>
    <t>2019 S1</t>
  </si>
  <si>
    <t>Actual</t>
  </si>
  <si>
    <t>2023                                                 (Index)</t>
  </si>
  <si>
    <t>2023 Q1</t>
  </si>
  <si>
    <t>2023 Q2</t>
  </si>
  <si>
    <t>2023                                                   (volume)</t>
  </si>
  <si>
    <t>2023 S1</t>
  </si>
  <si>
    <t>2022 S2</t>
  </si>
  <si>
    <t>Total 2022</t>
  </si>
  <si>
    <t xml:space="preserve">  S1</t>
  </si>
  <si>
    <t>IIP Qo y-o-y Growth rates</t>
  </si>
  <si>
    <t>2023Q3</t>
  </si>
  <si>
    <t>2023Q4</t>
  </si>
  <si>
    <t>S1 23</t>
  </si>
  <si>
    <t>S2 23</t>
  </si>
  <si>
    <t>Tot.2023</t>
  </si>
  <si>
    <t>2023 S2</t>
  </si>
  <si>
    <t>GDP Prod NA Qo y-o-y Growth rates</t>
  </si>
  <si>
    <t>Electricity supply</t>
  </si>
  <si>
    <t>2021 S1</t>
  </si>
  <si>
    <t>2021 S2</t>
  </si>
  <si>
    <t>Total 2021</t>
  </si>
  <si>
    <t xml:space="preserve">Sem 1 </t>
  </si>
  <si>
    <t>Sem 2</t>
  </si>
  <si>
    <t>Tot 2019</t>
  </si>
  <si>
    <t>Tot 2022</t>
  </si>
  <si>
    <t>Total 2023</t>
  </si>
  <si>
    <t>GDP KP At constant 2017 prices</t>
  </si>
  <si>
    <t>Roots &amp; Tubers</t>
  </si>
  <si>
    <t>Vegetables</t>
  </si>
  <si>
    <t>Bananas &amp; fruit</t>
  </si>
  <si>
    <t>Oil seeds n.e.c. &amp; oleaginous fruit</t>
  </si>
  <si>
    <t>Cash crops</t>
  </si>
  <si>
    <t>Green leaf</t>
  </si>
  <si>
    <t>Raw tobacco</t>
  </si>
  <si>
    <t>Sugar cane</t>
  </si>
  <si>
    <t>Other agricultural products</t>
  </si>
  <si>
    <t>Livestock</t>
  </si>
  <si>
    <t>Bovine cattle, live</t>
  </si>
  <si>
    <t>Sheep and goats, live</t>
  </si>
  <si>
    <t>Swine, live</t>
  </si>
  <si>
    <t>Poultry, live</t>
  </si>
  <si>
    <t>Other live animals</t>
  </si>
  <si>
    <t>Livestock products</t>
  </si>
  <si>
    <t>Raw milk</t>
  </si>
  <si>
    <t>Eggs</t>
  </si>
  <si>
    <t>Raw hides and skins</t>
  </si>
  <si>
    <t>Other animal products</t>
  </si>
  <si>
    <t>Forestry &amp; forestry products</t>
  </si>
  <si>
    <t>Logs</t>
  </si>
  <si>
    <t>Fuel wood</t>
  </si>
  <si>
    <t>Charcoal</t>
  </si>
  <si>
    <t>Mining &amp; Quarrying</t>
  </si>
  <si>
    <t>Mining</t>
  </si>
  <si>
    <t>Cassiterite</t>
  </si>
  <si>
    <t>Colombo-tentalité</t>
  </si>
  <si>
    <t>Wolfram</t>
  </si>
  <si>
    <t>Quarrying</t>
  </si>
  <si>
    <t>Food processing</t>
  </si>
  <si>
    <t>Meat, fish, fruit, veg &amp; dairy</t>
  </si>
  <si>
    <t>Cereal processing</t>
  </si>
  <si>
    <t>Bakery, tea, coffee, sugar etc</t>
  </si>
  <si>
    <t>Beverages &amp; tobacco</t>
  </si>
  <si>
    <t>Formal</t>
  </si>
  <si>
    <t>Beer</t>
  </si>
  <si>
    <t>Tobacco</t>
  </si>
  <si>
    <t>Informal</t>
  </si>
  <si>
    <t>Banana beer</t>
  </si>
  <si>
    <t>Sorghum beer</t>
  </si>
  <si>
    <t>Traditional soft drinks</t>
  </si>
  <si>
    <t>Textiles, clothing etc</t>
  </si>
  <si>
    <t>Wood, paper, printing</t>
  </si>
  <si>
    <t>Chemicals, etc</t>
  </si>
  <si>
    <t>Soap, cosmetics and other cleaning products</t>
  </si>
  <si>
    <t>Paints &amp; varnishes</t>
  </si>
  <si>
    <t>Other chemicals etc</t>
  </si>
  <si>
    <t>Rubber tyres &amp; tubes</t>
  </si>
  <si>
    <t>Other Products</t>
  </si>
  <si>
    <t>Non-metalic minerals</t>
  </si>
  <si>
    <t>Other non-metallic</t>
  </si>
  <si>
    <t>Metal Products, machinery &amp; equipment</t>
  </si>
  <si>
    <t>Furniture and other</t>
  </si>
  <si>
    <t>Repairs (garages etc)</t>
  </si>
  <si>
    <t>Trade</t>
  </si>
  <si>
    <t>Air transport</t>
  </si>
  <si>
    <t>Land transport</t>
  </si>
  <si>
    <t>Service related to transport</t>
  </si>
  <si>
    <t>Accommodation, Food and Catering Services</t>
  </si>
  <si>
    <t>Accommodation Services</t>
  </si>
  <si>
    <t>Food &amp; Catering Services</t>
  </si>
  <si>
    <t>Communications</t>
  </si>
  <si>
    <t>Telecommunication</t>
  </si>
  <si>
    <t>Other IT</t>
  </si>
  <si>
    <t>Central Bank</t>
  </si>
  <si>
    <t>Commercial Banks</t>
  </si>
  <si>
    <t>Insurance</t>
  </si>
  <si>
    <t>Other finance</t>
  </si>
  <si>
    <t>Rural</t>
  </si>
  <si>
    <t>Urban</t>
  </si>
  <si>
    <t>Rented</t>
  </si>
  <si>
    <t>Other real estate activities</t>
  </si>
  <si>
    <t>Legal, accounting management &amp; head office activities</t>
  </si>
  <si>
    <t>Architectural &amp; engineering activities</t>
  </si>
  <si>
    <t>Other professional, scientific &amp; technical activities</t>
  </si>
  <si>
    <t>Travel agents &amp; tour operators</t>
  </si>
  <si>
    <t>Other administrative &amp; support service activities</t>
  </si>
  <si>
    <t>Public admin</t>
  </si>
  <si>
    <t>Govrnment</t>
  </si>
  <si>
    <t>Private</t>
  </si>
  <si>
    <t>Other pers etc servs</t>
  </si>
  <si>
    <t>Arts, Entertainment and Recreation Output</t>
  </si>
  <si>
    <t>Households Employing Domestic Staff</t>
  </si>
  <si>
    <t>Taxes less subsidies</t>
  </si>
  <si>
    <t>Taxes</t>
  </si>
  <si>
    <t>less Subsidies</t>
  </si>
  <si>
    <t xml:space="preserve">S2 </t>
  </si>
  <si>
    <t>Average</t>
  </si>
  <si>
    <t>Avarage total</t>
  </si>
  <si>
    <t>S1 aver share in aver tot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</si>
  <si>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</si>
  <si>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</si>
  <si>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</si>
  <si>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</si>
  <si>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</si>
  <si>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</si>
  <si>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</si>
  <si>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</si>
  <si>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</si>
  <si>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</si>
  <si>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</si>
  <si>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</si>
  <si>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</si>
  <si>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</si>
  <si>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</si>
  <si>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</si>
  <si>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</si>
  <si>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</si>
  <si>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</si>
  <si>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</si>
  <si>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</si>
  <si>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</si>
  <si>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</si>
  <si>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</si>
  <si>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</si>
  <si>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</si>
  <si>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</si>
  <si>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</si>
  <si>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</si>
  <si>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</si>
  <si>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</si>
  <si>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</si>
  <si>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</si>
  <si>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</si>
  <si>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</si>
  <si>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</si>
  <si>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</si>
  <si>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</si>
  <si>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</si>
  <si>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</si>
  <si>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</si>
  <si>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</si>
  <si>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</si>
  <si>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</si>
  <si>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</si>
  <si>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</si>
  <si>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</si>
  <si>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</si>
  <si>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</si>
  <si>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</si>
  <si>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</si>
  <si>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</si>
  <si>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</si>
  <si>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</si>
  <si>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</si>
  <si>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</si>
  <si>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</si>
  <si>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</si>
  <si>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</si>
  <si>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</si>
  <si>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</si>
  <si>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</si>
  <si>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</si>
  <si>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</si>
  <si>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</si>
  <si>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</si>
  <si>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</si>
  <si>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</si>
  <si>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</si>
  <si>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</si>
  <si>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</si>
  <si>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</si>
  <si>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</si>
  <si>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</si>
  <si>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</si>
  <si>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</si>
  <si>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</si>
  <si>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</si>
  <si>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</si>
  <si>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</si>
  <si>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</si>
  <si>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</si>
  <si>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</si>
  <si>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</si>
  <si>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</si>
  <si>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</si>
  <si>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</si>
  <si>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</si>
  <si>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</si>
  <si>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</si>
  <si>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</si>
  <si>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</si>
  <si>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</si>
  <si>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</si>
  <si>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</si>
  <si>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</si>
  <si>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</si>
  <si>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</si>
  <si>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</si>
  <si>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</si>
  <si>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</si>
  <si>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</si>
  <si>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</si>
  <si>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</si>
  <si>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</si>
  <si>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</si>
  <si>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</si>
  <si>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</si>
  <si>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</si>
  <si>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</si>
  <si>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</si>
  <si>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</si>
  <si>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</si>
  <si>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June 2020</t>
  </si>
  <si>
    <t>Jul 2020</t>
  </si>
  <si>
    <t>Aug 2020</t>
  </si>
  <si>
    <t>Sept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</si>
  <si>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</si>
  <si>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</si>
  <si>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</si>
  <si>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</si>
  <si>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</si>
  <si>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</si>
  <si>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</si>
  <si>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</si>
  <si>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June 2021</t>
  </si>
  <si>
    <t>Jul 2021</t>
  </si>
  <si>
    <t>Augst 2021</t>
  </si>
  <si>
    <t>Sept 2021</t>
  </si>
  <si>
    <t>Oct 2021</t>
  </si>
  <si>
    <t>Nov 2021</t>
  </si>
  <si>
    <t>Dec 2021</t>
  </si>
  <si>
    <t>Jan 2022</t>
  </si>
  <si>
    <t>Feb 2022</t>
  </si>
  <si>
    <t>Mar 2022</t>
  </si>
  <si>
    <t>Apr 2022</t>
  </si>
  <si>
    <t>Jun 2022</t>
  </si>
  <si>
    <t>Jul 2022</t>
  </si>
  <si>
    <t>Aug 2022</t>
  </si>
  <si>
    <t>Sept 2022</t>
  </si>
  <si>
    <t>Oct 2022</t>
  </si>
  <si>
    <t>Nov 2022</t>
  </si>
  <si>
    <t>Dec 2022</t>
  </si>
  <si>
    <t>Jan 2023</t>
  </si>
  <si>
    <t xml:space="preserve"> Feb 2023</t>
  </si>
  <si>
    <t>Mar 2023</t>
  </si>
  <si>
    <t>Apr 2023</t>
  </si>
  <si>
    <t>May 2023</t>
  </si>
  <si>
    <t>Jun 2023</t>
  </si>
  <si>
    <t>Jul 2023</t>
  </si>
  <si>
    <t>Oct 2023</t>
  </si>
  <si>
    <t>Nov 2023</t>
  </si>
  <si>
    <t>Dec 2023</t>
  </si>
  <si>
    <t xml:space="preserve">                                                      Petroleum Distributors ( repair)</t>
  </si>
  <si>
    <t xml:space="preserve">Q1 </t>
  </si>
  <si>
    <t>RGDP, %</t>
  </si>
  <si>
    <t>2024 Q1</t>
  </si>
  <si>
    <t>2024 Q2</t>
  </si>
  <si>
    <t>2024 Q3</t>
  </si>
  <si>
    <t>2024 Q4</t>
  </si>
  <si>
    <t>2024                                                 (Index)</t>
  </si>
  <si>
    <t>2024Q3</t>
  </si>
  <si>
    <t>2024Q4</t>
  </si>
  <si>
    <r>
      <t>Imports--</t>
    </r>
    <r>
      <rPr>
        <b/>
        <sz val="11"/>
        <color rgb="FFC00000"/>
        <rFont val="Calibri"/>
        <family val="2"/>
      </rPr>
      <t>Formal Mo Trade fr used in BOP</t>
    </r>
  </si>
  <si>
    <r>
      <t>Domestic--</t>
    </r>
    <r>
      <rPr>
        <b/>
        <sz val="11"/>
        <color rgb="FFC00000"/>
        <rFont val="Calibri"/>
        <family val="2"/>
      </rPr>
      <t>Produduction data from BNR or MINICOM</t>
    </r>
  </si>
  <si>
    <t>2024 S1</t>
  </si>
  <si>
    <t>2024 S2</t>
  </si>
  <si>
    <t>Total 2024</t>
  </si>
  <si>
    <t>S1 24</t>
  </si>
  <si>
    <t>S2 24</t>
  </si>
  <si>
    <t>2025Q1</t>
  </si>
  <si>
    <t>2025Q2</t>
  </si>
  <si>
    <t>2025Q3</t>
  </si>
  <si>
    <t>2025Q4</t>
  </si>
  <si>
    <t>S1 25</t>
  </si>
  <si>
    <t>Tot.2024</t>
  </si>
  <si>
    <t>Tot.2025</t>
  </si>
  <si>
    <t xml:space="preserve"> Aug 2023</t>
  </si>
  <si>
    <t xml:space="preserve"> Sep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</si>
  <si>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</si>
  <si>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</si>
  <si>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</si>
  <si>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</si>
  <si>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</si>
  <si>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</si>
  <si>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</si>
  <si>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</si>
  <si>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</si>
  <si>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</si>
  <si>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</si>
  <si>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</si>
  <si>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</si>
  <si>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</si>
  <si>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</si>
  <si>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</si>
  <si>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</si>
  <si>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</si>
  <si>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</si>
  <si>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</si>
  <si>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</si>
  <si>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</si>
  <si>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</si>
  <si>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</si>
  <si>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S2 25</t>
  </si>
  <si>
    <t>Tot</t>
  </si>
  <si>
    <t>Branch of Activities (Nominal terms)</t>
  </si>
  <si>
    <t>Aug.25</t>
  </si>
  <si>
    <t>Sept.25</t>
  </si>
  <si>
    <t>Oct.25</t>
  </si>
  <si>
    <t>Nov.25</t>
  </si>
  <si>
    <t>Dec.25</t>
  </si>
  <si>
    <t>% change</t>
  </si>
  <si>
    <t>Average tot</t>
  </si>
  <si>
    <t>Growth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</si>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</sst>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%"/>
    <numFmt numFmtId="167" formatCode="#,##0.0"/>
    <numFmt numFmtId="168" formatCode="#,##0_ ;[Red]\-#,##0\ "/>
    <numFmt numFmtId="169" formatCode="_-* #,##0\ _F_-;\-* #,##0\ _F_-;_-* &quot;-&quot;??\ _F_-;_-@_-"/>
    <numFmt numFmtId="170" formatCode="_(* #,##0_);_(* \(#,##0\);_(* &quot;-&quot;??_);_(@_)"/>
    <numFmt numFmtId="171" formatCode="_-* #,##0.0\ _F_-;\-* #,##0.0\ _F_-;_-* &quot;-&quot;??\ _F_-;_-@_-"/>
    <numFmt numFmtId="172" formatCode="[$-409]mmm\-yy;@"/>
    <numFmt numFmtId="173" formatCode="_-* #,##0.00\ _F_-;\-* #,##0.00\ _F_-;_-* &quot;-&quot;??\ _F_-;_-@_-"/>
    <numFmt numFmtId="174" formatCode="_-* #,##0.00\ _€_-;\-* #,##0.00\ _€_-;_-* &quot;-&quot;??\ _€_-;_-@_-"/>
    <numFmt numFmtId="175" formatCode="_(* #,##0.0_);_(* \(#,##0.0\);_(* &quot;-&quot;??_);_(@_)"/>
    <numFmt numFmtId="176" formatCode="0.00000"/>
    <numFmt numFmtId="177" formatCode="_-* #,##0.0_-;\-* #,##0.0_-;_-* &quot;-&quot;?_-;_-@_-"/>
    <numFmt numFmtId="178" formatCode="#,##0.0_ ;[Red]\-#,##0.0\ 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Wingdings"/>
      <charset val="2"/>
    </font>
    <font>
      <b/>
      <sz val="9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2"/>
      <name val="Arial MT"/>
    </font>
    <font>
      <sz val="11"/>
      <name val="Times New Roman"/>
      <family val="1"/>
    </font>
    <font>
      <b/>
      <sz val="18"/>
      <color indexed="62"/>
      <name val="Cambria"/>
      <family val="2"/>
    </font>
    <font>
      <sz val="7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Times New Roman"/>
      <family val="1"/>
    </font>
    <font>
      <b/>
      <sz val="11"/>
      <name val="Arial"/>
      <family val="2"/>
    </font>
    <font>
      <i/>
      <sz val="9.5"/>
      <name val="Arial"/>
      <family val="2"/>
    </font>
    <font>
      <b/>
      <sz val="14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  <scheme val="minor"/>
    </font>
    <font>
      <b/>
      <sz val="12"/>
      <color rgb="FF0000FF"/>
      <name val="Arial Rounded MT Bold"/>
      <family val="2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b/>
      <sz val="9"/>
      <color rgb="FF000080"/>
      <name val="Trebuchet MS"/>
      <family val="2"/>
    </font>
    <font>
      <b/>
      <sz val="10"/>
      <color rgb="FFFF0000"/>
      <name val="Times New Roman"/>
      <family val="1"/>
    </font>
    <font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0"/>
      <color indexed="8"/>
      <name val="MS Sans Serif"/>
      <family val="2"/>
    </font>
    <font>
      <b/>
      <sz val="14"/>
      <color indexed="8"/>
      <name val="Aharoni"/>
      <charset val="177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b/>
      <i/>
      <sz val="11"/>
      <color indexed="8"/>
      <name val="Cambria"/>
      <family val="1"/>
    </font>
    <font>
      <i/>
      <sz val="11"/>
      <color indexed="8"/>
      <name val="Cambria"/>
      <family val="1"/>
    </font>
    <font>
      <b/>
      <sz val="11"/>
      <color rgb="FF000000"/>
      <name val="Agency FB"/>
      <family val="2"/>
    </font>
    <font>
      <b/>
      <sz val="11"/>
      <color theme="1"/>
      <name val="Agency FB"/>
      <family val="2"/>
    </font>
    <font>
      <b/>
      <sz val="10"/>
      <color rgb="FF974706"/>
      <name val="Arial"/>
      <family val="2"/>
    </font>
    <font>
      <b/>
      <sz val="11"/>
      <name val="Cambria"/>
      <family val="1"/>
    </font>
    <font>
      <sz val="11"/>
      <color theme="1"/>
      <name val="Calibri"/>
      <family val="2"/>
    </font>
    <font>
      <b/>
      <u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Bahnschrift"/>
      <family val="2"/>
    </font>
    <font>
      <b/>
      <i/>
      <sz val="11"/>
      <color theme="1"/>
      <name val="Bahnschrift"/>
      <family val="2"/>
    </font>
    <font>
      <b/>
      <sz val="11"/>
      <color theme="1"/>
      <name val="Bahnschrift"/>
      <family val="2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0"/>
      <color theme="1"/>
      <name val="Cambria"/>
      <family val="1"/>
      <scheme val="major"/>
    </font>
    <font>
      <sz val="8"/>
      <name val="Calibri"/>
      <family val="2"/>
      <scheme val="minor"/>
    </font>
    <font>
      <b/>
      <sz val="9"/>
      <color indexed="18"/>
      <name val="Trebuchet MS"/>
      <family val="2"/>
    </font>
    <font>
      <b/>
      <sz val="12"/>
      <color indexed="12"/>
      <name val="Arial Rounded MT Bold"/>
      <family val="2"/>
    </font>
    <font>
      <sz val="11"/>
      <color rgb="FFFF0000"/>
      <name val="Cambria"/>
      <family val="1"/>
    </font>
    <font>
      <b/>
      <sz val="11"/>
      <name val="Cambria"/>
      <family val="1"/>
      <scheme val="major"/>
    </font>
    <font>
      <b/>
      <sz val="10"/>
      <color indexed="10"/>
      <name val="Arial"/>
      <family val="2"/>
    </font>
    <font>
      <b/>
      <sz val="11"/>
      <color rgb="FF00B0F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Bahnschrift"/>
      <family val="2"/>
    </font>
    <font>
      <sz val="11"/>
      <color rgb="FFFF0000"/>
      <name val="Bahnschrift"/>
      <family val="2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4"/>
      <name val="Times New Roman"/>
      <family val="1"/>
    </font>
    <font>
      <i/>
      <sz val="10"/>
      <name val="Times New Roman"/>
      <family val="1"/>
    </font>
    <font>
      <sz val="9"/>
      <color rgb="FFC00000"/>
      <name val="Times New Roman"/>
      <family val="1"/>
    </font>
    <font>
      <b/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b/>
      <sz val="10"/>
      <color indexed="10"/>
      <name val="Times New Roman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i/>
      <sz val="9"/>
      <name val="Times New Roman"/>
      <family val="1"/>
    </font>
    <font>
      <b/>
      <sz val="9"/>
      <color rgb="FFC00000"/>
      <name val="Times New Roman"/>
      <family val="1"/>
    </font>
    <font>
      <sz val="11"/>
      <color rgb="FFC00000"/>
      <name val="Calibri"/>
      <family val="2"/>
      <scheme val="minor"/>
    </font>
    <font>
      <b/>
      <sz val="10"/>
      <color rgb="FFC00000"/>
      <name val="Times New Roman"/>
      <family val="1"/>
    </font>
    <font>
      <b/>
      <sz val="11"/>
      <color rgb="FFC00000"/>
      <name val="Calibri"/>
      <family val="2"/>
    </font>
    <font>
      <sz val="8"/>
      <color rgb="FFC00000"/>
      <name val="Calibri"/>
      <family val="2"/>
      <scheme val="min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i/>
      <sz val="9.5"/>
      <name val="Cambria"/>
      <family val="1"/>
      <scheme val="major"/>
    </font>
    <font>
      <b/>
      <sz val="14"/>
      <name val="Cambria"/>
      <family val="1"/>
      <scheme val="major"/>
    </font>
    <font>
      <sz val="10"/>
      <color theme="1"/>
      <name val="Calibri"/>
      <family val="2"/>
      <charset val="1"/>
      <scheme val="minor"/>
    </font>
    <font>
      <sz val="10"/>
      <color rgb="FFC0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7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3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8" fillId="4" borderId="0" applyNumberFormat="0" applyBorder="0" applyAlignment="0" applyProtection="0"/>
    <xf numFmtId="0" fontId="8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2" borderId="0" applyNumberFormat="0" applyBorder="0" applyAlignment="0" applyProtection="0"/>
    <xf numFmtId="0" fontId="8" fillId="5" borderId="0" applyNumberFormat="0" applyBorder="0" applyAlignment="0" applyProtection="0"/>
    <xf numFmtId="0" fontId="9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0" borderId="0"/>
    <xf numFmtId="9" fontId="2" fillId="0" borderId="0" applyFont="0" applyFill="0" applyBorder="0" applyAlignment="0" applyProtection="0"/>
    <xf numFmtId="167" fontId="12" fillId="0" borderId="0" applyFill="0" applyBorder="0" applyProtection="0"/>
    <xf numFmtId="0" fontId="13" fillId="0" borderId="0" applyNumberFormat="0" applyFill="0" applyBorder="0" applyAlignment="0" applyProtection="0"/>
    <xf numFmtId="1" fontId="2" fillId="0" borderId="1" applyBorder="0">
      <alignment horizontal="center"/>
    </xf>
    <xf numFmtId="1" fontId="2" fillId="0" borderId="1" applyBorder="0">
      <alignment horizontal="center"/>
    </xf>
    <xf numFmtId="0" fontId="2" fillId="0" borderId="2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31" fillId="0" borderId="0" applyNumberFormat="0"/>
    <xf numFmtId="0" fontId="1" fillId="0" borderId="0"/>
    <xf numFmtId="43" fontId="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47" fillId="0" borderId="0"/>
    <xf numFmtId="43" fontId="2" fillId="0" borderId="0" applyFont="0" applyFill="0" applyBorder="0" applyAlignment="0" applyProtection="0"/>
    <xf numFmtId="0" fontId="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47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2" fillId="0" borderId="0"/>
    <xf numFmtId="43" fontId="82" fillId="0" borderId="0" applyFont="0" applyFill="0" applyBorder="0" applyAlignment="0" applyProtection="0"/>
    <xf numFmtId="0" fontId="2" fillId="0" borderId="0"/>
  </cellStyleXfs>
  <cellXfs count="796">
    <xf numFmtId="0" fontId="0" fillId="0" borderId="0" xfId="0"/>
    <xf numFmtId="0" fontId="6" fillId="0" borderId="3" xfId="2" applyFont="1" applyBorder="1" applyAlignment="1">
      <alignment horizontal="left" indent="2"/>
    </xf>
    <xf numFmtId="0" fontId="7" fillId="0" borderId="3" xfId="2" applyFont="1" applyBorder="1" applyAlignment="1">
      <alignment horizontal="center"/>
    </xf>
    <xf numFmtId="0" fontId="4" fillId="0" borderId="3" xfId="2" applyFont="1" applyBorder="1"/>
    <xf numFmtId="0" fontId="17" fillId="0" borderId="8" xfId="0" applyFont="1" applyBorder="1"/>
    <xf numFmtId="166" fontId="0" fillId="0" borderId="0" xfId="0" applyNumberFormat="1"/>
    <xf numFmtId="166" fontId="15" fillId="0" borderId="0" xfId="0" applyNumberFormat="1" applyFont="1"/>
    <xf numFmtId="0" fontId="17" fillId="13" borderId="10" xfId="0" applyFont="1" applyFill="1" applyBorder="1"/>
    <xf numFmtId="0" fontId="19" fillId="0" borderId="10" xfId="0" applyFont="1" applyBorder="1"/>
    <xf numFmtId="0" fontId="19" fillId="0" borderId="8" xfId="0" applyFont="1" applyBorder="1"/>
    <xf numFmtId="0" fontId="17" fillId="13" borderId="5" xfId="0" applyFont="1" applyFill="1" applyBorder="1"/>
    <xf numFmtId="3" fontId="18" fillId="0" borderId="8" xfId="0" quotePrefix="1" applyNumberFormat="1" applyFont="1" applyBorder="1" applyAlignment="1">
      <alignment horizontal="left"/>
    </xf>
    <xf numFmtId="3" fontId="16" fillId="0" borderId="6" xfId="0" quotePrefix="1" applyNumberFormat="1" applyFont="1" applyBorder="1" applyAlignment="1">
      <alignment horizontal="left"/>
    </xf>
    <xf numFmtId="0" fontId="17" fillId="0" borderId="9" xfId="0" applyFont="1" applyBorder="1"/>
    <xf numFmtId="3" fontId="16" fillId="0" borderId="8" xfId="0" quotePrefix="1" applyNumberFormat="1" applyFont="1" applyBorder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fill"/>
    </xf>
    <xf numFmtId="9" fontId="0" fillId="0" borderId="0" xfId="1" applyFont="1"/>
    <xf numFmtId="165" fontId="0" fillId="0" borderId="0" xfId="0" applyNumberFormat="1"/>
    <xf numFmtId="9" fontId="15" fillId="0" borderId="0" xfId="0" applyNumberFormat="1" applyFont="1"/>
    <xf numFmtId="3" fontId="26" fillId="21" borderId="8" xfId="0" quotePrefix="1" applyNumberFormat="1" applyFont="1" applyFill="1" applyBorder="1" applyAlignment="1">
      <alignment horizontal="left"/>
    </xf>
    <xf numFmtId="0" fontId="29" fillId="22" borderId="16" xfId="0" applyFont="1" applyFill="1" applyBorder="1" applyAlignment="1">
      <alignment horizontal="center" vertical="top" wrapText="1"/>
    </xf>
    <xf numFmtId="0" fontId="0" fillId="23" borderId="0" xfId="0" applyFill="1"/>
    <xf numFmtId="0" fontId="31" fillId="0" borderId="19" xfId="0" applyFont="1" applyBorder="1"/>
    <xf numFmtId="0" fontId="12" fillId="0" borderId="3" xfId="0" applyFont="1" applyBorder="1"/>
    <xf numFmtId="0" fontId="32" fillId="0" borderId="3" xfId="0" applyFont="1" applyBorder="1"/>
    <xf numFmtId="0" fontId="33" fillId="0" borderId="3" xfId="0" applyFont="1" applyBorder="1"/>
    <xf numFmtId="0" fontId="34" fillId="0" borderId="3" xfId="0" applyFont="1" applyBorder="1"/>
    <xf numFmtId="0" fontId="34" fillId="0" borderId="3" xfId="0" applyFont="1" applyBorder="1" applyAlignment="1">
      <alignment horizontal="center"/>
    </xf>
    <xf numFmtId="3" fontId="12" fillId="0" borderId="19" xfId="34" applyNumberFormat="1" applyFont="1" applyBorder="1" applyAlignment="1">
      <alignment horizontal="center"/>
    </xf>
    <xf numFmtId="3" fontId="12" fillId="0" borderId="3" xfId="34" applyNumberFormat="1" applyFont="1" applyBorder="1" applyAlignment="1">
      <alignment horizontal="center"/>
    </xf>
    <xf numFmtId="43" fontId="37" fillId="0" borderId="24" xfId="32" applyFont="1" applyFill="1" applyBorder="1" applyAlignment="1">
      <alignment horizontal="center"/>
    </xf>
    <xf numFmtId="0" fontId="2" fillId="0" borderId="3" xfId="0" applyFont="1" applyBorder="1"/>
    <xf numFmtId="3" fontId="0" fillId="0" borderId="0" xfId="0" applyNumberFormat="1"/>
    <xf numFmtId="0" fontId="29" fillId="26" borderId="17" xfId="0" applyFont="1" applyFill="1" applyBorder="1" applyAlignment="1">
      <alignment horizontal="center" vertical="top" wrapText="1"/>
    </xf>
    <xf numFmtId="0" fontId="0" fillId="26" borderId="0" xfId="0" applyFill="1"/>
    <xf numFmtId="3" fontId="16" fillId="22" borderId="11" xfId="0" quotePrefix="1" applyNumberFormat="1" applyFont="1" applyFill="1" applyBorder="1" applyAlignment="1">
      <alignment horizontal="left"/>
    </xf>
    <xf numFmtId="3" fontId="18" fillId="0" borderId="11" xfId="0" quotePrefix="1" applyNumberFormat="1" applyFont="1" applyBorder="1" applyAlignment="1">
      <alignment horizontal="left"/>
    </xf>
    <xf numFmtId="3" fontId="26" fillId="21" borderId="3" xfId="0" quotePrefix="1" applyNumberFormat="1" applyFont="1" applyFill="1" applyBorder="1"/>
    <xf numFmtId="37" fontId="38" fillId="0" borderId="25" xfId="0" applyNumberFormat="1" applyFont="1" applyBorder="1" applyAlignment="1">
      <alignment horizontal="right"/>
    </xf>
    <xf numFmtId="37" fontId="38" fillId="0" borderId="26" xfId="0" applyNumberFormat="1" applyFont="1" applyBorder="1" applyAlignment="1">
      <alignment horizontal="right"/>
    </xf>
    <xf numFmtId="3" fontId="27" fillId="0" borderId="0" xfId="0" applyNumberFormat="1" applyFont="1"/>
    <xf numFmtId="37" fontId="28" fillId="21" borderId="26" xfId="0" applyNumberFormat="1" applyFont="1" applyFill="1" applyBorder="1" applyAlignment="1">
      <alignment horizontal="right"/>
    </xf>
    <xf numFmtId="37" fontId="28" fillId="21" borderId="25" xfId="0" applyNumberFormat="1" applyFont="1" applyFill="1" applyBorder="1" applyAlignment="1">
      <alignment horizontal="right"/>
    </xf>
    <xf numFmtId="37" fontId="39" fillId="21" borderId="26" xfId="0" applyNumberFormat="1" applyFont="1" applyFill="1" applyBorder="1" applyAlignment="1">
      <alignment horizontal="right"/>
    </xf>
    <xf numFmtId="37" fontId="40" fillId="0" borderId="26" xfId="0" applyNumberFormat="1" applyFont="1" applyBorder="1" applyAlignment="1">
      <alignment horizontal="right"/>
    </xf>
    <xf numFmtId="37" fontId="38" fillId="24" borderId="27" xfId="0" applyNumberFormat="1" applyFont="1" applyFill="1" applyBorder="1" applyAlignment="1">
      <alignment horizontal="right"/>
    </xf>
    <xf numFmtId="37" fontId="38" fillId="24" borderId="25" xfId="0" applyNumberFormat="1" applyFont="1" applyFill="1" applyBorder="1" applyAlignment="1">
      <alignment horizontal="right"/>
    </xf>
    <xf numFmtId="37" fontId="40" fillId="0" borderId="28" xfId="0" applyNumberFormat="1" applyFont="1" applyBorder="1" applyAlignment="1">
      <alignment horizontal="right"/>
    </xf>
    <xf numFmtId="37" fontId="38" fillId="0" borderId="28" xfId="0" applyNumberFormat="1" applyFont="1" applyBorder="1" applyAlignment="1">
      <alignment horizontal="right"/>
    </xf>
    <xf numFmtId="165" fontId="41" fillId="27" borderId="0" xfId="0" applyNumberFormat="1" applyFont="1" applyFill="1" applyAlignment="1">
      <alignment horizontal="right"/>
    </xf>
    <xf numFmtId="165" fontId="41" fillId="0" borderId="0" xfId="0" applyNumberFormat="1" applyFont="1"/>
    <xf numFmtId="165" fontId="42" fillId="0" borderId="0" xfId="0" applyNumberFormat="1" applyFont="1"/>
    <xf numFmtId="165" fontId="41" fillId="0" borderId="4" xfId="0" applyNumberFormat="1" applyFont="1" applyBorder="1"/>
    <xf numFmtId="0" fontId="45" fillId="0" borderId="0" xfId="0" applyFont="1" applyAlignment="1">
      <alignment horizontal="center"/>
    </xf>
    <xf numFmtId="170" fontId="32" fillId="28" borderId="30" xfId="32" applyNumberFormat="1" applyFont="1" applyFill="1" applyBorder="1" applyAlignment="1">
      <alignment vertical="center"/>
    </xf>
    <xf numFmtId="0" fontId="46" fillId="0" borderId="0" xfId="0" applyFont="1"/>
    <xf numFmtId="0" fontId="48" fillId="29" borderId="31" xfId="122" applyFont="1" applyFill="1" applyBorder="1" applyAlignment="1">
      <alignment vertical="center"/>
    </xf>
    <xf numFmtId="0" fontId="49" fillId="0" borderId="0" xfId="0" applyFont="1"/>
    <xf numFmtId="0" fontId="50" fillId="0" borderId="0" xfId="0" applyFont="1"/>
    <xf numFmtId="0" fontId="48" fillId="29" borderId="32" xfId="122" applyFont="1" applyFill="1" applyBorder="1" applyAlignment="1">
      <alignment vertical="center"/>
    </xf>
    <xf numFmtId="0" fontId="46" fillId="0" borderId="0" xfId="0" applyFont="1" applyAlignment="1">
      <alignment vertical="center"/>
    </xf>
    <xf numFmtId="17" fontId="48" fillId="29" borderId="33" xfId="0" applyNumberFormat="1" applyFont="1" applyFill="1" applyBorder="1" applyAlignment="1">
      <alignment vertical="center"/>
    </xf>
    <xf numFmtId="170" fontId="26" fillId="0" borderId="0" xfId="32" applyNumberFormat="1" applyFont="1" applyFill="1" applyBorder="1" applyAlignment="1">
      <alignment horizontal="center"/>
    </xf>
    <xf numFmtId="170" fontId="53" fillId="0" borderId="0" xfId="32" applyNumberFormat="1" applyFont="1" applyFill="1" applyBorder="1"/>
    <xf numFmtId="43" fontId="55" fillId="0" borderId="34" xfId="32" applyFont="1" applyFill="1" applyBorder="1" applyAlignment="1">
      <alignment horizontal="right"/>
    </xf>
    <xf numFmtId="170" fontId="32" fillId="27" borderId="30" xfId="32" applyNumberFormat="1" applyFont="1" applyFill="1" applyBorder="1" applyAlignment="1">
      <alignment vertical="center"/>
    </xf>
    <xf numFmtId="9" fontId="48" fillId="29" borderId="32" xfId="1" applyFont="1" applyFill="1" applyBorder="1" applyAlignment="1">
      <alignment vertical="center"/>
    </xf>
    <xf numFmtId="9" fontId="32" fillId="27" borderId="30" xfId="1" applyFont="1" applyFill="1" applyBorder="1" applyAlignment="1">
      <alignment vertical="center"/>
    </xf>
    <xf numFmtId="165" fontId="3" fillId="0" borderId="0" xfId="0" applyNumberFormat="1" applyFont="1"/>
    <xf numFmtId="165" fontId="41" fillId="28" borderId="0" xfId="0" applyNumberFormat="1" applyFont="1" applyFill="1" applyAlignment="1">
      <alignment horizontal="right"/>
    </xf>
    <xf numFmtId="2" fontId="28" fillId="30" borderId="0" xfId="0" applyNumberFormat="1" applyFont="1" applyFill="1"/>
    <xf numFmtId="2" fontId="38" fillId="31" borderId="0" xfId="0" applyNumberFormat="1" applyFont="1" applyFill="1"/>
    <xf numFmtId="2" fontId="38" fillId="32" borderId="0" xfId="0" applyNumberFormat="1" applyFont="1" applyFill="1"/>
    <xf numFmtId="2" fontId="38" fillId="33" borderId="0" xfId="0" applyNumberFormat="1" applyFont="1" applyFill="1"/>
    <xf numFmtId="2" fontId="22" fillId="34" borderId="0" xfId="0" applyNumberFormat="1" applyFont="1" applyFill="1"/>
    <xf numFmtId="2" fontId="28" fillId="34" borderId="0" xfId="0" applyNumberFormat="1" applyFont="1" applyFill="1"/>
    <xf numFmtId="2" fontId="22" fillId="35" borderId="0" xfId="0" applyNumberFormat="1" applyFont="1" applyFill="1"/>
    <xf numFmtId="0" fontId="20" fillId="14" borderId="0" xfId="0" applyFont="1" applyFill="1"/>
    <xf numFmtId="0" fontId="21" fillId="15" borderId="0" xfId="0" applyFont="1" applyFill="1"/>
    <xf numFmtId="0" fontId="21" fillId="16" borderId="0" xfId="0" applyFont="1" applyFill="1"/>
    <xf numFmtId="0" fontId="21" fillId="17" borderId="0" xfId="0" applyFont="1" applyFill="1"/>
    <xf numFmtId="0" fontId="20" fillId="13" borderId="0" xfId="24" applyFont="1" applyFill="1"/>
    <xf numFmtId="0" fontId="20" fillId="13" borderId="0" xfId="31" applyFont="1" applyFill="1" applyAlignment="1">
      <alignment vertical="top"/>
    </xf>
    <xf numFmtId="0" fontId="20" fillId="18" borderId="0" xfId="31" applyFont="1" applyFill="1" applyAlignment="1">
      <alignment vertical="top"/>
    </xf>
    <xf numFmtId="0" fontId="21" fillId="17" borderId="0" xfId="31" applyFont="1" applyFill="1" applyAlignment="1">
      <alignment vertical="top"/>
    </xf>
    <xf numFmtId="0" fontId="20" fillId="13" borderId="36" xfId="31" applyFont="1" applyFill="1" applyBorder="1" applyAlignment="1">
      <alignment vertical="top"/>
    </xf>
    <xf numFmtId="2" fontId="22" fillId="34" borderId="39" xfId="0" applyNumberFormat="1" applyFont="1" applyFill="1" applyBorder="1"/>
    <xf numFmtId="166" fontId="15" fillId="0" borderId="17" xfId="0" applyNumberFormat="1" applyFont="1" applyBorder="1"/>
    <xf numFmtId="166" fontId="0" fillId="0" borderId="28" xfId="0" applyNumberFormat="1" applyBorder="1"/>
    <xf numFmtId="0" fontId="15" fillId="0" borderId="28" xfId="0" applyFont="1" applyBorder="1"/>
    <xf numFmtId="0" fontId="15" fillId="0" borderId="40" xfId="0" applyFont="1" applyBorder="1"/>
    <xf numFmtId="0" fontId="15" fillId="0" borderId="34" xfId="0" applyFont="1" applyBorder="1" applyAlignment="1">
      <alignment horizontal="fill"/>
    </xf>
    <xf numFmtId="0" fontId="15" fillId="0" borderId="11" xfId="0" applyFont="1" applyBorder="1" applyAlignment="1">
      <alignment horizontal="fill"/>
    </xf>
    <xf numFmtId="0" fontId="15" fillId="0" borderId="41" xfId="0" applyFont="1" applyBorder="1" applyAlignment="1">
      <alignment horizontal="fill"/>
    </xf>
    <xf numFmtId="0" fontId="44" fillId="23" borderId="37" xfId="0" applyFont="1" applyFill="1" applyBorder="1"/>
    <xf numFmtId="17" fontId="17" fillId="0" borderId="15" xfId="0" applyNumberFormat="1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168" fontId="5" fillId="19" borderId="11" xfId="24" applyNumberFormat="1" applyFont="1" applyFill="1" applyBorder="1"/>
    <xf numFmtId="168" fontId="23" fillId="0" borderId="11" xfId="24" applyNumberFormat="1" applyFont="1" applyBorder="1" applyAlignment="1">
      <alignment vertical="center" wrapText="1"/>
    </xf>
    <xf numFmtId="168" fontId="2" fillId="0" borderId="11" xfId="24" applyNumberFormat="1" applyFont="1" applyBorder="1"/>
    <xf numFmtId="168" fontId="24" fillId="0" borderId="11" xfId="24" applyNumberFormat="1" applyFont="1" applyBorder="1" applyAlignment="1">
      <alignment horizontal="left" indent="2"/>
    </xf>
    <xf numFmtId="168" fontId="5" fillId="20" borderId="11" xfId="24" applyNumberFormat="1" applyFont="1" applyFill="1" applyBorder="1"/>
    <xf numFmtId="168" fontId="25" fillId="0" borderId="11" xfId="24" applyNumberFormat="1" applyFont="1" applyBorder="1"/>
    <xf numFmtId="0" fontId="0" fillId="0" borderId="41" xfId="0" applyBorder="1"/>
    <xf numFmtId="170" fontId="44" fillId="0" borderId="0" xfId="32" applyNumberFormat="1" applyFont="1" applyBorder="1" applyAlignment="1">
      <alignment horizontal="center"/>
    </xf>
    <xf numFmtId="170" fontId="1" fillId="0" borderId="0" xfId="32" applyNumberFormat="1" applyFont="1" applyBorder="1"/>
    <xf numFmtId="170" fontId="54" fillId="0" borderId="0" xfId="32" applyNumberFormat="1" applyFont="1" applyBorder="1"/>
    <xf numFmtId="170" fontId="44" fillId="0" borderId="0" xfId="32" applyNumberFormat="1" applyFont="1" applyBorder="1"/>
    <xf numFmtId="3" fontId="57" fillId="0" borderId="0" xfId="0" applyNumberFormat="1" applyFont="1"/>
    <xf numFmtId="3" fontId="26" fillId="0" borderId="0" xfId="0" applyNumberFormat="1" applyFont="1"/>
    <xf numFmtId="169" fontId="35" fillId="0" borderId="3" xfId="0" applyNumberFormat="1" applyFont="1" applyBorder="1" applyAlignment="1">
      <alignment horizontal="center"/>
    </xf>
    <xf numFmtId="169" fontId="23" fillId="0" borderId="3" xfId="0" applyNumberFormat="1" applyFont="1" applyBorder="1" applyAlignment="1">
      <alignment horizontal="center"/>
    </xf>
    <xf numFmtId="165" fontId="28" fillId="30" borderId="38" xfId="0" applyNumberFormat="1" applyFont="1" applyFill="1" applyBorder="1"/>
    <xf numFmtId="165" fontId="28" fillId="30" borderId="35" xfId="0" applyNumberFormat="1" applyFont="1" applyFill="1" applyBorder="1"/>
    <xf numFmtId="165" fontId="28" fillId="30" borderId="0" xfId="0" applyNumberFormat="1" applyFont="1" applyFill="1"/>
    <xf numFmtId="165" fontId="28" fillId="30" borderId="28" xfId="0" applyNumberFormat="1" applyFont="1" applyFill="1" applyBorder="1"/>
    <xf numFmtId="165" fontId="28" fillId="30" borderId="8" xfId="0" applyNumberFormat="1" applyFont="1" applyFill="1" applyBorder="1"/>
    <xf numFmtId="165" fontId="38" fillId="31" borderId="8" xfId="0" applyNumberFormat="1" applyFont="1" applyFill="1" applyBorder="1"/>
    <xf numFmtId="165" fontId="38" fillId="31" borderId="0" xfId="0" applyNumberFormat="1" applyFont="1" applyFill="1"/>
    <xf numFmtId="165" fontId="38" fillId="31" borderId="28" xfId="0" applyNumberFormat="1" applyFont="1" applyFill="1" applyBorder="1"/>
    <xf numFmtId="165" fontId="38" fillId="32" borderId="8" xfId="0" applyNumberFormat="1" applyFont="1" applyFill="1" applyBorder="1"/>
    <xf numFmtId="165" fontId="38" fillId="32" borderId="0" xfId="0" applyNumberFormat="1" applyFont="1" applyFill="1"/>
    <xf numFmtId="165" fontId="38" fillId="32" borderId="28" xfId="0" applyNumberFormat="1" applyFont="1" applyFill="1" applyBorder="1"/>
    <xf numFmtId="165" fontId="38" fillId="33" borderId="8" xfId="0" applyNumberFormat="1" applyFont="1" applyFill="1" applyBorder="1"/>
    <xf numFmtId="165" fontId="38" fillId="33" borderId="0" xfId="0" applyNumberFormat="1" applyFont="1" applyFill="1"/>
    <xf numFmtId="165" fontId="38" fillId="33" borderId="28" xfId="0" applyNumberFormat="1" applyFont="1" applyFill="1" applyBorder="1"/>
    <xf numFmtId="165" fontId="22" fillId="34" borderId="8" xfId="0" applyNumberFormat="1" applyFont="1" applyFill="1" applyBorder="1"/>
    <xf numFmtId="165" fontId="22" fillId="34" borderId="0" xfId="0" applyNumberFormat="1" applyFont="1" applyFill="1"/>
    <xf numFmtId="165" fontId="22" fillId="34" borderId="28" xfId="0" applyNumberFormat="1" applyFont="1" applyFill="1" applyBorder="1"/>
    <xf numFmtId="165" fontId="28" fillId="34" borderId="8" xfId="0" applyNumberFormat="1" applyFont="1" applyFill="1" applyBorder="1"/>
    <xf numFmtId="165" fontId="28" fillId="34" borderId="0" xfId="0" applyNumberFormat="1" applyFont="1" applyFill="1"/>
    <xf numFmtId="165" fontId="28" fillId="34" borderId="28" xfId="0" applyNumberFormat="1" applyFont="1" applyFill="1" applyBorder="1"/>
    <xf numFmtId="165" fontId="22" fillId="35" borderId="8" xfId="0" applyNumberFormat="1" applyFont="1" applyFill="1" applyBorder="1"/>
    <xf numFmtId="165" fontId="22" fillId="35" borderId="0" xfId="0" applyNumberFormat="1" applyFont="1" applyFill="1"/>
    <xf numFmtId="165" fontId="22" fillId="35" borderId="28" xfId="0" applyNumberFormat="1" applyFont="1" applyFill="1" applyBorder="1"/>
    <xf numFmtId="165" fontId="22" fillId="34" borderId="10" xfId="0" applyNumberFormat="1" applyFont="1" applyFill="1" applyBorder="1"/>
    <xf numFmtId="165" fontId="22" fillId="34" borderId="39" xfId="0" applyNumberFormat="1" applyFont="1" applyFill="1" applyBorder="1"/>
    <xf numFmtId="165" fontId="22" fillId="34" borderId="40" xfId="0" applyNumberFormat="1" applyFont="1" applyFill="1" applyBorder="1"/>
    <xf numFmtId="17" fontId="44" fillId="0" borderId="0" xfId="0" applyNumberFormat="1" applyFont="1" applyAlignment="1">
      <alignment horizontal="center"/>
    </xf>
    <xf numFmtId="170" fontId="0" fillId="0" borderId="0" xfId="0" applyNumberFormat="1"/>
    <xf numFmtId="0" fontId="58" fillId="0" borderId="25" xfId="0" applyFont="1" applyBorder="1"/>
    <xf numFmtId="0" fontId="31" fillId="0" borderId="25" xfId="0" applyFont="1" applyBorder="1"/>
    <xf numFmtId="43" fontId="0" fillId="0" borderId="0" xfId="0" applyNumberFormat="1"/>
    <xf numFmtId="170" fontId="59" fillId="0" borderId="0" xfId="0" applyNumberFormat="1" applyFont="1"/>
    <xf numFmtId="3" fontId="27" fillId="0" borderId="8" xfId="0" quotePrefix="1" applyNumberFormat="1" applyFont="1" applyBorder="1" applyAlignment="1">
      <alignment horizontal="left"/>
    </xf>
    <xf numFmtId="0" fontId="0" fillId="25" borderId="0" xfId="0" applyFill="1"/>
    <xf numFmtId="0" fontId="0" fillId="23" borderId="8" xfId="0" applyFill="1" applyBorder="1"/>
    <xf numFmtId="0" fontId="0" fillId="23" borderId="10" xfId="0" applyFill="1" applyBorder="1"/>
    <xf numFmtId="1" fontId="60" fillId="36" borderId="0" xfId="62" applyNumberFormat="1" applyFont="1" applyFill="1" applyAlignment="1">
      <alignment horizontal="center" wrapText="1"/>
    </xf>
    <xf numFmtId="1" fontId="61" fillId="36" borderId="0" xfId="62" applyNumberFormat="1" applyFont="1" applyFill="1" applyAlignment="1">
      <alignment horizontal="center" wrapText="1"/>
    </xf>
    <xf numFmtId="165" fontId="62" fillId="36" borderId="0" xfId="62" applyNumberFormat="1" applyFont="1" applyFill="1"/>
    <xf numFmtId="1" fontId="62" fillId="36" borderId="0" xfId="62" applyNumberFormat="1" applyFont="1" applyFill="1" applyAlignment="1">
      <alignment horizontal="center" wrapText="1"/>
    </xf>
    <xf numFmtId="0" fontId="29" fillId="23" borderId="5" xfId="0" applyFont="1" applyFill="1" applyBorder="1" applyAlignment="1">
      <alignment horizontal="center" vertical="top" wrapText="1"/>
    </xf>
    <xf numFmtId="37" fontId="38" fillId="0" borderId="7" xfId="0" applyNumberFormat="1" applyFont="1" applyBorder="1" applyAlignment="1">
      <alignment horizontal="right"/>
    </xf>
    <xf numFmtId="37" fontId="28" fillId="21" borderId="7" xfId="0" applyNumberFormat="1" applyFont="1" applyFill="1" applyBorder="1" applyAlignment="1">
      <alignment horizontal="right"/>
    </xf>
    <xf numFmtId="37" fontId="38" fillId="24" borderId="7" xfId="0" applyNumberFormat="1" applyFont="1" applyFill="1" applyBorder="1" applyAlignment="1">
      <alignment horizontal="right"/>
    </xf>
    <xf numFmtId="3" fontId="27" fillId="0" borderId="7" xfId="0" applyNumberFormat="1" applyFont="1" applyBorder="1"/>
    <xf numFmtId="37" fontId="28" fillId="21" borderId="28" xfId="0" applyNumberFormat="1" applyFont="1" applyFill="1" applyBorder="1" applyAlignment="1">
      <alignment horizontal="right"/>
    </xf>
    <xf numFmtId="37" fontId="39" fillId="21" borderId="28" xfId="0" applyNumberFormat="1" applyFont="1" applyFill="1" applyBorder="1" applyAlignment="1">
      <alignment horizontal="right"/>
    </xf>
    <xf numFmtId="0" fontId="29" fillId="22" borderId="47" xfId="0" applyFont="1" applyFill="1" applyBorder="1" applyAlignment="1">
      <alignment horizontal="center" vertical="top" wrapText="1"/>
    </xf>
    <xf numFmtId="3" fontId="27" fillId="0" borderId="25" xfId="0" applyNumberFormat="1" applyFont="1" applyBorder="1"/>
    <xf numFmtId="0" fontId="29" fillId="22" borderId="42" xfId="0" applyFont="1" applyFill="1" applyBorder="1" applyAlignment="1">
      <alignment horizontal="center" vertical="top" wrapText="1"/>
    </xf>
    <xf numFmtId="37" fontId="38" fillId="0" borderId="27" xfId="0" applyNumberFormat="1" applyFont="1" applyBorder="1" applyAlignment="1">
      <alignment horizontal="right"/>
    </xf>
    <xf numFmtId="3" fontId="27" fillId="0" borderId="27" xfId="0" applyNumberFormat="1" applyFont="1" applyBorder="1"/>
    <xf numFmtId="37" fontId="28" fillId="21" borderId="27" xfId="0" applyNumberFormat="1" applyFont="1" applyFill="1" applyBorder="1" applyAlignment="1">
      <alignment horizontal="right"/>
    </xf>
    <xf numFmtId="37" fontId="38" fillId="24" borderId="28" xfId="0" applyNumberFormat="1" applyFont="1" applyFill="1" applyBorder="1" applyAlignment="1">
      <alignment horizontal="right"/>
    </xf>
    <xf numFmtId="37" fontId="38" fillId="0" borderId="42" xfId="0" applyNumberFormat="1" applyFont="1" applyBorder="1" applyAlignment="1">
      <alignment horizontal="right"/>
    </xf>
    <xf numFmtId="37" fontId="38" fillId="0" borderId="47" xfId="0" applyNumberFormat="1" applyFont="1" applyBorder="1" applyAlignment="1">
      <alignment horizontal="right"/>
    </xf>
    <xf numFmtId="37" fontId="38" fillId="0" borderId="17" xfId="0" applyNumberFormat="1" applyFont="1" applyBorder="1" applyAlignment="1">
      <alignment horizontal="right"/>
    </xf>
    <xf numFmtId="37" fontId="38" fillId="0" borderId="40" xfId="0" applyNumberFormat="1" applyFont="1" applyBorder="1" applyAlignment="1">
      <alignment horizontal="right"/>
    </xf>
    <xf numFmtId="37" fontId="38" fillId="24" borderId="42" xfId="0" applyNumberFormat="1" applyFont="1" applyFill="1" applyBorder="1" applyAlignment="1">
      <alignment horizontal="right"/>
    </xf>
    <xf numFmtId="37" fontId="38" fillId="24" borderId="47" xfId="0" applyNumberFormat="1" applyFont="1" applyFill="1" applyBorder="1" applyAlignment="1">
      <alignment horizontal="right"/>
    </xf>
    <xf numFmtId="37" fontId="38" fillId="24" borderId="17" xfId="0" applyNumberFormat="1" applyFont="1" applyFill="1" applyBorder="1" applyAlignment="1">
      <alignment horizontal="right"/>
    </xf>
    <xf numFmtId="37" fontId="38" fillId="24" borderId="46" xfId="0" applyNumberFormat="1" applyFont="1" applyFill="1" applyBorder="1" applyAlignment="1">
      <alignment horizontal="right"/>
    </xf>
    <xf numFmtId="37" fontId="38" fillId="24" borderId="48" xfId="0" applyNumberFormat="1" applyFont="1" applyFill="1" applyBorder="1" applyAlignment="1">
      <alignment horizontal="right"/>
    </xf>
    <xf numFmtId="37" fontId="38" fillId="24" borderId="40" xfId="0" applyNumberFormat="1" applyFont="1" applyFill="1" applyBorder="1" applyAlignment="1">
      <alignment horizontal="right"/>
    </xf>
    <xf numFmtId="3" fontId="27" fillId="0" borderId="42" xfId="0" applyNumberFormat="1" applyFont="1" applyBorder="1"/>
    <xf numFmtId="3" fontId="27" fillId="0" borderId="47" xfId="0" applyNumberFormat="1" applyFont="1" applyBorder="1"/>
    <xf numFmtId="3" fontId="27" fillId="0" borderId="46" xfId="0" applyNumberFormat="1" applyFont="1" applyBorder="1"/>
    <xf numFmtId="3" fontId="27" fillId="0" borderId="48" xfId="0" applyNumberFormat="1" applyFont="1" applyBorder="1"/>
    <xf numFmtId="37" fontId="38" fillId="0" borderId="16" xfId="0" applyNumberFormat="1" applyFont="1" applyBorder="1" applyAlignment="1">
      <alignment horizontal="right"/>
    </xf>
    <xf numFmtId="37" fontId="38" fillId="24" borderId="16" xfId="0" applyNumberFormat="1" applyFont="1" applyFill="1" applyBorder="1" applyAlignment="1">
      <alignment horizontal="right"/>
    </xf>
    <xf numFmtId="37" fontId="38" fillId="24" borderId="49" xfId="0" applyNumberFormat="1" applyFont="1" applyFill="1" applyBorder="1" applyAlignment="1">
      <alignment horizontal="right"/>
    </xf>
    <xf numFmtId="3" fontId="27" fillId="0" borderId="16" xfId="0" applyNumberFormat="1" applyFont="1" applyBorder="1"/>
    <xf numFmtId="3" fontId="27" fillId="0" borderId="49" xfId="0" applyNumberFormat="1" applyFont="1" applyBorder="1"/>
    <xf numFmtId="3" fontId="26" fillId="21" borderId="7" xfId="0" quotePrefix="1" applyNumberFormat="1" applyFont="1" applyFill="1" applyBorder="1"/>
    <xf numFmtId="3" fontId="26" fillId="21" borderId="25" xfId="0" quotePrefix="1" applyNumberFormat="1" applyFont="1" applyFill="1" applyBorder="1"/>
    <xf numFmtId="0" fontId="29" fillId="23" borderId="6" xfId="0" applyFont="1" applyFill="1" applyBorder="1" applyAlignment="1">
      <alignment horizontal="center" vertical="top" wrapText="1"/>
    </xf>
    <xf numFmtId="170" fontId="31" fillId="0" borderId="25" xfId="32" applyNumberFormat="1" applyFont="1" applyFill="1" applyBorder="1"/>
    <xf numFmtId="170" fontId="63" fillId="0" borderId="25" xfId="32" applyNumberFormat="1" applyFont="1" applyFill="1" applyBorder="1"/>
    <xf numFmtId="3" fontId="56" fillId="27" borderId="0" xfId="1" applyNumberFormat="1" applyFont="1" applyFill="1" applyBorder="1" applyAlignment="1">
      <alignment vertical="center"/>
    </xf>
    <xf numFmtId="3" fontId="56" fillId="27" borderId="8" xfId="1" applyNumberFormat="1" applyFont="1" applyFill="1" applyBorder="1" applyAlignment="1">
      <alignment vertical="center"/>
    </xf>
    <xf numFmtId="3" fontId="56" fillId="27" borderId="28" xfId="1" applyNumberFormat="1" applyFont="1" applyFill="1" applyBorder="1" applyAlignment="1">
      <alignment vertical="center"/>
    </xf>
    <xf numFmtId="0" fontId="0" fillId="0" borderId="10" xfId="0" applyBorder="1"/>
    <xf numFmtId="3" fontId="12" fillId="0" borderId="3" xfId="36" applyNumberFormat="1" applyFont="1" applyFill="1" applyBorder="1" applyAlignment="1">
      <alignment horizontal="center"/>
    </xf>
    <xf numFmtId="169" fontId="35" fillId="0" borderId="0" xfId="36" applyNumberFormat="1" applyFont="1" applyFill="1" applyBorder="1" applyAlignment="1">
      <alignment horizontal="center"/>
    </xf>
    <xf numFmtId="169" fontId="35" fillId="0" borderId="3" xfId="36" applyNumberFormat="1" applyFont="1" applyFill="1" applyBorder="1" applyAlignment="1">
      <alignment horizontal="center"/>
    </xf>
    <xf numFmtId="169" fontId="23" fillId="0" borderId="3" xfId="36" applyNumberFormat="1" applyFont="1" applyFill="1" applyBorder="1" applyAlignment="1">
      <alignment horizontal="center"/>
    </xf>
    <xf numFmtId="171" fontId="35" fillId="0" borderId="3" xfId="36" applyNumberFormat="1" applyFont="1" applyFill="1" applyBorder="1" applyAlignment="1">
      <alignment horizontal="center"/>
    </xf>
    <xf numFmtId="170" fontId="12" fillId="0" borderId="3" xfId="36" applyNumberFormat="1" applyFont="1" applyFill="1" applyBorder="1" applyAlignment="1">
      <alignment horizontal="center"/>
    </xf>
    <xf numFmtId="170" fontId="35" fillId="0" borderId="3" xfId="36" applyNumberFormat="1" applyFont="1" applyFill="1" applyBorder="1" applyAlignment="1">
      <alignment horizontal="center"/>
    </xf>
    <xf numFmtId="3" fontId="44" fillId="0" borderId="0" xfId="0" applyNumberFormat="1" applyFont="1"/>
    <xf numFmtId="1" fontId="0" fillId="0" borderId="0" xfId="0" applyNumberFormat="1"/>
    <xf numFmtId="176" fontId="0" fillId="0" borderId="0" xfId="0" applyNumberFormat="1"/>
    <xf numFmtId="0" fontId="0" fillId="0" borderId="34" xfId="0" applyBorder="1"/>
    <xf numFmtId="0" fontId="0" fillId="0" borderId="11" xfId="0" applyBorder="1"/>
    <xf numFmtId="168" fontId="0" fillId="0" borderId="0" xfId="0" applyNumberFormat="1" applyAlignment="1">
      <alignment horizontal="center"/>
    </xf>
    <xf numFmtId="3" fontId="26" fillId="21" borderId="34" xfId="0" quotePrefix="1" applyNumberFormat="1" applyFont="1" applyFill="1" applyBorder="1" applyAlignment="1">
      <alignment horizontal="left"/>
    </xf>
    <xf numFmtId="168" fontId="44" fillId="37" borderId="0" xfId="0" applyNumberFormat="1" applyFont="1" applyFill="1"/>
    <xf numFmtId="168" fontId="65" fillId="0" borderId="0" xfId="0" applyNumberFormat="1" applyFont="1"/>
    <xf numFmtId="3" fontId="27" fillId="0" borderId="11" xfId="0" quotePrefix="1" applyNumberFormat="1" applyFont="1" applyBorder="1" applyAlignment="1">
      <alignment horizontal="left"/>
    </xf>
    <xf numFmtId="168" fontId="0" fillId="0" borderId="0" xfId="0" applyNumberFormat="1"/>
    <xf numFmtId="3" fontId="27" fillId="0" borderId="11" xfId="0" applyNumberFormat="1" applyFont="1" applyBorder="1" applyAlignment="1">
      <alignment horizontal="left"/>
    </xf>
    <xf numFmtId="168" fontId="0" fillId="0" borderId="39" xfId="0" applyNumberFormat="1" applyBorder="1"/>
    <xf numFmtId="9" fontId="0" fillId="0" borderId="0" xfId="1" applyFont="1" applyBorder="1"/>
    <xf numFmtId="0" fontId="19" fillId="0" borderId="11" xfId="0" applyFont="1" applyBorder="1"/>
    <xf numFmtId="0" fontId="17" fillId="22" borderId="11" xfId="0" applyFont="1" applyFill="1" applyBorder="1"/>
    <xf numFmtId="3" fontId="27" fillId="0" borderId="4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28" xfId="0" applyBorder="1"/>
    <xf numFmtId="1" fontId="0" fillId="0" borderId="8" xfId="0" applyNumberFormat="1" applyBorder="1"/>
    <xf numFmtId="1" fontId="0" fillId="0" borderId="28" xfId="0" applyNumberFormat="1" applyBorder="1"/>
    <xf numFmtId="1" fontId="0" fillId="0" borderId="10" xfId="0" applyNumberFormat="1" applyBorder="1"/>
    <xf numFmtId="1" fontId="0" fillId="0" borderId="39" xfId="0" applyNumberFormat="1" applyBorder="1"/>
    <xf numFmtId="1" fontId="0" fillId="0" borderId="40" xfId="0" applyNumberFormat="1" applyBorder="1"/>
    <xf numFmtId="2" fontId="0" fillId="0" borderId="40" xfId="0" applyNumberFormat="1" applyBorder="1"/>
    <xf numFmtId="17" fontId="0" fillId="0" borderId="0" xfId="0" applyNumberFormat="1"/>
    <xf numFmtId="165" fontId="60" fillId="36" borderId="0" xfId="24" applyNumberFormat="1" applyFont="1" applyFill="1"/>
    <xf numFmtId="175" fontId="0" fillId="0" borderId="0" xfId="32" applyNumberFormat="1" applyFont="1"/>
    <xf numFmtId="175" fontId="44" fillId="0" borderId="0" xfId="32" applyNumberFormat="1" applyFont="1"/>
    <xf numFmtId="165" fontId="61" fillId="36" borderId="0" xfId="24" applyNumberFormat="1" applyFont="1" applyFill="1"/>
    <xf numFmtId="165" fontId="61" fillId="36" borderId="0" xfId="24" applyNumberFormat="1" applyFont="1" applyFill="1" applyAlignment="1">
      <alignment horizontal="center"/>
    </xf>
    <xf numFmtId="177" fontId="0" fillId="0" borderId="0" xfId="0" applyNumberFormat="1"/>
    <xf numFmtId="0" fontId="67" fillId="0" borderId="20" xfId="33" applyFont="1" applyBorder="1" applyAlignment="1">
      <alignment horizontal="left"/>
    </xf>
    <xf numFmtId="0" fontId="12" fillId="0" borderId="3" xfId="124" applyFont="1" applyBorder="1"/>
    <xf numFmtId="0" fontId="67" fillId="0" borderId="21" xfId="33" applyFont="1" applyBorder="1" applyAlignment="1">
      <alignment horizontal="center"/>
    </xf>
    <xf numFmtId="0" fontId="67" fillId="0" borderId="22" xfId="33" applyFont="1" applyBorder="1" applyAlignment="1">
      <alignment horizontal="center"/>
    </xf>
    <xf numFmtId="0" fontId="67" fillId="0" borderId="18" xfId="33" applyFont="1" applyBorder="1" applyAlignment="1">
      <alignment horizontal="center"/>
    </xf>
    <xf numFmtId="0" fontId="67" fillId="0" borderId="23" xfId="33" applyFont="1" applyBorder="1" applyAlignment="1">
      <alignment horizontal="center"/>
    </xf>
    <xf numFmtId="177" fontId="17" fillId="0" borderId="0" xfId="0" applyNumberFormat="1" applyFont="1"/>
    <xf numFmtId="164" fontId="17" fillId="0" borderId="0" xfId="0" applyNumberFormat="1" applyFont="1"/>
    <xf numFmtId="164" fontId="44" fillId="0" borderId="0" xfId="0" applyNumberFormat="1" applyFont="1"/>
    <xf numFmtId="0" fontId="44" fillId="0" borderId="0" xfId="0" applyFont="1"/>
    <xf numFmtId="43" fontId="0" fillId="0" borderId="0" xfId="32" applyFont="1"/>
    <xf numFmtId="37" fontId="40" fillId="0" borderId="40" xfId="0" applyNumberFormat="1" applyFont="1" applyBorder="1" applyAlignment="1">
      <alignment horizontal="right"/>
    </xf>
    <xf numFmtId="3" fontId="19" fillId="0" borderId="0" xfId="0" applyNumberFormat="1" applyFont="1"/>
    <xf numFmtId="0" fontId="0" fillId="0" borderId="6" xfId="0" applyBorder="1"/>
    <xf numFmtId="0" fontId="0" fillId="0" borderId="43" xfId="0" applyBorder="1"/>
    <xf numFmtId="0" fontId="44" fillId="0" borderId="17" xfId="0" applyFont="1" applyBorder="1"/>
    <xf numFmtId="0" fontId="0" fillId="40" borderId="8" xfId="0" applyFill="1" applyBorder="1"/>
    <xf numFmtId="165" fontId="44" fillId="40" borderId="40" xfId="0" applyNumberFormat="1" applyFont="1" applyFill="1" applyBorder="1"/>
    <xf numFmtId="165" fontId="0" fillId="0" borderId="28" xfId="0" applyNumberFormat="1" applyBorder="1"/>
    <xf numFmtId="43" fontId="55" fillId="0" borderId="37" xfId="32" applyFont="1" applyFill="1" applyBorder="1" applyAlignment="1">
      <alignment horizontal="right"/>
    </xf>
    <xf numFmtId="0" fontId="49" fillId="0" borderId="40" xfId="0" applyFont="1" applyBorder="1"/>
    <xf numFmtId="1" fontId="56" fillId="27" borderId="0" xfId="1" applyNumberFormat="1" applyFont="1" applyFill="1" applyBorder="1" applyAlignment="1"/>
    <xf numFmtId="175" fontId="0" fillId="0" borderId="0" xfId="0" applyNumberFormat="1"/>
    <xf numFmtId="17" fontId="44" fillId="0" borderId="0" xfId="0" applyNumberFormat="1" applyFont="1"/>
    <xf numFmtId="3" fontId="12" fillId="0" borderId="3" xfId="36" applyNumberFormat="1" applyFont="1" applyBorder="1" applyAlignment="1">
      <alignment horizontal="center"/>
    </xf>
    <xf numFmtId="165" fontId="0" fillId="39" borderId="28" xfId="0" applyNumberFormat="1" applyFill="1" applyBorder="1"/>
    <xf numFmtId="37" fontId="38" fillId="0" borderId="11" xfId="0" applyNumberFormat="1" applyFont="1" applyBorder="1" applyAlignment="1">
      <alignment horizontal="right"/>
    </xf>
    <xf numFmtId="37" fontId="28" fillId="21" borderId="11" xfId="0" applyNumberFormat="1" applyFont="1" applyFill="1" applyBorder="1" applyAlignment="1">
      <alignment horizontal="right"/>
    </xf>
    <xf numFmtId="37" fontId="38" fillId="0" borderId="41" xfId="0" applyNumberFormat="1" applyFont="1" applyBorder="1" applyAlignment="1">
      <alignment horizontal="right"/>
    </xf>
    <xf numFmtId="0" fontId="0" fillId="39" borderId="5" xfId="0" applyFill="1" applyBorder="1"/>
    <xf numFmtId="0" fontId="0" fillId="39" borderId="8" xfId="0" applyFill="1" applyBorder="1"/>
    <xf numFmtId="3" fontId="72" fillId="0" borderId="8" xfId="0" quotePrefix="1" applyNumberFormat="1" applyFont="1" applyBorder="1" applyAlignment="1">
      <alignment horizontal="left"/>
    </xf>
    <xf numFmtId="37" fontId="39" fillId="21" borderId="0" xfId="0" applyNumberFormat="1" applyFont="1" applyFill="1" applyAlignment="1">
      <alignment horizontal="right"/>
    </xf>
    <xf numFmtId="37" fontId="40" fillId="0" borderId="39" xfId="0" applyNumberFormat="1" applyFont="1" applyBorder="1" applyAlignment="1">
      <alignment horizontal="right"/>
    </xf>
    <xf numFmtId="37" fontId="28" fillId="42" borderId="11" xfId="0" applyNumberFormat="1" applyFont="1" applyFill="1" applyBorder="1" applyAlignment="1">
      <alignment horizontal="right"/>
    </xf>
    <xf numFmtId="175" fontId="44" fillId="41" borderId="11" xfId="0" applyNumberFormat="1" applyFont="1" applyFill="1" applyBorder="1"/>
    <xf numFmtId="175" fontId="0" fillId="41" borderId="11" xfId="0" applyNumberFormat="1" applyFill="1" applyBorder="1"/>
    <xf numFmtId="175" fontId="44" fillId="41" borderId="41" xfId="0" applyNumberFormat="1" applyFont="1" applyFill="1" applyBorder="1"/>
    <xf numFmtId="175" fontId="0" fillId="0" borderId="11" xfId="32" applyNumberFormat="1" applyFont="1" applyBorder="1"/>
    <xf numFmtId="175" fontId="44" fillId="41" borderId="11" xfId="32" applyNumberFormat="1" applyFont="1" applyFill="1" applyBorder="1"/>
    <xf numFmtId="175" fontId="1" fillId="41" borderId="11" xfId="32" applyNumberFormat="1" applyFont="1" applyFill="1" applyBorder="1"/>
    <xf numFmtId="175" fontId="44" fillId="41" borderId="41" xfId="32" applyNumberFormat="1" applyFont="1" applyFill="1" applyBorder="1"/>
    <xf numFmtId="0" fontId="76" fillId="0" borderId="0" xfId="0" applyFont="1"/>
    <xf numFmtId="0" fontId="0" fillId="0" borderId="7" xfId="0" applyBorder="1"/>
    <xf numFmtId="165" fontId="76" fillId="0" borderId="0" xfId="0" applyNumberFormat="1" applyFont="1"/>
    <xf numFmtId="165" fontId="75" fillId="0" borderId="0" xfId="0" applyNumberFormat="1" applyFont="1"/>
    <xf numFmtId="9" fontId="76" fillId="0" borderId="0" xfId="1" applyFont="1" applyAlignment="1">
      <alignment horizontal="center"/>
    </xf>
    <xf numFmtId="9" fontId="76" fillId="0" borderId="0" xfId="1" applyFont="1"/>
    <xf numFmtId="0" fontId="76" fillId="0" borderId="0" xfId="0" applyFont="1" applyAlignment="1">
      <alignment horizontal="center"/>
    </xf>
    <xf numFmtId="1" fontId="77" fillId="43" borderId="0" xfId="62" applyNumberFormat="1" applyFont="1" applyFill="1" applyAlignment="1">
      <alignment horizontal="center" wrapText="1"/>
    </xf>
    <xf numFmtId="0" fontId="0" fillId="43" borderId="0" xfId="0" applyFill="1"/>
    <xf numFmtId="0" fontId="0" fillId="43" borderId="0" xfId="0" applyFill="1" applyAlignment="1">
      <alignment horizontal="center"/>
    </xf>
    <xf numFmtId="9" fontId="0" fillId="0" borderId="0" xfId="1" applyFont="1" applyFill="1"/>
    <xf numFmtId="9" fontId="76" fillId="0" borderId="0" xfId="1" applyFont="1" applyFill="1"/>
    <xf numFmtId="9" fontId="44" fillId="0" borderId="0" xfId="1" applyFont="1" applyFill="1"/>
    <xf numFmtId="9" fontId="75" fillId="0" borderId="0" xfId="1" applyFont="1" applyFill="1"/>
    <xf numFmtId="0" fontId="44" fillId="25" borderId="0" xfId="0" applyFont="1" applyFill="1"/>
    <xf numFmtId="0" fontId="44" fillId="23" borderId="8" xfId="0" applyFont="1" applyFill="1" applyBorder="1"/>
    <xf numFmtId="37" fontId="28" fillId="21" borderId="14" xfId="0" applyNumberFormat="1" applyFont="1" applyFill="1" applyBorder="1" applyAlignment="1">
      <alignment horizontal="right"/>
    </xf>
    <xf numFmtId="37" fontId="28" fillId="21" borderId="45" xfId="0" applyNumberFormat="1" applyFont="1" applyFill="1" applyBorder="1" applyAlignment="1">
      <alignment horizontal="right"/>
    </xf>
    <xf numFmtId="37" fontId="28" fillId="21" borderId="13" xfId="0" applyNumberFormat="1" applyFont="1" applyFill="1" applyBorder="1" applyAlignment="1">
      <alignment horizontal="right"/>
    </xf>
    <xf numFmtId="37" fontId="28" fillId="21" borderId="15" xfId="0" applyNumberFormat="1" applyFont="1" applyFill="1" applyBorder="1" applyAlignment="1">
      <alignment horizontal="right"/>
    </xf>
    <xf numFmtId="37" fontId="28" fillId="21" borderId="42" xfId="0" applyNumberFormat="1" applyFont="1" applyFill="1" applyBorder="1" applyAlignment="1">
      <alignment horizontal="right"/>
    </xf>
    <xf numFmtId="37" fontId="28" fillId="21" borderId="17" xfId="0" applyNumberFormat="1" applyFont="1" applyFill="1" applyBorder="1" applyAlignment="1">
      <alignment horizontal="right"/>
    </xf>
    <xf numFmtId="37" fontId="28" fillId="21" borderId="16" xfId="0" applyNumberFormat="1" applyFont="1" applyFill="1" applyBorder="1" applyAlignment="1">
      <alignment horizontal="right"/>
    </xf>
    <xf numFmtId="37" fontId="28" fillId="21" borderId="34" xfId="0" applyNumberFormat="1" applyFont="1" applyFill="1" applyBorder="1" applyAlignment="1">
      <alignment horizontal="right"/>
    </xf>
    <xf numFmtId="1" fontId="78" fillId="36" borderId="0" xfId="62" applyNumberFormat="1" applyFont="1" applyFill="1" applyAlignment="1">
      <alignment horizontal="left" wrapText="1"/>
    </xf>
    <xf numFmtId="0" fontId="79" fillId="0" borderId="0" xfId="0" applyFont="1"/>
    <xf numFmtId="3" fontId="79" fillId="22" borderId="11" xfId="0" quotePrefix="1" applyNumberFormat="1" applyFont="1" applyFill="1" applyBorder="1" applyAlignment="1">
      <alignment horizontal="left"/>
    </xf>
    <xf numFmtId="0" fontId="80" fillId="23" borderId="8" xfId="0" applyFont="1" applyFill="1" applyBorder="1" applyAlignment="1">
      <alignment horizontal="center" vertical="top" wrapText="1"/>
    </xf>
    <xf numFmtId="37" fontId="81" fillId="21" borderId="42" xfId="0" applyNumberFormat="1" applyFont="1" applyFill="1" applyBorder="1" applyAlignment="1">
      <alignment horizontal="right"/>
    </xf>
    <xf numFmtId="37" fontId="81" fillId="21" borderId="47" xfId="0" applyNumberFormat="1" applyFont="1" applyFill="1" applyBorder="1" applyAlignment="1">
      <alignment horizontal="right"/>
    </xf>
    <xf numFmtId="37" fontId="81" fillId="21" borderId="17" xfId="0" applyNumberFormat="1" applyFont="1" applyFill="1" applyBorder="1" applyAlignment="1">
      <alignment horizontal="right"/>
    </xf>
    <xf numFmtId="37" fontId="81" fillId="21" borderId="16" xfId="0" applyNumberFormat="1" applyFont="1" applyFill="1" applyBorder="1" applyAlignment="1">
      <alignment horizontal="right"/>
    </xf>
    <xf numFmtId="17" fontId="79" fillId="0" borderId="0" xfId="0" applyNumberFormat="1" applyFont="1"/>
    <xf numFmtId="0" fontId="44" fillId="0" borderId="39" xfId="0" applyFont="1" applyBorder="1"/>
    <xf numFmtId="0" fontId="44" fillId="0" borderId="50" xfId="0" applyFont="1" applyBorder="1" applyAlignment="1">
      <alignment horizontal="center"/>
    </xf>
    <xf numFmtId="168" fontId="44" fillId="0" borderId="51" xfId="0" applyNumberFormat="1" applyFont="1" applyBorder="1" applyAlignment="1">
      <alignment horizontal="center"/>
    </xf>
    <xf numFmtId="0" fontId="79" fillId="23" borderId="0" xfId="0" applyFont="1" applyFill="1"/>
    <xf numFmtId="0" fontId="0" fillId="45" borderId="0" xfId="0" applyFill="1"/>
    <xf numFmtId="3" fontId="12" fillId="45" borderId="19" xfId="34" applyNumberFormat="1" applyFont="1" applyFill="1" applyBorder="1" applyAlignment="1">
      <alignment horizontal="center"/>
    </xf>
    <xf numFmtId="164" fontId="71" fillId="45" borderId="24" xfId="133" applyFont="1" applyFill="1" applyBorder="1" applyAlignment="1">
      <alignment horizontal="center"/>
    </xf>
    <xf numFmtId="3" fontId="0" fillId="45" borderId="0" xfId="0" applyNumberFormat="1" applyFill="1"/>
    <xf numFmtId="3" fontId="12" fillId="45" borderId="3" xfId="34" applyNumberFormat="1" applyFont="1" applyFill="1" applyBorder="1" applyAlignment="1">
      <alignment horizontal="center"/>
    </xf>
    <xf numFmtId="3" fontId="12" fillId="45" borderId="3" xfId="36" applyNumberFormat="1" applyFont="1" applyFill="1" applyBorder="1" applyAlignment="1">
      <alignment horizontal="center"/>
    </xf>
    <xf numFmtId="3" fontId="12" fillId="45" borderId="3" xfId="133" applyNumberFormat="1" applyFont="1" applyFill="1" applyBorder="1" applyAlignment="1">
      <alignment horizontal="center"/>
    </xf>
    <xf numFmtId="169" fontId="23" fillId="45" borderId="3" xfId="124" applyNumberFormat="1" applyFont="1" applyFill="1" applyBorder="1" applyAlignment="1">
      <alignment horizontal="center"/>
    </xf>
    <xf numFmtId="169" fontId="35" fillId="45" borderId="3" xfId="133" applyNumberFormat="1" applyFont="1" applyFill="1" applyBorder="1" applyAlignment="1">
      <alignment horizontal="center"/>
    </xf>
    <xf numFmtId="169" fontId="23" fillId="45" borderId="3" xfId="133" applyNumberFormat="1" applyFont="1" applyFill="1" applyBorder="1" applyAlignment="1">
      <alignment horizontal="center"/>
    </xf>
    <xf numFmtId="171" fontId="35" fillId="45" borderId="3" xfId="133" applyNumberFormat="1" applyFont="1" applyFill="1" applyBorder="1" applyAlignment="1">
      <alignment horizontal="center"/>
    </xf>
    <xf numFmtId="170" fontId="12" fillId="45" borderId="3" xfId="133" applyNumberFormat="1" applyFont="1" applyFill="1" applyBorder="1" applyAlignment="1">
      <alignment horizontal="center"/>
    </xf>
    <xf numFmtId="170" fontId="35" fillId="45" borderId="3" xfId="133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67" fillId="46" borderId="21" xfId="33" applyFont="1" applyFill="1" applyBorder="1" applyAlignment="1">
      <alignment horizontal="center" vertical="center"/>
    </xf>
    <xf numFmtId="0" fontId="67" fillId="46" borderId="22" xfId="33" applyFont="1" applyFill="1" applyBorder="1" applyAlignment="1">
      <alignment horizontal="center" vertical="center"/>
    </xf>
    <xf numFmtId="0" fontId="67" fillId="46" borderId="18" xfId="33" applyFont="1" applyFill="1" applyBorder="1" applyAlignment="1">
      <alignment horizontal="center" vertical="center"/>
    </xf>
    <xf numFmtId="0" fontId="67" fillId="46" borderId="23" xfId="33" applyFont="1" applyFill="1" applyBorder="1" applyAlignment="1">
      <alignment horizontal="center" vertical="center"/>
    </xf>
    <xf numFmtId="0" fontId="67" fillId="46" borderId="52" xfId="33" applyFont="1" applyFill="1" applyBorder="1" applyAlignment="1">
      <alignment horizontal="center" vertical="center"/>
    </xf>
    <xf numFmtId="0" fontId="67" fillId="46" borderId="0" xfId="33" applyFont="1" applyFill="1" applyAlignment="1">
      <alignment horizontal="center" vertical="center"/>
    </xf>
    <xf numFmtId="0" fontId="0" fillId="47" borderId="0" xfId="0" applyFill="1" applyAlignment="1">
      <alignment horizontal="center"/>
    </xf>
    <xf numFmtId="0" fontId="0" fillId="48" borderId="0" xfId="0" applyFill="1"/>
    <xf numFmtId="0" fontId="67" fillId="48" borderId="21" xfId="33" applyFont="1" applyFill="1" applyBorder="1" applyAlignment="1">
      <alignment horizontal="center" vertical="center"/>
    </xf>
    <xf numFmtId="0" fontId="67" fillId="48" borderId="22" xfId="33" applyFont="1" applyFill="1" applyBorder="1" applyAlignment="1">
      <alignment horizontal="center" vertical="center"/>
    </xf>
    <xf numFmtId="0" fontId="67" fillId="48" borderId="18" xfId="33" applyFont="1" applyFill="1" applyBorder="1" applyAlignment="1">
      <alignment horizontal="center" vertical="center"/>
    </xf>
    <xf numFmtId="0" fontId="67" fillId="48" borderId="23" xfId="33" applyFont="1" applyFill="1" applyBorder="1" applyAlignment="1">
      <alignment horizontal="center" vertical="center"/>
    </xf>
    <xf numFmtId="0" fontId="67" fillId="48" borderId="52" xfId="33" applyFont="1" applyFill="1" applyBorder="1" applyAlignment="1">
      <alignment horizontal="center" vertical="center"/>
    </xf>
    <xf numFmtId="0" fontId="67" fillId="48" borderId="0" xfId="33" applyFont="1" applyFill="1" applyAlignment="1">
      <alignment horizontal="center" vertical="center"/>
    </xf>
    <xf numFmtId="3" fontId="12" fillId="48" borderId="19" xfId="34" applyNumberFormat="1" applyFont="1" applyFill="1" applyBorder="1" applyAlignment="1">
      <alignment horizontal="center"/>
    </xf>
    <xf numFmtId="164" fontId="71" fillId="48" borderId="24" xfId="133" applyFont="1" applyFill="1" applyBorder="1" applyAlignment="1">
      <alignment horizontal="center"/>
    </xf>
    <xf numFmtId="3" fontId="0" fillId="48" borderId="0" xfId="0" applyNumberFormat="1" applyFill="1"/>
    <xf numFmtId="3" fontId="12" fillId="48" borderId="3" xfId="34" applyNumberFormat="1" applyFont="1" applyFill="1" applyBorder="1" applyAlignment="1">
      <alignment horizontal="center"/>
    </xf>
    <xf numFmtId="3" fontId="12" fillId="48" borderId="3" xfId="36" applyNumberFormat="1" applyFont="1" applyFill="1" applyBorder="1" applyAlignment="1">
      <alignment horizontal="center"/>
    </xf>
    <xf numFmtId="3" fontId="12" fillId="48" borderId="3" xfId="133" applyNumberFormat="1" applyFont="1" applyFill="1" applyBorder="1" applyAlignment="1">
      <alignment horizontal="center"/>
    </xf>
    <xf numFmtId="169" fontId="23" fillId="48" borderId="3" xfId="124" applyNumberFormat="1" applyFont="1" applyFill="1" applyBorder="1" applyAlignment="1">
      <alignment horizontal="center"/>
    </xf>
    <xf numFmtId="169" fontId="35" fillId="48" borderId="3" xfId="133" applyNumberFormat="1" applyFont="1" applyFill="1" applyBorder="1" applyAlignment="1">
      <alignment horizontal="center"/>
    </xf>
    <xf numFmtId="169" fontId="23" fillId="48" borderId="3" xfId="133" applyNumberFormat="1" applyFont="1" applyFill="1" applyBorder="1" applyAlignment="1">
      <alignment horizontal="center"/>
    </xf>
    <xf numFmtId="171" fontId="35" fillId="48" borderId="3" xfId="133" applyNumberFormat="1" applyFont="1" applyFill="1" applyBorder="1" applyAlignment="1">
      <alignment horizontal="center"/>
    </xf>
    <xf numFmtId="170" fontId="12" fillId="48" borderId="3" xfId="133" applyNumberFormat="1" applyFont="1" applyFill="1" applyBorder="1" applyAlignment="1">
      <alignment horizontal="center"/>
    </xf>
    <xf numFmtId="170" fontId="35" fillId="48" borderId="3" xfId="133" applyNumberFormat="1" applyFont="1" applyFill="1" applyBorder="1" applyAlignment="1">
      <alignment horizontal="center"/>
    </xf>
    <xf numFmtId="0" fontId="44" fillId="23" borderId="50" xfId="0" applyFont="1" applyFill="1" applyBorder="1" applyAlignment="1">
      <alignment horizontal="right"/>
    </xf>
    <xf numFmtId="0" fontId="44" fillId="38" borderId="50" xfId="0" applyFont="1" applyFill="1" applyBorder="1" applyAlignment="1">
      <alignment horizontal="right"/>
    </xf>
    <xf numFmtId="168" fontId="44" fillId="0" borderId="51" xfId="0" applyNumberFormat="1" applyFont="1" applyBorder="1" applyAlignment="1">
      <alignment horizontal="right"/>
    </xf>
    <xf numFmtId="168" fontId="44" fillId="0" borderId="0" xfId="0" applyNumberFormat="1" applyFont="1" applyAlignment="1">
      <alignment horizontal="right"/>
    </xf>
    <xf numFmtId="168" fontId="79" fillId="0" borderId="0" xfId="0" applyNumberFormat="1" applyFont="1" applyAlignment="1">
      <alignment horizontal="right"/>
    </xf>
    <xf numFmtId="0" fontId="0" fillId="40" borderId="0" xfId="0" applyFill="1"/>
    <xf numFmtId="3" fontId="0" fillId="40" borderId="0" xfId="0" applyNumberFormat="1" applyFill="1"/>
    <xf numFmtId="3" fontId="16" fillId="0" borderId="11" xfId="0" quotePrefix="1" applyNumberFormat="1" applyFont="1" applyBorder="1" applyAlignment="1">
      <alignment horizontal="left"/>
    </xf>
    <xf numFmtId="0" fontId="67" fillId="40" borderId="18" xfId="33" applyFont="1" applyFill="1" applyBorder="1" applyAlignment="1">
      <alignment horizontal="center" vertical="center"/>
    </xf>
    <xf numFmtId="3" fontId="12" fillId="40" borderId="19" xfId="34" applyNumberFormat="1" applyFont="1" applyFill="1" applyBorder="1" applyAlignment="1">
      <alignment horizontal="center"/>
    </xf>
    <xf numFmtId="3" fontId="12" fillId="40" borderId="3" xfId="34" applyNumberFormat="1" applyFont="1" applyFill="1" applyBorder="1" applyAlignment="1">
      <alignment horizontal="center"/>
    </xf>
    <xf numFmtId="3" fontId="12" fillId="40" borderId="3" xfId="36" applyNumberFormat="1" applyFont="1" applyFill="1" applyBorder="1" applyAlignment="1">
      <alignment horizontal="center"/>
    </xf>
    <xf numFmtId="3" fontId="12" fillId="40" borderId="3" xfId="133" applyNumberFormat="1" applyFont="1" applyFill="1" applyBorder="1" applyAlignment="1">
      <alignment horizontal="center"/>
    </xf>
    <xf numFmtId="169" fontId="23" fillId="40" borderId="3" xfId="124" applyNumberFormat="1" applyFont="1" applyFill="1" applyBorder="1" applyAlignment="1">
      <alignment horizontal="center"/>
    </xf>
    <xf numFmtId="169" fontId="35" fillId="40" borderId="3" xfId="133" applyNumberFormat="1" applyFont="1" applyFill="1" applyBorder="1" applyAlignment="1">
      <alignment horizontal="center"/>
    </xf>
    <xf numFmtId="169" fontId="23" fillId="40" borderId="3" xfId="133" applyNumberFormat="1" applyFont="1" applyFill="1" applyBorder="1" applyAlignment="1">
      <alignment horizontal="center"/>
    </xf>
    <xf numFmtId="171" fontId="35" fillId="40" borderId="3" xfId="133" applyNumberFormat="1" applyFont="1" applyFill="1" applyBorder="1" applyAlignment="1">
      <alignment horizontal="center"/>
    </xf>
    <xf numFmtId="170" fontId="12" fillId="40" borderId="3" xfId="133" applyNumberFormat="1" applyFont="1" applyFill="1" applyBorder="1" applyAlignment="1">
      <alignment horizontal="center"/>
    </xf>
    <xf numFmtId="170" fontId="35" fillId="40" borderId="3" xfId="133" applyNumberFormat="1" applyFont="1" applyFill="1" applyBorder="1" applyAlignment="1">
      <alignment horizontal="center"/>
    </xf>
    <xf numFmtId="0" fontId="67" fillId="0" borderId="18" xfId="33" applyFont="1" applyBorder="1" applyAlignment="1">
      <alignment horizontal="center" vertical="center"/>
    </xf>
    <xf numFmtId="3" fontId="12" fillId="0" borderId="3" xfId="133" applyNumberFormat="1" applyFont="1" applyFill="1" applyBorder="1" applyAlignment="1">
      <alignment horizontal="center"/>
    </xf>
    <xf numFmtId="169" fontId="23" fillId="0" borderId="3" xfId="124" applyNumberFormat="1" applyFont="1" applyBorder="1" applyAlignment="1">
      <alignment horizontal="center"/>
    </xf>
    <xf numFmtId="169" fontId="35" fillId="0" borderId="3" xfId="133" applyNumberFormat="1" applyFont="1" applyFill="1" applyBorder="1" applyAlignment="1">
      <alignment horizontal="center"/>
    </xf>
    <xf numFmtId="171" fontId="35" fillId="0" borderId="3" xfId="133" applyNumberFormat="1" applyFont="1" applyFill="1" applyBorder="1" applyAlignment="1">
      <alignment horizontal="center"/>
    </xf>
    <xf numFmtId="169" fontId="23" fillId="0" borderId="3" xfId="133" applyNumberFormat="1" applyFont="1" applyFill="1" applyBorder="1" applyAlignment="1">
      <alignment horizontal="center"/>
    </xf>
    <xf numFmtId="170" fontId="12" fillId="0" borderId="3" xfId="133" applyNumberFormat="1" applyFont="1" applyFill="1" applyBorder="1" applyAlignment="1">
      <alignment horizontal="center"/>
    </xf>
    <xf numFmtId="170" fontId="35" fillId="0" borderId="3" xfId="133" applyNumberFormat="1" applyFont="1" applyFill="1" applyBorder="1" applyAlignment="1">
      <alignment horizontal="center"/>
    </xf>
    <xf numFmtId="3" fontId="19" fillId="40" borderId="0" xfId="0" applyNumberFormat="1" applyFont="1" applyFill="1"/>
    <xf numFmtId="9" fontId="0" fillId="23" borderId="8" xfId="1" applyFont="1" applyFill="1" applyBorder="1"/>
    <xf numFmtId="9" fontId="42" fillId="0" borderId="0" xfId="1" applyFont="1" applyFill="1" applyBorder="1" applyAlignment="1"/>
    <xf numFmtId="9" fontId="41" fillId="0" borderId="0" xfId="1" applyFont="1" applyFill="1" applyBorder="1" applyAlignment="1"/>
    <xf numFmtId="9" fontId="85" fillId="0" borderId="0" xfId="1" applyFont="1" applyFill="1" applyBorder="1" applyAlignment="1"/>
    <xf numFmtId="168" fontId="42" fillId="0" borderId="0" xfId="72" applyNumberFormat="1" applyFont="1"/>
    <xf numFmtId="168" fontId="41" fillId="0" borderId="0" xfId="72" applyNumberFormat="1" applyFont="1"/>
    <xf numFmtId="168" fontId="85" fillId="0" borderId="0" xfId="72" applyNumberFormat="1" applyFont="1"/>
    <xf numFmtId="169" fontId="35" fillId="0" borderId="3" xfId="36" applyNumberFormat="1" applyFont="1" applyBorder="1" applyAlignment="1">
      <alignment horizontal="center"/>
    </xf>
    <xf numFmtId="169" fontId="23" fillId="0" borderId="3" xfId="36" applyNumberFormat="1" applyFont="1" applyBorder="1" applyAlignment="1">
      <alignment horizontal="center"/>
    </xf>
    <xf numFmtId="171" fontId="35" fillId="0" borderId="3" xfId="36" applyNumberFormat="1" applyFont="1" applyBorder="1" applyAlignment="1">
      <alignment horizontal="center"/>
    </xf>
    <xf numFmtId="170" fontId="12" fillId="0" borderId="3" xfId="36" applyNumberFormat="1" applyFont="1" applyBorder="1" applyAlignment="1">
      <alignment horizontal="center"/>
    </xf>
    <xf numFmtId="170" fontId="35" fillId="0" borderId="3" xfId="36" applyNumberFormat="1" applyFont="1" applyBorder="1" applyAlignment="1">
      <alignment horizontal="center"/>
    </xf>
    <xf numFmtId="3" fontId="27" fillId="23" borderId="8" xfId="0" quotePrefix="1" applyNumberFormat="1" applyFont="1" applyFill="1" applyBorder="1" applyAlignment="1">
      <alignment horizontal="left"/>
    </xf>
    <xf numFmtId="3" fontId="0" fillId="23" borderId="0" xfId="0" applyNumberFormat="1" applyFill="1"/>
    <xf numFmtId="0" fontId="86" fillId="0" borderId="3" xfId="124" applyFont="1" applyBorder="1" applyAlignment="1">
      <alignment horizontal="left" indent="1"/>
    </xf>
    <xf numFmtId="3" fontId="0" fillId="39" borderId="0" xfId="0" applyNumberFormat="1" applyFill="1"/>
    <xf numFmtId="0" fontId="83" fillId="0" borderId="0" xfId="0" applyFont="1" applyAlignment="1">
      <alignment horizontal="center"/>
    </xf>
    <xf numFmtId="0" fontId="30" fillId="13" borderId="18" xfId="0" applyFont="1" applyFill="1" applyBorder="1" applyAlignment="1">
      <alignment vertical="center" wrapText="1"/>
    </xf>
    <xf numFmtId="0" fontId="36" fillId="13" borderId="20" xfId="33" applyFont="1" applyFill="1" applyBorder="1" applyAlignment="1">
      <alignment horizontal="left" vertical="center"/>
    </xf>
    <xf numFmtId="0" fontId="36" fillId="13" borderId="21" xfId="33" applyFont="1" applyFill="1" applyBorder="1" applyAlignment="1">
      <alignment horizontal="center" vertical="center"/>
    </xf>
    <xf numFmtId="0" fontId="36" fillId="13" borderId="22" xfId="33" applyFont="1" applyFill="1" applyBorder="1" applyAlignment="1">
      <alignment horizontal="center" vertical="center"/>
    </xf>
    <xf numFmtId="0" fontId="36" fillId="13" borderId="18" xfId="33" applyFont="1" applyFill="1" applyBorder="1" applyAlignment="1">
      <alignment horizontal="center" vertical="center"/>
    </xf>
    <xf numFmtId="0" fontId="36" fillId="13" borderId="23" xfId="33" applyFont="1" applyFill="1" applyBorder="1" applyAlignment="1">
      <alignment horizontal="center" vertical="center"/>
    </xf>
    <xf numFmtId="0" fontId="36" fillId="13" borderId="0" xfId="33" applyFont="1" applyFill="1" applyAlignment="1">
      <alignment horizontal="center" vertical="center"/>
    </xf>
    <xf numFmtId="0" fontId="31" fillId="13" borderId="19" xfId="0" applyFont="1" applyFill="1" applyBorder="1"/>
    <xf numFmtId="0" fontId="2" fillId="13" borderId="19" xfId="0" applyFont="1" applyFill="1" applyBorder="1"/>
    <xf numFmtId="3" fontId="12" fillId="13" borderId="19" xfId="34" applyNumberFormat="1" applyFont="1" applyFill="1" applyBorder="1" applyAlignment="1">
      <alignment horizontal="center"/>
    </xf>
    <xf numFmtId="43" fontId="37" fillId="13" borderId="24" xfId="32" applyFont="1" applyFill="1" applyBorder="1" applyAlignment="1">
      <alignment horizontal="center"/>
    </xf>
    <xf numFmtId="43" fontId="37" fillId="13" borderId="0" xfId="32" applyFont="1" applyFill="1" applyBorder="1" applyAlignment="1">
      <alignment horizontal="center"/>
    </xf>
    <xf numFmtId="0" fontId="12" fillId="13" borderId="3" xfId="0" applyFont="1" applyFill="1" applyBorder="1"/>
    <xf numFmtId="0" fontId="2" fillId="13" borderId="3" xfId="0" applyFont="1" applyFill="1" applyBorder="1"/>
    <xf numFmtId="3" fontId="12" fillId="13" borderId="3" xfId="34" applyNumberFormat="1" applyFont="1" applyFill="1" applyBorder="1" applyAlignment="1">
      <alignment horizontal="center"/>
    </xf>
    <xf numFmtId="3" fontId="12" fillId="13" borderId="3" xfId="36" applyNumberFormat="1" applyFont="1" applyFill="1" applyBorder="1" applyAlignment="1">
      <alignment horizontal="center"/>
    </xf>
    <xf numFmtId="169" fontId="35" fillId="13" borderId="3" xfId="0" applyNumberFormat="1" applyFont="1" applyFill="1" applyBorder="1" applyAlignment="1">
      <alignment horizontal="center"/>
    </xf>
    <xf numFmtId="169" fontId="35" fillId="13" borderId="3" xfId="36" applyNumberFormat="1" applyFont="1" applyFill="1" applyBorder="1" applyAlignment="1">
      <alignment horizontal="center"/>
    </xf>
    <xf numFmtId="169" fontId="35" fillId="13" borderId="0" xfId="36" applyNumberFormat="1" applyFont="1" applyFill="1" applyBorder="1" applyAlignment="1">
      <alignment horizontal="center"/>
    </xf>
    <xf numFmtId="175" fontId="12" fillId="13" borderId="3" xfId="36" applyNumberFormat="1" applyFont="1" applyFill="1" applyBorder="1" applyAlignment="1">
      <alignment horizontal="center"/>
    </xf>
    <xf numFmtId="0" fontId="32" fillId="13" borderId="3" xfId="0" applyFont="1" applyFill="1" applyBorder="1"/>
    <xf numFmtId="169" fontId="23" fillId="13" borderId="3" xfId="0" applyNumberFormat="1" applyFont="1" applyFill="1" applyBorder="1" applyAlignment="1">
      <alignment horizontal="center"/>
    </xf>
    <xf numFmtId="0" fontId="33" fillId="13" borderId="3" xfId="0" applyFont="1" applyFill="1" applyBorder="1"/>
    <xf numFmtId="0" fontId="34" fillId="13" borderId="3" xfId="0" applyFont="1" applyFill="1" applyBorder="1"/>
    <xf numFmtId="169" fontId="23" fillId="13" borderId="3" xfId="36" applyNumberFormat="1" applyFont="1" applyFill="1" applyBorder="1" applyAlignment="1">
      <alignment horizontal="center"/>
    </xf>
    <xf numFmtId="0" fontId="34" fillId="13" borderId="3" xfId="0" applyFont="1" applyFill="1" applyBorder="1" applyAlignment="1">
      <alignment horizontal="center"/>
    </xf>
    <xf numFmtId="0" fontId="86" fillId="13" borderId="3" xfId="124" applyFont="1" applyFill="1" applyBorder="1" applyAlignment="1">
      <alignment horizontal="left" indent="1"/>
    </xf>
    <xf numFmtId="0" fontId="89" fillId="13" borderId="3" xfId="124" applyFont="1" applyFill="1" applyBorder="1"/>
    <xf numFmtId="169" fontId="35" fillId="13" borderId="3" xfId="133" applyNumberFormat="1" applyFont="1" applyFill="1" applyBorder="1" applyAlignment="1">
      <alignment horizontal="center"/>
    </xf>
    <xf numFmtId="0" fontId="88" fillId="13" borderId="3" xfId="124" applyFont="1" applyFill="1" applyBorder="1"/>
    <xf numFmtId="171" fontId="35" fillId="13" borderId="3" xfId="36" applyNumberFormat="1" applyFont="1" applyFill="1" applyBorder="1" applyAlignment="1">
      <alignment horizontal="center"/>
    </xf>
    <xf numFmtId="170" fontId="12" fillId="13" borderId="3" xfId="36" applyNumberFormat="1" applyFont="1" applyFill="1" applyBorder="1" applyAlignment="1">
      <alignment horizontal="center"/>
    </xf>
    <xf numFmtId="170" fontId="35" fillId="13" borderId="3" xfId="36" applyNumberFormat="1" applyFont="1" applyFill="1" applyBorder="1" applyAlignment="1">
      <alignment horizontal="center"/>
    </xf>
    <xf numFmtId="0" fontId="0" fillId="48" borderId="0" xfId="0" applyFill="1" applyAlignment="1">
      <alignment horizontal="center"/>
    </xf>
    <xf numFmtId="0" fontId="68" fillId="48" borderId="18" xfId="124" applyFont="1" applyFill="1" applyBorder="1" applyAlignment="1">
      <alignment vertical="center" wrapText="1"/>
    </xf>
    <xf numFmtId="0" fontId="67" fillId="48" borderId="20" xfId="33" applyFont="1" applyFill="1" applyBorder="1" applyAlignment="1">
      <alignment horizontal="left" vertical="center"/>
    </xf>
    <xf numFmtId="0" fontId="31" fillId="48" borderId="19" xfId="124" applyFont="1" applyFill="1" applyBorder="1"/>
    <xf numFmtId="0" fontId="2" fillId="48" borderId="19" xfId="124" applyFill="1" applyBorder="1"/>
    <xf numFmtId="0" fontId="12" fillId="48" borderId="3" xfId="124" applyFont="1" applyFill="1" applyBorder="1"/>
    <xf numFmtId="0" fontId="2" fillId="48" borderId="3" xfId="124" applyFill="1" applyBorder="1"/>
    <xf numFmtId="0" fontId="32" fillId="48" borderId="3" xfId="124" applyFont="1" applyFill="1" applyBorder="1"/>
    <xf numFmtId="0" fontId="33" fillId="48" borderId="3" xfId="124" applyFont="1" applyFill="1" applyBorder="1"/>
    <xf numFmtId="0" fontId="34" fillId="48" borderId="3" xfId="124" applyFont="1" applyFill="1" applyBorder="1"/>
    <xf numFmtId="0" fontId="33" fillId="48" borderId="3" xfId="124" applyFont="1" applyFill="1" applyBorder="1" applyAlignment="1">
      <alignment horizontal="left" indent="1"/>
    </xf>
    <xf numFmtId="0" fontId="86" fillId="48" borderId="3" xfId="124" applyFont="1" applyFill="1" applyBorder="1" applyAlignment="1">
      <alignment horizontal="left" indent="1"/>
    </xf>
    <xf numFmtId="0" fontId="88" fillId="48" borderId="3" xfId="124" applyFont="1" applyFill="1" applyBorder="1"/>
    <xf numFmtId="0" fontId="68" fillId="0" borderId="18" xfId="0" applyFont="1" applyBorder="1" applyAlignment="1">
      <alignment wrapText="1"/>
    </xf>
    <xf numFmtId="0" fontId="0" fillId="0" borderId="19" xfId="0" applyBorder="1"/>
    <xf numFmtId="43" fontId="90" fillId="0" borderId="24" xfId="36" applyFont="1" applyFill="1" applyBorder="1" applyAlignment="1">
      <alignment horizontal="center"/>
    </xf>
    <xf numFmtId="0" fontId="0" fillId="0" borderId="3" xfId="0" applyBorder="1"/>
    <xf numFmtId="175" fontId="12" fillId="0" borderId="3" xfId="36" applyNumberFormat="1" applyFont="1" applyBorder="1" applyAlignment="1">
      <alignment horizontal="center"/>
    </xf>
    <xf numFmtId="0" fontId="91" fillId="0" borderId="0" xfId="0" applyFont="1"/>
    <xf numFmtId="168" fontId="56" fillId="0" borderId="0" xfId="62" applyNumberFormat="1" applyFont="1" applyAlignment="1">
      <alignment horizontal="center" vertical="center"/>
    </xf>
    <xf numFmtId="168" fontId="56" fillId="19" borderId="0" xfId="62" applyNumberFormat="1" applyFont="1" applyFill="1"/>
    <xf numFmtId="0" fontId="92" fillId="44" borderId="0" xfId="0" applyFont="1" applyFill="1"/>
    <xf numFmtId="49" fontId="91" fillId="0" borderId="0" xfId="0" applyNumberFormat="1" applyFont="1"/>
    <xf numFmtId="49" fontId="92" fillId="0" borderId="0" xfId="0" applyNumberFormat="1" applyFont="1"/>
    <xf numFmtId="0" fontId="92" fillId="0" borderId="0" xfId="0" applyFont="1"/>
    <xf numFmtId="168" fontId="92" fillId="44" borderId="0" xfId="0" applyNumberFormat="1" applyFont="1" applyFill="1"/>
    <xf numFmtId="1" fontId="92" fillId="44" borderId="0" xfId="0" applyNumberFormat="1" applyFont="1" applyFill="1"/>
    <xf numFmtId="1" fontId="56" fillId="19" borderId="0" xfId="62" applyNumberFormat="1" applyFont="1" applyFill="1"/>
    <xf numFmtId="1" fontId="92" fillId="0" borderId="0" xfId="0" applyNumberFormat="1" applyFont="1"/>
    <xf numFmtId="1" fontId="91" fillId="0" borderId="0" xfId="0" applyNumberFormat="1" applyFont="1"/>
    <xf numFmtId="49" fontId="69" fillId="0" borderId="0" xfId="0" applyNumberFormat="1" applyFont="1"/>
    <xf numFmtId="0" fontId="91" fillId="0" borderId="0" xfId="0" applyFont="1" applyAlignment="1">
      <alignment horizontal="left" indent="1"/>
    </xf>
    <xf numFmtId="9" fontId="64" fillId="23" borderId="8" xfId="1" applyFont="1" applyFill="1" applyBorder="1"/>
    <xf numFmtId="175" fontId="79" fillId="23" borderId="0" xfId="32" applyNumberFormat="1" applyFont="1" applyFill="1"/>
    <xf numFmtId="177" fontId="64" fillId="23" borderId="0" xfId="0" applyNumberFormat="1" applyFont="1" applyFill="1"/>
    <xf numFmtId="0" fontId="12" fillId="23" borderId="3" xfId="0" applyFont="1" applyFill="1" applyBorder="1"/>
    <xf numFmtId="3" fontId="19" fillId="23" borderId="0" xfId="0" applyNumberFormat="1" applyFont="1" applyFill="1"/>
    <xf numFmtId="3" fontId="18" fillId="23" borderId="11" xfId="0" quotePrefix="1" applyNumberFormat="1" applyFont="1" applyFill="1" applyBorder="1" applyAlignment="1">
      <alignment horizontal="left"/>
    </xf>
    <xf numFmtId="3" fontId="27" fillId="23" borderId="0" xfId="0" applyNumberFormat="1" applyFont="1" applyFill="1"/>
    <xf numFmtId="37" fontId="38" fillId="23" borderId="26" xfId="0" applyNumberFormat="1" applyFont="1" applyFill="1" applyBorder="1" applyAlignment="1">
      <alignment horizontal="right"/>
    </xf>
    <xf numFmtId="3" fontId="64" fillId="23" borderId="0" xfId="0" applyNumberFormat="1" applyFont="1" applyFill="1"/>
    <xf numFmtId="17" fontId="44" fillId="51" borderId="0" xfId="0" applyNumberFormat="1" applyFont="1" applyFill="1"/>
    <xf numFmtId="170" fontId="0" fillId="51" borderId="0" xfId="0" applyNumberFormat="1" applyFill="1"/>
    <xf numFmtId="9" fontId="64" fillId="0" borderId="0" xfId="0" applyNumberFormat="1" applyFont="1"/>
    <xf numFmtId="9" fontId="56" fillId="19" borderId="0" xfId="1" applyFont="1" applyFill="1"/>
    <xf numFmtId="165" fontId="92" fillId="44" borderId="0" xfId="0" applyNumberFormat="1" applyFont="1" applyFill="1"/>
    <xf numFmtId="9" fontId="92" fillId="44" borderId="0" xfId="1" applyFont="1" applyFill="1"/>
    <xf numFmtId="165" fontId="44" fillId="0" borderId="0" xfId="0" applyNumberFormat="1" applyFont="1"/>
    <xf numFmtId="178" fontId="56" fillId="19" borderId="0" xfId="62" applyNumberFormat="1" applyFont="1" applyFill="1"/>
    <xf numFmtId="178" fontId="44" fillId="0" borderId="0" xfId="0" applyNumberFormat="1" applyFont="1"/>
    <xf numFmtId="178" fontId="92" fillId="44" borderId="0" xfId="0" applyNumberFormat="1" applyFont="1" applyFill="1"/>
    <xf numFmtId="9" fontId="91" fillId="0" borderId="0" xfId="1" applyFont="1"/>
    <xf numFmtId="168" fontId="91" fillId="0" borderId="0" xfId="0" applyNumberFormat="1" applyFont="1"/>
    <xf numFmtId="168" fontId="92" fillId="0" borderId="0" xfId="0" applyNumberFormat="1" applyFont="1"/>
    <xf numFmtId="9" fontId="92" fillId="0" borderId="0" xfId="1" applyFont="1"/>
    <xf numFmtId="1" fontId="60" fillId="36" borderId="0" xfId="24" applyNumberFormat="1" applyFont="1" applyFill="1"/>
    <xf numFmtId="1" fontId="60" fillId="36" borderId="0" xfId="24" applyNumberFormat="1" applyFont="1" applyFill="1" applyAlignment="1">
      <alignment horizontal="center" wrapText="1"/>
    </xf>
    <xf numFmtId="1" fontId="61" fillId="36" borderId="0" xfId="24" applyNumberFormat="1" applyFont="1" applyFill="1" applyAlignment="1">
      <alignment horizontal="center" wrapText="1"/>
    </xf>
    <xf numFmtId="165" fontId="62" fillId="36" borderId="0" xfId="24" applyNumberFormat="1" applyFont="1" applyFill="1"/>
    <xf numFmtId="1" fontId="62" fillId="36" borderId="0" xfId="24" applyNumberFormat="1" applyFont="1" applyFill="1" applyAlignment="1">
      <alignment horizontal="center" wrapText="1"/>
    </xf>
    <xf numFmtId="172" fontId="41" fillId="0" borderId="29" xfId="138" applyNumberFormat="1" applyFont="1" applyBorder="1" applyAlignment="1">
      <alignment horizontal="center"/>
    </xf>
    <xf numFmtId="172" fontId="41" fillId="0" borderId="53" xfId="138" applyNumberFormat="1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39" borderId="12" xfId="0" applyFill="1" applyBorder="1"/>
    <xf numFmtId="0" fontId="0" fillId="39" borderId="10" xfId="0" applyFill="1" applyBorder="1"/>
    <xf numFmtId="0" fontId="0" fillId="39" borderId="39" xfId="0" applyFill="1" applyBorder="1"/>
    <xf numFmtId="0" fontId="0" fillId="39" borderId="0" xfId="0" applyFill="1"/>
    <xf numFmtId="0" fontId="0" fillId="39" borderId="8" xfId="0" applyFill="1" applyBorder="1" applyAlignment="1">
      <alignment horizontal="center"/>
    </xf>
    <xf numFmtId="0" fontId="0" fillId="39" borderId="0" xfId="0" applyFill="1" applyAlignment="1">
      <alignment horizontal="center"/>
    </xf>
    <xf numFmtId="0" fontId="0" fillId="0" borderId="14" xfId="0" applyBorder="1"/>
    <xf numFmtId="0" fontId="0" fillId="0" borderId="45" xfId="0" applyBorder="1"/>
    <xf numFmtId="0" fontId="0" fillId="39" borderId="45" xfId="0" applyFill="1" applyBorder="1"/>
    <xf numFmtId="3" fontId="56" fillId="27" borderId="25" xfId="1" applyNumberFormat="1" applyFont="1" applyFill="1" applyBorder="1" applyAlignment="1">
      <alignment vertical="center"/>
    </xf>
    <xf numFmtId="3" fontId="56" fillId="27" borderId="52" xfId="1" applyNumberFormat="1" applyFont="1" applyFill="1" applyBorder="1" applyAlignment="1">
      <alignment vertical="center"/>
    </xf>
    <xf numFmtId="3" fontId="56" fillId="27" borderId="47" xfId="1" applyNumberFormat="1" applyFont="1" applyFill="1" applyBorder="1" applyAlignment="1">
      <alignment vertical="center"/>
    </xf>
    <xf numFmtId="3" fontId="56" fillId="27" borderId="7" xfId="1" applyNumberFormat="1" applyFont="1" applyFill="1" applyBorder="1" applyAlignment="1">
      <alignment vertical="center"/>
    </xf>
    <xf numFmtId="0" fontId="0" fillId="0" borderId="25" xfId="0" applyBorder="1"/>
    <xf numFmtId="0" fontId="0" fillId="0" borderId="52" xfId="0" applyBorder="1"/>
    <xf numFmtId="1" fontId="44" fillId="0" borderId="25" xfId="0" applyNumberFormat="1" applyFont="1" applyBorder="1"/>
    <xf numFmtId="1" fontId="44" fillId="0" borderId="0" xfId="0" applyNumberFormat="1" applyFont="1"/>
    <xf numFmtId="1" fontId="44" fillId="0" borderId="52" xfId="0" applyNumberFormat="1" applyFont="1" applyBorder="1"/>
    <xf numFmtId="1" fontId="44" fillId="0" borderId="7" xfId="0" applyNumberFormat="1" applyFont="1" applyBorder="1"/>
    <xf numFmtId="1" fontId="0" fillId="0" borderId="25" xfId="0" applyNumberFormat="1" applyBorder="1"/>
    <xf numFmtId="1" fontId="0" fillId="0" borderId="52" xfId="0" applyNumberFormat="1" applyBorder="1"/>
    <xf numFmtId="1" fontId="0" fillId="0" borderId="7" xfId="0" applyNumberFormat="1" applyBorder="1"/>
    <xf numFmtId="1" fontId="0" fillId="0" borderId="59" xfId="0" applyNumberFormat="1" applyBorder="1"/>
    <xf numFmtId="1" fontId="0" fillId="0" borderId="60" xfId="0" applyNumberFormat="1" applyBorder="1"/>
    <xf numFmtId="1" fontId="0" fillId="0" borderId="54" xfId="0" applyNumberFormat="1" applyBorder="1"/>
    <xf numFmtId="0" fontId="44" fillId="0" borderId="7" xfId="0" applyFont="1" applyBorder="1"/>
    <xf numFmtId="170" fontId="0" fillId="0" borderId="7" xfId="0" applyNumberFormat="1" applyBorder="1"/>
    <xf numFmtId="0" fontId="44" fillId="37" borderId="0" xfId="0" applyFont="1" applyFill="1"/>
    <xf numFmtId="0" fontId="44" fillId="37" borderId="7" xfId="0" applyFont="1" applyFill="1" applyBorder="1"/>
    <xf numFmtId="0" fontId="0" fillId="37" borderId="0" xfId="0" applyFill="1"/>
    <xf numFmtId="0" fontId="0" fillId="37" borderId="7" xfId="0" applyFill="1" applyBorder="1"/>
    <xf numFmtId="170" fontId="0" fillId="37" borderId="0" xfId="0" applyNumberFormat="1" applyFill="1"/>
    <xf numFmtId="170" fontId="0" fillId="37" borderId="7" xfId="0" applyNumberFormat="1" applyFill="1" applyBorder="1"/>
    <xf numFmtId="17" fontId="44" fillId="50" borderId="52" xfId="0" applyNumberFormat="1" applyFont="1" applyFill="1" applyBorder="1"/>
    <xf numFmtId="17" fontId="44" fillId="50" borderId="0" xfId="0" applyNumberFormat="1" applyFont="1" applyFill="1"/>
    <xf numFmtId="17" fontId="44" fillId="50" borderId="7" xfId="0" applyNumberFormat="1" applyFont="1" applyFill="1" applyBorder="1"/>
    <xf numFmtId="0" fontId="0" fillId="50" borderId="52" xfId="0" applyFill="1" applyBorder="1"/>
    <xf numFmtId="0" fontId="0" fillId="50" borderId="0" xfId="0" applyFill="1"/>
    <xf numFmtId="0" fontId="0" fillId="50" borderId="7" xfId="0" applyFill="1" applyBorder="1"/>
    <xf numFmtId="170" fontId="0" fillId="50" borderId="52" xfId="0" applyNumberFormat="1" applyFill="1" applyBorder="1"/>
    <xf numFmtId="170" fontId="0" fillId="50" borderId="0" xfId="0" applyNumberFormat="1" applyFill="1"/>
    <xf numFmtId="170" fontId="0" fillId="50" borderId="7" xfId="0" applyNumberFormat="1" applyFill="1" applyBorder="1"/>
    <xf numFmtId="3" fontId="26" fillId="23" borderId="8" xfId="0" quotePrefix="1" applyNumberFormat="1" applyFont="1" applyFill="1" applyBorder="1" applyAlignment="1">
      <alignment horizontal="left"/>
    </xf>
    <xf numFmtId="0" fontId="44" fillId="40" borderId="0" xfId="0" applyFont="1" applyFill="1"/>
    <xf numFmtId="3" fontId="44" fillId="40" borderId="0" xfId="0" applyNumberFormat="1" applyFont="1" applyFill="1"/>
    <xf numFmtId="3" fontId="44" fillId="39" borderId="0" xfId="0" applyNumberFormat="1" applyFont="1" applyFill="1"/>
    <xf numFmtId="3" fontId="17" fillId="0" borderId="0" xfId="0" applyNumberFormat="1" applyFont="1"/>
    <xf numFmtId="3" fontId="17" fillId="40" borderId="0" xfId="0" applyNumberFormat="1" applyFont="1" applyFill="1"/>
    <xf numFmtId="37" fontId="28" fillId="0" borderId="25" xfId="0" applyNumberFormat="1" applyFont="1" applyBorder="1" applyAlignment="1">
      <alignment horizontal="right"/>
    </xf>
    <xf numFmtId="37" fontId="39" fillId="0" borderId="28" xfId="0" applyNumberFormat="1" applyFont="1" applyBorder="1" applyAlignment="1">
      <alignment horizontal="right"/>
    </xf>
    <xf numFmtId="3" fontId="26" fillId="0" borderId="8" xfId="0" quotePrefix="1" applyNumberFormat="1" applyFont="1" applyBorder="1" applyAlignment="1">
      <alignment horizontal="left"/>
    </xf>
    <xf numFmtId="37" fontId="28" fillId="0" borderId="26" xfId="0" applyNumberFormat="1" applyFont="1" applyBorder="1" applyAlignment="1">
      <alignment horizontal="right"/>
    </xf>
    <xf numFmtId="0" fontId="22" fillId="0" borderId="3" xfId="0" applyFont="1" applyBorder="1"/>
    <xf numFmtId="0" fontId="93" fillId="0" borderId="3" xfId="0" applyFont="1" applyBorder="1"/>
    <xf numFmtId="0" fontId="94" fillId="0" borderId="3" xfId="124" applyFont="1" applyBorder="1" applyAlignment="1">
      <alignment horizontal="left" indent="1"/>
    </xf>
    <xf numFmtId="37" fontId="38" fillId="52" borderId="16" xfId="0" applyNumberFormat="1" applyFont="1" applyFill="1" applyBorder="1" applyAlignment="1">
      <alignment horizontal="right"/>
    </xf>
    <xf numFmtId="37" fontId="38" fillId="52" borderId="47" xfId="0" applyNumberFormat="1" applyFont="1" applyFill="1" applyBorder="1" applyAlignment="1">
      <alignment horizontal="right"/>
    </xf>
    <xf numFmtId="37" fontId="38" fillId="52" borderId="17" xfId="0" applyNumberFormat="1" applyFont="1" applyFill="1" applyBorder="1" applyAlignment="1">
      <alignment horizontal="right"/>
    </xf>
    <xf numFmtId="37" fontId="38" fillId="52" borderId="34" xfId="0" applyNumberFormat="1" applyFont="1" applyFill="1" applyBorder="1" applyAlignment="1">
      <alignment horizontal="right"/>
    </xf>
    <xf numFmtId="37" fontId="38" fillId="52" borderId="7" xfId="0" applyNumberFormat="1" applyFont="1" applyFill="1" applyBorder="1" applyAlignment="1">
      <alignment horizontal="right"/>
    </xf>
    <xf numFmtId="37" fontId="38" fillId="52" borderId="25" xfId="0" applyNumberFormat="1" applyFont="1" applyFill="1" applyBorder="1" applyAlignment="1">
      <alignment horizontal="right"/>
    </xf>
    <xf numFmtId="37" fontId="38" fillId="52" borderId="28" xfId="0" applyNumberFormat="1" applyFont="1" applyFill="1" applyBorder="1" applyAlignment="1">
      <alignment horizontal="right"/>
    </xf>
    <xf numFmtId="37" fontId="38" fillId="52" borderId="11" xfId="0" applyNumberFormat="1" applyFont="1" applyFill="1" applyBorder="1" applyAlignment="1">
      <alignment horizontal="right"/>
    </xf>
    <xf numFmtId="37" fontId="38" fillId="52" borderId="49" xfId="0" applyNumberFormat="1" applyFont="1" applyFill="1" applyBorder="1" applyAlignment="1">
      <alignment horizontal="right"/>
    </xf>
    <xf numFmtId="37" fontId="38" fillId="52" borderId="48" xfId="0" applyNumberFormat="1" applyFont="1" applyFill="1" applyBorder="1" applyAlignment="1">
      <alignment horizontal="right"/>
    </xf>
    <xf numFmtId="37" fontId="38" fillId="52" borderId="40" xfId="0" applyNumberFormat="1" applyFont="1" applyFill="1" applyBorder="1" applyAlignment="1">
      <alignment horizontal="right"/>
    </xf>
    <xf numFmtId="37" fontId="38" fillId="52" borderId="41" xfId="0" applyNumberFormat="1" applyFont="1" applyFill="1" applyBorder="1" applyAlignment="1">
      <alignment horizontal="right"/>
    </xf>
    <xf numFmtId="37" fontId="38" fillId="53" borderId="7" xfId="0" applyNumberFormat="1" applyFont="1" applyFill="1" applyBorder="1" applyAlignment="1">
      <alignment horizontal="right"/>
    </xf>
    <xf numFmtId="37" fontId="38" fillId="53" borderId="25" xfId="0" applyNumberFormat="1" applyFont="1" applyFill="1" applyBorder="1" applyAlignment="1">
      <alignment horizontal="right"/>
    </xf>
    <xf numFmtId="37" fontId="40" fillId="53" borderId="28" xfId="0" applyNumberFormat="1" applyFont="1" applyFill="1" applyBorder="1" applyAlignment="1">
      <alignment horizontal="right"/>
    </xf>
    <xf numFmtId="37" fontId="38" fillId="53" borderId="41" xfId="0" applyNumberFormat="1" applyFont="1" applyFill="1" applyBorder="1" applyAlignment="1">
      <alignment horizontal="right"/>
    </xf>
    <xf numFmtId="3" fontId="27" fillId="53" borderId="16" xfId="0" applyNumberFormat="1" applyFont="1" applyFill="1" applyBorder="1"/>
    <xf numFmtId="3" fontId="27" fillId="53" borderId="47" xfId="0" applyNumberFormat="1" applyFont="1" applyFill="1" applyBorder="1"/>
    <xf numFmtId="37" fontId="38" fillId="53" borderId="17" xfId="0" applyNumberFormat="1" applyFont="1" applyFill="1" applyBorder="1" applyAlignment="1">
      <alignment horizontal="right"/>
    </xf>
    <xf numFmtId="3" fontId="27" fillId="53" borderId="7" xfId="0" applyNumberFormat="1" applyFont="1" applyFill="1" applyBorder="1"/>
    <xf numFmtId="3" fontId="27" fillId="53" borderId="25" xfId="0" applyNumberFormat="1" applyFont="1" applyFill="1" applyBorder="1"/>
    <xf numFmtId="37" fontId="38" fillId="53" borderId="28" xfId="0" applyNumberFormat="1" applyFont="1" applyFill="1" applyBorder="1" applyAlignment="1">
      <alignment horizontal="right"/>
    </xf>
    <xf numFmtId="3" fontId="27" fillId="53" borderId="49" xfId="0" applyNumberFormat="1" applyFont="1" applyFill="1" applyBorder="1"/>
    <xf numFmtId="3" fontId="27" fillId="53" borderId="48" xfId="0" applyNumberFormat="1" applyFont="1" applyFill="1" applyBorder="1"/>
    <xf numFmtId="37" fontId="38" fillId="53" borderId="40" xfId="0" applyNumberFormat="1" applyFont="1" applyFill="1" applyBorder="1" applyAlignment="1">
      <alignment horizontal="right"/>
    </xf>
    <xf numFmtId="170" fontId="44" fillId="0" borderId="0" xfId="32" applyNumberFormat="1" applyFont="1"/>
    <xf numFmtId="170" fontId="0" fillId="0" borderId="0" xfId="32" applyNumberFormat="1" applyFont="1"/>
    <xf numFmtId="175" fontId="0" fillId="0" borderId="0" xfId="32" applyNumberFormat="1" applyFont="1" applyFill="1" applyBorder="1"/>
    <xf numFmtId="170" fontId="0" fillId="0" borderId="0" xfId="32" applyNumberFormat="1" applyFont="1" applyFill="1" applyBorder="1"/>
    <xf numFmtId="3" fontId="28" fillId="17" borderId="8" xfId="0" quotePrefix="1" applyNumberFormat="1" applyFont="1" applyFill="1" applyBorder="1" applyAlignment="1">
      <alignment horizontal="left"/>
    </xf>
    <xf numFmtId="17" fontId="17" fillId="0" borderId="0" xfId="0" applyNumberFormat="1" applyFont="1"/>
    <xf numFmtId="170" fontId="44" fillId="0" borderId="0" xfId="0" applyNumberFormat="1" applyFont="1"/>
    <xf numFmtId="170" fontId="44" fillId="0" borderId="43" xfId="0" applyNumberFormat="1" applyFont="1" applyBorder="1"/>
    <xf numFmtId="3" fontId="26" fillId="54" borderId="44" xfId="0" quotePrefix="1" applyNumberFormat="1" applyFont="1" applyFill="1" applyBorder="1" applyAlignment="1">
      <alignment horizontal="left"/>
    </xf>
    <xf numFmtId="3" fontId="26" fillId="17" borderId="61" xfId="0" quotePrefix="1" applyNumberFormat="1" applyFont="1" applyFill="1" applyBorder="1" applyAlignment="1">
      <alignment horizontal="left"/>
    </xf>
    <xf numFmtId="3" fontId="26" fillId="17" borderId="8" xfId="0" quotePrefix="1" applyNumberFormat="1" applyFont="1" applyFill="1" applyBorder="1" applyAlignment="1">
      <alignment horizontal="left"/>
    </xf>
    <xf numFmtId="3" fontId="44" fillId="17" borderId="0" xfId="0" applyNumberFormat="1" applyFont="1" applyFill="1"/>
    <xf numFmtId="0" fontId="44" fillId="17" borderId="0" xfId="0" applyFont="1" applyFill="1"/>
    <xf numFmtId="0" fontId="93" fillId="17" borderId="3" xfId="0" applyFont="1" applyFill="1" applyBorder="1"/>
    <xf numFmtId="3" fontId="17" fillId="17" borderId="0" xfId="0" applyNumberFormat="1" applyFont="1" applyFill="1"/>
    <xf numFmtId="3" fontId="16" fillId="17" borderId="11" xfId="0" quotePrefix="1" applyNumberFormat="1" applyFont="1" applyFill="1" applyBorder="1" applyAlignment="1">
      <alignment horizontal="left"/>
    </xf>
    <xf numFmtId="37" fontId="28" fillId="17" borderId="25" xfId="0" applyNumberFormat="1" applyFont="1" applyFill="1" applyBorder="1" applyAlignment="1">
      <alignment horizontal="right"/>
    </xf>
    <xf numFmtId="37" fontId="28" fillId="17" borderId="26" xfId="0" applyNumberFormat="1" applyFont="1" applyFill="1" applyBorder="1" applyAlignment="1">
      <alignment horizontal="right"/>
    </xf>
    <xf numFmtId="0" fontId="32" fillId="17" borderId="3" xfId="0" applyFont="1" applyFill="1" applyBorder="1"/>
    <xf numFmtId="3" fontId="26" fillId="54" borderId="8" xfId="0" quotePrefix="1" applyNumberFormat="1" applyFont="1" applyFill="1" applyBorder="1" applyAlignment="1">
      <alignment horizontal="left"/>
    </xf>
    <xf numFmtId="170" fontId="44" fillId="17" borderId="12" xfId="32" applyNumberFormat="1" applyFont="1" applyFill="1" applyBorder="1"/>
    <xf numFmtId="0" fontId="0" fillId="17" borderId="0" xfId="0" applyFill="1"/>
    <xf numFmtId="0" fontId="12" fillId="17" borderId="3" xfId="0" applyFont="1" applyFill="1" applyBorder="1"/>
    <xf numFmtId="3" fontId="0" fillId="17" borderId="0" xfId="0" applyNumberFormat="1" applyFill="1"/>
    <xf numFmtId="3" fontId="19" fillId="17" borderId="0" xfId="0" applyNumberFormat="1" applyFont="1" applyFill="1"/>
    <xf numFmtId="37" fontId="38" fillId="54" borderId="7" xfId="0" applyNumberFormat="1" applyFont="1" applyFill="1" applyBorder="1" applyAlignment="1">
      <alignment horizontal="right"/>
    </xf>
    <xf numFmtId="37" fontId="38" fillId="54" borderId="25" xfId="0" applyNumberFormat="1" applyFont="1" applyFill="1" applyBorder="1" applyAlignment="1">
      <alignment horizontal="right"/>
    </xf>
    <xf numFmtId="37" fontId="38" fillId="54" borderId="26" xfId="0" applyNumberFormat="1" applyFont="1" applyFill="1" applyBorder="1" applyAlignment="1">
      <alignment horizontal="right"/>
    </xf>
    <xf numFmtId="3" fontId="26" fillId="54" borderId="54" xfId="0" quotePrefix="1" applyNumberFormat="1" applyFont="1" applyFill="1" applyBorder="1" applyAlignment="1">
      <alignment horizontal="left"/>
    </xf>
    <xf numFmtId="0" fontId="17" fillId="17" borderId="0" xfId="0" applyFont="1" applyFill="1"/>
    <xf numFmtId="0" fontId="17" fillId="17" borderId="39" xfId="0" applyFont="1" applyFill="1" applyBorder="1"/>
    <xf numFmtId="3" fontId="26" fillId="54" borderId="36" xfId="0" quotePrefix="1" applyNumberFormat="1" applyFont="1" applyFill="1" applyBorder="1" applyAlignment="1">
      <alignment horizontal="left"/>
    </xf>
    <xf numFmtId="3" fontId="26" fillId="54" borderId="62" xfId="0" quotePrefix="1" applyNumberFormat="1" applyFont="1" applyFill="1" applyBorder="1" applyAlignment="1">
      <alignment horizontal="left"/>
    </xf>
    <xf numFmtId="3" fontId="26" fillId="17" borderId="35" xfId="0" quotePrefix="1" applyNumberFormat="1" applyFont="1" applyFill="1" applyBorder="1" applyAlignment="1">
      <alignment horizontal="left"/>
    </xf>
    <xf numFmtId="170" fontId="44" fillId="50" borderId="37" xfId="32" applyNumberFormat="1" applyFont="1" applyFill="1" applyBorder="1"/>
    <xf numFmtId="3" fontId="44" fillId="50" borderId="11" xfId="0" applyNumberFormat="1" applyFont="1" applyFill="1" applyBorder="1"/>
    <xf numFmtId="3" fontId="0" fillId="50" borderId="11" xfId="0" applyNumberFormat="1" applyFill="1" applyBorder="1"/>
    <xf numFmtId="0" fontId="44" fillId="50" borderId="34" xfId="0" applyFont="1" applyFill="1" applyBorder="1"/>
    <xf numFmtId="3" fontId="0" fillId="50" borderId="34" xfId="0" applyNumberFormat="1" applyFill="1" applyBorder="1"/>
    <xf numFmtId="3" fontId="17" fillId="50" borderId="11" xfId="0" applyNumberFormat="1" applyFont="1" applyFill="1" applyBorder="1"/>
    <xf numFmtId="3" fontId="17" fillId="50" borderId="41" xfId="0" applyNumberFormat="1" applyFont="1" applyFill="1" applyBorder="1"/>
    <xf numFmtId="0" fontId="0" fillId="50" borderId="11" xfId="0" applyFill="1" applyBorder="1"/>
    <xf numFmtId="0" fontId="0" fillId="50" borderId="34" xfId="0" applyFill="1" applyBorder="1"/>
    <xf numFmtId="170" fontId="44" fillId="50" borderId="34" xfId="0" applyNumberFormat="1" applyFont="1" applyFill="1" applyBorder="1"/>
    <xf numFmtId="170" fontId="0" fillId="50" borderId="11" xfId="0" applyNumberFormat="1" applyFill="1" applyBorder="1"/>
    <xf numFmtId="170" fontId="0" fillId="50" borderId="11" xfId="32" applyNumberFormat="1" applyFont="1" applyFill="1" applyBorder="1"/>
    <xf numFmtId="170" fontId="44" fillId="50" borderId="11" xfId="0" applyNumberFormat="1" applyFont="1" applyFill="1" applyBorder="1"/>
    <xf numFmtId="0" fontId="0" fillId="50" borderId="41" xfId="0" applyFill="1" applyBorder="1"/>
    <xf numFmtId="3" fontId="26" fillId="54" borderId="60" xfId="0" quotePrefix="1" applyNumberFormat="1" applyFont="1" applyFill="1" applyBorder="1" applyAlignment="1">
      <alignment horizontal="left"/>
    </xf>
    <xf numFmtId="3" fontId="26" fillId="54" borderId="58" xfId="0" quotePrefix="1" applyNumberFormat="1" applyFont="1" applyFill="1" applyBorder="1" applyAlignment="1">
      <alignment horizontal="left"/>
    </xf>
    <xf numFmtId="3" fontId="26" fillId="17" borderId="63" xfId="0" quotePrefix="1" applyNumberFormat="1" applyFont="1" applyFill="1" applyBorder="1" applyAlignment="1">
      <alignment horizontal="left"/>
    </xf>
    <xf numFmtId="0" fontId="44" fillId="50" borderId="11" xfId="0" applyFont="1" applyFill="1" applyBorder="1"/>
    <xf numFmtId="170" fontId="44" fillId="50" borderId="11" xfId="32" applyNumberFormat="1" applyFont="1" applyFill="1" applyBorder="1"/>
    <xf numFmtId="170" fontId="0" fillId="50" borderId="41" xfId="32" applyNumberFormat="1" applyFont="1" applyFill="1" applyBorder="1"/>
    <xf numFmtId="3" fontId="44" fillId="50" borderId="37" xfId="32" applyNumberFormat="1" applyFont="1" applyFill="1" applyBorder="1"/>
    <xf numFmtId="3" fontId="44" fillId="50" borderId="34" xfId="0" applyNumberFormat="1" applyFont="1" applyFill="1" applyBorder="1"/>
    <xf numFmtId="3" fontId="0" fillId="50" borderId="41" xfId="0" applyNumberFormat="1" applyFill="1" applyBorder="1"/>
    <xf numFmtId="0" fontId="29" fillId="0" borderId="37" xfId="0" applyFont="1" applyBorder="1" applyAlignment="1">
      <alignment horizontal="center" vertical="top" wrapText="1"/>
    </xf>
    <xf numFmtId="0" fontId="44" fillId="0" borderId="11" xfId="0" applyFont="1" applyBorder="1"/>
    <xf numFmtId="0" fontId="17" fillId="0" borderId="11" xfId="0" applyFont="1" applyBorder="1"/>
    <xf numFmtId="0" fontId="17" fillId="0" borderId="41" xfId="0" applyFont="1" applyBorder="1"/>
    <xf numFmtId="3" fontId="26" fillId="0" borderId="64" xfId="0" quotePrefix="1" applyNumberFormat="1" applyFont="1" applyBorder="1" applyAlignment="1">
      <alignment horizontal="left"/>
    </xf>
    <xf numFmtId="3" fontId="26" fillId="0" borderId="30" xfId="0" quotePrefix="1" applyNumberFormat="1" applyFont="1" applyBorder="1" applyAlignment="1">
      <alignment horizontal="left"/>
    </xf>
    <xf numFmtId="3" fontId="26" fillId="0" borderId="65" xfId="0" quotePrefix="1" applyNumberFormat="1" applyFont="1" applyBorder="1" applyAlignment="1">
      <alignment horizontal="left"/>
    </xf>
    <xf numFmtId="0" fontId="44" fillId="0" borderId="34" xfId="0" applyFont="1" applyBorder="1"/>
    <xf numFmtId="37" fontId="28" fillId="0" borderId="28" xfId="0" applyNumberFormat="1" applyFont="1" applyBorder="1" applyAlignment="1">
      <alignment horizontal="right"/>
    </xf>
    <xf numFmtId="37" fontId="28" fillId="0" borderId="11" xfId="0" applyNumberFormat="1" applyFont="1" applyBorder="1" applyAlignment="1">
      <alignment horizontal="right"/>
    </xf>
    <xf numFmtId="0" fontId="44" fillId="0" borderId="12" xfId="0" applyFont="1" applyBorder="1"/>
    <xf numFmtId="2" fontId="87" fillId="14" borderId="27" xfId="0" applyNumberFormat="1" applyFont="1" applyFill="1" applyBorder="1"/>
    <xf numFmtId="172" fontId="41" fillId="0" borderId="0" xfId="138" applyNumberFormat="1" applyFont="1" applyAlignment="1">
      <alignment horizontal="center"/>
    </xf>
    <xf numFmtId="166" fontId="95" fillId="0" borderId="0" xfId="1" applyNumberFormat="1" applyFont="1"/>
    <xf numFmtId="0" fontId="76" fillId="43" borderId="7" xfId="0" applyFont="1" applyFill="1" applyBorder="1"/>
    <xf numFmtId="172" fontId="96" fillId="0" borderId="53" xfId="138" applyNumberFormat="1" applyFont="1" applyBorder="1" applyAlignment="1">
      <alignment horizontal="center"/>
    </xf>
    <xf numFmtId="17" fontId="44" fillId="23" borderId="0" xfId="0" applyNumberFormat="1" applyFont="1" applyFill="1"/>
    <xf numFmtId="3" fontId="19" fillId="45" borderId="0" xfId="0" applyNumberFormat="1" applyFont="1" applyFill="1"/>
    <xf numFmtId="3" fontId="17" fillId="45" borderId="0" xfId="0" applyNumberFormat="1" applyFont="1" applyFill="1"/>
    <xf numFmtId="0" fontId="29" fillId="0" borderId="11" xfId="0" applyFont="1" applyBorder="1" applyAlignment="1">
      <alignment horizontal="center" vertical="top" wrapText="1"/>
    </xf>
    <xf numFmtId="0" fontId="29" fillId="22" borderId="7" xfId="0" applyFont="1" applyFill="1" applyBorder="1" applyAlignment="1">
      <alignment horizontal="center" vertical="top" wrapText="1"/>
    </xf>
    <xf numFmtId="0" fontId="29" fillId="22" borderId="0" xfId="0" applyFont="1" applyFill="1" applyAlignment="1">
      <alignment horizontal="center" vertical="top" wrapText="1"/>
    </xf>
    <xf numFmtId="0" fontId="29" fillId="50" borderId="11" xfId="0" applyFont="1" applyFill="1" applyBorder="1" applyAlignment="1">
      <alignment horizontal="center" vertical="top" wrapText="1"/>
    </xf>
    <xf numFmtId="0" fontId="29" fillId="23" borderId="0" xfId="0" applyFont="1" applyFill="1" applyAlignment="1">
      <alignment horizontal="center" vertical="top" wrapText="1"/>
    </xf>
    <xf numFmtId="0" fontId="31" fillId="0" borderId="59" xfId="0" applyFont="1" applyBorder="1"/>
    <xf numFmtId="0" fontId="0" fillId="0" borderId="4" xfId="0" applyBorder="1"/>
    <xf numFmtId="0" fontId="30" fillId="0" borderId="67" xfId="0" applyFont="1" applyBorder="1" applyAlignment="1">
      <alignment vertical="center" wrapText="1"/>
    </xf>
    <xf numFmtId="0" fontId="44" fillId="0" borderId="4" xfId="0" applyFont="1" applyBorder="1" applyAlignment="1">
      <alignment vertical="center"/>
    </xf>
    <xf numFmtId="0" fontId="0" fillId="40" borderId="4" xfId="0" applyFill="1" applyBorder="1" applyAlignment="1">
      <alignment vertical="center"/>
    </xf>
    <xf numFmtId="0" fontId="0" fillId="49" borderId="4" xfId="0" applyFill="1" applyBorder="1" applyAlignment="1">
      <alignment vertical="center"/>
    </xf>
    <xf numFmtId="0" fontId="0" fillId="38" borderId="4" xfId="0" applyFill="1" applyBorder="1" applyAlignment="1">
      <alignment vertical="center"/>
    </xf>
    <xf numFmtId="0" fontId="44" fillId="38" borderId="4" xfId="0" applyFont="1" applyFill="1" applyBorder="1" applyAlignment="1">
      <alignment vertical="center"/>
    </xf>
    <xf numFmtId="0" fontId="44" fillId="40" borderId="4" xfId="0" applyFont="1" applyFill="1" applyBorder="1" applyAlignment="1">
      <alignment vertical="center"/>
    </xf>
    <xf numFmtId="0" fontId="44" fillId="45" borderId="4" xfId="0" applyFont="1" applyFill="1" applyBorder="1" applyAlignment="1">
      <alignment vertical="center"/>
    </xf>
    <xf numFmtId="0" fontId="44" fillId="48" borderId="68" xfId="0" applyFont="1" applyFill="1" applyBorder="1" applyAlignment="1">
      <alignment vertical="center"/>
    </xf>
    <xf numFmtId="0" fontId="0" fillId="40" borderId="7" xfId="0" applyFill="1" applyBorder="1" applyAlignment="1">
      <alignment vertical="center"/>
    </xf>
    <xf numFmtId="3" fontId="19" fillId="17" borderId="7" xfId="0" applyNumberFormat="1" applyFont="1" applyFill="1" applyBorder="1"/>
    <xf numFmtId="3" fontId="19" fillId="0" borderId="7" xfId="0" applyNumberFormat="1" applyFont="1" applyBorder="1"/>
    <xf numFmtId="3" fontId="19" fillId="40" borderId="7" xfId="0" applyNumberFormat="1" applyFont="1" applyFill="1" applyBorder="1"/>
    <xf numFmtId="3" fontId="19" fillId="23" borderId="7" xfId="0" applyNumberFormat="1" applyFont="1" applyFill="1" applyBorder="1"/>
    <xf numFmtId="3" fontId="17" fillId="17" borderId="7" xfId="0" applyNumberFormat="1" applyFont="1" applyFill="1" applyBorder="1"/>
    <xf numFmtId="3" fontId="17" fillId="40" borderId="7" xfId="0" applyNumberFormat="1" applyFont="1" applyFill="1" applyBorder="1"/>
    <xf numFmtId="1" fontId="0" fillId="45" borderId="0" xfId="0" applyNumberFormat="1" applyFill="1" applyAlignment="1">
      <alignment vertical="center"/>
    </xf>
    <xf numFmtId="17" fontId="44" fillId="51" borderId="7" xfId="0" applyNumberFormat="1" applyFont="1" applyFill="1" applyBorder="1"/>
    <xf numFmtId="170" fontId="0" fillId="51" borderId="7" xfId="0" applyNumberFormat="1" applyFill="1" applyBorder="1"/>
    <xf numFmtId="0" fontId="95" fillId="0" borderId="0" xfId="0" applyFont="1" applyAlignment="1">
      <alignment horizontal="center"/>
    </xf>
    <xf numFmtId="166" fontId="98" fillId="0" borderId="0" xfId="1" applyNumberFormat="1" applyFont="1"/>
    <xf numFmtId="175" fontId="98" fillId="0" borderId="0" xfId="32" applyNumberFormat="1" applyFont="1"/>
    <xf numFmtId="9" fontId="0" fillId="45" borderId="12" xfId="1" applyFont="1" applyFill="1" applyBorder="1"/>
    <xf numFmtId="9" fontId="0" fillId="45" borderId="13" xfId="1" applyFont="1" applyFill="1" applyBorder="1"/>
    <xf numFmtId="9" fontId="0" fillId="45" borderId="39" xfId="1" applyFont="1" applyFill="1" applyBorder="1"/>
    <xf numFmtId="3" fontId="70" fillId="0" borderId="0" xfId="62" applyNumberFormat="1" applyFont="1" applyAlignment="1">
      <alignment horizontal="center" vertical="center" wrapText="1"/>
    </xf>
    <xf numFmtId="3" fontId="100" fillId="0" borderId="0" xfId="62" applyNumberFormat="1" applyFont="1"/>
    <xf numFmtId="3" fontId="102" fillId="0" borderId="0" xfId="62" applyNumberFormat="1" applyFont="1"/>
    <xf numFmtId="9" fontId="95" fillId="0" borderId="28" xfId="0" applyNumberFormat="1" applyFont="1" applyBorder="1"/>
    <xf numFmtId="0" fontId="95" fillId="0" borderId="28" xfId="0" applyFont="1" applyBorder="1"/>
    <xf numFmtId="0" fontId="79" fillId="0" borderId="12" xfId="0" applyFont="1" applyBorder="1"/>
    <xf numFmtId="0" fontId="64" fillId="0" borderId="0" xfId="0" applyFont="1"/>
    <xf numFmtId="17" fontId="17" fillId="0" borderId="12" xfId="0" applyNumberFormat="1" applyFont="1" applyBorder="1" applyAlignment="1">
      <alignment horizontal="center"/>
    </xf>
    <xf numFmtId="2" fontId="44" fillId="14" borderId="25" xfId="0" applyNumberFormat="1" applyFont="1" applyFill="1" applyBorder="1"/>
    <xf numFmtId="2" fontId="44" fillId="14" borderId="69" xfId="0" applyNumberFormat="1" applyFont="1" applyFill="1" applyBorder="1"/>
    <xf numFmtId="2" fontId="44" fillId="14" borderId="25" xfId="1" applyNumberFormat="1" applyFont="1" applyFill="1" applyBorder="1"/>
    <xf numFmtId="2" fontId="0" fillId="15" borderId="25" xfId="0" applyNumberFormat="1" applyFill="1" applyBorder="1"/>
    <xf numFmtId="2" fontId="0" fillId="16" borderId="25" xfId="0" applyNumberFormat="1" applyFill="1" applyBorder="1"/>
    <xf numFmtId="2" fontId="0" fillId="17" borderId="25" xfId="0" applyNumberFormat="1" applyFill="1" applyBorder="1"/>
    <xf numFmtId="2" fontId="44" fillId="13" borderId="25" xfId="0" applyNumberFormat="1" applyFont="1" applyFill="1" applyBorder="1"/>
    <xf numFmtId="2" fontId="17" fillId="18" borderId="25" xfId="0" applyNumberFormat="1" applyFont="1" applyFill="1" applyBorder="1"/>
    <xf numFmtId="0" fontId="0" fillId="16" borderId="25" xfId="0" applyFill="1" applyBorder="1"/>
    <xf numFmtId="0" fontId="0" fillId="17" borderId="25" xfId="0" applyFill="1" applyBorder="1"/>
    <xf numFmtId="0" fontId="44" fillId="13" borderId="25" xfId="0" applyFont="1" applyFill="1" applyBorder="1"/>
    <xf numFmtId="2" fontId="44" fillId="13" borderId="59" xfId="0" applyNumberFormat="1" applyFont="1" applyFill="1" applyBorder="1"/>
    <xf numFmtId="170" fontId="0" fillId="55" borderId="0" xfId="137" applyNumberFormat="1" applyFont="1" applyFill="1"/>
    <xf numFmtId="170" fontId="0" fillId="0" borderId="0" xfId="137" applyNumberFormat="1" applyFont="1"/>
    <xf numFmtId="170" fontId="0" fillId="53" borderId="0" xfId="137" applyNumberFormat="1" applyFont="1" applyFill="1"/>
    <xf numFmtId="170" fontId="0" fillId="40" borderId="0" xfId="137" applyNumberFormat="1" applyFont="1" applyFill="1"/>
    <xf numFmtId="170" fontId="0" fillId="23" borderId="0" xfId="137" applyNumberFormat="1" applyFont="1" applyFill="1"/>
    <xf numFmtId="170" fontId="44" fillId="0" borderId="0" xfId="137" applyNumberFormat="1" applyFont="1" applyFill="1"/>
    <xf numFmtId="37" fontId="28" fillId="21" borderId="0" xfId="0" applyNumberFormat="1" applyFont="1" applyFill="1" applyAlignment="1">
      <alignment horizontal="right"/>
    </xf>
    <xf numFmtId="37" fontId="40" fillId="0" borderId="0" xfId="0" applyNumberFormat="1" applyFont="1" applyAlignment="1">
      <alignment horizontal="right"/>
    </xf>
    <xf numFmtId="37" fontId="40" fillId="53" borderId="0" xfId="0" applyNumberFormat="1" applyFont="1" applyFill="1" applyAlignment="1">
      <alignment horizontal="right"/>
    </xf>
    <xf numFmtId="3" fontId="27" fillId="53" borderId="0" xfId="0" applyNumberFormat="1" applyFont="1" applyFill="1"/>
    <xf numFmtId="9" fontId="44" fillId="23" borderId="0" xfId="1" applyFont="1" applyFill="1" applyBorder="1"/>
    <xf numFmtId="3" fontId="103" fillId="40" borderId="0" xfId="0" applyNumberFormat="1" applyFont="1" applyFill="1"/>
    <xf numFmtId="168" fontId="44" fillId="37" borderId="7" xfId="0" applyNumberFormat="1" applyFont="1" applyFill="1" applyBorder="1"/>
    <xf numFmtId="168" fontId="0" fillId="0" borderId="7" xfId="0" applyNumberFormat="1" applyBorder="1"/>
    <xf numFmtId="168" fontId="0" fillId="0" borderId="49" xfId="0" applyNumberFormat="1" applyBorder="1"/>
    <xf numFmtId="168" fontId="44" fillId="56" borderId="52" xfId="0" applyNumberFormat="1" applyFont="1" applyFill="1" applyBorder="1"/>
    <xf numFmtId="168" fontId="0" fillId="56" borderId="52" xfId="0" applyNumberFormat="1" applyFill="1" applyBorder="1"/>
    <xf numFmtId="178" fontId="44" fillId="56" borderId="52" xfId="0" applyNumberFormat="1" applyFont="1" applyFill="1" applyBorder="1"/>
    <xf numFmtId="168" fontId="0" fillId="56" borderId="70" xfId="0" applyNumberFormat="1" applyFill="1" applyBorder="1"/>
    <xf numFmtId="17" fontId="4" fillId="0" borderId="69" xfId="0" applyNumberFormat="1" applyFont="1" applyBorder="1"/>
    <xf numFmtId="171" fontId="2" fillId="0" borderId="3" xfId="42" applyNumberFormat="1" applyFont="1" applyFill="1" applyBorder="1" applyAlignment="1">
      <alignment horizontal="center"/>
    </xf>
    <xf numFmtId="2" fontId="44" fillId="14" borderId="7" xfId="0" applyNumberFormat="1" applyFont="1" applyFill="1" applyBorder="1"/>
    <xf numFmtId="2" fontId="0" fillId="15" borderId="7" xfId="0" applyNumberFormat="1" applyFill="1" applyBorder="1"/>
    <xf numFmtId="2" fontId="0" fillId="16" borderId="7" xfId="0" applyNumberFormat="1" applyFill="1" applyBorder="1"/>
    <xf numFmtId="2" fontId="0" fillId="17" borderId="7" xfId="0" applyNumberFormat="1" applyFill="1" applyBorder="1"/>
    <xf numFmtId="2" fontId="44" fillId="13" borderId="7" xfId="0" applyNumberFormat="1" applyFont="1" applyFill="1" applyBorder="1"/>
    <xf numFmtId="2" fontId="17" fillId="18" borderId="7" xfId="0" applyNumberFormat="1" applyFont="1" applyFill="1" applyBorder="1"/>
    <xf numFmtId="1" fontId="60" fillId="36" borderId="0" xfId="24" quotePrefix="1" applyNumberFormat="1" applyFont="1" applyFill="1"/>
    <xf numFmtId="1" fontId="60" fillId="23" borderId="0" xfId="24" applyNumberFormat="1" applyFont="1" applyFill="1"/>
    <xf numFmtId="165" fontId="0" fillId="36" borderId="0" xfId="0" applyNumberFormat="1" applyFill="1"/>
    <xf numFmtId="3" fontId="99" fillId="19" borderId="0" xfId="25" applyNumberFormat="1" applyFont="1" applyFill="1" applyBorder="1" applyAlignment="1"/>
    <xf numFmtId="3" fontId="99" fillId="0" borderId="0" xfId="25" applyNumberFormat="1" applyFont="1" applyFill="1" applyBorder="1" applyAlignment="1"/>
    <xf numFmtId="3" fontId="101" fillId="0" borderId="0" xfId="25" applyNumberFormat="1" applyFont="1" applyFill="1" applyBorder="1" applyAlignment="1"/>
    <xf numFmtId="3" fontId="99" fillId="19" borderId="71" xfId="25" applyNumberFormat="1" applyFont="1" applyFill="1" applyBorder="1" applyAlignment="1"/>
    <xf numFmtId="3" fontId="99" fillId="19" borderId="43" xfId="25" applyNumberFormat="1" applyFont="1" applyFill="1" applyBorder="1" applyAlignment="1"/>
    <xf numFmtId="3" fontId="70" fillId="0" borderId="52" xfId="62" applyNumberFormat="1" applyFont="1" applyBorder="1" applyAlignment="1">
      <alignment horizontal="center" vertical="center" wrapText="1"/>
    </xf>
    <xf numFmtId="3" fontId="99" fillId="19" borderId="52" xfId="25" applyNumberFormat="1" applyFont="1" applyFill="1" applyBorder="1" applyAlignment="1"/>
    <xf numFmtId="3" fontId="100" fillId="0" borderId="52" xfId="62" applyNumberFormat="1" applyFont="1" applyBorder="1"/>
    <xf numFmtId="3" fontId="99" fillId="0" borderId="52" xfId="25" applyNumberFormat="1" applyFont="1" applyFill="1" applyBorder="1" applyAlignment="1"/>
    <xf numFmtId="3" fontId="101" fillId="0" borderId="52" xfId="25" applyNumberFormat="1" applyFont="1" applyFill="1" applyBorder="1" applyAlignment="1"/>
    <xf numFmtId="3" fontId="102" fillId="0" borderId="52" xfId="62" applyNumberFormat="1" applyFont="1" applyBorder="1"/>
    <xf numFmtId="9" fontId="44" fillId="45" borderId="12" xfId="1" applyFont="1" applyFill="1" applyBorder="1"/>
    <xf numFmtId="9" fontId="0" fillId="45" borderId="0" xfId="1" applyFont="1" applyFill="1" applyBorder="1"/>
    <xf numFmtId="0" fontId="29" fillId="22" borderId="72" xfId="0" applyFont="1" applyFill="1" applyBorder="1" applyAlignment="1">
      <alignment horizontal="center" vertical="top" wrapText="1"/>
    </xf>
    <xf numFmtId="0" fontId="29" fillId="22" borderId="73" xfId="0" applyFont="1" applyFill="1" applyBorder="1" applyAlignment="1">
      <alignment horizontal="center" vertical="top" wrapText="1"/>
    </xf>
    <xf numFmtId="0" fontId="29" fillId="26" borderId="74" xfId="0" applyFont="1" applyFill="1" applyBorder="1" applyAlignment="1">
      <alignment horizontal="center" vertical="top" wrapText="1"/>
    </xf>
    <xf numFmtId="9" fontId="0" fillId="57" borderId="12" xfId="1" applyFont="1" applyFill="1" applyBorder="1"/>
    <xf numFmtId="9" fontId="0" fillId="57" borderId="13" xfId="1" applyFont="1" applyFill="1" applyBorder="1"/>
    <xf numFmtId="3" fontId="99" fillId="57" borderId="0" xfId="25" applyNumberFormat="1" applyFont="1" applyFill="1" applyBorder="1" applyAlignment="1"/>
    <xf numFmtId="0" fontId="0" fillId="57" borderId="0" xfId="0" applyFill="1"/>
    <xf numFmtId="3" fontId="70" fillId="57" borderId="0" xfId="62" applyNumberFormat="1" applyFont="1" applyFill="1" applyAlignment="1">
      <alignment horizontal="center" vertical="center" wrapText="1"/>
    </xf>
    <xf numFmtId="3" fontId="100" fillId="57" borderId="0" xfId="62" applyNumberFormat="1" applyFont="1" applyFill="1"/>
    <xf numFmtId="3" fontId="101" fillId="57" borderId="0" xfId="25" applyNumberFormat="1" applyFont="1" applyFill="1" applyBorder="1" applyAlignment="1"/>
    <xf numFmtId="3" fontId="102" fillId="57" borderId="0" xfId="62" applyNumberFormat="1" applyFont="1" applyFill="1"/>
    <xf numFmtId="166" fontId="0" fillId="0" borderId="0" xfId="1" applyNumberFormat="1" applyFont="1"/>
    <xf numFmtId="166" fontId="44" fillId="0" borderId="0" xfId="1" applyNumberFormat="1" applyFont="1"/>
    <xf numFmtId="166" fontId="104" fillId="0" borderId="0" xfId="1" applyNumberFormat="1" applyFont="1"/>
    <xf numFmtId="166" fontId="104" fillId="23" borderId="0" xfId="1" applyNumberFormat="1" applyFont="1" applyFill="1"/>
    <xf numFmtId="0" fontId="0" fillId="57" borderId="12" xfId="0" applyFill="1" applyBorder="1" applyAlignment="1">
      <alignment horizontal="center"/>
    </xf>
    <xf numFmtId="0" fontId="0" fillId="39" borderId="5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45" borderId="12" xfId="0" applyFill="1" applyBorder="1" applyAlignment="1">
      <alignment horizontal="center"/>
    </xf>
    <xf numFmtId="0" fontId="28" fillId="21" borderId="5" xfId="0" applyFont="1" applyFill="1" applyBorder="1" applyAlignment="1">
      <alignment horizontal="center" vertical="top" wrapText="1"/>
    </xf>
    <xf numFmtId="0" fontId="28" fillId="21" borderId="12" xfId="0" applyFont="1" applyFill="1" applyBorder="1" applyAlignment="1">
      <alignment horizontal="center" vertical="top" wrapText="1"/>
    </xf>
    <xf numFmtId="0" fontId="28" fillId="21" borderId="1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4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4" fillId="0" borderId="7" xfId="0" applyFont="1" applyBorder="1" applyAlignment="1">
      <alignment horizontal="center"/>
    </xf>
    <xf numFmtId="0" fontId="64" fillId="0" borderId="52" xfId="0" applyFont="1" applyBorder="1" applyAlignment="1">
      <alignment horizontal="center"/>
    </xf>
    <xf numFmtId="0" fontId="28" fillId="21" borderId="55" xfId="0" applyFont="1" applyFill="1" applyBorder="1" applyAlignment="1">
      <alignment horizontal="center" vertical="top" wrapText="1"/>
    </xf>
    <xf numFmtId="0" fontId="28" fillId="21" borderId="50" xfId="0" applyFont="1" applyFill="1" applyBorder="1" applyAlignment="1">
      <alignment horizontal="center" vertical="top" wrapText="1"/>
    </xf>
    <xf numFmtId="0" fontId="28" fillId="21" borderId="66" xfId="0" applyFont="1" applyFill="1" applyBorder="1" applyAlignment="1">
      <alignment horizontal="center" vertical="top" wrapText="1"/>
    </xf>
    <xf numFmtId="0" fontId="84" fillId="45" borderId="56" xfId="32" applyNumberFormat="1" applyFont="1" applyFill="1" applyBorder="1" applyAlignment="1">
      <alignment horizontal="center"/>
    </xf>
    <xf numFmtId="0" fontId="84" fillId="45" borderId="4" xfId="32" applyNumberFormat="1" applyFont="1" applyFill="1" applyBorder="1" applyAlignment="1">
      <alignment horizontal="center"/>
    </xf>
    <xf numFmtId="0" fontId="84" fillId="45" borderId="57" xfId="32" applyNumberFormat="1" applyFont="1" applyFill="1" applyBorder="1" applyAlignment="1">
      <alignment horizontal="center"/>
    </xf>
    <xf numFmtId="0" fontId="87" fillId="48" borderId="4" xfId="0" applyFont="1" applyFill="1" applyBorder="1" applyAlignment="1">
      <alignment horizontal="center"/>
    </xf>
    <xf numFmtId="0" fontId="0" fillId="47" borderId="4" xfId="0" applyFill="1" applyBorder="1" applyAlignment="1">
      <alignment horizontal="center"/>
    </xf>
    <xf numFmtId="0" fontId="83" fillId="0" borderId="4" xfId="0" applyFont="1" applyBorder="1" applyAlignment="1">
      <alignment horizontal="center"/>
    </xf>
    <xf numFmtId="0" fontId="95" fillId="0" borderId="0" xfId="0" applyFont="1" applyAlignment="1">
      <alignment horizontal="center"/>
    </xf>
    <xf numFmtId="0" fontId="44" fillId="38" borderId="50" xfId="0" applyFont="1" applyFill="1" applyBorder="1" applyAlignment="1">
      <alignment horizontal="right"/>
    </xf>
    <xf numFmtId="0" fontId="44" fillId="0" borderId="55" xfId="0" applyFont="1" applyBorder="1" applyAlignment="1">
      <alignment horizontal="center"/>
    </xf>
    <xf numFmtId="0" fontId="44" fillId="0" borderId="50" xfId="0" applyFont="1" applyBorder="1" applyAlignment="1">
      <alignment horizontal="center"/>
    </xf>
    <xf numFmtId="0" fontId="44" fillId="38" borderId="50" xfId="0" applyFont="1" applyFill="1" applyBorder="1" applyAlignment="1">
      <alignment horizontal="center"/>
    </xf>
    <xf numFmtId="0" fontId="44" fillId="23" borderId="50" xfId="0" applyFont="1" applyFill="1" applyBorder="1" applyAlignment="1">
      <alignment horizontal="right"/>
    </xf>
    <xf numFmtId="0" fontId="105" fillId="16" borderId="0" xfId="0" applyFont="1" applyFill="1"/>
    <xf numFmtId="0" fontId="105" fillId="16" borderId="0" xfId="31" applyFont="1" applyFill="1" applyAlignment="1">
      <alignment vertical="top"/>
    </xf>
  </cellXfs>
  <cellStyles count="139">
    <cellStyle name="Accent1 - 20%" xfId="3" xr:uid="{00000000-0005-0000-0000-000000000000}"/>
    <cellStyle name="Accent1 - 40%" xfId="4" xr:uid="{00000000-0005-0000-0000-000001000000}"/>
    <cellStyle name="Accent1 - 60%" xfId="5" xr:uid="{00000000-0005-0000-0000-000002000000}"/>
    <cellStyle name="Accent2 - 20%" xfId="6" xr:uid="{00000000-0005-0000-0000-000003000000}"/>
    <cellStyle name="Accent2 - 40%" xfId="7" xr:uid="{00000000-0005-0000-0000-000004000000}"/>
    <cellStyle name="Accent2 - 60%" xfId="8" xr:uid="{00000000-0005-0000-0000-000005000000}"/>
    <cellStyle name="Accent3 - 20%" xfId="9" xr:uid="{00000000-0005-0000-0000-000006000000}"/>
    <cellStyle name="Accent3 - 40%" xfId="10" xr:uid="{00000000-0005-0000-0000-000007000000}"/>
    <cellStyle name="Accent3 - 60%" xfId="11" xr:uid="{00000000-0005-0000-0000-000008000000}"/>
    <cellStyle name="Accent4 - 20%" xfId="12" xr:uid="{00000000-0005-0000-0000-000009000000}"/>
    <cellStyle name="Accent4 - 40%" xfId="13" xr:uid="{00000000-0005-0000-0000-00000A000000}"/>
    <cellStyle name="Accent4 - 60%" xfId="14" xr:uid="{00000000-0005-0000-0000-00000B000000}"/>
    <cellStyle name="Accent5 - 20%" xfId="15" xr:uid="{00000000-0005-0000-0000-00000C000000}"/>
    <cellStyle name="Accent5 - 40%" xfId="16" xr:uid="{00000000-0005-0000-0000-00000D000000}"/>
    <cellStyle name="Accent5 - 60%" xfId="17" xr:uid="{00000000-0005-0000-0000-00000E000000}"/>
    <cellStyle name="Accent6 - 20%" xfId="18" xr:uid="{00000000-0005-0000-0000-00000F000000}"/>
    <cellStyle name="Accent6 - 40%" xfId="19" xr:uid="{00000000-0005-0000-0000-000010000000}"/>
    <cellStyle name="Accent6 - 60%" xfId="20" xr:uid="{00000000-0005-0000-0000-000011000000}"/>
    <cellStyle name="Comma" xfId="32" builtinId="3"/>
    <cellStyle name="Comma 16" xfId="37" xr:uid="{00000000-0005-0000-0000-000013000000}"/>
    <cellStyle name="Comma 16 2" xfId="38" xr:uid="{00000000-0005-0000-0000-000014000000}"/>
    <cellStyle name="Comma 19" xfId="39" xr:uid="{00000000-0005-0000-0000-000015000000}"/>
    <cellStyle name="Comma 19 2" xfId="40" xr:uid="{00000000-0005-0000-0000-000016000000}"/>
    <cellStyle name="Comma 2" xfId="36" xr:uid="{00000000-0005-0000-0000-000017000000}"/>
    <cellStyle name="Comma 2 2" xfId="42" xr:uid="{00000000-0005-0000-0000-000018000000}"/>
    <cellStyle name="Comma 2 3" xfId="43" xr:uid="{00000000-0005-0000-0000-000019000000}"/>
    <cellStyle name="Comma 2 4" xfId="44" xr:uid="{00000000-0005-0000-0000-00001A000000}"/>
    <cellStyle name="Comma 2 5" xfId="45" xr:uid="{00000000-0005-0000-0000-00001B000000}"/>
    <cellStyle name="Comma 2 6" xfId="46" xr:uid="{00000000-0005-0000-0000-00001C000000}"/>
    <cellStyle name="Comma 2 7" xfId="47" xr:uid="{00000000-0005-0000-0000-00001D000000}"/>
    <cellStyle name="Comma 2 8" xfId="41" xr:uid="{00000000-0005-0000-0000-00001E000000}"/>
    <cellStyle name="Comma 22" xfId="48" xr:uid="{00000000-0005-0000-0000-00001F000000}"/>
    <cellStyle name="Comma 22 2" xfId="49" xr:uid="{00000000-0005-0000-0000-000020000000}"/>
    <cellStyle name="Comma 25" xfId="50" xr:uid="{00000000-0005-0000-0000-000021000000}"/>
    <cellStyle name="Comma 25 2" xfId="51" xr:uid="{00000000-0005-0000-0000-000022000000}"/>
    <cellStyle name="Comma 28" xfId="52" xr:uid="{00000000-0005-0000-0000-000023000000}"/>
    <cellStyle name="Comma 28 2" xfId="53" xr:uid="{00000000-0005-0000-0000-000024000000}"/>
    <cellStyle name="Comma 3" xfId="133" xr:uid="{E04813F9-D647-49E7-A6F8-9A0441ACB3F0}"/>
    <cellStyle name="Comma 3 4 2" xfId="135" xr:uid="{354111EB-21DF-4EEB-B5B4-2A49CEC89267}"/>
    <cellStyle name="Comma 31" xfId="54" xr:uid="{00000000-0005-0000-0000-000025000000}"/>
    <cellStyle name="Comma 31 2" xfId="55" xr:uid="{00000000-0005-0000-0000-000026000000}"/>
    <cellStyle name="Comma 34" xfId="56" xr:uid="{00000000-0005-0000-0000-000027000000}"/>
    <cellStyle name="Comma 34 2" xfId="57" xr:uid="{00000000-0005-0000-0000-000028000000}"/>
    <cellStyle name="Comma 4" xfId="134" xr:uid="{F5BC5EB1-592C-4C03-A013-23DD1E3A8C7F}"/>
    <cellStyle name="Comma 40" xfId="58" xr:uid="{00000000-0005-0000-0000-000029000000}"/>
    <cellStyle name="Comma 40 2" xfId="59" xr:uid="{00000000-0005-0000-0000-00002A000000}"/>
    <cellStyle name="Comma 43" xfId="60" xr:uid="{00000000-0005-0000-0000-00002B000000}"/>
    <cellStyle name="Comma 43 2" xfId="61" xr:uid="{00000000-0005-0000-0000-00002C000000}"/>
    <cellStyle name="Comma 5" xfId="137" xr:uid="{D2CD4F11-1922-40F4-9855-25FF42C52848}"/>
    <cellStyle name="Comma 8" xfId="123" xr:uid="{00000000-0005-0000-0000-00002D000000}"/>
    <cellStyle name="Emphasis 1" xfId="21" xr:uid="{00000000-0005-0000-0000-00002E000000}"/>
    <cellStyle name="Emphasis 2" xfId="22" xr:uid="{00000000-0005-0000-0000-00002F000000}"/>
    <cellStyle name="Emphasis 3" xfId="23" xr:uid="{00000000-0005-0000-0000-000030000000}"/>
    <cellStyle name="Normal" xfId="0" builtinId="0"/>
    <cellStyle name="Normal 10" xfId="124" xr:uid="{00000000-0005-0000-0000-000032000000}"/>
    <cellStyle name="Normal 16" xfId="125" xr:uid="{00000000-0005-0000-0000-000033000000}"/>
    <cellStyle name="Normal 2" xfId="24" xr:uid="{00000000-0005-0000-0000-000034000000}"/>
    <cellStyle name="Normal 2 10" xfId="62" xr:uid="{00000000-0005-0000-0000-000035000000}"/>
    <cellStyle name="Normal 2 11" xfId="63" xr:uid="{00000000-0005-0000-0000-000036000000}"/>
    <cellStyle name="Normal 2 12" xfId="64" xr:uid="{00000000-0005-0000-0000-000037000000}"/>
    <cellStyle name="Normal 2 13" xfId="65" xr:uid="{00000000-0005-0000-0000-000038000000}"/>
    <cellStyle name="Normal 2 14" xfId="66" xr:uid="{00000000-0005-0000-0000-000039000000}"/>
    <cellStyle name="Normal 2 15" xfId="67" xr:uid="{00000000-0005-0000-0000-00003A000000}"/>
    <cellStyle name="Normal 2 16" xfId="68" xr:uid="{00000000-0005-0000-0000-00003B000000}"/>
    <cellStyle name="Normal 2 17" xfId="69" xr:uid="{00000000-0005-0000-0000-00003C000000}"/>
    <cellStyle name="Normal 2 18" xfId="70" xr:uid="{00000000-0005-0000-0000-00003D000000}"/>
    <cellStyle name="Normal 2 19" xfId="71" xr:uid="{00000000-0005-0000-0000-00003E000000}"/>
    <cellStyle name="Normal 2 2" xfId="35" xr:uid="{00000000-0005-0000-0000-00003F000000}"/>
    <cellStyle name="Normal 2 2 2" xfId="72" xr:uid="{00000000-0005-0000-0000-000040000000}"/>
    <cellStyle name="Normal 2 20" xfId="73" xr:uid="{00000000-0005-0000-0000-000041000000}"/>
    <cellStyle name="Normal 2 21" xfId="74" xr:uid="{00000000-0005-0000-0000-000042000000}"/>
    <cellStyle name="Normal 2 22" xfId="75" xr:uid="{00000000-0005-0000-0000-000043000000}"/>
    <cellStyle name="Normal 2 23" xfId="76" xr:uid="{00000000-0005-0000-0000-000044000000}"/>
    <cellStyle name="Normal 2 24" xfId="77" xr:uid="{00000000-0005-0000-0000-000045000000}"/>
    <cellStyle name="Normal 2 25" xfId="78" xr:uid="{00000000-0005-0000-0000-000046000000}"/>
    <cellStyle name="Normal 2 26" xfId="79" xr:uid="{00000000-0005-0000-0000-000047000000}"/>
    <cellStyle name="Normal 2 27" xfId="80" xr:uid="{00000000-0005-0000-0000-000048000000}"/>
    <cellStyle name="Normal 2 28" xfId="81" xr:uid="{00000000-0005-0000-0000-000049000000}"/>
    <cellStyle name="Normal 2 29" xfId="82" xr:uid="{00000000-0005-0000-0000-00004A000000}"/>
    <cellStyle name="Normal 2 3" xfId="83" xr:uid="{00000000-0005-0000-0000-00004B000000}"/>
    <cellStyle name="Normal 2 30" xfId="84" xr:uid="{00000000-0005-0000-0000-00004C000000}"/>
    <cellStyle name="Normal 2 31" xfId="85" xr:uid="{00000000-0005-0000-0000-00004D000000}"/>
    <cellStyle name="Normal 2 32" xfId="86" xr:uid="{00000000-0005-0000-0000-00004E000000}"/>
    <cellStyle name="Normal 2 33" xfId="87" xr:uid="{00000000-0005-0000-0000-00004F000000}"/>
    <cellStyle name="Normal 2 34" xfId="88" xr:uid="{00000000-0005-0000-0000-000050000000}"/>
    <cellStyle name="Normal 2 35" xfId="89" xr:uid="{00000000-0005-0000-0000-000051000000}"/>
    <cellStyle name="Normal 2 36" xfId="90" xr:uid="{00000000-0005-0000-0000-000052000000}"/>
    <cellStyle name="Normal 2 37" xfId="91" xr:uid="{00000000-0005-0000-0000-000053000000}"/>
    <cellStyle name="Normal 2 38" xfId="92" xr:uid="{00000000-0005-0000-0000-000054000000}"/>
    <cellStyle name="Normal 2 39" xfId="93" xr:uid="{00000000-0005-0000-0000-000055000000}"/>
    <cellStyle name="Normal 2 4" xfId="94" xr:uid="{00000000-0005-0000-0000-000056000000}"/>
    <cellStyle name="Normal 2 40" xfId="95" xr:uid="{00000000-0005-0000-0000-000057000000}"/>
    <cellStyle name="Normal 2 41" xfId="96" xr:uid="{00000000-0005-0000-0000-000058000000}"/>
    <cellStyle name="Normal 2 42" xfId="97" xr:uid="{00000000-0005-0000-0000-000059000000}"/>
    <cellStyle name="Normal 2 43" xfId="98" xr:uid="{00000000-0005-0000-0000-00005A000000}"/>
    <cellStyle name="Normal 2 44" xfId="99" xr:uid="{00000000-0005-0000-0000-00005B000000}"/>
    <cellStyle name="Normal 2 45" xfId="100" xr:uid="{00000000-0005-0000-0000-00005C000000}"/>
    <cellStyle name="Normal 2 46" xfId="101" xr:uid="{00000000-0005-0000-0000-00005D000000}"/>
    <cellStyle name="Normal 2 47" xfId="102" xr:uid="{00000000-0005-0000-0000-00005E000000}"/>
    <cellStyle name="Normal 2 48" xfId="103" xr:uid="{00000000-0005-0000-0000-00005F000000}"/>
    <cellStyle name="Normal 2 49" xfId="104" xr:uid="{00000000-0005-0000-0000-000060000000}"/>
    <cellStyle name="Normal 2 5" xfId="105" xr:uid="{00000000-0005-0000-0000-000061000000}"/>
    <cellStyle name="Normal 2 50" xfId="106" xr:uid="{00000000-0005-0000-0000-000062000000}"/>
    <cellStyle name="Normal 2 51" xfId="107" xr:uid="{00000000-0005-0000-0000-000063000000}"/>
    <cellStyle name="Normal 2 52" xfId="108" xr:uid="{00000000-0005-0000-0000-000064000000}"/>
    <cellStyle name="Normal 2 53" xfId="109" xr:uid="{00000000-0005-0000-0000-000065000000}"/>
    <cellStyle name="Normal 2 54" xfId="110" xr:uid="{00000000-0005-0000-0000-000066000000}"/>
    <cellStyle name="Normal 2 55" xfId="111" xr:uid="{00000000-0005-0000-0000-000067000000}"/>
    <cellStyle name="Normal 2 56" xfId="112" xr:uid="{00000000-0005-0000-0000-000068000000}"/>
    <cellStyle name="Normal 2 57" xfId="113" xr:uid="{00000000-0005-0000-0000-000069000000}"/>
    <cellStyle name="Normal 2 58" xfId="114" xr:uid="{00000000-0005-0000-0000-00006A000000}"/>
    <cellStyle name="Normal 2 59" xfId="115" xr:uid="{00000000-0005-0000-0000-00006B000000}"/>
    <cellStyle name="Normal 2 6" xfId="116" xr:uid="{00000000-0005-0000-0000-00006C000000}"/>
    <cellStyle name="Normal 2 7" xfId="117" xr:uid="{00000000-0005-0000-0000-00006D000000}"/>
    <cellStyle name="Normal 2 8" xfId="118" xr:uid="{00000000-0005-0000-0000-00006E000000}"/>
    <cellStyle name="Normal 2 9" xfId="119" xr:uid="{00000000-0005-0000-0000-00006F000000}"/>
    <cellStyle name="Normal 20" xfId="126" xr:uid="{00000000-0005-0000-0000-000070000000}"/>
    <cellStyle name="Normal 21" xfId="127" xr:uid="{00000000-0005-0000-0000-000071000000}"/>
    <cellStyle name="Normal 29" xfId="128" xr:uid="{00000000-0005-0000-0000-000072000000}"/>
    <cellStyle name="Normal 3" xfId="2" xr:uid="{00000000-0005-0000-0000-000073000000}"/>
    <cellStyle name="Normal 38" xfId="129" xr:uid="{00000000-0005-0000-0000-000074000000}"/>
    <cellStyle name="Normal 4" xfId="121" xr:uid="{00000000-0005-0000-0000-000075000000}"/>
    <cellStyle name="Normal 4 2" xfId="138" xr:uid="{D0C52AA8-2285-46D2-996C-9F16F0F46DC6}"/>
    <cellStyle name="Normal 5" xfId="130" xr:uid="{00000000-0005-0000-0000-000076000000}"/>
    <cellStyle name="Normal 6" xfId="136" xr:uid="{26D75D11-CE58-4E32-AB97-D7BAEE03E6CF}"/>
    <cellStyle name="Normal 7" xfId="131" xr:uid="{00000000-0005-0000-0000-000077000000}"/>
    <cellStyle name="Normal 8" xfId="120" xr:uid="{00000000-0005-0000-0000-000078000000}"/>
    <cellStyle name="Normal 9" xfId="132" xr:uid="{00000000-0005-0000-0000-000079000000}"/>
    <cellStyle name="Normal_Bque &amp; Assur" xfId="122" xr:uid="{00000000-0005-0000-0000-00007A000000}"/>
    <cellStyle name="Normal_Cigare" xfId="33" xr:uid="{00000000-0005-0000-0000-00007B000000}"/>
    <cellStyle name="Normal_GDP-1" xfId="34" xr:uid="{00000000-0005-0000-0000-00007C000000}"/>
    <cellStyle name="Normal_Sheet1" xfId="31" xr:uid="{00000000-0005-0000-0000-00007D000000}"/>
    <cellStyle name="Percent" xfId="1" builtinId="5"/>
    <cellStyle name="Percent 2" xfId="25" xr:uid="{00000000-0005-0000-0000-00007F000000}"/>
    <cellStyle name="Richard" xfId="26" xr:uid="{00000000-0005-0000-0000-000080000000}"/>
    <cellStyle name="Sheet Title" xfId="27" xr:uid="{00000000-0005-0000-0000-000081000000}"/>
    <cellStyle name="ta" xfId="28" xr:uid="{00000000-0005-0000-0000-000082000000}"/>
    <cellStyle name="tabl" xfId="29" xr:uid="{00000000-0005-0000-0000-000083000000}"/>
    <cellStyle name="tableau" xfId="30" xr:uid="{00000000-0005-0000-0000-000084000000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Invisible" pivot="0" table="0" count="0" xr9:uid="{0D3D3A06-7660-42CD-ABF7-CEF0A08F5B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Mining and Quarrying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IIP_Manu'!$A$16</c:f>
              <c:strCache>
                <c:ptCount val="1"/>
                <c:pt idx="0">
                  <c:v>Mining &amp; quarrying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IIP_Manu'!$F$16:$BA$16</c:f>
              <c:numCache>
                <c:formatCode>0%</c:formatCode>
                <c:ptCount val="48"/>
                <c:pt idx="0">
                  <c:v>-3.3733570227724496E-2</c:v>
                </c:pt>
                <c:pt idx="1">
                  <c:v>3.6245815615669752E-3</c:v>
                </c:pt>
                <c:pt idx="2">
                  <c:v>-1.8257502789406854E-2</c:v>
                </c:pt>
                <c:pt idx="3">
                  <c:v>-3.0106672625106579E-2</c:v>
                </c:pt>
                <c:pt idx="4">
                  <c:v>0.11492093933657266</c:v>
                </c:pt>
                <c:pt idx="5">
                  <c:v>0.32383415310244579</c:v>
                </c:pt>
                <c:pt idx="6">
                  <c:v>0.17982155779943976</c:v>
                </c:pt>
                <c:pt idx="7">
                  <c:v>8.7709792745671811E-2</c:v>
                </c:pt>
                <c:pt idx="8">
                  <c:v>0.16454383032678233</c:v>
                </c:pt>
                <c:pt idx="9">
                  <c:v>5.7357234663738321E-2</c:v>
                </c:pt>
                <c:pt idx="10">
                  <c:v>0.70168823095954558</c:v>
                </c:pt>
                <c:pt idx="11">
                  <c:v>8.060967143479103E-2</c:v>
                </c:pt>
                <c:pt idx="12">
                  <c:v>-3.4605105871066466E-2</c:v>
                </c:pt>
                <c:pt idx="13">
                  <c:v>2.1727317734852702E-2</c:v>
                </c:pt>
                <c:pt idx="14">
                  <c:v>-0.23174209967365722</c:v>
                </c:pt>
                <c:pt idx="15">
                  <c:v>0.14535641303913827</c:v>
                </c:pt>
                <c:pt idx="16">
                  <c:v>9.823020016720041E-2</c:v>
                </c:pt>
                <c:pt idx="17">
                  <c:v>0.14719056417206033</c:v>
                </c:pt>
                <c:pt idx="18">
                  <c:v>0.19011317047365339</c:v>
                </c:pt>
                <c:pt idx="19">
                  <c:v>-1.1509842943883131E-2</c:v>
                </c:pt>
                <c:pt idx="20">
                  <c:v>0.31268959572100741</c:v>
                </c:pt>
                <c:pt idx="21">
                  <c:v>0.28867792948365345</c:v>
                </c:pt>
                <c:pt idx="22">
                  <c:v>7.62904264085007E-2</c:v>
                </c:pt>
                <c:pt idx="23">
                  <c:v>0.27118950392681129</c:v>
                </c:pt>
                <c:pt idx="24">
                  <c:v>-0.17573474053832605</c:v>
                </c:pt>
                <c:pt idx="25">
                  <c:v>-0.28321833338534241</c:v>
                </c:pt>
                <c:pt idx="26">
                  <c:v>-0.42787042548351284</c:v>
                </c:pt>
                <c:pt idx="27">
                  <c:v>-0.36766160294438199</c:v>
                </c:pt>
                <c:pt idx="28">
                  <c:v>-0.19974462953696825</c:v>
                </c:pt>
                <c:pt idx="29">
                  <c:v>0.13458450043642323</c:v>
                </c:pt>
                <c:pt idx="30">
                  <c:v>0.35368044461177228</c:v>
                </c:pt>
                <c:pt idx="31">
                  <c:v>1.2238489453673975</c:v>
                </c:pt>
                <c:pt idx="32">
                  <c:v>0.7671619912423171</c:v>
                </c:pt>
                <c:pt idx="33">
                  <c:v>-0.44524538278540848</c:v>
                </c:pt>
                <c:pt idx="34">
                  <c:v>-0.40902755175084315</c:v>
                </c:pt>
                <c:pt idx="35">
                  <c:v>-0.69558456647668487</c:v>
                </c:pt>
                <c:pt idx="36">
                  <c:v>-0.62325300458576582</c:v>
                </c:pt>
                <c:pt idx="37">
                  <c:v>0.47967993154941113</c:v>
                </c:pt>
                <c:pt idx="38">
                  <c:v>0.31915510802590408</c:v>
                </c:pt>
                <c:pt idx="39">
                  <c:v>0.20709735745230873</c:v>
                </c:pt>
                <c:pt idx="40">
                  <c:v>-8.856560754154652E-2</c:v>
                </c:pt>
                <c:pt idx="41">
                  <c:v>-0.13070012742250825</c:v>
                </c:pt>
                <c:pt idx="42">
                  <c:v>0.22655661302766794</c:v>
                </c:pt>
                <c:pt idx="43">
                  <c:v>0.86787602602021696</c:v>
                </c:pt>
                <c:pt idx="44">
                  <c:v>0.59202172249748908</c:v>
                </c:pt>
                <c:pt idx="45">
                  <c:v>0.20440864102673295</c:v>
                </c:pt>
                <c:pt idx="46">
                  <c:v>-0.19613358759697053</c:v>
                </c:pt>
                <c:pt idx="47">
                  <c:v>-0.32070473737086413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2-45CB-A90E-EB309A432D17}"/>
            </c:ext>
          </c:extLst>
        </c:ser>
        <c:ser>
          <c:idx val="1"/>
          <c:order val="1"/>
          <c:tx>
            <c:strRef>
              <c:f>'Quarterly IIP_Manu'!$A$30</c:f>
              <c:strCache>
                <c:ptCount val="1"/>
                <c:pt idx="0">
                  <c:v>Mining &amp; quarrying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IIP_Manu'!$F$30:$BA$30</c:f>
              <c:numCache>
                <c:formatCode>0%</c:formatCode>
                <c:ptCount val="48"/>
                <c:pt idx="0">
                  <c:v>-0.03</c:v>
                </c:pt>
                <c:pt idx="1">
                  <c:v>-0.02</c:v>
                </c:pt>
                <c:pt idx="2">
                  <c:v>-0.1</c:v>
                </c:pt>
                <c:pt idx="3">
                  <c:v>-0.12</c:v>
                </c:pt>
                <c:pt idx="4">
                  <c:v>0.11</c:v>
                </c:pt>
                <c:pt idx="5">
                  <c:v>0.32</c:v>
                </c:pt>
                <c:pt idx="6">
                  <c:v>0.2</c:v>
                </c:pt>
                <c:pt idx="7">
                  <c:v>0.17</c:v>
                </c:pt>
                <c:pt idx="8">
                  <c:v>0.16</c:v>
                </c:pt>
                <c:pt idx="9">
                  <c:v>0.06</c:v>
                </c:pt>
                <c:pt idx="10">
                  <c:v>0.7</c:v>
                </c:pt>
                <c:pt idx="11">
                  <c:v>0.08</c:v>
                </c:pt>
                <c:pt idx="12">
                  <c:v>-0.03</c:v>
                </c:pt>
                <c:pt idx="13">
                  <c:v>0.02</c:v>
                </c:pt>
                <c:pt idx="14">
                  <c:v>-0.23</c:v>
                </c:pt>
                <c:pt idx="15">
                  <c:v>0.15</c:v>
                </c:pt>
                <c:pt idx="16">
                  <c:v>0.12</c:v>
                </c:pt>
                <c:pt idx="17">
                  <c:v>0.27</c:v>
                </c:pt>
                <c:pt idx="18">
                  <c:v>0.02</c:v>
                </c:pt>
                <c:pt idx="19">
                  <c:v>0.04</c:v>
                </c:pt>
                <c:pt idx="20">
                  <c:v>0.17</c:v>
                </c:pt>
                <c:pt idx="21">
                  <c:v>0.06</c:v>
                </c:pt>
                <c:pt idx="22">
                  <c:v>0.24</c:v>
                </c:pt>
                <c:pt idx="23">
                  <c:v>0.33</c:v>
                </c:pt>
                <c:pt idx="24">
                  <c:v>-0.03</c:v>
                </c:pt>
                <c:pt idx="25">
                  <c:v>0.08</c:v>
                </c:pt>
                <c:pt idx="26">
                  <c:v>0.06</c:v>
                </c:pt>
                <c:pt idx="27">
                  <c:v>0.02</c:v>
                </c:pt>
                <c:pt idx="28">
                  <c:v>0.16</c:v>
                </c:pt>
                <c:pt idx="29">
                  <c:v>0.15</c:v>
                </c:pt>
                <c:pt idx="30">
                  <c:v>-0.13</c:v>
                </c:pt>
                <c:pt idx="31">
                  <c:v>-0.12</c:v>
                </c:pt>
                <c:pt idx="32">
                  <c:v>-0.26</c:v>
                </c:pt>
                <c:pt idx="33">
                  <c:v>-0.53</c:v>
                </c:pt>
                <c:pt idx="34">
                  <c:v>-0.24</c:v>
                </c:pt>
                <c:pt idx="35">
                  <c:v>-0.19</c:v>
                </c:pt>
                <c:pt idx="36">
                  <c:v>0.03</c:v>
                </c:pt>
                <c:pt idx="37">
                  <c:v>0.87</c:v>
                </c:pt>
                <c:pt idx="38">
                  <c:v>0.3</c:v>
                </c:pt>
                <c:pt idx="39">
                  <c:v>0.06</c:v>
                </c:pt>
                <c:pt idx="40">
                  <c:v>0.16</c:v>
                </c:pt>
                <c:pt idx="41">
                  <c:v>0.09</c:v>
                </c:pt>
                <c:pt idx="42">
                  <c:v>0.05</c:v>
                </c:pt>
                <c:pt idx="43">
                  <c:v>0.28000000000000003</c:v>
                </c:pt>
                <c:pt idx="44">
                  <c:v>0.15</c:v>
                </c:pt>
                <c:pt idx="45">
                  <c:v>0.20440864102673273</c:v>
                </c:pt>
                <c:pt idx="46">
                  <c:v>-0.11746327036791182</c:v>
                </c:pt>
                <c:pt idx="47">
                  <c:v>-0.30022798108944804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2-45CB-A90E-EB309A432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Manufacturing of food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IIP_Manu'!$A$17</c:f>
              <c:strCache>
                <c:ptCount val="1"/>
                <c:pt idx="0">
                  <c:v>Manufacturing of food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IIP_Manu'!$F$17:$BA$17</c:f>
              <c:numCache>
                <c:formatCode>0%</c:formatCode>
                <c:ptCount val="48"/>
                <c:pt idx="0">
                  <c:v>0.39180258255133094</c:v>
                </c:pt>
                <c:pt idx="1">
                  <c:v>0.37407450032608303</c:v>
                </c:pt>
                <c:pt idx="2">
                  <c:v>4.4846002155658038E-2</c:v>
                </c:pt>
                <c:pt idx="3">
                  <c:v>0.16707883108685162</c:v>
                </c:pt>
                <c:pt idx="4">
                  <c:v>-1.0644240851195419E-2</c:v>
                </c:pt>
                <c:pt idx="5">
                  <c:v>7.9872051562262847E-2</c:v>
                </c:pt>
                <c:pt idx="6">
                  <c:v>0.10079838664203278</c:v>
                </c:pt>
                <c:pt idx="7">
                  <c:v>-6.4863540626014071E-2</c:v>
                </c:pt>
                <c:pt idx="8">
                  <c:v>0.14949767841863171</c:v>
                </c:pt>
                <c:pt idx="9">
                  <c:v>-9.2926368041601481E-3</c:v>
                </c:pt>
                <c:pt idx="10">
                  <c:v>-5.5220084851991147E-2</c:v>
                </c:pt>
                <c:pt idx="11">
                  <c:v>0.2029402658555588</c:v>
                </c:pt>
                <c:pt idx="12">
                  <c:v>0.14877763083317586</c:v>
                </c:pt>
                <c:pt idx="13">
                  <c:v>0.29565755528713544</c:v>
                </c:pt>
                <c:pt idx="14">
                  <c:v>0.206476880585305</c:v>
                </c:pt>
                <c:pt idx="15">
                  <c:v>0.10978965797147344</c:v>
                </c:pt>
                <c:pt idx="16">
                  <c:v>0.16643093966265821</c:v>
                </c:pt>
                <c:pt idx="17">
                  <c:v>-3.0494156101996461E-2</c:v>
                </c:pt>
                <c:pt idx="18">
                  <c:v>5.3935382224031603E-2</c:v>
                </c:pt>
                <c:pt idx="19">
                  <c:v>-0.11540961045911535</c:v>
                </c:pt>
                <c:pt idx="20">
                  <c:v>-3.1548352986956352E-2</c:v>
                </c:pt>
                <c:pt idx="21">
                  <c:v>7.9951367437918197E-3</c:v>
                </c:pt>
                <c:pt idx="22">
                  <c:v>-5.2332091359517552E-2</c:v>
                </c:pt>
                <c:pt idx="23">
                  <c:v>0.38435058311244075</c:v>
                </c:pt>
                <c:pt idx="24">
                  <c:v>0.57422472953959414</c:v>
                </c:pt>
                <c:pt idx="25">
                  <c:v>0.55744692544628727</c:v>
                </c:pt>
                <c:pt idx="26">
                  <c:v>0.37197056810944695</c:v>
                </c:pt>
                <c:pt idx="27">
                  <c:v>0.14340133337499128</c:v>
                </c:pt>
                <c:pt idx="28">
                  <c:v>-0.10380313714099743</c:v>
                </c:pt>
                <c:pt idx="29">
                  <c:v>-0.10215421443549155</c:v>
                </c:pt>
                <c:pt idx="30">
                  <c:v>-0.10858960382261762</c:v>
                </c:pt>
                <c:pt idx="31">
                  <c:v>-9.2460309258317941E-2</c:v>
                </c:pt>
                <c:pt idx="32">
                  <c:v>-0.16279760811946198</c:v>
                </c:pt>
                <c:pt idx="33">
                  <c:v>-0.11057562946270538</c:v>
                </c:pt>
                <c:pt idx="34">
                  <c:v>-3.0090129449919401E-2</c:v>
                </c:pt>
                <c:pt idx="35">
                  <c:v>-0.11738441614324102</c:v>
                </c:pt>
                <c:pt idx="36">
                  <c:v>-2.188718597399042E-2</c:v>
                </c:pt>
                <c:pt idx="37">
                  <c:v>1.5598311823072919E-3</c:v>
                </c:pt>
                <c:pt idx="38">
                  <c:v>0.25485497335067087</c:v>
                </c:pt>
                <c:pt idx="39">
                  <c:v>0.46221141946486433</c:v>
                </c:pt>
                <c:pt idx="40">
                  <c:v>0.41537090904262963</c:v>
                </c:pt>
                <c:pt idx="41">
                  <c:v>0.23056334410051216</c:v>
                </c:pt>
                <c:pt idx="42">
                  <c:v>0.20323271290247891</c:v>
                </c:pt>
                <c:pt idx="43">
                  <c:v>-5.0819877115416023E-2</c:v>
                </c:pt>
                <c:pt idx="44">
                  <c:v>-0.11388961141724929</c:v>
                </c:pt>
                <c:pt idx="45">
                  <c:v>-1.9068740892499658E-2</c:v>
                </c:pt>
                <c:pt idx="46">
                  <c:v>-0.15852081834073284</c:v>
                </c:pt>
                <c:pt idx="47">
                  <c:v>-0.12940193243898346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6-4D83-88AB-84A2B6C913DD}"/>
            </c:ext>
          </c:extLst>
        </c:ser>
        <c:ser>
          <c:idx val="1"/>
          <c:order val="1"/>
          <c:tx>
            <c:strRef>
              <c:f>'Quarterly IIP_Manu'!$A$31</c:f>
              <c:strCache>
                <c:ptCount val="1"/>
                <c:pt idx="0">
                  <c:v>Manufacturing of 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IIP_Manu'!$F$31:$BA$31</c:f>
              <c:numCache>
                <c:formatCode>0%</c:formatCode>
                <c:ptCount val="48"/>
                <c:pt idx="0">
                  <c:v>0.04</c:v>
                </c:pt>
                <c:pt idx="1">
                  <c:v>0.05</c:v>
                </c:pt>
                <c:pt idx="2">
                  <c:v>-0.03</c:v>
                </c:pt>
                <c:pt idx="3">
                  <c:v>0</c:v>
                </c:pt>
                <c:pt idx="4">
                  <c:v>0.35</c:v>
                </c:pt>
                <c:pt idx="5">
                  <c:v>0.24</c:v>
                </c:pt>
                <c:pt idx="6">
                  <c:v>-0.05</c:v>
                </c:pt>
                <c:pt idx="7">
                  <c:v>-0.09</c:v>
                </c:pt>
                <c:pt idx="8">
                  <c:v>-0.01</c:v>
                </c:pt>
                <c:pt idx="9">
                  <c:v>0.05</c:v>
                </c:pt>
                <c:pt idx="10">
                  <c:v>0.09</c:v>
                </c:pt>
                <c:pt idx="11">
                  <c:v>0.1</c:v>
                </c:pt>
                <c:pt idx="12">
                  <c:v>0.06</c:v>
                </c:pt>
                <c:pt idx="13">
                  <c:v>0.02</c:v>
                </c:pt>
                <c:pt idx="14">
                  <c:v>-0.06</c:v>
                </c:pt>
                <c:pt idx="15">
                  <c:v>0.02</c:v>
                </c:pt>
                <c:pt idx="16">
                  <c:v>0.17</c:v>
                </c:pt>
                <c:pt idx="17">
                  <c:v>0.17</c:v>
                </c:pt>
                <c:pt idx="18">
                  <c:v>-0.02</c:v>
                </c:pt>
                <c:pt idx="19">
                  <c:v>0.01</c:v>
                </c:pt>
                <c:pt idx="20">
                  <c:v>0.03</c:v>
                </c:pt>
                <c:pt idx="21">
                  <c:v>0.06</c:v>
                </c:pt>
                <c:pt idx="22">
                  <c:v>0.22</c:v>
                </c:pt>
                <c:pt idx="23">
                  <c:v>0.19</c:v>
                </c:pt>
                <c:pt idx="24">
                  <c:v>0.17</c:v>
                </c:pt>
                <c:pt idx="25">
                  <c:v>0.24</c:v>
                </c:pt>
                <c:pt idx="26">
                  <c:v>0.01</c:v>
                </c:pt>
                <c:pt idx="27">
                  <c:v>0.09</c:v>
                </c:pt>
                <c:pt idx="28">
                  <c:v>-0.01</c:v>
                </c:pt>
                <c:pt idx="29">
                  <c:v>0.04</c:v>
                </c:pt>
                <c:pt idx="30">
                  <c:v>0.15</c:v>
                </c:pt>
                <c:pt idx="31">
                  <c:v>0.02</c:v>
                </c:pt>
                <c:pt idx="32">
                  <c:v>0.11</c:v>
                </c:pt>
                <c:pt idx="33">
                  <c:v>0</c:v>
                </c:pt>
                <c:pt idx="34">
                  <c:v>0.08</c:v>
                </c:pt>
                <c:pt idx="35">
                  <c:v>0.1</c:v>
                </c:pt>
                <c:pt idx="36">
                  <c:v>7.0000000000000007E-2</c:v>
                </c:pt>
                <c:pt idx="37">
                  <c:v>0.11</c:v>
                </c:pt>
                <c:pt idx="38">
                  <c:v>0.06</c:v>
                </c:pt>
                <c:pt idx="39">
                  <c:v>0.05</c:v>
                </c:pt>
                <c:pt idx="40">
                  <c:v>0.06</c:v>
                </c:pt>
                <c:pt idx="41">
                  <c:v>0.08</c:v>
                </c:pt>
                <c:pt idx="42">
                  <c:v>0.11</c:v>
                </c:pt>
                <c:pt idx="43">
                  <c:v>0.28000000000000003</c:v>
                </c:pt>
                <c:pt idx="44">
                  <c:v>0.22</c:v>
                </c:pt>
                <c:pt idx="45">
                  <c:v>-3.6647851483107563E-2</c:v>
                </c:pt>
                <c:pt idx="46">
                  <c:v>-2.0809915673199342E-2</c:v>
                </c:pt>
                <c:pt idx="47">
                  <c:v>7.088077592360742E-2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F6-4D83-88AB-84A2B6C91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Beverages</a:t>
            </a:r>
            <a:r>
              <a:rPr lang="en-US" b="1" baseline="0"/>
              <a:t> and tobacco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IIP_Manu'!$A$18</c:f>
              <c:strCache>
                <c:ptCount val="1"/>
                <c:pt idx="0">
                  <c:v>Manufacturing of beverages &amp; tobacco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IIP_Manu'!$F$18:$BA$18</c:f>
              <c:numCache>
                <c:formatCode>0%</c:formatCode>
                <c:ptCount val="48"/>
                <c:pt idx="0">
                  <c:v>0.11475738082051734</c:v>
                </c:pt>
                <c:pt idx="1">
                  <c:v>-7.2756291725868394E-3</c:v>
                </c:pt>
                <c:pt idx="2">
                  <c:v>9.3788745350558145E-2</c:v>
                </c:pt>
                <c:pt idx="3">
                  <c:v>0.17666504913259717</c:v>
                </c:pt>
                <c:pt idx="4">
                  <c:v>-5.0762992658608397E-2</c:v>
                </c:pt>
                <c:pt idx="5">
                  <c:v>8.0504752642971411E-2</c:v>
                </c:pt>
                <c:pt idx="6">
                  <c:v>3.4833858550400887E-2</c:v>
                </c:pt>
                <c:pt idx="7">
                  <c:v>-9.9418585383981295E-5</c:v>
                </c:pt>
                <c:pt idx="8">
                  <c:v>0.15761884823499117</c:v>
                </c:pt>
                <c:pt idx="9">
                  <c:v>-9.6317856183721906E-3</c:v>
                </c:pt>
                <c:pt idx="10">
                  <c:v>3.7567417372561307E-2</c:v>
                </c:pt>
                <c:pt idx="11">
                  <c:v>0.16578408555267488</c:v>
                </c:pt>
                <c:pt idx="12">
                  <c:v>0.10242267001467642</c:v>
                </c:pt>
                <c:pt idx="13">
                  <c:v>0.14467628219222251</c:v>
                </c:pt>
                <c:pt idx="14">
                  <c:v>9.9767184104123219E-2</c:v>
                </c:pt>
                <c:pt idx="15">
                  <c:v>-2.6755451383733808E-2</c:v>
                </c:pt>
                <c:pt idx="16">
                  <c:v>-1.3297201120561097E-2</c:v>
                </c:pt>
                <c:pt idx="17">
                  <c:v>2.9762495478162343E-2</c:v>
                </c:pt>
                <c:pt idx="18">
                  <c:v>1.5331041840851212E-2</c:v>
                </c:pt>
                <c:pt idx="19">
                  <c:v>-4.4186808871116923E-2</c:v>
                </c:pt>
                <c:pt idx="20">
                  <c:v>5.7180089590942229E-2</c:v>
                </c:pt>
                <c:pt idx="21">
                  <c:v>-1.9361054384796739E-2</c:v>
                </c:pt>
                <c:pt idx="22">
                  <c:v>-0.19120756185458576</c:v>
                </c:pt>
                <c:pt idx="23">
                  <c:v>-0.10873785301399774</c:v>
                </c:pt>
                <c:pt idx="24">
                  <c:v>-0.12076151029075011</c:v>
                </c:pt>
                <c:pt idx="25">
                  <c:v>-2.8520080680422E-2</c:v>
                </c:pt>
                <c:pt idx="26">
                  <c:v>0.23233821598516657</c:v>
                </c:pt>
                <c:pt idx="27">
                  <c:v>0.229239173729616</c:v>
                </c:pt>
                <c:pt idx="28">
                  <c:v>0.13180706154004262</c:v>
                </c:pt>
                <c:pt idx="29">
                  <c:v>0.35922411447861169</c:v>
                </c:pt>
                <c:pt idx="30">
                  <c:v>0.1431174233618886</c:v>
                </c:pt>
                <c:pt idx="31">
                  <c:v>0.1631552545445667</c:v>
                </c:pt>
                <c:pt idx="32">
                  <c:v>6.4971920816285333E-2</c:v>
                </c:pt>
                <c:pt idx="33">
                  <c:v>-0.27420902967996741</c:v>
                </c:pt>
                <c:pt idx="34">
                  <c:v>2.999702373047497E-2</c:v>
                </c:pt>
                <c:pt idx="35">
                  <c:v>0.10193053397653218</c:v>
                </c:pt>
                <c:pt idx="36">
                  <c:v>0.17278185667586077</c:v>
                </c:pt>
                <c:pt idx="37">
                  <c:v>0.5695112352228342</c:v>
                </c:pt>
                <c:pt idx="38">
                  <c:v>-7.6325763656431289E-2</c:v>
                </c:pt>
                <c:pt idx="39">
                  <c:v>2.9278047425186138E-2</c:v>
                </c:pt>
                <c:pt idx="40">
                  <c:v>9.7031409483182562E-2</c:v>
                </c:pt>
                <c:pt idx="41">
                  <c:v>-7.8261131007745788E-2</c:v>
                </c:pt>
                <c:pt idx="42">
                  <c:v>9.4304438835138837E-2</c:v>
                </c:pt>
                <c:pt idx="43">
                  <c:v>1.608012908891121E-2</c:v>
                </c:pt>
                <c:pt idx="44">
                  <c:v>1.9069026425868163E-2</c:v>
                </c:pt>
                <c:pt idx="45">
                  <c:v>-3.6647851483103899E-2</c:v>
                </c:pt>
                <c:pt idx="46">
                  <c:v>0.16117863838814062</c:v>
                </c:pt>
                <c:pt idx="47">
                  <c:v>6.6989055462467695E-2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A-44A2-8D7C-874B1BB753B4}"/>
            </c:ext>
          </c:extLst>
        </c:ser>
        <c:ser>
          <c:idx val="1"/>
          <c:order val="1"/>
          <c:tx>
            <c:strRef>
              <c:f>'Quarterly IIP_Manu'!$A$32</c:f>
              <c:strCache>
                <c:ptCount val="1"/>
                <c:pt idx="0">
                  <c:v>Manufacturing of beverages &amp; tobacco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IIP_Manu'!$F$32:$BA$32</c:f>
              <c:numCache>
                <c:formatCode>0%</c:formatCode>
                <c:ptCount val="48"/>
                <c:pt idx="0">
                  <c:v>0.09</c:v>
                </c:pt>
                <c:pt idx="1">
                  <c:v>0.03</c:v>
                </c:pt>
                <c:pt idx="2">
                  <c:v>0.01</c:v>
                </c:pt>
                <c:pt idx="3">
                  <c:v>0.05</c:v>
                </c:pt>
                <c:pt idx="4">
                  <c:v>0.01</c:v>
                </c:pt>
                <c:pt idx="5">
                  <c:v>0.1</c:v>
                </c:pt>
                <c:pt idx="6">
                  <c:v>0.04</c:v>
                </c:pt>
                <c:pt idx="7">
                  <c:v>0</c:v>
                </c:pt>
                <c:pt idx="8">
                  <c:v>0.11</c:v>
                </c:pt>
                <c:pt idx="9">
                  <c:v>0.02</c:v>
                </c:pt>
                <c:pt idx="10">
                  <c:v>0.05</c:v>
                </c:pt>
                <c:pt idx="11">
                  <c:v>0.12</c:v>
                </c:pt>
                <c:pt idx="12">
                  <c:v>7.0000000000000007E-2</c:v>
                </c:pt>
                <c:pt idx="13">
                  <c:v>0.09</c:v>
                </c:pt>
                <c:pt idx="14">
                  <c:v>0.08</c:v>
                </c:pt>
                <c:pt idx="15">
                  <c:v>0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0.02</c:v>
                </c:pt>
                <c:pt idx="19">
                  <c:v>0</c:v>
                </c:pt>
                <c:pt idx="20">
                  <c:v>-0.03</c:v>
                </c:pt>
                <c:pt idx="21">
                  <c:v>-0.06</c:v>
                </c:pt>
                <c:pt idx="22">
                  <c:v>-0.14000000000000001</c:v>
                </c:pt>
                <c:pt idx="23">
                  <c:v>-0.1</c:v>
                </c:pt>
                <c:pt idx="24">
                  <c:v>-7.0000000000000007E-2</c:v>
                </c:pt>
                <c:pt idx="25">
                  <c:v>-0.02</c:v>
                </c:pt>
                <c:pt idx="26">
                  <c:v>0.13</c:v>
                </c:pt>
                <c:pt idx="27">
                  <c:v>0.13</c:v>
                </c:pt>
                <c:pt idx="28">
                  <c:v>0.08</c:v>
                </c:pt>
                <c:pt idx="29">
                  <c:v>0.19</c:v>
                </c:pt>
                <c:pt idx="30">
                  <c:v>0.08</c:v>
                </c:pt>
                <c:pt idx="31">
                  <c:v>0.09</c:v>
                </c:pt>
                <c:pt idx="32">
                  <c:v>0.06</c:v>
                </c:pt>
                <c:pt idx="33">
                  <c:v>-0.13</c:v>
                </c:pt>
                <c:pt idx="34">
                  <c:v>0.04</c:v>
                </c:pt>
                <c:pt idx="35">
                  <c:v>0.08</c:v>
                </c:pt>
                <c:pt idx="36">
                  <c:v>0.04</c:v>
                </c:pt>
                <c:pt idx="37">
                  <c:v>0.09</c:v>
                </c:pt>
                <c:pt idx="38">
                  <c:v>0.03</c:v>
                </c:pt>
                <c:pt idx="39">
                  <c:v>0.08</c:v>
                </c:pt>
                <c:pt idx="40">
                  <c:v>0.12</c:v>
                </c:pt>
                <c:pt idx="41">
                  <c:v>0.14000000000000001</c:v>
                </c:pt>
                <c:pt idx="42">
                  <c:v>0.09</c:v>
                </c:pt>
                <c:pt idx="43">
                  <c:v>0.02</c:v>
                </c:pt>
                <c:pt idx="44">
                  <c:v>0.03</c:v>
                </c:pt>
                <c:pt idx="45">
                  <c:v>0.14443227832627503</c:v>
                </c:pt>
                <c:pt idx="46">
                  <c:v>0.17303941105445331</c:v>
                </c:pt>
                <c:pt idx="47">
                  <c:v>0.11955469314213363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A-44A2-8D7C-874B1BB75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Textiles, clothing &amp; leather goods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IIP_Manu'!$A$19</c:f>
              <c:strCache>
                <c:ptCount val="1"/>
                <c:pt idx="0">
                  <c:v>Manufacturing of textiles, clothing &amp; leather goods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IIP_Manu'!$F$19:$BA$19</c:f>
              <c:numCache>
                <c:formatCode>0%</c:formatCode>
                <c:ptCount val="48"/>
                <c:pt idx="0">
                  <c:v>-0.31092262974480778</c:v>
                </c:pt>
                <c:pt idx="1">
                  <c:v>0.36508982384062305</c:v>
                </c:pt>
                <c:pt idx="2">
                  <c:v>-0.53644282640096685</c:v>
                </c:pt>
                <c:pt idx="3">
                  <c:v>6.242385150146923E-2</c:v>
                </c:pt>
                <c:pt idx="4">
                  <c:v>-7.4940894324154184E-2</c:v>
                </c:pt>
                <c:pt idx="5">
                  <c:v>-0.15243327654741612</c:v>
                </c:pt>
                <c:pt idx="6">
                  <c:v>1.2090984245083538</c:v>
                </c:pt>
                <c:pt idx="7">
                  <c:v>0.53105774419859708</c:v>
                </c:pt>
                <c:pt idx="8">
                  <c:v>0.45423232267514879</c:v>
                </c:pt>
                <c:pt idx="9">
                  <c:v>0.20957546237517288</c:v>
                </c:pt>
                <c:pt idx="10">
                  <c:v>0.14284172157073005</c:v>
                </c:pt>
                <c:pt idx="11">
                  <c:v>-0.16566797671290012</c:v>
                </c:pt>
                <c:pt idx="12">
                  <c:v>6.0179370685368161E-2</c:v>
                </c:pt>
                <c:pt idx="13">
                  <c:v>-8.7369902014545531E-2</c:v>
                </c:pt>
                <c:pt idx="14">
                  <c:v>-0.33696151835922494</c:v>
                </c:pt>
                <c:pt idx="15">
                  <c:v>-3.9525427309053396E-2</c:v>
                </c:pt>
                <c:pt idx="16">
                  <c:v>0.37924413543070434</c:v>
                </c:pt>
                <c:pt idx="17">
                  <c:v>-0.13613452008484872</c:v>
                </c:pt>
                <c:pt idx="18">
                  <c:v>-4.0838616235727709E-4</c:v>
                </c:pt>
                <c:pt idx="19">
                  <c:v>0.811958888343145</c:v>
                </c:pt>
                <c:pt idx="20">
                  <c:v>0.7625900991799075</c:v>
                </c:pt>
                <c:pt idx="21">
                  <c:v>1.8550991758864535</c:v>
                </c:pt>
                <c:pt idx="22">
                  <c:v>1.9962868862812195</c:v>
                </c:pt>
                <c:pt idx="23">
                  <c:v>0.29473568924282878</c:v>
                </c:pt>
                <c:pt idx="24">
                  <c:v>1.0850828904924601</c:v>
                </c:pt>
                <c:pt idx="25">
                  <c:v>0.74347844076108593</c:v>
                </c:pt>
                <c:pt idx="26">
                  <c:v>1.3168570299849458</c:v>
                </c:pt>
                <c:pt idx="27">
                  <c:v>1.3901551536070191</c:v>
                </c:pt>
                <c:pt idx="28">
                  <c:v>0.14086629874517609</c:v>
                </c:pt>
                <c:pt idx="29">
                  <c:v>0.14328055501542614</c:v>
                </c:pt>
                <c:pt idx="30">
                  <c:v>0.26803432934304761</c:v>
                </c:pt>
                <c:pt idx="31">
                  <c:v>0.38401702016990735</c:v>
                </c:pt>
                <c:pt idx="32">
                  <c:v>0.11822690136175096</c:v>
                </c:pt>
                <c:pt idx="33">
                  <c:v>-0.52726087956673884</c:v>
                </c:pt>
                <c:pt idx="34">
                  <c:v>-0.30858682301261608</c:v>
                </c:pt>
                <c:pt idx="35">
                  <c:v>0.18976583442746842</c:v>
                </c:pt>
                <c:pt idx="36">
                  <c:v>0.11954462240558872</c:v>
                </c:pt>
                <c:pt idx="37">
                  <c:v>2.3792904008993538</c:v>
                </c:pt>
                <c:pt idx="38">
                  <c:v>0.71280205097654292</c:v>
                </c:pt>
                <c:pt idx="39">
                  <c:v>8.5134419552810314E-3</c:v>
                </c:pt>
                <c:pt idx="40">
                  <c:v>0.38570279865004942</c:v>
                </c:pt>
                <c:pt idx="41">
                  <c:v>-0.15451827589590972</c:v>
                </c:pt>
                <c:pt idx="42">
                  <c:v>0.10301616034510519</c:v>
                </c:pt>
                <c:pt idx="43">
                  <c:v>4.8982082785084868E-2</c:v>
                </c:pt>
                <c:pt idx="44">
                  <c:v>8.8881054595899789E-2</c:v>
                </c:pt>
                <c:pt idx="45">
                  <c:v>0.14443227832627525</c:v>
                </c:pt>
                <c:pt idx="46">
                  <c:v>-1.7454456048602851E-2</c:v>
                </c:pt>
                <c:pt idx="47">
                  <c:v>2.2178403604621755E-2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6-40A7-AB50-99A3345CE1B5}"/>
            </c:ext>
          </c:extLst>
        </c:ser>
        <c:ser>
          <c:idx val="1"/>
          <c:order val="1"/>
          <c:tx>
            <c:strRef>
              <c:f>'Quarterly IIP_Manu'!$A$33</c:f>
              <c:strCache>
                <c:ptCount val="1"/>
                <c:pt idx="0">
                  <c:v>Manufacturing of textiles, clothing &amp; leather goods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IIP_Manu'!$F$33:$BA$33</c:f>
              <c:numCache>
                <c:formatCode>0%</c:formatCode>
                <c:ptCount val="48"/>
                <c:pt idx="0">
                  <c:v>0.02</c:v>
                </c:pt>
                <c:pt idx="1">
                  <c:v>0.24</c:v>
                </c:pt>
                <c:pt idx="2">
                  <c:v>0.09</c:v>
                </c:pt>
                <c:pt idx="3">
                  <c:v>0</c:v>
                </c:pt>
                <c:pt idx="4">
                  <c:v>-0.8</c:v>
                </c:pt>
                <c:pt idx="5">
                  <c:v>-0.79</c:v>
                </c:pt>
                <c:pt idx="6">
                  <c:v>-0.77</c:v>
                </c:pt>
                <c:pt idx="7">
                  <c:v>-0.76</c:v>
                </c:pt>
                <c:pt idx="8">
                  <c:v>0.11</c:v>
                </c:pt>
                <c:pt idx="9">
                  <c:v>0.09</c:v>
                </c:pt>
                <c:pt idx="10">
                  <c:v>0.08</c:v>
                </c:pt>
                <c:pt idx="11">
                  <c:v>0.03</c:v>
                </c:pt>
                <c:pt idx="12">
                  <c:v>0.06</c:v>
                </c:pt>
                <c:pt idx="13">
                  <c:v>0.03</c:v>
                </c:pt>
                <c:pt idx="14">
                  <c:v>-0.01</c:v>
                </c:pt>
                <c:pt idx="15">
                  <c:v>0.04</c:v>
                </c:pt>
                <c:pt idx="16">
                  <c:v>0.12</c:v>
                </c:pt>
                <c:pt idx="17">
                  <c:v>0.06</c:v>
                </c:pt>
                <c:pt idx="18">
                  <c:v>0.06</c:v>
                </c:pt>
                <c:pt idx="19">
                  <c:v>0.15</c:v>
                </c:pt>
                <c:pt idx="20">
                  <c:v>0.31</c:v>
                </c:pt>
                <c:pt idx="21">
                  <c:v>0.57999999999999996</c:v>
                </c:pt>
                <c:pt idx="22">
                  <c:v>0.43</c:v>
                </c:pt>
                <c:pt idx="23">
                  <c:v>0.28000000000000003</c:v>
                </c:pt>
                <c:pt idx="24">
                  <c:v>0.56000000000000005</c:v>
                </c:pt>
                <c:pt idx="25">
                  <c:v>0.42</c:v>
                </c:pt>
                <c:pt idx="26">
                  <c:v>0.68</c:v>
                </c:pt>
                <c:pt idx="27">
                  <c:v>0.74</c:v>
                </c:pt>
                <c:pt idx="28">
                  <c:v>0.09</c:v>
                </c:pt>
                <c:pt idx="29">
                  <c:v>0.12</c:v>
                </c:pt>
                <c:pt idx="30">
                  <c:v>0.21</c:v>
                </c:pt>
                <c:pt idx="31">
                  <c:v>0.3</c:v>
                </c:pt>
                <c:pt idx="32">
                  <c:v>0.11</c:v>
                </c:pt>
                <c:pt idx="33">
                  <c:v>-0.13</c:v>
                </c:pt>
                <c:pt idx="34">
                  <c:v>-0.05</c:v>
                </c:pt>
                <c:pt idx="35">
                  <c:v>-0.08</c:v>
                </c:pt>
                <c:pt idx="36">
                  <c:v>-0.02</c:v>
                </c:pt>
                <c:pt idx="37">
                  <c:v>0.38</c:v>
                </c:pt>
                <c:pt idx="38">
                  <c:v>0.12</c:v>
                </c:pt>
                <c:pt idx="39">
                  <c:v>0.18</c:v>
                </c:pt>
                <c:pt idx="40">
                  <c:v>0.22</c:v>
                </c:pt>
                <c:pt idx="41">
                  <c:v>0.18</c:v>
                </c:pt>
                <c:pt idx="42">
                  <c:v>0.24</c:v>
                </c:pt>
                <c:pt idx="43">
                  <c:v>0.2</c:v>
                </c:pt>
                <c:pt idx="44">
                  <c:v>0.28999999999999998</c:v>
                </c:pt>
                <c:pt idx="45">
                  <c:v>0.5956333116425081</c:v>
                </c:pt>
                <c:pt idx="46">
                  <c:v>1.6433192170320021E-2</c:v>
                </c:pt>
                <c:pt idx="47">
                  <c:v>9.9972333970268723E-2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6-40A7-AB50-99A3345C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Wood &amp; paper; printing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IIP_Manu'!$A$20</c:f>
              <c:strCache>
                <c:ptCount val="1"/>
                <c:pt idx="0">
                  <c:v>Manufacturing of wood &amp; paper; printing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IIP_Manu'!$F$20:$BA$20</c:f>
              <c:numCache>
                <c:formatCode>0%</c:formatCode>
                <c:ptCount val="48"/>
                <c:pt idx="0">
                  <c:v>-5.3948656966983921E-2</c:v>
                </c:pt>
                <c:pt idx="1">
                  <c:v>0.41118399764671265</c:v>
                </c:pt>
                <c:pt idx="2">
                  <c:v>0.56965226949114434</c:v>
                </c:pt>
                <c:pt idx="3">
                  <c:v>0.3380688646988701</c:v>
                </c:pt>
                <c:pt idx="4">
                  <c:v>0.45156102700604461</c:v>
                </c:pt>
                <c:pt idx="5">
                  <c:v>-0.10114814104541703</c:v>
                </c:pt>
                <c:pt idx="6">
                  <c:v>0.46769900413385868</c:v>
                </c:pt>
                <c:pt idx="7">
                  <c:v>-1.7414321538032795E-2</c:v>
                </c:pt>
                <c:pt idx="8">
                  <c:v>0.24272870823145909</c:v>
                </c:pt>
                <c:pt idx="9">
                  <c:v>0.42156453498079816</c:v>
                </c:pt>
                <c:pt idx="10">
                  <c:v>-0.20068855214291503</c:v>
                </c:pt>
                <c:pt idx="11">
                  <c:v>0.1412836642861941</c:v>
                </c:pt>
                <c:pt idx="12">
                  <c:v>-4.2187131746405981E-2</c:v>
                </c:pt>
                <c:pt idx="13">
                  <c:v>1.32563337085434E-2</c:v>
                </c:pt>
                <c:pt idx="14">
                  <c:v>-1.0923902352997117E-2</c:v>
                </c:pt>
                <c:pt idx="15">
                  <c:v>0.2013469334379494</c:v>
                </c:pt>
                <c:pt idx="16">
                  <c:v>5.6598054319297209E-2</c:v>
                </c:pt>
                <c:pt idx="17">
                  <c:v>-2.4607319727715793E-2</c:v>
                </c:pt>
                <c:pt idx="18">
                  <c:v>0.74308129626899211</c:v>
                </c:pt>
                <c:pt idx="19">
                  <c:v>4.9617925914637429E-2</c:v>
                </c:pt>
                <c:pt idx="20">
                  <c:v>5.4681581059420781E-2</c:v>
                </c:pt>
                <c:pt idx="21">
                  <c:v>0.23049921804994411</c:v>
                </c:pt>
                <c:pt idx="22">
                  <c:v>-0.37043856849278889</c:v>
                </c:pt>
                <c:pt idx="23">
                  <c:v>5.8060498249768777E-2</c:v>
                </c:pt>
                <c:pt idx="24">
                  <c:v>0.34583863851254959</c:v>
                </c:pt>
                <c:pt idx="25">
                  <c:v>0.11284219609013801</c:v>
                </c:pt>
                <c:pt idx="26">
                  <c:v>0.29368729080456069</c:v>
                </c:pt>
                <c:pt idx="27">
                  <c:v>0.19013575115713999</c:v>
                </c:pt>
                <c:pt idx="28">
                  <c:v>0.19581744433044856</c:v>
                </c:pt>
                <c:pt idx="29">
                  <c:v>0.58838556775207818</c:v>
                </c:pt>
                <c:pt idx="30">
                  <c:v>0.19650085645949678</c:v>
                </c:pt>
                <c:pt idx="31">
                  <c:v>-9.2440709718705882E-2</c:v>
                </c:pt>
                <c:pt idx="32">
                  <c:v>-0.27040106221205251</c:v>
                </c:pt>
                <c:pt idx="33">
                  <c:v>-0.5029922623669898</c:v>
                </c:pt>
                <c:pt idx="34">
                  <c:v>-5.0354554865766898E-3</c:v>
                </c:pt>
                <c:pt idx="35">
                  <c:v>0.30639232216066681</c:v>
                </c:pt>
                <c:pt idx="36">
                  <c:v>0.42827199137956073</c:v>
                </c:pt>
                <c:pt idx="37">
                  <c:v>1.1535163750691604</c:v>
                </c:pt>
                <c:pt idx="38">
                  <c:v>0.23590044288411249</c:v>
                </c:pt>
                <c:pt idx="39">
                  <c:v>5.0265233026030476E-2</c:v>
                </c:pt>
                <c:pt idx="40">
                  <c:v>0.31043629041076137</c:v>
                </c:pt>
                <c:pt idx="41">
                  <c:v>-6.6230682050393619E-2</c:v>
                </c:pt>
                <c:pt idx="42">
                  <c:v>0.45352316254647018</c:v>
                </c:pt>
                <c:pt idx="43">
                  <c:v>0.31024416480935368</c:v>
                </c:pt>
                <c:pt idx="44">
                  <c:v>0.43601278290174839</c:v>
                </c:pt>
                <c:pt idx="45">
                  <c:v>0.5956333116425081</c:v>
                </c:pt>
                <c:pt idx="46">
                  <c:v>0.21202537842976721</c:v>
                </c:pt>
                <c:pt idx="47">
                  <c:v>0.14414443786721298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D-4547-A184-74260107D0F8}"/>
            </c:ext>
          </c:extLst>
        </c:ser>
        <c:ser>
          <c:idx val="1"/>
          <c:order val="1"/>
          <c:tx>
            <c:strRef>
              <c:f>'Quarterly IIP_Manu'!$A$34</c:f>
              <c:strCache>
                <c:ptCount val="1"/>
                <c:pt idx="0">
                  <c:v>Manufacturing of wood &amp; paper; printing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IIP_Manu'!$F$34:$BA$34</c:f>
              <c:numCache>
                <c:formatCode>0%</c:formatCode>
                <c:ptCount val="48"/>
                <c:pt idx="0">
                  <c:v>-0.02</c:v>
                </c:pt>
                <c:pt idx="1">
                  <c:v>0.19</c:v>
                </c:pt>
                <c:pt idx="2">
                  <c:v>0.24</c:v>
                </c:pt>
                <c:pt idx="3">
                  <c:v>0.19</c:v>
                </c:pt>
                <c:pt idx="4">
                  <c:v>0.18</c:v>
                </c:pt>
                <c:pt idx="5">
                  <c:v>0.08</c:v>
                </c:pt>
                <c:pt idx="6">
                  <c:v>0.28000000000000003</c:v>
                </c:pt>
                <c:pt idx="7">
                  <c:v>-0.02</c:v>
                </c:pt>
                <c:pt idx="8">
                  <c:v>0.14000000000000001</c:v>
                </c:pt>
                <c:pt idx="9">
                  <c:v>0.23</c:v>
                </c:pt>
                <c:pt idx="10">
                  <c:v>-0.04</c:v>
                </c:pt>
                <c:pt idx="11">
                  <c:v>0.11</c:v>
                </c:pt>
                <c:pt idx="12">
                  <c:v>0.02</c:v>
                </c:pt>
                <c:pt idx="13">
                  <c:v>0.08</c:v>
                </c:pt>
                <c:pt idx="14">
                  <c:v>0.1</c:v>
                </c:pt>
                <c:pt idx="15">
                  <c:v>0.22</c:v>
                </c:pt>
                <c:pt idx="16">
                  <c:v>0.12</c:v>
                </c:pt>
                <c:pt idx="17">
                  <c:v>0.12</c:v>
                </c:pt>
                <c:pt idx="18">
                  <c:v>0.33</c:v>
                </c:pt>
                <c:pt idx="19">
                  <c:v>-0.11</c:v>
                </c:pt>
                <c:pt idx="20">
                  <c:v>-0.05</c:v>
                </c:pt>
                <c:pt idx="21">
                  <c:v>-0.06</c:v>
                </c:pt>
                <c:pt idx="22">
                  <c:v>-0.25</c:v>
                </c:pt>
                <c:pt idx="23">
                  <c:v>0.09</c:v>
                </c:pt>
                <c:pt idx="24">
                  <c:v>0.12</c:v>
                </c:pt>
                <c:pt idx="25">
                  <c:v>0.06</c:v>
                </c:pt>
                <c:pt idx="26">
                  <c:v>0.16</c:v>
                </c:pt>
                <c:pt idx="27">
                  <c:v>0.17</c:v>
                </c:pt>
                <c:pt idx="28">
                  <c:v>0.24</c:v>
                </c:pt>
                <c:pt idx="29">
                  <c:v>0.47</c:v>
                </c:pt>
                <c:pt idx="30">
                  <c:v>0.27</c:v>
                </c:pt>
                <c:pt idx="31">
                  <c:v>0.12</c:v>
                </c:pt>
                <c:pt idx="32">
                  <c:v>-0.11</c:v>
                </c:pt>
                <c:pt idx="33">
                  <c:v>-0.27</c:v>
                </c:pt>
                <c:pt idx="34">
                  <c:v>-0.01</c:v>
                </c:pt>
                <c:pt idx="35">
                  <c:v>0.05</c:v>
                </c:pt>
                <c:pt idx="36">
                  <c:v>0.17</c:v>
                </c:pt>
                <c:pt idx="37">
                  <c:v>0.33</c:v>
                </c:pt>
                <c:pt idx="38">
                  <c:v>0.17</c:v>
                </c:pt>
                <c:pt idx="39">
                  <c:v>0.11</c:v>
                </c:pt>
                <c:pt idx="40">
                  <c:v>0.2</c:v>
                </c:pt>
                <c:pt idx="41">
                  <c:v>0.1</c:v>
                </c:pt>
                <c:pt idx="42">
                  <c:v>0.08</c:v>
                </c:pt>
                <c:pt idx="43">
                  <c:v>0.26</c:v>
                </c:pt>
                <c:pt idx="44">
                  <c:v>0.18</c:v>
                </c:pt>
                <c:pt idx="45">
                  <c:v>0.10710230871224602</c:v>
                </c:pt>
                <c:pt idx="46">
                  <c:v>-9.4781793600495878E-2</c:v>
                </c:pt>
                <c:pt idx="47">
                  <c:v>0.22846288391833114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D-4547-A184-74260107D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Chemicals, rubber &amp; plastic products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IIP_Manu'!$A$21</c:f>
              <c:strCache>
                <c:ptCount val="1"/>
                <c:pt idx="0">
                  <c:v>Manufacturing of chemicals, rubber &amp; plastic products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IIP_Manu'!$F$21:$BA$21</c:f>
              <c:numCache>
                <c:formatCode>0%</c:formatCode>
                <c:ptCount val="48"/>
                <c:pt idx="0">
                  <c:v>0.31855416030982253</c:v>
                </c:pt>
                <c:pt idx="1">
                  <c:v>0.20780576339519508</c:v>
                </c:pt>
                <c:pt idx="2">
                  <c:v>3.6941903757407246E-2</c:v>
                </c:pt>
                <c:pt idx="3">
                  <c:v>8.119776001595258E-2</c:v>
                </c:pt>
                <c:pt idx="4">
                  <c:v>-7.8558247444090457E-2</c:v>
                </c:pt>
                <c:pt idx="5">
                  <c:v>-5.9127666461753936E-2</c:v>
                </c:pt>
                <c:pt idx="6">
                  <c:v>-5.3860666889134157E-2</c:v>
                </c:pt>
                <c:pt idx="7">
                  <c:v>-0.13578645485926466</c:v>
                </c:pt>
                <c:pt idx="8">
                  <c:v>-0.12154238963497677</c:v>
                </c:pt>
                <c:pt idx="9">
                  <c:v>-9.828955965393682E-3</c:v>
                </c:pt>
                <c:pt idx="10">
                  <c:v>7.1241564079085773E-2</c:v>
                </c:pt>
                <c:pt idx="11">
                  <c:v>5.8441697017983296E-2</c:v>
                </c:pt>
                <c:pt idx="12">
                  <c:v>0.21885468819868459</c:v>
                </c:pt>
                <c:pt idx="13">
                  <c:v>8.7961619993305762E-2</c:v>
                </c:pt>
                <c:pt idx="14">
                  <c:v>0.2104869933550082</c:v>
                </c:pt>
                <c:pt idx="15">
                  <c:v>0.25604621231723579</c:v>
                </c:pt>
                <c:pt idx="16">
                  <c:v>5.7135124569607454E-2</c:v>
                </c:pt>
                <c:pt idx="17">
                  <c:v>0.13236194656298439</c:v>
                </c:pt>
                <c:pt idx="18">
                  <c:v>0.15679520876649278</c:v>
                </c:pt>
                <c:pt idx="19">
                  <c:v>9.407990839482272E-2</c:v>
                </c:pt>
                <c:pt idx="20">
                  <c:v>0.16685150135719917</c:v>
                </c:pt>
                <c:pt idx="21">
                  <c:v>0.31286984138275176</c:v>
                </c:pt>
                <c:pt idx="22">
                  <c:v>0.11380466098615227</c:v>
                </c:pt>
                <c:pt idx="23">
                  <c:v>0.30258319579685367</c:v>
                </c:pt>
                <c:pt idx="24">
                  <c:v>0.26653694109478621</c:v>
                </c:pt>
                <c:pt idx="25">
                  <c:v>0.11986893129588005</c:v>
                </c:pt>
                <c:pt idx="26">
                  <c:v>0.15015178663867634</c:v>
                </c:pt>
                <c:pt idx="27">
                  <c:v>0.20116366734294555</c:v>
                </c:pt>
                <c:pt idx="28">
                  <c:v>0.24455959893766721</c:v>
                </c:pt>
                <c:pt idx="29">
                  <c:v>0.48848709497161114</c:v>
                </c:pt>
                <c:pt idx="30">
                  <c:v>0.3166531485309918</c:v>
                </c:pt>
                <c:pt idx="31">
                  <c:v>0.19466045359318618</c:v>
                </c:pt>
                <c:pt idx="32">
                  <c:v>0.17457250658659906</c:v>
                </c:pt>
                <c:pt idx="33">
                  <c:v>-0.34271550261035333</c:v>
                </c:pt>
                <c:pt idx="34">
                  <c:v>4.9717550294246404E-2</c:v>
                </c:pt>
                <c:pt idx="35">
                  <c:v>0.18254755599227912</c:v>
                </c:pt>
                <c:pt idx="36">
                  <c:v>-1.7479966963457882E-2</c:v>
                </c:pt>
                <c:pt idx="37">
                  <c:v>0.69529615107571097</c:v>
                </c:pt>
                <c:pt idx="38">
                  <c:v>6.2943778218719659E-2</c:v>
                </c:pt>
                <c:pt idx="39">
                  <c:v>-2.3208026101387835E-2</c:v>
                </c:pt>
                <c:pt idx="40">
                  <c:v>0.10557601946921547</c:v>
                </c:pt>
                <c:pt idx="41">
                  <c:v>6.5400893040963304E-2</c:v>
                </c:pt>
                <c:pt idx="42">
                  <c:v>0.38372677393923271</c:v>
                </c:pt>
                <c:pt idx="43">
                  <c:v>-8.1719952899629633E-2</c:v>
                </c:pt>
                <c:pt idx="44">
                  <c:v>2.0885623726911717E-2</c:v>
                </c:pt>
                <c:pt idx="45">
                  <c:v>0.10710230871224624</c:v>
                </c:pt>
                <c:pt idx="46">
                  <c:v>0.31178876225837349</c:v>
                </c:pt>
                <c:pt idx="47">
                  <c:v>0.27411225603375877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E-4E65-9756-1A3DE50E6DC8}"/>
            </c:ext>
          </c:extLst>
        </c:ser>
        <c:ser>
          <c:idx val="1"/>
          <c:order val="1"/>
          <c:tx>
            <c:strRef>
              <c:f>'Quarterly IIP_Manu'!$A$35</c:f>
              <c:strCache>
                <c:ptCount val="1"/>
                <c:pt idx="0">
                  <c:v>Manufacturing of chemicals, rubber &amp; plastic products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IIP_Manu'!$F$35:$BA$35</c:f>
              <c:numCache>
                <c:formatCode>0%</c:formatCode>
                <c:ptCount val="48"/>
                <c:pt idx="0">
                  <c:v>0.18</c:v>
                </c:pt>
                <c:pt idx="1">
                  <c:v>-0.02</c:v>
                </c:pt>
                <c:pt idx="2">
                  <c:v>-7.0000000000000007E-2</c:v>
                </c:pt>
                <c:pt idx="3">
                  <c:v>-0.01</c:v>
                </c:pt>
                <c:pt idx="4">
                  <c:v>-0.08</c:v>
                </c:pt>
                <c:pt idx="5">
                  <c:v>-0.02</c:v>
                </c:pt>
                <c:pt idx="6">
                  <c:v>0.03</c:v>
                </c:pt>
                <c:pt idx="7">
                  <c:v>-0.05</c:v>
                </c:pt>
                <c:pt idx="8">
                  <c:v>-0.13</c:v>
                </c:pt>
                <c:pt idx="9">
                  <c:v>0.01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0.21</c:v>
                </c:pt>
                <c:pt idx="13">
                  <c:v>0.09</c:v>
                </c:pt>
                <c:pt idx="14">
                  <c:v>0.11</c:v>
                </c:pt>
                <c:pt idx="15">
                  <c:v>0.13</c:v>
                </c:pt>
                <c:pt idx="16">
                  <c:v>0.03</c:v>
                </c:pt>
                <c:pt idx="17">
                  <c:v>-0.03</c:v>
                </c:pt>
                <c:pt idx="18">
                  <c:v>0.1</c:v>
                </c:pt>
                <c:pt idx="19">
                  <c:v>0.11</c:v>
                </c:pt>
                <c:pt idx="20">
                  <c:v>0.22</c:v>
                </c:pt>
                <c:pt idx="21">
                  <c:v>0.5</c:v>
                </c:pt>
                <c:pt idx="22">
                  <c:v>0.24</c:v>
                </c:pt>
                <c:pt idx="23">
                  <c:v>0.36</c:v>
                </c:pt>
                <c:pt idx="24">
                  <c:v>0.25</c:v>
                </c:pt>
                <c:pt idx="25">
                  <c:v>0.14000000000000001</c:v>
                </c:pt>
                <c:pt idx="26">
                  <c:v>0.17</c:v>
                </c:pt>
                <c:pt idx="27">
                  <c:v>0.2</c:v>
                </c:pt>
                <c:pt idx="28">
                  <c:v>0.24</c:v>
                </c:pt>
                <c:pt idx="29">
                  <c:v>0.44</c:v>
                </c:pt>
                <c:pt idx="30">
                  <c:v>0.34</c:v>
                </c:pt>
                <c:pt idx="31">
                  <c:v>0.24</c:v>
                </c:pt>
                <c:pt idx="32">
                  <c:v>0.05</c:v>
                </c:pt>
                <c:pt idx="33">
                  <c:v>-0.09</c:v>
                </c:pt>
                <c:pt idx="34">
                  <c:v>-0.03</c:v>
                </c:pt>
                <c:pt idx="35">
                  <c:v>0.13</c:v>
                </c:pt>
                <c:pt idx="36">
                  <c:v>0.2</c:v>
                </c:pt>
                <c:pt idx="37">
                  <c:v>0.39</c:v>
                </c:pt>
                <c:pt idx="38">
                  <c:v>0.17</c:v>
                </c:pt>
                <c:pt idx="39">
                  <c:v>0.17</c:v>
                </c:pt>
                <c:pt idx="40">
                  <c:v>0.19</c:v>
                </c:pt>
                <c:pt idx="41">
                  <c:v>7.0000000000000007E-2</c:v>
                </c:pt>
                <c:pt idx="42">
                  <c:v>0.21</c:v>
                </c:pt>
                <c:pt idx="43">
                  <c:v>0.12</c:v>
                </c:pt>
                <c:pt idx="44">
                  <c:v>0.37</c:v>
                </c:pt>
                <c:pt idx="45">
                  <c:v>2.7988445975449361E-2</c:v>
                </c:pt>
                <c:pt idx="46">
                  <c:v>0.14782044216330137</c:v>
                </c:pt>
                <c:pt idx="47">
                  <c:v>-7.110249238116928E-2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E-4E65-9756-1A3DE50E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Chemicals, rubber &amp; plastic products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IIP_Manu'!$A$22</c:f>
              <c:strCache>
                <c:ptCount val="1"/>
                <c:pt idx="0">
                  <c:v>Manufacturing of non-metalic mineral products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IIP_Manu'!$F$22:$BA$22</c:f>
              <c:numCache>
                <c:formatCode>0%</c:formatCode>
                <c:ptCount val="48"/>
                <c:pt idx="0">
                  <c:v>0.25326762497763888</c:v>
                </c:pt>
                <c:pt idx="1">
                  <c:v>0.14769506464059079</c:v>
                </c:pt>
                <c:pt idx="2">
                  <c:v>4.7528843840345614E-2</c:v>
                </c:pt>
                <c:pt idx="3">
                  <c:v>-2.4723318879036338E-3</c:v>
                </c:pt>
                <c:pt idx="4">
                  <c:v>7.9468643521502624E-2</c:v>
                </c:pt>
                <c:pt idx="5">
                  <c:v>-6.9594034797017312E-2</c:v>
                </c:pt>
                <c:pt idx="6">
                  <c:v>-0.13800558541084851</c:v>
                </c:pt>
                <c:pt idx="7">
                  <c:v>9.8182463061005532E-2</c:v>
                </c:pt>
                <c:pt idx="8">
                  <c:v>7.992697460746756E-2</c:v>
                </c:pt>
                <c:pt idx="9">
                  <c:v>0.33714209877388868</c:v>
                </c:pt>
                <c:pt idx="10">
                  <c:v>0.35548337161056209</c:v>
                </c:pt>
                <c:pt idx="11">
                  <c:v>0.23677877514366386</c:v>
                </c:pt>
                <c:pt idx="12">
                  <c:v>0.11375440897079891</c:v>
                </c:pt>
                <c:pt idx="13">
                  <c:v>-0.15020090607840952</c:v>
                </c:pt>
                <c:pt idx="14">
                  <c:v>0.36802805782558101</c:v>
                </c:pt>
                <c:pt idx="15">
                  <c:v>0.55837927179967362</c:v>
                </c:pt>
                <c:pt idx="16">
                  <c:v>0.55619075314653332</c:v>
                </c:pt>
                <c:pt idx="17">
                  <c:v>0.92837067010270413</c:v>
                </c:pt>
                <c:pt idx="18">
                  <c:v>0.12281634114687257</c:v>
                </c:pt>
                <c:pt idx="19">
                  <c:v>0.16833829918543652</c:v>
                </c:pt>
                <c:pt idx="20">
                  <c:v>0.17515360461202656</c:v>
                </c:pt>
                <c:pt idx="21">
                  <c:v>0.11835874321080775</c:v>
                </c:pt>
                <c:pt idx="22">
                  <c:v>0.27320698087291539</c:v>
                </c:pt>
                <c:pt idx="23">
                  <c:v>0.1002779948993473</c:v>
                </c:pt>
                <c:pt idx="24">
                  <c:v>2.9987681165245972E-2</c:v>
                </c:pt>
                <c:pt idx="25">
                  <c:v>-0.20277615797682336</c:v>
                </c:pt>
                <c:pt idx="26">
                  <c:v>0.37755732552420218</c:v>
                </c:pt>
                <c:pt idx="27">
                  <c:v>0.26392855352848432</c:v>
                </c:pt>
                <c:pt idx="28">
                  <c:v>0.33282029112602984</c:v>
                </c:pt>
                <c:pt idx="29">
                  <c:v>0.66923737818797235</c:v>
                </c:pt>
                <c:pt idx="30">
                  <c:v>-6.4182603634122759E-2</c:v>
                </c:pt>
                <c:pt idx="31">
                  <c:v>-0.13375985944396573</c:v>
                </c:pt>
                <c:pt idx="32">
                  <c:v>-4.1891216921300489E-2</c:v>
                </c:pt>
                <c:pt idx="33">
                  <c:v>-0.13085437131559163</c:v>
                </c:pt>
                <c:pt idx="34">
                  <c:v>0.36296367833715748</c:v>
                </c:pt>
                <c:pt idx="35">
                  <c:v>0.52968423758306526</c:v>
                </c:pt>
                <c:pt idx="36">
                  <c:v>0.25634603099464792</c:v>
                </c:pt>
                <c:pt idx="37">
                  <c:v>0.72071747029993749</c:v>
                </c:pt>
                <c:pt idx="38">
                  <c:v>-0.29244535538372252</c:v>
                </c:pt>
                <c:pt idx="39">
                  <c:v>1.5859603801923194E-2</c:v>
                </c:pt>
                <c:pt idx="40">
                  <c:v>7.4930850915726488E-2</c:v>
                </c:pt>
                <c:pt idx="41">
                  <c:v>-0.2223082368569036</c:v>
                </c:pt>
                <c:pt idx="42">
                  <c:v>0.22457673048940086</c:v>
                </c:pt>
                <c:pt idx="43">
                  <c:v>0.12647006136869154</c:v>
                </c:pt>
                <c:pt idx="44">
                  <c:v>9.622271985161146E-2</c:v>
                </c:pt>
                <c:pt idx="45">
                  <c:v>2.7988445975449583E-2</c:v>
                </c:pt>
                <c:pt idx="46">
                  <c:v>0.48619692181789653</c:v>
                </c:pt>
                <c:pt idx="47">
                  <c:v>-0.16225934104471496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B0-41E9-A68E-F686858A6C75}"/>
            </c:ext>
          </c:extLst>
        </c:ser>
        <c:ser>
          <c:idx val="1"/>
          <c:order val="1"/>
          <c:tx>
            <c:strRef>
              <c:f>'Quarterly IIP_Manu'!$A$36</c:f>
              <c:strCache>
                <c:ptCount val="1"/>
                <c:pt idx="0">
                  <c:v>Manufacturing of non-metalic mineral products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IIP_Manu'!$F$35:$BA$35</c:f>
              <c:numCache>
                <c:formatCode>0%</c:formatCode>
                <c:ptCount val="48"/>
                <c:pt idx="0">
                  <c:v>0.18</c:v>
                </c:pt>
                <c:pt idx="1">
                  <c:v>-0.02</c:v>
                </c:pt>
                <c:pt idx="2">
                  <c:v>-7.0000000000000007E-2</c:v>
                </c:pt>
                <c:pt idx="3">
                  <c:v>-0.01</c:v>
                </c:pt>
                <c:pt idx="4">
                  <c:v>-0.08</c:v>
                </c:pt>
                <c:pt idx="5">
                  <c:v>-0.02</c:v>
                </c:pt>
                <c:pt idx="6">
                  <c:v>0.03</c:v>
                </c:pt>
                <c:pt idx="7">
                  <c:v>-0.05</c:v>
                </c:pt>
                <c:pt idx="8">
                  <c:v>-0.13</c:v>
                </c:pt>
                <c:pt idx="9">
                  <c:v>0.01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0.21</c:v>
                </c:pt>
                <c:pt idx="13">
                  <c:v>0.09</c:v>
                </c:pt>
                <c:pt idx="14">
                  <c:v>0.11</c:v>
                </c:pt>
                <c:pt idx="15">
                  <c:v>0.13</c:v>
                </c:pt>
                <c:pt idx="16">
                  <c:v>0.03</c:v>
                </c:pt>
                <c:pt idx="17">
                  <c:v>-0.03</c:v>
                </c:pt>
                <c:pt idx="18">
                  <c:v>0.1</c:v>
                </c:pt>
                <c:pt idx="19">
                  <c:v>0.11</c:v>
                </c:pt>
                <c:pt idx="20">
                  <c:v>0.22</c:v>
                </c:pt>
                <c:pt idx="21">
                  <c:v>0.5</c:v>
                </c:pt>
                <c:pt idx="22">
                  <c:v>0.24</c:v>
                </c:pt>
                <c:pt idx="23">
                  <c:v>0.36</c:v>
                </c:pt>
                <c:pt idx="24">
                  <c:v>0.25</c:v>
                </c:pt>
                <c:pt idx="25">
                  <c:v>0.14000000000000001</c:v>
                </c:pt>
                <c:pt idx="26">
                  <c:v>0.17</c:v>
                </c:pt>
                <c:pt idx="27">
                  <c:v>0.2</c:v>
                </c:pt>
                <c:pt idx="28">
                  <c:v>0.24</c:v>
                </c:pt>
                <c:pt idx="29">
                  <c:v>0.44</c:v>
                </c:pt>
                <c:pt idx="30">
                  <c:v>0.34</c:v>
                </c:pt>
                <c:pt idx="31">
                  <c:v>0.24</c:v>
                </c:pt>
                <c:pt idx="32">
                  <c:v>0.05</c:v>
                </c:pt>
                <c:pt idx="33">
                  <c:v>-0.09</c:v>
                </c:pt>
                <c:pt idx="34">
                  <c:v>-0.03</c:v>
                </c:pt>
                <c:pt idx="35">
                  <c:v>0.13</c:v>
                </c:pt>
                <c:pt idx="36">
                  <c:v>0.2</c:v>
                </c:pt>
                <c:pt idx="37">
                  <c:v>0.39</c:v>
                </c:pt>
                <c:pt idx="38">
                  <c:v>0.17</c:v>
                </c:pt>
                <c:pt idx="39">
                  <c:v>0.17</c:v>
                </c:pt>
                <c:pt idx="40">
                  <c:v>0.19</c:v>
                </c:pt>
                <c:pt idx="41">
                  <c:v>7.0000000000000007E-2</c:v>
                </c:pt>
                <c:pt idx="42">
                  <c:v>0.21</c:v>
                </c:pt>
                <c:pt idx="43">
                  <c:v>0.12</c:v>
                </c:pt>
                <c:pt idx="44">
                  <c:v>0.37</c:v>
                </c:pt>
                <c:pt idx="45">
                  <c:v>2.7988445975449361E-2</c:v>
                </c:pt>
                <c:pt idx="46">
                  <c:v>0.14782044216330137</c:v>
                </c:pt>
                <c:pt idx="47">
                  <c:v>-7.110249238116928E-2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B0-41E9-A68E-F686858A6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Metal products, machinery &amp; equipment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IIP_Manu'!$A$23</c:f>
              <c:strCache>
                <c:ptCount val="1"/>
                <c:pt idx="0">
                  <c:v>Manufacturing of metal products, machinery &amp; equipment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IIP_Manu'!$F$23:$BA$23</c:f>
              <c:numCache>
                <c:formatCode>0%</c:formatCode>
                <c:ptCount val="48"/>
                <c:pt idx="0">
                  <c:v>1.3165843115802316</c:v>
                </c:pt>
                <c:pt idx="1">
                  <c:v>0.28019754789116624</c:v>
                </c:pt>
                <c:pt idx="2">
                  <c:v>5.9382125141415054E-2</c:v>
                </c:pt>
                <c:pt idx="3">
                  <c:v>0.17795832011001811</c:v>
                </c:pt>
                <c:pt idx="4">
                  <c:v>-0.29647723753484057</c:v>
                </c:pt>
                <c:pt idx="5">
                  <c:v>-6.7348442240511952E-2</c:v>
                </c:pt>
                <c:pt idx="6">
                  <c:v>-0.13414537974725171</c:v>
                </c:pt>
                <c:pt idx="7">
                  <c:v>-0.23762397577420868</c:v>
                </c:pt>
                <c:pt idx="8">
                  <c:v>0.35342863745914399</c:v>
                </c:pt>
                <c:pt idx="9">
                  <c:v>0.26494220168681037</c:v>
                </c:pt>
                <c:pt idx="10">
                  <c:v>0.3096326880675806</c:v>
                </c:pt>
                <c:pt idx="11">
                  <c:v>0.46573780456200997</c:v>
                </c:pt>
                <c:pt idx="12">
                  <c:v>0.4848555073100127</c:v>
                </c:pt>
                <c:pt idx="13">
                  <c:v>0.39948835194939925</c:v>
                </c:pt>
                <c:pt idx="14">
                  <c:v>0.50289191538684475</c:v>
                </c:pt>
                <c:pt idx="15">
                  <c:v>0.35199549947761777</c:v>
                </c:pt>
                <c:pt idx="16">
                  <c:v>0.23640206888431936</c:v>
                </c:pt>
                <c:pt idx="17">
                  <c:v>0.34741263706870273</c:v>
                </c:pt>
                <c:pt idx="18">
                  <c:v>1.9390800697197008E-2</c:v>
                </c:pt>
                <c:pt idx="19">
                  <c:v>0.1610259361060653</c:v>
                </c:pt>
                <c:pt idx="20">
                  <c:v>2.9929761798141108E-2</c:v>
                </c:pt>
                <c:pt idx="21">
                  <c:v>-6.2726295862109205E-2</c:v>
                </c:pt>
                <c:pt idx="22">
                  <c:v>-1.8459567509042651E-2</c:v>
                </c:pt>
                <c:pt idx="23">
                  <c:v>4.8254127480433118E-2</c:v>
                </c:pt>
                <c:pt idx="24">
                  <c:v>0.10510313628559831</c:v>
                </c:pt>
                <c:pt idx="25">
                  <c:v>0.36884917454095523</c:v>
                </c:pt>
                <c:pt idx="26">
                  <c:v>0.41502559311816389</c:v>
                </c:pt>
                <c:pt idx="27">
                  <c:v>0.14206229600293185</c:v>
                </c:pt>
                <c:pt idx="28">
                  <c:v>0.17331462772899897</c:v>
                </c:pt>
                <c:pt idx="29">
                  <c:v>0.26736525566926228</c:v>
                </c:pt>
                <c:pt idx="30">
                  <c:v>7.3901283264892648E-2</c:v>
                </c:pt>
                <c:pt idx="31">
                  <c:v>0.21408445122310327</c:v>
                </c:pt>
                <c:pt idx="32">
                  <c:v>0.11562126169426068</c:v>
                </c:pt>
                <c:pt idx="33">
                  <c:v>-0.37441907841758304</c:v>
                </c:pt>
                <c:pt idx="34">
                  <c:v>0.38388795532853681</c:v>
                </c:pt>
                <c:pt idx="35">
                  <c:v>0.60869880130548748</c:v>
                </c:pt>
                <c:pt idx="36">
                  <c:v>0.18731884879665883</c:v>
                </c:pt>
                <c:pt idx="37">
                  <c:v>0.57959274948527684</c:v>
                </c:pt>
                <c:pt idx="38">
                  <c:v>-0.17078504480936507</c:v>
                </c:pt>
                <c:pt idx="39">
                  <c:v>-0.21070773914566177</c:v>
                </c:pt>
                <c:pt idx="40">
                  <c:v>7.9105084274576853E-2</c:v>
                </c:pt>
                <c:pt idx="41">
                  <c:v>-6.6327330078272184E-2</c:v>
                </c:pt>
                <c:pt idx="42">
                  <c:v>0.1725143865074612</c:v>
                </c:pt>
                <c:pt idx="43">
                  <c:v>8.1689375259898833E-2</c:v>
                </c:pt>
                <c:pt idx="44">
                  <c:v>0.17754138718964718</c:v>
                </c:pt>
                <c:pt idx="45">
                  <c:v>0.21430110432131388</c:v>
                </c:pt>
                <c:pt idx="46">
                  <c:v>0.10356639877749552</c:v>
                </c:pt>
                <c:pt idx="47">
                  <c:v>4.9333005153953113E-3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1-4EBA-92C9-BCA0A8A88BB0}"/>
            </c:ext>
          </c:extLst>
        </c:ser>
        <c:ser>
          <c:idx val="1"/>
          <c:order val="1"/>
          <c:tx>
            <c:strRef>
              <c:f>'Quarterly IIP_Manu'!$A$37</c:f>
              <c:strCache>
                <c:ptCount val="1"/>
                <c:pt idx="0">
                  <c:v>Manufacturing of metal products, machinery &amp; equipment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IIP_Manu'!$F$37:$BA$37</c:f>
              <c:numCache>
                <c:formatCode>0%</c:formatCode>
                <c:ptCount val="48"/>
                <c:pt idx="0">
                  <c:v>0.81</c:v>
                </c:pt>
                <c:pt idx="1">
                  <c:v>0.28000000000000003</c:v>
                </c:pt>
                <c:pt idx="2">
                  <c:v>0.15</c:v>
                </c:pt>
                <c:pt idx="3">
                  <c:v>0.06</c:v>
                </c:pt>
                <c:pt idx="4">
                  <c:v>-0.2</c:v>
                </c:pt>
                <c:pt idx="5">
                  <c:v>-0.04</c:v>
                </c:pt>
                <c:pt idx="6">
                  <c:v>-0.14000000000000001</c:v>
                </c:pt>
                <c:pt idx="7">
                  <c:v>-0.17</c:v>
                </c:pt>
                <c:pt idx="8">
                  <c:v>0.28999999999999998</c:v>
                </c:pt>
                <c:pt idx="9">
                  <c:v>0.24</c:v>
                </c:pt>
                <c:pt idx="10">
                  <c:v>0.28000000000000003</c:v>
                </c:pt>
                <c:pt idx="11">
                  <c:v>0.38</c:v>
                </c:pt>
                <c:pt idx="12">
                  <c:v>0.4</c:v>
                </c:pt>
                <c:pt idx="13">
                  <c:v>0.35</c:v>
                </c:pt>
                <c:pt idx="14">
                  <c:v>0.45</c:v>
                </c:pt>
                <c:pt idx="15">
                  <c:v>0.33</c:v>
                </c:pt>
                <c:pt idx="16">
                  <c:v>0.19</c:v>
                </c:pt>
                <c:pt idx="17">
                  <c:v>0.25</c:v>
                </c:pt>
                <c:pt idx="18">
                  <c:v>0.04</c:v>
                </c:pt>
                <c:pt idx="19">
                  <c:v>0.19</c:v>
                </c:pt>
                <c:pt idx="20">
                  <c:v>0.18</c:v>
                </c:pt>
                <c:pt idx="21">
                  <c:v>0.1</c:v>
                </c:pt>
                <c:pt idx="22">
                  <c:v>0.08</c:v>
                </c:pt>
                <c:pt idx="23">
                  <c:v>0.1</c:v>
                </c:pt>
                <c:pt idx="24">
                  <c:v>0.08</c:v>
                </c:pt>
                <c:pt idx="25">
                  <c:v>0.31</c:v>
                </c:pt>
                <c:pt idx="26">
                  <c:v>0.36</c:v>
                </c:pt>
                <c:pt idx="27">
                  <c:v>0.14000000000000001</c:v>
                </c:pt>
                <c:pt idx="28">
                  <c:v>0.19</c:v>
                </c:pt>
                <c:pt idx="29">
                  <c:v>0.28000000000000003</c:v>
                </c:pt>
                <c:pt idx="30">
                  <c:v>0.11</c:v>
                </c:pt>
                <c:pt idx="31">
                  <c:v>0.23</c:v>
                </c:pt>
                <c:pt idx="32">
                  <c:v>-0.02</c:v>
                </c:pt>
                <c:pt idx="33">
                  <c:v>-0.31</c:v>
                </c:pt>
                <c:pt idx="34">
                  <c:v>0.31</c:v>
                </c:pt>
                <c:pt idx="35">
                  <c:v>0.39</c:v>
                </c:pt>
                <c:pt idx="36">
                  <c:v>0.28999999999999998</c:v>
                </c:pt>
                <c:pt idx="37">
                  <c:v>0.47</c:v>
                </c:pt>
                <c:pt idx="38">
                  <c:v>-0.11</c:v>
                </c:pt>
                <c:pt idx="39">
                  <c:v>-0.22</c:v>
                </c:pt>
                <c:pt idx="40">
                  <c:v>0.02</c:v>
                </c:pt>
                <c:pt idx="41">
                  <c:v>0.06</c:v>
                </c:pt>
                <c:pt idx="42">
                  <c:v>0.06</c:v>
                </c:pt>
                <c:pt idx="43">
                  <c:v>0.16</c:v>
                </c:pt>
                <c:pt idx="44">
                  <c:v>0.26</c:v>
                </c:pt>
                <c:pt idx="45">
                  <c:v>0.10506180760075212</c:v>
                </c:pt>
                <c:pt idx="46">
                  <c:v>-0.26071972364540974</c:v>
                </c:pt>
                <c:pt idx="47">
                  <c:v>0.40362581878674053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1-4EBA-92C9-BCA0A8A88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Furniture &amp; other manufacturing 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layout>
        <c:manualLayout>
          <c:xMode val="edge"/>
          <c:yMode val="edge"/>
          <c:x val="0.40069545371887449"/>
          <c:y val="3.448275862068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IIP_Manu'!$A$24</c:f>
              <c:strCache>
                <c:ptCount val="1"/>
                <c:pt idx="0">
                  <c:v>Furniture &amp; other manufacturing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IIP_Manu'!$F$24:$BA$24</c:f>
              <c:numCache>
                <c:formatCode>0%</c:formatCode>
                <c:ptCount val="48"/>
                <c:pt idx="0">
                  <c:v>0.55110785711533272</c:v>
                </c:pt>
                <c:pt idx="1">
                  <c:v>0.83851152501530746</c:v>
                </c:pt>
                <c:pt idx="2">
                  <c:v>0.2194858220933178</c:v>
                </c:pt>
                <c:pt idx="3">
                  <c:v>-2.4287531688473529E-2</c:v>
                </c:pt>
                <c:pt idx="4">
                  <c:v>-7.0265919389458809E-2</c:v>
                </c:pt>
                <c:pt idx="5">
                  <c:v>-6.2500447633985767E-2</c:v>
                </c:pt>
                <c:pt idx="6">
                  <c:v>0.11686170556669051</c:v>
                </c:pt>
                <c:pt idx="7">
                  <c:v>0.17881768476352278</c:v>
                </c:pt>
                <c:pt idx="8">
                  <c:v>0.45280084650655716</c:v>
                </c:pt>
                <c:pt idx="9">
                  <c:v>0.13659265144598964</c:v>
                </c:pt>
                <c:pt idx="10">
                  <c:v>0.34438458007881145</c:v>
                </c:pt>
                <c:pt idx="11">
                  <c:v>0.23309314764355649</c:v>
                </c:pt>
                <c:pt idx="12">
                  <c:v>0.21802384394392549</c:v>
                </c:pt>
                <c:pt idx="13">
                  <c:v>0.28232712265419169</c:v>
                </c:pt>
                <c:pt idx="14">
                  <c:v>7.7270630209454572E-2</c:v>
                </c:pt>
                <c:pt idx="15">
                  <c:v>0.16636439823483951</c:v>
                </c:pt>
                <c:pt idx="16">
                  <c:v>-4.749019240700536E-2</c:v>
                </c:pt>
                <c:pt idx="17">
                  <c:v>-0.10146792501290747</c:v>
                </c:pt>
                <c:pt idx="18">
                  <c:v>-4.6888963120944038E-2</c:v>
                </c:pt>
                <c:pt idx="19">
                  <c:v>-0.17018583333099446</c:v>
                </c:pt>
                <c:pt idx="20">
                  <c:v>-2.9790968732874568E-3</c:v>
                </c:pt>
                <c:pt idx="21">
                  <c:v>2.0376389961658026E-2</c:v>
                </c:pt>
                <c:pt idx="22">
                  <c:v>0.15721995781461695</c:v>
                </c:pt>
                <c:pt idx="23">
                  <c:v>0.4497346679764358</c:v>
                </c:pt>
                <c:pt idx="24">
                  <c:v>0.3627130972851742</c:v>
                </c:pt>
                <c:pt idx="25">
                  <c:v>0.13626056072236992</c:v>
                </c:pt>
                <c:pt idx="26">
                  <c:v>8.5407823955720552E-2</c:v>
                </c:pt>
                <c:pt idx="27">
                  <c:v>-0.10090653310614683</c:v>
                </c:pt>
                <c:pt idx="28">
                  <c:v>2.3735990830796361E-2</c:v>
                </c:pt>
                <c:pt idx="29">
                  <c:v>0.22737588911163376</c:v>
                </c:pt>
                <c:pt idx="30">
                  <c:v>0.19776549936563548</c:v>
                </c:pt>
                <c:pt idx="31">
                  <c:v>0.26323870590621823</c:v>
                </c:pt>
                <c:pt idx="32">
                  <c:v>-9.4307244560097092E-2</c:v>
                </c:pt>
                <c:pt idx="33">
                  <c:v>-0.21285413957801447</c:v>
                </c:pt>
                <c:pt idx="34">
                  <c:v>2.2818539064014098E-2</c:v>
                </c:pt>
                <c:pt idx="35">
                  <c:v>-2.3129496307356945E-3</c:v>
                </c:pt>
                <c:pt idx="36">
                  <c:v>4.9297240357432104E-2</c:v>
                </c:pt>
                <c:pt idx="37">
                  <c:v>0.59209226174975416</c:v>
                </c:pt>
                <c:pt idx="38">
                  <c:v>1.6787486203307278E-2</c:v>
                </c:pt>
                <c:pt idx="39">
                  <c:v>8.0770883682216077E-2</c:v>
                </c:pt>
                <c:pt idx="40">
                  <c:v>0.27808981405094979</c:v>
                </c:pt>
                <c:pt idx="41">
                  <c:v>-0.11532722238554916</c:v>
                </c:pt>
                <c:pt idx="42">
                  <c:v>0.54462104765363972</c:v>
                </c:pt>
                <c:pt idx="43">
                  <c:v>-0.16887913000138177</c:v>
                </c:pt>
                <c:pt idx="44">
                  <c:v>-8.6747991140004754E-2</c:v>
                </c:pt>
                <c:pt idx="45">
                  <c:v>0.10506180760075234</c:v>
                </c:pt>
                <c:pt idx="46">
                  <c:v>-0.26477921648737412</c:v>
                </c:pt>
                <c:pt idx="47">
                  <c:v>0.33348748618716706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D-4FE0-BF63-19B38CF13272}"/>
            </c:ext>
          </c:extLst>
        </c:ser>
        <c:ser>
          <c:idx val="1"/>
          <c:order val="1"/>
          <c:tx>
            <c:strRef>
              <c:f>'Quarterly IIP_Manu'!$A$38</c:f>
              <c:strCache>
                <c:ptCount val="1"/>
                <c:pt idx="0">
                  <c:v>Furniture &amp; other manufacturing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IIP_Manu'!$F$38:$BA$38</c:f>
              <c:numCache>
                <c:formatCode>0%</c:formatCode>
                <c:ptCount val="48"/>
                <c:pt idx="0">
                  <c:v>0.05</c:v>
                </c:pt>
                <c:pt idx="1">
                  <c:v>0.18</c:v>
                </c:pt>
                <c:pt idx="2">
                  <c:v>0.06</c:v>
                </c:pt>
                <c:pt idx="3">
                  <c:v>0.1</c:v>
                </c:pt>
                <c:pt idx="4">
                  <c:v>0.11</c:v>
                </c:pt>
                <c:pt idx="5">
                  <c:v>0.05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0.09</c:v>
                </c:pt>
                <c:pt idx="10">
                  <c:v>0.13</c:v>
                </c:pt>
                <c:pt idx="11">
                  <c:v>0.15</c:v>
                </c:pt>
                <c:pt idx="12">
                  <c:v>0.15</c:v>
                </c:pt>
                <c:pt idx="13">
                  <c:v>0.19</c:v>
                </c:pt>
                <c:pt idx="14">
                  <c:v>0.19</c:v>
                </c:pt>
                <c:pt idx="15">
                  <c:v>0.13</c:v>
                </c:pt>
                <c:pt idx="16">
                  <c:v>0</c:v>
                </c:pt>
                <c:pt idx="17">
                  <c:v>-7.0000000000000007E-2</c:v>
                </c:pt>
                <c:pt idx="18">
                  <c:v>-0.18</c:v>
                </c:pt>
                <c:pt idx="19">
                  <c:v>-0.14000000000000001</c:v>
                </c:pt>
                <c:pt idx="20">
                  <c:v>-0.04</c:v>
                </c:pt>
                <c:pt idx="21">
                  <c:v>0.06</c:v>
                </c:pt>
                <c:pt idx="22">
                  <c:v>0.2</c:v>
                </c:pt>
                <c:pt idx="23">
                  <c:v>0.25</c:v>
                </c:pt>
                <c:pt idx="24">
                  <c:v>0.23</c:v>
                </c:pt>
                <c:pt idx="25">
                  <c:v>0.12</c:v>
                </c:pt>
                <c:pt idx="26">
                  <c:v>0.09</c:v>
                </c:pt>
                <c:pt idx="27">
                  <c:v>0.01</c:v>
                </c:pt>
                <c:pt idx="28">
                  <c:v>0.01</c:v>
                </c:pt>
                <c:pt idx="29">
                  <c:v>0.02</c:v>
                </c:pt>
                <c:pt idx="30">
                  <c:v>0.02</c:v>
                </c:pt>
                <c:pt idx="31">
                  <c:v>0.06</c:v>
                </c:pt>
                <c:pt idx="32">
                  <c:v>0</c:v>
                </c:pt>
                <c:pt idx="33">
                  <c:v>-0.42</c:v>
                </c:pt>
                <c:pt idx="34">
                  <c:v>0.14000000000000001</c:v>
                </c:pt>
                <c:pt idx="35">
                  <c:v>0.13</c:v>
                </c:pt>
                <c:pt idx="36">
                  <c:v>0.16</c:v>
                </c:pt>
                <c:pt idx="37">
                  <c:v>1.1100000000000001</c:v>
                </c:pt>
                <c:pt idx="38">
                  <c:v>0.05</c:v>
                </c:pt>
                <c:pt idx="39">
                  <c:v>0.05</c:v>
                </c:pt>
                <c:pt idx="40">
                  <c:v>0.02</c:v>
                </c:pt>
                <c:pt idx="41">
                  <c:v>-0.01</c:v>
                </c:pt>
                <c:pt idx="42">
                  <c:v>0.01</c:v>
                </c:pt>
                <c:pt idx="43">
                  <c:v>-0.05</c:v>
                </c:pt>
                <c:pt idx="44">
                  <c:v>-0.06</c:v>
                </c:pt>
                <c:pt idx="45">
                  <c:v>0.12320622611872412</c:v>
                </c:pt>
                <c:pt idx="46">
                  <c:v>-0.13171327628957596</c:v>
                </c:pt>
                <c:pt idx="47">
                  <c:v>0.12554625355622484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D-4FE0-BF63-19B38CF13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1" u="none" strike="noStrike" baseline="0">
                <a:effectLst/>
              </a:rPr>
              <a:t>Manufacturing Total</a:t>
            </a:r>
            <a:r>
              <a:rPr lang="en-GB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IIP_Manu'!$A$25</c:f>
              <c:strCache>
                <c:ptCount val="1"/>
                <c:pt idx="0">
                  <c:v>Manufacturing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IIP_Manu'!$F$25:$BA$25</c:f>
              <c:numCache>
                <c:formatCode>0%</c:formatCode>
                <c:ptCount val="48"/>
                <c:pt idx="0">
                  <c:v>0.27017819840341595</c:v>
                </c:pt>
                <c:pt idx="1">
                  <c:v>0.19521238741495206</c:v>
                </c:pt>
                <c:pt idx="2">
                  <c:v>6.9245875162883053E-2</c:v>
                </c:pt>
                <c:pt idx="3">
                  <c:v>0.14724055128437974</c:v>
                </c:pt>
                <c:pt idx="4">
                  <c:v>-4.4014282727228959E-2</c:v>
                </c:pt>
                <c:pt idx="5">
                  <c:v>2.4738600636384556E-2</c:v>
                </c:pt>
                <c:pt idx="6">
                  <c:v>5.1850326124270207E-2</c:v>
                </c:pt>
                <c:pt idx="7">
                  <c:v>-3.6008147212675423E-2</c:v>
                </c:pt>
                <c:pt idx="8">
                  <c:v>0.14592464226527491</c:v>
                </c:pt>
                <c:pt idx="9">
                  <c:v>4.972242783123626E-2</c:v>
                </c:pt>
                <c:pt idx="10">
                  <c:v>4.3742901528700751E-2</c:v>
                </c:pt>
                <c:pt idx="11">
                  <c:v>0.18277360755821381</c:v>
                </c:pt>
                <c:pt idx="12">
                  <c:v>0.1531645616082864</c:v>
                </c:pt>
                <c:pt idx="13">
                  <c:v>0.18132811535952897</c:v>
                </c:pt>
                <c:pt idx="14">
                  <c:v>0.17663465777797227</c:v>
                </c:pt>
                <c:pt idx="15">
                  <c:v>0.12027989719825127</c:v>
                </c:pt>
                <c:pt idx="16">
                  <c:v>0.10439034016940019</c:v>
                </c:pt>
                <c:pt idx="17">
                  <c:v>7.632526129180528E-2</c:v>
                </c:pt>
                <c:pt idx="18">
                  <c:v>6.6814422688521669E-2</c:v>
                </c:pt>
                <c:pt idx="19">
                  <c:v>-1.1465034810963282E-2</c:v>
                </c:pt>
                <c:pt idx="20">
                  <c:v>5.3103654895826802E-2</c:v>
                </c:pt>
                <c:pt idx="21">
                  <c:v>6.4535434394221269E-2</c:v>
                </c:pt>
                <c:pt idx="22">
                  <c:v>-4.3798709163134109E-2</c:v>
                </c:pt>
                <c:pt idx="23">
                  <c:v>0.17053332925321318</c:v>
                </c:pt>
                <c:pt idx="24">
                  <c:v>0.28828270515682664</c:v>
                </c:pt>
                <c:pt idx="25">
                  <c:v>0.26485296849696627</c:v>
                </c:pt>
                <c:pt idx="26">
                  <c:v>0.36323273365917763</c:v>
                </c:pt>
                <c:pt idx="27">
                  <c:v>0.2375203638797132</c:v>
                </c:pt>
                <c:pt idx="28">
                  <c:v>5.4338761854324069E-2</c:v>
                </c:pt>
                <c:pt idx="29">
                  <c:v>0.17346207908375022</c:v>
                </c:pt>
                <c:pt idx="30">
                  <c:v>6.1102815548126355E-2</c:v>
                </c:pt>
                <c:pt idx="31">
                  <c:v>6.7256975280389764E-2</c:v>
                </c:pt>
                <c:pt idx="32">
                  <c:v>-1.6211453657715369E-2</c:v>
                </c:pt>
                <c:pt idx="33">
                  <c:v>-0.21109339582231157</c:v>
                </c:pt>
                <c:pt idx="34">
                  <c:v>0.10804756375075253</c:v>
                </c:pt>
                <c:pt idx="35">
                  <c:v>0.10625545199614539</c:v>
                </c:pt>
                <c:pt idx="36">
                  <c:v>5.032278068203655E-2</c:v>
                </c:pt>
                <c:pt idx="37">
                  <c:v>0.32372367524807522</c:v>
                </c:pt>
                <c:pt idx="38">
                  <c:v>-1.7814754686110157E-2</c:v>
                </c:pt>
                <c:pt idx="39">
                  <c:v>7.9706259458991457E-2</c:v>
                </c:pt>
                <c:pt idx="40">
                  <c:v>0.26216420920712835</c:v>
                </c:pt>
                <c:pt idx="41">
                  <c:v>1.4432134196309176E-2</c:v>
                </c:pt>
                <c:pt idx="42">
                  <c:v>0.25268529305981535</c:v>
                </c:pt>
                <c:pt idx="43">
                  <c:v>3.7208602759196685E-2</c:v>
                </c:pt>
                <c:pt idx="44">
                  <c:v>2.927764270756783E-2</c:v>
                </c:pt>
                <c:pt idx="45">
                  <c:v>0.12320622611872412</c:v>
                </c:pt>
                <c:pt idx="46">
                  <c:v>1.914232060700316E-2</c:v>
                </c:pt>
                <c:pt idx="47">
                  <c:v>-1.7063523214959075E-2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6-485F-981A-C2D7135450D5}"/>
            </c:ext>
          </c:extLst>
        </c:ser>
        <c:ser>
          <c:idx val="1"/>
          <c:order val="1"/>
          <c:tx>
            <c:strRef>
              <c:f>'Quarterly IIP_Manu'!$A$39</c:f>
              <c:strCache>
                <c:ptCount val="1"/>
                <c:pt idx="0">
                  <c:v>Manufacturing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IIP_Manu'!$F$39:$BA$39</c:f>
              <c:numCache>
                <c:formatCode>0%</c:formatCode>
                <c:ptCount val="48"/>
                <c:pt idx="0">
                  <c:v>0.09</c:v>
                </c:pt>
                <c:pt idx="1">
                  <c:v>7.0000000000000007E-2</c:v>
                </c:pt>
                <c:pt idx="2">
                  <c:v>0.03</c:v>
                </c:pt>
                <c:pt idx="3">
                  <c:v>0.05</c:v>
                </c:pt>
                <c:pt idx="4">
                  <c:v>0.09</c:v>
                </c:pt>
                <c:pt idx="5">
                  <c:v>0.11</c:v>
                </c:pt>
                <c:pt idx="6">
                  <c:v>0.02</c:v>
                </c:pt>
                <c:pt idx="7">
                  <c:v>-0.03</c:v>
                </c:pt>
                <c:pt idx="8">
                  <c:v>-0.14000000000000001</c:v>
                </c:pt>
                <c:pt idx="9">
                  <c:v>-0.14000000000000001</c:v>
                </c:pt>
                <c:pt idx="10">
                  <c:v>-0.13</c:v>
                </c:pt>
                <c:pt idx="11">
                  <c:v>-0.09</c:v>
                </c:pt>
                <c:pt idx="12">
                  <c:v>0.1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0.13</c:v>
                </c:pt>
                <c:pt idx="17">
                  <c:v>0.12</c:v>
                </c:pt>
                <c:pt idx="18">
                  <c:v>0.01</c:v>
                </c:pt>
                <c:pt idx="19">
                  <c:v>0.02</c:v>
                </c:pt>
                <c:pt idx="20">
                  <c:v>0.03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0.1</c:v>
                </c:pt>
                <c:pt idx="24">
                  <c:v>0.12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0.15</c:v>
                </c:pt>
                <c:pt idx="28">
                  <c:v>7.0000000000000007E-2</c:v>
                </c:pt>
                <c:pt idx="29">
                  <c:v>0.16</c:v>
                </c:pt>
                <c:pt idx="30">
                  <c:v>0.13</c:v>
                </c:pt>
                <c:pt idx="31">
                  <c:v>0.09</c:v>
                </c:pt>
                <c:pt idx="32">
                  <c:v>0.06</c:v>
                </c:pt>
                <c:pt idx="33">
                  <c:v>-0.13</c:v>
                </c:pt>
                <c:pt idx="34">
                  <c:v>0.06</c:v>
                </c:pt>
                <c:pt idx="35">
                  <c:v>0.1</c:v>
                </c:pt>
                <c:pt idx="36">
                  <c:v>0.08</c:v>
                </c:pt>
                <c:pt idx="37">
                  <c:v>0.23</c:v>
                </c:pt>
                <c:pt idx="38">
                  <c:v>7.0000000000000007E-2</c:v>
                </c:pt>
                <c:pt idx="39">
                  <c:v>0.06</c:v>
                </c:pt>
                <c:pt idx="40">
                  <c:v>0.11</c:v>
                </c:pt>
                <c:pt idx="41">
                  <c:v>0.1</c:v>
                </c:pt>
                <c:pt idx="42">
                  <c:v>0.09</c:v>
                </c:pt>
                <c:pt idx="43">
                  <c:v>0.14000000000000001</c:v>
                </c:pt>
                <c:pt idx="44">
                  <c:v>0.16</c:v>
                </c:pt>
                <c:pt idx="45">
                  <c:v>-1.9068740892499547E-2</c:v>
                </c:pt>
                <c:pt idx="46">
                  <c:v>-0.11056333195515988</c:v>
                </c:pt>
                <c:pt idx="47">
                  <c:v>-9.1292817163955986E-3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6-485F-981A-C2D713545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Electicity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IIP_Manu'!$A$26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IIP_Manu'!$F$26:$BA$26</c:f>
              <c:numCache>
                <c:formatCode>0%</c:formatCode>
                <c:ptCount val="48"/>
                <c:pt idx="0">
                  <c:v>0.27469802755581507</c:v>
                </c:pt>
                <c:pt idx="1">
                  <c:v>0.17951450398582813</c:v>
                </c:pt>
                <c:pt idx="2">
                  <c:v>0.13574733788052917</c:v>
                </c:pt>
                <c:pt idx="3">
                  <c:v>9.9360369163060458E-2</c:v>
                </c:pt>
                <c:pt idx="4">
                  <c:v>9.5583610667977492E-2</c:v>
                </c:pt>
                <c:pt idx="5">
                  <c:v>6.969231190428693E-2</c:v>
                </c:pt>
                <c:pt idx="6">
                  <c:v>6.2386987065549349E-2</c:v>
                </c:pt>
                <c:pt idx="7">
                  <c:v>8.9039510045559878E-2</c:v>
                </c:pt>
                <c:pt idx="8">
                  <c:v>8.6484102634290405E-2</c:v>
                </c:pt>
                <c:pt idx="9">
                  <c:v>9.3872029250457123E-2</c:v>
                </c:pt>
                <c:pt idx="10">
                  <c:v>8.1429119800682459E-2</c:v>
                </c:pt>
                <c:pt idx="11">
                  <c:v>8.502415790249751E-2</c:v>
                </c:pt>
                <c:pt idx="12">
                  <c:v>7.5002012044271815E-2</c:v>
                </c:pt>
                <c:pt idx="13">
                  <c:v>9.2210553056081057E-2</c:v>
                </c:pt>
                <c:pt idx="14">
                  <c:v>8.3605690022368728E-2</c:v>
                </c:pt>
                <c:pt idx="15">
                  <c:v>6.9566206726545232E-2</c:v>
                </c:pt>
                <c:pt idx="16">
                  <c:v>0.16270144818090371</c:v>
                </c:pt>
                <c:pt idx="17">
                  <c:v>0.12680827883376522</c:v>
                </c:pt>
                <c:pt idx="18">
                  <c:v>0.13743722863455865</c:v>
                </c:pt>
                <c:pt idx="19">
                  <c:v>0.12139585734125213</c:v>
                </c:pt>
                <c:pt idx="20">
                  <c:v>4.9576605602688062E-2</c:v>
                </c:pt>
                <c:pt idx="21">
                  <c:v>6.2627304433686248E-2</c:v>
                </c:pt>
                <c:pt idx="22">
                  <c:v>0.11517278956853083</c:v>
                </c:pt>
                <c:pt idx="23">
                  <c:v>8.8167145650139389E-2</c:v>
                </c:pt>
                <c:pt idx="24">
                  <c:v>0.11007803072692868</c:v>
                </c:pt>
                <c:pt idx="25">
                  <c:v>9.2803780108287492E-2</c:v>
                </c:pt>
                <c:pt idx="26">
                  <c:v>0.10736750360510094</c:v>
                </c:pt>
                <c:pt idx="27">
                  <c:v>8.3999094412281039E-2</c:v>
                </c:pt>
                <c:pt idx="28">
                  <c:v>7.6382848991335184E-2</c:v>
                </c:pt>
                <c:pt idx="29">
                  <c:v>8.7874422340927349E-2</c:v>
                </c:pt>
                <c:pt idx="30">
                  <c:v>6.4917923165749514E-2</c:v>
                </c:pt>
                <c:pt idx="31">
                  <c:v>6.1069562178621473E-2</c:v>
                </c:pt>
                <c:pt idx="32">
                  <c:v>4.4907588666585285E-2</c:v>
                </c:pt>
                <c:pt idx="33">
                  <c:v>-6.4231951024082634E-2</c:v>
                </c:pt>
                <c:pt idx="34">
                  <c:v>2.1989340331205254E-2</c:v>
                </c:pt>
                <c:pt idx="35">
                  <c:v>7.897904784481824E-2</c:v>
                </c:pt>
                <c:pt idx="36">
                  <c:v>6.6833736255599074E-2</c:v>
                </c:pt>
                <c:pt idx="37">
                  <c:v>0.24528492039057959</c:v>
                </c:pt>
                <c:pt idx="38">
                  <c:v>0.12679785948603151</c:v>
                </c:pt>
                <c:pt idx="39">
                  <c:v>0.10850976099701226</c:v>
                </c:pt>
                <c:pt idx="40">
                  <c:v>0.15099838608399985</c:v>
                </c:pt>
                <c:pt idx="41">
                  <c:v>0.10608876584458793</c:v>
                </c:pt>
                <c:pt idx="42">
                  <c:v>0.11817092219734815</c:v>
                </c:pt>
                <c:pt idx="43">
                  <c:v>9.6525701565566502E-2</c:v>
                </c:pt>
                <c:pt idx="44">
                  <c:v>0.13617888540467837</c:v>
                </c:pt>
                <c:pt idx="45">
                  <c:v>4.6122851263692421E-2</c:v>
                </c:pt>
                <c:pt idx="46">
                  <c:v>-0.12942453081563088</c:v>
                </c:pt>
                <c:pt idx="47">
                  <c:v>0.1006886652776311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3-48DE-B418-3E8CF4E49D9F}"/>
            </c:ext>
          </c:extLst>
        </c:ser>
        <c:ser>
          <c:idx val="1"/>
          <c:order val="1"/>
          <c:tx>
            <c:strRef>
              <c:f>'Quarterly IIP_Manu'!$A$40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IIP_Manu'!$F$40:$BA$40</c:f>
              <c:numCache>
                <c:formatCode>0%</c:formatCode>
                <c:ptCount val="48"/>
                <c:pt idx="0">
                  <c:v>0.27</c:v>
                </c:pt>
                <c:pt idx="1">
                  <c:v>0.18</c:v>
                </c:pt>
                <c:pt idx="2">
                  <c:v>0.14000000000000001</c:v>
                </c:pt>
                <c:pt idx="3">
                  <c:v>0.1</c:v>
                </c:pt>
                <c:pt idx="4">
                  <c:v>0.1</c:v>
                </c:pt>
                <c:pt idx="5">
                  <c:v>7.0000000000000007E-2</c:v>
                </c:pt>
                <c:pt idx="6">
                  <c:v>0.06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0.08</c:v>
                </c:pt>
                <c:pt idx="11">
                  <c:v>0.09</c:v>
                </c:pt>
                <c:pt idx="12">
                  <c:v>0.08</c:v>
                </c:pt>
                <c:pt idx="13">
                  <c:v>0.09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0.16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0.05</c:v>
                </c:pt>
                <c:pt idx="21">
                  <c:v>0.06</c:v>
                </c:pt>
                <c:pt idx="22">
                  <c:v>0.12</c:v>
                </c:pt>
                <c:pt idx="23">
                  <c:v>0.09</c:v>
                </c:pt>
                <c:pt idx="24">
                  <c:v>0.11</c:v>
                </c:pt>
                <c:pt idx="25">
                  <c:v>0.09</c:v>
                </c:pt>
                <c:pt idx="26">
                  <c:v>0.11</c:v>
                </c:pt>
                <c:pt idx="27">
                  <c:v>0.08</c:v>
                </c:pt>
                <c:pt idx="28">
                  <c:v>0.08</c:v>
                </c:pt>
                <c:pt idx="29">
                  <c:v>0.09</c:v>
                </c:pt>
                <c:pt idx="30">
                  <c:v>0.06</c:v>
                </c:pt>
                <c:pt idx="31">
                  <c:v>0.06</c:v>
                </c:pt>
                <c:pt idx="32">
                  <c:v>0.04</c:v>
                </c:pt>
                <c:pt idx="33">
                  <c:v>-0.06</c:v>
                </c:pt>
                <c:pt idx="34">
                  <c:v>0.02</c:v>
                </c:pt>
                <c:pt idx="35">
                  <c:v>0.08</c:v>
                </c:pt>
                <c:pt idx="36">
                  <c:v>0.02</c:v>
                </c:pt>
                <c:pt idx="37">
                  <c:v>0.23</c:v>
                </c:pt>
                <c:pt idx="38">
                  <c:v>0.12</c:v>
                </c:pt>
                <c:pt idx="39">
                  <c:v>0.11</c:v>
                </c:pt>
                <c:pt idx="40">
                  <c:v>0.21</c:v>
                </c:pt>
                <c:pt idx="41">
                  <c:v>0.12</c:v>
                </c:pt>
                <c:pt idx="42">
                  <c:v>0.13</c:v>
                </c:pt>
                <c:pt idx="43">
                  <c:v>0.11</c:v>
                </c:pt>
                <c:pt idx="44">
                  <c:v>0.02</c:v>
                </c:pt>
                <c:pt idx="45">
                  <c:v>4.6122851263691977E-2</c:v>
                </c:pt>
                <c:pt idx="46">
                  <c:v>3.7931613908808837E-2</c:v>
                </c:pt>
                <c:pt idx="47">
                  <c:v>5.2888552908634257E-2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03-48DE-B418-3E8CF4E49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Water &amp; waste 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IIP_Manu'!$A$27</c:f>
              <c:strCache>
                <c:ptCount val="1"/>
                <c:pt idx="0">
                  <c:v>Water &amp; waste management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IIP_Manu'!$F$27:$BA$27</c:f>
              <c:numCache>
                <c:formatCode>0%</c:formatCode>
                <c:ptCount val="48"/>
                <c:pt idx="0">
                  <c:v>0.25474568261032249</c:v>
                </c:pt>
                <c:pt idx="1">
                  <c:v>0.13545175260021458</c:v>
                </c:pt>
                <c:pt idx="2">
                  <c:v>0.16279835390946507</c:v>
                </c:pt>
                <c:pt idx="3">
                  <c:v>0.13088891172541373</c:v>
                </c:pt>
                <c:pt idx="4">
                  <c:v>7.6499044644713576E-2</c:v>
                </c:pt>
                <c:pt idx="5">
                  <c:v>0.14142340227861738</c:v>
                </c:pt>
                <c:pt idx="6">
                  <c:v>8.2037488747567888E-2</c:v>
                </c:pt>
                <c:pt idx="7">
                  <c:v>4.7496156180824922E-2</c:v>
                </c:pt>
                <c:pt idx="8">
                  <c:v>7.113570014979409E-2</c:v>
                </c:pt>
                <c:pt idx="9">
                  <c:v>8.3821518711690191E-2</c:v>
                </c:pt>
                <c:pt idx="10">
                  <c:v>2.7927151229298008E-2</c:v>
                </c:pt>
                <c:pt idx="11">
                  <c:v>2.7416511673097776E-2</c:v>
                </c:pt>
                <c:pt idx="12">
                  <c:v>2.151788904200469E-2</c:v>
                </c:pt>
                <c:pt idx="13">
                  <c:v>-2.6610759587482158E-2</c:v>
                </c:pt>
                <c:pt idx="14">
                  <c:v>-1.8595270574567446E-2</c:v>
                </c:pt>
                <c:pt idx="15">
                  <c:v>3.6273367445158744E-3</c:v>
                </c:pt>
                <c:pt idx="16">
                  <c:v>4.0790223137109782E-2</c:v>
                </c:pt>
                <c:pt idx="17">
                  <c:v>0.11826949106659446</c:v>
                </c:pt>
                <c:pt idx="18">
                  <c:v>0.16164655963607832</c:v>
                </c:pt>
                <c:pt idx="19">
                  <c:v>0.12877954226525201</c:v>
                </c:pt>
                <c:pt idx="20">
                  <c:v>3.9464915180545068E-2</c:v>
                </c:pt>
                <c:pt idx="21">
                  <c:v>3.8697227534748579E-2</c:v>
                </c:pt>
                <c:pt idx="22">
                  <c:v>1.6295507215055904E-2</c:v>
                </c:pt>
                <c:pt idx="23">
                  <c:v>1.38381608651168E-2</c:v>
                </c:pt>
                <c:pt idx="24">
                  <c:v>2.8765123127406866E-2</c:v>
                </c:pt>
                <c:pt idx="25">
                  <c:v>-1.4987224437840063E-2</c:v>
                </c:pt>
                <c:pt idx="26">
                  <c:v>6.6215434653581706E-2</c:v>
                </c:pt>
                <c:pt idx="27">
                  <c:v>9.1673325605328815E-2</c:v>
                </c:pt>
                <c:pt idx="28">
                  <c:v>8.6223883277654068E-2</c:v>
                </c:pt>
                <c:pt idx="29">
                  <c:v>9.0055285561314591E-2</c:v>
                </c:pt>
                <c:pt idx="30">
                  <c:v>2.7723733222552172E-2</c:v>
                </c:pt>
                <c:pt idx="31">
                  <c:v>-1.7320031995169072E-2</c:v>
                </c:pt>
                <c:pt idx="32">
                  <c:v>6.2788886905138508E-3</c:v>
                </c:pt>
                <c:pt idx="33">
                  <c:v>-6.1736577718223273E-3</c:v>
                </c:pt>
                <c:pt idx="34">
                  <c:v>7.8253222920480647E-2</c:v>
                </c:pt>
                <c:pt idx="35">
                  <c:v>0.11140376332328961</c:v>
                </c:pt>
                <c:pt idx="36">
                  <c:v>0.1006390703849005</c:v>
                </c:pt>
                <c:pt idx="37">
                  <c:v>0.2244296265552701</c:v>
                </c:pt>
                <c:pt idx="38">
                  <c:v>0.1277792441079979</c:v>
                </c:pt>
                <c:pt idx="39">
                  <c:v>0.2037982359712367</c:v>
                </c:pt>
                <c:pt idx="40">
                  <c:v>0.21666027922959152</c:v>
                </c:pt>
                <c:pt idx="41">
                  <c:v>0.11431306288796428</c:v>
                </c:pt>
                <c:pt idx="42">
                  <c:v>0.12247526493954197</c:v>
                </c:pt>
                <c:pt idx="43">
                  <c:v>5.5012869587184543E-2</c:v>
                </c:pt>
                <c:pt idx="44">
                  <c:v>6.2288948460157423E-2</c:v>
                </c:pt>
                <c:pt idx="45">
                  <c:v>4.0935159817465872E-2</c:v>
                </c:pt>
                <c:pt idx="46">
                  <c:v>6.4778471089952827E-2</c:v>
                </c:pt>
                <c:pt idx="47">
                  <c:v>6.18348022860844E-2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F-45EF-BADB-30DBD2EA4383}"/>
            </c:ext>
          </c:extLst>
        </c:ser>
        <c:ser>
          <c:idx val="1"/>
          <c:order val="1"/>
          <c:tx>
            <c:strRef>
              <c:f>'Quarterly IIP_Manu'!$A$41</c:f>
              <c:strCache>
                <c:ptCount val="1"/>
                <c:pt idx="0">
                  <c:v>Water &amp; waste management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IIP_Manu'!$F$41:$BA$41</c:f>
              <c:numCache>
                <c:formatCode>0%</c:formatCode>
                <c:ptCount val="48"/>
                <c:pt idx="0">
                  <c:v>0.12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0.03</c:v>
                </c:pt>
                <c:pt idx="8">
                  <c:v>0.04</c:v>
                </c:pt>
                <c:pt idx="9">
                  <c:v>0.04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0.01</c:v>
                </c:pt>
                <c:pt idx="16">
                  <c:v>0.04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0.01</c:v>
                </c:pt>
                <c:pt idx="24">
                  <c:v>0.02</c:v>
                </c:pt>
                <c:pt idx="25">
                  <c:v>0.01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0.02</c:v>
                </c:pt>
                <c:pt idx="31">
                  <c:v>0.01</c:v>
                </c:pt>
                <c:pt idx="32">
                  <c:v>0.02</c:v>
                </c:pt>
                <c:pt idx="33">
                  <c:v>0.01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0.04</c:v>
                </c:pt>
                <c:pt idx="38">
                  <c:v>0.05</c:v>
                </c:pt>
                <c:pt idx="39">
                  <c:v>0.06</c:v>
                </c:pt>
                <c:pt idx="40">
                  <c:v>0.05</c:v>
                </c:pt>
                <c:pt idx="41">
                  <c:v>0.05</c:v>
                </c:pt>
                <c:pt idx="42">
                  <c:v>0.03</c:v>
                </c:pt>
                <c:pt idx="43">
                  <c:v>0.02</c:v>
                </c:pt>
                <c:pt idx="44">
                  <c:v>0.03</c:v>
                </c:pt>
                <c:pt idx="45">
                  <c:v>4.0935159817465872E-2</c:v>
                </c:pt>
                <c:pt idx="46">
                  <c:v>2.5958681079086388E-2</c:v>
                </c:pt>
                <c:pt idx="47">
                  <c:v>4.7293229310513052E-2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F-45EF-BADB-30DBD2EA4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Manufacturing of non-metalic mineral products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IIP_Manu'!$A$22</c:f>
              <c:strCache>
                <c:ptCount val="1"/>
                <c:pt idx="0">
                  <c:v>Manufacturing of non-metalic mineral products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IIP_Manu'!$F$22:$BA$22</c:f>
              <c:numCache>
                <c:formatCode>0%</c:formatCode>
                <c:ptCount val="48"/>
                <c:pt idx="0">
                  <c:v>0.25326762497763888</c:v>
                </c:pt>
                <c:pt idx="1">
                  <c:v>0.14769506464059079</c:v>
                </c:pt>
                <c:pt idx="2">
                  <c:v>4.7528843840345614E-2</c:v>
                </c:pt>
                <c:pt idx="3">
                  <c:v>-2.4723318879036338E-3</c:v>
                </c:pt>
                <c:pt idx="4">
                  <c:v>7.9468643521502624E-2</c:v>
                </c:pt>
                <c:pt idx="5">
                  <c:v>-6.9594034797017312E-2</c:v>
                </c:pt>
                <c:pt idx="6">
                  <c:v>-0.13800558541084851</c:v>
                </c:pt>
                <c:pt idx="7">
                  <c:v>9.8182463061005532E-2</c:v>
                </c:pt>
                <c:pt idx="8">
                  <c:v>7.992697460746756E-2</c:v>
                </c:pt>
                <c:pt idx="9">
                  <c:v>0.33714209877388868</c:v>
                </c:pt>
                <c:pt idx="10">
                  <c:v>0.35548337161056209</c:v>
                </c:pt>
                <c:pt idx="11">
                  <c:v>0.23677877514366386</c:v>
                </c:pt>
                <c:pt idx="12">
                  <c:v>0.11375440897079891</c:v>
                </c:pt>
                <c:pt idx="13">
                  <c:v>-0.15020090607840952</c:v>
                </c:pt>
                <c:pt idx="14">
                  <c:v>0.36802805782558101</c:v>
                </c:pt>
                <c:pt idx="15">
                  <c:v>0.55837927179967362</c:v>
                </c:pt>
                <c:pt idx="16">
                  <c:v>0.55619075314653332</c:v>
                </c:pt>
                <c:pt idx="17">
                  <c:v>0.92837067010270413</c:v>
                </c:pt>
                <c:pt idx="18">
                  <c:v>0.12281634114687257</c:v>
                </c:pt>
                <c:pt idx="19">
                  <c:v>0.16833829918543652</c:v>
                </c:pt>
                <c:pt idx="20">
                  <c:v>0.17515360461202656</c:v>
                </c:pt>
                <c:pt idx="21">
                  <c:v>0.11835874321080775</c:v>
                </c:pt>
                <c:pt idx="22">
                  <c:v>0.27320698087291539</c:v>
                </c:pt>
                <c:pt idx="23">
                  <c:v>0.1002779948993473</c:v>
                </c:pt>
                <c:pt idx="24">
                  <c:v>2.9987681165245972E-2</c:v>
                </c:pt>
                <c:pt idx="25">
                  <c:v>-0.20277615797682336</c:v>
                </c:pt>
                <c:pt idx="26">
                  <c:v>0.37755732552420218</c:v>
                </c:pt>
                <c:pt idx="27">
                  <c:v>0.26392855352848432</c:v>
                </c:pt>
                <c:pt idx="28">
                  <c:v>0.33282029112602984</c:v>
                </c:pt>
                <c:pt idx="29">
                  <c:v>0.66923737818797235</c:v>
                </c:pt>
                <c:pt idx="30">
                  <c:v>-6.4182603634122759E-2</c:v>
                </c:pt>
                <c:pt idx="31">
                  <c:v>-0.13375985944396573</c:v>
                </c:pt>
                <c:pt idx="32">
                  <c:v>-4.1891216921300489E-2</c:v>
                </c:pt>
                <c:pt idx="33">
                  <c:v>-0.13085437131559163</c:v>
                </c:pt>
                <c:pt idx="34">
                  <c:v>0.36296367833715748</c:v>
                </c:pt>
                <c:pt idx="35">
                  <c:v>0.52968423758306526</c:v>
                </c:pt>
                <c:pt idx="36">
                  <c:v>0.25634603099464792</c:v>
                </c:pt>
                <c:pt idx="37">
                  <c:v>0.72071747029993749</c:v>
                </c:pt>
                <c:pt idx="38">
                  <c:v>-0.29244535538372252</c:v>
                </c:pt>
                <c:pt idx="39">
                  <c:v>1.5859603801923194E-2</c:v>
                </c:pt>
                <c:pt idx="40">
                  <c:v>7.4930850915726488E-2</c:v>
                </c:pt>
                <c:pt idx="41">
                  <c:v>-0.2223082368569036</c:v>
                </c:pt>
                <c:pt idx="42">
                  <c:v>0.22457673048940086</c:v>
                </c:pt>
                <c:pt idx="43">
                  <c:v>0.12647006136869154</c:v>
                </c:pt>
                <c:pt idx="44">
                  <c:v>9.622271985161146E-2</c:v>
                </c:pt>
                <c:pt idx="45">
                  <c:v>2.7988445975449583E-2</c:v>
                </c:pt>
                <c:pt idx="46">
                  <c:v>0.48619692181789653</c:v>
                </c:pt>
                <c:pt idx="47">
                  <c:v>-0.16225934104471496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8-4975-A08D-7D4A8ADABE50}"/>
            </c:ext>
          </c:extLst>
        </c:ser>
        <c:ser>
          <c:idx val="1"/>
          <c:order val="1"/>
          <c:tx>
            <c:strRef>
              <c:f>'Quarterly IIP_Manu'!$A$36</c:f>
              <c:strCache>
                <c:ptCount val="1"/>
                <c:pt idx="0">
                  <c:v>Manufacturing of non-metalic mineral products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IIP_Manu'!$F$36:$BA$36</c:f>
              <c:numCache>
                <c:formatCode>0%</c:formatCode>
                <c:ptCount val="48"/>
                <c:pt idx="0">
                  <c:v>0.11</c:v>
                </c:pt>
                <c:pt idx="1">
                  <c:v>0.19</c:v>
                </c:pt>
                <c:pt idx="2">
                  <c:v>0.18</c:v>
                </c:pt>
                <c:pt idx="3">
                  <c:v>0.09</c:v>
                </c:pt>
                <c:pt idx="4">
                  <c:v>0.19</c:v>
                </c:pt>
                <c:pt idx="5">
                  <c:v>0.08</c:v>
                </c:pt>
                <c:pt idx="6">
                  <c:v>-0.03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0.21</c:v>
                </c:pt>
                <c:pt idx="10">
                  <c:v>0.22</c:v>
                </c:pt>
                <c:pt idx="11">
                  <c:v>0.15</c:v>
                </c:pt>
                <c:pt idx="12">
                  <c:v>0.09</c:v>
                </c:pt>
                <c:pt idx="13">
                  <c:v>0</c:v>
                </c:pt>
                <c:pt idx="14">
                  <c:v>0.28000000000000003</c:v>
                </c:pt>
                <c:pt idx="15">
                  <c:v>0.4</c:v>
                </c:pt>
                <c:pt idx="16">
                  <c:v>0.33</c:v>
                </c:pt>
                <c:pt idx="17">
                  <c:v>0.45</c:v>
                </c:pt>
                <c:pt idx="18">
                  <c:v>0.06</c:v>
                </c:pt>
                <c:pt idx="19">
                  <c:v>0.11</c:v>
                </c:pt>
                <c:pt idx="20">
                  <c:v>0.09</c:v>
                </c:pt>
                <c:pt idx="21">
                  <c:v>0.05</c:v>
                </c:pt>
                <c:pt idx="22">
                  <c:v>0.18</c:v>
                </c:pt>
                <c:pt idx="23">
                  <c:v>0.03</c:v>
                </c:pt>
                <c:pt idx="24">
                  <c:v>0</c:v>
                </c:pt>
                <c:pt idx="25">
                  <c:v>-0.13</c:v>
                </c:pt>
                <c:pt idx="26">
                  <c:v>0.28000000000000003</c:v>
                </c:pt>
                <c:pt idx="27">
                  <c:v>0.22</c:v>
                </c:pt>
                <c:pt idx="28">
                  <c:v>0.31</c:v>
                </c:pt>
                <c:pt idx="29">
                  <c:v>0.55000000000000004</c:v>
                </c:pt>
                <c:pt idx="30">
                  <c:v>0.05</c:v>
                </c:pt>
                <c:pt idx="31">
                  <c:v>0.01</c:v>
                </c:pt>
                <c:pt idx="32">
                  <c:v>-0.06</c:v>
                </c:pt>
                <c:pt idx="33">
                  <c:v>-0.14000000000000001</c:v>
                </c:pt>
                <c:pt idx="34">
                  <c:v>0.06</c:v>
                </c:pt>
                <c:pt idx="35">
                  <c:v>0.11</c:v>
                </c:pt>
                <c:pt idx="36">
                  <c:v>-0.03</c:v>
                </c:pt>
                <c:pt idx="37">
                  <c:v>0.04</c:v>
                </c:pt>
                <c:pt idx="38">
                  <c:v>0.32</c:v>
                </c:pt>
                <c:pt idx="39">
                  <c:v>0.09</c:v>
                </c:pt>
                <c:pt idx="40">
                  <c:v>0.36</c:v>
                </c:pt>
                <c:pt idx="41">
                  <c:v>0.21</c:v>
                </c:pt>
                <c:pt idx="42">
                  <c:v>-0.08</c:v>
                </c:pt>
                <c:pt idx="43">
                  <c:v>-0.06</c:v>
                </c:pt>
                <c:pt idx="44">
                  <c:v>7.0000000000000007E-2</c:v>
                </c:pt>
                <c:pt idx="45">
                  <c:v>0.21430110432131411</c:v>
                </c:pt>
                <c:pt idx="46">
                  <c:v>-6.2294280171864003E-2</c:v>
                </c:pt>
                <c:pt idx="47">
                  <c:v>9.1884303241522858E-2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08-4975-A08D-7D4A8ADAB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346364</xdr:colOff>
      <xdr:row>58</xdr:row>
      <xdr:rowOff>38485</xdr:rowOff>
    </xdr:from>
    <xdr:to>
      <xdr:col>15</xdr:col>
      <xdr:colOff>38973</xdr:colOff>
      <xdr:row>76</xdr:row>
      <xdr:rowOff>102658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170233</xdr:colOff>
      <xdr:row>41</xdr:row>
      <xdr:rowOff>114543</xdr:rowOff>
    </xdr:from>
    <xdr:to>
      <xdr:col>27</xdr:col>
      <xdr:colOff>577952</xdr:colOff>
      <xdr:row>56</xdr:row>
      <xdr:rowOff>182802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221288</xdr:colOff>
      <xdr:row>41</xdr:row>
      <xdr:rowOff>76970</xdr:rowOff>
    </xdr:from>
    <xdr:to>
      <xdr:col>15</xdr:col>
      <xdr:colOff>44932</xdr:colOff>
      <xdr:row>57</xdr:row>
      <xdr:rowOff>19242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87888</xdr:colOff>
      <xdr:row>58</xdr:row>
      <xdr:rowOff>11937</xdr:rowOff>
    </xdr:from>
    <xdr:to>
      <xdr:col>27</xdr:col>
      <xdr:colOff>497927</xdr:colOff>
      <xdr:row>76</xdr:row>
      <xdr:rowOff>86591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305762</xdr:colOff>
      <xdr:row>77</xdr:row>
      <xdr:rowOff>72159</xdr:rowOff>
    </xdr:from>
    <xdr:to>
      <xdr:col>15</xdr:col>
      <xdr:colOff>28865</xdr:colOff>
      <xdr:row>94</xdr:row>
      <xdr:rowOff>140662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230908</xdr:colOff>
      <xdr:row>78</xdr:row>
      <xdr:rowOff>0</xdr:rowOff>
    </xdr:from>
    <xdr:to>
      <xdr:col>27</xdr:col>
      <xdr:colOff>400050</xdr:colOff>
      <xdr:row>94</xdr:row>
      <xdr:rowOff>19242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235143</xdr:colOff>
      <xdr:row>95</xdr:row>
      <xdr:rowOff>94673</xdr:rowOff>
    </xdr:from>
    <xdr:to>
      <xdr:col>14</xdr:col>
      <xdr:colOff>564382</xdr:colOff>
      <xdr:row>112</xdr:row>
      <xdr:rowOff>163176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230909</xdr:colOff>
      <xdr:row>94</xdr:row>
      <xdr:rowOff>86590</xdr:rowOff>
    </xdr:from>
    <xdr:to>
      <xdr:col>27</xdr:col>
      <xdr:colOff>432955</xdr:colOff>
      <xdr:row>112</xdr:row>
      <xdr:rowOff>134695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211667</xdr:colOff>
      <xdr:row>114</xdr:row>
      <xdr:rowOff>66675</xdr:rowOff>
    </xdr:from>
    <xdr:to>
      <xdr:col>14</xdr:col>
      <xdr:colOff>336742</xdr:colOff>
      <xdr:row>131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240468</xdr:colOff>
      <xdr:row>114</xdr:row>
      <xdr:rowOff>67319</xdr:rowOff>
    </xdr:from>
    <xdr:to>
      <xdr:col>28</xdr:col>
      <xdr:colOff>287483</xdr:colOff>
      <xdr:row>131</xdr:row>
      <xdr:rowOff>182226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230909</xdr:colOff>
      <xdr:row>132</xdr:row>
      <xdr:rowOff>126903</xdr:rowOff>
    </xdr:from>
    <xdr:to>
      <xdr:col>14</xdr:col>
      <xdr:colOff>368782</xdr:colOff>
      <xdr:row>150</xdr:row>
      <xdr:rowOff>12603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257175</xdr:colOff>
      <xdr:row>133</xdr:row>
      <xdr:rowOff>28575</xdr:rowOff>
    </xdr:from>
    <xdr:to>
      <xdr:col>28</xdr:col>
      <xdr:colOff>47626</xdr:colOff>
      <xdr:row>150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314325</xdr:colOff>
      <xdr:row>41</xdr:row>
      <xdr:rowOff>115455</xdr:rowOff>
    </xdr:from>
    <xdr:to>
      <xdr:col>41</xdr:col>
      <xdr:colOff>28365</xdr:colOff>
      <xdr:row>60</xdr:row>
      <xdr:rowOff>67348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0EC495-D7D8-41F1-85C6-D0C79DA7A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_%20GDP%20Details%202023Q1.xlsx" TargetMode="External"/><Relationship Id="rId1" Type="http://schemas.openxmlformats.org/officeDocument/2006/relationships/externalLinkPath" Target="file:///C:\Users\user\Downloads\R_%20GDP%20Details%202023Q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DP CP"/>
      <sheetName val="GDP SH"/>
      <sheetName val="GDP KP"/>
      <sheetName val="GDP Gr"/>
      <sheetName val="GDP Contr"/>
      <sheetName val="GDP DF"/>
    </sheetNames>
    <sheetDataSet>
      <sheetData sheetId="0" refreshError="1"/>
      <sheetData sheetId="1" refreshError="1"/>
      <sheetData sheetId="2" refreshError="1">
        <row r="3">
          <cell r="AN3">
            <v>1678.1866460883966</v>
          </cell>
          <cell r="AO3">
            <v>1724.0241638982463</v>
          </cell>
          <cell r="AP3">
            <v>1776.043582256777</v>
          </cell>
          <cell r="AQ3">
            <v>1807.9799792124068</v>
          </cell>
          <cell r="AR3">
            <v>1858.100932319704</v>
          </cell>
          <cell r="AS3">
            <v>1871.3938577589129</v>
          </cell>
          <cell r="AT3">
            <v>1832.6552630900774</v>
          </cell>
          <cell r="AU3">
            <v>1841.2145754901285</v>
          </cell>
          <cell r="AV3">
            <v>1862.0016686928641</v>
          </cell>
          <cell r="AW3">
            <v>1904.2100633875427</v>
          </cell>
          <cell r="AX3">
            <v>1954.5927972728541</v>
          </cell>
          <cell r="AY3">
            <v>1973.4296503395142</v>
          </cell>
          <cell r="AZ3">
            <v>2042.9711372436927</v>
          </cell>
          <cell r="BA3">
            <v>2052.4439147277003</v>
          </cell>
          <cell r="BB3">
            <v>2092.7854921741668</v>
          </cell>
          <cell r="BC3">
            <v>2162.825697242175</v>
          </cell>
          <cell r="BD3">
            <v>2168.5491556980869</v>
          </cell>
          <cell r="BE3">
            <v>2305.8508168517869</v>
          </cell>
          <cell r="BF3">
            <v>2321.6947930208685</v>
          </cell>
          <cell r="BG3">
            <v>2345.1293019405803</v>
          </cell>
          <cell r="BH3">
            <v>2248.8116862030561</v>
          </cell>
          <cell r="BI3">
            <v>2017.535764118589</v>
          </cell>
          <cell r="BJ3">
            <v>2236.0041201781514</v>
          </cell>
          <cell r="BK3">
            <v>2330.2176546450301</v>
          </cell>
          <cell r="BL3">
            <v>2327.979903840821</v>
          </cell>
          <cell r="BM3">
            <v>2433.9713949416728</v>
          </cell>
          <cell r="BN3">
            <v>2461.7859937662051</v>
          </cell>
          <cell r="BO3">
            <v>2569.4414095007246</v>
          </cell>
          <cell r="BP3">
            <v>2511.4536755842464</v>
          </cell>
          <cell r="BQ3">
            <v>2615.8269514577269</v>
          </cell>
          <cell r="BR3">
            <v>2708.8521097979324</v>
          </cell>
          <cell r="BS3">
            <v>2756.2073886536323</v>
          </cell>
          <cell r="BT3">
            <v>2741.8263643937316</v>
          </cell>
          <cell r="BU3">
            <v>2779.5036457738338</v>
          </cell>
        </row>
        <row r="5">
          <cell r="AN5">
            <v>454.11384097075643</v>
          </cell>
          <cell r="AO5">
            <v>466.64421883956669</v>
          </cell>
          <cell r="AP5">
            <v>471.92738849585623</v>
          </cell>
          <cell r="AQ5">
            <v>470.38715011731557</v>
          </cell>
          <cell r="AR5">
            <v>498.5507743744825</v>
          </cell>
          <cell r="AS5">
            <v>491.0466889260598</v>
          </cell>
          <cell r="AT5">
            <v>471.7343211084642</v>
          </cell>
          <cell r="AU5">
            <v>474.03160337653514</v>
          </cell>
          <cell r="AV5">
            <v>500.74658213751638</v>
          </cell>
          <cell r="AW5">
            <v>507.03336110613645</v>
          </cell>
          <cell r="AX5">
            <v>502.94704367467</v>
          </cell>
          <cell r="AY5">
            <v>516.35268261433589</v>
          </cell>
          <cell r="AZ5">
            <v>545.88201516500067</v>
          </cell>
          <cell r="BA5">
            <v>542.71045716002959</v>
          </cell>
          <cell r="BB5">
            <v>525.80307467495072</v>
          </cell>
          <cell r="BC5">
            <v>536.5966093344199</v>
          </cell>
          <cell r="BD5">
            <v>567.8929930923091</v>
          </cell>
          <cell r="BE5">
            <v>570.1601010120354</v>
          </cell>
          <cell r="BF5">
            <v>560.53381305442599</v>
          </cell>
          <cell r="BG5">
            <v>560.52148996086021</v>
          </cell>
          <cell r="BH5">
            <v>565.0437769454129</v>
          </cell>
          <cell r="BI5">
            <v>561.14133771420552</v>
          </cell>
          <cell r="BJ5">
            <v>572.84870978626714</v>
          </cell>
          <cell r="BK5">
            <v>579.46341878971293</v>
          </cell>
          <cell r="BL5">
            <v>603.38542077579405</v>
          </cell>
          <cell r="BM5">
            <v>602.00021161246968</v>
          </cell>
          <cell r="BN5">
            <v>609.24367246108193</v>
          </cell>
          <cell r="BO5">
            <v>608.96181531200682</v>
          </cell>
          <cell r="BP5">
            <v>607.11474346563466</v>
          </cell>
          <cell r="BQ5">
            <v>613.71780298974602</v>
          </cell>
          <cell r="BR5">
            <v>617.65028777468558</v>
          </cell>
          <cell r="BS5">
            <v>622.75718023556874</v>
          </cell>
          <cell r="BT5">
            <v>611.73977134698828</v>
          </cell>
          <cell r="BU5">
            <v>612.98858605077635</v>
          </cell>
        </row>
        <row r="6">
          <cell r="AN6">
            <v>306.71999631158684</v>
          </cell>
          <cell r="AO6">
            <v>306.71999631158684</v>
          </cell>
          <cell r="AP6">
            <v>292.71826779490732</v>
          </cell>
          <cell r="AQ6">
            <v>292.71826779490732</v>
          </cell>
          <cell r="AR6">
            <v>328.08296123510883</v>
          </cell>
          <cell r="AS6">
            <v>328.08296123510883</v>
          </cell>
          <cell r="AT6">
            <v>289.57724643674612</v>
          </cell>
          <cell r="AU6">
            <v>289.57724643674612</v>
          </cell>
          <cell r="AV6">
            <v>331.59223463232064</v>
          </cell>
          <cell r="AW6">
            <v>331.59223463232064</v>
          </cell>
          <cell r="AX6">
            <v>316.69402958791392</v>
          </cell>
          <cell r="AY6">
            <v>316.69402958791392</v>
          </cell>
          <cell r="AZ6">
            <v>358.5549618482608</v>
          </cell>
          <cell r="BA6">
            <v>358.5549618482608</v>
          </cell>
          <cell r="BB6">
            <v>328.02645889743786</v>
          </cell>
          <cell r="BC6">
            <v>328.02645889743786</v>
          </cell>
          <cell r="BD6">
            <v>371.75351008066662</v>
          </cell>
          <cell r="BE6">
            <v>371.75351008066662</v>
          </cell>
          <cell r="BF6">
            <v>342.39408355343943</v>
          </cell>
          <cell r="BG6">
            <v>342.39408355343943</v>
          </cell>
          <cell r="BH6">
            <v>365.11011707575278</v>
          </cell>
          <cell r="BI6">
            <v>365.11011707575278</v>
          </cell>
          <cell r="BJ6">
            <v>351.34211799457159</v>
          </cell>
          <cell r="BK6">
            <v>351.34211799457159</v>
          </cell>
          <cell r="BL6">
            <v>390.7091778308419</v>
          </cell>
          <cell r="BM6">
            <v>390.7091778308419</v>
          </cell>
          <cell r="BN6">
            <v>373.84021406331448</v>
          </cell>
          <cell r="BO6">
            <v>373.84021406331448</v>
          </cell>
          <cell r="BP6">
            <v>386.11039851118278</v>
          </cell>
          <cell r="BQ6">
            <v>386.11039851118278</v>
          </cell>
          <cell r="BR6">
            <v>371.7744199389748</v>
          </cell>
          <cell r="BS6">
            <v>371.7744199389748</v>
          </cell>
          <cell r="BT6">
            <v>373.66696736692182</v>
          </cell>
          <cell r="BU6">
            <v>373.66696736692182</v>
          </cell>
        </row>
        <row r="7">
          <cell r="AN7">
            <v>50.77465783626527</v>
          </cell>
          <cell r="AO7">
            <v>50.77465783626527</v>
          </cell>
          <cell r="AP7">
            <v>36.051124820339339</v>
          </cell>
          <cell r="AQ7">
            <v>36.051124820339339</v>
          </cell>
          <cell r="AR7">
            <v>56.224193400351503</v>
          </cell>
          <cell r="AS7">
            <v>56.224193400351503</v>
          </cell>
          <cell r="AT7">
            <v>37.578357443999401</v>
          </cell>
          <cell r="AU7">
            <v>37.578357443999401</v>
          </cell>
          <cell r="AV7">
            <v>55.350827324141427</v>
          </cell>
          <cell r="AW7">
            <v>55.350827324141427</v>
          </cell>
          <cell r="AX7">
            <v>41.073711573457324</v>
          </cell>
          <cell r="AY7">
            <v>41.073711573457324</v>
          </cell>
          <cell r="AZ7">
            <v>61.07040056237404</v>
          </cell>
          <cell r="BA7">
            <v>61.07040056237404</v>
          </cell>
          <cell r="BB7">
            <v>41.195105457569063</v>
          </cell>
          <cell r="BC7">
            <v>41.195105457569063</v>
          </cell>
          <cell r="BD7">
            <v>61.356925734454009</v>
          </cell>
          <cell r="BE7">
            <v>61.356925734454009</v>
          </cell>
          <cell r="BF7">
            <v>45.229649419563266</v>
          </cell>
          <cell r="BG7">
            <v>45.229649419563266</v>
          </cell>
          <cell r="BH7">
            <v>62.956442931470143</v>
          </cell>
          <cell r="BI7">
            <v>62.956442931470143</v>
          </cell>
          <cell r="BJ7">
            <v>44.963686426633039</v>
          </cell>
          <cell r="BK7">
            <v>44.963686426633039</v>
          </cell>
          <cell r="BL7">
            <v>68.936550690191666</v>
          </cell>
          <cell r="BM7">
            <v>68.936550690191666</v>
          </cell>
          <cell r="BN7">
            <v>47.835890184520608</v>
          </cell>
          <cell r="BO7">
            <v>47.835890184520608</v>
          </cell>
          <cell r="BP7">
            <v>66.29357340945019</v>
          </cell>
          <cell r="BQ7">
            <v>66.29357340945019</v>
          </cell>
          <cell r="BR7">
            <v>51.093824230879271</v>
          </cell>
          <cell r="BS7">
            <v>51.093824230879271</v>
          </cell>
          <cell r="BT7">
            <v>70.762391478692152</v>
          </cell>
          <cell r="BU7">
            <v>70.762391478692152</v>
          </cell>
        </row>
        <row r="8">
          <cell r="AN8">
            <v>90.642639549427159</v>
          </cell>
          <cell r="AO8">
            <v>90.642639549427159</v>
          </cell>
          <cell r="AP8">
            <v>94.727119234144837</v>
          </cell>
          <cell r="AQ8">
            <v>94.727119234144837</v>
          </cell>
          <cell r="AR8">
            <v>94.296423116336484</v>
          </cell>
          <cell r="AS8">
            <v>94.296423116336484</v>
          </cell>
          <cell r="AT8">
            <v>91.294301403350048</v>
          </cell>
          <cell r="AU8">
            <v>91.294301403350048</v>
          </cell>
          <cell r="AV8">
            <v>104.22198097778076</v>
          </cell>
          <cell r="AW8">
            <v>104.22198097778076</v>
          </cell>
          <cell r="AX8">
            <v>114.70428923254876</v>
          </cell>
          <cell r="AY8">
            <v>114.70428923254876</v>
          </cell>
          <cell r="AZ8">
            <v>115.22721612880142</v>
          </cell>
          <cell r="BA8">
            <v>115.22721612880142</v>
          </cell>
          <cell r="BB8">
            <v>119.62722595693275</v>
          </cell>
          <cell r="BC8">
            <v>119.62722595693275</v>
          </cell>
          <cell r="BD8">
            <v>120.90774957555179</v>
          </cell>
          <cell r="BE8">
            <v>120.90774957555179</v>
          </cell>
          <cell r="BF8">
            <v>126.57253073352477</v>
          </cell>
          <cell r="BG8">
            <v>126.57253073352477</v>
          </cell>
          <cell r="BH8">
            <v>118.19169024808951</v>
          </cell>
          <cell r="BI8">
            <v>118.19169024808951</v>
          </cell>
          <cell r="BJ8">
            <v>126.55436956797172</v>
          </cell>
          <cell r="BK8">
            <v>126.55436956797172</v>
          </cell>
          <cell r="BL8">
            <v>125.35875281425783</v>
          </cell>
          <cell r="BM8">
            <v>125.35875281425783</v>
          </cell>
          <cell r="BN8">
            <v>133.12296049469421</v>
          </cell>
          <cell r="BO8">
            <v>133.12296049469421</v>
          </cell>
          <cell r="BP8">
            <v>130.92124819502709</v>
          </cell>
          <cell r="BQ8">
            <v>130.92124819502709</v>
          </cell>
          <cell r="BR8">
            <v>130.88608276605885</v>
          </cell>
          <cell r="BS8">
            <v>130.88608276605885</v>
          </cell>
          <cell r="BT8">
            <v>124.54652152679462</v>
          </cell>
          <cell r="BU8">
            <v>124.54652152679462</v>
          </cell>
        </row>
        <row r="9">
          <cell r="AN9">
            <v>96.956556476229565</v>
          </cell>
          <cell r="AO9">
            <v>96.956556476229565</v>
          </cell>
          <cell r="AP9">
            <v>88.481816831152415</v>
          </cell>
          <cell r="AQ9">
            <v>88.481816831152415</v>
          </cell>
          <cell r="AR9">
            <v>98.630456168994328</v>
          </cell>
          <cell r="AS9">
            <v>98.630456168994328</v>
          </cell>
          <cell r="AT9">
            <v>94.125892972210522</v>
          </cell>
          <cell r="AU9">
            <v>94.125892972210522</v>
          </cell>
          <cell r="AV9">
            <v>88.38811101616362</v>
          </cell>
          <cell r="AW9">
            <v>88.38811101616362</v>
          </cell>
          <cell r="AX9">
            <v>100.22659887793276</v>
          </cell>
          <cell r="AY9">
            <v>100.22659887793276</v>
          </cell>
          <cell r="AZ9">
            <v>102.99903291688207</v>
          </cell>
          <cell r="BA9">
            <v>102.99903291688207</v>
          </cell>
          <cell r="BB9">
            <v>101.17421149630994</v>
          </cell>
          <cell r="BC9">
            <v>101.17421149630994</v>
          </cell>
          <cell r="BD9">
            <v>103.27145579302308</v>
          </cell>
          <cell r="BE9">
            <v>103.27145579302308</v>
          </cell>
          <cell r="BF9">
            <v>102.34036621747062</v>
          </cell>
          <cell r="BG9">
            <v>102.34036621747062</v>
          </cell>
          <cell r="BH9">
            <v>95.561626805690551</v>
          </cell>
          <cell r="BI9">
            <v>95.561626805690551</v>
          </cell>
          <cell r="BJ9">
            <v>103.61332142088497</v>
          </cell>
          <cell r="BK9">
            <v>103.61332142088497</v>
          </cell>
          <cell r="BL9">
            <v>103.8227846967753</v>
          </cell>
          <cell r="BM9">
            <v>103.8227846967753</v>
          </cell>
          <cell r="BN9">
            <v>111.97653656639457</v>
          </cell>
          <cell r="BO9">
            <v>111.97653656639457</v>
          </cell>
          <cell r="BP9">
            <v>94.145097066903531</v>
          </cell>
          <cell r="BQ9">
            <v>94.145097066903531</v>
          </cell>
          <cell r="BR9">
            <v>106.35163205324221</v>
          </cell>
          <cell r="BS9">
            <v>106.35163205324221</v>
          </cell>
          <cell r="BT9">
            <v>81.776315318225215</v>
          </cell>
          <cell r="BU9">
            <v>81.776315318225215</v>
          </cell>
        </row>
        <row r="10">
          <cell r="AN10">
            <v>75.961672952898553</v>
          </cell>
          <cell r="AO10">
            <v>75.961672952898553</v>
          </cell>
          <cell r="AP10">
            <v>67.016419204026192</v>
          </cell>
          <cell r="AQ10">
            <v>67.016419204026192</v>
          </cell>
          <cell r="AR10">
            <v>76.965688418369766</v>
          </cell>
          <cell r="AS10">
            <v>76.965688418369766</v>
          </cell>
          <cell r="AT10">
            <v>64.947443078478386</v>
          </cell>
          <cell r="AU10">
            <v>64.947443078478386</v>
          </cell>
          <cell r="AV10">
            <v>80.558123726335964</v>
          </cell>
          <cell r="AW10">
            <v>80.558123726335964</v>
          </cell>
          <cell r="AX10">
            <v>58.106353947289435</v>
          </cell>
          <cell r="AY10">
            <v>58.106353947289435</v>
          </cell>
          <cell r="AZ10">
            <v>75.967856399239437</v>
          </cell>
          <cell r="BA10">
            <v>75.967856399239437</v>
          </cell>
          <cell r="BB10">
            <v>63.405633495970712</v>
          </cell>
          <cell r="BC10">
            <v>63.405633495970712</v>
          </cell>
          <cell r="BD10">
            <v>83.495302667960573</v>
          </cell>
          <cell r="BE10">
            <v>83.495302667960573</v>
          </cell>
          <cell r="BF10">
            <v>65.517690345848649</v>
          </cell>
          <cell r="BG10">
            <v>65.517690345848649</v>
          </cell>
          <cell r="BH10">
            <v>86.497725152448979</v>
          </cell>
          <cell r="BI10">
            <v>86.497725152448979</v>
          </cell>
          <cell r="BJ10">
            <v>73.368957815798993</v>
          </cell>
          <cell r="BK10">
            <v>73.368957815798993</v>
          </cell>
          <cell r="BL10">
            <v>90.461022568610133</v>
          </cell>
          <cell r="BM10">
            <v>90.461022568610133</v>
          </cell>
          <cell r="BN10">
            <v>77.953905002868424</v>
          </cell>
          <cell r="BO10">
            <v>77.953905002868424</v>
          </cell>
          <cell r="BP10">
            <v>92.827968895720716</v>
          </cell>
          <cell r="BQ10">
            <v>92.827968895720716</v>
          </cell>
          <cell r="BR10">
            <v>80.164157798644325</v>
          </cell>
          <cell r="BS10">
            <v>80.164157798644325</v>
          </cell>
          <cell r="BT10">
            <v>94.930245840634967</v>
          </cell>
          <cell r="BU10">
            <v>94.930245840634967</v>
          </cell>
        </row>
        <row r="11">
          <cell r="AN11">
            <v>1.913922130684691</v>
          </cell>
          <cell r="AO11">
            <v>1.913922130684691</v>
          </cell>
          <cell r="AP11">
            <v>1.8066272948926292</v>
          </cell>
          <cell r="AQ11">
            <v>1.8066272948926292</v>
          </cell>
          <cell r="AR11">
            <v>1.9662001310567228</v>
          </cell>
          <cell r="AS11">
            <v>1.9662001310567228</v>
          </cell>
          <cell r="AT11">
            <v>1.631251538707744</v>
          </cell>
          <cell r="AU11">
            <v>1.631251538707744</v>
          </cell>
          <cell r="AV11">
            <v>3.0731915878988696</v>
          </cell>
          <cell r="AW11">
            <v>3.0731915878988696</v>
          </cell>
          <cell r="AX11">
            <v>2.583075956685589</v>
          </cell>
          <cell r="AY11">
            <v>2.583075956685589</v>
          </cell>
          <cell r="AZ11">
            <v>3.2904558409638112</v>
          </cell>
          <cell r="BA11">
            <v>3.2904558409638112</v>
          </cell>
          <cell r="BB11">
            <v>2.6242824906554159</v>
          </cell>
          <cell r="BC11">
            <v>2.6242824906554159</v>
          </cell>
          <cell r="BD11">
            <v>2.722076309677147</v>
          </cell>
          <cell r="BE11">
            <v>2.722076309677147</v>
          </cell>
          <cell r="BF11">
            <v>2.7338468370321172</v>
          </cell>
          <cell r="BG11">
            <v>2.7338468370321172</v>
          </cell>
          <cell r="BH11">
            <v>1.9026319380535841</v>
          </cell>
          <cell r="BI11">
            <v>1.9026319380535841</v>
          </cell>
          <cell r="BJ11">
            <v>2.8417827632828816</v>
          </cell>
          <cell r="BK11">
            <v>2.8417827632828816</v>
          </cell>
          <cell r="BL11">
            <v>2.1300670610069972</v>
          </cell>
          <cell r="BM11">
            <v>2.1300670610069972</v>
          </cell>
          <cell r="BN11">
            <v>2.9509218148366783</v>
          </cell>
          <cell r="BO11">
            <v>2.9509218148366783</v>
          </cell>
          <cell r="BP11">
            <v>1.9225109440813106</v>
          </cell>
          <cell r="BQ11">
            <v>1.9225109440813106</v>
          </cell>
          <cell r="BR11">
            <v>3.2787230901500695</v>
          </cell>
          <cell r="BS11">
            <v>3.2787230901500695</v>
          </cell>
          <cell r="BT11">
            <v>1.6514932025748348</v>
          </cell>
          <cell r="BU11">
            <v>1.6514932025748348</v>
          </cell>
        </row>
        <row r="12">
          <cell r="AN12">
            <v>18.856805941666014</v>
          </cell>
          <cell r="AO12">
            <v>29.127241748633338</v>
          </cell>
          <cell r="AP12">
            <v>44.141614803896296</v>
          </cell>
          <cell r="AQ12">
            <v>40.342549425333182</v>
          </cell>
          <cell r="AR12">
            <v>31.988088655426321</v>
          </cell>
          <cell r="AS12">
            <v>22.863666965813643</v>
          </cell>
          <cell r="AT12">
            <v>39.880606053600239</v>
          </cell>
          <cell r="AU12">
            <v>40.970311606592723</v>
          </cell>
          <cell r="AV12">
            <v>24.209856087297396</v>
          </cell>
          <cell r="AW12">
            <v>28.474895493406592</v>
          </cell>
          <cell r="AX12">
            <v>37.122678737978369</v>
          </cell>
          <cell r="AY12">
            <v>48.044145642794994</v>
          </cell>
          <cell r="AZ12">
            <v>33.805650550136363</v>
          </cell>
          <cell r="BA12">
            <v>28.109491987412547</v>
          </cell>
          <cell r="BB12">
            <v>38.786696114072093</v>
          </cell>
          <cell r="BC12">
            <v>46.681017876009093</v>
          </cell>
          <cell r="BD12">
            <v>31.518612897002722</v>
          </cell>
          <cell r="BE12">
            <v>30.331010398387239</v>
          </cell>
          <cell r="BF12">
            <v>47.553617638057382</v>
          </cell>
          <cell r="BG12">
            <v>44.664697036593353</v>
          </cell>
          <cell r="BH12">
            <v>26.557408758935427</v>
          </cell>
          <cell r="BI12">
            <v>24.654536457758468</v>
          </cell>
          <cell r="BJ12">
            <v>43.58676422662311</v>
          </cell>
          <cell r="BK12">
            <v>44.761597056021671</v>
          </cell>
          <cell r="BL12">
            <v>28.427411602136683</v>
          </cell>
          <cell r="BM12">
            <v>24.123817250836318</v>
          </cell>
          <cell r="BN12">
            <v>44.609971021166807</v>
          </cell>
          <cell r="BO12">
            <v>41.635139630692969</v>
          </cell>
          <cell r="BP12">
            <v>24.489871090564073</v>
          </cell>
          <cell r="BQ12">
            <v>28.129686311372971</v>
          </cell>
          <cell r="BR12">
            <v>44.361601128674288</v>
          </cell>
          <cell r="BS12">
            <v>46.674062652616861</v>
          </cell>
          <cell r="BT12">
            <v>30.532508211862609</v>
          </cell>
          <cell r="BU12">
            <v>28.710711410332884</v>
          </cell>
        </row>
        <row r="13">
          <cell r="AN13">
            <v>3.3726408898008851</v>
          </cell>
          <cell r="AO13">
            <v>14.070221267576246</v>
          </cell>
          <cell r="AP13">
            <v>30.700047760478597</v>
          </cell>
          <cell r="AQ13">
            <v>21.159553530657199</v>
          </cell>
          <cell r="AR13">
            <v>13.006234681625266</v>
          </cell>
          <cell r="AS13">
            <v>8.8009251116071461</v>
          </cell>
          <cell r="AT13">
            <v>26.467288019302494</v>
          </cell>
          <cell r="AU13">
            <v>22.193784650990398</v>
          </cell>
          <cell r="AV13">
            <v>7.9379148323935276</v>
          </cell>
          <cell r="AW13">
            <v>11.232259093552422</v>
          </cell>
          <cell r="AX13">
            <v>24.957856006475449</v>
          </cell>
          <cell r="AY13">
            <v>26.859900511553665</v>
          </cell>
          <cell r="AZ13">
            <v>14.7471501399478</v>
          </cell>
          <cell r="BA13">
            <v>12.663979384895628</v>
          </cell>
          <cell r="BB13">
            <v>24.693029174303998</v>
          </cell>
          <cell r="BC13">
            <v>27.164339169378977</v>
          </cell>
          <cell r="BD13">
            <v>14.978685086702496</v>
          </cell>
          <cell r="BE13">
            <v>15.308006210048131</v>
          </cell>
          <cell r="BF13">
            <v>30.120268656280611</v>
          </cell>
          <cell r="BG13">
            <v>24.184237198601814</v>
          </cell>
          <cell r="BH13">
            <v>9.3330876230057509</v>
          </cell>
          <cell r="BI13">
            <v>10.433434097957738</v>
          </cell>
          <cell r="BJ13">
            <v>28.347433453233098</v>
          </cell>
          <cell r="BK13">
            <v>24.495878675393541</v>
          </cell>
          <cell r="BL13">
            <v>12.165403051823532</v>
          </cell>
          <cell r="BM13">
            <v>8.9336438565867482</v>
          </cell>
          <cell r="BN13">
            <v>29.690089674098417</v>
          </cell>
          <cell r="BO13">
            <v>20.822922907165374</v>
          </cell>
          <cell r="BP13">
            <v>7.1628061666642333</v>
          </cell>
          <cell r="BQ13">
            <v>10.615549907840771</v>
          </cell>
          <cell r="BR13">
            <v>27.550948086271013</v>
          </cell>
          <cell r="BS13">
            <v>24.364377567328081</v>
          </cell>
          <cell r="BT13">
            <v>11.014125510175978</v>
          </cell>
          <cell r="BU13">
            <v>9.441606662015678</v>
          </cell>
        </row>
        <row r="14">
          <cell r="AN14">
            <v>5.7424880411926917</v>
          </cell>
          <cell r="AO14">
            <v>5.8299937783319207</v>
          </cell>
          <cell r="AP14">
            <v>3.3111639695890891</v>
          </cell>
          <cell r="AQ14">
            <v>5.6307389394367435</v>
          </cell>
          <cell r="AR14">
            <v>6.5822758021806393</v>
          </cell>
          <cell r="AS14">
            <v>5.8699872038576153</v>
          </cell>
          <cell r="AT14">
            <v>2.5419745072258353</v>
          </cell>
          <cell r="AU14">
            <v>5.8783477752920632</v>
          </cell>
          <cell r="AV14">
            <v>5.8583913893086477</v>
          </cell>
          <cell r="AW14">
            <v>6.3242903644197437</v>
          </cell>
          <cell r="AX14">
            <v>3.2886273060041527</v>
          </cell>
          <cell r="AY14">
            <v>7.0609573116852973</v>
          </cell>
          <cell r="AZ14">
            <v>7.19370366416255</v>
          </cell>
          <cell r="BA14">
            <v>7.3610101495202489</v>
          </cell>
          <cell r="BB14">
            <v>3.9640647861871718</v>
          </cell>
          <cell r="BC14">
            <v>6.704915833760535</v>
          </cell>
          <cell r="BD14">
            <v>6.673591113669799</v>
          </cell>
          <cell r="BE14">
            <v>7.1494033424500536</v>
          </cell>
          <cell r="BF14">
            <v>5.1133328624677512</v>
          </cell>
          <cell r="BG14">
            <v>6.9774032171609717</v>
          </cell>
          <cell r="BH14">
            <v>8.0571940657881065</v>
          </cell>
          <cell r="BI14">
            <v>7.2320915767695144</v>
          </cell>
          <cell r="BJ14">
            <v>4.0507269676964537</v>
          </cell>
          <cell r="BK14">
            <v>7.5776357366038338</v>
          </cell>
          <cell r="BL14">
            <v>7.9899348784877224</v>
          </cell>
          <cell r="BM14">
            <v>8.4047252763424218</v>
          </cell>
          <cell r="BN14">
            <v>4.4202743053478981</v>
          </cell>
          <cell r="BO14">
            <v>8.0193083531797154</v>
          </cell>
          <cell r="BP14">
            <v>8.2545636590770233</v>
          </cell>
          <cell r="BQ14">
            <v>8.5809330571136826</v>
          </cell>
          <cell r="BR14">
            <v>5.3915543032119606</v>
          </cell>
          <cell r="BS14">
            <v>8.7039231787409594</v>
          </cell>
          <cell r="BT14">
            <v>8.7930848493240017</v>
          </cell>
          <cell r="BU14">
            <v>9.7945326408549978</v>
          </cell>
        </row>
        <row r="15">
          <cell r="AN15">
            <v>1.2291503546771334</v>
          </cell>
          <cell r="AO15">
            <v>2.3580648578040435</v>
          </cell>
          <cell r="AP15">
            <v>1.5516816888228728</v>
          </cell>
          <cell r="AQ15">
            <v>1.3864030103428329</v>
          </cell>
          <cell r="AR15">
            <v>2.0927798196202474</v>
          </cell>
          <cell r="AS15">
            <v>1.8380228358662343</v>
          </cell>
          <cell r="AT15">
            <v>1.2256410032005389</v>
          </cell>
          <cell r="AU15">
            <v>0.89956741740811241</v>
          </cell>
          <cell r="AV15">
            <v>1.5941229082429347</v>
          </cell>
          <cell r="AW15">
            <v>2.2621491419020461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N16">
            <v>3.3479048276272447</v>
          </cell>
          <cell r="AO16">
            <v>1.0978426923489626</v>
          </cell>
          <cell r="AP16">
            <v>3.3620965619820069</v>
          </cell>
          <cell r="AQ16">
            <v>4.0588360254621492</v>
          </cell>
          <cell r="AR16">
            <v>3.422050415185987</v>
          </cell>
          <cell r="AS16">
            <v>0.90752406531772389</v>
          </cell>
          <cell r="AT16">
            <v>3.799351366786119</v>
          </cell>
          <cell r="AU16">
            <v>3.9109432148177792</v>
          </cell>
          <cell r="AV16">
            <v>1.8149485395171685</v>
          </cell>
          <cell r="AW16">
            <v>0.53166718493263854</v>
          </cell>
          <cell r="AX16">
            <v>2.2587265625685573</v>
          </cell>
          <cell r="AY16">
            <v>4.2256511485795363</v>
          </cell>
          <cell r="AZ16">
            <v>3.9985833989033321</v>
          </cell>
          <cell r="BA16">
            <v>0.66716090135126827</v>
          </cell>
          <cell r="BB16">
            <v>3.0856116994157445</v>
          </cell>
          <cell r="BC16">
            <v>3.2602447253180351</v>
          </cell>
          <cell r="BD16">
            <v>2.3153441133101897</v>
          </cell>
          <cell r="BE16">
            <v>0</v>
          </cell>
          <cell r="BF16">
            <v>2.7593213185981362</v>
          </cell>
          <cell r="BG16">
            <v>3.5387114511380515</v>
          </cell>
          <cell r="BH16">
            <v>3.0267732667364897</v>
          </cell>
          <cell r="BI16">
            <v>0.83834807456110483</v>
          </cell>
          <cell r="BJ16">
            <v>3.1843264158539255</v>
          </cell>
          <cell r="BK16">
            <v>2.6590828580502857</v>
          </cell>
          <cell r="BL16">
            <v>0.65550874051262087</v>
          </cell>
          <cell r="BM16">
            <v>0</v>
          </cell>
          <cell r="BN16">
            <v>2.5230413904811213</v>
          </cell>
          <cell r="BO16">
            <v>3.7955569451796873</v>
          </cell>
          <cell r="BP16">
            <v>3.55405844246485</v>
          </cell>
          <cell r="BQ16">
            <v>2.1235316195047642</v>
          </cell>
          <cell r="BR16">
            <v>2.899097453102764</v>
          </cell>
          <cell r="BS16">
            <v>3.4326568692827051</v>
          </cell>
          <cell r="BT16">
            <v>2.8489533250492691</v>
          </cell>
          <cell r="BU16">
            <v>1.7546461173992118</v>
          </cell>
        </row>
        <row r="17">
          <cell r="AN17">
            <v>0.26484853093761807</v>
          </cell>
          <cell r="AO17">
            <v>0.26484853093761807</v>
          </cell>
          <cell r="AP17">
            <v>0.14656379693142335</v>
          </cell>
          <cell r="AQ17">
            <v>0.14656379693142335</v>
          </cell>
          <cell r="AR17">
            <v>0.44365540819170463</v>
          </cell>
          <cell r="AS17">
            <v>0.44365540819170463</v>
          </cell>
          <cell r="AT17">
            <v>0.13635226082898441</v>
          </cell>
          <cell r="AU17">
            <v>0.13635226082898441</v>
          </cell>
          <cell r="AV17">
            <v>2.2572720005842508</v>
          </cell>
          <cell r="AW17">
            <v>2.2572720005842508</v>
          </cell>
          <cell r="AX17">
            <v>0.31070350007977671</v>
          </cell>
          <cell r="AY17">
            <v>0.31070350007977671</v>
          </cell>
          <cell r="AZ17">
            <v>0.69609985614742631</v>
          </cell>
          <cell r="BA17">
            <v>0.69609985614742631</v>
          </cell>
          <cell r="BB17">
            <v>0.15662284547719768</v>
          </cell>
          <cell r="BC17">
            <v>0.15662284547719768</v>
          </cell>
          <cell r="BD17">
            <v>0.59094274587750661</v>
          </cell>
          <cell r="BE17">
            <v>0.59094274587750661</v>
          </cell>
          <cell r="BF17">
            <v>0.92142254959773418</v>
          </cell>
          <cell r="BG17">
            <v>0.92142254959773418</v>
          </cell>
          <cell r="BH17">
            <v>0.10364411251003187</v>
          </cell>
          <cell r="BI17">
            <v>0.10364411251003187</v>
          </cell>
          <cell r="BJ17">
            <v>0.54461684703128199</v>
          </cell>
          <cell r="BK17">
            <v>0.54461684703128199</v>
          </cell>
          <cell r="BL17">
            <v>0.75330293188605202</v>
          </cell>
          <cell r="BM17">
            <v>0.75330293188605202</v>
          </cell>
          <cell r="BN17">
            <v>1.6504788231957418E-3</v>
          </cell>
          <cell r="BO17">
            <v>1.6504788231957418E-3</v>
          </cell>
          <cell r="BP17">
            <v>0.16560152889104113</v>
          </cell>
          <cell r="BQ17">
            <v>0.16560152889104113</v>
          </cell>
          <cell r="BR17">
            <v>3.5604451585930792E-2</v>
          </cell>
          <cell r="BS17">
            <v>3.5604451585930792E-2</v>
          </cell>
          <cell r="BT17">
            <v>1.0255435707064648</v>
          </cell>
          <cell r="BU17">
            <v>1.0255435707064648</v>
          </cell>
        </row>
        <row r="18">
          <cell r="AN18">
            <v>3.0635911581569295</v>
          </cell>
          <cell r="AO18">
            <v>6.3049292333392462</v>
          </cell>
          <cell r="AP18">
            <v>7.0186821706161817</v>
          </cell>
          <cell r="AQ18">
            <v>7.5985662315505706</v>
          </cell>
          <cell r="AR18">
            <v>6.4410925286224741</v>
          </cell>
          <cell r="AS18">
            <v>5.0035523409732177</v>
          </cell>
          <cell r="AT18">
            <v>5.7099988962562724</v>
          </cell>
          <cell r="AU18">
            <v>7.951316287255394</v>
          </cell>
          <cell r="AV18">
            <v>4.7472064172508661</v>
          </cell>
          <cell r="AW18">
            <v>5.8672577080154866</v>
          </cell>
          <cell r="AX18">
            <v>6.3067653628504265</v>
          </cell>
          <cell r="AY18">
            <v>9.586933170896712</v>
          </cell>
          <cell r="AZ18">
            <v>7.1701134909752442</v>
          </cell>
          <cell r="BA18">
            <v>6.7212416954979766</v>
          </cell>
          <cell r="BB18">
            <v>6.8873676086879856</v>
          </cell>
          <cell r="BC18">
            <v>9.3948953020743478</v>
          </cell>
          <cell r="BD18">
            <v>6.9600498374427282</v>
          </cell>
          <cell r="BE18">
            <v>7.2826581000115418</v>
          </cell>
          <cell r="BF18">
            <v>8.6392722511131428</v>
          </cell>
          <cell r="BG18">
            <v>9.0429226200947799</v>
          </cell>
          <cell r="BH18">
            <v>6.0367096908950506</v>
          </cell>
          <cell r="BI18">
            <v>6.0470185959600764</v>
          </cell>
          <cell r="BJ18">
            <v>7.4596605428083436</v>
          </cell>
          <cell r="BK18">
            <v>9.4843829389427174</v>
          </cell>
          <cell r="BL18">
            <v>6.8632619994267534</v>
          </cell>
          <cell r="BM18">
            <v>6.0321451860210979</v>
          </cell>
          <cell r="BN18">
            <v>7.9749151724161749</v>
          </cell>
          <cell r="BO18">
            <v>8.9957009463449911</v>
          </cell>
          <cell r="BP18">
            <v>5.3528412934669207</v>
          </cell>
          <cell r="BQ18">
            <v>6.6440701980227104</v>
          </cell>
          <cell r="BR18">
            <v>8.4843968345026113</v>
          </cell>
          <cell r="BS18">
            <v>10.137500585679181</v>
          </cell>
          <cell r="BT18">
            <v>6.8508009566069017</v>
          </cell>
          <cell r="BU18">
            <v>6.6943824193565327</v>
          </cell>
        </row>
        <row r="19">
          <cell r="AN19">
            <v>37.618167168896647</v>
          </cell>
          <cell r="AO19">
            <v>38.379252782015065</v>
          </cell>
          <cell r="AP19">
            <v>39.266619398235726</v>
          </cell>
          <cell r="AQ19">
            <v>40.189561642082936</v>
          </cell>
          <cell r="AR19">
            <v>41.348133002596839</v>
          </cell>
          <cell r="AS19">
            <v>42.135138345918399</v>
          </cell>
          <cell r="AT19">
            <v>42.998965385554122</v>
          </cell>
          <cell r="AU19">
            <v>43.952493746485963</v>
          </cell>
          <cell r="AV19">
            <v>44.84245241087747</v>
          </cell>
          <cell r="AW19">
            <v>45.825194758458125</v>
          </cell>
          <cell r="AX19">
            <v>46.958588215498231</v>
          </cell>
          <cell r="AY19">
            <v>48.062331542647541</v>
          </cell>
          <cell r="AZ19">
            <v>49.143412830968749</v>
          </cell>
          <cell r="BA19">
            <v>50.661785808840641</v>
          </cell>
          <cell r="BB19">
            <v>52.205366489253827</v>
          </cell>
          <cell r="BC19">
            <v>53.576694376516969</v>
          </cell>
          <cell r="BD19">
            <v>54.937211105372882</v>
          </cell>
          <cell r="BE19">
            <v>56.433306585802896</v>
          </cell>
          <cell r="BF19">
            <v>57.812546198214193</v>
          </cell>
          <cell r="BG19">
            <v>59.352667675816605</v>
          </cell>
          <cell r="BH19">
            <v>59.342991017466524</v>
          </cell>
          <cell r="BI19">
            <v>60.837654900768818</v>
          </cell>
          <cell r="BJ19">
            <v>62.591357327921713</v>
          </cell>
          <cell r="BK19">
            <v>64.615540858795796</v>
          </cell>
          <cell r="BL19">
            <v>64.604062985440194</v>
          </cell>
          <cell r="BM19">
            <v>66.05349721282974</v>
          </cell>
          <cell r="BN19">
            <v>67.741109709777675</v>
          </cell>
          <cell r="BO19">
            <v>69.14253975211254</v>
          </cell>
          <cell r="BP19">
            <v>70.800705806698545</v>
          </cell>
          <cell r="BQ19">
            <v>72.720544907363532</v>
          </cell>
          <cell r="BR19">
            <v>73.393196460587262</v>
          </cell>
          <cell r="BS19">
            <v>73.827122777402877</v>
          </cell>
          <cell r="BT19">
            <v>75.372298779675816</v>
          </cell>
          <cell r="BU19">
            <v>76.696964010281434</v>
          </cell>
        </row>
        <row r="20">
          <cell r="AN20">
            <v>27.148056884619866</v>
          </cell>
          <cell r="AO20">
            <v>27.6097224665981</v>
          </cell>
          <cell r="AP20">
            <v>28.140867398621825</v>
          </cell>
          <cell r="AQ20">
            <v>28.701530643352584</v>
          </cell>
          <cell r="AR20">
            <v>29.169176953769053</v>
          </cell>
          <cell r="AS20">
            <v>29.762154207469976</v>
          </cell>
          <cell r="AT20">
            <v>30.417738365753213</v>
          </cell>
          <cell r="AU20">
            <v>31.131146864788118</v>
          </cell>
          <cell r="AV20">
            <v>31.816641791915924</v>
          </cell>
          <cell r="AW20">
            <v>32.571461570754707</v>
          </cell>
          <cell r="AX20">
            <v>33.396137624265073</v>
          </cell>
          <cell r="AY20">
            <v>34.237324346616305</v>
          </cell>
          <cell r="AZ20">
            <v>35.084017029931879</v>
          </cell>
          <cell r="BA20">
            <v>36.215294974516659</v>
          </cell>
          <cell r="BB20">
            <v>37.385088238066636</v>
          </cell>
          <cell r="BC20">
            <v>38.420089702183617</v>
          </cell>
          <cell r="BD20">
            <v>39.483038097784821</v>
          </cell>
          <cell r="BE20">
            <v>40.635225201176816</v>
          </cell>
          <cell r="BF20">
            <v>41.751699527935237</v>
          </cell>
          <cell r="BG20">
            <v>42.983953201489037</v>
          </cell>
          <cell r="BH20">
            <v>42.890712947906167</v>
          </cell>
          <cell r="BI20">
            <v>44.086719029743747</v>
          </cell>
          <cell r="BJ20">
            <v>45.480825617160377</v>
          </cell>
          <cell r="BK20">
            <v>47.046042684096385</v>
          </cell>
          <cell r="BL20">
            <v>46.818553525174934</v>
          </cell>
          <cell r="BM20">
            <v>47.987171890557086</v>
          </cell>
          <cell r="BN20">
            <v>49.300035935025704</v>
          </cell>
          <cell r="BO20">
            <v>50.441519600100968</v>
          </cell>
          <cell r="BP20">
            <v>51.809496351828123</v>
          </cell>
          <cell r="BQ20">
            <v>53.349443591702752</v>
          </cell>
          <cell r="BR20">
            <v>53.7420584528112</v>
          </cell>
          <cell r="BS20">
            <v>53.918154141469003</v>
          </cell>
          <cell r="BT20">
            <v>55.141867086579303</v>
          </cell>
          <cell r="BU20">
            <v>56.215077484947138</v>
          </cell>
        </row>
        <row r="21">
          <cell r="AN21">
            <v>18.761775770431438</v>
          </cell>
          <cell r="AO21">
            <v>18.996611239858943</v>
          </cell>
          <cell r="AP21">
            <v>19.258794263006457</v>
          </cell>
          <cell r="AQ21">
            <v>19.526875417352919</v>
          </cell>
          <cell r="AR21">
            <v>19.738438617956668</v>
          </cell>
          <cell r="AS21">
            <v>19.986602336859793</v>
          </cell>
          <cell r="AT21">
            <v>20.220304539673805</v>
          </cell>
          <cell r="AU21">
            <v>20.535758739040126</v>
          </cell>
          <cell r="AV21">
            <v>20.818038044047139</v>
          </cell>
          <cell r="AW21">
            <v>21.123522670734999</v>
          </cell>
          <cell r="AX21">
            <v>21.426313958987297</v>
          </cell>
          <cell r="AY21">
            <v>21.743119390868028</v>
          </cell>
          <cell r="AZ21">
            <v>22.088033311999471</v>
          </cell>
          <cell r="BA21">
            <v>22.636288310533271</v>
          </cell>
          <cell r="BB21">
            <v>23.157120603279981</v>
          </cell>
          <cell r="BC21">
            <v>23.456744391201823</v>
          </cell>
          <cell r="BD21">
            <v>23.802732785681833</v>
          </cell>
          <cell r="BE21">
            <v>24.147665873812386</v>
          </cell>
          <cell r="BF21">
            <v>24.486063753841464</v>
          </cell>
          <cell r="BG21">
            <v>24.843250923724355</v>
          </cell>
          <cell r="BH21">
            <v>25.19013421273155</v>
          </cell>
          <cell r="BI21">
            <v>25.562326216971076</v>
          </cell>
          <cell r="BJ21">
            <v>25.994448773433373</v>
          </cell>
          <cell r="BK21">
            <v>26.434341999900887</v>
          </cell>
          <cell r="BL21">
            <v>26.859021197054695</v>
          </cell>
          <cell r="BM21">
            <v>27.290805694114511</v>
          </cell>
          <cell r="BN21">
            <v>27.721851463906752</v>
          </cell>
          <cell r="BO21">
            <v>28.149982264675572</v>
          </cell>
          <cell r="BP21">
            <v>28.614694959907865</v>
          </cell>
          <cell r="BQ21">
            <v>29.101696452700843</v>
          </cell>
          <cell r="BR21">
            <v>29.597486433217497</v>
          </cell>
          <cell r="BS21">
            <v>30.102213095254971</v>
          </cell>
          <cell r="BT21">
            <v>30.601860832965201</v>
          </cell>
          <cell r="BU21">
            <v>31.087585958494927</v>
          </cell>
        </row>
        <row r="22">
          <cell r="AN22">
            <v>3.1092748042510454</v>
          </cell>
          <cell r="AO22">
            <v>3.3099166564782232</v>
          </cell>
          <cell r="AP22">
            <v>3.5572457982899337</v>
          </cell>
          <cell r="AQ22">
            <v>3.812825805544978</v>
          </cell>
          <cell r="AR22">
            <v>4.0699885138267513</v>
          </cell>
          <cell r="AS22">
            <v>4.3644630102569151</v>
          </cell>
          <cell r="AT22">
            <v>4.6737351567077932</v>
          </cell>
          <cell r="AU22">
            <v>5.0040690663241243</v>
          </cell>
          <cell r="AV22">
            <v>5.3616446815605352</v>
          </cell>
          <cell r="AW22">
            <v>5.7536562535271525</v>
          </cell>
          <cell r="AX22">
            <v>6.1651491259009941</v>
          </cell>
          <cell r="AY22">
            <v>6.6141372117350734</v>
          </cell>
          <cell r="AZ22">
            <v>7.092588537896062</v>
          </cell>
          <cell r="BA22">
            <v>7.6006727456879979</v>
          </cell>
          <cell r="BB22">
            <v>8.1542421632019639</v>
          </cell>
          <cell r="BC22">
            <v>8.7490264598172338</v>
          </cell>
          <cell r="BD22">
            <v>9.3878186850589866</v>
          </cell>
          <cell r="BE22">
            <v>10.082396655224066</v>
          </cell>
          <cell r="BF22">
            <v>10.830759375581504</v>
          </cell>
          <cell r="BG22">
            <v>11.639013739152649</v>
          </cell>
          <cell r="BH22">
            <v>11.222205377219224</v>
          </cell>
          <cell r="BI22">
            <v>12.007684955660416</v>
          </cell>
          <cell r="BJ22">
            <v>12.829829314829199</v>
          </cell>
          <cell r="BK22">
            <v>13.734453588452995</v>
          </cell>
          <cell r="BL22">
            <v>12.99744402448934</v>
          </cell>
          <cell r="BM22">
            <v>13.704968200298365</v>
          </cell>
          <cell r="BN22">
            <v>14.461398168658043</v>
          </cell>
          <cell r="BO22">
            <v>15.23545644340949</v>
          </cell>
          <cell r="BP22">
            <v>16.094252542700119</v>
          </cell>
          <cell r="BQ22">
            <v>17.015252063881341</v>
          </cell>
          <cell r="BR22">
            <v>16.77289043031811</v>
          </cell>
          <cell r="BS22">
            <v>16.307078670588481</v>
          </cell>
          <cell r="BT22">
            <v>16.950113703937443</v>
          </cell>
          <cell r="BU22">
            <v>17.604135454182238</v>
          </cell>
        </row>
        <row r="23">
          <cell r="AN23">
            <v>1.8079740361438157</v>
          </cell>
          <cell r="AO23">
            <v>1.8258659660314314</v>
          </cell>
          <cell r="AP23">
            <v>1.8397786895417443</v>
          </cell>
          <cell r="AQ23">
            <v>1.850612227846788</v>
          </cell>
          <cell r="AR23">
            <v>1.8530837240685003</v>
          </cell>
          <cell r="AS23">
            <v>1.8390053480527886</v>
          </cell>
          <cell r="AT23">
            <v>1.8290683705492718</v>
          </cell>
          <cell r="AU23">
            <v>1.8181272692671899</v>
          </cell>
          <cell r="AV23">
            <v>1.8062304467980623</v>
          </cell>
          <cell r="AW23">
            <v>1.7958005001639614</v>
          </cell>
          <cell r="AX23">
            <v>1.7657187057743124</v>
          </cell>
          <cell r="AY23">
            <v>1.7503859662904429</v>
          </cell>
          <cell r="AZ23">
            <v>1.7210187423101648</v>
          </cell>
          <cell r="BA23">
            <v>1.6842122700666957</v>
          </cell>
          <cell r="BB23">
            <v>1.6725750025728268</v>
          </cell>
          <cell r="BC23">
            <v>1.6605305413548799</v>
          </cell>
          <cell r="BD23">
            <v>1.6417228410605458</v>
          </cell>
          <cell r="BE23">
            <v>1.6195782901476257</v>
          </cell>
          <cell r="BF23">
            <v>1.5896471097577991</v>
          </cell>
          <cell r="BG23">
            <v>1.5676017880750528</v>
          </cell>
          <cell r="BH23">
            <v>1.5481063059970166</v>
          </cell>
          <cell r="BI23">
            <v>1.5087579890336178</v>
          </cell>
          <cell r="BJ23">
            <v>1.5406280060551556</v>
          </cell>
          <cell r="BK23">
            <v>1.5731712244730331</v>
          </cell>
          <cell r="BL23">
            <v>1.5413548019868839</v>
          </cell>
          <cell r="BM23">
            <v>1.5235103635912366</v>
          </cell>
          <cell r="BN23">
            <v>1.5199393727989186</v>
          </cell>
          <cell r="BO23">
            <v>1.4347665817573745</v>
          </cell>
          <cell r="BP23">
            <v>1.4460471416540923</v>
          </cell>
          <cell r="BQ23">
            <v>1.4765924957489431</v>
          </cell>
          <cell r="BR23">
            <v>1.5062009552562219</v>
          </cell>
          <cell r="BS23">
            <v>1.5370676903662182</v>
          </cell>
          <cell r="BT23">
            <v>1.5481265272816158</v>
          </cell>
          <cell r="BU23">
            <v>1.4706117031462447</v>
          </cell>
        </row>
        <row r="24">
          <cell r="AN24">
            <v>3.0889428881330168</v>
          </cell>
          <cell r="AO24">
            <v>3.0854336266859566</v>
          </cell>
          <cell r="AP24">
            <v>3.0815041239938794</v>
          </cell>
          <cell r="AQ24">
            <v>3.0972319934869343</v>
          </cell>
          <cell r="AR24">
            <v>3.0908663718775533</v>
          </cell>
          <cell r="AS24">
            <v>3.1403827548192051</v>
          </cell>
          <cell r="AT24">
            <v>3.1594331521666672</v>
          </cell>
          <cell r="AU24">
            <v>3.2217463031050415</v>
          </cell>
          <cell r="AV24">
            <v>3.2604466027836665</v>
          </cell>
          <cell r="AW24">
            <v>3.3079821737952089</v>
          </cell>
          <cell r="AX24">
            <v>3.4271646324865301</v>
          </cell>
          <cell r="AY24">
            <v>3.4958280914744169</v>
          </cell>
          <cell r="AZ24">
            <v>3.525661385391023</v>
          </cell>
          <cell r="BA24">
            <v>3.6161271459236093</v>
          </cell>
          <cell r="BB24">
            <v>3.6995966056499441</v>
          </cell>
          <cell r="BC24">
            <v>3.8267216328645164</v>
          </cell>
          <cell r="BD24">
            <v>3.8974706799710477</v>
          </cell>
          <cell r="BE24">
            <v>4.0050506143462892</v>
          </cell>
          <cell r="BF24">
            <v>4.0368384156197719</v>
          </cell>
          <cell r="BG24">
            <v>4.0963873508742443</v>
          </cell>
          <cell r="BH24">
            <v>4.0638798722620493</v>
          </cell>
          <cell r="BI24">
            <v>4.1106858172543506</v>
          </cell>
          <cell r="BJ24">
            <v>4.1862502296741608</v>
          </cell>
          <cell r="BK24">
            <v>4.3408257185758492</v>
          </cell>
          <cell r="BL24">
            <v>4.4243643818738194</v>
          </cell>
          <cell r="BM24">
            <v>4.438652303017407</v>
          </cell>
          <cell r="BN24">
            <v>4.5325857126589222</v>
          </cell>
          <cell r="BO24">
            <v>4.5229865227680941</v>
          </cell>
          <cell r="BP24">
            <v>4.5170604049628347</v>
          </cell>
          <cell r="BQ24">
            <v>4.5773544085707654</v>
          </cell>
          <cell r="BR24">
            <v>4.644333385609718</v>
          </cell>
          <cell r="BS24">
            <v>4.7065017627092871</v>
          </cell>
          <cell r="BT24">
            <v>4.7312988260722788</v>
          </cell>
          <cell r="BU24">
            <v>4.697167563728013</v>
          </cell>
        </row>
        <row r="25">
          <cell r="AN25">
            <v>0.38008938566054756</v>
          </cell>
          <cell r="AO25">
            <v>0.39189497754354391</v>
          </cell>
          <cell r="AP25">
            <v>0.40354452378981137</v>
          </cell>
          <cell r="AQ25">
            <v>0.41398519912096388</v>
          </cell>
          <cell r="AR25">
            <v>0.41679972603958343</v>
          </cell>
          <cell r="AS25">
            <v>0.43170075748127595</v>
          </cell>
          <cell r="AT25">
            <v>0.53519714665567608</v>
          </cell>
          <cell r="AU25">
            <v>0.55144548705163765</v>
          </cell>
          <cell r="AV25">
            <v>0.57028201672652146</v>
          </cell>
          <cell r="AW25">
            <v>0.59049997253338471</v>
          </cell>
          <cell r="AX25">
            <v>0.6117912011159391</v>
          </cell>
          <cell r="AY25">
            <v>0.63385368624834204</v>
          </cell>
          <cell r="AZ25">
            <v>0.65671505233516558</v>
          </cell>
          <cell r="BA25">
            <v>0.67799450230509151</v>
          </cell>
          <cell r="BB25">
            <v>0.70155386336191838</v>
          </cell>
          <cell r="BC25">
            <v>0.72706667694514959</v>
          </cell>
          <cell r="BD25">
            <v>0.75329310601240373</v>
          </cell>
          <cell r="BE25">
            <v>0.78053376764644189</v>
          </cell>
          <cell r="BF25">
            <v>0.80839087313469449</v>
          </cell>
          <cell r="BG25">
            <v>0.83769939966273388</v>
          </cell>
          <cell r="BH25">
            <v>0.86638717969632739</v>
          </cell>
          <cell r="BI25">
            <v>0.89726405082429184</v>
          </cell>
          <cell r="BJ25">
            <v>0.92966929316849178</v>
          </cell>
          <cell r="BK25">
            <v>0.96325015269362235</v>
          </cell>
          <cell r="BL25">
            <v>0.99636911977019516</v>
          </cell>
          <cell r="BM25">
            <v>1.0292353295355625</v>
          </cell>
          <cell r="BN25">
            <v>1.0642612170030745</v>
          </cell>
          <cell r="BO25">
            <v>1.0983277874904469</v>
          </cell>
          <cell r="BP25">
            <v>1.1374413026032135</v>
          </cell>
          <cell r="BQ25">
            <v>1.1785481708008625</v>
          </cell>
          <cell r="BR25">
            <v>1.2211472484096473</v>
          </cell>
          <cell r="BS25">
            <v>1.2652929225500409</v>
          </cell>
          <cell r="BT25">
            <v>1.3104671963227588</v>
          </cell>
          <cell r="BU25">
            <v>1.3555768053957125</v>
          </cell>
        </row>
        <row r="26">
          <cell r="AN26">
            <v>11.661202591389996</v>
          </cell>
          <cell r="AO26">
            <v>11.780142149801247</v>
          </cell>
          <cell r="AP26">
            <v>11.914253180072071</v>
          </cell>
          <cell r="AQ26">
            <v>12.072648741069482</v>
          </cell>
          <cell r="AR26">
            <v>12.178956048827787</v>
          </cell>
          <cell r="AS26">
            <v>12.372984138448427</v>
          </cell>
          <cell r="AT26">
            <v>12.58122701980091</v>
          </cell>
          <cell r="AU26">
            <v>12.821346881697847</v>
          </cell>
          <cell r="AV26">
            <v>13.025810618961545</v>
          </cell>
          <cell r="AW26">
            <v>13.253733187703416</v>
          </cell>
          <cell r="AX26">
            <v>13.562450591233159</v>
          </cell>
          <cell r="AY26">
            <v>13.825007196031237</v>
          </cell>
          <cell r="AZ26">
            <v>14.059395801036873</v>
          </cell>
          <cell r="BA26">
            <v>14.446490834323976</v>
          </cell>
          <cell r="BB26">
            <v>14.820278251187188</v>
          </cell>
          <cell r="BC26">
            <v>15.156604674333359</v>
          </cell>
          <cell r="BD26">
            <v>15.454173007588061</v>
          </cell>
          <cell r="BE26">
            <v>15.798081384626084</v>
          </cell>
          <cell r="BF26">
            <v>16.060846670278959</v>
          </cell>
          <cell r="BG26">
            <v>16.368714474327565</v>
          </cell>
          <cell r="BH26">
            <v>16.45227806956035</v>
          </cell>
          <cell r="BI26">
            <v>16.750935871025074</v>
          </cell>
          <cell r="BJ26">
            <v>17.110531710761322</v>
          </cell>
          <cell r="BK26">
            <v>17.569498174699429</v>
          </cell>
          <cell r="BL26">
            <v>17.785509460265263</v>
          </cell>
          <cell r="BM26">
            <v>18.066325322272657</v>
          </cell>
          <cell r="BN26">
            <v>18.441073774751974</v>
          </cell>
          <cell r="BO26">
            <v>18.701020152011562</v>
          </cell>
          <cell r="BP26">
            <v>18.991209454870422</v>
          </cell>
          <cell r="BQ26">
            <v>19.371101315660788</v>
          </cell>
          <cell r="BR26">
            <v>19.651138007776069</v>
          </cell>
          <cell r="BS26">
            <v>19.908968635933867</v>
          </cell>
          <cell r="BT26">
            <v>20.230431693096509</v>
          </cell>
          <cell r="BU26">
            <v>20.481886525334296</v>
          </cell>
        </row>
        <row r="27">
          <cell r="AN27">
            <v>7.6114375037852415</v>
          </cell>
          <cell r="AO27">
            <v>7.7067075635647919</v>
          </cell>
          <cell r="AP27">
            <v>7.813072212607544</v>
          </cell>
          <cell r="AQ27">
            <v>7.9218296659114333</v>
          </cell>
          <cell r="AR27">
            <v>8.0076584328255986</v>
          </cell>
          <cell r="AS27">
            <v>8.1083356107351108</v>
          </cell>
          <cell r="AT27">
            <v>8.2031459172317476</v>
          </cell>
          <cell r="AU27">
            <v>8.331122072216365</v>
          </cell>
          <cell r="AV27">
            <v>8.4456395525957468</v>
          </cell>
          <cell r="AW27">
            <v>8.5695711661515581</v>
          </cell>
          <cell r="AX27">
            <v>8.6924101231577033</v>
          </cell>
          <cell r="AY27">
            <v>8.8209344576943209</v>
          </cell>
          <cell r="AZ27">
            <v>8.960862084322013</v>
          </cell>
          <cell r="BA27">
            <v>9.1832828566699352</v>
          </cell>
          <cell r="BB27">
            <v>9.3945785514219509</v>
          </cell>
          <cell r="BC27">
            <v>9.5161324898294595</v>
          </cell>
          <cell r="BD27">
            <v>9.656496017985992</v>
          </cell>
          <cell r="BE27">
            <v>9.7964314204456606</v>
          </cell>
          <cell r="BF27">
            <v>9.9337155638428989</v>
          </cell>
          <cell r="BG27">
            <v>10.078622306892365</v>
          </cell>
          <cell r="BH27">
            <v>10.219348883507079</v>
          </cell>
          <cell r="BI27">
            <v>10.370342915966546</v>
          </cell>
          <cell r="BJ27">
            <v>10.545650086925933</v>
          </cell>
          <cell r="BK27">
            <v>10.724109729689209</v>
          </cell>
          <cell r="BL27">
            <v>10.896397215044844</v>
          </cell>
          <cell r="BM27">
            <v>11.0715672391773</v>
          </cell>
          <cell r="BN27">
            <v>11.246437570119813</v>
          </cell>
          <cell r="BO27">
            <v>11.420125331522074</v>
          </cell>
          <cell r="BP27">
            <v>11.608653948442804</v>
          </cell>
          <cell r="BQ27">
            <v>11.806224875203673</v>
          </cell>
          <cell r="BR27">
            <v>12.00736119075717</v>
          </cell>
          <cell r="BS27">
            <v>12.212123015629146</v>
          </cell>
          <cell r="BT27">
            <v>12.414824379083385</v>
          </cell>
          <cell r="BU27">
            <v>12.611877498267036</v>
          </cell>
        </row>
        <row r="28">
          <cell r="AN28">
            <v>3.4229793888115227</v>
          </cell>
          <cell r="AO28">
            <v>3.419090637857471</v>
          </cell>
          <cell r="AP28">
            <v>3.4147362010127713</v>
          </cell>
          <cell r="AQ28">
            <v>3.4321648732331189</v>
          </cell>
          <cell r="AR28">
            <v>3.4251108769777683</v>
          </cell>
          <cell r="AS28">
            <v>3.4799819329849626</v>
          </cell>
          <cell r="AT28">
            <v>3.5010924293038004</v>
          </cell>
          <cell r="AU28">
            <v>3.5701440884113205</v>
          </cell>
          <cell r="AV28">
            <v>3.6130294161555399</v>
          </cell>
          <cell r="AW28">
            <v>3.6657054563740257</v>
          </cell>
          <cell r="AX28">
            <v>3.7977762373442907</v>
          </cell>
          <cell r="AY28">
            <v>3.8738649231477691</v>
          </cell>
          <cell r="AZ28">
            <v>3.9069243722457805</v>
          </cell>
          <cell r="BA28">
            <v>4.0071730478965506</v>
          </cell>
          <cell r="BB28">
            <v>4.0996688468108404</v>
          </cell>
          <cell r="BC28">
            <v>4.2405411010792227</v>
          </cell>
          <cell r="BD28">
            <v>4.3189409092964883</v>
          </cell>
          <cell r="BE28">
            <v>4.4381544756692595</v>
          </cell>
          <cell r="BF28">
            <v>4.4733797914213858</v>
          </cell>
          <cell r="BG28">
            <v>4.5393683141567243</v>
          </cell>
          <cell r="BH28">
            <v>4.5033454955739467</v>
          </cell>
          <cell r="BI28">
            <v>4.5552130084366835</v>
          </cell>
          <cell r="BJ28">
            <v>4.6389489127922969</v>
          </cell>
          <cell r="BK28">
            <v>4.8102401058275115</v>
          </cell>
          <cell r="BL28">
            <v>4.9028125919477237</v>
          </cell>
          <cell r="BM28">
            <v>4.9186456006353723</v>
          </cell>
          <cell r="BN28">
            <v>5.0227369149678394</v>
          </cell>
          <cell r="BO28">
            <v>5.0120996742238209</v>
          </cell>
          <cell r="BP28">
            <v>5.0055327094602466</v>
          </cell>
          <cell r="BQ28">
            <v>5.0723468718106588</v>
          </cell>
          <cell r="BR28">
            <v>5.1465689167596951</v>
          </cell>
          <cell r="BS28">
            <v>5.2154601462690602</v>
          </cell>
          <cell r="BT28">
            <v>5.2429387497487987</v>
          </cell>
          <cell r="BU28">
            <v>5.2051165523985743</v>
          </cell>
        </row>
        <row r="29">
          <cell r="AN29">
            <v>8.510383311404382E-2</v>
          </cell>
          <cell r="AO29">
            <v>8.7747161655505182E-2</v>
          </cell>
          <cell r="AP29">
            <v>9.0355550831839868E-2</v>
          </cell>
          <cell r="AQ29">
            <v>9.269326802285309E-2</v>
          </cell>
          <cell r="AR29">
            <v>9.3323454074381279E-2</v>
          </cell>
          <cell r="AS29">
            <v>9.665986635234336E-2</v>
          </cell>
          <cell r="AT29">
            <v>0.11983320337383685</v>
          </cell>
          <cell r="AU29">
            <v>0.1234712845768543</v>
          </cell>
          <cell r="AV29">
            <v>0.12768887375028812</v>
          </cell>
          <cell r="AW29">
            <v>0.13221577084820155</v>
          </cell>
          <cell r="AX29">
            <v>0.136982978858848</v>
          </cell>
          <cell r="AY29">
            <v>0.14192287490336936</v>
          </cell>
          <cell r="AZ29">
            <v>0.14704164421820015</v>
          </cell>
          <cell r="BA29">
            <v>0.15180621494108942</v>
          </cell>
          <cell r="BB29">
            <v>0.1570812686713304</v>
          </cell>
          <cell r="BC29">
            <v>0.16279370977431912</v>
          </cell>
          <cell r="BD29">
            <v>0.16866593280058975</v>
          </cell>
          <cell r="BE29">
            <v>0.17476524735416621</v>
          </cell>
          <cell r="BF29">
            <v>0.18100258663790467</v>
          </cell>
          <cell r="BG29">
            <v>0.18756490604107889</v>
          </cell>
          <cell r="BH29">
            <v>0.19398823733234455</v>
          </cell>
          <cell r="BI29">
            <v>0.20090171659983699</v>
          </cell>
          <cell r="BJ29">
            <v>0.20815740549966827</v>
          </cell>
          <cell r="BK29">
            <v>0.21567632071453613</v>
          </cell>
          <cell r="BL29">
            <v>0.22309181599887795</v>
          </cell>
          <cell r="BM29">
            <v>0.23045071771117412</v>
          </cell>
          <cell r="BN29">
            <v>0.23829318160036186</v>
          </cell>
          <cell r="BO29">
            <v>0.24592084982499993</v>
          </cell>
          <cell r="BP29">
            <v>0.25467855311333465</v>
          </cell>
          <cell r="BQ29">
            <v>0.26388257770048279</v>
          </cell>
          <cell r="BR29">
            <v>0.27342071511868465</v>
          </cell>
          <cell r="BS29">
            <v>0.28330514290459058</v>
          </cell>
          <cell r="BT29">
            <v>0.29341987907255873</v>
          </cell>
          <cell r="BU29">
            <v>0.30352013650466969</v>
          </cell>
        </row>
        <row r="30">
          <cell r="AN30">
            <v>0.40155192297353315</v>
          </cell>
          <cell r="AO30">
            <v>0.42211440225916697</v>
          </cell>
          <cell r="AP30">
            <v>0.44731191972260231</v>
          </cell>
          <cell r="AQ30">
            <v>0.47333440860989262</v>
          </cell>
          <cell r="AR30">
            <v>0.49919911032922532</v>
          </cell>
          <cell r="AS30">
            <v>0.52884889683933711</v>
          </cell>
          <cell r="AT30">
            <v>0.55984097407430167</v>
          </cell>
          <cell r="AU30">
            <v>0.59330456290010114</v>
          </cell>
          <cell r="AV30">
            <v>0.62920332108232691</v>
          </cell>
          <cell r="AW30">
            <v>0.66853745811309628</v>
          </cell>
          <cell r="AX30">
            <v>0.70972834459706546</v>
          </cell>
          <cell r="AY30">
            <v>0.75459811795216392</v>
          </cell>
          <cell r="AZ30">
            <v>0.80245243439640368</v>
          </cell>
          <cell r="BA30">
            <v>0.85426822039835681</v>
          </cell>
          <cell r="BB30">
            <v>0.91030331215160865</v>
          </cell>
          <cell r="BC30">
            <v>0.96908513218496295</v>
          </cell>
          <cell r="BD30">
            <v>1.0323488436000283</v>
          </cell>
          <cell r="BE30">
            <v>1.1009659513175378</v>
          </cell>
          <cell r="BF30">
            <v>1.1747141843726725</v>
          </cell>
          <cell r="BG30">
            <v>1.2543190445516206</v>
          </cell>
          <cell r="BH30">
            <v>1.2161790462910764</v>
          </cell>
          <cell r="BI30">
            <v>1.2936782530235891</v>
          </cell>
          <cell r="BJ30">
            <v>1.3750282841802617</v>
          </cell>
          <cell r="BK30">
            <v>1.4643445305653136</v>
          </cell>
          <cell r="BL30">
            <v>1.3958701716233137</v>
          </cell>
          <cell r="BM30">
            <v>1.466207106977174</v>
          </cell>
          <cell r="BN30">
            <v>1.5412382362189896</v>
          </cell>
          <cell r="BO30">
            <v>1.6179468879428185</v>
          </cell>
          <cell r="BP30">
            <v>1.7029966099077907</v>
          </cell>
          <cell r="BQ30">
            <v>1.7941442295411267</v>
          </cell>
          <cell r="BR30">
            <v>1.7735791540548147</v>
          </cell>
          <cell r="BS30">
            <v>1.7315968369006951</v>
          </cell>
          <cell r="BT30">
            <v>1.7961105075254495</v>
          </cell>
          <cell r="BU30">
            <v>1.8616033174030324</v>
          </cell>
        </row>
        <row r="31">
          <cell r="AN31">
            <v>0.14012994270565485</v>
          </cell>
          <cell r="AO31">
            <v>0.14448238446431019</v>
          </cell>
          <cell r="AP31">
            <v>0.14877729589731253</v>
          </cell>
          <cell r="AQ31">
            <v>0.15262652529218276</v>
          </cell>
          <cell r="AR31">
            <v>0.15366417462081181</v>
          </cell>
          <cell r="AS31">
            <v>0.15915783153667307</v>
          </cell>
          <cell r="AT31">
            <v>0.19731449581722529</v>
          </cell>
          <cell r="AU31">
            <v>0.20330487359320856</v>
          </cell>
          <cell r="AV31">
            <v>0.2102494553776422</v>
          </cell>
          <cell r="AW31">
            <v>0.21770333621653382</v>
          </cell>
          <cell r="AX31">
            <v>0.22555290727525015</v>
          </cell>
          <cell r="AY31">
            <v>0.23368682233361249</v>
          </cell>
          <cell r="AZ31">
            <v>0.24211526585447588</v>
          </cell>
          <cell r="BA31">
            <v>0.24996049441804505</v>
          </cell>
          <cell r="BB31">
            <v>0.2586462721314573</v>
          </cell>
          <cell r="BC31">
            <v>0.26805224146539491</v>
          </cell>
          <cell r="BD31">
            <v>0.27772130390496119</v>
          </cell>
          <cell r="BE31">
            <v>0.28776428983946184</v>
          </cell>
          <cell r="BF31">
            <v>0.29803454400409801</v>
          </cell>
          <cell r="BG31">
            <v>0.30883990268577727</v>
          </cell>
          <cell r="BH31">
            <v>0.3194164068559045</v>
          </cell>
          <cell r="BI31">
            <v>0.33079997699841768</v>
          </cell>
          <cell r="BJ31">
            <v>0.34274702136316354</v>
          </cell>
          <cell r="BK31">
            <v>0.35512748790285736</v>
          </cell>
          <cell r="BL31">
            <v>0.36733766565050807</v>
          </cell>
          <cell r="BM31">
            <v>0.37945465777163523</v>
          </cell>
          <cell r="BN31">
            <v>0.39236787184497057</v>
          </cell>
          <cell r="BO31">
            <v>0.40492740849784908</v>
          </cell>
          <cell r="BP31">
            <v>0.41934763394624835</v>
          </cell>
          <cell r="BQ31">
            <v>0.43450276140484545</v>
          </cell>
          <cell r="BR31">
            <v>0.45020803108570945</v>
          </cell>
          <cell r="BS31">
            <v>0.4664834942303725</v>
          </cell>
          <cell r="BT31">
            <v>0.483138177666321</v>
          </cell>
          <cell r="BU31">
            <v>0.49976902076098412</v>
          </cell>
        </row>
        <row r="32">
          <cell r="AN32">
            <v>87.165114830696965</v>
          </cell>
          <cell r="AO32">
            <v>87.852287528998176</v>
          </cell>
          <cell r="AP32">
            <v>88.906391268254993</v>
          </cell>
          <cell r="AQ32">
            <v>89.883261054622224</v>
          </cell>
          <cell r="AR32">
            <v>90.419981394997635</v>
          </cell>
          <cell r="AS32">
            <v>91.227968376211905</v>
          </cell>
          <cell r="AT32">
            <v>92.453273345710869</v>
          </cell>
          <cell r="AU32">
            <v>92.677792641686381</v>
          </cell>
          <cell r="AV32">
            <v>93.1896034345137</v>
          </cell>
          <cell r="AW32">
            <v>94.079344973635756</v>
          </cell>
          <cell r="AX32">
            <v>94.984910437592475</v>
          </cell>
          <cell r="AY32">
            <v>96.183104619757472</v>
          </cell>
          <cell r="AZ32">
            <v>96.902619552729703</v>
          </cell>
          <cell r="BA32">
            <v>97.873350269483538</v>
          </cell>
          <cell r="BB32">
            <v>99.257772618698311</v>
          </cell>
          <cell r="BC32">
            <v>100.75920137505302</v>
          </cell>
          <cell r="BD32">
            <v>102.04561724128072</v>
          </cell>
          <cell r="BE32">
            <v>103.89557164631513</v>
          </cell>
          <cell r="BF32">
            <v>104.92319419727907</v>
          </cell>
          <cell r="BG32">
            <v>106.1732818368675</v>
          </cell>
          <cell r="BH32">
            <v>106.02936899750681</v>
          </cell>
          <cell r="BI32">
            <v>106.51289832275417</v>
          </cell>
          <cell r="BJ32">
            <v>109.04857403581212</v>
          </cell>
          <cell r="BK32">
            <v>110.72011976739998</v>
          </cell>
          <cell r="BL32">
            <v>111.54970218112882</v>
          </cell>
          <cell r="BM32">
            <v>112.95342966807462</v>
          </cell>
          <cell r="BN32">
            <v>114.87954431832347</v>
          </cell>
          <cell r="BO32">
            <v>116.105627583914</v>
          </cell>
          <cell r="BP32">
            <v>117.40645812998093</v>
          </cell>
          <cell r="BQ32">
            <v>118.38041725199774</v>
          </cell>
          <cell r="BR32">
            <v>119.63241127788743</v>
          </cell>
          <cell r="BS32">
            <v>121.92556668825067</v>
          </cell>
          <cell r="BT32">
            <v>123.54422791682083</v>
          </cell>
          <cell r="BU32">
            <v>125.22290888643099</v>
          </cell>
        </row>
        <row r="33">
          <cell r="AN33">
            <v>4.2073790998749026</v>
          </cell>
          <cell r="AO33">
            <v>4.6342051963116688</v>
          </cell>
          <cell r="AP33">
            <v>4.8789386942798654</v>
          </cell>
          <cell r="AQ33">
            <v>5.4119587814300507</v>
          </cell>
          <cell r="AR33">
            <v>5.2862197646693572</v>
          </cell>
          <cell r="AS33">
            <v>5.299328818294101</v>
          </cell>
          <cell r="AT33">
            <v>5.7137125762580903</v>
          </cell>
          <cell r="AU33">
            <v>5.1108939608078012</v>
          </cell>
          <cell r="AV33">
            <v>4.7785643055654301</v>
          </cell>
          <cell r="AW33">
            <v>4.8069642162394288</v>
          </cell>
          <cell r="AX33">
            <v>4.8335750214935809</v>
          </cell>
          <cell r="AY33">
            <v>5.1347760461124352</v>
          </cell>
          <cell r="AZ33">
            <v>4.9388198089710746</v>
          </cell>
          <cell r="BA33">
            <v>4.9751473434592359</v>
          </cell>
          <cell r="BB33">
            <v>5.4057655573115682</v>
          </cell>
          <cell r="BC33">
            <v>5.9335048721451544</v>
          </cell>
          <cell r="BD33">
            <v>6.2258457389981263</v>
          </cell>
          <cell r="BE33">
            <v>7.0608229336840145</v>
          </cell>
          <cell r="BF33">
            <v>7.0520324891768498</v>
          </cell>
          <cell r="BG33">
            <v>7.2437203160272654</v>
          </cell>
          <cell r="BH33">
            <v>6.0188518016199071</v>
          </cell>
          <cell r="BI33">
            <v>5.3982819581455352</v>
          </cell>
          <cell r="BJ33">
            <v>6.8061081985542478</v>
          </cell>
          <cell r="BK33">
            <v>7.3254275520998169</v>
          </cell>
          <cell r="BL33">
            <v>6.9777596569716724</v>
          </cell>
          <cell r="BM33">
            <v>7.1785448010362352</v>
          </cell>
          <cell r="BN33">
            <v>7.8753352177654392</v>
          </cell>
          <cell r="BO33">
            <v>7.8450000510599889</v>
          </cell>
          <cell r="BP33">
            <v>7.8615824850282428</v>
          </cell>
          <cell r="BQ33">
            <v>7.5227044158519378</v>
          </cell>
          <cell r="BR33">
            <v>7.4324880837144107</v>
          </cell>
          <cell r="BS33">
            <v>8.3532503972223076</v>
          </cell>
          <cell r="BT33">
            <v>8.5684999115831317</v>
          </cell>
          <cell r="BU33">
            <v>8.8118875149491505</v>
          </cell>
        </row>
        <row r="34">
          <cell r="AN34">
            <v>71.915231854377339</v>
          </cell>
          <cell r="AO34">
            <v>71.909562210116462</v>
          </cell>
          <cell r="AP34">
            <v>72.371244752399534</v>
          </cell>
          <cell r="AQ34">
            <v>72.510410141323135</v>
          </cell>
          <cell r="AR34">
            <v>72.829814531000665</v>
          </cell>
          <cell r="AS34">
            <v>73.253918366187648</v>
          </cell>
          <cell r="AT34">
            <v>73.682519356130257</v>
          </cell>
          <cell r="AU34">
            <v>74.115622790162789</v>
          </cell>
          <cell r="AV34">
            <v>74.553234450726194</v>
          </cell>
          <cell r="AW34">
            <v>74.995360608929488</v>
          </cell>
          <cell r="AX34">
            <v>75.442008020216761</v>
          </cell>
          <cell r="AY34">
            <v>75.893183920138739</v>
          </cell>
          <cell r="AZ34">
            <v>76.348896020226576</v>
          </cell>
          <cell r="BA34">
            <v>76.8091525039667</v>
          </cell>
          <cell r="BB34">
            <v>77.273962022875338</v>
          </cell>
          <cell r="BC34">
            <v>77.743333692670703</v>
          </cell>
          <cell r="BD34">
            <v>78.217277089541696</v>
          </cell>
          <cell r="BE34">
            <v>78.695802246511633</v>
          </cell>
          <cell r="BF34">
            <v>79.178919649895647</v>
          </cell>
          <cell r="BG34">
            <v>79.666640235849968</v>
          </cell>
          <cell r="BH34">
            <v>80.158975387012092</v>
          </cell>
          <cell r="BI34">
            <v>80.655936929230606</v>
          </cell>
          <cell r="BJ34">
            <v>81.157537128382572</v>
          </cell>
          <cell r="BK34">
            <v>81.663788687278171</v>
          </cell>
          <cell r="BL34">
            <v>82.174704742650576</v>
          </cell>
          <cell r="BM34">
            <v>82.690298862230037</v>
          </cell>
          <cell r="BN34">
            <v>83.210585041901268</v>
          </cell>
          <cell r="BO34">
            <v>83.73557770294218</v>
          </cell>
          <cell r="BP34">
            <v>84.265291689343542</v>
          </cell>
          <cell r="BQ34">
            <v>84.79974226520784</v>
          </cell>
          <cell r="BR34">
            <v>85.338945112226853</v>
          </cell>
          <cell r="BS34">
            <v>85.882916327235691</v>
          </cell>
          <cell r="BT34">
            <v>86.431672419843508</v>
          </cell>
          <cell r="BU34">
            <v>86.985230310139031</v>
          </cell>
        </row>
        <row r="35">
          <cell r="AN35">
            <v>11.042503876444725</v>
          </cell>
          <cell r="AO35">
            <v>11.308520122570062</v>
          </cell>
          <cell r="AP35">
            <v>11.656207821575604</v>
          </cell>
          <cell r="AQ35">
            <v>11.96089213186904</v>
          </cell>
          <cell r="AR35">
            <v>12.303947099327617</v>
          </cell>
          <cell r="AS35">
            <v>12.674721191730159</v>
          </cell>
          <cell r="AT35">
            <v>13.057041413322512</v>
          </cell>
          <cell r="AU35">
            <v>13.45127589071579</v>
          </cell>
          <cell r="AV35">
            <v>13.857804678222058</v>
          </cell>
          <cell r="AW35">
            <v>14.277020148466852</v>
          </cell>
          <cell r="AX35">
            <v>14.709327395882122</v>
          </cell>
          <cell r="AY35">
            <v>15.155144653506282</v>
          </cell>
          <cell r="AZ35">
            <v>15.614903723532056</v>
          </cell>
          <cell r="BA35">
            <v>16.0890504220576</v>
          </cell>
          <cell r="BB35">
            <v>16.578045038511409</v>
          </cell>
          <cell r="BC35">
            <v>17.082362810237161</v>
          </cell>
          <cell r="BD35">
            <v>17.60249441274091</v>
          </cell>
          <cell r="BE35">
            <v>18.138946466119499</v>
          </cell>
          <cell r="BF35">
            <v>18.692242058206585</v>
          </cell>
          <cell r="BG35">
            <v>19.262921284990274</v>
          </cell>
          <cell r="BH35">
            <v>19.851541808874817</v>
          </cell>
          <cell r="BI35">
            <v>20.458679435378023</v>
          </cell>
          <cell r="BJ35">
            <v>21.084928708875296</v>
          </cell>
          <cell r="BK35">
            <v>21.730903528022008</v>
          </cell>
          <cell r="BL35">
            <v>22.397237781506586</v>
          </cell>
          <cell r="BM35">
            <v>23.08458600480834</v>
          </cell>
          <cell r="BN35">
            <v>23.793624058656754</v>
          </cell>
          <cell r="BO35">
            <v>24.525049829911829</v>
          </cell>
          <cell r="BP35">
            <v>25.279583955609148</v>
          </cell>
          <cell r="BQ35">
            <v>26.05797057093795</v>
          </cell>
          <cell r="BR35">
            <v>26.860978081946165</v>
          </cell>
          <cell r="BS35">
            <v>27.689399963792667</v>
          </cell>
          <cell r="BT35">
            <v>28.544055585394183</v>
          </cell>
          <cell r="BU35">
            <v>29.4257910613428</v>
          </cell>
        </row>
        <row r="36">
          <cell r="AN36">
            <v>6.545826135491712</v>
          </cell>
          <cell r="AO36">
            <v>6.584426772740521</v>
          </cell>
          <cell r="AP36">
            <v>6.6287739327369115</v>
          </cell>
          <cell r="AQ36">
            <v>6.6868738486278296</v>
          </cell>
          <cell r="AR36">
            <v>6.7116100863528159</v>
          </cell>
          <cell r="AS36">
            <v>6.7369540030070372</v>
          </cell>
          <cell r="AT36">
            <v>6.8242298868529128</v>
          </cell>
          <cell r="AU36">
            <v>6.8537589450239675</v>
          </cell>
          <cell r="AV36">
            <v>6.9124355725072348</v>
          </cell>
          <cell r="AW36">
            <v>7.0616912483153751</v>
          </cell>
          <cell r="AX36">
            <v>7.1868366956869361</v>
          </cell>
          <cell r="AY36">
            <v>7.3690712212219838</v>
          </cell>
          <cell r="AZ36">
            <v>7.4753703829049467</v>
          </cell>
          <cell r="BA36">
            <v>7.5108672460320252</v>
          </cell>
          <cell r="BB36">
            <v>7.5267805554885721</v>
          </cell>
          <cell r="BC36">
            <v>7.5532368094029465</v>
          </cell>
          <cell r="BD36">
            <v>7.6380417679861203</v>
          </cell>
          <cell r="BE36">
            <v>7.7467023008634346</v>
          </cell>
          <cell r="BF36">
            <v>7.8503714674359566</v>
          </cell>
          <cell r="BG36">
            <v>7.9367598581433603</v>
          </cell>
          <cell r="BH36">
            <v>8.0038910957512819</v>
          </cell>
          <cell r="BI36">
            <v>4.0261309571713131</v>
          </cell>
          <cell r="BJ36">
            <v>6.2798962013384871</v>
          </cell>
          <cell r="BK36">
            <v>8.0240431129238665</v>
          </cell>
          <cell r="BL36">
            <v>8.0950661762465668</v>
          </cell>
          <cell r="BM36">
            <v>8.160289649887039</v>
          </cell>
          <cell r="BN36">
            <v>8.1728333484994948</v>
          </cell>
          <cell r="BO36">
            <v>8.238294281972852</v>
          </cell>
          <cell r="BP36">
            <v>8.3073099272083741</v>
          </cell>
          <cell r="BQ36">
            <v>8.3767560078290089</v>
          </cell>
          <cell r="BR36">
            <v>8.4886589685617668</v>
          </cell>
          <cell r="BS36">
            <v>8.5560081783234772</v>
          </cell>
          <cell r="BT36">
            <v>8.62376907170718</v>
          </cell>
          <cell r="BU36">
            <v>8.691034376809311</v>
          </cell>
        </row>
        <row r="37">
          <cell r="AN37">
            <v>285.70162458045149</v>
          </cell>
          <cell r="AO37">
            <v>293.98958394822876</v>
          </cell>
          <cell r="AP37">
            <v>318.05879090117293</v>
          </cell>
          <cell r="AQ37">
            <v>329.79784372099698</v>
          </cell>
          <cell r="AR37">
            <v>332.29404533012575</v>
          </cell>
          <cell r="AS37">
            <v>329.55195822243377</v>
          </cell>
          <cell r="AT37">
            <v>320.56289899660578</v>
          </cell>
          <cell r="AU37">
            <v>327.24356294874644</v>
          </cell>
          <cell r="AV37">
            <v>323.98426260224807</v>
          </cell>
          <cell r="AW37">
            <v>325.99300645241715</v>
          </cell>
          <cell r="AX37">
            <v>334.69283807009811</v>
          </cell>
          <cell r="AY37">
            <v>345.21850576794031</v>
          </cell>
          <cell r="AZ37">
            <v>337.24521246797451</v>
          </cell>
          <cell r="BA37">
            <v>352.41301964608732</v>
          </cell>
          <cell r="BB37">
            <v>368.87730235884845</v>
          </cell>
          <cell r="BC37">
            <v>387.42939194017538</v>
          </cell>
          <cell r="BD37">
            <v>387.09772037722837</v>
          </cell>
          <cell r="BE37">
            <v>427.70565843920082</v>
          </cell>
          <cell r="BF37">
            <v>428.50454092653916</v>
          </cell>
          <cell r="BG37">
            <v>442.5430648990714</v>
          </cell>
          <cell r="BH37">
            <v>394.56828991383372</v>
          </cell>
          <cell r="BI37">
            <v>346.79225993723037</v>
          </cell>
          <cell r="BJ37">
            <v>422.35967099982929</v>
          </cell>
          <cell r="BK37">
            <v>450.67728719489747</v>
          </cell>
          <cell r="BL37">
            <v>432.98533341473353</v>
          </cell>
          <cell r="BM37">
            <v>450.60385752308594</v>
          </cell>
          <cell r="BN37">
            <v>472.08877650278123</v>
          </cell>
          <cell r="BO37">
            <v>475.04542177365579</v>
          </cell>
          <cell r="BP37">
            <v>476.3409143861075</v>
          </cell>
          <cell r="BQ37">
            <v>478.71025133533897</v>
          </cell>
          <cell r="BR37">
            <v>466.47127845100681</v>
          </cell>
          <cell r="BS37">
            <v>500.1611986444077</v>
          </cell>
          <cell r="BT37">
            <v>518.28831572475792</v>
          </cell>
          <cell r="BU37">
            <v>507.95156124217084</v>
          </cell>
        </row>
        <row r="38">
          <cell r="AN38">
            <v>27.680528326129945</v>
          </cell>
          <cell r="AO38">
            <v>27.708270636456223</v>
          </cell>
          <cell r="AP38">
            <v>34.665025680579895</v>
          </cell>
          <cell r="AQ38">
            <v>34.444659913012892</v>
          </cell>
          <cell r="AR38">
            <v>31.097859776587178</v>
          </cell>
          <cell r="AS38">
            <v>35.213470828523597</v>
          </cell>
          <cell r="AT38">
            <v>35.341974676488192</v>
          </cell>
          <cell r="AU38">
            <v>35.83667166256096</v>
          </cell>
          <cell r="AV38">
            <v>36.283779985934821</v>
          </cell>
          <cell r="AW38">
            <v>37.271427964191673</v>
          </cell>
          <cell r="AX38">
            <v>43.653507654120403</v>
          </cell>
          <cell r="AY38">
            <v>47.818755862082888</v>
          </cell>
          <cell r="AZ38">
            <v>35.226074755481477</v>
          </cell>
          <cell r="BA38">
            <v>40.069477530418141</v>
          </cell>
          <cell r="BB38">
            <v>46.117066778897268</v>
          </cell>
          <cell r="BC38">
            <v>48.725930959067632</v>
          </cell>
          <cell r="BD38">
            <v>40.837321244968379</v>
          </cell>
          <cell r="BE38">
            <v>45.890096231566844</v>
          </cell>
          <cell r="BF38">
            <v>40.12116745513778</v>
          </cell>
          <cell r="BG38">
            <v>42.777796667880565</v>
          </cell>
          <cell r="BH38">
            <v>30.101604232739845</v>
          </cell>
          <cell r="BI38">
            <v>21.666702332965755</v>
          </cell>
          <cell r="BJ38">
            <v>30.382332866191788</v>
          </cell>
          <cell r="BK38">
            <v>34.627992098026347</v>
          </cell>
          <cell r="BL38">
            <v>31.08743821291138</v>
          </cell>
          <cell r="BM38">
            <v>40.618437238630065</v>
          </cell>
          <cell r="BN38">
            <v>39.36988210858447</v>
          </cell>
          <cell r="BO38">
            <v>36.853581287696052</v>
          </cell>
          <cell r="BP38">
            <v>36.19859370426046</v>
          </cell>
          <cell r="BQ38">
            <v>44.202994199248401</v>
          </cell>
          <cell r="BR38">
            <v>41.293730121918088</v>
          </cell>
          <cell r="BS38">
            <v>47.058987986695833</v>
          </cell>
          <cell r="BT38">
            <v>41.521527627740682</v>
          </cell>
          <cell r="BU38">
            <v>47.352279613698713</v>
          </cell>
        </row>
        <row r="39">
          <cell r="AN39">
            <v>32.544034285166376</v>
          </cell>
          <cell r="AO39">
            <v>35.293444600356267</v>
          </cell>
          <cell r="AP39">
            <v>31.177391625101908</v>
          </cell>
          <cell r="AQ39">
            <v>33.854568206433278</v>
          </cell>
          <cell r="AR39">
            <v>26.203051644006795</v>
          </cell>
          <cell r="AS39">
            <v>30.620344305486384</v>
          </cell>
          <cell r="AT39">
            <v>30.899868861584448</v>
          </cell>
          <cell r="AU39">
            <v>31.20771875102259</v>
          </cell>
          <cell r="AV39">
            <v>32.084787881948159</v>
          </cell>
          <cell r="AW39">
            <v>33.243495538424305</v>
          </cell>
          <cell r="AX39">
            <v>39.41981408669821</v>
          </cell>
          <cell r="AY39">
            <v>43.54833370215249</v>
          </cell>
          <cell r="AZ39">
            <v>31.20771875102259</v>
          </cell>
          <cell r="BA39">
            <v>35.993708074991616</v>
          </cell>
          <cell r="BB39">
            <v>41.57059120912357</v>
          </cell>
          <cell r="BC39">
            <v>43.836456497580841</v>
          </cell>
          <cell r="BD39">
            <v>35.685526376303486</v>
          </cell>
          <cell r="BE39">
            <v>40.321911903383814</v>
          </cell>
          <cell r="BF39">
            <v>34.041429861345428</v>
          </cell>
          <cell r="BG39">
            <v>36.297519972280178</v>
          </cell>
          <cell r="BH39">
            <v>24.675246656061812</v>
          </cell>
          <cell r="BI39">
            <v>17.208599022408432</v>
          </cell>
          <cell r="BJ39">
            <v>24.638329264497898</v>
          </cell>
          <cell r="BK39">
            <v>28.300792974959109</v>
          </cell>
          <cell r="BL39">
            <v>24.878688776119656</v>
          </cell>
          <cell r="BM39">
            <v>34.694132964839014</v>
          </cell>
          <cell r="BN39">
            <v>32.769320960460739</v>
          </cell>
          <cell r="BO39">
            <v>30.301515117621832</v>
          </cell>
          <cell r="BP39">
            <v>29.604477432961811</v>
          </cell>
          <cell r="BQ39">
            <v>38.274434412147279</v>
          </cell>
          <cell r="BR39">
            <v>35.843890370513677</v>
          </cell>
          <cell r="BS39">
            <v>41.184963639840042</v>
          </cell>
          <cell r="BT39">
            <v>34.881545629890631</v>
          </cell>
          <cell r="BU39">
            <v>41.194562410773081</v>
          </cell>
        </row>
        <row r="40">
          <cell r="AN40">
            <v>18.356731613611558</v>
          </cell>
          <cell r="AO40">
            <v>15.90360690815521</v>
          </cell>
          <cell r="AP40">
            <v>15.802093632456103</v>
          </cell>
          <cell r="AQ40">
            <v>15.616501450908645</v>
          </cell>
          <cell r="AR40">
            <v>13.276645629215183</v>
          </cell>
          <cell r="AS40">
            <v>15.337782595380725</v>
          </cell>
          <cell r="AT40">
            <v>15.716854223779906</v>
          </cell>
          <cell r="AU40">
            <v>17.134867523263992</v>
          </cell>
          <cell r="AV40">
            <v>19.541384150495055</v>
          </cell>
          <cell r="AW40">
            <v>19.261439194738578</v>
          </cell>
          <cell r="AX40">
            <v>22.099175826210733</v>
          </cell>
          <cell r="AY40">
            <v>21.477636127485578</v>
          </cell>
          <cell r="AZ40">
            <v>17.134867523263992</v>
          </cell>
          <cell r="BA40">
            <v>19.758252099603347</v>
          </cell>
          <cell r="BB40">
            <v>24.311101139302057</v>
          </cell>
          <cell r="BC40">
            <v>20.167683728156625</v>
          </cell>
          <cell r="BD40">
            <v>17.902274898460661</v>
          </cell>
          <cell r="BE40">
            <v>17.273244288118914</v>
          </cell>
          <cell r="BF40">
            <v>15.213996492477749</v>
          </cell>
          <cell r="BG40">
            <v>11.636892345708388</v>
          </cell>
          <cell r="BH40">
            <v>9.847000631475451</v>
          </cell>
          <cell r="BI40">
            <v>7.5264449843283856</v>
          </cell>
          <cell r="BJ40">
            <v>9.4941420013280169</v>
          </cell>
          <cell r="BK40">
            <v>12.632570886763551</v>
          </cell>
          <cell r="BL40">
            <v>11.923097785847595</v>
          </cell>
          <cell r="BM40">
            <v>16.953847255541692</v>
          </cell>
          <cell r="BN40">
            <v>12.31287442541792</v>
          </cell>
          <cell r="BO40">
            <v>11.636805805601917</v>
          </cell>
          <cell r="BP40">
            <v>14.27612328094466</v>
          </cell>
          <cell r="BQ40">
            <v>18.846306303970625</v>
          </cell>
          <cell r="BR40">
            <v>16.324700681457266</v>
          </cell>
          <cell r="BS40">
            <v>15.343855114652186</v>
          </cell>
          <cell r="BT40">
            <v>14.363684560677624</v>
          </cell>
          <cell r="BU40">
            <v>16.34052021292117</v>
          </cell>
        </row>
        <row r="41">
          <cell r="AN41">
            <v>8.8508971810499713</v>
          </cell>
          <cell r="AO41">
            <v>10.88172298515539</v>
          </cell>
          <cell r="AP41">
            <v>10.221243869703203</v>
          </cell>
          <cell r="AQ41">
            <v>12.643894798891695</v>
          </cell>
          <cell r="AR41">
            <v>7.60748891786724</v>
          </cell>
          <cell r="AS41">
            <v>8.9529270850330533</v>
          </cell>
          <cell r="AT41">
            <v>9.4503335150307475</v>
          </cell>
          <cell r="AU41">
            <v>8.4365138319702613</v>
          </cell>
          <cell r="AV41">
            <v>8.0767897403129236</v>
          </cell>
          <cell r="AW41">
            <v>9.2885732054545578</v>
          </cell>
          <cell r="AX41">
            <v>11.988388603070868</v>
          </cell>
          <cell r="AY41">
            <v>15.822299073065235</v>
          </cell>
          <cell r="AZ41">
            <v>8.4365138319702613</v>
          </cell>
          <cell r="BA41">
            <v>9.8269694199839677</v>
          </cell>
          <cell r="BB41">
            <v>11.899852478655989</v>
          </cell>
          <cell r="BC41">
            <v>15.894107064297597</v>
          </cell>
          <cell r="BD41">
            <v>11.356174613730323</v>
          </cell>
          <cell r="BE41">
            <v>15.208018088857719</v>
          </cell>
          <cell r="BF41">
            <v>13.697169722849367</v>
          </cell>
          <cell r="BG41">
            <v>20.561925332535228</v>
          </cell>
          <cell r="BH41">
            <v>9.1464612657724196</v>
          </cell>
          <cell r="BI41">
            <v>5.2477998203949205</v>
          </cell>
          <cell r="BJ41">
            <v>7.7051371368692116</v>
          </cell>
          <cell r="BK41">
            <v>5.9861110776926925</v>
          </cell>
          <cell r="BL41">
            <v>6.2547355196393939</v>
          </cell>
          <cell r="BM41">
            <v>10.181774098612687</v>
          </cell>
          <cell r="BN41">
            <v>6.5680552780094947</v>
          </cell>
          <cell r="BO41">
            <v>5.020250347621122</v>
          </cell>
          <cell r="BP41">
            <v>7.2713875920193889</v>
          </cell>
          <cell r="BQ41">
            <v>11.034951520512582</v>
          </cell>
          <cell r="BR41">
            <v>7.4222442675234985</v>
          </cell>
          <cell r="BS41">
            <v>12.678429451035376</v>
          </cell>
          <cell r="BT41">
            <v>12.695679340875976</v>
          </cell>
          <cell r="BU41">
            <v>16.168949984320228</v>
          </cell>
        </row>
        <row r="42">
          <cell r="AN42">
            <v>5.3364054905048537</v>
          </cell>
          <cell r="AO42">
            <v>8.5081147070456673</v>
          </cell>
          <cell r="AP42">
            <v>5.1540541229426005</v>
          </cell>
          <cell r="AQ42">
            <v>5.5941719566329375</v>
          </cell>
          <cell r="AR42">
            <v>5.3189170969243733</v>
          </cell>
          <cell r="AS42">
            <v>6.3296346250726057</v>
          </cell>
          <cell r="AT42">
            <v>5.7326811227737942</v>
          </cell>
          <cell r="AU42">
            <v>5.6363373957883356</v>
          </cell>
          <cell r="AV42">
            <v>4.4666139911401794</v>
          </cell>
          <cell r="AW42">
            <v>4.6934831382311675</v>
          </cell>
          <cell r="AX42">
            <v>5.3322496574166092</v>
          </cell>
          <cell r="AY42">
            <v>6.2483985016016801</v>
          </cell>
          <cell r="AZ42">
            <v>5.6363373957883356</v>
          </cell>
          <cell r="BA42">
            <v>6.4084865554043065</v>
          </cell>
          <cell r="BB42">
            <v>5.3596375911655301</v>
          </cell>
          <cell r="BC42">
            <v>7.7746657051266173</v>
          </cell>
          <cell r="BD42">
            <v>6.4270768641125064</v>
          </cell>
          <cell r="BE42">
            <v>7.8406495264071863</v>
          </cell>
          <cell r="BF42">
            <v>5.1302636460183129</v>
          </cell>
          <cell r="BG42">
            <v>4.0987022940365616</v>
          </cell>
          <cell r="BH42">
            <v>5.6817847588139445</v>
          </cell>
          <cell r="BI42">
            <v>4.4343542176851249</v>
          </cell>
          <cell r="BJ42">
            <v>7.4390501263006703</v>
          </cell>
          <cell r="BK42">
            <v>9.6821110105028652</v>
          </cell>
          <cell r="BL42">
            <v>6.7008554706326677</v>
          </cell>
          <cell r="BM42">
            <v>7.5585116106846355</v>
          </cell>
          <cell r="BN42">
            <v>13.888391257033323</v>
          </cell>
          <cell r="BO42">
            <v>13.644458964398794</v>
          </cell>
          <cell r="BP42">
            <v>8.0569665599977629</v>
          </cell>
          <cell r="BQ42">
            <v>8.3931765876640725</v>
          </cell>
          <cell r="BR42">
            <v>12.096945421532912</v>
          </cell>
          <cell r="BS42">
            <v>13.162679074152479</v>
          </cell>
          <cell r="BT42">
            <v>7.8221817283370285</v>
          </cell>
          <cell r="BU42">
            <v>8.6850922135316786</v>
          </cell>
        </row>
        <row r="43">
          <cell r="AN43">
            <v>3.7472892247840024</v>
          </cell>
          <cell r="AO43">
            <v>3.9927993581964145</v>
          </cell>
          <cell r="AP43">
            <v>4.405600981564076</v>
          </cell>
          <cell r="AQ43">
            <v>5.0096959467631237</v>
          </cell>
          <cell r="AR43">
            <v>4.8948081325803807</v>
          </cell>
          <cell r="AS43">
            <v>4.5931265230372125</v>
          </cell>
          <cell r="AT43">
            <v>4.4421058149037282</v>
          </cell>
          <cell r="AU43">
            <v>4.6289529115383683</v>
          </cell>
          <cell r="AV43">
            <v>4.1989921039866562</v>
          </cell>
          <cell r="AW43">
            <v>4.027932425767343</v>
          </cell>
          <cell r="AX43">
            <v>4.2336935674221925</v>
          </cell>
          <cell r="AY43">
            <v>4.2704221599303862</v>
          </cell>
          <cell r="AZ43">
            <v>4.0183560044588864</v>
          </cell>
          <cell r="BA43">
            <v>4.0757694554265171</v>
          </cell>
          <cell r="BB43">
            <v>4.5464755697736896</v>
          </cell>
          <cell r="BC43">
            <v>4.88947446148679</v>
          </cell>
          <cell r="BD43">
            <v>5.1517948686648811</v>
          </cell>
          <cell r="BE43">
            <v>5.5681843281830252</v>
          </cell>
          <cell r="BF43">
            <v>6.0797375937923492</v>
          </cell>
          <cell r="BG43">
            <v>6.4802766956003852</v>
          </cell>
          <cell r="BH43">
            <v>5.4263575766780301</v>
          </cell>
          <cell r="BI43">
            <v>4.4581033105573242</v>
          </cell>
          <cell r="BJ43">
            <v>5.7440036016938798</v>
          </cell>
          <cell r="BK43">
            <v>6.327199123067226</v>
          </cell>
          <cell r="BL43">
            <v>6.2087494367917149</v>
          </cell>
          <cell r="BM43">
            <v>5.924304273791047</v>
          </cell>
          <cell r="BN43">
            <v>6.6005611481237203</v>
          </cell>
          <cell r="BO43">
            <v>6.5520661700742258</v>
          </cell>
          <cell r="BP43">
            <v>6.5941162712986481</v>
          </cell>
          <cell r="BQ43">
            <v>5.9285597871011149</v>
          </cell>
          <cell r="BR43">
            <v>5.4498397514044008</v>
          </cell>
          <cell r="BS43">
            <v>5.8740243468557916</v>
          </cell>
          <cell r="BT43">
            <v>6.6399819978500547</v>
          </cell>
          <cell r="BU43">
            <v>6.1577172029256264</v>
          </cell>
        </row>
        <row r="44">
          <cell r="AN44">
            <v>124.87816890436106</v>
          </cell>
          <cell r="AO44">
            <v>126.33308713674209</v>
          </cell>
          <cell r="AP44">
            <v>134.50648413444191</v>
          </cell>
          <cell r="AQ44">
            <v>134.42225029824706</v>
          </cell>
          <cell r="AR44">
            <v>140.53496003509653</v>
          </cell>
          <cell r="AS44">
            <v>141.25884210668005</v>
          </cell>
          <cell r="AT44">
            <v>136.17575675387135</v>
          </cell>
          <cell r="AU44">
            <v>136.67920884993606</v>
          </cell>
          <cell r="AV44">
            <v>145.02117141371369</v>
          </cell>
          <cell r="AW44">
            <v>149.76112214891688</v>
          </cell>
          <cell r="AX44">
            <v>145.35261679533531</v>
          </cell>
          <cell r="AY44">
            <v>150.61845590752654</v>
          </cell>
          <cell r="AZ44">
            <v>161.97949746385169</v>
          </cell>
          <cell r="BA44">
            <v>170.08901831675175</v>
          </cell>
          <cell r="BB44">
            <v>165.98041852070685</v>
          </cell>
          <cell r="BC44">
            <v>172.89477557146705</v>
          </cell>
          <cell r="BD44">
            <v>173.26137849725785</v>
          </cell>
          <cell r="BE44">
            <v>196.45338421314636</v>
          </cell>
          <cell r="BF44">
            <v>187.89193186428523</v>
          </cell>
          <cell r="BG44">
            <v>188.85971179646751</v>
          </cell>
          <cell r="BH44">
            <v>182.86458119523175</v>
          </cell>
          <cell r="BI44">
            <v>171.52261429830071</v>
          </cell>
          <cell r="BJ44">
            <v>200.02109761592277</v>
          </cell>
          <cell r="BK44">
            <v>207.12084063806228</v>
          </cell>
          <cell r="BL44">
            <v>198.08921740446814</v>
          </cell>
          <cell r="BM44">
            <v>210.53677199580255</v>
          </cell>
          <cell r="BN44">
            <v>213.8193297193703</v>
          </cell>
          <cell r="BO44">
            <v>219.72695679141816</v>
          </cell>
          <cell r="BP44">
            <v>220.06636249965189</v>
          </cell>
          <cell r="BQ44">
            <v>231.07134724562769</v>
          </cell>
          <cell r="BR44">
            <v>233.91326914603374</v>
          </cell>
          <cell r="BS44">
            <v>249.73597470160004</v>
          </cell>
          <cell r="BT44">
            <v>254.62902183369579</v>
          </cell>
          <cell r="BU44">
            <v>248.57511458488597</v>
          </cell>
        </row>
        <row r="45">
          <cell r="AN45">
            <v>43.835621005952738</v>
          </cell>
          <cell r="AO45">
            <v>42.605581318631508</v>
          </cell>
          <cell r="AP45">
            <v>41.765889337306326</v>
          </cell>
          <cell r="AQ45">
            <v>45.483899760524217</v>
          </cell>
          <cell r="AR45">
            <v>51.097916415515328</v>
          </cell>
          <cell r="AS45">
            <v>49.682875552254075</v>
          </cell>
          <cell r="AT45">
            <v>41.028303528965054</v>
          </cell>
          <cell r="AU45">
            <v>45.937885301901289</v>
          </cell>
          <cell r="AV45">
            <v>52.70964895108709</v>
          </cell>
          <cell r="AW45">
            <v>52.731632596120463</v>
          </cell>
          <cell r="AX45">
            <v>50.122097728244427</v>
          </cell>
          <cell r="AY45">
            <v>54.764348169328443</v>
          </cell>
          <cell r="AZ45">
            <v>61.723094147916328</v>
          </cell>
          <cell r="BA45">
            <v>65.200710282613215</v>
          </cell>
          <cell r="BB45">
            <v>50.594710765026534</v>
          </cell>
          <cell r="BC45">
            <v>59.804750322956266</v>
          </cell>
          <cell r="BD45">
            <v>60.949183856738074</v>
          </cell>
          <cell r="BE45">
            <v>67.520499756986794</v>
          </cell>
          <cell r="BF45">
            <v>58.391642303502778</v>
          </cell>
          <cell r="BG45">
            <v>60.747202207310153</v>
          </cell>
          <cell r="BH45">
            <v>67.733079202400887</v>
          </cell>
          <cell r="BI45">
            <v>67.720673132568919</v>
          </cell>
          <cell r="BJ45">
            <v>62.858821123739006</v>
          </cell>
          <cell r="BK45">
            <v>66.703788857472233</v>
          </cell>
          <cell r="BL45">
            <v>72.586670059836706</v>
          </cell>
          <cell r="BM45">
            <v>74.846019497726076</v>
          </cell>
          <cell r="BN45">
            <v>66.365018142248886</v>
          </cell>
          <cell r="BO45">
            <v>69.901557695314438</v>
          </cell>
          <cell r="BP45">
            <v>77.185454978386957</v>
          </cell>
          <cell r="BQ45">
            <v>80.927964772520312</v>
          </cell>
          <cell r="BR45">
            <v>73.821845169072873</v>
          </cell>
          <cell r="BS45">
            <v>89.784596774090943</v>
          </cell>
          <cell r="BT45">
            <v>93.885572706299683</v>
          </cell>
          <cell r="BU45">
            <v>88.358035645325998</v>
          </cell>
        </row>
        <row r="46">
          <cell r="AN46">
            <v>8.5571384304181777</v>
          </cell>
          <cell r="AO46">
            <v>8.6616688378973237</v>
          </cell>
          <cell r="AP46">
            <v>9.228466045433283</v>
          </cell>
          <cell r="AQ46">
            <v>9.3579022117186739</v>
          </cell>
          <cell r="AR46">
            <v>9.124133975805913</v>
          </cell>
          <cell r="AS46">
            <v>9.2642350655206354</v>
          </cell>
          <cell r="AT46">
            <v>9.705115119719947</v>
          </cell>
          <cell r="AU46">
            <v>9.8734579849902531</v>
          </cell>
          <cell r="AV46">
            <v>9.5480752977051662</v>
          </cell>
          <cell r="AW46">
            <v>9.7240543755190227</v>
          </cell>
          <cell r="AX46">
            <v>10.602192789685985</v>
          </cell>
          <cell r="AY46">
            <v>10.798197382228967</v>
          </cell>
          <cell r="AZ46">
            <v>10.709806084049491</v>
          </cell>
          <cell r="BA46">
            <v>10.98406273907124</v>
          </cell>
          <cell r="BB46">
            <v>11.2924840434874</v>
          </cell>
          <cell r="BC46">
            <v>11.528613002979457</v>
          </cell>
          <cell r="BD46">
            <v>11.883741059433715</v>
          </cell>
          <cell r="BE46">
            <v>12.149260041956683</v>
          </cell>
          <cell r="BF46">
            <v>12.37802179601066</v>
          </cell>
          <cell r="BG46">
            <v>12.661088814947981</v>
          </cell>
          <cell r="BH46">
            <v>12.525793195741816</v>
          </cell>
          <cell r="BI46">
            <v>12.805028464424698</v>
          </cell>
          <cell r="BJ46">
            <v>13.534294231858132</v>
          </cell>
          <cell r="BK46">
            <v>13.880820436657164</v>
          </cell>
          <cell r="BL46">
            <v>13.627811016664044</v>
          </cell>
          <cell r="BM46">
            <v>13.898510284097377</v>
          </cell>
          <cell r="BN46">
            <v>14.632807184182894</v>
          </cell>
          <cell r="BO46">
            <v>14.911866655597002</v>
          </cell>
          <cell r="BP46">
            <v>14.582991893283706</v>
          </cell>
          <cell r="BQ46">
            <v>14.924829012047818</v>
          </cell>
          <cell r="BR46">
            <v>16.421081338998324</v>
          </cell>
          <cell r="BS46">
            <v>16.465009175303589</v>
          </cell>
          <cell r="BT46">
            <v>15.059634053687756</v>
          </cell>
          <cell r="BU46">
            <v>15.322186210456385</v>
          </cell>
        </row>
        <row r="47">
          <cell r="AN47">
            <v>23.040868578501151</v>
          </cell>
          <cell r="AO47">
            <v>21.853988520704487</v>
          </cell>
          <cell r="AP47">
            <v>16.910227898323427</v>
          </cell>
          <cell r="AQ47">
            <v>18.410035644563393</v>
          </cell>
          <cell r="AR47">
            <v>24.843092251241799</v>
          </cell>
          <cell r="AS47">
            <v>25.134840070943785</v>
          </cell>
          <cell r="AT47">
            <v>17.892589381403486</v>
          </cell>
          <cell r="AU47">
            <v>18.094703274372851</v>
          </cell>
          <cell r="AV47">
            <v>28.032863200924439</v>
          </cell>
          <cell r="AW47">
            <v>27.216861283081162</v>
          </cell>
          <cell r="AX47">
            <v>25.40985922715647</v>
          </cell>
          <cell r="AY47">
            <v>24.333271201925903</v>
          </cell>
          <cell r="AZ47">
            <v>30.78478830274582</v>
          </cell>
          <cell r="BA47">
            <v>34.640846488874637</v>
          </cell>
          <cell r="BB47">
            <v>22.113883849637133</v>
          </cell>
          <cell r="BC47">
            <v>27.013843622621934</v>
          </cell>
          <cell r="BD47">
            <v>28.727431819652935</v>
          </cell>
          <cell r="BE47">
            <v>34.874583466046936</v>
          </cell>
          <cell r="BF47">
            <v>25.560368517173753</v>
          </cell>
          <cell r="BG47">
            <v>25.487362319271959</v>
          </cell>
          <cell r="BH47">
            <v>32.131441221721104</v>
          </cell>
          <cell r="BI47">
            <v>33.032503220740821</v>
          </cell>
          <cell r="BJ47">
            <v>29.042635424254378</v>
          </cell>
          <cell r="BK47">
            <v>27.953338142624602</v>
          </cell>
          <cell r="BL47">
            <v>34.963669472320383</v>
          </cell>
          <cell r="BM47">
            <v>36.092088659929345</v>
          </cell>
          <cell r="BN47">
            <v>29.637463304991599</v>
          </cell>
          <cell r="BO47">
            <v>27.76457324084339</v>
          </cell>
          <cell r="BP47">
            <v>36.01122818035099</v>
          </cell>
          <cell r="BQ47">
            <v>38.45308811394505</v>
          </cell>
          <cell r="BR47">
            <v>31.838649681107519</v>
          </cell>
          <cell r="BS47">
            <v>42.912717194647698</v>
          </cell>
          <cell r="BT47">
            <v>49.031565829706409</v>
          </cell>
          <cell r="BU47">
            <v>41.913713606997902</v>
          </cell>
        </row>
        <row r="48">
          <cell r="AN48">
            <v>15.102689988938087</v>
          </cell>
          <cell r="AO48">
            <v>15.219309534510867</v>
          </cell>
          <cell r="AP48">
            <v>14.154063275021908</v>
          </cell>
          <cell r="AQ48">
            <v>16.600522012590858</v>
          </cell>
          <cell r="AR48">
            <v>17.130690188467607</v>
          </cell>
          <cell r="AS48">
            <v>15.283800415789651</v>
          </cell>
          <cell r="AT48">
            <v>13.43059902784162</v>
          </cell>
          <cell r="AU48">
            <v>17.969724042538168</v>
          </cell>
          <cell r="AV48">
            <v>15.128710452457492</v>
          </cell>
          <cell r="AW48">
            <v>15.79071693752029</v>
          </cell>
          <cell r="AX48">
            <v>14.110045711401943</v>
          </cell>
          <cell r="AY48">
            <v>19.632879585173566</v>
          </cell>
          <cell r="AZ48">
            <v>20.228499761121046</v>
          </cell>
          <cell r="BA48">
            <v>19.575801054667313</v>
          </cell>
          <cell r="BB48">
            <v>17.188342871902005</v>
          </cell>
          <cell r="BC48">
            <v>21.262293697354892</v>
          </cell>
          <cell r="BD48">
            <v>20.338010977651415</v>
          </cell>
          <cell r="BE48">
            <v>20.496656248983182</v>
          </cell>
          <cell r="BF48">
            <v>20.45325199031835</v>
          </cell>
          <cell r="BG48">
            <v>22.598751073090224</v>
          </cell>
          <cell r="BH48">
            <v>23.075844784937946</v>
          </cell>
          <cell r="BI48">
            <v>21.883141447403418</v>
          </cell>
          <cell r="BJ48">
            <v>20.281891467626515</v>
          </cell>
          <cell r="BK48">
            <v>24.869630278190446</v>
          </cell>
          <cell r="BL48">
            <v>23.99518957085229</v>
          </cell>
          <cell r="BM48">
            <v>24.855420553699354</v>
          </cell>
          <cell r="BN48">
            <v>22.094747653074382</v>
          </cell>
          <cell r="BO48">
            <v>27.225117798874024</v>
          </cell>
          <cell r="BP48">
            <v>26.591234904752227</v>
          </cell>
          <cell r="BQ48">
            <v>27.550047646527457</v>
          </cell>
          <cell r="BR48">
            <v>25.562114148967041</v>
          </cell>
          <cell r="BS48">
            <v>30.406870404139699</v>
          </cell>
          <cell r="BT48">
            <v>29.794372822905526</v>
          </cell>
          <cell r="BU48">
            <v>31.122135827871759</v>
          </cell>
        </row>
        <row r="49">
          <cell r="AN49">
            <v>40.785286778325826</v>
          </cell>
          <cell r="AO49">
            <v>40.486187016696967</v>
          </cell>
          <cell r="AP49">
            <v>45.117139496020577</v>
          </cell>
          <cell r="AQ49">
            <v>41.64901411147973</v>
          </cell>
          <cell r="AR49">
            <v>42.979788422610461</v>
          </cell>
          <cell r="AS49">
            <v>43.177703329855952</v>
          </cell>
          <cell r="AT49">
            <v>45.827351590469405</v>
          </cell>
          <cell r="AU49">
            <v>41.552414290284545</v>
          </cell>
          <cell r="AV49">
            <v>41.695243134207089</v>
          </cell>
          <cell r="AW49">
            <v>40.775015010327898</v>
          </cell>
          <cell r="AX49">
            <v>39.334567872897175</v>
          </cell>
          <cell r="AY49">
            <v>37.53392493992331</v>
          </cell>
          <cell r="AZ49">
            <v>38.795383839421575</v>
          </cell>
          <cell r="BA49">
            <v>39.816758300234099</v>
          </cell>
          <cell r="BB49">
            <v>44.616812256893787</v>
          </cell>
          <cell r="BC49">
            <v>42.339304398287865</v>
          </cell>
          <cell r="BD49">
            <v>41.721846961563635</v>
          </cell>
          <cell r="BE49">
            <v>47.246770214703858</v>
          </cell>
          <cell r="BF49">
            <v>48.383571928176707</v>
          </cell>
          <cell r="BG49">
            <v>46.181271277728577</v>
          </cell>
          <cell r="BH49">
            <v>44.123180783631781</v>
          </cell>
          <cell r="BI49">
            <v>41.310449395768423</v>
          </cell>
          <cell r="BJ49">
            <v>50.404801909195271</v>
          </cell>
          <cell r="BK49">
            <v>49.776729493257861</v>
          </cell>
          <cell r="BL49">
            <v>45.950113855385922</v>
          </cell>
          <cell r="BM49">
            <v>44.875153848493987</v>
          </cell>
          <cell r="BN49">
            <v>52.059963659538624</v>
          </cell>
          <cell r="BO49">
            <v>53.981992980023129</v>
          </cell>
          <cell r="BP49">
            <v>51.670807989050459</v>
          </cell>
          <cell r="BQ49">
            <v>51.015107255257199</v>
          </cell>
          <cell r="BR49">
            <v>56.52687145133094</v>
          </cell>
          <cell r="BS49">
            <v>54.890708186906622</v>
          </cell>
          <cell r="BT49">
            <v>53.030843757885705</v>
          </cell>
          <cell r="BU49">
            <v>50.054057335264865</v>
          </cell>
        </row>
        <row r="50">
          <cell r="AN50">
            <v>20.184896601821169</v>
          </cell>
          <cell r="AO50">
            <v>21.490504187131464</v>
          </cell>
          <cell r="AP50">
            <v>22.860613650684556</v>
          </cell>
          <cell r="AQ50">
            <v>19.884752604192503</v>
          </cell>
          <cell r="AR50">
            <v>21.141728948239326</v>
          </cell>
          <cell r="AS50">
            <v>21.306023072871064</v>
          </cell>
          <cell r="AT50">
            <v>22.724210313952788</v>
          </cell>
          <cell r="AU50">
            <v>18.415438221163146</v>
          </cell>
          <cell r="AV50">
            <v>20.74789954732994</v>
          </cell>
          <cell r="AW50">
            <v>19.79343439434734</v>
          </cell>
          <cell r="AX50">
            <v>18.304259923528914</v>
          </cell>
          <cell r="AY50">
            <v>16.469220702888023</v>
          </cell>
          <cell r="AZ50">
            <v>18.242351862633608</v>
          </cell>
          <cell r="BA50">
            <v>19.228924048477914</v>
          </cell>
          <cell r="BB50">
            <v>22.5570390190904</v>
          </cell>
          <cell r="BC50">
            <v>20.244611248788758</v>
          </cell>
          <cell r="BD50">
            <v>20.646822657226863</v>
          </cell>
          <cell r="BE50">
            <v>26.136417262168884</v>
          </cell>
          <cell r="BF50">
            <v>25.785344322176208</v>
          </cell>
          <cell r="BG50">
            <v>23.547625950240686</v>
          </cell>
          <cell r="BH50">
            <v>21.900377609421582</v>
          </cell>
          <cell r="BI50">
            <v>19.051817699925913</v>
          </cell>
          <cell r="BJ50">
            <v>26.048451512426457</v>
          </cell>
          <cell r="BK50">
            <v>25.384477560341299</v>
          </cell>
          <cell r="BL50">
            <v>22.936812415952872</v>
          </cell>
          <cell r="BM50">
            <v>21.825538396764838</v>
          </cell>
          <cell r="BN50">
            <v>26.651961718529442</v>
          </cell>
          <cell r="BO50">
            <v>28.537613713194606</v>
          </cell>
          <cell r="BP50">
            <v>27.954554733723004</v>
          </cell>
          <cell r="BQ50">
            <v>27.262062758435111</v>
          </cell>
          <cell r="BR50">
            <v>30.155406069826583</v>
          </cell>
          <cell r="BS50">
            <v>28.48246384846307</v>
          </cell>
          <cell r="BT50">
            <v>28.736877402044577</v>
          </cell>
          <cell r="BU50">
            <v>25.722898383212996</v>
          </cell>
        </row>
        <row r="51">
          <cell r="AN51">
            <v>16.396576018130411</v>
          </cell>
          <cell r="AO51">
            <v>15.845978685252883</v>
          </cell>
          <cell r="AP51">
            <v>17.994190873080967</v>
          </cell>
          <cell r="AQ51">
            <v>15.630501862914391</v>
          </cell>
          <cell r="AR51">
            <v>15.680229055555165</v>
          </cell>
          <cell r="AS51">
            <v>16.343480210335269</v>
          </cell>
          <cell r="AT51">
            <v>18.480016344199587</v>
          </cell>
          <cell r="AU51">
            <v>15.440742510347871</v>
          </cell>
          <cell r="AV51">
            <v>16.655574923150489</v>
          </cell>
          <cell r="AW51">
            <v>14.500430816772997</v>
          </cell>
          <cell r="AX51">
            <v>16.142375524277444</v>
          </cell>
          <cell r="AY51">
            <v>14.57130805011273</v>
          </cell>
          <cell r="AZ51">
            <v>16.307956768642939</v>
          </cell>
          <cell r="BA51">
            <v>17.371726391920991</v>
          </cell>
          <cell r="BB51">
            <v>20.382884559829058</v>
          </cell>
          <cell r="BC51">
            <v>18.445876205930897</v>
          </cell>
          <cell r="BD51">
            <v>18.790723256670638</v>
          </cell>
          <cell r="BE51">
            <v>24.349421604197623</v>
          </cell>
          <cell r="BF51">
            <v>23.508241155937547</v>
          </cell>
          <cell r="BG51">
            <v>21.211744895365541</v>
          </cell>
          <cell r="BH51">
            <v>19.895134994110503</v>
          </cell>
          <cell r="BI51">
            <v>18.068775388274869</v>
          </cell>
          <cell r="BJ51">
            <v>24.267212795436834</v>
          </cell>
          <cell r="BK51">
            <v>23.621647584648308</v>
          </cell>
          <cell r="BL51">
            <v>21.376904694274927</v>
          </cell>
          <cell r="BM51">
            <v>21.739389152803213</v>
          </cell>
          <cell r="BN51">
            <v>24.721397538541694</v>
          </cell>
          <cell r="BO51">
            <v>26.298992282371323</v>
          </cell>
          <cell r="BP51">
            <v>25.639772579860104</v>
          </cell>
          <cell r="BQ51">
            <v>24.843686405574626</v>
          </cell>
          <cell r="BR51">
            <v>27.430805583395617</v>
          </cell>
          <cell r="BS51">
            <v>26.132488885814048</v>
          </cell>
          <cell r="BT51">
            <v>26.575621701517928</v>
          </cell>
          <cell r="BU51">
            <v>23.467346242940948</v>
          </cell>
        </row>
        <row r="52">
          <cell r="AN52">
            <v>1.864745654038525</v>
          </cell>
          <cell r="AO52">
            <v>1.9542410499351162</v>
          </cell>
          <cell r="AP52">
            <v>2.4380982166070231</v>
          </cell>
          <cell r="AQ52">
            <v>2.0845812106612707</v>
          </cell>
          <cell r="AR52">
            <v>2.1863767322136405</v>
          </cell>
          <cell r="AS52">
            <v>2.086104977010145</v>
          </cell>
          <cell r="AT52">
            <v>2.3261110456103253</v>
          </cell>
          <cell r="AU52">
            <v>1.5669059110777306</v>
          </cell>
          <cell r="AV52">
            <v>1.5975811215541027</v>
          </cell>
          <cell r="AW52">
            <v>1.752823680184898</v>
          </cell>
          <cell r="AX52">
            <v>2.1618843992514694</v>
          </cell>
          <cell r="AY52">
            <v>1.8979126527752914</v>
          </cell>
          <cell r="AZ52">
            <v>1.9343950939906718</v>
          </cell>
          <cell r="BA52">
            <v>1.8571976565569246</v>
          </cell>
          <cell r="BB52">
            <v>2.1741544592613433</v>
          </cell>
          <cell r="BC52">
            <v>1.7987350428578626</v>
          </cell>
          <cell r="BD52">
            <v>1.8560994005562275</v>
          </cell>
          <cell r="BE52">
            <v>1.7869956579712636</v>
          </cell>
          <cell r="BF52">
            <v>2.2771031662386578</v>
          </cell>
          <cell r="BG52">
            <v>2.3358810548751476</v>
          </cell>
          <cell r="BH52">
            <v>2.0052426153110789</v>
          </cell>
          <cell r="BI52">
            <v>0.9830423116510445</v>
          </cell>
          <cell r="BJ52">
            <v>1.7812387169896235</v>
          </cell>
          <cell r="BK52">
            <v>1.7628299756929933</v>
          </cell>
          <cell r="BL52">
            <v>1.5599077216779427</v>
          </cell>
          <cell r="BM52">
            <v>8.6149243961621838E-2</v>
          </cell>
          <cell r="BN52">
            <v>1.9305641799877464</v>
          </cell>
          <cell r="BO52">
            <v>2.2386214308232808</v>
          </cell>
          <cell r="BP52">
            <v>2.3147821538629043</v>
          </cell>
          <cell r="BQ52">
            <v>2.4183763528604829</v>
          </cell>
          <cell r="BR52">
            <v>2.7246004864309668</v>
          </cell>
          <cell r="BS52">
            <v>2.3499749626490214</v>
          </cell>
          <cell r="BT52">
            <v>2.1612557005266515</v>
          </cell>
          <cell r="BU52">
            <v>2.2555521402720498</v>
          </cell>
        </row>
        <row r="53">
          <cell r="AN53">
            <v>1.9235749296522349</v>
          </cell>
          <cell r="AO53">
            <v>3.6902844519434654</v>
          </cell>
          <cell r="AP53">
            <v>2.4283245609965625</v>
          </cell>
          <cell r="AQ53">
            <v>2.1696695306168423</v>
          </cell>
          <cell r="AR53">
            <v>3.2751231604705207</v>
          </cell>
          <cell r="AS53">
            <v>2.8764378855256472</v>
          </cell>
          <cell r="AT53">
            <v>1.9180829241428783</v>
          </cell>
          <cell r="AU53">
            <v>1.4077897997375437</v>
          </cell>
          <cell r="AV53">
            <v>2.4947435026253473</v>
          </cell>
          <cell r="AW53">
            <v>3.5401798973894438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N54">
            <v>20.702030252575227</v>
          </cell>
          <cell r="AO54">
            <v>20.735005495470094</v>
          </cell>
          <cell r="AP54">
            <v>21.058946447989463</v>
          </cell>
          <cell r="AQ54">
            <v>21.092170066401827</v>
          </cell>
          <cell r="AR54">
            <v>21.838059474371128</v>
          </cell>
          <cell r="AS54">
            <v>21.871680256984899</v>
          </cell>
          <cell r="AT54">
            <v>23.10314127651661</v>
          </cell>
          <cell r="AU54">
            <v>23.136976069121403</v>
          </cell>
          <cell r="AV54">
            <v>20.947343586877142</v>
          </cell>
          <cell r="AW54">
            <v>20.981580615980555</v>
          </cell>
          <cell r="AX54">
            <v>21.030307949368261</v>
          </cell>
          <cell r="AY54">
            <v>21.064704237035279</v>
          </cell>
          <cell r="AZ54">
            <v>20.55303197678797</v>
          </cell>
          <cell r="BA54">
            <v>20.587834251756192</v>
          </cell>
          <cell r="BB54">
            <v>22.059773237803384</v>
          </cell>
          <cell r="BC54">
            <v>22.094693149499125</v>
          </cell>
          <cell r="BD54">
            <v>21.075024304336765</v>
          </cell>
          <cell r="BE54">
            <v>21.110352952534978</v>
          </cell>
          <cell r="BF54">
            <v>22.598227606000506</v>
          </cell>
          <cell r="BG54">
            <v>22.633645327487876</v>
          </cell>
          <cell r="BH54">
            <v>22.222803174210192</v>
          </cell>
          <cell r="BI54">
            <v>22.25863169584251</v>
          </cell>
          <cell r="BJ54">
            <v>24.356350396768807</v>
          </cell>
          <cell r="BK54">
            <v>24.392251932916572</v>
          </cell>
          <cell r="BL54">
            <v>23.013301439433068</v>
          </cell>
          <cell r="BM54">
            <v>23.049615451729153</v>
          </cell>
          <cell r="BN54">
            <v>25.408001941009193</v>
          </cell>
          <cell r="BO54">
            <v>25.444379266828523</v>
          </cell>
          <cell r="BP54">
            <v>23.716253255327459</v>
          </cell>
          <cell r="BQ54">
            <v>23.753044496822078</v>
          </cell>
          <cell r="BR54">
            <v>26.371465381504365</v>
          </cell>
          <cell r="BS54">
            <v>26.408244338443552</v>
          </cell>
          <cell r="BT54">
            <v>24.293966355841128</v>
          </cell>
          <cell r="BU54">
            <v>24.331158952051869</v>
          </cell>
        </row>
        <row r="55">
          <cell r="AN55">
            <v>12.189468475952609</v>
          </cell>
          <cell r="AO55">
            <v>12.202093900606132</v>
          </cell>
          <cell r="AP55">
            <v>10.523643048610351</v>
          </cell>
          <cell r="AQ55">
            <v>10.53636357025503</v>
          </cell>
          <cell r="AR55">
            <v>12.53877708320989</v>
          </cell>
          <cell r="AS55">
            <v>12.551649669441808</v>
          </cell>
          <cell r="AT55">
            <v>11.658221433288217</v>
          </cell>
          <cell r="AU55">
            <v>11.67117595878061</v>
          </cell>
          <cell r="AV55">
            <v>12.024229837504238</v>
          </cell>
          <cell r="AW55">
            <v>12.037338369644054</v>
          </cell>
          <cell r="AX55">
            <v>10.277833952383414</v>
          </cell>
          <cell r="AY55">
            <v>10.291003460783561</v>
          </cell>
          <cell r="AZ55">
            <v>11.808331641518061</v>
          </cell>
          <cell r="BA55">
            <v>11.821656592657419</v>
          </cell>
          <cell r="BB55">
            <v>10.773311280217394</v>
          </cell>
          <cell r="BC55">
            <v>10.786681271620576</v>
          </cell>
          <cell r="BD55">
            <v>12.109823776855391</v>
          </cell>
          <cell r="BE55">
            <v>12.123350263600596</v>
          </cell>
          <cell r="BF55">
            <v>11.011171191344465</v>
          </cell>
          <cell r="BG55">
            <v>11.024731782102325</v>
          </cell>
          <cell r="BH55">
            <v>12.765303572388243</v>
          </cell>
          <cell r="BI55">
            <v>12.779021448607022</v>
          </cell>
          <cell r="BJ55">
            <v>12.063097465555822</v>
          </cell>
          <cell r="BK55">
            <v>12.076843297270376</v>
          </cell>
          <cell r="BL55">
            <v>13.23709042122139</v>
          </cell>
          <cell r="BM55">
            <v>13.250994180098106</v>
          </cell>
          <cell r="BN55">
            <v>12.612197677958513</v>
          </cell>
          <cell r="BO55">
            <v>12.626125678055221</v>
          </cell>
          <cell r="BP55">
            <v>13.666875267852424</v>
          </cell>
          <cell r="BQ55">
            <v>13.680961746271425</v>
          </cell>
          <cell r="BR55">
            <v>12.917832015337195</v>
          </cell>
          <cell r="BS55">
            <v>12.931913790296406</v>
          </cell>
          <cell r="BT55">
            <v>13.998634848245178</v>
          </cell>
          <cell r="BU55">
            <v>14.012874995698363</v>
          </cell>
        </row>
        <row r="56">
          <cell r="AN56">
            <v>3.6787011749893455</v>
          </cell>
          <cell r="AO56">
            <v>3.6940442496690671</v>
          </cell>
          <cell r="AP56">
            <v>6.3620432101686077</v>
          </cell>
          <cell r="AQ56">
            <v>6.3775018516729878</v>
          </cell>
          <cell r="AR56">
            <v>4.3268998254436859</v>
          </cell>
          <cell r="AS56">
            <v>4.3425432637673529</v>
          </cell>
          <cell r="AT56">
            <v>6.8217307859972145</v>
          </cell>
          <cell r="AU56">
            <v>6.8374738011848022</v>
          </cell>
          <cell r="AV56">
            <v>4.1547802497489439</v>
          </cell>
          <cell r="AW56">
            <v>4.1707104218486712</v>
          </cell>
          <cell r="AX56">
            <v>6.6766919634559088</v>
          </cell>
          <cell r="AY56">
            <v>6.6926962370881879</v>
          </cell>
          <cell r="AZ56">
            <v>4.0619835125010662</v>
          </cell>
          <cell r="BA56">
            <v>4.0781766882591368</v>
          </cell>
          <cell r="BB56">
            <v>7.0141932323900438</v>
          </cell>
          <cell r="BC56">
            <v>7.0304411434263718</v>
          </cell>
          <cell r="BD56">
            <v>4.1629238602792435</v>
          </cell>
          <cell r="BE56">
            <v>4.1793619526192129</v>
          </cell>
          <cell r="BF56">
            <v>7.2204618658711963</v>
          </cell>
          <cell r="BG56">
            <v>7.2369414031864761</v>
          </cell>
          <cell r="BH56">
            <v>4.395285598956356</v>
          </cell>
          <cell r="BI56">
            <v>4.4119562777689838</v>
          </cell>
          <cell r="BJ56">
            <v>7.5095060691205884</v>
          </cell>
          <cell r="BK56">
            <v>7.5262107209100577</v>
          </cell>
          <cell r="BL56">
            <v>4.5269050297158397</v>
          </cell>
          <cell r="BM56">
            <v>4.5438016028314836</v>
          </cell>
          <cell r="BN56">
            <v>7.7943059962667469</v>
          </cell>
          <cell r="BO56">
            <v>7.8112320285775363</v>
          </cell>
          <cell r="BP56">
            <v>4.629636344511793</v>
          </cell>
          <cell r="BQ56">
            <v>4.6467549679472997</v>
          </cell>
          <cell r="BR56">
            <v>8.330932621615176</v>
          </cell>
          <cell r="BS56">
            <v>8.3480455291609825</v>
          </cell>
          <cell r="BT56">
            <v>4.7440271498155164</v>
          </cell>
          <cell r="BU56">
            <v>4.7613325198779437</v>
          </cell>
        </row>
        <row r="57">
          <cell r="AN57">
            <v>4.8338606016332752</v>
          </cell>
          <cell r="AO57">
            <v>4.8388673451948954</v>
          </cell>
          <cell r="AP57">
            <v>4.173260189210505</v>
          </cell>
          <cell r="AQ57">
            <v>4.1783046444738119</v>
          </cell>
          <cell r="AR57">
            <v>4.9723825657175551</v>
          </cell>
          <cell r="AS57">
            <v>4.9774873237757387</v>
          </cell>
          <cell r="AT57">
            <v>4.6231890572311807</v>
          </cell>
          <cell r="AU57">
            <v>4.6283263091559927</v>
          </cell>
          <cell r="AV57">
            <v>4.7683334996239592</v>
          </cell>
          <cell r="AW57">
            <v>4.7735318244878284</v>
          </cell>
          <cell r="AX57">
            <v>4.0757820335289372</v>
          </cell>
          <cell r="AY57">
            <v>4.081004539163529</v>
          </cell>
          <cell r="AZ57">
            <v>4.6827168227688407</v>
          </cell>
          <cell r="BA57">
            <v>4.688000970839636</v>
          </cell>
          <cell r="BB57">
            <v>4.2722687251959455</v>
          </cell>
          <cell r="BC57">
            <v>4.2775707344521754</v>
          </cell>
          <cell r="BD57">
            <v>4.8022766672021326</v>
          </cell>
          <cell r="BE57">
            <v>4.8076407363151663</v>
          </cell>
          <cell r="BF57">
            <v>4.3665945487848434</v>
          </cell>
          <cell r="BG57">
            <v>4.371972142199076</v>
          </cell>
          <cell r="BH57">
            <v>5.0622140028655949</v>
          </cell>
          <cell r="BI57">
            <v>5.0676539694665053</v>
          </cell>
          <cell r="BJ57">
            <v>4.7837468620923991</v>
          </cell>
          <cell r="BK57">
            <v>4.7891979147361416</v>
          </cell>
          <cell r="BL57">
            <v>5.2493059884958404</v>
          </cell>
          <cell r="BM57">
            <v>5.2548196687995672</v>
          </cell>
          <cell r="BN57">
            <v>5.0014982667839316</v>
          </cell>
          <cell r="BO57">
            <v>5.0070215601957679</v>
          </cell>
          <cell r="BP57">
            <v>5.4197416429632437</v>
          </cell>
          <cell r="BQ57">
            <v>5.4253277826033512</v>
          </cell>
          <cell r="BR57">
            <v>5.1227007445519899</v>
          </cell>
          <cell r="BS57">
            <v>5.128285018986162</v>
          </cell>
          <cell r="BT57">
            <v>5.5513043577804364</v>
          </cell>
          <cell r="BU57">
            <v>5.5569514364755577</v>
          </cell>
        </row>
        <row r="58"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N59">
            <v>5.3924515638789288</v>
          </cell>
          <cell r="AO59">
            <v>5.6355762898747832</v>
          </cell>
          <cell r="AP59">
            <v>5.4032174494876077</v>
          </cell>
          <cell r="AQ59">
            <v>5.6461531121287871</v>
          </cell>
          <cell r="AR59">
            <v>6.0255367817531287</v>
          </cell>
          <cell r="AS59">
            <v>5.9533296231567805</v>
          </cell>
          <cell r="AT59">
            <v>5.7307900070060276</v>
          </cell>
          <cell r="AU59">
            <v>6.476689621018104</v>
          </cell>
          <cell r="AV59">
            <v>7.9010870567697147</v>
          </cell>
          <cell r="AW59">
            <v>9.4066609567826642</v>
          </cell>
          <cell r="AX59">
            <v>8.1675960261883347</v>
          </cell>
          <cell r="AY59">
            <v>8.2663467442104714</v>
          </cell>
          <cell r="AZ59">
            <v>12.347812766659892</v>
          </cell>
          <cell r="BA59">
            <v>13.3957342739509</v>
          </cell>
          <cell r="BB59">
            <v>13.738057547122381</v>
          </cell>
          <cell r="BC59">
            <v>14.41863944372308</v>
          </cell>
          <cell r="BD59">
            <v>13.450357339888933</v>
          </cell>
          <cell r="BE59">
            <v>14.964939296850185</v>
          </cell>
          <cell r="BF59">
            <v>16.627949705581699</v>
          </cell>
          <cell r="BG59">
            <v>18.706905724126035</v>
          </cell>
          <cell r="BH59">
            <v>14.97632469790992</v>
          </cell>
          <cell r="BI59">
            <v>13.052419324127891</v>
          </cell>
          <cell r="BJ59">
            <v>15.820201612115927</v>
          </cell>
          <cell r="BK59">
            <v>17.286324053764854</v>
          </cell>
          <cell r="BL59">
            <v>14.682426293348929</v>
          </cell>
          <cell r="BM59">
            <v>17.956598186798644</v>
          </cell>
          <cell r="BN59">
            <v>17.67447081932146</v>
          </cell>
          <cell r="BO59">
            <v>20.360078143896832</v>
          </cell>
          <cell r="BP59">
            <v>17.876699388441722</v>
          </cell>
          <cell r="BQ59">
            <v>21.236995696111443</v>
          </cell>
          <cell r="BR59">
            <v>21.975833656129467</v>
          </cell>
          <cell r="BS59">
            <v>24.332521811336353</v>
          </cell>
          <cell r="BT59">
            <v>22.987175861712661</v>
          </cell>
          <cell r="BU59">
            <v>25.060589384780851</v>
          </cell>
        </row>
        <row r="60">
          <cell r="AN60">
            <v>5.7892217830938932</v>
          </cell>
          <cell r="AO60">
            <v>6.2078689081884013</v>
          </cell>
          <cell r="AP60">
            <v>6.2886986959649178</v>
          </cell>
          <cell r="AQ60">
            <v>7.2235913031378356</v>
          </cell>
          <cell r="AR60">
            <v>6.4921731207178137</v>
          </cell>
          <cell r="AS60">
            <v>6.9529429181123525</v>
          </cell>
          <cell r="AT60">
            <v>8.3576314655646087</v>
          </cell>
          <cell r="AU60">
            <v>6.4172109347699564</v>
          </cell>
          <cell r="AV60">
            <v>6.1842230955839375</v>
          </cell>
          <cell r="AW60">
            <v>6.5237143892242413</v>
          </cell>
          <cell r="AX60">
            <v>6.2755651606392107</v>
          </cell>
          <cell r="AY60">
            <v>7.0211384966988053</v>
          </cell>
          <cell r="AZ60">
            <v>6.9029271386937747</v>
          </cell>
          <cell r="BA60">
            <v>6.9061756699990546</v>
          </cell>
          <cell r="BB60">
            <v>7.3092848786150597</v>
          </cell>
          <cell r="BC60">
            <v>8.1883380027756782</v>
          </cell>
          <cell r="BD60">
            <v>8.5560533946374893</v>
          </cell>
          <cell r="BE60">
            <v>10.181983164757442</v>
          </cell>
          <cell r="BF60">
            <v>9.3020594457934163</v>
          </cell>
          <cell r="BG60">
            <v>9.2079962612970832</v>
          </cell>
          <cell r="BH60">
            <v>7.5919655427290333</v>
          </cell>
          <cell r="BI60">
            <v>7.4335512056360358</v>
          </cell>
          <cell r="BJ60">
            <v>9.1710345832747553</v>
          </cell>
          <cell r="BK60">
            <v>9.6447236797794478</v>
          </cell>
          <cell r="BL60">
            <v>8.9179126915121678</v>
          </cell>
          <cell r="BM60">
            <v>9.8916971494965846</v>
          </cell>
          <cell r="BN60">
            <v>10.685444077666185</v>
          </cell>
          <cell r="BO60">
            <v>10.68176363225127</v>
          </cell>
          <cell r="BP60">
            <v>10.658563752462719</v>
          </cell>
          <cell r="BQ60">
            <v>10.85510749328712</v>
          </cell>
          <cell r="BR60">
            <v>11.527099652822084</v>
          </cell>
          <cell r="BS60">
            <v>13.508607855899498</v>
          </cell>
          <cell r="BT60">
            <v>12.5741323754508</v>
          </cell>
          <cell r="BU60">
            <v>14.340143142430779</v>
          </cell>
        </row>
        <row r="61">
          <cell r="AN61">
            <v>5.8896383195108388</v>
          </cell>
          <cell r="AO61">
            <v>6.0555218943323821</v>
          </cell>
          <cell r="AP61">
            <v>6.2475646650438588</v>
          </cell>
          <cell r="AQ61">
            <v>6.1398598717208337</v>
          </cell>
          <cell r="AR61">
            <v>6.050442511865274</v>
          </cell>
          <cell r="AS61">
            <v>5.8472429764226916</v>
          </cell>
          <cell r="AT61">
            <v>6.8696455894066002</v>
          </cell>
          <cell r="AU61">
            <v>6.790858817249358</v>
          </cell>
          <cell r="AV61">
            <v>7.3845928898792579</v>
          </cell>
          <cell r="AW61">
            <v>8.7573750141955884</v>
          </cell>
          <cell r="AX61">
            <v>8.5491682178168222</v>
          </cell>
          <cell r="AY61">
            <v>9.2451256905732393</v>
          </cell>
          <cell r="AZ61">
            <v>9.2551350961273666</v>
          </cell>
          <cell r="BA61">
            <v>9.9645587298565061</v>
          </cell>
          <cell r="BB61">
            <v>9.9986989024560273</v>
          </cell>
          <cell r="BC61">
            <v>11.080474608063323</v>
          </cell>
          <cell r="BD61">
            <v>11.454049413198707</v>
          </cell>
          <cell r="BE61">
            <v>14.398540167806075</v>
          </cell>
          <cell r="BF61">
            <v>13.359132358254698</v>
          </cell>
          <cell r="BG61">
            <v>13.702740810012109</v>
          </cell>
          <cell r="BH61">
            <v>12.082395439600589</v>
          </cell>
          <cell r="BI61">
            <v>13.039273279520522</v>
          </cell>
          <cell r="BJ61">
            <v>12.990721465213237</v>
          </cell>
          <cell r="BK61">
            <v>15.50820074232735</v>
          </cell>
          <cell r="BL61">
            <v>14.446031419197464</v>
          </cell>
          <cell r="BM61">
            <v>18.112628789731367</v>
          </cell>
          <cell r="BN61">
            <v>15.157754525174841</v>
          </cell>
          <cell r="BO61">
            <v>18.104149955334147</v>
          </cell>
          <cell r="BP61">
            <v>17.209639027045576</v>
          </cell>
          <cell r="BQ61">
            <v>19.370704910209934</v>
          </cell>
          <cell r="BR61">
            <v>18.384427046769495</v>
          </cell>
          <cell r="BS61">
            <v>20.328280642372604</v>
          </cell>
          <cell r="BT61">
            <v>23.651599198250992</v>
          </cell>
          <cell r="BU61">
            <v>22.056512669517957</v>
          </cell>
        </row>
        <row r="62">
          <cell r="AN62">
            <v>1.5313605622145987</v>
          </cell>
          <cell r="AO62">
            <v>1.5675264618107374</v>
          </cell>
          <cell r="AP62">
            <v>1.500522137971577</v>
          </cell>
          <cell r="AQ62">
            <v>1.424874267756159</v>
          </cell>
          <cell r="AR62">
            <v>1.194756555377442</v>
          </cell>
          <cell r="AS62">
            <v>1.412533302189098</v>
          </cell>
          <cell r="AT62">
            <v>1.7177113184488209</v>
          </cell>
          <cell r="AU62">
            <v>1.5859130393618628</v>
          </cell>
          <cell r="AV62">
            <v>1.8111861792302089</v>
          </cell>
          <cell r="AW62">
            <v>2.0011742508679382</v>
          </cell>
          <cell r="AX62">
            <v>2.1304170827226883</v>
          </cell>
          <cell r="AY62">
            <v>1.7089589634921163</v>
          </cell>
          <cell r="AZ62">
            <v>1.6720428028269925</v>
          </cell>
          <cell r="BA62">
            <v>1.4746940897900827</v>
          </cell>
          <cell r="BB62">
            <v>1.4753355422786216</v>
          </cell>
          <cell r="BC62">
            <v>1.5282621083523511</v>
          </cell>
          <cell r="BD62">
            <v>1.649230306732167</v>
          </cell>
          <cell r="BE62">
            <v>2.1002097482462578</v>
          </cell>
          <cell r="BF62">
            <v>2.2975708965495043</v>
          </cell>
          <cell r="BG62">
            <v>2.1250554103871457</v>
          </cell>
          <cell r="BH62">
            <v>2.0921688977784556</v>
          </cell>
          <cell r="BI62">
            <v>2.302797438990853</v>
          </cell>
          <cell r="BJ62">
            <v>2.1645140988351077</v>
          </cell>
          <cell r="BK62">
            <v>2.1089275704683446</v>
          </cell>
          <cell r="BL62">
            <v>2.0707816904602652</v>
          </cell>
          <cell r="BM62">
            <v>2.1874110171607395</v>
          </cell>
          <cell r="BN62">
            <v>2.1853933951975968</v>
          </cell>
          <cell r="BO62">
            <v>2.1089275704683446</v>
          </cell>
          <cell r="BP62">
            <v>1.8883086647787299</v>
          </cell>
          <cell r="BQ62">
            <v>1.566737858670546</v>
          </cell>
          <cell r="BR62">
            <v>1.4195467924030432</v>
          </cell>
          <cell r="BS62">
            <v>1.1727906936657133</v>
          </cell>
          <cell r="BT62">
            <v>1.7688180129684155</v>
          </cell>
          <cell r="BU62">
            <v>0.95349477181657971</v>
          </cell>
        </row>
        <row r="63">
          <cell r="AN63">
            <v>0.75098299993718842</v>
          </cell>
          <cell r="AO63">
            <v>0.87832361711373164</v>
          </cell>
          <cell r="AP63">
            <v>0.91147726949544694</v>
          </cell>
          <cell r="AQ63">
            <v>0.93881988109997405</v>
          </cell>
          <cell r="AR63">
            <v>0.91090186612647539</v>
          </cell>
          <cell r="AS63">
            <v>0.99527208644557785</v>
          </cell>
          <cell r="AT63">
            <v>1.1064231073703887</v>
          </cell>
          <cell r="AU63">
            <v>0.99451292033705385</v>
          </cell>
          <cell r="AV63">
            <v>1.0155411293784327</v>
          </cell>
          <cell r="AW63">
            <v>1.1941426603155383</v>
          </cell>
          <cell r="AX63">
            <v>1.2794926984954946</v>
          </cell>
          <cell r="AY63">
            <v>1.4089040302231626</v>
          </cell>
          <cell r="AZ63">
            <v>1.5043357865425315</v>
          </cell>
          <cell r="BA63">
            <v>1.4744972776950271</v>
          </cell>
          <cell r="BB63">
            <v>1.5821943930066025</v>
          </cell>
          <cell r="BC63">
            <v>1.8349214839918413</v>
          </cell>
          <cell r="BD63">
            <v>1.7774857544887837</v>
          </cell>
          <cell r="BE63">
            <v>1.9943559576126033</v>
          </cell>
          <cell r="BF63">
            <v>1.9112318740654921</v>
          </cell>
          <cell r="BG63">
            <v>1.9084748610868063</v>
          </cell>
          <cell r="BH63">
            <v>1.7192481316759767</v>
          </cell>
          <cell r="BI63">
            <v>1.5293239826616871</v>
          </cell>
          <cell r="BJ63">
            <v>2.855593823640314</v>
          </cell>
          <cell r="BK63">
            <v>3.4643590840710656</v>
          </cell>
          <cell r="BL63">
            <v>2.8048816815693103</v>
          </cell>
          <cell r="BM63">
            <v>3.2047671771001389</v>
          </cell>
          <cell r="BN63">
            <v>3.3737965428825651</v>
          </cell>
          <cell r="BO63">
            <v>3.3556231592988701</v>
          </cell>
          <cell r="BP63">
            <v>2.9704319857171959</v>
          </cell>
          <cell r="BQ63">
            <v>3.7225853035187084</v>
          </cell>
          <cell r="BR63">
            <v>3.7188669579750693</v>
          </cell>
          <cell r="BS63">
            <v>3.3524244609279723</v>
          </cell>
          <cell r="BT63">
            <v>3.4129803406421</v>
          </cell>
          <cell r="BU63">
            <v>3.6327098776630451</v>
          </cell>
        </row>
        <row r="64">
          <cell r="AN64">
            <v>3.5700137477470223E-4</v>
          </cell>
          <cell r="AO64">
            <v>3.5894087392308616E-4</v>
          </cell>
          <cell r="AP64">
            <v>3.5802084008325011E-4</v>
          </cell>
          <cell r="AQ64">
            <v>1.2773397665109939E-3</v>
          </cell>
          <cell r="AR64">
            <v>3.7835623823092413E-4</v>
          </cell>
          <cell r="AS64">
            <v>5.6559142855377206E-4</v>
          </cell>
          <cell r="AT64">
            <v>1.0348116382561744E-2</v>
          </cell>
          <cell r="AU64">
            <v>1.9249167059144621E-2</v>
          </cell>
          <cell r="AV64">
            <v>1.3102238888545047E-2</v>
          </cell>
          <cell r="AW64">
            <v>5.6870523045727973E-3</v>
          </cell>
          <cell r="AX64">
            <v>4.1300421309441187E-4</v>
          </cell>
          <cell r="AY64">
            <v>8.1224031676945419E-4</v>
          </cell>
          <cell r="AZ64">
            <v>1.0907644715738019E-4</v>
          </cell>
          <cell r="BA64">
            <v>5.3790716627452508E-4</v>
          </cell>
          <cell r="BB64">
            <v>0</v>
          </cell>
          <cell r="BC64">
            <v>1.345411456651099E-3</v>
          </cell>
          <cell r="BD64">
            <v>0.28883805587646333</v>
          </cell>
          <cell r="BE64">
            <v>0.36252692499377726</v>
          </cell>
          <cell r="BF64">
            <v>0.39819965613721958</v>
          </cell>
          <cell r="BG64">
            <v>0.55232056973597543</v>
          </cell>
          <cell r="BH64">
            <v>0.44503589884025241</v>
          </cell>
          <cell r="BI64">
            <v>6.8699688524694227E-2</v>
          </cell>
          <cell r="BJ64">
            <v>0.10896998481186586</v>
          </cell>
          <cell r="BK64">
            <v>0.25743402472591692</v>
          </cell>
          <cell r="BL64">
            <v>0.13941939059017799</v>
          </cell>
          <cell r="BM64">
            <v>0.31367126792375433</v>
          </cell>
          <cell r="BN64">
            <v>0.32782555839188116</v>
          </cell>
          <cell r="BO64">
            <v>0.54248245948215756</v>
          </cell>
          <cell r="BP64">
            <v>0.46841626667027642</v>
          </cell>
          <cell r="BQ64">
            <v>0.57521190545844514</v>
          </cell>
          <cell r="BR64">
            <v>0.71796956993128569</v>
          </cell>
          <cell r="BS64">
            <v>0.67142155195960751</v>
          </cell>
          <cell r="BT64">
            <v>0.51727572083317419</v>
          </cell>
          <cell r="BU64">
            <v>1.0244679917846815</v>
          </cell>
        </row>
        <row r="65">
          <cell r="AN65">
            <v>0.45495987450689357</v>
          </cell>
          <cell r="AO65">
            <v>0.50291482160085232</v>
          </cell>
          <cell r="AP65">
            <v>0.76827343311061225</v>
          </cell>
          <cell r="AQ65">
            <v>0.73689421655774578</v>
          </cell>
          <cell r="AR65">
            <v>0.65152465185339847</v>
          </cell>
          <cell r="AS65">
            <v>0.64902262013220136</v>
          </cell>
          <cell r="AT65">
            <v>0.78114514931442747</v>
          </cell>
          <cell r="AU65">
            <v>0.86745446665262571</v>
          </cell>
          <cell r="AV65">
            <v>0.99143865171547108</v>
          </cell>
          <cell r="AW65">
            <v>0.88248755407766544</v>
          </cell>
          <cell r="AX65">
            <v>0.86297201081664376</v>
          </cell>
          <cell r="AY65">
            <v>0.84828736393115745</v>
          </cell>
          <cell r="AZ65">
            <v>1.0206565731168522</v>
          </cell>
          <cell r="BA65">
            <v>1.1180394983747484</v>
          </cell>
          <cell r="BB65">
            <v>1.1387436270279585</v>
          </cell>
          <cell r="BC65">
            <v>1.0357902020825869</v>
          </cell>
          <cell r="BD65">
            <v>1.1296358740851686</v>
          </cell>
          <cell r="BE65">
            <v>1.4698027918802405</v>
          </cell>
          <cell r="BF65">
            <v>1.4395591555063505</v>
          </cell>
          <cell r="BG65">
            <v>1.5368738507045345</v>
          </cell>
          <cell r="BH65">
            <v>1.3478262871199511</v>
          </cell>
          <cell r="BI65">
            <v>1.4252541275772623</v>
          </cell>
          <cell r="BJ65">
            <v>1.9963214476730613</v>
          </cell>
          <cell r="BK65">
            <v>1.6185893866697609</v>
          </cell>
          <cell r="BL65">
            <v>1.7907240570659009</v>
          </cell>
          <cell r="BM65">
            <v>2.0412052816639901</v>
          </cell>
          <cell r="BN65">
            <v>2.0813526572606351</v>
          </cell>
          <cell r="BO65">
            <v>1.9952384794981328</v>
          </cell>
          <cell r="BP65">
            <v>2.1030517923267174</v>
          </cell>
          <cell r="BQ65">
            <v>2.4123566922117288</v>
          </cell>
          <cell r="BR65">
            <v>2.3850243954029029</v>
          </cell>
          <cell r="BS65">
            <v>1.9815817449177409</v>
          </cell>
          <cell r="BT65">
            <v>2.7361306195430992</v>
          </cell>
          <cell r="BU65">
            <v>3.3531956963622549</v>
          </cell>
        </row>
        <row r="66">
          <cell r="AN66">
            <v>1.0074571412562221</v>
          </cell>
          <cell r="AO66">
            <v>1.0383315121383243</v>
          </cell>
          <cell r="AP66">
            <v>0.96823869295804632</v>
          </cell>
          <cell r="AQ66">
            <v>1.0335399598855695</v>
          </cell>
          <cell r="AR66">
            <v>1.6059603938297851</v>
          </cell>
          <cell r="AS66">
            <v>1.1250722024072541</v>
          </cell>
          <cell r="AT66">
            <v>1.5532502088627285</v>
          </cell>
          <cell r="AU66">
            <v>1.354656151618012</v>
          </cell>
          <cell r="AV66">
            <v>1.4431775528324691</v>
          </cell>
          <cell r="AW66">
            <v>2.4406334224157922</v>
          </cell>
          <cell r="AX66">
            <v>2.061374676579772</v>
          </cell>
          <cell r="AY66">
            <v>2.8823748787967554</v>
          </cell>
          <cell r="AZ66">
            <v>2.4831361498320916</v>
          </cell>
          <cell r="BA66">
            <v>3.2383960511517453</v>
          </cell>
          <cell r="BB66">
            <v>3.0895578496250695</v>
          </cell>
          <cell r="BC66">
            <v>3.8268561165710415</v>
          </cell>
          <cell r="BD66">
            <v>3.4688170902507278</v>
          </cell>
          <cell r="BE66">
            <v>4.9482366317914304</v>
          </cell>
          <cell r="BF66">
            <v>3.5463512859359363</v>
          </cell>
          <cell r="BG66">
            <v>3.7059563105996638</v>
          </cell>
          <cell r="BH66">
            <v>2.2857343794019136</v>
          </cell>
          <cell r="BI66">
            <v>3.2280041143793579</v>
          </cell>
          <cell r="BJ66">
            <v>1.4390657327783909</v>
          </cell>
          <cell r="BK66">
            <v>3.5370098800701579</v>
          </cell>
          <cell r="BL66">
            <v>2.7224099494400495</v>
          </cell>
          <cell r="BM66">
            <v>4.6449134919883122</v>
          </cell>
          <cell r="BN66">
            <v>1.7498174863103262</v>
          </cell>
          <cell r="BO66">
            <v>4.3504910504848224</v>
          </cell>
          <cell r="BP66">
            <v>3.5513202845681127</v>
          </cell>
          <cell r="BQ66">
            <v>3.9240347032779037</v>
          </cell>
          <cell r="BR66">
            <v>2.7004369454680339</v>
          </cell>
          <cell r="BS66">
            <v>4.7482645520109585</v>
          </cell>
          <cell r="BT66">
            <v>7.1844317569170206</v>
          </cell>
          <cell r="BU66">
            <v>4.5901729957466451</v>
          </cell>
        </row>
        <row r="67">
          <cell r="AN67">
            <v>1.3120357948179073</v>
          </cell>
          <cell r="AO67">
            <v>1.31736789801929</v>
          </cell>
          <cell r="AP67">
            <v>1.4002505645459304</v>
          </cell>
          <cell r="AQ67">
            <v>1.5277326538396929</v>
          </cell>
          <cell r="AR67">
            <v>1.6869206884399452</v>
          </cell>
          <cell r="AS67">
            <v>1.6647771738200072</v>
          </cell>
          <cell r="AT67">
            <v>1.7007676890276748</v>
          </cell>
          <cell r="AU67">
            <v>1.9690730722206617</v>
          </cell>
          <cell r="AV67">
            <v>2.1101471378341299</v>
          </cell>
          <cell r="AW67">
            <v>2.2332500742140819</v>
          </cell>
          <cell r="AX67">
            <v>2.214498744989128</v>
          </cell>
          <cell r="AY67">
            <v>2.3957882138132787</v>
          </cell>
          <cell r="AZ67">
            <v>2.5748547073617427</v>
          </cell>
          <cell r="BA67">
            <v>2.6583939056786305</v>
          </cell>
          <cell r="BB67">
            <v>2.7128674905177763</v>
          </cell>
          <cell r="BC67">
            <v>2.8532992856088573</v>
          </cell>
          <cell r="BD67">
            <v>3.140042331765402</v>
          </cell>
          <cell r="BE67">
            <v>3.523408113281767</v>
          </cell>
          <cell r="BF67">
            <v>3.7662194900602031</v>
          </cell>
          <cell r="BG67">
            <v>3.8740598074979831</v>
          </cell>
          <cell r="BH67">
            <v>4.1923818447840446</v>
          </cell>
          <cell r="BI67">
            <v>4.4851939273866694</v>
          </cell>
          <cell r="BJ67">
            <v>4.4262563774744992</v>
          </cell>
          <cell r="BK67">
            <v>4.5218807963221135</v>
          </cell>
          <cell r="BL67">
            <v>4.9178146500717625</v>
          </cell>
          <cell r="BM67">
            <v>5.7206605538944348</v>
          </cell>
          <cell r="BN67">
            <v>5.4395688851318376</v>
          </cell>
          <cell r="BO67">
            <v>5.7513872361018272</v>
          </cell>
          <cell r="BP67">
            <v>6.2281100329845458</v>
          </cell>
          <cell r="BQ67">
            <v>7.1697784470726074</v>
          </cell>
          <cell r="BR67">
            <v>7.4425823855891684</v>
          </cell>
          <cell r="BS67">
            <v>8.4017976388906188</v>
          </cell>
          <cell r="BT67">
            <v>8.0319627473471922</v>
          </cell>
          <cell r="BU67">
            <v>8.5024713361447581</v>
          </cell>
        </row>
        <row r="68">
          <cell r="AN68">
            <v>5.4274852864050347</v>
          </cell>
          <cell r="AO68">
            <v>5.4437549868544552</v>
          </cell>
          <cell r="AP68">
            <v>7.1786576227659582</v>
          </cell>
          <cell r="AQ68">
            <v>7.8736335720124586</v>
          </cell>
          <cell r="AR68">
            <v>7.1914712118346689</v>
          </cell>
          <cell r="AS68">
            <v>7.873554519192874</v>
          </cell>
          <cell r="AT68">
            <v>7.5818048074957485</v>
          </cell>
          <cell r="AU68">
            <v>8.754464861235185</v>
          </cell>
          <cell r="AV68">
            <v>7.83907917644121</v>
          </cell>
          <cell r="AW68">
            <v>8.264229567697015</v>
          </cell>
          <cell r="AX68">
            <v>8.9268649560433495</v>
          </cell>
          <cell r="AY68">
            <v>8.9740957454291852</v>
          </cell>
          <cell r="AZ68">
            <v>7.8623440273916181</v>
          </cell>
          <cell r="BA68">
            <v>7.1858327485470852</v>
          </cell>
          <cell r="BB68">
            <v>11.408938611590376</v>
          </cell>
          <cell r="BC68">
            <v>10.991594082339489</v>
          </cell>
          <cell r="BD68">
            <v>10.338173077227358</v>
          </cell>
          <cell r="BE68">
            <v>11.141380460879256</v>
          </cell>
          <cell r="BF68">
            <v>11.937697414651481</v>
          </cell>
          <cell r="BG68">
            <v>11.072397542188096</v>
          </cell>
          <cell r="BH68">
            <v>9.7247646672743411</v>
          </cell>
          <cell r="BI68">
            <v>9.5266891422619935</v>
          </cell>
          <cell r="BJ68">
            <v>12.65460544885542</v>
          </cell>
          <cell r="BK68">
            <v>12.245635163191317</v>
          </cell>
          <cell r="BL68">
            <v>9.4662766661194269</v>
          </cell>
          <cell r="BM68">
            <v>9.8667562778632387</v>
          </cell>
          <cell r="BN68">
            <v>16.688246282058305</v>
          </cell>
          <cell r="BO68">
            <v>13.324517194404496</v>
          </cell>
          <cell r="BP68">
            <v>12.91372682483205</v>
          </cell>
          <cell r="BQ68">
            <v>11.969676721623987</v>
          </cell>
          <cell r="BR68">
            <v>15.36788764093945</v>
          </cell>
          <cell r="BS68">
            <v>12.58706547208725</v>
          </cell>
          <cell r="BT68">
            <v>13.832329662826414</v>
          </cell>
          <cell r="BU68">
            <v>13.027795936981306</v>
          </cell>
        </row>
        <row r="69">
          <cell r="AN69">
            <v>1.613443718641665</v>
          </cell>
          <cell r="AO69">
            <v>1.6609769524767384</v>
          </cell>
          <cell r="AP69">
            <v>3.3896324249025471</v>
          </cell>
          <cell r="AQ69">
            <v>3.8515045641559196</v>
          </cell>
          <cell r="AR69">
            <v>3.4972443208576096</v>
          </cell>
          <cell r="AS69">
            <v>4.2856327210799465</v>
          </cell>
          <cell r="AT69">
            <v>4.1053369116128771</v>
          </cell>
          <cell r="AU69">
            <v>5.15830781355724</v>
          </cell>
          <cell r="AV69">
            <v>4.4842808658686248</v>
          </cell>
          <cell r="AW69">
            <v>4.9531784449615506</v>
          </cell>
          <cell r="AX69">
            <v>5.4750996251847965</v>
          </cell>
          <cell r="AY69">
            <v>5.5967054817461923</v>
          </cell>
          <cell r="AZ69">
            <v>4.5966036863060467</v>
          </cell>
          <cell r="BA69">
            <v>3.4892500951671659</v>
          </cell>
          <cell r="BB69">
            <v>6.9840741938181443</v>
          </cell>
          <cell r="BC69">
            <v>6.1215957466635338</v>
          </cell>
          <cell r="BD69">
            <v>6.0885071795620664</v>
          </cell>
          <cell r="BE69">
            <v>6.0926512365441443</v>
          </cell>
          <cell r="BF69">
            <v>6.8172949217143435</v>
          </cell>
          <cell r="BG69">
            <v>5.0703126694689846</v>
          </cell>
          <cell r="BH69">
            <v>5.5147611835779502</v>
          </cell>
          <cell r="BI69">
            <v>5.7222846380713417</v>
          </cell>
          <cell r="BJ69">
            <v>7.909079404028895</v>
          </cell>
          <cell r="BK69">
            <v>7.2450702131485336</v>
          </cell>
          <cell r="BL69">
            <v>4.5726663121701874</v>
          </cell>
          <cell r="BM69">
            <v>4.9130861601972828</v>
          </cell>
          <cell r="BN69">
            <v>11.321313870003882</v>
          </cell>
          <cell r="BO69">
            <v>8.0706023740040642</v>
          </cell>
          <cell r="BP69">
            <v>7.6480647988788233</v>
          </cell>
          <cell r="BQ69">
            <v>7.2525934044714289</v>
          </cell>
          <cell r="BR69">
            <v>10.962942152988624</v>
          </cell>
          <cell r="BS69">
            <v>7.4559338879227859</v>
          </cell>
          <cell r="BT69">
            <v>8.3932625795492015</v>
          </cell>
          <cell r="BU69">
            <v>7.7164838475808235</v>
          </cell>
        </row>
        <row r="70">
          <cell r="AN70">
            <v>0.29641666313508952</v>
          </cell>
          <cell r="AO70">
            <v>0.27664599317053268</v>
          </cell>
          <cell r="AP70">
            <v>0.47634978637712733</v>
          </cell>
          <cell r="AQ70">
            <v>0.53505162416594232</v>
          </cell>
          <cell r="AR70">
            <v>0.31220111315816218</v>
          </cell>
          <cell r="AS70">
            <v>0.41434034590051977</v>
          </cell>
          <cell r="AT70">
            <v>0.40723290916157601</v>
          </cell>
          <cell r="AU70">
            <v>0.39782165901794025</v>
          </cell>
          <cell r="AV70">
            <v>0.45354066126518783</v>
          </cell>
          <cell r="AW70">
            <v>0.52798569375890658</v>
          </cell>
          <cell r="AX70">
            <v>0.52653100244787321</v>
          </cell>
          <cell r="AY70">
            <v>0.42677862868925842</v>
          </cell>
          <cell r="AZ70">
            <v>0.48929165843434574</v>
          </cell>
          <cell r="BA70">
            <v>0.88046463826321397</v>
          </cell>
          <cell r="BB70">
            <v>1.2835160423676579</v>
          </cell>
          <cell r="BC70">
            <v>1.4916578122409547</v>
          </cell>
          <cell r="BD70">
            <v>0.69007733445134378</v>
          </cell>
          <cell r="BE70">
            <v>1.2014399285165391</v>
          </cell>
          <cell r="BF70">
            <v>0.91965984733300177</v>
          </cell>
          <cell r="BG70">
            <v>1.5245931634851613</v>
          </cell>
          <cell r="BH70">
            <v>0.46070816774017737</v>
          </cell>
          <cell r="BI70">
            <v>0.72411618479204565</v>
          </cell>
          <cell r="BJ70">
            <v>0.7767559270543386</v>
          </cell>
          <cell r="BK70">
            <v>0.62884087914936937</v>
          </cell>
          <cell r="BL70">
            <v>0.60372807981429832</v>
          </cell>
          <cell r="BM70">
            <v>0.86032279394938427</v>
          </cell>
          <cell r="BN70">
            <v>0.80633119002935438</v>
          </cell>
          <cell r="BO70">
            <v>0.72682078832351793</v>
          </cell>
          <cell r="BP70">
            <v>0.70951383639989085</v>
          </cell>
          <cell r="BQ70">
            <v>0.62079568294318321</v>
          </cell>
          <cell r="BR70">
            <v>0.63942536438362485</v>
          </cell>
          <cell r="BS70">
            <v>1.072524745548844</v>
          </cell>
          <cell r="BT70">
            <v>0.85122836259093815</v>
          </cell>
          <cell r="BU70">
            <v>1.0566901004003053</v>
          </cell>
        </row>
        <row r="71">
          <cell r="AN71">
            <v>2.5891574116678369</v>
          </cell>
          <cell r="AO71">
            <v>2.758790536690618</v>
          </cell>
          <cell r="AP71">
            <v>3.0440122846202837</v>
          </cell>
          <cell r="AQ71">
            <v>3.4614065295458256</v>
          </cell>
          <cell r="AR71">
            <v>3.3820257778188987</v>
          </cell>
          <cell r="AS71">
            <v>3.1735814522124071</v>
          </cell>
          <cell r="AT71">
            <v>3.0692349867212951</v>
          </cell>
          <cell r="AU71">
            <v>3.1983353886600021</v>
          </cell>
          <cell r="AV71">
            <v>2.9012576493073969</v>
          </cell>
          <cell r="AW71">
            <v>2.783065428976558</v>
          </cell>
          <cell r="AX71">
            <v>2.925234328410681</v>
          </cell>
          <cell r="AY71">
            <v>2.9506116349937352</v>
          </cell>
          <cell r="AZ71">
            <v>2.7764486826512269</v>
          </cell>
          <cell r="BA71">
            <v>2.8161180151167065</v>
          </cell>
          <cell r="BB71">
            <v>3.1413483754045761</v>
          </cell>
          <cell r="BC71">
            <v>3.3783405234350004</v>
          </cell>
          <cell r="BD71">
            <v>3.5595885632139499</v>
          </cell>
          <cell r="BE71">
            <v>3.847289295818574</v>
          </cell>
          <cell r="BF71">
            <v>4.2007426456041399</v>
          </cell>
          <cell r="BG71">
            <v>4.4774917092339521</v>
          </cell>
          <cell r="BH71">
            <v>3.749295315956211</v>
          </cell>
          <cell r="BI71">
            <v>3.0802883193986048</v>
          </cell>
          <cell r="BJ71">
            <v>3.9687701177721877</v>
          </cell>
          <cell r="BK71">
            <v>4.3717240708934151</v>
          </cell>
          <cell r="BL71">
            <v>4.2898822741349454</v>
          </cell>
          <cell r="BM71">
            <v>4.0933473237165687</v>
          </cell>
          <cell r="BN71">
            <v>4.5606012220250687</v>
          </cell>
          <cell r="BO71">
            <v>4.5270940320769126</v>
          </cell>
          <cell r="BP71">
            <v>4.5561481895533396</v>
          </cell>
          <cell r="BQ71">
            <v>4.0962876342093733</v>
          </cell>
          <cell r="BR71">
            <v>3.7655201235672031</v>
          </cell>
          <cell r="BS71">
            <v>4.0586068386156233</v>
          </cell>
          <cell r="BT71">
            <v>4.5878387206862694</v>
          </cell>
          <cell r="BU71">
            <v>4.2546219890001717</v>
          </cell>
        </row>
        <row r="72">
          <cell r="AN72">
            <v>5.3604775775128326</v>
          </cell>
          <cell r="AO72">
            <v>6.0413797818883666</v>
          </cell>
          <cell r="AP72">
            <v>7.3565179223161872</v>
          </cell>
          <cell r="AQ72">
            <v>6.2201756162213595</v>
          </cell>
          <cell r="AR72">
            <v>6.3954092334891648</v>
          </cell>
          <cell r="AS72">
            <v>7.535655166246034</v>
          </cell>
          <cell r="AT72">
            <v>7.6469262559962061</v>
          </cell>
          <cell r="AU72">
            <v>7.4035018743997227</v>
          </cell>
          <cell r="AV72">
            <v>7.5252475352655139</v>
          </cell>
          <cell r="AW72">
            <v>8.2751617653289493</v>
          </cell>
          <cell r="AX72">
            <v>8.2455197449220279</v>
          </cell>
          <cell r="AY72">
            <v>8.1645891490195304</v>
          </cell>
          <cell r="AZ72">
            <v>8.1077116588924731</v>
          </cell>
          <cell r="BA72">
            <v>10.845521030898752</v>
          </cell>
          <cell r="BB72">
            <v>11.183533424295703</v>
          </cell>
          <cell r="BC72">
            <v>9.3286209447372244</v>
          </cell>
          <cell r="BD72">
            <v>9.6593653157533623</v>
          </cell>
          <cell r="BE72">
            <v>13.880207765149478</v>
          </cell>
          <cell r="BF72">
            <v>12.411299550187124</v>
          </cell>
          <cell r="BG72">
            <v>11.508079721660415</v>
          </cell>
          <cell r="BH72">
            <v>9.5023992293768202</v>
          </cell>
          <cell r="BI72">
            <v>9.5137568108043311</v>
          </cell>
          <cell r="BJ72">
            <v>16.274508579663618</v>
          </cell>
          <cell r="BK72">
            <v>15.987217606012074</v>
          </cell>
          <cell r="BL72">
            <v>12.235450661222593</v>
          </cell>
          <cell r="BM72">
            <v>14.007647203925352</v>
          </cell>
          <cell r="BN72">
            <v>14.433723143680382</v>
          </cell>
          <cell r="BO72">
            <v>12.394445646396804</v>
          </cell>
          <cell r="BP72">
            <v>12.437576346608047</v>
          </cell>
          <cell r="BQ72">
            <v>14.880967346459208</v>
          </cell>
          <cell r="BR72">
            <v>15.3140912219176</v>
          </cell>
          <cell r="BS72">
            <v>14.344873973908889</v>
          </cell>
          <cell r="BT72">
            <v>15.670500672747451</v>
          </cell>
          <cell r="BU72">
            <v>15.779350852048232</v>
          </cell>
        </row>
        <row r="73">
          <cell r="AN73">
            <v>14.253188203255878</v>
          </cell>
          <cell r="AO73">
            <v>15.293008869956234</v>
          </cell>
          <cell r="AP73">
            <v>15.959605924305913</v>
          </cell>
          <cell r="AQ73">
            <v>15.450680893764165</v>
          </cell>
          <cell r="AR73">
            <v>14.302222337310699</v>
          </cell>
          <cell r="AS73">
            <v>14.235538021439295</v>
          </cell>
          <cell r="AT73">
            <v>13.133303508967717</v>
          </cell>
          <cell r="AU73">
            <v>13.346183149077874</v>
          </cell>
          <cell r="AV73">
            <v>13.782049574479874</v>
          </cell>
          <cell r="AW73">
            <v>15.027332849240089</v>
          </cell>
          <cell r="AX73">
            <v>15.731237088583946</v>
          </cell>
          <cell r="AY73">
            <v>16.648886972343536</v>
          </cell>
          <cell r="AZ73">
            <v>16.98508878874868</v>
          </cell>
          <cell r="BA73">
            <v>16.773727280652132</v>
          </cell>
          <cell r="BB73">
            <v>17.130382134706949</v>
          </cell>
          <cell r="BC73">
            <v>16.743053768584115</v>
          </cell>
          <cell r="BD73">
            <v>17.132349138250287</v>
          </cell>
          <cell r="BE73">
            <v>17.119063386013291</v>
          </cell>
          <cell r="BF73">
            <v>17.478579158137329</v>
          </cell>
          <cell r="BG73">
            <v>17.733118252145065</v>
          </cell>
          <cell r="BH73">
            <v>17.130471632308382</v>
          </cell>
          <cell r="BI73">
            <v>9.9258020076125923</v>
          </cell>
          <cell r="BJ73">
            <v>19.846402893865552</v>
          </cell>
          <cell r="BK73">
            <v>19.968221042257138</v>
          </cell>
          <cell r="BL73">
            <v>19.804335757844971</v>
          </cell>
          <cell r="BM73">
            <v>20.980271041767324</v>
          </cell>
          <cell r="BN73">
            <v>20.754709069681589</v>
          </cell>
          <cell r="BO73">
            <v>20.978451543797043</v>
          </cell>
          <cell r="BP73">
            <v>20.113894192824358</v>
          </cell>
          <cell r="BQ73">
            <v>20.814823050158513</v>
          </cell>
          <cell r="BR73">
            <v>20.995213307051841</v>
          </cell>
          <cell r="BS73">
            <v>19.959319984997911</v>
          </cell>
          <cell r="BT73">
            <v>18.996867598522051</v>
          </cell>
          <cell r="BU73">
            <v>19.898629618535971</v>
          </cell>
        </row>
        <row r="74">
          <cell r="AN74">
            <v>16.152319195801134</v>
          </cell>
          <cell r="AO74">
            <v>17.180129366818189</v>
          </cell>
          <cell r="AP74">
            <v>17.013628016083313</v>
          </cell>
          <cell r="AQ74">
            <v>17.793707360458932</v>
          </cell>
          <cell r="AR74">
            <v>18.780352953826362</v>
          </cell>
          <cell r="AS74">
            <v>19.358782939017715</v>
          </cell>
          <cell r="AT74">
            <v>19.351995672987847</v>
          </cell>
          <cell r="AU74">
            <v>19.953699316605356</v>
          </cell>
          <cell r="AV74">
            <v>19.711420816466717</v>
          </cell>
          <cell r="AW74">
            <v>20.571085140737026</v>
          </cell>
          <cell r="AX74">
            <v>21.580792564413883</v>
          </cell>
          <cell r="AY74">
            <v>21.712978171442174</v>
          </cell>
          <cell r="AZ74">
            <v>21.881215202773159</v>
          </cell>
          <cell r="BA74">
            <v>22.48015960272685</v>
          </cell>
          <cell r="BB74">
            <v>23.897868387874531</v>
          </cell>
          <cell r="BC74">
            <v>23.536848674836939</v>
          </cell>
          <cell r="BD74">
            <v>23.552564759353483</v>
          </cell>
          <cell r="BE74">
            <v>24.455590641948323</v>
          </cell>
          <cell r="BF74">
            <v>25.449268371703759</v>
          </cell>
          <cell r="BG74">
            <v>24.974233718473698</v>
          </cell>
          <cell r="BH74">
            <v>24.456201702002183</v>
          </cell>
          <cell r="BI74">
            <v>23.01724059729467</v>
          </cell>
          <cell r="BJ74">
            <v>25.881184656962557</v>
          </cell>
          <cell r="BK74">
            <v>26.90579563022823</v>
          </cell>
          <cell r="BL74">
            <v>24.958087240241387</v>
          </cell>
          <cell r="BM74">
            <v>28.316369332727017</v>
          </cell>
          <cell r="BN74">
            <v>28.910969583734687</v>
          </cell>
          <cell r="BO74">
            <v>29.78540815244282</v>
          </cell>
          <cell r="BP74">
            <v>30.247368566354261</v>
          </cell>
          <cell r="BQ74">
            <v>31.764369994399157</v>
          </cell>
          <cell r="BR74">
            <v>32.545446944158527</v>
          </cell>
          <cell r="BS74">
            <v>33.071852139482516</v>
          </cell>
          <cell r="BT74">
            <v>30.812488201761095</v>
          </cell>
          <cell r="BU74">
            <v>33.88708334016664</v>
          </cell>
        </row>
        <row r="75">
          <cell r="AN75">
            <v>7.4740318740760285</v>
          </cell>
          <cell r="AO75">
            <v>7.4468622362643799</v>
          </cell>
          <cell r="AP75">
            <v>7.5147659185396121</v>
          </cell>
          <cell r="AQ75">
            <v>7.4984349756223008</v>
          </cell>
          <cell r="AR75">
            <v>7.7517140910085098</v>
          </cell>
          <cell r="AS75">
            <v>7.8584835560504773</v>
          </cell>
          <cell r="AT75">
            <v>7.9691127135046518</v>
          </cell>
          <cell r="AU75">
            <v>7.9298777284713218</v>
          </cell>
          <cell r="AV75">
            <v>7.9057138737825348</v>
          </cell>
          <cell r="AW75">
            <v>8.0146288137418136</v>
          </cell>
          <cell r="AX75">
            <v>8.0928435152085889</v>
          </cell>
          <cell r="AY75">
            <v>8.0487891929506112</v>
          </cell>
          <cell r="AZ75">
            <v>8.0460989389600712</v>
          </cell>
          <cell r="BA75">
            <v>8.0887756334782139</v>
          </cell>
          <cell r="BB75">
            <v>8.2979147976897387</v>
          </cell>
          <cell r="BC75">
            <v>8.2888332883153097</v>
          </cell>
          <cell r="BD75">
            <v>8.2752614904680435</v>
          </cell>
          <cell r="BE75">
            <v>8.3253506756689308</v>
          </cell>
          <cell r="BF75">
            <v>8.4431840395207693</v>
          </cell>
          <cell r="BG75">
            <v>8.3566279960303227</v>
          </cell>
          <cell r="BH75">
            <v>8.4510498656890682</v>
          </cell>
          <cell r="BI75">
            <v>8.4232748387476928</v>
          </cell>
          <cell r="BJ75">
            <v>8.6759610450745974</v>
          </cell>
          <cell r="BK75">
            <v>8.6426466023268915</v>
          </cell>
          <cell r="BL75">
            <v>8.7163759824251912</v>
          </cell>
          <cell r="BM75">
            <v>8.7925252286868592</v>
          </cell>
          <cell r="BN75">
            <v>9.1178258450854752</v>
          </cell>
          <cell r="BO75">
            <v>9.1375817943330162</v>
          </cell>
          <cell r="BP75">
            <v>9.1344250255429991</v>
          </cell>
          <cell r="BQ75">
            <v>9.2151751794469199</v>
          </cell>
          <cell r="BR75">
            <v>9.3805129682419857</v>
          </cell>
          <cell r="BS75">
            <v>9.3324173499469261</v>
          </cell>
          <cell r="BT75">
            <v>9.3742855959933493</v>
          </cell>
          <cell r="BU75">
            <v>9.4012713537195225</v>
          </cell>
        </row>
        <row r="76">
          <cell r="AN76">
            <v>110.86386831455926</v>
          </cell>
          <cell r="AO76">
            <v>116.39414894067839</v>
          </cell>
          <cell r="AP76">
            <v>123.69920974251791</v>
          </cell>
          <cell r="AQ76">
            <v>133.90138755763428</v>
          </cell>
          <cell r="AR76">
            <v>134.12915847360716</v>
          </cell>
          <cell r="AS76">
            <v>125.86237879216193</v>
          </cell>
          <cell r="AT76">
            <v>121.72405917975371</v>
          </cell>
          <cell r="AU76">
            <v>126.84410539117275</v>
          </cell>
          <cell r="AV76">
            <v>115.06217651235031</v>
          </cell>
          <cell r="AW76">
            <v>110.37474238482974</v>
          </cell>
          <cell r="AX76">
            <v>116.01307754101992</v>
          </cell>
          <cell r="AY76">
            <v>117.01952663393811</v>
          </cell>
          <cell r="AZ76">
            <v>110.11232610690817</v>
          </cell>
          <cell r="BA76">
            <v>111.68558856271238</v>
          </cell>
          <cell r="BB76">
            <v>124.58403387368008</v>
          </cell>
          <cell r="BC76">
            <v>133.98300344648842</v>
          </cell>
          <cell r="BD76">
            <v>141.17119438518063</v>
          </cell>
          <cell r="BE76">
            <v>152.58123667687039</v>
          </cell>
          <cell r="BF76">
            <v>166.59898919589159</v>
          </cell>
          <cell r="BG76">
            <v>177.57469472021927</v>
          </cell>
          <cell r="BH76">
            <v>148.69485291817091</v>
          </cell>
          <cell r="BI76">
            <v>122.16242786992157</v>
          </cell>
          <cell r="BJ76">
            <v>157.39909481567759</v>
          </cell>
          <cell r="BK76">
            <v>173.38001222625377</v>
          </cell>
          <cell r="BL76">
            <v>170.13421457468741</v>
          </cell>
          <cell r="BM76">
            <v>162.33975372723944</v>
          </cell>
          <cell r="BN76">
            <v>180.87076924600632</v>
          </cell>
          <cell r="BO76">
            <v>179.54189374776576</v>
          </cell>
          <cell r="BP76">
            <v>180.69416459029787</v>
          </cell>
          <cell r="BQ76">
            <v>162.4563647166168</v>
          </cell>
          <cell r="BR76">
            <v>149.33831927065449</v>
          </cell>
          <cell r="BS76">
            <v>160.96196646668238</v>
          </cell>
          <cell r="BT76">
            <v>181.95099246556703</v>
          </cell>
          <cell r="BU76">
            <v>168.73581234969998</v>
          </cell>
        </row>
        <row r="77">
          <cell r="AN77">
            <v>785.82384274278593</v>
          </cell>
          <cell r="AO77">
            <v>803.33126445262212</v>
          </cell>
          <cell r="AP77">
            <v>824.85657822456471</v>
          </cell>
          <cell r="AQ77">
            <v>841.84524380022958</v>
          </cell>
          <cell r="AR77">
            <v>859.86293506600077</v>
          </cell>
          <cell r="AS77">
            <v>875.30127261749533</v>
          </cell>
          <cell r="AT77">
            <v>873.72662292623818</v>
          </cell>
          <cell r="AU77">
            <v>879.89809725943883</v>
          </cell>
          <cell r="AV77">
            <v>878.74436065021189</v>
          </cell>
          <cell r="AW77">
            <v>911.34943753293624</v>
          </cell>
          <cell r="AX77">
            <v>951.81056163400012</v>
          </cell>
          <cell r="AY77">
            <v>941.82421519036563</v>
          </cell>
          <cell r="AZ77">
            <v>985.75497592795978</v>
          </cell>
          <cell r="BA77">
            <v>983.30976423401466</v>
          </cell>
          <cell r="BB77">
            <v>1022.1310989415902</v>
          </cell>
          <cell r="BC77">
            <v>1049.7422155806705</v>
          </cell>
          <cell r="BD77">
            <v>1024.7499687158904</v>
          </cell>
          <cell r="BE77">
            <v>1092.662694171177</v>
          </cell>
          <cell r="BF77">
            <v>1128.7920564027172</v>
          </cell>
          <cell r="BG77">
            <v>1129.6835718092109</v>
          </cell>
          <cell r="BH77">
            <v>1083.2033917407175</v>
          </cell>
          <cell r="BI77">
            <v>913.36862707222065</v>
          </cell>
          <cell r="BJ77">
            <v>1044.4660766455502</v>
          </cell>
          <cell r="BK77">
            <v>1092.5393732181922</v>
          </cell>
          <cell r="BL77">
            <v>1079.0462422261339</v>
          </cell>
          <cell r="BM77">
            <v>1133.0655032454483</v>
          </cell>
          <cell r="BN77">
            <v>1162.5662084157518</v>
          </cell>
          <cell r="BO77">
            <v>1249.9555233785513</v>
          </cell>
          <cell r="BP77">
            <v>1194.4019362511604</v>
          </cell>
          <cell r="BQ77">
            <v>1267.7594242508965</v>
          </cell>
          <cell r="BR77">
            <v>1355.9184313569565</v>
          </cell>
          <cell r="BS77">
            <v>1368.9665489134234</v>
          </cell>
          <cell r="BT77">
            <v>1347.9229594259452</v>
          </cell>
          <cell r="BU77">
            <v>1393.6331381328623</v>
          </cell>
        </row>
        <row r="78">
          <cell r="AN78">
            <v>211.79058968475053</v>
          </cell>
          <cell r="AO78">
            <v>211.60087688349472</v>
          </cell>
          <cell r="AP78">
            <v>221.49331320246293</v>
          </cell>
          <cell r="AQ78">
            <v>226.55898953128943</v>
          </cell>
          <cell r="AR78">
            <v>232.49033381589601</v>
          </cell>
          <cell r="AS78">
            <v>242.33870773772037</v>
          </cell>
          <cell r="AT78">
            <v>232.38978410739611</v>
          </cell>
          <cell r="AU78">
            <v>222.94408107268188</v>
          </cell>
          <cell r="AV78">
            <v>226.09919370608372</v>
          </cell>
          <cell r="AW78">
            <v>245.49803536362606</v>
          </cell>
          <cell r="AX78">
            <v>259.71713817422705</v>
          </cell>
          <cell r="AY78">
            <v>260.30240958209595</v>
          </cell>
          <cell r="AZ78">
            <v>284.11494001697929</v>
          </cell>
          <cell r="BA78">
            <v>277.2427500582944</v>
          </cell>
          <cell r="BB78">
            <v>298.48648112612369</v>
          </cell>
          <cell r="BC78">
            <v>311.98921375898811</v>
          </cell>
          <cell r="BD78">
            <v>300.82498764069186</v>
          </cell>
          <cell r="BE78">
            <v>328.39303904265103</v>
          </cell>
          <cell r="BF78">
            <v>356.42374577780754</v>
          </cell>
          <cell r="BG78">
            <v>352.0391282236813</v>
          </cell>
          <cell r="BH78">
            <v>321.8639503462008</v>
          </cell>
          <cell r="BI78">
            <v>232.98992015950162</v>
          </cell>
          <cell r="BJ78">
            <v>315.10896573507148</v>
          </cell>
          <cell r="BK78">
            <v>326.1811306744824</v>
          </cell>
          <cell r="BL78">
            <v>309.21305621475187</v>
          </cell>
          <cell r="BM78">
            <v>327.57315393282272</v>
          </cell>
          <cell r="BN78">
            <v>342.20943406592835</v>
          </cell>
          <cell r="BO78">
            <v>378.15080205072866</v>
          </cell>
          <cell r="BP78">
            <v>342.20174506230842</v>
          </cell>
          <cell r="BQ78">
            <v>391.41921361390285</v>
          </cell>
          <cell r="BR78">
            <v>414.11109942844911</v>
          </cell>
          <cell r="BS78">
            <v>425.2471021904359</v>
          </cell>
          <cell r="BT78">
            <v>401.27535421229254</v>
          </cell>
          <cell r="BU78">
            <v>417.7418406584348</v>
          </cell>
        </row>
        <row r="79">
          <cell r="AN79">
            <v>8.7764455255119689</v>
          </cell>
          <cell r="AO79">
            <v>8.8652088591258842</v>
          </cell>
          <cell r="AP79">
            <v>8.9449792950082117</v>
          </cell>
          <cell r="AQ79">
            <v>9.0750426967642959</v>
          </cell>
          <cell r="AR79">
            <v>9.206498315292162</v>
          </cell>
          <cell r="AS79">
            <v>9.4615104926774762</v>
          </cell>
          <cell r="AT79">
            <v>9.6714551783335114</v>
          </cell>
          <cell r="AU79">
            <v>9.7452300810728367</v>
          </cell>
          <cell r="AV79">
            <v>9.8574502255110357</v>
          </cell>
          <cell r="AW79">
            <v>9.9867409239749065</v>
          </cell>
          <cell r="AX79">
            <v>10.157649504330426</v>
          </cell>
          <cell r="AY79">
            <v>10.308008784111006</v>
          </cell>
          <cell r="AZ79">
            <v>10.495190728716688</v>
          </cell>
          <cell r="BA79">
            <v>10.669287263106458</v>
          </cell>
          <cell r="BB79">
            <v>10.812672538313393</v>
          </cell>
          <cell r="BC79">
            <v>10.978952781740606</v>
          </cell>
          <cell r="BD79">
            <v>11.10766609710555</v>
          </cell>
          <cell r="BE79">
            <v>11.300488964615969</v>
          </cell>
          <cell r="BF79">
            <v>11.569448888792618</v>
          </cell>
          <cell r="BG79">
            <v>11.961037826801634</v>
          </cell>
          <cell r="BH79">
            <v>11.172505584044671</v>
          </cell>
          <cell r="BI79">
            <v>6.4616880881996561</v>
          </cell>
          <cell r="BJ79">
            <v>13.199108122011737</v>
          </cell>
          <cell r="BK79">
            <v>13.700689215157011</v>
          </cell>
          <cell r="BL79">
            <v>14.364475653928206</v>
          </cell>
          <cell r="BM79">
            <v>14.999767890422589</v>
          </cell>
          <cell r="BN79">
            <v>15.356196091702156</v>
          </cell>
          <cell r="BO79">
            <v>15.513701753537974</v>
          </cell>
          <cell r="BP79">
            <v>15.629055113224192</v>
          </cell>
          <cell r="BQ79">
            <v>15.76854815403977</v>
          </cell>
          <cell r="BR79">
            <v>15.8905496337171</v>
          </cell>
          <cell r="BS79">
            <v>15.998657207569345</v>
          </cell>
          <cell r="BT79">
            <v>16.162739167075273</v>
          </cell>
          <cell r="BU79">
            <v>16.276914577964053</v>
          </cell>
        </row>
        <row r="80">
          <cell r="AN80">
            <v>134.67264440467699</v>
          </cell>
          <cell r="AO80">
            <v>134.26976235834812</v>
          </cell>
          <cell r="AP80">
            <v>139.07124401228367</v>
          </cell>
          <cell r="AQ80">
            <v>142.40860846315093</v>
          </cell>
          <cell r="AR80">
            <v>148.19888945597734</v>
          </cell>
          <cell r="AS80">
            <v>155.23648105342653</v>
          </cell>
          <cell r="AT80">
            <v>146.76295336479015</v>
          </cell>
          <cell r="AU80">
            <v>133.83803996955675</v>
          </cell>
          <cell r="AV80">
            <v>137.65497857140014</v>
          </cell>
          <cell r="AW80">
            <v>147.4450730325174</v>
          </cell>
          <cell r="AX80">
            <v>155.15750223150636</v>
          </cell>
          <cell r="AY80">
            <v>156.39386864851008</v>
          </cell>
          <cell r="AZ80">
            <v>174.35194704683946</v>
          </cell>
          <cell r="BA80">
            <v>165.61467316441946</v>
          </cell>
          <cell r="BB80">
            <v>176.00727239592524</v>
          </cell>
          <cell r="BC80">
            <v>188.55081326194926</v>
          </cell>
          <cell r="BD80">
            <v>182.28199416218777</v>
          </cell>
          <cell r="BE80">
            <v>205.08672865724122</v>
          </cell>
          <cell r="BF80">
            <v>213.27837621237205</v>
          </cell>
          <cell r="BG80">
            <v>214.29159329245101</v>
          </cell>
          <cell r="BH80">
            <v>203.02645748343167</v>
          </cell>
          <cell r="BI80">
            <v>160.49588751093634</v>
          </cell>
          <cell r="BJ80">
            <v>213.23424743612989</v>
          </cell>
          <cell r="BK80">
            <v>210.91823786574091</v>
          </cell>
          <cell r="BL80">
            <v>202.11988179145357</v>
          </cell>
          <cell r="BM80">
            <v>214.63442926851576</v>
          </cell>
          <cell r="BN80">
            <v>221.1663710179414</v>
          </cell>
          <cell r="BO80">
            <v>241.85306688645127</v>
          </cell>
          <cell r="BP80">
            <v>215.90720363102159</v>
          </cell>
          <cell r="BQ80">
            <v>250.93326862062918</v>
          </cell>
          <cell r="BR80">
            <v>264.84797946164736</v>
          </cell>
          <cell r="BS80">
            <v>270.27627392642142</v>
          </cell>
          <cell r="BT80">
            <v>252.98187213231208</v>
          </cell>
          <cell r="BU80">
            <v>266.84392811709245</v>
          </cell>
        </row>
        <row r="81">
          <cell r="AN81">
            <v>68.26359015276266</v>
          </cell>
          <cell r="AO81">
            <v>68.418404469350165</v>
          </cell>
          <cell r="AP81">
            <v>73.458337001889277</v>
          </cell>
          <cell r="AQ81">
            <v>75.036139723727615</v>
          </cell>
          <cell r="AR81">
            <v>75.08494604462652</v>
          </cell>
          <cell r="AS81">
            <v>77.640716191616363</v>
          </cell>
          <cell r="AT81">
            <v>75.955375564272458</v>
          </cell>
          <cell r="AU81">
            <v>79.360811022052303</v>
          </cell>
          <cell r="AV81">
            <v>78.586764909172558</v>
          </cell>
          <cell r="AW81">
            <v>88.066221407133753</v>
          </cell>
          <cell r="AX81">
            <v>94.401986438390239</v>
          </cell>
          <cell r="AY81">
            <v>93.600532149474901</v>
          </cell>
          <cell r="AZ81">
            <v>99.267802241423169</v>
          </cell>
          <cell r="BA81">
            <v>100.95878963076846</v>
          </cell>
          <cell r="BB81">
            <v>111.66653619188507</v>
          </cell>
          <cell r="BC81">
            <v>112.45944771529823</v>
          </cell>
          <cell r="BD81">
            <v>107.43532738139854</v>
          </cell>
          <cell r="BE81">
            <v>112.00582142079386</v>
          </cell>
          <cell r="BF81">
            <v>131.57592067664291</v>
          </cell>
          <cell r="BG81">
            <v>125.78649710442866</v>
          </cell>
          <cell r="BH81">
            <v>107.66498727872447</v>
          </cell>
          <cell r="BI81">
            <v>66.03234456036563</v>
          </cell>
          <cell r="BJ81">
            <v>88.675610176929837</v>
          </cell>
          <cell r="BK81">
            <v>101.5622035935845</v>
          </cell>
          <cell r="BL81">
            <v>92.728698769370126</v>
          </cell>
          <cell r="BM81">
            <v>97.938956773884343</v>
          </cell>
          <cell r="BN81">
            <v>105.6868669562848</v>
          </cell>
          <cell r="BO81">
            <v>120.78403341073943</v>
          </cell>
          <cell r="BP81">
            <v>110.66548631806266</v>
          </cell>
          <cell r="BQ81">
            <v>124.71739683923391</v>
          </cell>
          <cell r="BR81">
            <v>133.37257033308464</v>
          </cell>
          <cell r="BS81">
            <v>138.97217105644512</v>
          </cell>
          <cell r="BT81">
            <v>132.13074291290519</v>
          </cell>
          <cell r="BU81">
            <v>134.62099796337827</v>
          </cell>
        </row>
        <row r="82">
          <cell r="AN82">
            <v>11.926729072394711</v>
          </cell>
          <cell r="AO82">
            <v>12.508131261069682</v>
          </cell>
          <cell r="AP82">
            <v>14.416667942874152</v>
          </cell>
          <cell r="AQ82">
            <v>14.379008421983464</v>
          </cell>
          <cell r="AR82">
            <v>13.255587051242651</v>
          </cell>
          <cell r="AS82">
            <v>13.170017536647238</v>
          </cell>
          <cell r="AT82">
            <v>14.081579940145183</v>
          </cell>
          <cell r="AU82">
            <v>16.706382138095758</v>
          </cell>
          <cell r="AV82">
            <v>19.12030562032297</v>
          </cell>
          <cell r="AW82">
            <v>24.485027994943046</v>
          </cell>
          <cell r="AX82">
            <v>27.144530812195555</v>
          </cell>
          <cell r="AY82">
            <v>24.972065047446243</v>
          </cell>
          <cell r="AZ82">
            <v>25.067098904657406</v>
          </cell>
          <cell r="BA82">
            <v>28.476106507397731</v>
          </cell>
          <cell r="BB82">
            <v>35.665018371272538</v>
          </cell>
          <cell r="BC82">
            <v>33.659414229235175</v>
          </cell>
          <cell r="BD82">
            <v>30.362497291275648</v>
          </cell>
          <cell r="BE82">
            <v>30.696710282046766</v>
          </cell>
          <cell r="BF82">
            <v>43.267215517679794</v>
          </cell>
          <cell r="BG82">
            <v>40.305601628679405</v>
          </cell>
          <cell r="BH82">
            <v>25.718780274030127</v>
          </cell>
          <cell r="BI82">
            <v>1.1031457695263378</v>
          </cell>
          <cell r="BJ82">
            <v>9.975392272623175</v>
          </cell>
          <cell r="BK82">
            <v>14.302649028528922</v>
          </cell>
          <cell r="BL82">
            <v>11.66478809046413</v>
          </cell>
          <cell r="BM82">
            <v>11.068024485845742</v>
          </cell>
          <cell r="BN82">
            <v>15.950522707934866</v>
          </cell>
          <cell r="BO82">
            <v>20.281651211514589</v>
          </cell>
          <cell r="BP82">
            <v>21.769193867953049</v>
          </cell>
          <cell r="BQ82">
            <v>24.240766159705206</v>
          </cell>
          <cell r="BR82">
            <v>28.91517172740101</v>
          </cell>
          <cell r="BS82">
            <v>29.596785356021364</v>
          </cell>
          <cell r="BT82">
            <v>27.919830379668607</v>
          </cell>
          <cell r="BU82">
            <v>29.826997115128176</v>
          </cell>
        </row>
        <row r="83">
          <cell r="AN83">
            <v>45.923325312418747</v>
          </cell>
          <cell r="AO83">
            <v>46.450502169923375</v>
          </cell>
          <cell r="AP83">
            <v>46.978438801575017</v>
          </cell>
          <cell r="AQ83">
            <v>47.854661195588612</v>
          </cell>
          <cell r="AR83">
            <v>48.959880325192088</v>
          </cell>
          <cell r="AS83">
            <v>50.737414139894092</v>
          </cell>
          <cell r="AT83">
            <v>49.093001550712351</v>
          </cell>
          <cell r="AU83">
            <v>47.412665471502571</v>
          </cell>
          <cell r="AV83">
            <v>47.908340872730619</v>
          </cell>
          <cell r="AW83">
            <v>50.361509665237527</v>
          </cell>
          <cell r="AX83">
            <v>52.572736374849121</v>
          </cell>
          <cell r="AY83">
            <v>54.115683116024101</v>
          </cell>
          <cell r="AZ83">
            <v>58.402026864692438</v>
          </cell>
          <cell r="BA83">
            <v>56.996462590197048</v>
          </cell>
          <cell r="BB83">
            <v>59.535240443047073</v>
          </cell>
          <cell r="BC83">
            <v>62.310941905073079</v>
          </cell>
          <cell r="BD83">
            <v>59.709357103108779</v>
          </cell>
          <cell r="BE83">
            <v>64.928184467144007</v>
          </cell>
          <cell r="BF83">
            <v>67.492104815683646</v>
          </cell>
          <cell r="BG83">
            <v>66.517993851187853</v>
          </cell>
          <cell r="BH83">
            <v>64.323795732035833</v>
          </cell>
          <cell r="BI83">
            <v>53.384263015748076</v>
          </cell>
          <cell r="BJ83">
            <v>65.174583450072518</v>
          </cell>
          <cell r="BK83">
            <v>68.487369539508606</v>
          </cell>
          <cell r="BL83">
            <v>63.476065324413248</v>
          </cell>
          <cell r="BM83">
            <v>67.985720434272466</v>
          </cell>
          <cell r="BN83">
            <v>69.660213123035518</v>
          </cell>
          <cell r="BO83">
            <v>75.906937515885417</v>
          </cell>
          <cell r="BP83">
            <v>68.816898657728913</v>
          </cell>
          <cell r="BQ83">
            <v>77.086209365197462</v>
          </cell>
          <cell r="BR83">
            <v>81.211902242374421</v>
          </cell>
          <cell r="BS83">
            <v>85.495685447440295</v>
          </cell>
          <cell r="BT83">
            <v>80.585481310282503</v>
          </cell>
          <cell r="BU83">
            <v>81.299119713095365</v>
          </cell>
        </row>
        <row r="84">
          <cell r="AN84">
            <v>12.662872588360667</v>
          </cell>
          <cell r="AO84">
            <v>12.245798262752217</v>
          </cell>
          <cell r="AP84">
            <v>13.334757944846318</v>
          </cell>
          <cell r="AQ84">
            <v>14.234049993816486</v>
          </cell>
          <cell r="AR84">
            <v>12.869478668191761</v>
          </cell>
          <cell r="AS84">
            <v>13.733284515075001</v>
          </cell>
          <cell r="AT84">
            <v>12.780794073414924</v>
          </cell>
          <cell r="AU84">
            <v>15.241763412453963</v>
          </cell>
          <cell r="AV84">
            <v>11.558118416118957</v>
          </cell>
          <cell r="AW84">
            <v>13.219683746953148</v>
          </cell>
          <cell r="AX84">
            <v>14.684719251345541</v>
          </cell>
          <cell r="AY84">
            <v>14.512783986004525</v>
          </cell>
          <cell r="AZ84">
            <v>15.798676472073348</v>
          </cell>
          <cell r="BA84">
            <v>15.486220533173647</v>
          </cell>
          <cell r="BB84">
            <v>16.466277377565437</v>
          </cell>
          <cell r="BC84">
            <v>16.48909158098995</v>
          </cell>
          <cell r="BD84">
            <v>17.363472987014081</v>
          </cell>
          <cell r="BE84">
            <v>16.380926671603088</v>
          </cell>
          <cell r="BF84">
            <v>20.816600343279429</v>
          </cell>
          <cell r="BG84">
            <v>18.962901624561376</v>
          </cell>
          <cell r="BH84">
            <v>17.622411272658468</v>
          </cell>
          <cell r="BI84">
            <v>11.544935775091227</v>
          </cell>
          <cell r="BJ84">
            <v>13.525634454234105</v>
          </cell>
          <cell r="BK84">
            <v>18.772185025546978</v>
          </cell>
          <cell r="BL84">
            <v>17.587845354492746</v>
          </cell>
          <cell r="BM84">
            <v>18.885211853766119</v>
          </cell>
          <cell r="BN84">
            <v>20.076131125314415</v>
          </cell>
          <cell r="BO84">
            <v>24.595444683339373</v>
          </cell>
          <cell r="BP84">
            <v>20.079393792380667</v>
          </cell>
          <cell r="BQ84">
            <v>23.390421314331224</v>
          </cell>
          <cell r="BR84">
            <v>23.24549636330919</v>
          </cell>
          <cell r="BS84">
            <v>23.879700252983483</v>
          </cell>
          <cell r="BT84">
            <v>23.625431222954074</v>
          </cell>
          <cell r="BU84">
            <v>23.494881135154696</v>
          </cell>
        </row>
        <row r="85">
          <cell r="AN85">
            <v>574.22606272884309</v>
          </cell>
          <cell r="AO85">
            <v>591.5121155140813</v>
          </cell>
          <cell r="AP85">
            <v>603.49649724031588</v>
          </cell>
          <cell r="AQ85">
            <v>615.46486849900384</v>
          </cell>
          <cell r="AR85">
            <v>627.37260125010482</v>
          </cell>
          <cell r="AS85">
            <v>632.96256487977496</v>
          </cell>
          <cell r="AT85">
            <v>641.33683881884212</v>
          </cell>
          <cell r="AU85">
            <v>656.95401618675692</v>
          </cell>
          <cell r="AV85">
            <v>652.64516694412816</v>
          </cell>
          <cell r="AW85">
            <v>665.85140216931018</v>
          </cell>
          <cell r="AX85">
            <v>692.09342345977313</v>
          </cell>
          <cell r="AY85">
            <v>681.52180560826969</v>
          </cell>
          <cell r="AZ85">
            <v>701.64003591098049</v>
          </cell>
          <cell r="BA85">
            <v>706.06701417572026</v>
          </cell>
          <cell r="BB85">
            <v>723.6446178154664</v>
          </cell>
          <cell r="BC85">
            <v>737.75300182168235</v>
          </cell>
          <cell r="BD85">
            <v>723.9249810751985</v>
          </cell>
          <cell r="BE85">
            <v>764.2696551285261</v>
          </cell>
          <cell r="BF85">
            <v>772.36831062490955</v>
          </cell>
          <cell r="BG85">
            <v>777.64444358552953</v>
          </cell>
          <cell r="BH85">
            <v>761.33944139451683</v>
          </cell>
          <cell r="BI85">
            <v>680.37870691271905</v>
          </cell>
          <cell r="BJ85">
            <v>729.3571109104787</v>
          </cell>
          <cell r="BK85">
            <v>766.35824254370982</v>
          </cell>
          <cell r="BL85">
            <v>769.83318601138217</v>
          </cell>
          <cell r="BM85">
            <v>805.49234931262549</v>
          </cell>
          <cell r="BN85">
            <v>820.35677434982347</v>
          </cell>
          <cell r="BO85">
            <v>871.80472132782256</v>
          </cell>
          <cell r="BP85">
            <v>852.20019118885205</v>
          </cell>
          <cell r="BQ85">
            <v>876.34021063699367</v>
          </cell>
          <cell r="BR85">
            <v>941.80733192850744</v>
          </cell>
          <cell r="BS85">
            <v>943.71944672298741</v>
          </cell>
          <cell r="BT85">
            <v>946.6476052136527</v>
          </cell>
          <cell r="BU85">
            <v>975.89129747442757</v>
          </cell>
        </row>
        <row r="86">
          <cell r="AN86">
            <v>27.650118279249249</v>
          </cell>
          <cell r="AO86">
            <v>28.866397652598302</v>
          </cell>
          <cell r="AP86">
            <v>29.753425300676572</v>
          </cell>
          <cell r="AQ86">
            <v>30.694545574475985</v>
          </cell>
          <cell r="AR86">
            <v>31.087186164898881</v>
          </cell>
          <cell r="AS86">
            <v>32.053722368577496</v>
          </cell>
          <cell r="AT86">
            <v>33.424416830576433</v>
          </cell>
          <cell r="AU86">
            <v>33.585781755070172</v>
          </cell>
          <cell r="AV86">
            <v>35.885580938754941</v>
          </cell>
          <cell r="AW86">
            <v>34.013375830717536</v>
          </cell>
          <cell r="AX86">
            <v>34.388592008719243</v>
          </cell>
          <cell r="AY86">
            <v>35.481085579482979</v>
          </cell>
          <cell r="AZ86">
            <v>36.243855606813497</v>
          </cell>
          <cell r="BA86">
            <v>36.566821678217195</v>
          </cell>
          <cell r="BB86">
            <v>38.322784651797605</v>
          </cell>
          <cell r="BC86">
            <v>38.898939272394188</v>
          </cell>
          <cell r="BD86">
            <v>38.608467388560143</v>
          </cell>
          <cell r="BE86">
            <v>39.71637032361474</v>
          </cell>
          <cell r="BF86">
            <v>42.637124874961373</v>
          </cell>
          <cell r="BG86">
            <v>43.671405458071121</v>
          </cell>
          <cell r="BH86">
            <v>39.87454308370323</v>
          </cell>
          <cell r="BI86">
            <v>14.901931564049406</v>
          </cell>
          <cell r="BJ86">
            <v>19.323872608161288</v>
          </cell>
          <cell r="BK86">
            <v>24.296848615871468</v>
          </cell>
          <cell r="BL86">
            <v>26.151257386796715</v>
          </cell>
          <cell r="BM86">
            <v>19.905124953142675</v>
          </cell>
          <cell r="BN86">
            <v>31.346296549378209</v>
          </cell>
          <cell r="BO86">
            <v>41.032059738776269</v>
          </cell>
          <cell r="BP86">
            <v>47.083935055798179</v>
          </cell>
          <cell r="BQ86">
            <v>58.415438827568948</v>
          </cell>
          <cell r="BR86">
            <v>59.609837583678257</v>
          </cell>
          <cell r="BS86">
            <v>56.270708007498996</v>
          </cell>
          <cell r="BT86">
            <v>67.056192813705337</v>
          </cell>
          <cell r="BU86">
            <v>62.748662301624108</v>
          </cell>
        </row>
        <row r="87">
          <cell r="AN87">
            <v>13.226312123637136</v>
          </cell>
          <cell r="AO87">
            <v>14.073577249232322</v>
          </cell>
          <cell r="AP87">
            <v>14.82790949199908</v>
          </cell>
          <cell r="AQ87">
            <v>15.550881899511324</v>
          </cell>
          <cell r="AR87">
            <v>15.83482981917556</v>
          </cell>
          <cell r="AS87">
            <v>16.374413943107008</v>
          </cell>
          <cell r="AT87">
            <v>17.309096108203157</v>
          </cell>
          <cell r="AU87">
            <v>17.245655599142118</v>
          </cell>
          <cell r="AV87">
            <v>19.0663575269296</v>
          </cell>
          <cell r="AW87">
            <v>16.75511184573557</v>
          </cell>
          <cell r="AX87">
            <v>16.58687698953964</v>
          </cell>
          <cell r="AY87">
            <v>17.22807305560751</v>
          </cell>
          <cell r="AZ87">
            <v>17.463197411652878</v>
          </cell>
          <cell r="BA87">
            <v>17.639255794335241</v>
          </cell>
          <cell r="BB87">
            <v>18.750447957725683</v>
          </cell>
          <cell r="BC87">
            <v>18.966540616669498</v>
          </cell>
          <cell r="BD87">
            <v>17.888473962717661</v>
          </cell>
          <cell r="BE87">
            <v>18.476946309773147</v>
          </cell>
          <cell r="BF87">
            <v>20.190079582601918</v>
          </cell>
          <cell r="BG87">
            <v>20.900795214918261</v>
          </cell>
          <cell r="BH87">
            <v>17.76813746094637</v>
          </cell>
          <cell r="BI87">
            <v>6.4215369220697731</v>
          </cell>
          <cell r="BJ87">
            <v>8.5990670436438883</v>
          </cell>
          <cell r="BK87">
            <v>11.048948061120793</v>
          </cell>
          <cell r="BL87">
            <v>10.245118387332266</v>
          </cell>
          <cell r="BM87">
            <v>9.8897277451933441</v>
          </cell>
          <cell r="BN87">
            <v>13.797301856095871</v>
          </cell>
          <cell r="BO87">
            <v>18.225729419002064</v>
          </cell>
          <cell r="BP87">
            <v>19.771374852101083</v>
          </cell>
          <cell r="BQ87">
            <v>26.957825798010816</v>
          </cell>
          <cell r="BR87">
            <v>28.815599566025327</v>
          </cell>
          <cell r="BS87">
            <v>26.339555290132452</v>
          </cell>
          <cell r="BT87">
            <v>29.669743669767087</v>
          </cell>
          <cell r="BU87">
            <v>29.043891888539491</v>
          </cell>
        </row>
        <row r="88">
          <cell r="AN88">
            <v>14.132696866873204</v>
          </cell>
          <cell r="AO88">
            <v>14.603854832896396</v>
          </cell>
          <cell r="AP88">
            <v>15.076854200085307</v>
          </cell>
          <cell r="AQ88">
            <v>15.289815727296165</v>
          </cell>
          <cell r="AR88">
            <v>15.252356345723314</v>
          </cell>
          <cell r="AS88">
            <v>15.679308425470488</v>
          </cell>
          <cell r="AT88">
            <v>16.115320722373291</v>
          </cell>
          <cell r="AU88">
            <v>16.340126155928061</v>
          </cell>
          <cell r="AV88">
            <v>16.819223411825341</v>
          </cell>
          <cell r="AW88">
            <v>17.258263984981959</v>
          </cell>
          <cell r="AX88">
            <v>17.801715019179603</v>
          </cell>
          <cell r="AY88">
            <v>18.253012523875476</v>
          </cell>
          <cell r="AZ88">
            <v>18.780658195160598</v>
          </cell>
          <cell r="BA88">
            <v>18.927565883881954</v>
          </cell>
          <cell r="BB88">
            <v>19.572336694071943</v>
          </cell>
          <cell r="BC88">
            <v>19.93239865572469</v>
          </cell>
          <cell r="BD88">
            <v>20.719993425842475</v>
          </cell>
          <cell r="BE88">
            <v>21.239424013841607</v>
          </cell>
          <cell r="BF88">
            <v>22.447045292359441</v>
          </cell>
          <cell r="BG88">
            <v>22.770610243152866</v>
          </cell>
          <cell r="BH88">
            <v>22.106405622756881</v>
          </cell>
          <cell r="BI88">
            <v>8.4803946419796326</v>
          </cell>
          <cell r="BJ88">
            <v>10.724805564517393</v>
          </cell>
          <cell r="BK88">
            <v>13.247900554750665</v>
          </cell>
          <cell r="BL88">
            <v>15.906138999464453</v>
          </cell>
          <cell r="BM88">
            <v>10.015397207949338</v>
          </cell>
          <cell r="BN88">
            <v>17.548994693282346</v>
          </cell>
          <cell r="BO88">
            <v>22.806330319774183</v>
          </cell>
          <cell r="BP88">
            <v>27.312560203697089</v>
          </cell>
          <cell r="BQ88">
            <v>31.457613029558132</v>
          </cell>
          <cell r="BR88">
            <v>30.794238017652944</v>
          </cell>
          <cell r="BS88">
            <v>29.931152717366558</v>
          </cell>
          <cell r="BT88">
            <v>37.38644914393825</v>
          </cell>
          <cell r="BU88">
            <v>33.704770413084617</v>
          </cell>
        </row>
        <row r="89">
          <cell r="AN89">
            <v>25.636231133781756</v>
          </cell>
          <cell r="AO89">
            <v>26.871898400534999</v>
          </cell>
          <cell r="AP89">
            <v>29.114879619715392</v>
          </cell>
          <cell r="AQ89">
            <v>30.154579001445661</v>
          </cell>
          <cell r="AR89">
            <v>28.681783215333024</v>
          </cell>
          <cell r="AS89">
            <v>31.340468021023153</v>
          </cell>
          <cell r="AT89">
            <v>28.825811070005035</v>
          </cell>
          <cell r="AU89">
            <v>32.522627587142729</v>
          </cell>
          <cell r="AV89">
            <v>29.098588805499872</v>
          </cell>
          <cell r="AW89">
            <v>32.41174575076775</v>
          </cell>
          <cell r="AX89">
            <v>35.378984528177789</v>
          </cell>
          <cell r="AY89">
            <v>37.199671467696163</v>
          </cell>
          <cell r="AZ89">
            <v>34.217943120326581</v>
          </cell>
          <cell r="BA89">
            <v>37.331455623668042</v>
          </cell>
          <cell r="BB89">
            <v>41.33537896908571</v>
          </cell>
          <cell r="BC89">
            <v>40.30624522724483</v>
          </cell>
          <cell r="BD89">
            <v>34.964530469943419</v>
          </cell>
          <cell r="BE89">
            <v>40.805898588404204</v>
          </cell>
          <cell r="BF89">
            <v>40.842791865878802</v>
          </cell>
          <cell r="BG89">
            <v>50.529435928143528</v>
          </cell>
          <cell r="BH89">
            <v>46.73402710376817</v>
          </cell>
          <cell r="BI89">
            <v>54.430070177981932</v>
          </cell>
          <cell r="BJ89">
            <v>58.271005629111471</v>
          </cell>
          <cell r="BK89">
            <v>56.482629410644691</v>
          </cell>
          <cell r="BL89">
            <v>55.217850176409087</v>
          </cell>
          <cell r="BM89">
            <v>69.539289466265728</v>
          </cell>
          <cell r="BN89">
            <v>66.502236333884639</v>
          </cell>
          <cell r="BO89">
            <v>65.311245784236675</v>
          </cell>
          <cell r="BP89">
            <v>64.330233516087105</v>
          </cell>
          <cell r="BQ89">
            <v>74.99374732454487</v>
          </cell>
          <cell r="BR89">
            <v>89.412377287918133</v>
          </cell>
          <cell r="BS89">
            <v>78.421723326926141</v>
          </cell>
          <cell r="BT89">
            <v>91.881975111857571</v>
          </cell>
          <cell r="BU89">
            <v>102.52644043147579</v>
          </cell>
        </row>
        <row r="90">
          <cell r="AN90">
            <v>14.891266623018165</v>
          </cell>
          <cell r="AO90">
            <v>16.516415159302703</v>
          </cell>
          <cell r="AP90">
            <v>19.030487547615554</v>
          </cell>
          <cell r="AQ90">
            <v>18.219318832534817</v>
          </cell>
          <cell r="AR90">
            <v>18.189546260958</v>
          </cell>
          <cell r="AS90">
            <v>19.074027444274776</v>
          </cell>
          <cell r="AT90">
            <v>19.919090644412993</v>
          </cell>
          <cell r="AU90">
            <v>22.013364320193684</v>
          </cell>
          <cell r="AV90">
            <v>19.966454572649774</v>
          </cell>
          <cell r="AW90">
            <v>22.28743510164</v>
          </cell>
          <cell r="AX90">
            <v>25.861205216401867</v>
          </cell>
          <cell r="AY90">
            <v>24.659429699906433</v>
          </cell>
          <cell r="AZ90">
            <v>25.028432652541291</v>
          </cell>
          <cell r="BA90">
            <v>26.073711152465101</v>
          </cell>
          <cell r="BB90">
            <v>31.000026873424698</v>
          </cell>
          <cell r="BC90">
            <v>28.672403940830229</v>
          </cell>
          <cell r="BD90">
            <v>23.950507766466966</v>
          </cell>
          <cell r="BE90">
            <v>25.993060801601885</v>
          </cell>
          <cell r="BF90">
            <v>27.635196235302434</v>
          </cell>
          <cell r="BG90">
            <v>31.076914145739831</v>
          </cell>
          <cell r="BH90">
            <v>35.178581202256765</v>
          </cell>
          <cell r="BI90">
            <v>39.985367471397552</v>
          </cell>
          <cell r="BJ90">
            <v>45.061257359524795</v>
          </cell>
          <cell r="BK90">
            <v>42.17099596076595</v>
          </cell>
          <cell r="BL90">
            <v>41.703675778139775</v>
          </cell>
          <cell r="BM90">
            <v>46.414327259268426</v>
          </cell>
          <cell r="BN90">
            <v>50.936642876349531</v>
          </cell>
          <cell r="BO90">
            <v>46.735399170642616</v>
          </cell>
          <cell r="BP90">
            <v>45.853109645338641</v>
          </cell>
          <cell r="BQ90">
            <v>53.756640407927492</v>
          </cell>
          <cell r="BR90">
            <v>64.960840786930135</v>
          </cell>
          <cell r="BS90">
            <v>54.447509806608018</v>
          </cell>
          <cell r="BT90">
            <v>67.908329334783232</v>
          </cell>
          <cell r="BU90">
            <v>73.309686072047242</v>
          </cell>
        </row>
        <row r="91">
          <cell r="AN91">
            <v>12.841378590336259</v>
          </cell>
          <cell r="AO91">
            <v>9.6724645466171637</v>
          </cell>
          <cell r="AP91">
            <v>11.060980600396421</v>
          </cell>
          <cell r="AQ91">
            <v>13.684099068316637</v>
          </cell>
          <cell r="AR91">
            <v>11.237767721405437</v>
          </cell>
          <cell r="AS91">
            <v>13.081079017719309</v>
          </cell>
          <cell r="AT91">
            <v>9.6559949346402068</v>
          </cell>
          <cell r="AU91">
            <v>11.354629794854636</v>
          </cell>
          <cell r="AV91">
            <v>9.8884991028024469</v>
          </cell>
          <cell r="AW91">
            <v>10.96679500545071</v>
          </cell>
          <cell r="AX91">
            <v>10.437391641107975</v>
          </cell>
          <cell r="AY91">
            <v>13.507179541301824</v>
          </cell>
          <cell r="AZ91">
            <v>10.078943638281554</v>
          </cell>
          <cell r="BA91">
            <v>12.228107734062977</v>
          </cell>
          <cell r="BB91">
            <v>11.409790060586452</v>
          </cell>
          <cell r="BC91">
            <v>12.681528792270907</v>
          </cell>
          <cell r="BD91">
            <v>11.922862053680445</v>
          </cell>
          <cell r="BE91">
            <v>15.873512872642685</v>
          </cell>
          <cell r="BF91">
            <v>14.26922969003588</v>
          </cell>
          <cell r="BG91">
            <v>20.765942529025327</v>
          </cell>
          <cell r="BH91">
            <v>12.770211901641636</v>
          </cell>
          <cell r="BI91">
            <v>15.859513343170468</v>
          </cell>
          <cell r="BJ91">
            <v>14.724397034489158</v>
          </cell>
          <cell r="BK91">
            <v>15.779796629004265</v>
          </cell>
          <cell r="BL91">
            <v>14.94946194251729</v>
          </cell>
          <cell r="BM91">
            <v>24.932509507153295</v>
          </cell>
          <cell r="BN91">
            <v>17.294198087554548</v>
          </cell>
          <cell r="BO91">
            <v>20.273493611330366</v>
          </cell>
          <cell r="BP91">
            <v>20.149271239565309</v>
          </cell>
          <cell r="BQ91">
            <v>23.186432924195021</v>
          </cell>
          <cell r="BR91">
            <v>26.775648559189385</v>
          </cell>
          <cell r="BS91">
            <v>26.012643526738188</v>
          </cell>
          <cell r="BT91">
            <v>26.361950537176963</v>
          </cell>
          <cell r="BU91">
            <v>31.881742627484122</v>
          </cell>
        </row>
        <row r="92">
          <cell r="AN92">
            <v>40.831115396222181</v>
          </cell>
          <cell r="AO92">
            <v>43.102785324840035</v>
          </cell>
          <cell r="AP92">
            <v>44.554992993544744</v>
          </cell>
          <cell r="AQ92">
            <v>44.638905470469645</v>
          </cell>
          <cell r="AR92">
            <v>43.926029821682292</v>
          </cell>
          <cell r="AS92">
            <v>44.23995165106885</v>
          </cell>
          <cell r="AT92">
            <v>45.444177734822119</v>
          </cell>
          <cell r="AU92">
            <v>45.318343245390565</v>
          </cell>
          <cell r="AV92">
            <v>45.263596668711585</v>
          </cell>
          <cell r="AW92">
            <v>46.495682217849136</v>
          </cell>
          <cell r="AX92">
            <v>49.512119187551797</v>
          </cell>
          <cell r="AY92">
            <v>49.592010290678942</v>
          </cell>
          <cell r="AZ92">
            <v>51.878711450829044</v>
          </cell>
          <cell r="BA92">
            <v>51.711302335810146</v>
          </cell>
          <cell r="BB92">
            <v>53.924980280394529</v>
          </cell>
          <cell r="BC92">
            <v>52.41523764579641</v>
          </cell>
          <cell r="BD92">
            <v>55.015289147986145</v>
          </cell>
          <cell r="BE92">
            <v>57.013781625298201</v>
          </cell>
          <cell r="BF92">
            <v>56.437624759506164</v>
          </cell>
          <cell r="BG92">
            <v>59.144099708414032</v>
          </cell>
          <cell r="BH92">
            <v>52.284235359891859</v>
          </cell>
          <cell r="BI92">
            <v>52.223114236036743</v>
          </cell>
          <cell r="BJ92">
            <v>55.003633139204126</v>
          </cell>
          <cell r="BK92">
            <v>62.567536562177736</v>
          </cell>
          <cell r="BL92">
            <v>57.736109477862385</v>
          </cell>
          <cell r="BM92">
            <v>62.019164208954621</v>
          </cell>
          <cell r="BN92">
            <v>60.838894831531739</v>
          </cell>
          <cell r="BO92">
            <v>81.558241211555568</v>
          </cell>
          <cell r="BP92">
            <v>65.335011572953434</v>
          </cell>
          <cell r="BQ92">
            <v>68.523628861546683</v>
          </cell>
          <cell r="BR92">
            <v>65.47041300980699</v>
          </cell>
          <cell r="BS92">
            <v>89.748153460508149</v>
          </cell>
          <cell r="BT92">
            <v>73.101449031402765</v>
          </cell>
          <cell r="BU92">
            <v>71.969902693835166</v>
          </cell>
        </row>
        <row r="93">
          <cell r="AN93">
            <v>2.2333345492235996</v>
          </cell>
          <cell r="AO93">
            <v>5.9727155172588757</v>
          </cell>
          <cell r="AP93">
            <v>4.1097053648287396</v>
          </cell>
          <cell r="AQ93">
            <v>3.9258324776225102</v>
          </cell>
          <cell r="AR93">
            <v>2.0350216182664704</v>
          </cell>
          <cell r="AS93">
            <v>3.2788977826743846</v>
          </cell>
          <cell r="AT93">
            <v>5.6372245887851671</v>
          </cell>
          <cell r="AU93">
            <v>4.6228310182913823</v>
          </cell>
          <cell r="AV93">
            <v>3.223370956682456</v>
          </cell>
          <cell r="AW93">
            <v>3.6248888363645921</v>
          </cell>
          <cell r="AX93">
            <v>4.8530252097908289</v>
          </cell>
          <cell r="AY93">
            <v>5.4817231370321213</v>
          </cell>
          <cell r="AZ93">
            <v>4.1120682635243391</v>
          </cell>
          <cell r="BA93">
            <v>6.1339213565676385</v>
          </cell>
          <cell r="BB93">
            <v>4.3191145186295081</v>
          </cell>
          <cell r="BC93">
            <v>4.7418743916424466</v>
          </cell>
          <cell r="BD93">
            <v>4.9581051118016077</v>
          </cell>
          <cell r="BE93">
            <v>6.0705998192920569</v>
          </cell>
          <cell r="BF93">
            <v>6.3175699815249793</v>
          </cell>
          <cell r="BG93">
            <v>6.3134133702499202</v>
          </cell>
          <cell r="BH93">
            <v>4.5192194254031266</v>
          </cell>
          <cell r="BI93">
            <v>7.5033053086043484</v>
          </cell>
          <cell r="BJ93">
            <v>3.8378922982421733</v>
          </cell>
          <cell r="BK93">
            <v>4.752194265062923</v>
          </cell>
          <cell r="BL93">
            <v>3.736898629571872</v>
          </cell>
          <cell r="BM93">
            <v>4.8149283945104777</v>
          </cell>
          <cell r="BN93">
            <v>3.8478629220623786</v>
          </cell>
          <cell r="BO93">
            <v>4.2229767406083685</v>
          </cell>
          <cell r="BP93">
            <v>3.5336412900970915</v>
          </cell>
          <cell r="BQ93">
            <v>5.7899756796280517</v>
          </cell>
          <cell r="BR93">
            <v>3.4507934455531033</v>
          </cell>
          <cell r="BS93">
            <v>3.8214749128294572</v>
          </cell>
          <cell r="BT93">
            <v>2.7739129496427628</v>
          </cell>
          <cell r="BU93">
            <v>6.3317331159500636</v>
          </cell>
        </row>
        <row r="94">
          <cell r="AN94">
            <v>22.989332636593304</v>
          </cell>
          <cell r="AO94">
            <v>24.738753133721218</v>
          </cell>
          <cell r="AP94">
            <v>25.115592780590788</v>
          </cell>
          <cell r="AQ94">
            <v>25.209919563017685</v>
          </cell>
          <cell r="AR94">
            <v>25.191266867513416</v>
          </cell>
          <cell r="AS94">
            <v>25.074845756994058</v>
          </cell>
          <cell r="AT94">
            <v>25.484500283699823</v>
          </cell>
          <cell r="AU94">
            <v>25.985621051122138</v>
          </cell>
          <cell r="AV94">
            <v>25.395843768656967</v>
          </cell>
          <cell r="AW94">
            <v>26.326346417030891</v>
          </cell>
          <cell r="AX94">
            <v>27.452547075013864</v>
          </cell>
          <cell r="AY94">
            <v>27.398694959478689</v>
          </cell>
          <cell r="AZ94">
            <v>28.295924073483</v>
          </cell>
          <cell r="BA94">
            <v>27.739294690569949</v>
          </cell>
          <cell r="BB94">
            <v>28.576223226010089</v>
          </cell>
          <cell r="BC94">
            <v>29.707740250436949</v>
          </cell>
          <cell r="BD94">
            <v>29.198738265981596</v>
          </cell>
          <cell r="BE94">
            <v>31.437103596360501</v>
          </cell>
          <cell r="BF94">
            <v>31.596518967733697</v>
          </cell>
          <cell r="BG94">
            <v>34.997371933089681</v>
          </cell>
          <cell r="BH94">
            <v>30.805538669783232</v>
          </cell>
          <cell r="BI94">
            <v>28.850678577891436</v>
          </cell>
          <cell r="BJ94">
            <v>34.002945952256525</v>
          </cell>
          <cell r="BK94">
            <v>37.722720517759306</v>
          </cell>
          <cell r="BL94">
            <v>34.731521154168448</v>
          </cell>
          <cell r="BM94">
            <v>37.463827185364281</v>
          </cell>
          <cell r="BN94">
            <v>36.581948317047519</v>
          </cell>
          <cell r="BO94">
            <v>56.694629107250805</v>
          </cell>
          <cell r="BP94">
            <v>40.442883528413375</v>
          </cell>
          <cell r="BQ94">
            <v>42.794548049634919</v>
          </cell>
          <cell r="BR94">
            <v>41.571308792355353</v>
          </cell>
          <cell r="BS94">
            <v>57.662735993545454</v>
          </cell>
          <cell r="BT94">
            <v>48.439067628497966</v>
          </cell>
          <cell r="BU94">
            <v>45.760348378743338</v>
          </cell>
        </row>
        <row r="95">
          <cell r="AN95">
            <v>9.4686722322248471</v>
          </cell>
          <cell r="AO95">
            <v>8.1339402507559448</v>
          </cell>
          <cell r="AP95">
            <v>8.4127347690340244</v>
          </cell>
          <cell r="AQ95">
            <v>8.568223560317815</v>
          </cell>
          <cell r="AR95">
            <v>10.224498235059661</v>
          </cell>
          <cell r="AS95">
            <v>9.6396840647307407</v>
          </cell>
          <cell r="AT95">
            <v>7.5115569427878937</v>
          </cell>
          <cell r="AU95">
            <v>8.7414484616613901</v>
          </cell>
          <cell r="AV95">
            <v>10.072463869617</v>
          </cell>
          <cell r="AW95">
            <v>9.6923718266250809</v>
          </cell>
          <cell r="AX95">
            <v>10.246449442688585</v>
          </cell>
          <cell r="AY95">
            <v>9.8838885432094923</v>
          </cell>
          <cell r="AZ95">
            <v>12.149634972925561</v>
          </cell>
          <cell r="BA95">
            <v>10.687235296474935</v>
          </cell>
          <cell r="BB95">
            <v>11.403664310075326</v>
          </cell>
          <cell r="BC95">
            <v>9.6196534631271398</v>
          </cell>
          <cell r="BD95">
            <v>12.319854506635119</v>
          </cell>
          <cell r="BE95">
            <v>11.411767581284657</v>
          </cell>
          <cell r="BF95">
            <v>12.434986067298734</v>
          </cell>
          <cell r="BG95">
            <v>12.498566992766937</v>
          </cell>
          <cell r="BH95">
            <v>12.263659127667573</v>
          </cell>
          <cell r="BI95">
            <v>11.243676128530826</v>
          </cell>
          <cell r="BJ95">
            <v>12.400630368937151</v>
          </cell>
          <cell r="BK95">
            <v>14.020695741946188</v>
          </cell>
          <cell r="BL95">
            <v>14.374356628904039</v>
          </cell>
          <cell r="BM95">
            <v>14.856525253425577</v>
          </cell>
          <cell r="BN95">
            <v>15.320356547529572</v>
          </cell>
          <cell r="BO95">
            <v>15.679081107969241</v>
          </cell>
          <cell r="BP95">
            <v>16.649224466145267</v>
          </cell>
          <cell r="BQ95">
            <v>14.482366919098354</v>
          </cell>
          <cell r="BR95">
            <v>15.686421374048706</v>
          </cell>
          <cell r="BS95">
            <v>20.298948390323034</v>
          </cell>
          <cell r="BT95">
            <v>17.099723411146204</v>
          </cell>
          <cell r="BU95">
            <v>14.966939224539496</v>
          </cell>
        </row>
        <row r="96">
          <cell r="AN96">
            <v>5.7609152242856796</v>
          </cell>
          <cell r="AO96">
            <v>6.2390031401727137</v>
          </cell>
          <cell r="AP96">
            <v>6.9929459680182546</v>
          </cell>
          <cell r="AQ96">
            <v>7.410326747524131</v>
          </cell>
          <cell r="AR96">
            <v>6.4752431008427447</v>
          </cell>
          <cell r="AS96">
            <v>6.2465240466696734</v>
          </cell>
          <cell r="AT96">
            <v>6.8108959195492256</v>
          </cell>
          <cell r="AU96">
            <v>5.9684427143156462</v>
          </cell>
          <cell r="AV96">
            <v>6.5719180737551559</v>
          </cell>
          <cell r="AW96">
            <v>6.8520751378285683</v>
          </cell>
          <cell r="AX96">
            <v>6.9600974600585168</v>
          </cell>
          <cell r="AY96">
            <v>6.827703650958636</v>
          </cell>
          <cell r="AZ96">
            <v>7.3210841408961436</v>
          </cell>
          <cell r="BA96">
            <v>7.1508509921976291</v>
          </cell>
          <cell r="BB96">
            <v>9.6259782256796029</v>
          </cell>
          <cell r="BC96">
            <v>8.3459695405898717</v>
          </cell>
          <cell r="BD96">
            <v>8.5385912635678309</v>
          </cell>
          <cell r="BE96">
            <v>8.09431062836099</v>
          </cell>
          <cell r="BF96">
            <v>6.0885497429487421</v>
          </cell>
          <cell r="BG96">
            <v>5.3347474123074896</v>
          </cell>
          <cell r="BH96">
            <v>4.6958181370379277</v>
          </cell>
          <cell r="BI96">
            <v>4.6254542210101341</v>
          </cell>
          <cell r="BJ96">
            <v>4.7621645197682616</v>
          </cell>
          <cell r="BK96">
            <v>6.0719260374093142</v>
          </cell>
          <cell r="BL96">
            <v>4.8933330652180276</v>
          </cell>
          <cell r="BM96">
            <v>4.8838833756542872</v>
          </cell>
          <cell r="BN96">
            <v>5.0887270448922779</v>
          </cell>
          <cell r="BO96">
            <v>4.9615542557271581</v>
          </cell>
          <cell r="BP96">
            <v>4.7092622882976851</v>
          </cell>
          <cell r="BQ96">
            <v>5.4567382131853517</v>
          </cell>
          <cell r="BR96">
            <v>4.7618893978498242</v>
          </cell>
          <cell r="BS96">
            <v>7.9649941638101787</v>
          </cell>
          <cell r="BT96">
            <v>4.7887450421158242</v>
          </cell>
          <cell r="BU96">
            <v>4.9108819746022689</v>
          </cell>
        </row>
        <row r="97">
          <cell r="AN97">
            <v>122.39703126600116</v>
          </cell>
          <cell r="AO97">
            <v>119.66248068329291</v>
          </cell>
          <cell r="AP97">
            <v>126.58880309837643</v>
          </cell>
          <cell r="AQ97">
            <v>123.93935560703349</v>
          </cell>
          <cell r="AR97">
            <v>127.73505183037955</v>
          </cell>
          <cell r="AS97">
            <v>127.93739351745869</v>
          </cell>
          <cell r="AT97">
            <v>131.88130524736167</v>
          </cell>
          <cell r="AU97">
            <v>135.47214949031613</v>
          </cell>
          <cell r="AV97">
            <v>140.22111987097526</v>
          </cell>
          <cell r="AW97">
            <v>136.51360704279682</v>
          </cell>
          <cell r="AX97">
            <v>141.73768235114937</v>
          </cell>
          <cell r="AY97">
            <v>141.0469765553035</v>
          </cell>
          <cell r="AZ97">
            <v>145.04178605684376</v>
          </cell>
          <cell r="BA97">
            <v>144.7140031088127</v>
          </cell>
          <cell r="BB97">
            <v>148.61796783820998</v>
          </cell>
          <cell r="BC97">
            <v>147.82268880224584</v>
          </cell>
          <cell r="BD97">
            <v>151.00208959642839</v>
          </cell>
          <cell r="BE97">
            <v>159.11046851488493</v>
          </cell>
          <cell r="BF97">
            <v>151.44455626695697</v>
          </cell>
          <cell r="BG97">
            <v>147.74907551445369</v>
          </cell>
          <cell r="BH97">
            <v>150.91897265235593</v>
          </cell>
          <cell r="BI97">
            <v>147.23511702288798</v>
          </cell>
          <cell r="BJ97">
            <v>153.70774251284325</v>
          </cell>
          <cell r="BK97">
            <v>159.24293494064801</v>
          </cell>
          <cell r="BL97">
            <v>155.49010201970495</v>
          </cell>
          <cell r="BM97">
            <v>156.6748071108828</v>
          </cell>
          <cell r="BN97">
            <v>160.64266261261062</v>
          </cell>
          <cell r="BO97">
            <v>163.20595276220089</v>
          </cell>
          <cell r="BP97">
            <v>162.51649091111352</v>
          </cell>
          <cell r="BQ97">
            <v>160.1181934241007</v>
          </cell>
          <cell r="BR97">
            <v>160.97964383603275</v>
          </cell>
          <cell r="BS97">
            <v>162.01831823362622</v>
          </cell>
          <cell r="BT97">
            <v>177.73457997959699</v>
          </cell>
          <cell r="BU97">
            <v>162.76170862604454</v>
          </cell>
        </row>
        <row r="98">
          <cell r="AN98">
            <v>39.097012757456291</v>
          </cell>
          <cell r="AO98">
            <v>39.258164420580123</v>
          </cell>
          <cell r="AP98">
            <v>39.419980325207213</v>
          </cell>
          <cell r="AQ98">
            <v>39.582463209235343</v>
          </cell>
          <cell r="AR98">
            <v>39.745615821847402</v>
          </cell>
          <cell r="AS98">
            <v>39.909440923558016</v>
          </cell>
          <cell r="AT98">
            <v>40.073941286260194</v>
          </cell>
          <cell r="AU98">
            <v>40.239119693272258</v>
          </cell>
          <cell r="AV98">
            <v>40.404978939384939</v>
          </cell>
          <cell r="AW98">
            <v>40.57152183090863</v>
          </cell>
          <cell r="AX98">
            <v>40.738751185720872</v>
          </cell>
          <cell r="AY98">
            <v>40.906669833314098</v>
          </cell>
          <cell r="AZ98">
            <v>41.075280614843386</v>
          </cell>
          <cell r="BA98">
            <v>41.244586383174699</v>
          </cell>
          <cell r="BB98">
            <v>41.414590002932954</v>
          </cell>
          <cell r="BC98">
            <v>41.585294350550697</v>
          </cell>
          <cell r="BD98">
            <v>41.756702314316605</v>
          </cell>
          <cell r="BE98">
            <v>41.928816794424435</v>
          </cell>
          <cell r="BF98">
            <v>42.101640703022078</v>
          </cell>
          <cell r="BG98">
            <v>42.275176964260865</v>
          </cell>
          <cell r="BH98">
            <v>42.449428514344973</v>
          </cell>
          <cell r="BI98">
            <v>42.624398301581159</v>
          </cell>
          <cell r="BJ98">
            <v>42.800089286428637</v>
          </cell>
          <cell r="BK98">
            <v>42.976504441549174</v>
          </cell>
          <cell r="BL98">
            <v>43.153646751857359</v>
          </cell>
          <cell r="BM98">
            <v>43.331519214571109</v>
          </cell>
          <cell r="BN98">
            <v>43.510124839262431</v>
          </cell>
          <cell r="BO98">
            <v>43.689466647908304</v>
          </cell>
          <cell r="BP98">
            <v>43.869547674941764</v>
          </cell>
          <cell r="BQ98">
            <v>44.050370967303365</v>
          </cell>
          <cell r="BR98">
            <v>44.231939584492636</v>
          </cell>
          <cell r="BS98">
            <v>44.414256598619851</v>
          </cell>
          <cell r="BT98">
            <v>44.597325094458093</v>
          </cell>
          <cell r="BU98">
            <v>44.781148169495339</v>
          </cell>
        </row>
        <row r="99">
          <cell r="AN99">
            <v>30.583623514892501</v>
          </cell>
          <cell r="AO99">
            <v>30.855082073784533</v>
          </cell>
          <cell r="AP99">
            <v>31.128950083903302</v>
          </cell>
          <cell r="AQ99">
            <v>31.405248931405261</v>
          </cell>
          <cell r="AR99">
            <v>31.684000192269227</v>
          </cell>
          <cell r="AS99">
            <v>31.965225633981202</v>
          </cell>
          <cell r="AT99">
            <v>32.248947217234225</v>
          </cell>
          <cell r="AU99">
            <v>32.535187097643195</v>
          </cell>
          <cell r="AV99">
            <v>32.823967627475056</v>
          </cell>
          <cell r="AW99">
            <v>33.115311357394255</v>
          </cell>
          <cell r="AX99">
            <v>33.409241038223676</v>
          </cell>
          <cell r="AY99">
            <v>33.705779622721259</v>
          </cell>
          <cell r="AZ99">
            <v>34.004950267372344</v>
          </cell>
          <cell r="BA99">
            <v>34.306776334198005</v>
          </cell>
          <cell r="BB99">
            <v>34.611281392579258</v>
          </cell>
          <cell r="BC99">
            <v>34.91848922109773</v>
          </cell>
          <cell r="BD99">
            <v>35.228423809392361</v>
          </cell>
          <cell r="BE99">
            <v>35.541109360032863</v>
          </cell>
          <cell r="BF99">
            <v>35.856570290409557</v>
          </cell>
          <cell r="BG99">
            <v>36.174831234640266</v>
          </cell>
          <cell r="BH99">
            <v>36.495917045493776</v>
          </cell>
          <cell r="BI99">
            <v>36.819852796330792</v>
          </cell>
          <cell r="BJ99">
            <v>37.146663783061719</v>
          </cell>
          <cell r="BK99">
            <v>37.476375526122069</v>
          </cell>
          <cell r="BL99">
            <v>37.809013772465391</v>
          </cell>
          <cell r="BM99">
            <v>38.144604497573717</v>
          </cell>
          <cell r="BN99">
            <v>38.483173907486055</v>
          </cell>
          <cell r="BO99">
            <v>38.824748440844772</v>
          </cell>
          <cell r="BP99">
            <v>39.169354770960148</v>
          </cell>
          <cell r="BQ99">
            <v>39.517019807893341</v>
          </cell>
          <cell r="BR99">
            <v>39.867770700557699</v>
          </cell>
          <cell r="BS99">
            <v>40.221634838838824</v>
          </cell>
          <cell r="BT99">
            <v>40.578639855733449</v>
          </cell>
          <cell r="BU99">
            <v>40.938813629507258</v>
          </cell>
        </row>
        <row r="100">
          <cell r="AN100">
            <v>28.255597609192034</v>
          </cell>
          <cell r="AO100">
            <v>28.393474774202762</v>
          </cell>
          <cell r="AP100">
            <v>28.532024730243936</v>
          </cell>
          <cell r="AQ100">
            <v>28.671250760294079</v>
          </cell>
          <cell r="AR100">
            <v>28.811156163351452</v>
          </cell>
          <cell r="AS100">
            <v>28.95174425451226</v>
          </cell>
          <cell r="AT100">
            <v>29.093018365049176</v>
          </cell>
          <cell r="AU100">
            <v>29.234981842490306</v>
          </cell>
          <cell r="AV100">
            <v>29.377638050698462</v>
          </cell>
          <cell r="AW100">
            <v>29.520990369950905</v>
          </cell>
          <cell r="AX100">
            <v>29.665042197019456</v>
          </cell>
          <cell r="AY100">
            <v>29.80979694525093</v>
          </cell>
          <cell r="AZ100">
            <v>29.95525804464809</v>
          </cell>
          <cell r="BA100">
            <v>30.101428941950839</v>
          </cell>
          <cell r="BB100">
            <v>30.24831310071794</v>
          </cell>
          <cell r="BC100">
            <v>30.39591400140911</v>
          </cell>
          <cell r="BD100">
            <v>30.544235141467407</v>
          </cell>
          <cell r="BE100">
            <v>30.693280035402221</v>
          </cell>
          <cell r="BF100">
            <v>30.843052214872412</v>
          </cell>
          <cell r="BG100">
            <v>30.993555228770131</v>
          </cell>
          <cell r="BH100">
            <v>31.1447926433048</v>
          </cell>
          <cell r="BI100">
            <v>31.296768042087688</v>
          </cell>
          <cell r="BJ100">
            <v>31.449485026216799</v>
          </cell>
          <cell r="BK100">
            <v>31.602947214362189</v>
          </cell>
          <cell r="BL100">
            <v>31.757158242851723</v>
          </cell>
          <cell r="BM100">
            <v>31.912121765757256</v>
          </cell>
          <cell r="BN100">
            <v>32.067841454981178</v>
          </cell>
          <cell r="BO100">
            <v>32.224321000343473</v>
          </cell>
          <cell r="BP100">
            <v>32.3815641096691</v>
          </cell>
          <cell r="BQ100">
            <v>32.539574508875873</v>
          </cell>
          <cell r="BR100">
            <v>32.69835594206274</v>
          </cell>
          <cell r="BS100">
            <v>32.857912171598535</v>
          </cell>
          <cell r="BT100">
            <v>33.018246978211074</v>
          </cell>
          <cell r="BU100">
            <v>33.179364161076769</v>
          </cell>
        </row>
        <row r="101">
          <cell r="AN101">
            <v>28.850898431202182</v>
          </cell>
          <cell r="AO101">
            <v>26.863197120578537</v>
          </cell>
          <cell r="AP101">
            <v>28.745454341406795</v>
          </cell>
          <cell r="AQ101">
            <v>28.870072983668656</v>
          </cell>
          <cell r="AR101">
            <v>27.494279652911441</v>
          </cell>
          <cell r="AS101">
            <v>27.110982705407189</v>
          </cell>
          <cell r="AT101">
            <v>30.465398378818072</v>
          </cell>
          <cell r="AU101">
            <v>33.46286085691036</v>
          </cell>
          <cell r="AV101">
            <v>37.614535253416804</v>
          </cell>
          <cell r="AW101">
            <v>33.305783484543007</v>
          </cell>
          <cell r="AX101">
            <v>37.924647930185365</v>
          </cell>
          <cell r="AY101">
            <v>36.624730154017207</v>
          </cell>
          <cell r="AZ101">
            <v>40.006297129979949</v>
          </cell>
          <cell r="BA101">
            <v>39.06121144948915</v>
          </cell>
          <cell r="BB101">
            <v>42.343783341979794</v>
          </cell>
          <cell r="BC101">
            <v>40.922991229188305</v>
          </cell>
          <cell r="BD101">
            <v>43.472728331252</v>
          </cell>
          <cell r="BE101">
            <v>50.947262325025392</v>
          </cell>
          <cell r="BF101">
            <v>42.643293058652901</v>
          </cell>
          <cell r="BG101">
            <v>38.3055120867824</v>
          </cell>
          <cell r="BH101">
            <v>40.828834449212387</v>
          </cell>
          <cell r="BI101">
            <v>36.494097882888347</v>
          </cell>
          <cell r="BJ101">
            <v>42.311504417136057</v>
          </cell>
          <cell r="BK101">
            <v>47.187107758614538</v>
          </cell>
          <cell r="BL101">
            <v>42.770283252530476</v>
          </cell>
          <cell r="BM101">
            <v>43.286561632980714</v>
          </cell>
          <cell r="BN101">
            <v>46.581522410880943</v>
          </cell>
          <cell r="BO101">
            <v>48.467416673104374</v>
          </cell>
          <cell r="BP101">
            <v>47.096024355542518</v>
          </cell>
          <cell r="BQ101">
            <v>44.011228140028138</v>
          </cell>
          <cell r="BR101">
            <v>44.181577608919667</v>
          </cell>
          <cell r="BS101">
            <v>44.524514624569001</v>
          </cell>
          <cell r="BT101">
            <v>59.540368051194363</v>
          </cell>
          <cell r="BU101">
            <v>43.862382665965214</v>
          </cell>
        </row>
        <row r="102">
          <cell r="AN102">
            <v>35.982221431020001</v>
          </cell>
          <cell r="AO102">
            <v>37.130742230453563</v>
          </cell>
          <cell r="AP102">
            <v>32.912301571237137</v>
          </cell>
          <cell r="AQ102">
            <v>36.475424851663533</v>
          </cell>
          <cell r="AR102">
            <v>36.154744837459788</v>
          </cell>
          <cell r="AS102">
            <v>39.602030595102008</v>
          </cell>
          <cell r="AT102">
            <v>37.308638405565432</v>
          </cell>
          <cell r="AU102">
            <v>38.343627858213779</v>
          </cell>
          <cell r="AV102">
            <v>38.017361703761757</v>
          </cell>
          <cell r="AW102">
            <v>41.179998862800332</v>
          </cell>
          <cell r="AX102">
            <v>40.65016713653435</v>
          </cell>
          <cell r="AY102">
            <v>43.552289067340858</v>
          </cell>
          <cell r="AZ102">
            <v>42.950856536074539</v>
          </cell>
          <cell r="BA102">
            <v>44.021292920779885</v>
          </cell>
          <cell r="BB102">
            <v>44.784669236209922</v>
          </cell>
          <cell r="BC102">
            <v>47.170156606721882</v>
          </cell>
          <cell r="BD102">
            <v>47.50437380876501</v>
          </cell>
          <cell r="BE102">
            <v>49.864080290798917</v>
          </cell>
          <cell r="BF102">
            <v>47.562800585005945</v>
          </cell>
          <cell r="BG102">
            <v>51.58737683180702</v>
          </cell>
          <cell r="BH102">
            <v>47.129764294357223</v>
          </cell>
          <cell r="BI102">
            <v>46.924595879637806</v>
          </cell>
          <cell r="BJ102">
            <v>48.583471007339099</v>
          </cell>
          <cell r="BK102">
            <v>52.315053176334281</v>
          </cell>
          <cell r="BL102">
            <v>51.900400148497084</v>
          </cell>
          <cell r="BM102">
            <v>56.426939357756602</v>
          </cell>
          <cell r="BN102">
            <v>54.012131123875911</v>
          </cell>
          <cell r="BO102">
            <v>58.402772292287551</v>
          </cell>
          <cell r="BP102">
            <v>54.721563237549624</v>
          </cell>
          <cell r="BQ102">
            <v>57.278234385800502</v>
          </cell>
          <cell r="BR102">
            <v>53.75698619775919</v>
          </cell>
          <cell r="BS102">
            <v>57.101073969195348</v>
          </cell>
          <cell r="BT102">
            <v>51.662192578754073</v>
          </cell>
          <cell r="BU102">
            <v>57.574171103417598</v>
          </cell>
        </row>
        <row r="103">
          <cell r="AN103">
            <v>23.661836698208656</v>
          </cell>
          <cell r="AO103">
            <v>25.163705714982743</v>
          </cell>
          <cell r="AP103">
            <v>21.237677620975973</v>
          </cell>
          <cell r="AQ103">
            <v>22.41696123520267</v>
          </cell>
          <cell r="AR103">
            <v>22.413324350541448</v>
          </cell>
          <cell r="AS103">
            <v>24.218646368684535</v>
          </cell>
          <cell r="AT103">
            <v>20.091665917418659</v>
          </cell>
          <cell r="AU103">
            <v>22.523854976099386</v>
          </cell>
          <cell r="AV103">
            <v>21.895262225879694</v>
          </cell>
          <cell r="AW103">
            <v>23.228735619101133</v>
          </cell>
          <cell r="AX103">
            <v>21.139401882326652</v>
          </cell>
          <cell r="AY103">
            <v>24.920478934612721</v>
          </cell>
          <cell r="AZ103">
            <v>23.616002670837094</v>
          </cell>
          <cell r="BA103">
            <v>25.739086226800659</v>
          </cell>
          <cell r="BB103">
            <v>21.340543742522815</v>
          </cell>
          <cell r="BC103">
            <v>23.293879455385468</v>
          </cell>
          <cell r="BD103">
            <v>26.18366562332972</v>
          </cell>
          <cell r="BE103">
            <v>25.596086038046476</v>
          </cell>
          <cell r="BF103">
            <v>23.430520829170472</v>
          </cell>
          <cell r="BG103">
            <v>25.250413004303322</v>
          </cell>
          <cell r="BH103">
            <v>25.41095334630964</v>
          </cell>
          <cell r="BI103">
            <v>24.27664282697296</v>
          </cell>
          <cell r="BJ103">
            <v>23.182772410254294</v>
          </cell>
          <cell r="BK103">
            <v>26.634853784707339</v>
          </cell>
          <cell r="BL103">
            <v>25.09543203503879</v>
          </cell>
          <cell r="BM103">
            <v>28.645297819423671</v>
          </cell>
          <cell r="BN103">
            <v>25.213813249086513</v>
          </cell>
          <cell r="BO103">
            <v>29.412381283108193</v>
          </cell>
          <cell r="BP103">
            <v>28.612047083047969</v>
          </cell>
          <cell r="BQ103">
            <v>30.753417640906601</v>
          </cell>
          <cell r="BR103">
            <v>29.102176229930279</v>
          </cell>
          <cell r="BS103">
            <v>27.677294504152151</v>
          </cell>
          <cell r="BT103">
            <v>29.866235990816065</v>
          </cell>
          <cell r="BU103">
            <v>33.116127157342255</v>
          </cell>
        </row>
        <row r="104">
          <cell r="AN104">
            <v>6.4389408620610595</v>
          </cell>
          <cell r="AO104">
            <v>6.3235340705035048</v>
          </cell>
          <cell r="AP104">
            <v>5.6230948075050904</v>
          </cell>
          <cell r="AQ104">
            <v>6.9074583973045813</v>
          </cell>
          <cell r="AR104">
            <v>6.7604446098307207</v>
          </cell>
          <cell r="AS104">
            <v>7.4754565317771773</v>
          </cell>
          <cell r="AT104">
            <v>7.5543276310053118</v>
          </cell>
          <cell r="AU104">
            <v>7.1552388261884134</v>
          </cell>
          <cell r="AV104">
            <v>7.4312736697695243</v>
          </cell>
          <cell r="AW104">
            <v>9.6033185603310827</v>
          </cell>
          <cell r="AX104">
            <v>11.710110044737579</v>
          </cell>
          <cell r="AY104">
            <v>10.01093152646223</v>
          </cell>
          <cell r="AZ104">
            <v>9.2486597544655567</v>
          </cell>
          <cell r="BA104">
            <v>8.8515274608043626</v>
          </cell>
          <cell r="BB104">
            <v>11.705950291779672</v>
          </cell>
          <cell r="BC104">
            <v>9.6882481122771971</v>
          </cell>
          <cell r="BD104">
            <v>9.4225984134544181</v>
          </cell>
          <cell r="BE104">
            <v>11.39803972419976</v>
          </cell>
          <cell r="BF104">
            <v>11.3253626076784</v>
          </cell>
          <cell r="BG104">
            <v>14.546261320677814</v>
          </cell>
          <cell r="BH104">
            <v>9.2791017600034138</v>
          </cell>
          <cell r="BI104">
            <v>12.823926867475722</v>
          </cell>
          <cell r="BJ104">
            <v>15.276169803146647</v>
          </cell>
          <cell r="BK104">
            <v>13.264679728518301</v>
          </cell>
          <cell r="BL104">
            <v>16.294294875031117</v>
          </cell>
          <cell r="BM104">
            <v>14.203256742946399</v>
          </cell>
          <cell r="BN104">
            <v>17.105010773604818</v>
          </cell>
          <cell r="BO104">
            <v>15.415849709731663</v>
          </cell>
          <cell r="BP104">
            <v>14.750891551383589</v>
          </cell>
          <cell r="BQ104">
            <v>14.536382654525752</v>
          </cell>
          <cell r="BR104">
            <v>11.603098504693342</v>
          </cell>
          <cell r="BS104">
            <v>16.762308779328439</v>
          </cell>
          <cell r="BT104">
            <v>10.047665965361581</v>
          </cell>
          <cell r="BU104">
            <v>12.534752934116247</v>
          </cell>
        </row>
        <row r="105">
          <cell r="AN105">
            <v>5.8814438707502852</v>
          </cell>
          <cell r="AO105">
            <v>5.6435024449673117</v>
          </cell>
          <cell r="AP105">
            <v>6.0515291427560793</v>
          </cell>
          <cell r="AQ105">
            <v>7.151005219156283</v>
          </cell>
          <cell r="AR105">
            <v>6.9809758770876202</v>
          </cell>
          <cell r="AS105">
            <v>7.9079276946402928</v>
          </cell>
          <cell r="AT105">
            <v>9.662644857141462</v>
          </cell>
          <cell r="AU105">
            <v>8.6645340559259854</v>
          </cell>
          <cell r="AV105">
            <v>8.6908258081125354</v>
          </cell>
          <cell r="AW105">
            <v>8.3479446833681088</v>
          </cell>
          <cell r="AX105">
            <v>7.8006552094701114</v>
          </cell>
          <cell r="AY105">
            <v>8.6208786062659097</v>
          </cell>
          <cell r="AZ105">
            <v>10.08619411077189</v>
          </cell>
          <cell r="BA105">
            <v>9.4306792331748657</v>
          </cell>
          <cell r="BB105">
            <v>11.738175201907435</v>
          </cell>
          <cell r="BC105">
            <v>14.18802903905922</v>
          </cell>
          <cell r="BD105">
            <v>11.898109771980872</v>
          </cell>
          <cell r="BE105">
            <v>12.869954528552681</v>
          </cell>
          <cell r="BF105">
            <v>12.806917148157076</v>
          </cell>
          <cell r="BG105">
            <v>11.790702506825886</v>
          </cell>
          <cell r="BH105">
            <v>12.439709188044169</v>
          </cell>
          <cell r="BI105">
            <v>9.8240261851891226</v>
          </cell>
          <cell r="BJ105">
            <v>10.124528793938154</v>
          </cell>
          <cell r="BK105">
            <v>12.415519663108638</v>
          </cell>
          <cell r="BL105">
            <v>10.510673238427179</v>
          </cell>
          <cell r="BM105">
            <v>13.57838479538653</v>
          </cell>
          <cell r="BN105">
            <v>11.693307101184581</v>
          </cell>
          <cell r="BO105">
            <v>13.574541299447697</v>
          </cell>
          <cell r="BP105">
            <v>11.358624603118061</v>
          </cell>
          <cell r="BQ105">
            <v>11.98843409036815</v>
          </cell>
          <cell r="BR105">
            <v>13.051711463135565</v>
          </cell>
          <cell r="BS105">
            <v>12.661470685714754</v>
          </cell>
          <cell r="BT105">
            <v>11.74829062257643</v>
          </cell>
          <cell r="BU105">
            <v>11.923291011959098</v>
          </cell>
        </row>
        <row r="106">
          <cell r="AN106">
            <v>53.157724727239838</v>
          </cell>
          <cell r="AO106">
            <v>58.273036622681509</v>
          </cell>
          <cell r="AP106">
            <v>63.200568593468994</v>
          </cell>
          <cell r="AQ106">
            <v>67.299382387068619</v>
          </cell>
          <cell r="AR106">
            <v>66.28422502915096</v>
          </cell>
          <cell r="AS106">
            <v>66.16039752032799</v>
          </cell>
          <cell r="AT106">
            <v>66.693757028504663</v>
          </cell>
          <cell r="AU106">
            <v>66.473422564491258</v>
          </cell>
          <cell r="AV106">
            <v>66.829117118194503</v>
          </cell>
          <cell r="AW106">
            <v>68.050101908499613</v>
          </cell>
          <cell r="AX106">
            <v>70.235629640416917</v>
          </cell>
          <cell r="AY106">
            <v>71.580319979594023</v>
          </cell>
          <cell r="AZ106">
            <v>70.918731837634709</v>
          </cell>
          <cell r="BA106">
            <v>70.683961303989136</v>
          </cell>
          <cell r="BB106">
            <v>73.581550784152085</v>
          </cell>
          <cell r="BC106">
            <v>72.978802700295859</v>
          </cell>
          <cell r="BD106">
            <v>72.60308661614053</v>
          </cell>
          <cell r="BE106">
            <v>73.055980800963653</v>
          </cell>
          <cell r="BF106">
            <v>77.741788671789053</v>
          </cell>
          <cell r="BG106">
            <v>78.245582757383943</v>
          </cell>
          <cell r="BH106">
            <v>72.968939835448225</v>
          </cell>
          <cell r="BI106">
            <v>67.573673588155629</v>
          </cell>
          <cell r="BJ106">
            <v>70.45946606037036</v>
          </cell>
          <cell r="BK106">
            <v>70.018022393832439</v>
          </cell>
          <cell r="BL106">
            <v>70.345257083110596</v>
          </cell>
          <cell r="BM106">
            <v>74.519276438005392</v>
          </cell>
          <cell r="BN106">
            <v>75.741160247750017</v>
          </cell>
          <cell r="BO106">
            <v>76.650882141376286</v>
          </cell>
          <cell r="BP106">
            <v>74.711722079983161</v>
          </cell>
          <cell r="BQ106">
            <v>73.505666686429478</v>
          </cell>
          <cell r="BR106">
            <v>77.953976082643237</v>
          </cell>
          <cell r="BS106">
            <v>75.122304599565283</v>
          </cell>
          <cell r="BT106">
            <v>74.53677116576695</v>
          </cell>
          <cell r="BU106">
            <v>73.499025671196662</v>
          </cell>
        </row>
        <row r="107">
          <cell r="AN107">
            <v>13.437329293550851</v>
          </cell>
          <cell r="AO107">
            <v>13.584007745587794</v>
          </cell>
          <cell r="AP107">
            <v>13.379682485448123</v>
          </cell>
          <cell r="AQ107">
            <v>15.555279913935006</v>
          </cell>
          <cell r="AR107">
            <v>16.270335254128462</v>
          </cell>
          <cell r="AS107">
            <v>14.185353663339601</v>
          </cell>
          <cell r="AT107">
            <v>15.901519904865145</v>
          </cell>
          <cell r="AU107">
            <v>14.201036764126746</v>
          </cell>
          <cell r="AV107">
            <v>17.118669706222256</v>
          </cell>
          <cell r="AW107">
            <v>19.505228665725006</v>
          </cell>
          <cell r="AX107">
            <v>18.968403676259626</v>
          </cell>
          <cell r="AY107">
            <v>16.911032323847596</v>
          </cell>
          <cell r="AZ107">
            <v>14.419315505001505</v>
          </cell>
          <cell r="BA107">
            <v>15.713969590004105</v>
          </cell>
          <cell r="BB107">
            <v>17.015166324666595</v>
          </cell>
          <cell r="BC107">
            <v>16.408957843564085</v>
          </cell>
          <cell r="BD107">
            <v>15.301577944536257</v>
          </cell>
          <cell r="BE107">
            <v>15.74284116982358</v>
          </cell>
          <cell r="BF107">
            <v>20.64552781927344</v>
          </cell>
          <cell r="BG107">
            <v>16.751226513527421</v>
          </cell>
          <cell r="BH107">
            <v>19.035937218700656</v>
          </cell>
          <cell r="BI107">
            <v>6.7475389279586908</v>
          </cell>
          <cell r="BJ107">
            <v>6.0655909034417705</v>
          </cell>
          <cell r="BK107">
            <v>9.061612922509136</v>
          </cell>
          <cell r="BL107">
            <v>10.793427192000092</v>
          </cell>
          <cell r="BM107">
            <v>13.475742279943958</v>
          </cell>
          <cell r="BN107">
            <v>16.351338960910983</v>
          </cell>
          <cell r="BO107">
            <v>14.747771241141297</v>
          </cell>
          <cell r="BP107">
            <v>13.875570389626366</v>
          </cell>
          <cell r="BQ107">
            <v>15.171342370460422</v>
          </cell>
          <cell r="BR107">
            <v>22.875713988512402</v>
          </cell>
          <cell r="BS107">
            <v>16.677355761696031</v>
          </cell>
          <cell r="BT107">
            <v>14.192579233455557</v>
          </cell>
          <cell r="BU107">
            <v>15.719972911285099</v>
          </cell>
        </row>
        <row r="108">
          <cell r="AN108">
            <v>39.720395433688985</v>
          </cell>
          <cell r="AO108">
            <v>44.689028877093712</v>
          </cell>
          <cell r="AP108">
            <v>49.820886108020872</v>
          </cell>
          <cell r="AQ108">
            <v>51.744102473133616</v>
          </cell>
          <cell r="AR108">
            <v>50.013889775022498</v>
          </cell>
          <cell r="AS108">
            <v>51.975043856988385</v>
          </cell>
          <cell r="AT108">
            <v>50.792237123639516</v>
          </cell>
          <cell r="AU108">
            <v>52.272385800364511</v>
          </cell>
          <cell r="AV108">
            <v>49.710447411972254</v>
          </cell>
          <cell r="AW108">
            <v>48.544873242774607</v>
          </cell>
          <cell r="AX108">
            <v>51.267225964157298</v>
          </cell>
          <cell r="AY108">
            <v>54.66928765574643</v>
          </cell>
          <cell r="AZ108">
            <v>56.499416332633203</v>
          </cell>
          <cell r="BA108">
            <v>54.969991713985031</v>
          </cell>
          <cell r="BB108">
            <v>56.566384459485491</v>
          </cell>
          <cell r="BC108">
            <v>56.56984485673177</v>
          </cell>
          <cell r="BD108">
            <v>57.301508671604267</v>
          </cell>
          <cell r="BE108">
            <v>57.313139631140075</v>
          </cell>
          <cell r="BF108">
            <v>57.09626085251562</v>
          </cell>
          <cell r="BG108">
            <v>61.494356243856529</v>
          </cell>
          <cell r="BH108">
            <v>53.933002616747565</v>
          </cell>
          <cell r="BI108">
            <v>60.826134660196935</v>
          </cell>
          <cell r="BJ108">
            <v>64.393875156928587</v>
          </cell>
          <cell r="BK108">
            <v>60.956409471323298</v>
          </cell>
          <cell r="BL108">
            <v>59.551829891110508</v>
          </cell>
          <cell r="BM108">
            <v>61.043534158061433</v>
          </cell>
          <cell r="BN108">
            <v>59.389821286839037</v>
          </cell>
          <cell r="BO108">
            <v>61.903110900234992</v>
          </cell>
          <cell r="BP108">
            <v>60.836151690356793</v>
          </cell>
          <cell r="BQ108">
            <v>58.334324315969056</v>
          </cell>
          <cell r="BR108">
            <v>55.078262094130842</v>
          </cell>
          <cell r="BS108">
            <v>58.444948837869255</v>
          </cell>
          <cell r="BT108">
            <v>60.344191932311396</v>
          </cell>
          <cell r="BU108">
            <v>57.779052759911558</v>
          </cell>
        </row>
        <row r="109">
          <cell r="AN109">
            <v>98.231029430444394</v>
          </cell>
          <cell r="AO109">
            <v>91.009657412213812</v>
          </cell>
          <cell r="AP109">
            <v>99.248293596971891</v>
          </cell>
          <cell r="AQ109">
            <v>104.27430254374521</v>
          </cell>
          <cell r="AR109">
            <v>107.23146289961443</v>
          </cell>
          <cell r="AS109">
            <v>102.3102818695465</v>
          </cell>
          <cell r="AT109">
            <v>113.42165555918362</v>
          </cell>
          <cell r="AU109">
            <v>114.37932031668052</v>
          </cell>
          <cell r="AV109">
            <v>105.24739185647121</v>
          </cell>
          <cell r="AW109">
            <v>110.58567891652163</v>
          </cell>
          <cell r="AX109">
            <v>126.72559198978803</v>
          </cell>
          <cell r="AY109">
            <v>103.4717133992977</v>
          </cell>
          <cell r="AZ109">
            <v>117.34788888421534</v>
          </cell>
          <cell r="BA109">
            <v>112.87901154311402</v>
          </cell>
          <cell r="BB109">
            <v>121.69257744616257</v>
          </cell>
          <cell r="BC109">
            <v>124.96430184926555</v>
          </cell>
          <cell r="BD109">
            <v>113.07399456429349</v>
          </cell>
          <cell r="BE109">
            <v>123.29935770737148</v>
          </cell>
          <cell r="BF109">
            <v>137.1126139054924</v>
          </cell>
          <cell r="BG109">
            <v>126.52642642346896</v>
          </cell>
          <cell r="BH109">
            <v>130.22557461220899</v>
          </cell>
          <cell r="BI109">
            <v>118.32244487992068</v>
          </cell>
          <cell r="BJ109">
            <v>137.2661418741134</v>
          </cell>
          <cell r="BK109">
            <v>127.89355532958311</v>
          </cell>
          <cell r="BL109">
            <v>127.78384791441221</v>
          </cell>
          <cell r="BM109">
            <v>128.64380017781281</v>
          </cell>
          <cell r="BN109">
            <v>138.26209732123505</v>
          </cell>
          <cell r="BO109">
            <v>131.33426367025217</v>
          </cell>
          <cell r="BP109">
            <v>135.86844160397766</v>
          </cell>
          <cell r="BQ109">
            <v>126.93337758977589</v>
          </cell>
          <cell r="BR109">
            <v>167.6370651574336</v>
          </cell>
          <cell r="BS109">
            <v>146.21736868470788</v>
          </cell>
          <cell r="BT109">
            <v>144.7290559357686</v>
          </cell>
          <cell r="BU109">
            <v>153.70900118677105</v>
          </cell>
        </row>
        <row r="110">
          <cell r="AN110">
            <v>54.440138519786878</v>
          </cell>
          <cell r="AO110">
            <v>54.440138519786878</v>
          </cell>
          <cell r="AP110">
            <v>54.440138519786878</v>
          </cell>
          <cell r="AQ110">
            <v>54.440138519786878</v>
          </cell>
          <cell r="AR110">
            <v>56.439304492489349</v>
          </cell>
          <cell r="AS110">
            <v>56.439304492489349</v>
          </cell>
          <cell r="AT110">
            <v>56.439304492489356</v>
          </cell>
          <cell r="AU110">
            <v>56.439304492489342</v>
          </cell>
          <cell r="AV110">
            <v>57.743816701574268</v>
          </cell>
          <cell r="AW110">
            <v>57.743816701574275</v>
          </cell>
          <cell r="AX110">
            <v>57.743816701574275</v>
          </cell>
          <cell r="AY110">
            <v>57.743816701574275</v>
          </cell>
          <cell r="AZ110">
            <v>59.805096308538531</v>
          </cell>
          <cell r="BA110">
            <v>59.805096308538538</v>
          </cell>
          <cell r="BB110">
            <v>59.805096308538545</v>
          </cell>
          <cell r="BC110">
            <v>59.805096308538545</v>
          </cell>
          <cell r="BD110">
            <v>61.124892634782427</v>
          </cell>
          <cell r="BE110">
            <v>61.12489263478242</v>
          </cell>
          <cell r="BF110">
            <v>61.124892634782427</v>
          </cell>
          <cell r="BG110">
            <v>61.12489263478242</v>
          </cell>
          <cell r="BH110">
            <v>59.383921247484878</v>
          </cell>
          <cell r="BI110">
            <v>20.391663857821026</v>
          </cell>
          <cell r="BJ110">
            <v>26.00693737686791</v>
          </cell>
          <cell r="BK110">
            <v>47.001281624560875</v>
          </cell>
          <cell r="BL110">
            <v>62.542512601948758</v>
          </cell>
          <cell r="BM110">
            <v>54.646034215789058</v>
          </cell>
          <cell r="BN110">
            <v>62.542512601948751</v>
          </cell>
          <cell r="BO110">
            <v>62.542512601948758</v>
          </cell>
          <cell r="BP110">
            <v>64.02674708830051</v>
          </cell>
          <cell r="BQ110">
            <v>62.542512601948744</v>
          </cell>
          <cell r="BR110">
            <v>78.937277254462657</v>
          </cell>
          <cell r="BS110">
            <v>78.937277254462671</v>
          </cell>
          <cell r="BT110">
            <v>72.483779267294764</v>
          </cell>
          <cell r="BU110">
            <v>79.974203381191899</v>
          </cell>
        </row>
        <row r="111">
          <cell r="AN111">
            <v>34.056148330135521</v>
          </cell>
          <cell r="AO111">
            <v>40.516021096727982</v>
          </cell>
          <cell r="AP111">
            <v>35.445224361996921</v>
          </cell>
          <cell r="AQ111">
            <v>33.671730293435765</v>
          </cell>
          <cell r="AR111">
            <v>39.078401519686089</v>
          </cell>
          <cell r="AS111">
            <v>41.746776483144927</v>
          </cell>
          <cell r="AT111">
            <v>33.676317138816394</v>
          </cell>
          <cell r="AU111">
            <v>38.036742241102772</v>
          </cell>
          <cell r="AV111">
            <v>38.783754649315476</v>
          </cell>
          <cell r="AW111">
            <v>43.07510101493768</v>
          </cell>
          <cell r="AX111">
            <v>37.004459791531097</v>
          </cell>
          <cell r="AY111">
            <v>41.379320583800933</v>
          </cell>
          <cell r="AZ111">
            <v>40.816713795508939</v>
          </cell>
          <cell r="BA111">
            <v>43.911298446135611</v>
          </cell>
          <cell r="BB111">
            <v>35.865586896059078</v>
          </cell>
          <cell r="BC111">
            <v>39.290984446394987</v>
          </cell>
          <cell r="BD111">
            <v>39.235802212898093</v>
          </cell>
          <cell r="BE111">
            <v>46.115712736553533</v>
          </cell>
          <cell r="BF111">
            <v>40.89326186583893</v>
          </cell>
          <cell r="BG111">
            <v>39.031651611895803</v>
          </cell>
          <cell r="BH111">
            <v>51.614726277156677</v>
          </cell>
          <cell r="BI111">
            <v>48.344982356735251</v>
          </cell>
          <cell r="BJ111">
            <v>43.158510532614848</v>
          </cell>
          <cell r="BK111">
            <v>48.422573760514709</v>
          </cell>
          <cell r="BL111">
            <v>45.386884261542839</v>
          </cell>
          <cell r="BM111">
            <v>59.196623382567822</v>
          </cell>
          <cell r="BN111">
            <v>45.578864928990697</v>
          </cell>
          <cell r="BO111">
            <v>58.403883284098583</v>
          </cell>
          <cell r="BP111">
            <v>55.326884374619247</v>
          </cell>
          <cell r="BQ111">
            <v>61.857355198628227</v>
          </cell>
          <cell r="BR111">
            <v>51.621064301947158</v>
          </cell>
          <cell r="BS111">
            <v>56.55636382311981</v>
          </cell>
          <cell r="BT111">
            <v>53.627326762537834</v>
          </cell>
          <cell r="BU111">
            <v>66.342726754781921</v>
          </cell>
        </row>
        <row r="112">
          <cell r="AN112">
            <v>11.119386949358026</v>
          </cell>
          <cell r="AO112">
            <v>15.519335804051988</v>
          </cell>
          <cell r="AP112">
            <v>11.632922722342995</v>
          </cell>
          <cell r="AQ112">
            <v>9.5869480686372537</v>
          </cell>
          <cell r="AR112">
            <v>14.391537773575971</v>
          </cell>
          <cell r="AS112">
            <v>16.912794350972678</v>
          </cell>
          <cell r="AT112">
            <v>8.6947473662564772</v>
          </cell>
          <cell r="AU112">
            <v>12.907117613962354</v>
          </cell>
          <cell r="AV112">
            <v>13.505197711127094</v>
          </cell>
          <cell r="AW112">
            <v>17.646729108932554</v>
          </cell>
          <cell r="AX112">
            <v>11.425922345993522</v>
          </cell>
          <cell r="AY112">
            <v>15.650271284145234</v>
          </cell>
          <cell r="AZ112">
            <v>14.936266984442256</v>
          </cell>
          <cell r="BA112">
            <v>17.878563254889521</v>
          </cell>
          <cell r="BB112">
            <v>9.6803029943443786</v>
          </cell>
          <cell r="BC112">
            <v>12.952897407729953</v>
          </cell>
          <cell r="BD112">
            <v>12.744020360921695</v>
          </cell>
          <cell r="BE112">
            <v>19.469339191564377</v>
          </cell>
          <cell r="BF112">
            <v>14.092098243764182</v>
          </cell>
          <cell r="BG112">
            <v>12.075506528411337</v>
          </cell>
          <cell r="BH112">
            <v>24.502703530376678</v>
          </cell>
          <cell r="BI112">
            <v>21.076180562361632</v>
          </cell>
          <cell r="BJ112">
            <v>15.732766147987219</v>
          </cell>
          <cell r="BK112">
            <v>20.839730830148689</v>
          </cell>
          <cell r="BL112">
            <v>17.646042902732361</v>
          </cell>
          <cell r="BM112">
            <v>31.296878557951288</v>
          </cell>
          <cell r="BN112">
            <v>17.52007415642656</v>
          </cell>
          <cell r="BO112">
            <v>30.185911997348388</v>
          </cell>
          <cell r="BP112">
            <v>26.948829525640036</v>
          </cell>
          <cell r="BQ112">
            <v>33.318308616289023</v>
          </cell>
          <cell r="BR112">
            <v>22.921047544830273</v>
          </cell>
          <cell r="BS112">
            <v>27.695409087607207</v>
          </cell>
          <cell r="BT112">
            <v>24.604531574142861</v>
          </cell>
          <cell r="BU112">
            <v>37.157183578309358</v>
          </cell>
        </row>
        <row r="113">
          <cell r="AN113">
            <v>24.106105482433627</v>
          </cell>
          <cell r="AO113">
            <v>24.250399104935802</v>
          </cell>
          <cell r="AP113">
            <v>24.395236432210726</v>
          </cell>
          <cell r="AQ113">
            <v>24.540616900480071</v>
          </cell>
          <cell r="AR113">
            <v>24.686863746110117</v>
          </cell>
          <cell r="AS113">
            <v>24.833982132172242</v>
          </cell>
          <cell r="AT113">
            <v>24.981569772559915</v>
          </cell>
          <cell r="AU113">
            <v>25.129624627140412</v>
          </cell>
          <cell r="AV113">
            <v>25.278556938188373</v>
          </cell>
          <cell r="AW113">
            <v>25.428371906005129</v>
          </cell>
          <cell r="AX113">
            <v>25.578537445537567</v>
          </cell>
          <cell r="AY113">
            <v>25.729049299655681</v>
          </cell>
          <cell r="AZ113">
            <v>25.88044681106668</v>
          </cell>
          <cell r="BA113">
            <v>26.032735191246079</v>
          </cell>
          <cell r="BB113">
            <v>26.185283901714698</v>
          </cell>
          <cell r="BC113">
            <v>26.338087038665027</v>
          </cell>
          <cell r="BD113">
            <v>26.491781851976398</v>
          </cell>
          <cell r="BE113">
            <v>26.646373544989157</v>
          </cell>
          <cell r="BF113">
            <v>26.80116362207475</v>
          </cell>
          <cell r="BG113">
            <v>26.956145083484458</v>
          </cell>
          <cell r="BH113">
            <v>27.112022746779992</v>
          </cell>
          <cell r="BI113">
            <v>27.268801794373598</v>
          </cell>
          <cell r="BJ113">
            <v>27.42574438462762</v>
          </cell>
          <cell r="BK113">
            <v>27.582842930366006</v>
          </cell>
          <cell r="BL113">
            <v>27.740841358810467</v>
          </cell>
          <cell r="BM113">
            <v>27.899744824616526</v>
          </cell>
          <cell r="BN113">
            <v>28.058790772564141</v>
          </cell>
          <cell r="BO113">
            <v>28.217971286750178</v>
          </cell>
          <cell r="BP113">
            <v>28.378054848979207</v>
          </cell>
          <cell r="BQ113">
            <v>28.539046582339171</v>
          </cell>
          <cell r="BR113">
            <v>28.700016757116888</v>
          </cell>
          <cell r="BS113">
            <v>28.8609547355126</v>
          </cell>
          <cell r="BT113">
            <v>29.022795188394976</v>
          </cell>
          <cell r="BU113">
            <v>29.185543176472535</v>
          </cell>
        </row>
        <row r="114">
          <cell r="AN114">
            <v>82.000204556019938</v>
          </cell>
          <cell r="AO114">
            <v>88.570426699132753</v>
          </cell>
          <cell r="AP114">
            <v>87.882191995686355</v>
          </cell>
          <cell r="AQ114">
            <v>89.754164835088332</v>
          </cell>
          <cell r="AR114">
            <v>90.754411439410561</v>
          </cell>
          <cell r="AS114">
            <v>91.132238361036002</v>
          </cell>
          <cell r="AT114">
            <v>94.221455311517417</v>
          </cell>
          <cell r="AU114">
            <v>96.382696635859645</v>
          </cell>
          <cell r="AV114">
            <v>95.554838630869327</v>
          </cell>
          <cell r="AW114">
            <v>95.782293922845483</v>
          </cell>
          <cell r="AX114">
            <v>98.716380124330314</v>
          </cell>
          <cell r="AY114">
            <v>100.47460198350035</v>
          </cell>
          <cell r="AZ114">
            <v>102.41845231419559</v>
          </cell>
          <cell r="BA114">
            <v>104.44277090665508</v>
          </cell>
          <cell r="BB114">
            <v>105.71402540485641</v>
          </cell>
          <cell r="BC114">
            <v>114.1005489627843</v>
          </cell>
          <cell r="BD114">
            <v>110.79245463540084</v>
          </cell>
          <cell r="BE114">
            <v>114.16311190585397</v>
          </cell>
          <cell r="BF114">
            <v>116.57085519469749</v>
          </cell>
          <cell r="BG114">
            <v>120.03449671710902</v>
          </cell>
          <cell r="BH114">
            <v>110.20473692814166</v>
          </cell>
          <cell r="BI114">
            <v>110.03111334949259</v>
          </cell>
          <cell r="BJ114">
            <v>117.57633016985304</v>
          </cell>
          <cell r="BK114">
            <v>118.11780672954256</v>
          </cell>
          <cell r="BL114">
            <v>117.2789649410977</v>
          </cell>
          <cell r="BM114">
            <v>123.92129000144786</v>
          </cell>
          <cell r="BN114">
            <v>124.88991779861792</v>
          </cell>
          <cell r="BO114">
            <v>133.36290784108991</v>
          </cell>
          <cell r="BP114">
            <v>128.27916174846976</v>
          </cell>
          <cell r="BQ114">
            <v>132.17205573664967</v>
          </cell>
          <cell r="BR114">
            <v>136.4286912168256</v>
          </cell>
          <cell r="BS114">
            <v>143.32615536337704</v>
          </cell>
          <cell r="BT114">
            <v>139.83428256696783</v>
          </cell>
          <cell r="BU114">
            <v>144.78545532408879</v>
          </cell>
        </row>
        <row r="115">
          <cell r="AN115">
            <v>11.986239479119755</v>
          </cell>
          <cell r="AO115">
            <v>12.045062069494886</v>
          </cell>
          <cell r="AP115">
            <v>12.14277577317192</v>
          </cell>
          <cell r="AQ115">
            <v>12.354043248319348</v>
          </cell>
          <cell r="AR115">
            <v>15.416234942570679</v>
          </cell>
          <cell r="AS115">
            <v>15.445027665109338</v>
          </cell>
          <cell r="AT115">
            <v>15.399182770322849</v>
          </cell>
          <cell r="AU115">
            <v>15.492448734102668</v>
          </cell>
          <cell r="AV115">
            <v>16.070154338021677</v>
          </cell>
          <cell r="AW115">
            <v>16.322223837829156</v>
          </cell>
          <cell r="AX115">
            <v>16.198985647627104</v>
          </cell>
          <cell r="AY115">
            <v>15.980293897343689</v>
          </cell>
          <cell r="AZ115">
            <v>16.9895222712201</v>
          </cell>
          <cell r="BA115">
            <v>17.036106424773283</v>
          </cell>
          <cell r="BB115">
            <v>17.468024529156782</v>
          </cell>
          <cell r="BC115">
            <v>17.506805019438858</v>
          </cell>
          <cell r="BD115">
            <v>17.68518499556404</v>
          </cell>
          <cell r="BE115">
            <v>17.891556241420673</v>
          </cell>
          <cell r="BF115">
            <v>17.813787764111076</v>
          </cell>
          <cell r="BG115">
            <v>17.979714221243476</v>
          </cell>
          <cell r="BH115">
            <v>18.057349842736066</v>
          </cell>
          <cell r="BI115">
            <v>17.677904670880636</v>
          </cell>
          <cell r="BJ115">
            <v>17.613983081129749</v>
          </cell>
          <cell r="BK115">
            <v>17.797769519232123</v>
          </cell>
          <cell r="BL115">
            <v>17.839470854499812</v>
          </cell>
          <cell r="BM115">
            <v>18.20198173791092</v>
          </cell>
          <cell r="BN115">
            <v>18.609608467633276</v>
          </cell>
          <cell r="BO115">
            <v>19.744112283579447</v>
          </cell>
          <cell r="BP115">
            <v>18.879035395325889</v>
          </cell>
          <cell r="BQ115">
            <v>19.359114126090457</v>
          </cell>
          <cell r="BR115">
            <v>20.370092975305941</v>
          </cell>
          <cell r="BS115">
            <v>20.656241166601067</v>
          </cell>
          <cell r="BT115">
            <v>20.137779821361889</v>
          </cell>
          <cell r="BU115">
            <v>19.746743474815748</v>
          </cell>
        </row>
        <row r="116">
          <cell r="AN116">
            <v>65.381827114506677</v>
          </cell>
          <cell r="AO116">
            <v>69.25839099544875</v>
          </cell>
          <cell r="AP116">
            <v>69.476460893656423</v>
          </cell>
          <cell r="AQ116">
            <v>69.520350482228864</v>
          </cell>
          <cell r="AR116">
            <v>69.733509480962056</v>
          </cell>
          <cell r="AS116">
            <v>69.977177460604651</v>
          </cell>
          <cell r="AT116">
            <v>73.004892230086938</v>
          </cell>
          <cell r="AU116">
            <v>74.963502418960445</v>
          </cell>
          <cell r="AV116">
            <v>73.446517602803425</v>
          </cell>
          <cell r="AW116">
            <v>73.308387499254934</v>
          </cell>
          <cell r="AX116">
            <v>76.250061927180155</v>
          </cell>
          <cell r="AY116">
            <v>78.109151384927145</v>
          </cell>
          <cell r="AZ116">
            <v>78.923734127951249</v>
          </cell>
          <cell r="BA116">
            <v>80.779172648408135</v>
          </cell>
          <cell r="BB116">
            <v>81.493913993686562</v>
          </cell>
          <cell r="BC116">
            <v>89.714719659681037</v>
          </cell>
          <cell r="BD116">
            <v>86.098921565806037</v>
          </cell>
          <cell r="BE116">
            <v>89.13145254786069</v>
          </cell>
          <cell r="BF116">
            <v>91.48273231241518</v>
          </cell>
          <cell r="BG116">
            <v>94.643691850880586</v>
          </cell>
          <cell r="BH116">
            <v>84.596969946802375</v>
          </cell>
          <cell r="BI116">
            <v>84.660845746107384</v>
          </cell>
          <cell r="BJ116">
            <v>92.125369819899646</v>
          </cell>
          <cell r="BK116">
            <v>92.335726894876387</v>
          </cell>
          <cell r="BL116">
            <v>91.305080903246193</v>
          </cell>
          <cell r="BM116">
            <v>97.431970319071169</v>
          </cell>
          <cell r="BN116">
            <v>97.837171681381875</v>
          </cell>
          <cell r="BO116">
            <v>105.01692921058003</v>
          </cell>
          <cell r="BP116">
            <v>100.63654725243649</v>
          </cell>
          <cell r="BQ116">
            <v>103.88460960017392</v>
          </cell>
          <cell r="BR116">
            <v>106.96241601144925</v>
          </cell>
          <cell r="BS116">
            <v>113.40272620842541</v>
          </cell>
          <cell r="BT116">
            <v>110.25509413711056</v>
          </cell>
          <cell r="BU116">
            <v>115.41980732023737</v>
          </cell>
        </row>
        <row r="117">
          <cell r="AN117">
            <v>5.1654455663293533</v>
          </cell>
          <cell r="AO117">
            <v>5.2750371731730397</v>
          </cell>
          <cell r="AP117">
            <v>5.3869539076628028</v>
          </cell>
          <cell r="AQ117">
            <v>5.5012451003881493</v>
          </cell>
          <cell r="AR117">
            <v>5.6046670158778182</v>
          </cell>
          <cell r="AS117">
            <v>5.7100332353220233</v>
          </cell>
          <cell r="AT117">
            <v>5.8173803111076525</v>
          </cell>
          <cell r="AU117">
            <v>5.926745482796548</v>
          </cell>
          <cell r="AV117">
            <v>6.0381666900442168</v>
          </cell>
          <cell r="AW117">
            <v>6.1516825857613933</v>
          </cell>
          <cell r="AX117">
            <v>6.2673325495230507</v>
          </cell>
          <cell r="AY117">
            <v>6.3851567012294899</v>
          </cell>
          <cell r="AZ117">
            <v>6.505195915024248</v>
          </cell>
          <cell r="BA117">
            <v>6.627491833473675</v>
          </cell>
          <cell r="BB117">
            <v>6.7520868820130753</v>
          </cell>
          <cell r="BC117">
            <v>6.8790242836644193</v>
          </cell>
          <cell r="BD117">
            <v>7.0083480740307742</v>
          </cell>
          <cell r="BE117">
            <v>7.1401031165725914</v>
          </cell>
          <cell r="BF117">
            <v>7.2743351181712113</v>
          </cell>
          <cell r="BG117">
            <v>7.4110906449849416</v>
          </cell>
          <cell r="BH117">
            <v>7.5504171386032404</v>
          </cell>
          <cell r="BI117">
            <v>7.692362932504567</v>
          </cell>
          <cell r="BJ117">
            <v>7.8369772688236718</v>
          </cell>
          <cell r="BK117">
            <v>7.9843103154340742</v>
          </cell>
          <cell r="BL117">
            <v>8.1344131833517164</v>
          </cell>
          <cell r="BM117">
            <v>8.2873379444657598</v>
          </cell>
          <cell r="BN117">
            <v>8.4431376496027664</v>
          </cell>
          <cell r="BO117">
            <v>8.6018663469304411</v>
          </cell>
          <cell r="BP117">
            <v>8.763579100707382</v>
          </cell>
          <cell r="BQ117">
            <v>8.9283320103853132</v>
          </cell>
          <cell r="BR117">
            <v>9.0961822300704203</v>
          </cell>
          <cell r="BS117">
            <v>9.2671879883505959</v>
          </cell>
          <cell r="BT117">
            <v>9.441408608495383</v>
          </cell>
          <cell r="BU117">
            <v>9.6189045290356887</v>
          </cell>
        </row>
        <row r="118">
          <cell r="AN118">
            <v>151.84474436774025</v>
          </cell>
          <cell r="AO118">
            <v>160.37629047804327</v>
          </cell>
          <cell r="AP118">
            <v>161.48103625605393</v>
          </cell>
          <cell r="AQ118">
            <v>167.32820563382987</v>
          </cell>
          <cell r="AR118">
            <v>167.39317754909516</v>
          </cell>
          <cell r="AS118">
            <v>175.49393799292363</v>
          </cell>
          <cell r="AT118">
            <v>166.63142005876927</v>
          </cell>
          <cell r="AU118">
            <v>160.04131190540801</v>
          </cell>
          <cell r="AV118">
            <v>158.52646330288766</v>
          </cell>
          <cell r="AW118">
            <v>159.83425829605295</v>
          </cell>
          <cell r="AX118">
            <v>165.14235389408572</v>
          </cell>
          <cell r="AY118">
            <v>170.03424676687249</v>
          </cell>
          <cell r="AZ118">
            <v>174.08893368275784</v>
          </cell>
          <cell r="BA118">
            <v>174.01067368756884</v>
          </cell>
          <cell r="BB118">
            <v>175.97401619877729</v>
          </cell>
          <cell r="BC118">
            <v>189.05748038690905</v>
          </cell>
          <cell r="BD118">
            <v>188.80847351265908</v>
          </cell>
          <cell r="BE118">
            <v>215.32236322937322</v>
          </cell>
          <cell r="BF118">
            <v>203.8643826371864</v>
          </cell>
          <cell r="BG118">
            <v>212.38117527143788</v>
          </cell>
          <cell r="BH118">
            <v>205.99622760309174</v>
          </cell>
          <cell r="BI118">
            <v>196.23353939493245</v>
          </cell>
          <cell r="BJ118">
            <v>196.32966274650479</v>
          </cell>
          <cell r="BK118">
            <v>207.53757544222768</v>
          </cell>
          <cell r="BL118">
            <v>212.56290742415945</v>
          </cell>
          <cell r="BM118">
            <v>248.30182256066905</v>
          </cell>
          <cell r="BN118">
            <v>217.88733638659056</v>
          </cell>
          <cell r="BO118">
            <v>235.47864903651094</v>
          </cell>
          <cell r="BP118">
            <v>233.5960814813439</v>
          </cell>
          <cell r="BQ118">
            <v>255.63947288174552</v>
          </cell>
          <cell r="BR118">
            <v>268.81211221528395</v>
          </cell>
          <cell r="BS118">
            <v>264.32246086023281</v>
          </cell>
          <cell r="BT118">
            <v>263.87531789604043</v>
          </cell>
          <cell r="BU118">
            <v>264.93036034802418</v>
          </cell>
        </row>
        <row r="119">
          <cell r="AN119">
            <v>171.40754326637324</v>
          </cell>
          <cell r="AO119">
            <v>175.54267662508258</v>
          </cell>
          <cell r="AP119">
            <v>179.27979164940626</v>
          </cell>
          <cell r="AQ119">
            <v>185.17901567057595</v>
          </cell>
          <cell r="AR119">
            <v>184.85170159542525</v>
          </cell>
          <cell r="AS119">
            <v>193.04369640113444</v>
          </cell>
          <cell r="AT119">
            <v>185.04435139918579</v>
          </cell>
          <cell r="AU119">
            <v>181.07373189891911</v>
          </cell>
          <cell r="AV119">
            <v>181.77094693266025</v>
          </cell>
          <cell r="AW119">
            <v>188.34586103919617</v>
          </cell>
          <cell r="AX119">
            <v>196.41656452656008</v>
          </cell>
          <cell r="AY119">
            <v>199.2916802556087</v>
          </cell>
          <cell r="AZ119">
            <v>203.49409624559672</v>
          </cell>
          <cell r="BA119">
            <v>206.80120666208668</v>
          </cell>
          <cell r="BB119">
            <v>215.89093818551476</v>
          </cell>
          <cell r="BC119">
            <v>227.00136001171705</v>
          </cell>
          <cell r="BD119">
            <v>223.65602112549746</v>
          </cell>
          <cell r="BE119">
            <v>250.70355152243178</v>
          </cell>
          <cell r="BF119">
            <v>251.33696035016519</v>
          </cell>
          <cell r="BG119">
            <v>255.45620451654071</v>
          </cell>
          <cell r="BH119">
            <v>235.21429312199575</v>
          </cell>
          <cell r="BI119">
            <v>201.92512582777178</v>
          </cell>
          <cell r="BJ119">
            <v>242.43432091162779</v>
          </cell>
          <cell r="BK119">
            <v>251.1288630382742</v>
          </cell>
          <cell r="BL119">
            <v>241.92786206360668</v>
          </cell>
          <cell r="BM119">
            <v>264.77486588976802</v>
          </cell>
          <cell r="BN119">
            <v>263.99199455171356</v>
          </cell>
          <cell r="BO119">
            <v>279.06993663255747</v>
          </cell>
          <cell r="BP119">
            <v>260.60064943222744</v>
          </cell>
          <cell r="BQ119">
            <v>285.36769091923566</v>
          </cell>
          <cell r="BR119">
            <v>303.14589335102346</v>
          </cell>
          <cell r="BS119">
            <v>318.60495510022844</v>
          </cell>
          <cell r="BT119">
            <v>296.82748427345825</v>
          </cell>
          <cell r="BU119">
            <v>300.54174232348254</v>
          </cell>
        </row>
        <row r="120">
          <cell r="AN120">
            <v>-15.562320603827093</v>
          </cell>
          <cell r="AO120">
            <v>-16.385694974702531</v>
          </cell>
          <cell r="AP120">
            <v>-18.128418200588381</v>
          </cell>
          <cell r="AQ120">
            <v>-18.283216148156107</v>
          </cell>
          <cell r="AR120">
            <v>-17.458524046330094</v>
          </cell>
          <cell r="AS120">
            <v>-17.54975840821081</v>
          </cell>
          <cell r="AT120">
            <v>-18.41293134041652</v>
          </cell>
          <cell r="AU120">
            <v>-21.032419993511105</v>
          </cell>
          <cell r="AV120">
            <v>-23.244483629772578</v>
          </cell>
          <cell r="AW120">
            <v>-28.511602743143211</v>
          </cell>
          <cell r="AX120">
            <v>-31.274210632474379</v>
          </cell>
          <cell r="AY120">
            <v>-29.257433488736215</v>
          </cell>
          <cell r="AZ120">
            <v>-29.405162562838868</v>
          </cell>
          <cell r="BA120">
            <v>-32.790532974517831</v>
          </cell>
          <cell r="BB120">
            <v>-39.916921986737471</v>
          </cell>
          <cell r="BC120">
            <v>-37.943879624808005</v>
          </cell>
          <cell r="BD120">
            <v>-34.847547612838383</v>
          </cell>
          <cell r="BE120">
            <v>-35.381188293058564</v>
          </cell>
          <cell r="BF120">
            <v>-47.472577712978804</v>
          </cell>
          <cell r="BG120">
            <v>-44.575029245102833</v>
          </cell>
          <cell r="BH120">
            <v>-30.718065518904005</v>
          </cell>
          <cell r="BI120">
            <v>-7.1915864328393297</v>
          </cell>
          <cell r="BJ120">
            <v>-47.604658165122999</v>
          </cell>
          <cell r="BK120">
            <v>-45.091287596046527</v>
          </cell>
          <cell r="BL120">
            <v>-30.86495463944722</v>
          </cell>
          <cell r="BM120">
            <v>-17.973043329098978</v>
          </cell>
          <cell r="BN120">
            <v>-47.604658165122999</v>
          </cell>
          <cell r="BO120">
            <v>-45.091287596046527</v>
          </cell>
          <cell r="BP120">
            <v>-28.504567950883541</v>
          </cell>
          <cell r="BQ120">
            <v>-31.228218037490144</v>
          </cell>
          <cell r="BR120">
            <v>-35.833781135739521</v>
          </cell>
          <cell r="BS120">
            <v>-55.782494239995629</v>
          </cell>
          <cell r="BT120">
            <v>-34.452166377417853</v>
          </cell>
          <cell r="BU120">
            <v>-37.111381975458364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irumva Evariste" id="{19635F84-1099-4CA7-8BA0-C13D23A2FEF1}" userId="S::emanirumva@icipe.org::fbb618da-2b8a-4a66-b30b-f0e53196d74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Z1" dT="2023-09-12T18:29:08.29" personId="{19635F84-1099-4CA7-8BA0-C13D23A2FEF1}" id="{BFEBE6F9-A866-4191-B742-095AF201322D}">
    <text>ARIMA Forecast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37" dT="2023-09-06T18:51:59.20" personId="{19635F84-1099-4CA7-8BA0-C13D23A2FEF1}" id="{94B7F75C-2592-405A-B770-2E461B715033}">
    <text>See BOP intermediate IMPORTS BY ECONOMIC DESTINATION  2022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7AE5-5B94-4134-953D-FB5D9554E7D6}">
  <dimension ref="A1:BN43"/>
  <sheetViews>
    <sheetView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BM10" sqref="BM10:BM20"/>
    </sheetView>
  </sheetViews>
  <sheetFormatPr defaultRowHeight="14.75"/>
  <cols>
    <col min="1" max="1" width="59.26953125" bestFit="1" customWidth="1"/>
    <col min="2" max="3" width="6.453125" bestFit="1" customWidth="1"/>
    <col min="4" max="4" width="6.7265625" bestFit="1" customWidth="1"/>
    <col min="5" max="5" width="6.453125" bestFit="1" customWidth="1"/>
    <col min="6" max="6" width="6.7265625" bestFit="1" customWidth="1"/>
    <col min="7" max="7" width="6.453125" bestFit="1" customWidth="1"/>
    <col min="8" max="8" width="6" bestFit="1" customWidth="1"/>
    <col min="9" max="10" width="6.7265625" bestFit="1" customWidth="1"/>
    <col min="11" max="12" width="6.453125" bestFit="1" customWidth="1"/>
    <col min="13" max="13" width="6.7265625" bestFit="1" customWidth="1"/>
    <col min="14" max="15" width="6.453125" bestFit="1" customWidth="1"/>
    <col min="16" max="16" width="6.7265625" bestFit="1" customWidth="1"/>
    <col min="17" max="17" width="6.453125" bestFit="1" customWidth="1"/>
    <col min="18" max="18" width="6.7265625" bestFit="1" customWidth="1"/>
    <col min="19" max="19" width="6.453125" bestFit="1" customWidth="1"/>
    <col min="20" max="20" width="6" bestFit="1" customWidth="1"/>
    <col min="21" max="22" width="6.7265625" bestFit="1" customWidth="1"/>
    <col min="23" max="24" width="6.453125" bestFit="1" customWidth="1"/>
    <col min="25" max="56" width="8" customWidth="1"/>
    <col min="57" max="57" width="7.7265625" bestFit="1" customWidth="1"/>
    <col min="64" max="64" width="64.90625" customWidth="1"/>
    <col min="66" max="66" width="57" bestFit="1" customWidth="1"/>
  </cols>
  <sheetData>
    <row r="1" spans="1:66" ht="16.25" thickTop="1" thickBot="1">
      <c r="B1" s="493">
        <v>44206</v>
      </c>
      <c r="C1" s="493">
        <v>44237</v>
      </c>
      <c r="D1" s="493">
        <v>44265</v>
      </c>
      <c r="E1" s="493">
        <v>44296</v>
      </c>
      <c r="F1" s="493">
        <v>44326</v>
      </c>
      <c r="G1" s="493">
        <v>44357</v>
      </c>
      <c r="H1" s="493">
        <v>44387</v>
      </c>
      <c r="I1" s="493">
        <v>44418</v>
      </c>
      <c r="J1" s="493">
        <v>44449</v>
      </c>
      <c r="K1" s="493">
        <v>44479</v>
      </c>
      <c r="L1" s="493">
        <v>44510</v>
      </c>
      <c r="M1" s="493">
        <v>44540</v>
      </c>
      <c r="N1" s="493">
        <v>44571</v>
      </c>
      <c r="O1" s="493">
        <v>44602</v>
      </c>
      <c r="P1" s="493">
        <v>44630</v>
      </c>
      <c r="Q1" s="493">
        <v>44661</v>
      </c>
      <c r="R1" s="493">
        <v>44691</v>
      </c>
      <c r="S1" s="493">
        <v>44722</v>
      </c>
      <c r="T1" s="493">
        <v>44752</v>
      </c>
      <c r="U1" s="493">
        <v>44783</v>
      </c>
      <c r="V1" s="493">
        <v>44814</v>
      </c>
      <c r="W1" s="493">
        <v>44844</v>
      </c>
      <c r="X1" s="493">
        <v>44875</v>
      </c>
      <c r="Y1" s="494">
        <v>44905</v>
      </c>
      <c r="Z1" s="494">
        <v>44927</v>
      </c>
      <c r="AA1" s="494">
        <v>44958</v>
      </c>
      <c r="AB1" s="494">
        <v>44986</v>
      </c>
      <c r="AC1" s="494">
        <v>45017</v>
      </c>
      <c r="AD1" s="494">
        <v>45047</v>
      </c>
      <c r="AE1" s="494">
        <v>45078</v>
      </c>
      <c r="AF1" s="494">
        <v>45108</v>
      </c>
      <c r="AG1" s="494">
        <v>45139</v>
      </c>
      <c r="AH1" s="494">
        <v>45170</v>
      </c>
      <c r="AI1" s="494">
        <v>45200</v>
      </c>
      <c r="AJ1" s="494">
        <v>45231</v>
      </c>
      <c r="AK1" s="494">
        <v>45261</v>
      </c>
      <c r="AL1" s="494">
        <v>45292</v>
      </c>
      <c r="AM1" s="494">
        <v>45323</v>
      </c>
      <c r="AN1" s="494">
        <v>45352</v>
      </c>
      <c r="AO1" s="494">
        <v>45383</v>
      </c>
      <c r="AP1" s="494">
        <v>45413</v>
      </c>
      <c r="AQ1" s="494">
        <v>45444</v>
      </c>
      <c r="AR1" s="494">
        <v>45474</v>
      </c>
      <c r="AS1" s="494">
        <v>45505</v>
      </c>
      <c r="AT1" s="494">
        <v>45536</v>
      </c>
      <c r="AU1" s="494">
        <v>45566</v>
      </c>
      <c r="AV1" s="494">
        <v>45597</v>
      </c>
      <c r="AW1" s="494">
        <v>45627</v>
      </c>
      <c r="AX1" s="649">
        <v>45667</v>
      </c>
      <c r="AY1" s="649">
        <v>45698</v>
      </c>
      <c r="AZ1" s="649">
        <v>45726</v>
      </c>
      <c r="BA1" s="649">
        <v>45757</v>
      </c>
      <c r="BB1" s="649">
        <v>45787</v>
      </c>
      <c r="BC1" s="649">
        <v>45818</v>
      </c>
      <c r="BD1" s="649">
        <v>45848</v>
      </c>
      <c r="BE1" s="649">
        <v>45879</v>
      </c>
      <c r="BF1" s="727">
        <v>45910</v>
      </c>
      <c r="BG1" s="727">
        <v>45940</v>
      </c>
      <c r="BH1" s="727">
        <v>45971</v>
      </c>
      <c r="BI1" s="727">
        <v>46001</v>
      </c>
      <c r="BJ1" s="727">
        <v>46032</v>
      </c>
    </row>
    <row r="2" spans="1:66" ht="15.5" thickTop="1">
      <c r="A2" s="2" t="s">
        <v>0</v>
      </c>
      <c r="B2" s="50">
        <v>126.9114495393203</v>
      </c>
      <c r="C2" s="50">
        <v>127.37657361777117</v>
      </c>
      <c r="D2" s="50">
        <v>129.1500881701206</v>
      </c>
      <c r="E2" s="50">
        <v>129.35799642733139</v>
      </c>
      <c r="F2" s="50">
        <v>128.74000532922452</v>
      </c>
      <c r="G2" s="50">
        <v>128.47629596400816</v>
      </c>
      <c r="H2" s="50">
        <v>128.43822880932805</v>
      </c>
      <c r="I2" s="50">
        <v>128.76422672993615</v>
      </c>
      <c r="J2" s="50">
        <v>129.54091667025742</v>
      </c>
      <c r="K2" s="50">
        <v>130.37250659461583</v>
      </c>
      <c r="L2" s="50">
        <v>129.66065655278896</v>
      </c>
      <c r="M2" s="50">
        <v>129.70577052726151</v>
      </c>
      <c r="N2" s="50">
        <v>132.40200478575608</v>
      </c>
      <c r="O2" s="50">
        <v>134.75045451891938</v>
      </c>
      <c r="P2" s="50">
        <v>138.8780404558313</v>
      </c>
      <c r="Q2" s="50">
        <v>142.20278138678788</v>
      </c>
      <c r="R2" s="50">
        <v>144.92668200943464</v>
      </c>
      <c r="S2" s="50">
        <v>146.03060083734485</v>
      </c>
      <c r="T2" s="50">
        <v>148.44115495064383</v>
      </c>
      <c r="U2" s="50">
        <v>149.20044870698158</v>
      </c>
      <c r="V2" s="50">
        <v>152.40450200016446</v>
      </c>
      <c r="W2" s="50">
        <v>156.53323739274313</v>
      </c>
      <c r="X2" s="50">
        <v>157.80845344566993</v>
      </c>
      <c r="Y2" s="50">
        <v>157.76337574878099</v>
      </c>
      <c r="Z2" s="50">
        <v>159.79331272398019</v>
      </c>
      <c r="AA2" s="50">
        <v>162.72619193822396</v>
      </c>
      <c r="AB2" s="50">
        <v>165.6494613795941</v>
      </c>
      <c r="AC2" s="50">
        <v>167.51534269045081</v>
      </c>
      <c r="AD2" s="50">
        <v>165.36750307834262</v>
      </c>
      <c r="AE2" s="50">
        <v>166.02466884109833</v>
      </c>
      <c r="AF2" s="50">
        <v>166.07225372861382</v>
      </c>
      <c r="AG2" s="50">
        <v>167.50281074377003</v>
      </c>
      <c r="AH2" s="50">
        <v>173.55876051168411</v>
      </c>
      <c r="AI2" s="50">
        <v>174.03130827958137</v>
      </c>
      <c r="AJ2" s="50">
        <v>172.25600000748739</v>
      </c>
      <c r="AK2" s="50">
        <v>167.93567679581503</v>
      </c>
      <c r="AL2" s="50">
        <v>167.71951533310548</v>
      </c>
      <c r="AM2" s="50">
        <v>170.75182941846788</v>
      </c>
      <c r="AN2" s="50">
        <v>172.5749880948635</v>
      </c>
      <c r="AO2" s="50">
        <v>175.03787913250756</v>
      </c>
      <c r="AP2" s="50">
        <v>175.0212205415329</v>
      </c>
      <c r="AQ2" s="50">
        <v>174.39976724070925</v>
      </c>
      <c r="AR2" s="50">
        <v>174.15235730383534</v>
      </c>
      <c r="AS2" s="50">
        <v>175.79548136254246</v>
      </c>
      <c r="AT2" s="50">
        <v>177.92630707649755</v>
      </c>
      <c r="AU2" s="50">
        <v>180.6</v>
      </c>
      <c r="AV2" s="50">
        <v>180.80922183173138</v>
      </c>
      <c r="AW2" s="50">
        <v>179.31969933164473</v>
      </c>
      <c r="AX2" s="50">
        <v>180.21178082694794</v>
      </c>
      <c r="AY2" s="50">
        <v>181.42933484486269</v>
      </c>
      <c r="AZ2" s="70">
        <v>183.85346787345841</v>
      </c>
      <c r="BA2" s="70">
        <v>186.01397133844065</v>
      </c>
      <c r="BB2" s="70">
        <v>187.08379090513279</v>
      </c>
      <c r="BC2" s="70">
        <v>186.66721778106253</v>
      </c>
      <c r="BD2" s="70">
        <v>186.9016617083733</v>
      </c>
      <c r="BE2" s="70">
        <v>188.28822107798865</v>
      </c>
      <c r="BF2" s="728">
        <v>190.87420932789888</v>
      </c>
      <c r="BG2" s="728">
        <v>193.39084002336142</v>
      </c>
      <c r="BH2" s="728">
        <v>193.74242091451629</v>
      </c>
      <c r="BI2" s="728">
        <v>193.71328824754318</v>
      </c>
      <c r="BJ2" s="728">
        <v>196.32439118665604</v>
      </c>
      <c r="BK2" s="650">
        <f>BI20/AW20-1</f>
        <v>7.036802266674913E-2</v>
      </c>
      <c r="BL2" s="16" t="s">
        <v>18</v>
      </c>
      <c r="BM2" s="650">
        <f>BK3</f>
        <v>5.4944103706788594E-2</v>
      </c>
      <c r="BN2" s="14" t="s">
        <v>19</v>
      </c>
    </row>
    <row r="3" spans="1:66">
      <c r="A3" s="3" t="s">
        <v>1</v>
      </c>
      <c r="B3" s="51">
        <v>139.22676623019882</v>
      </c>
      <c r="C3" s="51">
        <v>139.7803800054451</v>
      </c>
      <c r="D3" s="51">
        <v>143.85495078675865</v>
      </c>
      <c r="E3" s="51">
        <v>144.57343751799078</v>
      </c>
      <c r="F3" s="51">
        <v>141.27954845952189</v>
      </c>
      <c r="G3" s="51">
        <v>140.20379793705683</v>
      </c>
      <c r="H3" s="51">
        <v>140.29020540930085</v>
      </c>
      <c r="I3" s="51">
        <v>140.06467050913778</v>
      </c>
      <c r="J3" s="51">
        <v>142.38102748861951</v>
      </c>
      <c r="K3" s="51">
        <v>143.01946917961089</v>
      </c>
      <c r="L3" s="51">
        <v>139.1938194909124</v>
      </c>
      <c r="M3" s="51">
        <v>138.31136793626413</v>
      </c>
      <c r="N3" s="51">
        <v>145.42646284605252</v>
      </c>
      <c r="O3" s="51">
        <v>150.79933821037804</v>
      </c>
      <c r="P3" s="51">
        <v>158.47997072219465</v>
      </c>
      <c r="Q3" s="51">
        <v>167.24756272080577</v>
      </c>
      <c r="R3" s="51">
        <v>175.52663774853917</v>
      </c>
      <c r="S3" s="51">
        <v>175.34164361766554</v>
      </c>
      <c r="T3" s="51">
        <v>180.41188085727799</v>
      </c>
      <c r="U3" s="51">
        <v>180.93181142399013</v>
      </c>
      <c r="V3" s="51">
        <v>189.63583612510484</v>
      </c>
      <c r="W3" s="51">
        <v>199.77002791682438</v>
      </c>
      <c r="X3" s="51">
        <v>202.34608458658411</v>
      </c>
      <c r="Y3" s="51">
        <v>199.6443371122545</v>
      </c>
      <c r="Z3" s="51">
        <v>205.03169852787775</v>
      </c>
      <c r="AA3" s="51">
        <v>214.67695274751077</v>
      </c>
      <c r="AB3" s="51">
        <v>223.96085972501993</v>
      </c>
      <c r="AC3" s="51">
        <v>228.79355939011742</v>
      </c>
      <c r="AD3" s="51">
        <v>220.12712674634031</v>
      </c>
      <c r="AE3" s="51">
        <v>221.23709264350009</v>
      </c>
      <c r="AF3" s="51">
        <v>221.53487358193564</v>
      </c>
      <c r="AG3" s="51">
        <v>225.47528056435186</v>
      </c>
      <c r="AH3" s="51">
        <v>245.83827359131104</v>
      </c>
      <c r="AI3" s="51">
        <v>245.82165010365597</v>
      </c>
      <c r="AJ3" s="51">
        <v>237.74032865712854</v>
      </c>
      <c r="AK3" s="51">
        <v>222.92408118040339</v>
      </c>
      <c r="AL3" s="51">
        <v>220.1038988000299</v>
      </c>
      <c r="AM3" s="51">
        <v>228.20112768698132</v>
      </c>
      <c r="AN3" s="51">
        <v>229.49192300237706</v>
      </c>
      <c r="AO3" s="51">
        <v>232.37814483698733</v>
      </c>
      <c r="AP3" s="51">
        <v>230.562969461579</v>
      </c>
      <c r="AQ3" s="51">
        <v>228.14728132392369</v>
      </c>
      <c r="AR3" s="51">
        <v>224.82086913877106</v>
      </c>
      <c r="AS3" s="51">
        <v>229.04457057116645</v>
      </c>
      <c r="AT3" s="51">
        <v>234.7133042694783</v>
      </c>
      <c r="AU3" s="51">
        <v>243.4</v>
      </c>
      <c r="AV3" s="51">
        <v>242.70684712665729</v>
      </c>
      <c r="AW3" s="51">
        <v>236.20753673999897</v>
      </c>
      <c r="AX3" s="51">
        <v>235.89028146355906</v>
      </c>
      <c r="AY3" s="51">
        <v>238.50490877956497</v>
      </c>
      <c r="AZ3" s="51">
        <v>244.2030843378823</v>
      </c>
      <c r="BA3" s="51">
        <v>250.68292323922111</v>
      </c>
      <c r="BB3" s="51">
        <v>251.84198215669954</v>
      </c>
      <c r="BC3" s="51">
        <v>248.01315072454301</v>
      </c>
      <c r="BD3" s="51">
        <v>239.29056487027248</v>
      </c>
      <c r="BE3" s="51">
        <v>241.36483703943617</v>
      </c>
      <c r="BF3" s="728">
        <v>244.4983738526193</v>
      </c>
      <c r="BG3" s="728">
        <v>247.23447532506611</v>
      </c>
      <c r="BH3" s="728">
        <v>246.21981830731704</v>
      </c>
      <c r="BI3" s="728">
        <v>244.76650956186938</v>
      </c>
      <c r="BJ3" s="728">
        <v>248.45717923075662</v>
      </c>
      <c r="BK3" s="650">
        <f t="shared" ref="BK3:BK19" si="0">BI21/AW21-1</f>
        <v>5.4944103706788594E-2</v>
      </c>
      <c r="BL3" s="16" t="s">
        <v>20</v>
      </c>
      <c r="BM3" s="650">
        <f>BK2</f>
        <v>7.036802266674913E-2</v>
      </c>
      <c r="BN3" s="4" t="s">
        <v>21</v>
      </c>
    </row>
    <row r="4" spans="1:66">
      <c r="A4" s="1" t="s">
        <v>2</v>
      </c>
      <c r="B4" s="52">
        <v>133.07469185767212</v>
      </c>
      <c r="C4" s="52">
        <v>132.72374371097644</v>
      </c>
      <c r="D4" s="52">
        <v>132.4236111470494</v>
      </c>
      <c r="E4" s="52">
        <v>130.36768160522681</v>
      </c>
      <c r="F4" s="52">
        <v>130.5582252026588</v>
      </c>
      <c r="G4" s="52">
        <v>129.44976218733507</v>
      </c>
      <c r="H4" s="52">
        <v>129.60427070688584</v>
      </c>
      <c r="I4" s="52">
        <v>129.1532121631673</v>
      </c>
      <c r="J4" s="52">
        <v>129.13067926296546</v>
      </c>
      <c r="K4" s="52">
        <v>129.20900923989308</v>
      </c>
      <c r="L4" s="52">
        <v>130.68226328015572</v>
      </c>
      <c r="M4" s="52">
        <v>133.95541310061677</v>
      </c>
      <c r="N4" s="52">
        <v>136.75849603883492</v>
      </c>
      <c r="O4" s="52">
        <v>139.09349312647595</v>
      </c>
      <c r="P4" s="52">
        <v>142.92634371999034</v>
      </c>
      <c r="Q4" s="52">
        <v>148.46382788934864</v>
      </c>
      <c r="R4" s="52">
        <v>155.60201120598285</v>
      </c>
      <c r="S4" s="52">
        <v>159.92204919938882</v>
      </c>
      <c r="T4" s="52">
        <v>163.69946736966472</v>
      </c>
      <c r="U4" s="52">
        <v>165.12547987188762</v>
      </c>
      <c r="V4" s="52">
        <v>176.7133114314928</v>
      </c>
      <c r="W4" s="52">
        <v>182.11360957319252</v>
      </c>
      <c r="X4" s="52">
        <v>185.4059025090811</v>
      </c>
      <c r="Y4" s="52">
        <v>190.27656902418801</v>
      </c>
      <c r="Z4" s="52">
        <v>191.91463918577264</v>
      </c>
      <c r="AA4" s="52">
        <v>190.47700520257158</v>
      </c>
      <c r="AB4" s="52">
        <v>191.94078697055042</v>
      </c>
      <c r="AC4" s="52">
        <v>194.33395302123157</v>
      </c>
      <c r="AD4" s="52">
        <v>177.3409937736518</v>
      </c>
      <c r="AE4" s="52">
        <v>180.81605089468545</v>
      </c>
      <c r="AF4" s="52">
        <v>182.20393107836711</v>
      </c>
      <c r="AG4" s="52">
        <v>183.03317524610992</v>
      </c>
      <c r="AH4" s="52">
        <v>185.23705176243098</v>
      </c>
      <c r="AI4" s="52">
        <v>187.48472583468552</v>
      </c>
      <c r="AJ4" s="52">
        <v>189.0617974612143</v>
      </c>
      <c r="AK4" s="52">
        <v>189.18632168671633</v>
      </c>
      <c r="AL4" s="52">
        <v>190.49675422503992</v>
      </c>
      <c r="AM4" s="52">
        <v>188.70338164253073</v>
      </c>
      <c r="AN4" s="52">
        <v>187.65260623160324</v>
      </c>
      <c r="AO4" s="52">
        <v>195.89768328587985</v>
      </c>
      <c r="AP4" s="52">
        <v>186.96301634829328</v>
      </c>
      <c r="AQ4" s="52">
        <v>182.12067033199611</v>
      </c>
      <c r="AR4" s="52">
        <v>180.14300133578558</v>
      </c>
      <c r="AS4" s="52">
        <v>182.15218896634525</v>
      </c>
      <c r="AT4" s="52">
        <v>181.8233548505319</v>
      </c>
      <c r="AU4" s="52">
        <v>184.3</v>
      </c>
      <c r="AV4" s="52">
        <v>184.67509849105826</v>
      </c>
      <c r="AW4" s="52">
        <v>185.82101258225111</v>
      </c>
      <c r="AX4" s="52">
        <v>187.47398457459474</v>
      </c>
      <c r="AY4" s="52">
        <v>187.57921105680708</v>
      </c>
      <c r="AZ4" s="52">
        <v>188.53810088843318</v>
      </c>
      <c r="BA4" s="52">
        <v>191.04860657912741</v>
      </c>
      <c r="BB4" s="52">
        <v>195.35127793425102</v>
      </c>
      <c r="BC4" s="52">
        <v>196.42578309369844</v>
      </c>
      <c r="BD4" s="52">
        <v>196.19535307571994</v>
      </c>
      <c r="BE4" s="52">
        <v>197.35373097392159</v>
      </c>
      <c r="BF4" s="728">
        <v>199.9964438571113</v>
      </c>
      <c r="BG4" s="728">
        <v>203.3215407385334</v>
      </c>
      <c r="BH4" s="728">
        <v>208.22166660070511</v>
      </c>
      <c r="BI4" s="728">
        <v>208.82380057091365</v>
      </c>
      <c r="BJ4" s="728">
        <v>208.55581907366013</v>
      </c>
      <c r="BK4" s="650">
        <f t="shared" si="0"/>
        <v>5.8088447024787992E-2</v>
      </c>
      <c r="BL4" s="16" t="s">
        <v>22</v>
      </c>
      <c r="BM4" s="650">
        <f>BK5</f>
        <v>0.2688991040726969</v>
      </c>
      <c r="BN4" s="4" t="s">
        <v>23</v>
      </c>
    </row>
    <row r="5" spans="1:66">
      <c r="A5" s="1" t="s">
        <v>3</v>
      </c>
      <c r="B5" s="52">
        <v>153.9013944168619</v>
      </c>
      <c r="C5" s="52">
        <v>154.6056811287317</v>
      </c>
      <c r="D5" s="52">
        <v>154.70202436268139</v>
      </c>
      <c r="E5" s="52">
        <v>154.85220735412551</v>
      </c>
      <c r="F5" s="52">
        <v>155.31881143032459</v>
      </c>
      <c r="G5" s="52">
        <v>155.73177861252563</v>
      </c>
      <c r="H5" s="52">
        <v>155.85834068117279</v>
      </c>
      <c r="I5" s="52">
        <v>155.32773964719027</v>
      </c>
      <c r="J5" s="52">
        <v>157.90731086226234</v>
      </c>
      <c r="K5" s="52">
        <v>162.72687120694587</v>
      </c>
      <c r="L5" s="52">
        <v>163.16041281166903</v>
      </c>
      <c r="M5" s="52">
        <v>163.46178516594642</v>
      </c>
      <c r="N5" s="52">
        <v>165.02677033057458</v>
      </c>
      <c r="O5" s="52">
        <v>164.71002998962769</v>
      </c>
      <c r="P5" s="52">
        <v>165.60763559825307</v>
      </c>
      <c r="Q5" s="52">
        <v>170.58912889355432</v>
      </c>
      <c r="R5" s="52">
        <v>172.3742096305987</v>
      </c>
      <c r="S5" s="52">
        <v>181.36261475440125</v>
      </c>
      <c r="T5" s="52">
        <v>183.88900056412078</v>
      </c>
      <c r="U5" s="52">
        <v>185.42379758015861</v>
      </c>
      <c r="V5" s="52">
        <v>186.71754849032806</v>
      </c>
      <c r="W5" s="52">
        <v>187.12997360871302</v>
      </c>
      <c r="X5" s="52">
        <v>186.54654618696307</v>
      </c>
      <c r="Y5" s="52">
        <v>188.26231662399024</v>
      </c>
      <c r="Z5" s="52">
        <v>187.45074700943022</v>
      </c>
      <c r="AA5" s="52">
        <v>187.84086818061036</v>
      </c>
      <c r="AB5" s="52">
        <v>193.48713558140014</v>
      </c>
      <c r="AC5" s="52">
        <v>201.40759437266885</v>
      </c>
      <c r="AD5" s="52">
        <v>201.39707096356997</v>
      </c>
      <c r="AE5" s="52">
        <v>205.58786043485452</v>
      </c>
      <c r="AF5" s="52">
        <v>206.09583496356097</v>
      </c>
      <c r="AG5" s="52">
        <v>205.72964943774252</v>
      </c>
      <c r="AH5" s="52">
        <v>207.27788905494981</v>
      </c>
      <c r="AI5" s="52">
        <v>207.2910351514445</v>
      </c>
      <c r="AJ5" s="52">
        <v>208.39521390748325</v>
      </c>
      <c r="AK5" s="52">
        <v>209.63598866228483</v>
      </c>
      <c r="AL5" s="52">
        <v>215.05792580440576</v>
      </c>
      <c r="AM5" s="52">
        <v>219.93418490307306</v>
      </c>
      <c r="AN5" s="52">
        <v>221.20029802637359</v>
      </c>
      <c r="AO5" s="52">
        <v>223.8706399851265</v>
      </c>
      <c r="AP5" s="52">
        <v>225.56740084495451</v>
      </c>
      <c r="AQ5" s="52">
        <v>226.78716629321548</v>
      </c>
      <c r="AR5" s="52">
        <v>227.81796477354166</v>
      </c>
      <c r="AS5" s="52">
        <v>237.18729087228701</v>
      </c>
      <c r="AT5" s="52">
        <v>248.51192765737954</v>
      </c>
      <c r="AU5" s="52">
        <v>253.8</v>
      </c>
      <c r="AV5" s="52">
        <v>258.32662263365103</v>
      </c>
      <c r="AW5" s="52">
        <v>262.96270789090471</v>
      </c>
      <c r="AX5" s="52">
        <v>280.97382117320871</v>
      </c>
      <c r="AY5" s="52">
        <v>293.88027992698028</v>
      </c>
      <c r="AZ5" s="52">
        <v>297.19214034258709</v>
      </c>
      <c r="BA5" s="52">
        <v>299.6352963889471</v>
      </c>
      <c r="BB5" s="52">
        <v>298.97138808858244</v>
      </c>
      <c r="BC5" s="52">
        <v>299.0369931923529</v>
      </c>
      <c r="BD5" s="52">
        <v>297.64641009379591</v>
      </c>
      <c r="BE5" s="52">
        <v>297.54566762569885</v>
      </c>
      <c r="BF5" s="728">
        <v>299.03785005283999</v>
      </c>
      <c r="BG5" s="728">
        <v>302.45491175615115</v>
      </c>
      <c r="BH5" s="728">
        <v>305.90247362650501</v>
      </c>
      <c r="BI5" s="728">
        <v>307.31775845699639</v>
      </c>
      <c r="BJ5" s="728">
        <v>318.40504964136477</v>
      </c>
      <c r="BK5" s="650">
        <f t="shared" si="0"/>
        <v>0.2688991040726969</v>
      </c>
      <c r="BL5" s="16" t="s">
        <v>24</v>
      </c>
      <c r="BM5" s="650">
        <f>BK2</f>
        <v>7.036802266674913E-2</v>
      </c>
      <c r="BN5" s="4" t="s">
        <v>25</v>
      </c>
    </row>
    <row r="6" spans="1:66" ht="15.5" thickBot="1">
      <c r="A6" s="1" t="s">
        <v>4</v>
      </c>
      <c r="B6" s="52">
        <v>125.22699226920631</v>
      </c>
      <c r="C6" s="52">
        <v>122.72322844206023</v>
      </c>
      <c r="D6" s="52">
        <v>122.93953451997682</v>
      </c>
      <c r="E6" s="52">
        <v>122.28342868223304</v>
      </c>
      <c r="F6" s="52">
        <v>122.86342748229913</v>
      </c>
      <c r="G6" s="52">
        <v>123.04829272017835</v>
      </c>
      <c r="H6" s="52">
        <v>122.38020963795188</v>
      </c>
      <c r="I6" s="52">
        <v>122.85124476491723</v>
      </c>
      <c r="J6" s="52">
        <v>128.10854312012836</v>
      </c>
      <c r="K6" s="52">
        <v>137.88027188689952</v>
      </c>
      <c r="L6" s="52">
        <v>135.98682672909663</v>
      </c>
      <c r="M6" s="52">
        <v>127.45604879105888</v>
      </c>
      <c r="N6" s="52">
        <v>128.56009221513952</v>
      </c>
      <c r="O6" s="52">
        <v>126.39626601405165</v>
      </c>
      <c r="P6" s="52">
        <v>127.51763795224261</v>
      </c>
      <c r="Q6" s="52">
        <v>129.19837299223246</v>
      </c>
      <c r="R6" s="52">
        <v>131.92675570853393</v>
      </c>
      <c r="S6" s="52">
        <v>134.36405220060919</v>
      </c>
      <c r="T6" s="52">
        <v>136.07349735897304</v>
      </c>
      <c r="U6" s="52">
        <v>138.37648386774518</v>
      </c>
      <c r="V6" s="52">
        <v>166.41445569773342</v>
      </c>
      <c r="W6" s="52">
        <v>171.90401327383404</v>
      </c>
      <c r="X6" s="52">
        <v>170.19453181566152</v>
      </c>
      <c r="Y6" s="52">
        <v>164.55212160968446</v>
      </c>
      <c r="Z6" s="52">
        <v>159.73191221424497</v>
      </c>
      <c r="AA6" s="52">
        <v>158.16636051717867</v>
      </c>
      <c r="AB6" s="52">
        <v>159.76829507759777</v>
      </c>
      <c r="AC6" s="52">
        <v>160.23161139032084</v>
      </c>
      <c r="AD6" s="52">
        <v>161.80677134023031</v>
      </c>
      <c r="AE6" s="52">
        <v>163.27511950760652</v>
      </c>
      <c r="AF6" s="52">
        <v>164.28382782020361</v>
      </c>
      <c r="AG6" s="52">
        <v>165.82053845209143</v>
      </c>
      <c r="AH6" s="52">
        <v>171.97709934927425</v>
      </c>
      <c r="AI6" s="52">
        <v>176.3627731238424</v>
      </c>
      <c r="AJ6" s="52">
        <v>177.00450602455598</v>
      </c>
      <c r="AK6" s="52">
        <v>178.91048698502433</v>
      </c>
      <c r="AL6" s="52">
        <v>188.06393790530282</v>
      </c>
      <c r="AM6" s="52">
        <v>194.17536588629466</v>
      </c>
      <c r="AN6" s="52">
        <v>195.71325789092469</v>
      </c>
      <c r="AO6" s="52">
        <v>196.55323207711749</v>
      </c>
      <c r="AP6" s="52">
        <v>197.40643246469696</v>
      </c>
      <c r="AQ6" s="52">
        <v>197.66193213295935</v>
      </c>
      <c r="AR6" s="52">
        <v>198.48856919367995</v>
      </c>
      <c r="AS6" s="52">
        <v>202.41234205991236</v>
      </c>
      <c r="AT6" s="52">
        <v>201.37900409130387</v>
      </c>
      <c r="AU6" s="52">
        <v>202.4</v>
      </c>
      <c r="AV6" s="52">
        <v>203.06752260318751</v>
      </c>
      <c r="AW6" s="52">
        <v>205.07294896272592</v>
      </c>
      <c r="AX6" s="52">
        <v>206.16157820248844</v>
      </c>
      <c r="AY6" s="52">
        <v>207.57122624689421</v>
      </c>
      <c r="AZ6" s="52">
        <v>209.43332080420225</v>
      </c>
      <c r="BA6" s="52">
        <v>211.86915098268261</v>
      </c>
      <c r="BB6" s="52">
        <v>212.59538526080661</v>
      </c>
      <c r="BC6" s="52">
        <v>213.37170678965734</v>
      </c>
      <c r="BD6" s="52">
        <v>215.26216515235623</v>
      </c>
      <c r="BE6" s="52">
        <v>216.75453234308705</v>
      </c>
      <c r="BF6" s="728">
        <v>217.57717593966967</v>
      </c>
      <c r="BG6" s="728">
        <v>219.1775113934371</v>
      </c>
      <c r="BH6" s="728">
        <v>219.56362269442351</v>
      </c>
      <c r="BI6" s="728">
        <v>218.83833548099045</v>
      </c>
      <c r="BJ6" s="728">
        <v>223.16058612224887</v>
      </c>
      <c r="BK6" s="650">
        <f t="shared" si="0"/>
        <v>7.7980856022184186E-2</v>
      </c>
      <c r="BL6" s="16" t="s">
        <v>26</v>
      </c>
      <c r="BM6" s="650">
        <f>BK6</f>
        <v>7.7980856022184186E-2</v>
      </c>
      <c r="BN6" s="13" t="s">
        <v>27</v>
      </c>
    </row>
    <row r="7" spans="1:66" ht="15.5" thickBot="1">
      <c r="A7" s="1" t="s">
        <v>5</v>
      </c>
      <c r="B7" s="52">
        <v>144.72820462200588</v>
      </c>
      <c r="C7" s="52">
        <v>147.0872539954876</v>
      </c>
      <c r="D7" s="52">
        <v>159.11208067226127</v>
      </c>
      <c r="E7" s="52">
        <v>158.41916220576044</v>
      </c>
      <c r="F7" s="52">
        <v>147.26888240957237</v>
      </c>
      <c r="G7" s="52">
        <v>146.8069369634249</v>
      </c>
      <c r="H7" s="52">
        <v>149.55691162434204</v>
      </c>
      <c r="I7" s="52">
        <v>149.75576098400398</v>
      </c>
      <c r="J7" s="52">
        <v>152.05589842359609</v>
      </c>
      <c r="K7" s="52">
        <v>148.68277703385144</v>
      </c>
      <c r="L7" s="52">
        <v>133.54021027799286</v>
      </c>
      <c r="M7" s="52">
        <v>127.61820005498927</v>
      </c>
      <c r="N7" s="52">
        <v>142.70810222259274</v>
      </c>
      <c r="O7" s="52">
        <v>155.64520936624822</v>
      </c>
      <c r="P7" s="52">
        <v>160.69307024978909</v>
      </c>
      <c r="Q7" s="52">
        <v>170.20870572867909</v>
      </c>
      <c r="R7" s="52">
        <v>180.58854156063296</v>
      </c>
      <c r="S7" s="52">
        <v>187.72013976620156</v>
      </c>
      <c r="T7" s="52">
        <v>201.00809893110926</v>
      </c>
      <c r="U7" s="52">
        <v>202.98949256357787</v>
      </c>
      <c r="V7" s="52">
        <v>216.24781043285452</v>
      </c>
      <c r="W7" s="52">
        <v>238.6589986322079</v>
      </c>
      <c r="X7" s="52">
        <v>243.68115509426656</v>
      </c>
      <c r="Y7" s="52">
        <v>230.34515691476631</v>
      </c>
      <c r="Z7" s="52">
        <v>241.72987606371206</v>
      </c>
      <c r="AA7" s="52">
        <v>270.9949523272312</v>
      </c>
      <c r="AB7" s="52">
        <v>294.45645569905213</v>
      </c>
      <c r="AC7" s="52">
        <v>300.05394725729246</v>
      </c>
      <c r="AD7" s="52">
        <v>287.89246039470567</v>
      </c>
      <c r="AE7" s="52">
        <v>289.99453597771156</v>
      </c>
      <c r="AF7" s="52">
        <v>287.50492357332263</v>
      </c>
      <c r="AG7" s="52">
        <v>297.2566627075559</v>
      </c>
      <c r="AH7" s="52">
        <v>341.85223439371282</v>
      </c>
      <c r="AI7" s="52">
        <v>329.62355830353329</v>
      </c>
      <c r="AJ7" s="52">
        <v>298.50086057096598</v>
      </c>
      <c r="AK7" s="52">
        <v>254.09873652527079</v>
      </c>
      <c r="AL7" s="52">
        <v>241.70450897406857</v>
      </c>
      <c r="AM7" s="52">
        <v>265.57163944760453</v>
      </c>
      <c r="AN7" s="52">
        <v>272.04961149400316</v>
      </c>
      <c r="AO7" s="52">
        <v>272.36882224232755</v>
      </c>
      <c r="AP7" s="52">
        <v>281.30412868811368</v>
      </c>
      <c r="AQ7" s="52">
        <v>285.49624415430344</v>
      </c>
      <c r="AR7" s="52">
        <v>280.69618170363344</v>
      </c>
      <c r="AS7" s="52">
        <v>283.97154496554811</v>
      </c>
      <c r="AT7" s="52">
        <v>294.41406751297325</v>
      </c>
      <c r="AU7" s="52">
        <v>306.89999999999998</v>
      </c>
      <c r="AV7" s="52">
        <v>296.85550206779328</v>
      </c>
      <c r="AW7" s="52">
        <v>271.56479778172815</v>
      </c>
      <c r="AX7" s="52">
        <v>259.47116270755663</v>
      </c>
      <c r="AY7" s="52">
        <v>264.54033256011348</v>
      </c>
      <c r="AZ7" s="52">
        <v>280.18366952897259</v>
      </c>
      <c r="BA7" s="52">
        <v>295.54167470352786</v>
      </c>
      <c r="BB7" s="52">
        <v>287.66249445150459</v>
      </c>
      <c r="BC7" s="52">
        <v>279.46608530740207</v>
      </c>
      <c r="BD7" s="52">
        <v>261.78730718094579</v>
      </c>
      <c r="BE7" s="52">
        <v>269.36375368136345</v>
      </c>
      <c r="BF7" s="728">
        <v>275.96500696205231</v>
      </c>
      <c r="BG7" s="728">
        <v>277.62714336216067</v>
      </c>
      <c r="BH7" s="728">
        <v>266.7762988192099</v>
      </c>
      <c r="BI7" s="728">
        <v>258.92143503269824</v>
      </c>
      <c r="BJ7" s="728">
        <v>266.96606004932329</v>
      </c>
      <c r="BK7" s="650">
        <f t="shared" si="0"/>
        <v>-2.2544886893085758E-2</v>
      </c>
      <c r="BL7" s="16"/>
      <c r="BM7" s="683"/>
      <c r="BN7" s="10" t="s">
        <v>28</v>
      </c>
    </row>
    <row r="8" spans="1:66">
      <c r="A8" s="1" t="s">
        <v>6</v>
      </c>
      <c r="B8" s="52">
        <v>130.6846352021557</v>
      </c>
      <c r="C8" s="52">
        <v>131.43064508088776</v>
      </c>
      <c r="D8" s="52">
        <v>131.07697912705569</v>
      </c>
      <c r="E8" s="52">
        <v>130.70140497311328</v>
      </c>
      <c r="F8" s="52">
        <v>130.67360473478476</v>
      </c>
      <c r="G8" s="52">
        <v>130.79839314863591</v>
      </c>
      <c r="H8" s="52">
        <v>131.13202765062007</v>
      </c>
      <c r="I8" s="52">
        <v>131.25853489151351</v>
      </c>
      <c r="J8" s="52">
        <v>131.84961122879827</v>
      </c>
      <c r="K8" s="52">
        <v>133.92724405208864</v>
      </c>
      <c r="L8" s="52">
        <v>133.79458930895825</v>
      </c>
      <c r="M8" s="52">
        <v>135.08769099399802</v>
      </c>
      <c r="N8" s="52">
        <v>134.98711892083034</v>
      </c>
      <c r="O8" s="52">
        <v>135.05468695769582</v>
      </c>
      <c r="P8" s="52">
        <v>135.64998615658672</v>
      </c>
      <c r="Q8" s="52">
        <v>136.62669701966561</v>
      </c>
      <c r="R8" s="52">
        <v>136.83746218674051</v>
      </c>
      <c r="S8" s="52">
        <v>137.32338706382731</v>
      </c>
      <c r="T8" s="52">
        <v>144.81719663274856</v>
      </c>
      <c r="U8" s="52">
        <v>150.3012089156737</v>
      </c>
      <c r="V8" s="52">
        <v>154.69785751430246</v>
      </c>
      <c r="W8" s="52">
        <v>159.94109937473249</v>
      </c>
      <c r="X8" s="52">
        <v>163.80785463916493</v>
      </c>
      <c r="Y8" s="52">
        <v>164.75423123093867</v>
      </c>
      <c r="Z8" s="52">
        <v>169.364318320362</v>
      </c>
      <c r="AA8" s="52">
        <v>170.87138953448539</v>
      </c>
      <c r="AB8" s="52">
        <v>172.01707903891861</v>
      </c>
      <c r="AC8" s="52">
        <v>173.05046423408834</v>
      </c>
      <c r="AD8" s="52">
        <v>174.11426215716423</v>
      </c>
      <c r="AE8" s="52">
        <v>175.56166683603905</v>
      </c>
      <c r="AF8" s="52">
        <v>179.41281336468197</v>
      </c>
      <c r="AG8" s="52">
        <v>180.99003943120334</v>
      </c>
      <c r="AH8" s="52">
        <v>182.37003786996044</v>
      </c>
      <c r="AI8" s="52">
        <v>182.46908759863027</v>
      </c>
      <c r="AJ8" s="52">
        <v>184.12675938480132</v>
      </c>
      <c r="AK8" s="52">
        <v>186.61331972114323</v>
      </c>
      <c r="AL8" s="52">
        <v>188.5660999885645</v>
      </c>
      <c r="AM8" s="52">
        <v>192.06068965794265</v>
      </c>
      <c r="AN8" s="52">
        <v>191.96305864631773</v>
      </c>
      <c r="AO8" s="52">
        <v>191.82901861893103</v>
      </c>
      <c r="AP8" s="52">
        <v>192.23296741544451</v>
      </c>
      <c r="AQ8" s="52">
        <v>191.52888400985989</v>
      </c>
      <c r="AR8" s="52">
        <v>192.09259453456625</v>
      </c>
      <c r="AS8" s="52">
        <v>192.3400897304283</v>
      </c>
      <c r="AT8" s="52">
        <v>192.30824203768046</v>
      </c>
      <c r="AU8" s="52">
        <v>192.5</v>
      </c>
      <c r="AV8" s="52">
        <v>193.84061456302399</v>
      </c>
      <c r="AW8" s="52">
        <v>193.54905819157395</v>
      </c>
      <c r="AX8" s="52">
        <v>195.77464289747056</v>
      </c>
      <c r="AY8" s="52">
        <v>196.22793860700705</v>
      </c>
      <c r="AZ8" s="52">
        <v>197.27476693231904</v>
      </c>
      <c r="BA8" s="52">
        <v>198.05676061279866</v>
      </c>
      <c r="BB8" s="52">
        <v>200.48192006231579</v>
      </c>
      <c r="BC8" s="52">
        <v>203.67515035837218</v>
      </c>
      <c r="BD8" s="52">
        <v>206.08450857832128</v>
      </c>
      <c r="BE8" s="52">
        <v>208.19341859915565</v>
      </c>
      <c r="BF8" s="728">
        <v>209.50635607441637</v>
      </c>
      <c r="BG8" s="728">
        <v>209.3352253389609</v>
      </c>
      <c r="BH8" s="728">
        <v>211.51411566201583</v>
      </c>
      <c r="BI8" s="728">
        <v>211.94731434024376</v>
      </c>
      <c r="BJ8" s="728">
        <v>215.17994028022173</v>
      </c>
      <c r="BK8" s="650">
        <f t="shared" si="0"/>
        <v>6.215727924792791E-2</v>
      </c>
      <c r="BL8" s="16" t="s">
        <v>29</v>
      </c>
      <c r="BM8" s="764">
        <f>PPI!CB9</f>
        <v>3.0580784934588934E-2</v>
      </c>
      <c r="BN8" s="12" t="s">
        <v>30</v>
      </c>
    </row>
    <row r="9" spans="1:66">
      <c r="A9" s="3" t="s">
        <v>7</v>
      </c>
      <c r="B9" s="51">
        <v>170.42402771910142</v>
      </c>
      <c r="C9" s="51">
        <v>174.8338396560718</v>
      </c>
      <c r="D9" s="51">
        <v>174.80780057258013</v>
      </c>
      <c r="E9" s="51">
        <v>174.86321068123328</v>
      </c>
      <c r="F9" s="51">
        <v>174.69524591113213</v>
      </c>
      <c r="G9" s="51">
        <v>175.17315154505451</v>
      </c>
      <c r="H9" s="51">
        <v>174.83229802866092</v>
      </c>
      <c r="I9" s="51">
        <v>175.95699984652651</v>
      </c>
      <c r="J9" s="51">
        <v>176.07602286444043</v>
      </c>
      <c r="K9" s="51">
        <v>176.6499505923035</v>
      </c>
      <c r="L9" s="51">
        <v>177.07050375940022</v>
      </c>
      <c r="M9" s="51">
        <v>176.54581382701431</v>
      </c>
      <c r="N9" s="51">
        <v>180.02589949343491</v>
      </c>
      <c r="O9" s="51">
        <v>180.2739668192481</v>
      </c>
      <c r="P9" s="51">
        <v>180.93383754712818</v>
      </c>
      <c r="Q9" s="51">
        <v>183.19148556091901</v>
      </c>
      <c r="R9" s="51">
        <v>183.5683193874209</v>
      </c>
      <c r="S9" s="51">
        <v>184.26983521259299</v>
      </c>
      <c r="T9" s="51">
        <v>193.34435196421154</v>
      </c>
      <c r="U9" s="51">
        <v>194.92229207245907</v>
      </c>
      <c r="V9" s="51">
        <v>195.39293850457341</v>
      </c>
      <c r="W9" s="51">
        <v>202.19727152035094</v>
      </c>
      <c r="X9" s="51">
        <v>211.13549202293993</v>
      </c>
      <c r="Y9" s="51">
        <v>217.51454858268488</v>
      </c>
      <c r="Z9" s="51">
        <v>221.49629926523568</v>
      </c>
      <c r="AA9" s="51">
        <v>222.02960890912459</v>
      </c>
      <c r="AB9" s="51">
        <v>223.56592552972538</v>
      </c>
      <c r="AC9" s="51">
        <v>221.44630025567207</v>
      </c>
      <c r="AD9" s="51">
        <v>223.02604737042208</v>
      </c>
      <c r="AE9" s="51">
        <v>226.14000234389269</v>
      </c>
      <c r="AF9" s="51">
        <v>221.03664997296909</v>
      </c>
      <c r="AG9" s="51">
        <v>218.74305721919634</v>
      </c>
      <c r="AH9" s="51">
        <v>219.15636890616807</v>
      </c>
      <c r="AI9" s="51">
        <v>219.18962552359184</v>
      </c>
      <c r="AJ9" s="51">
        <v>220.06592024816302</v>
      </c>
      <c r="AK9" s="51">
        <v>221.56607648528546</v>
      </c>
      <c r="AL9" s="51">
        <v>221.43427870034768</v>
      </c>
      <c r="AM9" s="51">
        <v>223.55336515040403</v>
      </c>
      <c r="AN9" s="51">
        <v>223.67397146370101</v>
      </c>
      <c r="AO9" s="51">
        <v>223.51387651907464</v>
      </c>
      <c r="AP9" s="51">
        <v>224.34090576990963</v>
      </c>
      <c r="AQ9" s="51">
        <v>229.86128175572404</v>
      </c>
      <c r="AR9" s="51">
        <v>229.93798549503586</v>
      </c>
      <c r="AS9" s="51">
        <v>230.52139098233954</v>
      </c>
      <c r="AT9" s="51">
        <v>231.1455357434296</v>
      </c>
      <c r="AU9" s="51">
        <v>231.6</v>
      </c>
      <c r="AV9" s="51">
        <v>234.46878271300633</v>
      </c>
      <c r="AW9" s="51">
        <v>232.44718750786751</v>
      </c>
      <c r="AX9" s="51">
        <v>234.65043419406254</v>
      </c>
      <c r="AY9" s="51">
        <v>234.64345897562896</v>
      </c>
      <c r="AZ9" s="51">
        <v>236.08894303000918</v>
      </c>
      <c r="BA9" s="51">
        <v>238.54794512693388</v>
      </c>
      <c r="BB9" s="51">
        <v>241.08278391688603</v>
      </c>
      <c r="BC9" s="51">
        <v>249.10731463240498</v>
      </c>
      <c r="BD9" s="51">
        <v>258.02406042242609</v>
      </c>
      <c r="BE9" s="51">
        <v>261.59384927323777</v>
      </c>
      <c r="BF9" s="728">
        <v>265.87908866961078</v>
      </c>
      <c r="BG9" s="728">
        <v>268.72650403601938</v>
      </c>
      <c r="BH9" s="728">
        <v>272.53295234154342</v>
      </c>
      <c r="BI9" s="728">
        <v>271.30190718867823</v>
      </c>
      <c r="BJ9" s="728">
        <v>271.1805402325686</v>
      </c>
      <c r="BK9" s="650">
        <f t="shared" si="0"/>
        <v>0.1080507346629187</v>
      </c>
      <c r="BL9" s="16" t="s">
        <v>31</v>
      </c>
      <c r="BM9" s="764"/>
      <c r="BN9" s="14" t="s">
        <v>32</v>
      </c>
    </row>
    <row r="10" spans="1:66">
      <c r="A10" s="3" t="s">
        <v>8</v>
      </c>
      <c r="B10" s="51">
        <v>128.85754126906477</v>
      </c>
      <c r="C10" s="51">
        <v>128.81187194270339</v>
      </c>
      <c r="D10" s="51">
        <v>128.60771902734757</v>
      </c>
      <c r="E10" s="51">
        <v>129.20979060629776</v>
      </c>
      <c r="F10" s="51">
        <v>129.28353374636114</v>
      </c>
      <c r="G10" s="51">
        <v>129.58659401887815</v>
      </c>
      <c r="H10" s="51">
        <v>129.56037919566953</v>
      </c>
      <c r="I10" s="51">
        <v>130.42696244079377</v>
      </c>
      <c r="J10" s="51">
        <v>130.59684191228573</v>
      </c>
      <c r="K10" s="51">
        <v>132.28451582753789</v>
      </c>
      <c r="L10" s="51">
        <v>132.64920377803358</v>
      </c>
      <c r="M10" s="51">
        <v>133.42636664051869</v>
      </c>
      <c r="N10" s="51">
        <v>133.81308283219994</v>
      </c>
      <c r="O10" s="51">
        <v>134.79500418379965</v>
      </c>
      <c r="P10" s="51">
        <v>135.3922581044514</v>
      </c>
      <c r="Q10" s="51">
        <v>136.6718081410076</v>
      </c>
      <c r="R10" s="51">
        <v>138.18757981045513</v>
      </c>
      <c r="S10" s="51">
        <v>140.62059900277779</v>
      </c>
      <c r="T10" s="51">
        <v>142.08787112158689</v>
      </c>
      <c r="U10" s="51">
        <v>142.92068589903451</v>
      </c>
      <c r="V10" s="51">
        <v>144.54232429993385</v>
      </c>
      <c r="W10" s="51">
        <v>145.55949391721228</v>
      </c>
      <c r="X10" s="51">
        <v>146.11757775607467</v>
      </c>
      <c r="Y10" s="51">
        <v>147.64418562259431</v>
      </c>
      <c r="Z10" s="51">
        <v>148.29592349225157</v>
      </c>
      <c r="AA10" s="51">
        <v>148.48470323025259</v>
      </c>
      <c r="AB10" s="51">
        <v>148.65197289243218</v>
      </c>
      <c r="AC10" s="51">
        <v>149.75055811478157</v>
      </c>
      <c r="AD10" s="51">
        <v>150.13286750389653</v>
      </c>
      <c r="AE10" s="51">
        <v>151.37069973263897</v>
      </c>
      <c r="AF10" s="51">
        <v>152.12377580511603</v>
      </c>
      <c r="AG10" s="51">
        <v>152.64670709794859</v>
      </c>
      <c r="AH10" s="51">
        <v>153.10277327479474</v>
      </c>
      <c r="AI10" s="51">
        <v>153.51017346304445</v>
      </c>
      <c r="AJ10" s="51">
        <v>154.54431533063752</v>
      </c>
      <c r="AK10" s="51">
        <v>155.14322679205577</v>
      </c>
      <c r="AL10" s="51">
        <v>156.66209828790127</v>
      </c>
      <c r="AM10" s="51">
        <v>157.36255335617946</v>
      </c>
      <c r="AN10" s="51">
        <v>158.21655809871623</v>
      </c>
      <c r="AO10" s="51">
        <v>158.53039069975199</v>
      </c>
      <c r="AP10" s="51">
        <v>159.29288882206265</v>
      </c>
      <c r="AQ10" s="51">
        <v>159.84404572716036</v>
      </c>
      <c r="AR10" s="51">
        <v>160.03024079394552</v>
      </c>
      <c r="AS10" s="51">
        <v>160.32668553269181</v>
      </c>
      <c r="AT10" s="51">
        <v>161.31251106938373</v>
      </c>
      <c r="AU10" s="51">
        <v>162.1</v>
      </c>
      <c r="AV10" s="51">
        <v>163.19446395588542</v>
      </c>
      <c r="AW10" s="51">
        <v>163.83724390921262</v>
      </c>
      <c r="AX10" s="51">
        <v>164.43865389167635</v>
      </c>
      <c r="AY10" s="51">
        <v>164.95364926238818</v>
      </c>
      <c r="AZ10" s="51">
        <v>165.42445809752067</v>
      </c>
      <c r="BA10" s="51">
        <v>165.90987827764326</v>
      </c>
      <c r="BB10" s="51">
        <v>166.32573812531069</v>
      </c>
      <c r="BC10" s="51">
        <v>166.94212917748226</v>
      </c>
      <c r="BD10" s="51">
        <v>167.65911611083962</v>
      </c>
      <c r="BE10" s="51">
        <v>168.42720044119633</v>
      </c>
      <c r="BF10" s="728">
        <v>168.85559208459182</v>
      </c>
      <c r="BG10" s="728">
        <v>169.76040262314771</v>
      </c>
      <c r="BH10" s="728">
        <v>170.36336063987531</v>
      </c>
      <c r="BI10" s="728">
        <v>170.72307728413566</v>
      </c>
      <c r="BJ10" s="728">
        <v>173.4125818296973</v>
      </c>
      <c r="BK10" s="650">
        <f t="shared" si="0"/>
        <v>4.637534588318859E-2</v>
      </c>
      <c r="BL10" s="16" t="s">
        <v>33</v>
      </c>
      <c r="BM10" s="765">
        <f>PPI!CB11</f>
        <v>7.433333333333314E-2</v>
      </c>
      <c r="BN10" s="11" t="s">
        <v>34</v>
      </c>
    </row>
    <row r="11" spans="1:66">
      <c r="A11" s="3" t="s">
        <v>9</v>
      </c>
      <c r="B11" s="51">
        <v>120.54146263648337</v>
      </c>
      <c r="C11" s="51">
        <v>120.76618039827862</v>
      </c>
      <c r="D11" s="51">
        <v>121.31899817166519</v>
      </c>
      <c r="E11" s="51">
        <v>120.95816574967891</v>
      </c>
      <c r="F11" s="51">
        <v>121.49804107131393</v>
      </c>
      <c r="G11" s="51">
        <v>121.66888405127777</v>
      </c>
      <c r="H11" s="51">
        <v>121.41710640473941</v>
      </c>
      <c r="I11" s="51">
        <v>121.74393387991198</v>
      </c>
      <c r="J11" s="51">
        <v>121.85510881702442</v>
      </c>
      <c r="K11" s="51">
        <v>122.32538366516656</v>
      </c>
      <c r="L11" s="51">
        <v>122.57168928881816</v>
      </c>
      <c r="M11" s="51">
        <v>122.68318959901742</v>
      </c>
      <c r="N11" s="51">
        <v>123.7131705886525</v>
      </c>
      <c r="O11" s="51">
        <v>126.20823913791348</v>
      </c>
      <c r="P11" s="51">
        <v>131.11192122434167</v>
      </c>
      <c r="Q11" s="51">
        <v>131.61476665010017</v>
      </c>
      <c r="R11" s="51">
        <v>131.22835686563405</v>
      </c>
      <c r="S11" s="51">
        <v>131.31932894089013</v>
      </c>
      <c r="T11" s="51">
        <v>130.54301332944505</v>
      </c>
      <c r="U11" s="51">
        <v>130.89705237020286</v>
      </c>
      <c r="V11" s="51">
        <v>131.49416261767593</v>
      </c>
      <c r="W11" s="51">
        <v>133.19654803957854</v>
      </c>
      <c r="X11" s="51">
        <v>133.40791091876761</v>
      </c>
      <c r="Y11" s="51">
        <v>133.80766489055742</v>
      </c>
      <c r="Z11" s="51">
        <v>134.00112152646045</v>
      </c>
      <c r="AA11" s="51">
        <v>135.18287747424503</v>
      </c>
      <c r="AB11" s="51">
        <v>135.57580439817463</v>
      </c>
      <c r="AC11" s="51">
        <v>135.6216531523298</v>
      </c>
      <c r="AD11" s="51">
        <v>135.94290082067582</v>
      </c>
      <c r="AE11" s="51">
        <v>135.92362806179665</v>
      </c>
      <c r="AF11" s="51">
        <v>134.87518919518919</v>
      </c>
      <c r="AG11" s="51">
        <v>134.56848987799466</v>
      </c>
      <c r="AH11" s="51">
        <v>135.86768525006329</v>
      </c>
      <c r="AI11" s="51">
        <v>135.91470906868949</v>
      </c>
      <c r="AJ11" s="51">
        <v>136.67373118148387</v>
      </c>
      <c r="AK11" s="51">
        <v>135.84806147828573</v>
      </c>
      <c r="AL11" s="51">
        <v>136.79854337517406</v>
      </c>
      <c r="AM11" s="51">
        <v>138.48425313995403</v>
      </c>
      <c r="AN11" s="51">
        <v>139.18041672963665</v>
      </c>
      <c r="AO11" s="51">
        <v>138.283722617085</v>
      </c>
      <c r="AP11" s="51">
        <v>139.29466400824745</v>
      </c>
      <c r="AQ11" s="51">
        <v>138.60303498361841</v>
      </c>
      <c r="AR11" s="51">
        <v>140.88319720794388</v>
      </c>
      <c r="AS11" s="51">
        <v>141.06108622484055</v>
      </c>
      <c r="AT11" s="51">
        <v>141.23943680328659</v>
      </c>
      <c r="AU11" s="51">
        <v>142.4</v>
      </c>
      <c r="AV11" s="51">
        <v>142.66385108468268</v>
      </c>
      <c r="AW11" s="51">
        <v>142.29753320454248</v>
      </c>
      <c r="AX11" s="51">
        <v>142.32076714179382</v>
      </c>
      <c r="AY11" s="51">
        <v>142.47304221548492</v>
      </c>
      <c r="AZ11" s="51">
        <v>142.7421933432783</v>
      </c>
      <c r="BA11" s="51">
        <v>142.87443775735406</v>
      </c>
      <c r="BB11" s="51">
        <v>143.86833331778061</v>
      </c>
      <c r="BC11" s="51">
        <v>143.56319175193772</v>
      </c>
      <c r="BD11" s="51">
        <v>143.38510934820701</v>
      </c>
      <c r="BE11" s="51">
        <v>144.25930085699966</v>
      </c>
      <c r="BF11" s="728">
        <v>146.9715768820889</v>
      </c>
      <c r="BG11" s="728">
        <v>153.02360853793118</v>
      </c>
      <c r="BH11" s="728">
        <v>153.66079669297599</v>
      </c>
      <c r="BI11" s="728">
        <v>154.19321882619769</v>
      </c>
      <c r="BJ11" s="728">
        <v>157.23607205490234</v>
      </c>
      <c r="BK11" s="650">
        <f t="shared" si="0"/>
        <v>4.2913560321672373E-2</v>
      </c>
      <c r="BL11" s="16" t="s">
        <v>35</v>
      </c>
      <c r="BM11" s="765">
        <f>PPI!CB12</f>
        <v>7.2422701891824648E-2</v>
      </c>
      <c r="BN11" s="11" t="s">
        <v>36</v>
      </c>
    </row>
    <row r="12" spans="1:66">
      <c r="A12" s="3" t="s">
        <v>10</v>
      </c>
      <c r="B12" s="51">
        <v>119.76545853897294</v>
      </c>
      <c r="C12" s="51">
        <v>119.90488556223312</v>
      </c>
      <c r="D12" s="51">
        <v>121.17108320563523</v>
      </c>
      <c r="E12" s="51">
        <v>121.6757243343738</v>
      </c>
      <c r="F12" s="51">
        <v>122.3693112190208</v>
      </c>
      <c r="G12" s="51">
        <v>122.30916622987073</v>
      </c>
      <c r="H12" s="51">
        <v>122.76650081887655</v>
      </c>
      <c r="I12" s="51">
        <v>123.36767532718439</v>
      </c>
      <c r="J12" s="51">
        <v>123.84161953508995</v>
      </c>
      <c r="K12" s="51">
        <v>125.47680691406484</v>
      </c>
      <c r="L12" s="51">
        <v>127.33105448923293</v>
      </c>
      <c r="M12" s="51">
        <v>129.77563791856019</v>
      </c>
      <c r="N12" s="51">
        <v>131.04430604220457</v>
      </c>
      <c r="O12" s="51">
        <v>130.75146907994662</v>
      </c>
      <c r="P12" s="51">
        <v>131.60647911343051</v>
      </c>
      <c r="Q12" s="51">
        <v>132.56656965909542</v>
      </c>
      <c r="R12" s="51">
        <v>133.5324826993791</v>
      </c>
      <c r="S12" s="51">
        <v>137.0143213913789</v>
      </c>
      <c r="T12" s="51">
        <v>142.39537567145803</v>
      </c>
      <c r="U12" s="51">
        <v>144.00328695300138</v>
      </c>
      <c r="V12" s="51">
        <v>144.62393478243627</v>
      </c>
      <c r="W12" s="51">
        <v>145.89970447980508</v>
      </c>
      <c r="X12" s="51">
        <v>146.64711411128212</v>
      </c>
      <c r="Y12" s="51">
        <v>147.08965793513369</v>
      </c>
      <c r="Z12" s="51">
        <v>148.11094146305334</v>
      </c>
      <c r="AA12" s="51">
        <v>148.42774855896221</v>
      </c>
      <c r="AB12" s="51">
        <v>149.35878474167362</v>
      </c>
      <c r="AC12" s="51">
        <v>149.40291068144526</v>
      </c>
      <c r="AD12" s="51">
        <v>149.77317158529027</v>
      </c>
      <c r="AE12" s="51">
        <v>150.64207872675925</v>
      </c>
      <c r="AF12" s="51">
        <v>150.98744881138919</v>
      </c>
      <c r="AG12" s="51">
        <v>151.22532004203239</v>
      </c>
      <c r="AH12" s="51">
        <v>151.49832566160603</v>
      </c>
      <c r="AI12" s="51">
        <v>151.9637417635094</v>
      </c>
      <c r="AJ12" s="51">
        <v>154.09126945351431</v>
      </c>
      <c r="AK12" s="51">
        <v>154.5452008223823</v>
      </c>
      <c r="AL12" s="51">
        <v>154.97066206733911</v>
      </c>
      <c r="AM12" s="51">
        <v>154.88695182302982</v>
      </c>
      <c r="AN12" s="51">
        <v>155.08213984745132</v>
      </c>
      <c r="AO12" s="51">
        <v>155.39392404942251</v>
      </c>
      <c r="AP12" s="51">
        <v>155.79410243113745</v>
      </c>
      <c r="AQ12" s="51">
        <v>155.98590033715769</v>
      </c>
      <c r="AR12" s="51">
        <v>156.06292735174733</v>
      </c>
      <c r="AS12" s="51">
        <v>157.94882347789775</v>
      </c>
      <c r="AT12" s="51">
        <v>158.73245655757887</v>
      </c>
      <c r="AU12" s="51">
        <v>158.9</v>
      </c>
      <c r="AV12" s="51">
        <v>160.07823076172221</v>
      </c>
      <c r="AW12" s="51">
        <v>161.52001660070528</v>
      </c>
      <c r="AX12" s="51">
        <v>162.84173689474142</v>
      </c>
      <c r="AY12" s="51">
        <v>163.48994014402965</v>
      </c>
      <c r="AZ12" s="51">
        <v>163.82691974656686</v>
      </c>
      <c r="BA12" s="51">
        <v>164.77454391793438</v>
      </c>
      <c r="BB12" s="51">
        <v>165.76021987071309</v>
      </c>
      <c r="BC12" s="51">
        <v>167.02365634387084</v>
      </c>
      <c r="BD12" s="51">
        <v>168.29543316403598</v>
      </c>
      <c r="BE12" s="51">
        <v>173.38376212818525</v>
      </c>
      <c r="BF12" s="728">
        <v>173.282006825579</v>
      </c>
      <c r="BG12" s="728">
        <v>174.70903810739384</v>
      </c>
      <c r="BH12" s="728">
        <v>174.88882240971563</v>
      </c>
      <c r="BI12" s="728">
        <v>175.0594873230049</v>
      </c>
      <c r="BJ12" s="728">
        <v>175.46246793435651</v>
      </c>
      <c r="BK12" s="650">
        <f t="shared" si="0"/>
        <v>7.5306425620005557E-2</v>
      </c>
      <c r="BL12" s="16" t="s">
        <v>37</v>
      </c>
      <c r="BM12" s="765">
        <f>PPI!CB13</f>
        <v>0</v>
      </c>
      <c r="BN12" s="11" t="s">
        <v>38</v>
      </c>
    </row>
    <row r="13" spans="1:66">
      <c r="A13" s="3" t="s">
        <v>11</v>
      </c>
      <c r="B13" s="51">
        <v>107.71089104241624</v>
      </c>
      <c r="C13" s="51">
        <v>107.67782880618141</v>
      </c>
      <c r="D13" s="51">
        <v>107.70762897278154</v>
      </c>
      <c r="E13" s="51">
        <v>107.72177538134682</v>
      </c>
      <c r="F13" s="51">
        <v>107.73184247480336</v>
      </c>
      <c r="G13" s="51">
        <v>107.77805372170327</v>
      </c>
      <c r="H13" s="51">
        <v>107.80874957184724</v>
      </c>
      <c r="I13" s="51">
        <v>107.84679522901723</v>
      </c>
      <c r="J13" s="51">
        <v>108.08107009372971</v>
      </c>
      <c r="K13" s="51">
        <v>108.13786024470402</v>
      </c>
      <c r="L13" s="51">
        <v>108.64983515045945</v>
      </c>
      <c r="M13" s="51">
        <v>108.7718681980185</v>
      </c>
      <c r="N13" s="51">
        <v>108.74089651630911</v>
      </c>
      <c r="O13" s="51">
        <v>109.01179001262551</v>
      </c>
      <c r="P13" s="51">
        <v>109.04107491038766</v>
      </c>
      <c r="Q13" s="51">
        <v>109.07660895055864</v>
      </c>
      <c r="R13" s="51">
        <v>109.19759840493974</v>
      </c>
      <c r="S13" s="51">
        <v>109.15957095433595</v>
      </c>
      <c r="T13" s="51">
        <v>109.11617395702204</v>
      </c>
      <c r="U13" s="51">
        <v>109.06590950509154</v>
      </c>
      <c r="V13" s="51">
        <v>109.28387604172032</v>
      </c>
      <c r="W13" s="51">
        <v>109.26261582352208</v>
      </c>
      <c r="X13" s="51">
        <v>109.20677908335536</v>
      </c>
      <c r="Y13" s="51">
        <v>109.33513513662884</v>
      </c>
      <c r="Z13" s="51">
        <v>109.37525807942296</v>
      </c>
      <c r="AA13" s="51">
        <v>109.36833014864742</v>
      </c>
      <c r="AB13" s="51">
        <v>109.67864261112645</v>
      </c>
      <c r="AC13" s="51">
        <v>109.59176914748758</v>
      </c>
      <c r="AD13" s="51">
        <v>109.47071493380403</v>
      </c>
      <c r="AE13" s="51">
        <v>109.57803219612114</v>
      </c>
      <c r="AF13" s="51">
        <v>109.57935494809156</v>
      </c>
      <c r="AG13" s="51">
        <v>109.71120201107145</v>
      </c>
      <c r="AH13" s="51">
        <v>110.13050175483808</v>
      </c>
      <c r="AI13" s="51">
        <v>109.86205165147868</v>
      </c>
      <c r="AJ13" s="51">
        <v>109.89617505141346</v>
      </c>
      <c r="AK13" s="51">
        <v>110.13543870342667</v>
      </c>
      <c r="AL13" s="51">
        <v>111.05670449142875</v>
      </c>
      <c r="AM13" s="51">
        <v>111.17857175073276</v>
      </c>
      <c r="AN13" s="51">
        <v>112.21390676302717</v>
      </c>
      <c r="AO13" s="51">
        <v>112.54718174446944</v>
      </c>
      <c r="AP13" s="51">
        <v>113.77577768496978</v>
      </c>
      <c r="AQ13" s="51">
        <v>113.47051757270475</v>
      </c>
      <c r="AR13" s="51">
        <v>113.39560215285981</v>
      </c>
      <c r="AS13" s="51">
        <v>113.40097593036199</v>
      </c>
      <c r="AT13" s="51">
        <v>113.0012204004435</v>
      </c>
      <c r="AU13" s="51">
        <v>113</v>
      </c>
      <c r="AV13" s="51">
        <v>113.43183559947825</v>
      </c>
      <c r="AW13" s="51">
        <v>113.51211621705826</v>
      </c>
      <c r="AX13" s="51">
        <v>113.27024321695434</v>
      </c>
      <c r="AY13" s="51">
        <v>113.31959007408929</v>
      </c>
      <c r="AZ13" s="51">
        <v>113.48844092846808</v>
      </c>
      <c r="BA13" s="51">
        <v>114.53374169139059</v>
      </c>
      <c r="BB13" s="51">
        <v>113.64822331622001</v>
      </c>
      <c r="BC13" s="51">
        <v>114.10467311180054</v>
      </c>
      <c r="BD13" s="51">
        <v>193.57640170731099</v>
      </c>
      <c r="BE13" s="51">
        <v>193.35042667254274</v>
      </c>
      <c r="BF13" s="728">
        <v>193.39687370490577</v>
      </c>
      <c r="BG13" s="728">
        <v>193.66271280463036</v>
      </c>
      <c r="BH13" s="728">
        <v>193.83884130346104</v>
      </c>
      <c r="BI13" s="728">
        <v>193.83688619083128</v>
      </c>
      <c r="BJ13" s="728">
        <v>193.77822138692954</v>
      </c>
      <c r="BK13" s="650">
        <f t="shared" si="0"/>
        <v>0.36192635652560101</v>
      </c>
      <c r="BL13" s="16" t="s">
        <v>39</v>
      </c>
      <c r="BM13" s="765">
        <f>PPI!CB14</f>
        <v>0</v>
      </c>
      <c r="BN13" s="11" t="s">
        <v>40</v>
      </c>
    </row>
    <row r="14" spans="1:66">
      <c r="A14" s="3" t="s">
        <v>12</v>
      </c>
      <c r="B14" s="51">
        <v>127.99250240828515</v>
      </c>
      <c r="C14" s="51">
        <v>128.24242427499874</v>
      </c>
      <c r="D14" s="51">
        <v>129.65427089878688</v>
      </c>
      <c r="E14" s="51">
        <v>129.8778232426599</v>
      </c>
      <c r="F14" s="51">
        <v>130.30513465962639</v>
      </c>
      <c r="G14" s="51">
        <v>129.6980974784455</v>
      </c>
      <c r="H14" s="51">
        <v>129.5571097495461</v>
      </c>
      <c r="I14" s="51">
        <v>131.23545572854255</v>
      </c>
      <c r="J14" s="51">
        <v>131.35396104635572</v>
      </c>
      <c r="K14" s="51">
        <v>131.9169004019879</v>
      </c>
      <c r="L14" s="51">
        <v>132.21082723170727</v>
      </c>
      <c r="M14" s="51">
        <v>133.06904236935253</v>
      </c>
      <c r="N14" s="51">
        <v>133.99677923358578</v>
      </c>
      <c r="O14" s="51">
        <v>134.39654719688821</v>
      </c>
      <c r="P14" s="51">
        <v>134.58993319977111</v>
      </c>
      <c r="Q14" s="51">
        <v>138.98513644626991</v>
      </c>
      <c r="R14" s="51">
        <v>140.35728536017348</v>
      </c>
      <c r="S14" s="51">
        <v>144.59728255827275</v>
      </c>
      <c r="T14" s="51">
        <v>145.65607001200632</v>
      </c>
      <c r="U14" s="51">
        <v>147.71074935578423</v>
      </c>
      <c r="V14" s="51">
        <v>150.41939233846779</v>
      </c>
      <c r="W14" s="51">
        <v>149.80919669634241</v>
      </c>
      <c r="X14" s="51">
        <v>150.32495481530526</v>
      </c>
      <c r="Y14" s="51">
        <v>150.18344319089664</v>
      </c>
      <c r="Z14" s="51">
        <v>150.93604643126227</v>
      </c>
      <c r="AA14" s="51">
        <v>150.72108386415923</v>
      </c>
      <c r="AB14" s="51">
        <v>150.75804496279656</v>
      </c>
      <c r="AC14" s="51">
        <v>150.7302578151286</v>
      </c>
      <c r="AD14" s="51">
        <v>150.99575975849604</v>
      </c>
      <c r="AE14" s="51">
        <v>151.86084706352673</v>
      </c>
      <c r="AF14" s="51">
        <v>154.11465814131296</v>
      </c>
      <c r="AG14" s="51">
        <v>158.01511423117438</v>
      </c>
      <c r="AH14" s="51">
        <v>159.27547210176417</v>
      </c>
      <c r="AI14" s="51">
        <v>162.45341156629121</v>
      </c>
      <c r="AJ14" s="51">
        <v>162.74038553689002</v>
      </c>
      <c r="AK14" s="51">
        <v>160.22171436977283</v>
      </c>
      <c r="AL14" s="51">
        <v>160.64795583193097</v>
      </c>
      <c r="AM14" s="51">
        <v>162.92083890221278</v>
      </c>
      <c r="AN14" s="51">
        <v>173.06411781367282</v>
      </c>
      <c r="AO14" s="51">
        <v>187.26821354704694</v>
      </c>
      <c r="AP14" s="51">
        <v>188.32766237839184</v>
      </c>
      <c r="AQ14" s="51">
        <v>187.10921774003307</v>
      </c>
      <c r="AR14" s="51">
        <v>187.59472076383949</v>
      </c>
      <c r="AS14" s="51">
        <v>188.05506942697755</v>
      </c>
      <c r="AT14" s="51">
        <v>188.24207941759511</v>
      </c>
      <c r="AU14" s="51">
        <v>188.3</v>
      </c>
      <c r="AV14" s="51">
        <v>188.04776382433664</v>
      </c>
      <c r="AW14" s="51">
        <v>188.83579494936836</v>
      </c>
      <c r="AX14" s="51">
        <v>190.39893567450247</v>
      </c>
      <c r="AY14" s="51">
        <v>191.23466520549627</v>
      </c>
      <c r="AZ14" s="51">
        <v>193.75002405578994</v>
      </c>
      <c r="BA14" s="51">
        <v>194.38380215790352</v>
      </c>
      <c r="BB14" s="51">
        <v>195.23521013047008</v>
      </c>
      <c r="BC14" s="51">
        <v>195.42919497504317</v>
      </c>
      <c r="BD14" s="51">
        <v>200.67288694831328</v>
      </c>
      <c r="BE14" s="51">
        <v>200.96277106273112</v>
      </c>
      <c r="BF14" s="728">
        <v>204.38580437906333</v>
      </c>
      <c r="BG14" s="728">
        <v>204.28418014336842</v>
      </c>
      <c r="BH14" s="728">
        <v>205.52025583762759</v>
      </c>
      <c r="BI14" s="728">
        <v>206.65304387906806</v>
      </c>
      <c r="BJ14" s="728">
        <v>206.75210410576116</v>
      </c>
      <c r="BK14" s="650">
        <f t="shared" si="0"/>
        <v>8.8875957704916519E-2</v>
      </c>
      <c r="BL14" s="16" t="s">
        <v>41</v>
      </c>
      <c r="BM14" s="765">
        <f>PPI!CB15</f>
        <v>7.0000000000000062E-2</v>
      </c>
      <c r="BN14" s="11" t="s">
        <v>42</v>
      </c>
    </row>
    <row r="15" spans="1:66">
      <c r="A15" s="3" t="s">
        <v>13</v>
      </c>
      <c r="B15" s="51">
        <v>105.78212294860154</v>
      </c>
      <c r="C15" s="51">
        <v>105.78212294860154</v>
      </c>
      <c r="D15" s="51">
        <v>105.78212294860154</v>
      </c>
      <c r="E15" s="51">
        <v>105.78212294860154</v>
      </c>
      <c r="F15" s="51">
        <v>105.78212294860154</v>
      </c>
      <c r="G15" s="51">
        <v>105.78212294860154</v>
      </c>
      <c r="H15" s="51">
        <v>105.78212294860154</v>
      </c>
      <c r="I15" s="51">
        <v>105.78212294860154</v>
      </c>
      <c r="J15" s="51">
        <v>105.78212294860154</v>
      </c>
      <c r="K15" s="51">
        <v>105.78212294860154</v>
      </c>
      <c r="L15" s="51">
        <v>105.78212294860154</v>
      </c>
      <c r="M15" s="51">
        <v>105.78212294860154</v>
      </c>
      <c r="N15" s="51">
        <v>105.78212294860154</v>
      </c>
      <c r="O15" s="51">
        <v>105.78212294860154</v>
      </c>
      <c r="P15" s="51">
        <v>105.78212294860154</v>
      </c>
      <c r="Q15" s="51">
        <v>105.78212294860154</v>
      </c>
      <c r="R15" s="51">
        <v>106.62378388476166</v>
      </c>
      <c r="S15" s="51">
        <v>108.13872952632144</v>
      </c>
      <c r="T15" s="51">
        <v>108.13872952632144</v>
      </c>
      <c r="U15" s="51">
        <v>108.28571261008037</v>
      </c>
      <c r="V15" s="51">
        <v>108.57477437451831</v>
      </c>
      <c r="W15" s="51">
        <v>108.57477437451831</v>
      </c>
      <c r="X15" s="51">
        <v>108.57477437451831</v>
      </c>
      <c r="Y15" s="51">
        <v>108.57477437451831</v>
      </c>
      <c r="Z15" s="51">
        <v>108.57477437451831</v>
      </c>
      <c r="AA15" s="51">
        <v>108.57477437451831</v>
      </c>
      <c r="AB15" s="51">
        <v>108.57477437451831</v>
      </c>
      <c r="AC15" s="51">
        <v>108.57477437451831</v>
      </c>
      <c r="AD15" s="51">
        <v>108.57477437451831</v>
      </c>
      <c r="AE15" s="51">
        <v>108.57477437451831</v>
      </c>
      <c r="AF15" s="51">
        <v>108.57477437451831</v>
      </c>
      <c r="AG15" s="51">
        <v>108.57477437451831</v>
      </c>
      <c r="AH15" s="51">
        <v>108.57477437451831</v>
      </c>
      <c r="AI15" s="51">
        <v>108.57477437451831</v>
      </c>
      <c r="AJ15" s="51">
        <v>108.57477437451831</v>
      </c>
      <c r="AK15" s="51">
        <v>108.57477437451831</v>
      </c>
      <c r="AL15" s="51">
        <v>108.57477437451831</v>
      </c>
      <c r="AM15" s="51">
        <v>108.57477437451831</v>
      </c>
      <c r="AN15" s="51">
        <v>109.21855816946054</v>
      </c>
      <c r="AO15" s="51">
        <v>109.92860249025983</v>
      </c>
      <c r="AP15" s="51">
        <v>109.92860249025983</v>
      </c>
      <c r="AQ15" s="51">
        <v>109.92860249025983</v>
      </c>
      <c r="AR15" s="51">
        <v>109.92860249025983</v>
      </c>
      <c r="AS15" s="51">
        <v>109.92860249025983</v>
      </c>
      <c r="AT15" s="51">
        <v>109.92860249025983</v>
      </c>
      <c r="AU15" s="51">
        <v>109.9</v>
      </c>
      <c r="AV15" s="51">
        <v>109.92860249025983</v>
      </c>
      <c r="AW15" s="51">
        <v>109.92860249025983</v>
      </c>
      <c r="AX15" s="51">
        <v>111.57007810069578</v>
      </c>
      <c r="AY15" s="51">
        <v>113.57126474538829</v>
      </c>
      <c r="AZ15" s="51">
        <v>113.57126474538829</v>
      </c>
      <c r="BA15" s="51">
        <v>113.57126474538829</v>
      </c>
      <c r="BB15" s="51">
        <v>113.57126474538829</v>
      </c>
      <c r="BC15" s="51">
        <v>113.57126474538829</v>
      </c>
      <c r="BD15" s="51">
        <v>114.30037104484822</v>
      </c>
      <c r="BE15" s="51">
        <v>114.30037104484822</v>
      </c>
      <c r="BF15" s="728">
        <v>114.30037104484822</v>
      </c>
      <c r="BG15" s="728">
        <v>114.30037104484822</v>
      </c>
      <c r="BH15" s="728">
        <v>114.30037104484822</v>
      </c>
      <c r="BI15" s="728">
        <v>114.28776623518401</v>
      </c>
      <c r="BJ15" s="728">
        <v>114.27289456161949</v>
      </c>
      <c r="BK15" s="650">
        <f t="shared" si="0"/>
        <v>3.7637160531641456E-2</v>
      </c>
      <c r="BL15" s="16" t="s">
        <v>43</v>
      </c>
      <c r="BM15" s="765">
        <f>PPI!CB16</f>
        <v>-5.7509584930821589E-3</v>
      </c>
      <c r="BN15" s="11" t="s">
        <v>44</v>
      </c>
    </row>
    <row r="16" spans="1:66">
      <c r="A16" s="3" t="s">
        <v>14</v>
      </c>
      <c r="B16" s="51">
        <v>126.7127471559259</v>
      </c>
      <c r="C16" s="51">
        <v>127.17772393130674</v>
      </c>
      <c r="D16" s="51">
        <v>127.34060666173899</v>
      </c>
      <c r="E16" s="51">
        <v>127.29377616838367</v>
      </c>
      <c r="F16" s="51">
        <v>127.96070411296665</v>
      </c>
      <c r="G16" s="51">
        <v>127.98061985447492</v>
      </c>
      <c r="H16" s="51">
        <v>128.04178279920632</v>
      </c>
      <c r="I16" s="51">
        <v>128.02469604094105</v>
      </c>
      <c r="J16" s="51">
        <v>128.05059669560873</v>
      </c>
      <c r="K16" s="51">
        <v>128.23771004965724</v>
      </c>
      <c r="L16" s="51">
        <v>129.1314591624386</v>
      </c>
      <c r="M16" s="51">
        <v>130.32958589397225</v>
      </c>
      <c r="N16" s="51">
        <v>135.5586891801947</v>
      </c>
      <c r="O16" s="51">
        <v>135.57663023899261</v>
      </c>
      <c r="P16" s="51">
        <v>136.56887697402033</v>
      </c>
      <c r="Q16" s="51">
        <v>136.66644536393019</v>
      </c>
      <c r="R16" s="51">
        <v>137.74899816555205</v>
      </c>
      <c r="S16" s="51">
        <v>138.88534088650596</v>
      </c>
      <c r="T16" s="51">
        <v>138.82511795872159</v>
      </c>
      <c r="U16" s="51">
        <v>138.52859760113336</v>
      </c>
      <c r="V16" s="51">
        <v>142.27921932551135</v>
      </c>
      <c r="W16" s="51">
        <v>149.28806097614</v>
      </c>
      <c r="X16" s="51">
        <v>152.19147956754233</v>
      </c>
      <c r="Y16" s="51">
        <v>153.46504330845593</v>
      </c>
      <c r="Z16" s="51">
        <v>154.16530007613426</v>
      </c>
      <c r="AA16" s="51">
        <v>154.14328468481582</v>
      </c>
      <c r="AB16" s="51">
        <v>155.22338077603192</v>
      </c>
      <c r="AC16" s="51">
        <v>154.52530582416648</v>
      </c>
      <c r="AD16" s="51">
        <v>155.21890391821864</v>
      </c>
      <c r="AE16" s="51">
        <v>155.57050021771082</v>
      </c>
      <c r="AF16" s="51">
        <v>155.51423517888418</v>
      </c>
      <c r="AG16" s="51">
        <v>155.89071936246981</v>
      </c>
      <c r="AH16" s="51">
        <v>155.13439881991027</v>
      </c>
      <c r="AI16" s="51">
        <v>155.47632839203845</v>
      </c>
      <c r="AJ16" s="51">
        <v>154.44490985076058</v>
      </c>
      <c r="AK16" s="51">
        <v>153.59942370287794</v>
      </c>
      <c r="AL16" s="51">
        <v>154.04912430538531</v>
      </c>
      <c r="AM16" s="51">
        <v>154.24436416236875</v>
      </c>
      <c r="AN16" s="51">
        <v>153.45161068796398</v>
      </c>
      <c r="AO16" s="51">
        <v>154.26175590526918</v>
      </c>
      <c r="AP16" s="51">
        <v>154.20233450558078</v>
      </c>
      <c r="AQ16" s="51">
        <v>154.22623886470478</v>
      </c>
      <c r="AR16" s="51">
        <v>155.48751147160803</v>
      </c>
      <c r="AS16" s="51">
        <v>155.13564482826467</v>
      </c>
      <c r="AT16" s="51">
        <v>154.62237676075421</v>
      </c>
      <c r="AU16" s="51">
        <v>152.69999999999999</v>
      </c>
      <c r="AV16" s="51">
        <v>153.79878836389395</v>
      </c>
      <c r="AW16" s="51">
        <v>154.53701293270012</v>
      </c>
      <c r="AX16" s="51">
        <v>155.69041326606276</v>
      </c>
      <c r="AY16" s="51">
        <v>152.74176270764033</v>
      </c>
      <c r="AZ16" s="51">
        <v>153.66752132782503</v>
      </c>
      <c r="BA16" s="51">
        <v>152.10990587589782</v>
      </c>
      <c r="BB16" s="51">
        <v>152.07740973649155</v>
      </c>
      <c r="BC16" s="51">
        <v>152.24491776090022</v>
      </c>
      <c r="BD16" s="51">
        <v>153.10093522600241</v>
      </c>
      <c r="BE16" s="51">
        <v>153.95986079319104</v>
      </c>
      <c r="BF16" s="728">
        <v>154.22998459160524</v>
      </c>
      <c r="BG16" s="728">
        <v>155.39583960247668</v>
      </c>
      <c r="BH16" s="728">
        <v>155.71070034907473</v>
      </c>
      <c r="BI16" s="728">
        <v>159.90825341828841</v>
      </c>
      <c r="BJ16" s="728">
        <v>159.90012086731468</v>
      </c>
      <c r="BK16" s="650">
        <f t="shared" si="0"/>
        <v>6.5240597259652588E-5</v>
      </c>
      <c r="BL16" s="16" t="s">
        <v>45</v>
      </c>
      <c r="BM16" s="765">
        <f>PPI!CB17</f>
        <v>0</v>
      </c>
      <c r="BN16" s="11" t="s">
        <v>46</v>
      </c>
    </row>
    <row r="17" spans="1:66">
      <c r="A17" s="3" t="s">
        <v>15</v>
      </c>
      <c r="B17" s="51">
        <v>109.53137988688754</v>
      </c>
      <c r="C17" s="51">
        <v>109.63883182485155</v>
      </c>
      <c r="D17" s="51">
        <v>121.26721953027193</v>
      </c>
      <c r="E17" s="51">
        <v>121.34385022230528</v>
      </c>
      <c r="F17" s="51">
        <v>121.34637804326574</v>
      </c>
      <c r="G17" s="51">
        <v>121.34637804326574</v>
      </c>
      <c r="H17" s="51">
        <v>121.34637804326574</v>
      </c>
      <c r="I17" s="51">
        <v>121.34637804326574</v>
      </c>
      <c r="J17" s="51">
        <v>121.34637804326574</v>
      </c>
      <c r="K17" s="51">
        <v>130.59075108857047</v>
      </c>
      <c r="L17" s="51">
        <v>130.59075108857047</v>
      </c>
      <c r="M17" s="51">
        <v>130.59075108857047</v>
      </c>
      <c r="N17" s="51">
        <v>130.59745379261602</v>
      </c>
      <c r="O17" s="51">
        <v>130.59745379261602</v>
      </c>
      <c r="P17" s="51">
        <v>130.59745379261602</v>
      </c>
      <c r="Q17" s="51">
        <v>130.59745379261602</v>
      </c>
      <c r="R17" s="51">
        <v>130.51888371843827</v>
      </c>
      <c r="S17" s="51">
        <v>130.51888371843827</v>
      </c>
      <c r="T17" s="51">
        <v>130.51888371843827</v>
      </c>
      <c r="U17" s="51">
        <v>130.51888371843827</v>
      </c>
      <c r="V17" s="51">
        <v>130.55243039952745</v>
      </c>
      <c r="W17" s="51">
        <v>141.29961512963118</v>
      </c>
      <c r="X17" s="51">
        <v>141.29961512963118</v>
      </c>
      <c r="Y17" s="51">
        <v>141.29961512963118</v>
      </c>
      <c r="Z17" s="51">
        <v>141.31252756224612</v>
      </c>
      <c r="AA17" s="51">
        <v>141.31880614486604</v>
      </c>
      <c r="AB17" s="51">
        <v>141.31880614486604</v>
      </c>
      <c r="AC17" s="51">
        <v>141.31880614486604</v>
      </c>
      <c r="AD17" s="51">
        <v>141.31880614486604</v>
      </c>
      <c r="AE17" s="51">
        <v>141.31880614486604</v>
      </c>
      <c r="AF17" s="51">
        <v>141.31880614486604</v>
      </c>
      <c r="AG17" s="51">
        <v>141.31880614486604</v>
      </c>
      <c r="AH17" s="51">
        <v>141.31880614486604</v>
      </c>
      <c r="AI17" s="51">
        <v>143.46535208005997</v>
      </c>
      <c r="AJ17" s="51">
        <v>143.46535208005997</v>
      </c>
      <c r="AK17" s="51">
        <v>143.46535208005997</v>
      </c>
      <c r="AL17" s="51">
        <v>143.46535208005997</v>
      </c>
      <c r="AM17" s="51">
        <v>143.46535208005997</v>
      </c>
      <c r="AN17" s="51">
        <v>143.46535208005997</v>
      </c>
      <c r="AO17" s="51">
        <v>143.56418977410686</v>
      </c>
      <c r="AP17" s="51">
        <v>143.56418977410686</v>
      </c>
      <c r="AQ17" s="51">
        <v>143.56418977410686</v>
      </c>
      <c r="AR17" s="51">
        <v>143.56418977410686</v>
      </c>
      <c r="AS17" s="51">
        <v>143.56418977410686</v>
      </c>
      <c r="AT17" s="51">
        <v>155.33551312192344</v>
      </c>
      <c r="AU17" s="51">
        <v>155.30000000000001</v>
      </c>
      <c r="AV17" s="51">
        <v>155.33551312192344</v>
      </c>
      <c r="AW17" s="51">
        <v>155.33551312192344</v>
      </c>
      <c r="AX17" s="51">
        <v>155.49128584776614</v>
      </c>
      <c r="AY17" s="51">
        <v>155.49128584776614</v>
      </c>
      <c r="AZ17" s="51">
        <v>155.49128584776614</v>
      </c>
      <c r="BA17" s="51">
        <v>155.49128584776614</v>
      </c>
      <c r="BB17" s="51">
        <v>155.49128584776614</v>
      </c>
      <c r="BC17" s="51">
        <v>155.49128584776614</v>
      </c>
      <c r="BD17" s="51">
        <v>155.49128584776614</v>
      </c>
      <c r="BE17" s="51">
        <v>155.49128584776614</v>
      </c>
      <c r="BF17" s="728">
        <v>173.31886811022642</v>
      </c>
      <c r="BG17" s="728">
        <v>173.31886811022642</v>
      </c>
      <c r="BH17" s="728">
        <v>173.31886811022642</v>
      </c>
      <c r="BI17" s="728">
        <v>173.31886811022642</v>
      </c>
      <c r="BJ17" s="728">
        <v>173.31886811022642</v>
      </c>
      <c r="BK17" s="650">
        <f t="shared" si="0"/>
        <v>9.4761222742678841E-2</v>
      </c>
      <c r="BL17" s="16" t="s">
        <v>47</v>
      </c>
      <c r="BM17" s="765">
        <f>PPI!CB18</f>
        <v>2.0581618198483254E-2</v>
      </c>
      <c r="BN17" s="11" t="s">
        <v>48</v>
      </c>
    </row>
    <row r="18" spans="1:66">
      <c r="A18" s="3" t="s">
        <v>16</v>
      </c>
      <c r="B18" s="51">
        <v>107.60197566492806</v>
      </c>
      <c r="C18" s="51">
        <v>107.63245300914619</v>
      </c>
      <c r="D18" s="51">
        <v>107.72666823122242</v>
      </c>
      <c r="E18" s="51">
        <v>107.7442128433015</v>
      </c>
      <c r="F18" s="51">
        <v>108.52968041985854</v>
      </c>
      <c r="G18" s="51">
        <v>108.79719977188684</v>
      </c>
      <c r="H18" s="51">
        <v>108.82368622460174</v>
      </c>
      <c r="I18" s="51">
        <v>108.70706636573743</v>
      </c>
      <c r="J18" s="51">
        <v>109.20933645715064</v>
      </c>
      <c r="K18" s="51">
        <v>110.37389798596419</v>
      </c>
      <c r="L18" s="51">
        <v>111.33958926225949</v>
      </c>
      <c r="M18" s="51">
        <v>111.44296048119557</v>
      </c>
      <c r="N18" s="51">
        <v>111.70472746455872</v>
      </c>
      <c r="O18" s="51">
        <v>114.33590866812962</v>
      </c>
      <c r="P18" s="51">
        <v>123.5683654411046</v>
      </c>
      <c r="Q18" s="51">
        <v>123.87756347866708</v>
      </c>
      <c r="R18" s="51">
        <v>123.99999327954247</v>
      </c>
      <c r="S18" s="51">
        <v>124.37758532033175</v>
      </c>
      <c r="T18" s="51">
        <v>127.57147788050797</v>
      </c>
      <c r="U18" s="51">
        <v>128.76882438015221</v>
      </c>
      <c r="V18" s="51">
        <v>129.70326286785647</v>
      </c>
      <c r="W18" s="51">
        <v>130.91377330595259</v>
      </c>
      <c r="X18" s="51">
        <v>130.31502336764336</v>
      </c>
      <c r="Y18" s="51">
        <v>133.01532778391388</v>
      </c>
      <c r="Z18" s="51">
        <v>134.42961866478504</v>
      </c>
      <c r="AA18" s="51">
        <v>134.47574769509259</v>
      </c>
      <c r="AB18" s="51">
        <v>136.13998380024202</v>
      </c>
      <c r="AC18" s="51">
        <v>138.5410797032761</v>
      </c>
      <c r="AD18" s="51">
        <v>138.28575148303776</v>
      </c>
      <c r="AE18" s="51">
        <v>137.63767301305509</v>
      </c>
      <c r="AF18" s="51">
        <v>138.48148828148663</v>
      </c>
      <c r="AG18" s="51">
        <v>138.51406592213527</v>
      </c>
      <c r="AH18" s="51">
        <v>138.65052799117771</v>
      </c>
      <c r="AI18" s="51">
        <v>138.31878448792347</v>
      </c>
      <c r="AJ18" s="51">
        <v>138.63716773177757</v>
      </c>
      <c r="AK18" s="51">
        <v>139.40259717179876</v>
      </c>
      <c r="AL18" s="51">
        <v>140.78129214021243</v>
      </c>
      <c r="AM18" s="51">
        <v>141.02136489033416</v>
      </c>
      <c r="AN18" s="51">
        <v>141.12857648660008</v>
      </c>
      <c r="AO18" s="51">
        <v>141.59009121105655</v>
      </c>
      <c r="AP18" s="51">
        <v>141.77082448442431</v>
      </c>
      <c r="AQ18" s="51">
        <v>141.90203746133403</v>
      </c>
      <c r="AR18" s="51">
        <v>142.16033749803046</v>
      </c>
      <c r="AS18" s="51">
        <v>145.27460716969534</v>
      </c>
      <c r="AT18" s="51">
        <v>146.02759383340833</v>
      </c>
      <c r="AU18" s="51">
        <v>146.19999999999999</v>
      </c>
      <c r="AV18" s="51">
        <v>146.36331810406787</v>
      </c>
      <c r="AW18" s="51">
        <v>148.96440186245766</v>
      </c>
      <c r="AX18" s="51">
        <v>154.08776811019919</v>
      </c>
      <c r="AY18" s="51">
        <v>157.32643830278903</v>
      </c>
      <c r="AZ18" s="51">
        <v>160.99532251379526</v>
      </c>
      <c r="BA18" s="51">
        <v>162.42643566247642</v>
      </c>
      <c r="BB18" s="51">
        <v>165.24301947011801</v>
      </c>
      <c r="BC18" s="51">
        <v>167.20165995743145</v>
      </c>
      <c r="BD18" s="51">
        <v>170.78899222764753</v>
      </c>
      <c r="BE18" s="51">
        <v>172.09031816485307</v>
      </c>
      <c r="BF18" s="728">
        <v>171.92416334422327</v>
      </c>
      <c r="BG18" s="728">
        <v>174.06076926557506</v>
      </c>
      <c r="BH18" s="728">
        <v>174.73693982546524</v>
      </c>
      <c r="BI18" s="728">
        <v>174.90242939223026</v>
      </c>
      <c r="BJ18" s="728">
        <v>183.63671707959693</v>
      </c>
      <c r="BK18" s="650">
        <f t="shared" si="0"/>
        <v>0.16399858523093669</v>
      </c>
      <c r="BL18" s="16" t="s">
        <v>49</v>
      </c>
      <c r="BM18" s="765">
        <f>PPI!CB19</f>
        <v>0.1449999999999998</v>
      </c>
      <c r="BN18" s="14" t="s">
        <v>50</v>
      </c>
    </row>
    <row r="19" spans="1:66" ht="15.5" thickBot="1">
      <c r="A19" s="3" t="s">
        <v>17</v>
      </c>
      <c r="B19" s="53">
        <v>116.28343695937389</v>
      </c>
      <c r="C19" s="53">
        <v>116.33892254862917</v>
      </c>
      <c r="D19" s="53">
        <v>116.34112037176062</v>
      </c>
      <c r="E19" s="53">
        <v>116.42635187605245</v>
      </c>
      <c r="F19" s="53">
        <v>116.46852772776283</v>
      </c>
      <c r="G19" s="53">
        <v>116.54593256548985</v>
      </c>
      <c r="H19" s="53">
        <v>116.6168557544022</v>
      </c>
      <c r="I19" s="53">
        <v>116.68953608053728</v>
      </c>
      <c r="J19" s="53">
        <v>117.09642670897908</v>
      </c>
      <c r="K19" s="53">
        <v>116.19373444116948</v>
      </c>
      <c r="L19" s="53">
        <v>116.43469827760562</v>
      </c>
      <c r="M19" s="53">
        <v>116.51702486736917</v>
      </c>
      <c r="N19" s="53">
        <v>116.75350675104914</v>
      </c>
      <c r="O19" s="53">
        <v>116.99621943963528</v>
      </c>
      <c r="P19" s="53">
        <v>117.33758948543479</v>
      </c>
      <c r="Q19" s="53">
        <v>118.20826646113443</v>
      </c>
      <c r="R19" s="53">
        <v>121.03398523125162</v>
      </c>
      <c r="S19" s="53">
        <v>124.45665762762779</v>
      </c>
      <c r="T19" s="53">
        <v>125.50291563354277</v>
      </c>
      <c r="U19" s="53">
        <v>125.70483739634943</v>
      </c>
      <c r="V19" s="53">
        <v>126.3293425155407</v>
      </c>
      <c r="W19" s="53">
        <v>126.8950123139273</v>
      </c>
      <c r="X19" s="53">
        <v>126.0993397031806</v>
      </c>
      <c r="Y19" s="53">
        <v>125.16232147592353</v>
      </c>
      <c r="Z19" s="51">
        <v>125.43886255174645</v>
      </c>
      <c r="AA19" s="51">
        <v>125.87945125141957</v>
      </c>
      <c r="AB19" s="51">
        <v>125.90477369846677</v>
      </c>
      <c r="AC19" s="51">
        <v>132.04047023089026</v>
      </c>
      <c r="AD19" s="51">
        <v>132.19979544589731</v>
      </c>
      <c r="AE19" s="51">
        <v>133.04402217913469</v>
      </c>
      <c r="AF19" s="51">
        <v>133.57946817869149</v>
      </c>
      <c r="AG19" s="51">
        <v>133.71136102570691</v>
      </c>
      <c r="AH19" s="51">
        <v>134.13516198725398</v>
      </c>
      <c r="AI19" s="51">
        <v>134.24219618929857</v>
      </c>
      <c r="AJ19" s="51">
        <v>135.16606376639618</v>
      </c>
      <c r="AK19" s="51">
        <v>135.64610709914885</v>
      </c>
      <c r="AL19" s="51">
        <v>136.61906088548716</v>
      </c>
      <c r="AM19" s="51">
        <v>137.09272590928654</v>
      </c>
      <c r="AN19" s="51">
        <v>137.45693163587492</v>
      </c>
      <c r="AO19" s="51">
        <v>138.05674424936583</v>
      </c>
      <c r="AP19" s="51">
        <v>138.23423679080483</v>
      </c>
      <c r="AQ19" s="51">
        <v>138.56737717359601</v>
      </c>
      <c r="AR19" s="51">
        <v>139.26099795035182</v>
      </c>
      <c r="AS19" s="51">
        <v>139.49777922137216</v>
      </c>
      <c r="AT19" s="51">
        <v>140.0684955197919</v>
      </c>
      <c r="AU19" s="51">
        <v>141.4</v>
      </c>
      <c r="AV19" s="51">
        <v>141.72280542082524</v>
      </c>
      <c r="AW19" s="51">
        <v>142.00883299314731</v>
      </c>
      <c r="AX19" s="51">
        <v>142.83586739851162</v>
      </c>
      <c r="AY19" s="51">
        <v>143.67433948969352</v>
      </c>
      <c r="AZ19" s="53">
        <v>144.38400108157154</v>
      </c>
      <c r="BA19" s="53">
        <v>144.59694784543132</v>
      </c>
      <c r="BB19" s="53">
        <v>144.93332487581162</v>
      </c>
      <c r="BC19" s="53">
        <v>145.21051540189268</v>
      </c>
      <c r="BD19" s="53">
        <v>146.13080748129229</v>
      </c>
      <c r="BE19" s="53">
        <v>147.07946198413759</v>
      </c>
      <c r="BF19" s="728">
        <v>147.52453748101786</v>
      </c>
      <c r="BG19" s="728">
        <v>148.11733241335489</v>
      </c>
      <c r="BH19" s="728">
        <v>148.92952735452835</v>
      </c>
      <c r="BI19" s="728">
        <v>149.15083109729679</v>
      </c>
      <c r="BJ19" s="728">
        <v>149.42654559917435</v>
      </c>
      <c r="BK19" s="650">
        <f t="shared" si="0"/>
        <v>4.945041860255639E-2</v>
      </c>
      <c r="BL19" s="16" t="s">
        <v>51</v>
      </c>
      <c r="BM19" s="765">
        <f>PPI!CB20</f>
        <v>0</v>
      </c>
      <c r="BN19" s="14" t="s">
        <v>52</v>
      </c>
    </row>
    <row r="20" spans="1:66" ht="16.25" thickTop="1" thickBot="1">
      <c r="M20" s="18"/>
      <c r="Y20" s="18">
        <f>AVERAGE(N2:Y2)</f>
        <v>146.77847801992152</v>
      </c>
      <c r="Z20" s="18"/>
      <c r="AA20" s="18"/>
      <c r="AB20" s="18"/>
      <c r="AC20" s="18"/>
      <c r="AD20" s="18"/>
      <c r="AF20" s="18"/>
      <c r="AH20" s="18"/>
      <c r="AI20" s="18"/>
      <c r="AK20" s="18">
        <f>AVERAGE(Z2:AK2)</f>
        <v>167.36944089322012</v>
      </c>
      <c r="AL20" s="18"/>
      <c r="AM20" s="18"/>
      <c r="AN20" s="18"/>
      <c r="AO20" s="18"/>
      <c r="AP20" s="18"/>
      <c r="AR20" s="18"/>
      <c r="AT20" s="18"/>
      <c r="AU20" s="18"/>
      <c r="AW20" s="18">
        <f>AVERAGE(AL2:AW2)</f>
        <v>175.34235555561983</v>
      </c>
      <c r="AX20" s="18"/>
      <c r="AY20" s="18"/>
      <c r="AZ20" s="18"/>
      <c r="BA20" s="18"/>
      <c r="BB20" s="18"/>
      <c r="BC20" s="18"/>
      <c r="BD20" s="18"/>
      <c r="BI20" s="18">
        <f>AVERAGE(AX2:BI2)</f>
        <v>187.68085040579888</v>
      </c>
      <c r="BL20" s="16" t="s">
        <v>53</v>
      </c>
      <c r="BM20" s="765">
        <f>PPI!CB21</f>
        <v>6.6916666666666735E-2</v>
      </c>
      <c r="BN20" s="14" t="s">
        <v>54</v>
      </c>
    </row>
    <row r="21" spans="1:66" ht="15.5" thickBot="1">
      <c r="A21" s="2"/>
      <c r="M21" s="18"/>
      <c r="Y21" s="18">
        <f t="shared" ref="Y21:Y37" si="1">AVERAGE(N3:Y3)</f>
        <v>177.13013282397264</v>
      </c>
      <c r="Z21" s="18"/>
      <c r="AA21" s="18"/>
      <c r="AB21" s="18"/>
      <c r="AC21" s="18"/>
      <c r="AD21" s="18"/>
      <c r="AF21" s="18"/>
      <c r="AH21" s="18"/>
      <c r="AI21" s="18"/>
      <c r="AK21" s="18">
        <f t="shared" ref="AK21:AK37" si="2">AVERAGE(Z3:AK3)</f>
        <v>226.09681478826272</v>
      </c>
      <c r="AL21" s="18"/>
      <c r="AM21" s="18"/>
      <c r="AN21" s="18"/>
      <c r="AO21" s="18"/>
      <c r="AP21" s="18"/>
      <c r="AR21" s="18"/>
      <c r="AT21" s="18"/>
      <c r="AU21" s="18"/>
      <c r="AW21" s="18">
        <f t="shared" ref="AW21:AW31" si="3">AVERAGE(AL3:AW3)</f>
        <v>231.64820607982918</v>
      </c>
      <c r="AX21" s="18"/>
      <c r="AY21" s="18"/>
      <c r="AZ21" s="18"/>
      <c r="BA21" s="18"/>
      <c r="BB21" s="18"/>
      <c r="BC21" s="18"/>
      <c r="BD21" s="18"/>
      <c r="BI21" s="18">
        <f t="shared" ref="BI21:BI37" si="4">AVERAGE(AX3:BI3)</f>
        <v>244.37590913817084</v>
      </c>
      <c r="BL21" s="16"/>
      <c r="BM21" s="683"/>
      <c r="BN21" s="10" t="s">
        <v>55</v>
      </c>
    </row>
    <row r="22" spans="1:66">
      <c r="A22" s="3"/>
      <c r="M22" s="18"/>
      <c r="Y22" s="18">
        <f t="shared" si="1"/>
        <v>162.17504674662737</v>
      </c>
      <c r="Z22" s="18"/>
      <c r="AA22" s="18"/>
      <c r="AB22" s="18"/>
      <c r="AC22" s="18"/>
      <c r="AD22" s="18"/>
      <c r="AF22" s="18"/>
      <c r="AH22" s="18"/>
      <c r="AI22" s="18"/>
      <c r="AK22" s="18">
        <f t="shared" si="2"/>
        <v>186.919202676499</v>
      </c>
      <c r="AL22" s="18"/>
      <c r="AM22" s="18"/>
      <c r="AN22" s="18"/>
      <c r="AO22" s="18"/>
      <c r="AP22" s="18"/>
      <c r="AR22" s="18"/>
      <c r="AT22" s="18"/>
      <c r="AU22" s="18"/>
      <c r="AW22" s="18">
        <f t="shared" si="3"/>
        <v>185.89573069094294</v>
      </c>
      <c r="AX22" s="18"/>
      <c r="AY22" s="18"/>
      <c r="AZ22" s="18"/>
      <c r="BA22" s="18"/>
      <c r="BB22" s="18"/>
      <c r="BC22" s="18"/>
      <c r="BD22" s="18"/>
      <c r="BI22" s="18">
        <f t="shared" si="4"/>
        <v>196.69412499531805</v>
      </c>
      <c r="BL22" s="16"/>
      <c r="BM22" s="683"/>
      <c r="BN22" s="4" t="s">
        <v>56</v>
      </c>
    </row>
    <row r="23" spans="1:66">
      <c r="A23" s="1"/>
      <c r="M23" s="18"/>
      <c r="Y23" s="18">
        <f t="shared" si="1"/>
        <v>178.13663102094029</v>
      </c>
      <c r="Z23" s="18"/>
      <c r="AA23" s="18"/>
      <c r="AB23" s="18"/>
      <c r="AC23" s="18"/>
      <c r="AD23" s="18"/>
      <c r="AF23" s="18"/>
      <c r="AH23" s="18"/>
      <c r="AI23" s="18"/>
      <c r="AK23" s="18">
        <f t="shared" si="2"/>
        <v>201.79974064333337</v>
      </c>
      <c r="AL23" s="18"/>
      <c r="AM23" s="18"/>
      <c r="AN23" s="18"/>
      <c r="AO23" s="18"/>
      <c r="AP23" s="18"/>
      <c r="AR23" s="18"/>
      <c r="AT23" s="18"/>
      <c r="AU23" s="18"/>
      <c r="AW23" s="18">
        <f t="shared" si="3"/>
        <v>235.08534414040943</v>
      </c>
      <c r="AX23" s="18"/>
      <c r="AY23" s="18"/>
      <c r="AZ23" s="18"/>
      <c r="BA23" s="18"/>
      <c r="BB23" s="18"/>
      <c r="BC23" s="18"/>
      <c r="BD23" s="18"/>
      <c r="BI23" s="18">
        <f t="shared" si="4"/>
        <v>298.29958256038714</v>
      </c>
      <c r="BL23" s="16" t="s">
        <v>20</v>
      </c>
      <c r="BM23" s="650">
        <f>BK2</f>
        <v>7.036802266674913E-2</v>
      </c>
      <c r="BN23" s="11" t="s">
        <v>57</v>
      </c>
    </row>
    <row r="24" spans="1:66">
      <c r="A24" s="1"/>
      <c r="M24" s="18"/>
      <c r="Y24" s="18">
        <f t="shared" si="1"/>
        <v>143.78985672553679</v>
      </c>
      <c r="Z24" s="18"/>
      <c r="AA24" s="18"/>
      <c r="AB24" s="18"/>
      <c r="AC24" s="18"/>
      <c r="AD24" s="18"/>
      <c r="AF24" s="18"/>
      <c r="AH24" s="18"/>
      <c r="AI24" s="18"/>
      <c r="AK24" s="18">
        <f t="shared" si="2"/>
        <v>166.44494181684757</v>
      </c>
      <c r="AL24" s="18"/>
      <c r="AM24" s="18"/>
      <c r="AN24" s="18"/>
      <c r="AO24" s="18"/>
      <c r="AP24" s="18"/>
      <c r="AR24" s="18"/>
      <c r="AT24" s="18"/>
      <c r="AU24" s="18"/>
      <c r="AW24" s="18">
        <f t="shared" si="3"/>
        <v>198.53287877234217</v>
      </c>
      <c r="AX24" s="18"/>
      <c r="AY24" s="18"/>
      <c r="AZ24" s="18"/>
      <c r="BA24" s="18"/>
      <c r="BB24" s="18"/>
      <c r="BC24" s="18"/>
      <c r="BD24" s="18"/>
      <c r="BI24" s="18">
        <f t="shared" si="4"/>
        <v>214.01464260755793</v>
      </c>
      <c r="BL24" s="16" t="s">
        <v>20</v>
      </c>
      <c r="BM24" s="650">
        <f>BK2</f>
        <v>7.036802266674913E-2</v>
      </c>
      <c r="BN24" s="11" t="s">
        <v>58</v>
      </c>
    </row>
    <row r="25" spans="1:66">
      <c r="A25" s="1"/>
      <c r="M25" s="18"/>
      <c r="Y25" s="18">
        <f t="shared" si="1"/>
        <v>194.20787345524386</v>
      </c>
      <c r="Z25" s="18"/>
      <c r="AA25" s="18"/>
      <c r="AB25" s="18"/>
      <c r="AC25" s="18"/>
      <c r="AD25" s="18"/>
      <c r="AF25" s="18"/>
      <c r="AH25" s="18"/>
      <c r="AI25" s="18"/>
      <c r="AK25" s="18">
        <f t="shared" si="2"/>
        <v>291.16326698283888</v>
      </c>
      <c r="AL25" s="18"/>
      <c r="AM25" s="18"/>
      <c r="AN25" s="18"/>
      <c r="AO25" s="18"/>
      <c r="AP25" s="18"/>
      <c r="AR25" s="18"/>
      <c r="AT25" s="18"/>
      <c r="AU25" s="18"/>
      <c r="AW25" s="18">
        <f t="shared" si="3"/>
        <v>279.40808741934143</v>
      </c>
      <c r="AX25" s="18"/>
      <c r="AY25" s="18"/>
      <c r="AZ25" s="18"/>
      <c r="BA25" s="18"/>
      <c r="BB25" s="18"/>
      <c r="BC25" s="18"/>
      <c r="BD25" s="18"/>
      <c r="BI25" s="18">
        <f t="shared" si="4"/>
        <v>273.10886369145896</v>
      </c>
      <c r="BL25" s="16" t="s">
        <v>59</v>
      </c>
      <c r="BM25" s="650">
        <f>BK14</f>
        <v>8.8875957704916519E-2</v>
      </c>
      <c r="BN25" s="11" t="s">
        <v>60</v>
      </c>
    </row>
    <row r="26" spans="1:66">
      <c r="A26" s="1"/>
      <c r="M26" s="18"/>
      <c r="Y26" s="18">
        <f t="shared" si="1"/>
        <v>146.23323221774226</v>
      </c>
      <c r="Z26" s="18"/>
      <c r="AA26" s="18"/>
      <c r="AB26" s="18"/>
      <c r="AC26" s="18"/>
      <c r="AD26" s="18"/>
      <c r="AF26" s="18"/>
      <c r="AH26" s="18"/>
      <c r="AI26" s="18"/>
      <c r="AK26" s="18">
        <f t="shared" si="2"/>
        <v>177.58010312428985</v>
      </c>
      <c r="AL26" s="18"/>
      <c r="AM26" s="18"/>
      <c r="AN26" s="18"/>
      <c r="AO26" s="18"/>
      <c r="AP26" s="18"/>
      <c r="AR26" s="18"/>
      <c r="AT26" s="18"/>
      <c r="AU26" s="18"/>
      <c r="AW26" s="18">
        <f t="shared" si="3"/>
        <v>192.06760978286104</v>
      </c>
      <c r="AX26" s="18"/>
      <c r="AY26" s="18"/>
      <c r="AZ26" s="18"/>
      <c r="BA26" s="18"/>
      <c r="BB26" s="18"/>
      <c r="BC26" s="18"/>
      <c r="BD26" s="18"/>
      <c r="BI26" s="18">
        <f t="shared" si="4"/>
        <v>204.00600983861639</v>
      </c>
      <c r="BL26" s="16"/>
      <c r="BM26" s="683"/>
      <c r="BN26" s="4" t="s">
        <v>61</v>
      </c>
    </row>
    <row r="27" spans="1:66">
      <c r="A27" s="1"/>
      <c r="M27" s="18"/>
      <c r="Y27" s="18">
        <f t="shared" si="1"/>
        <v>192.230853223997</v>
      </c>
      <c r="Z27" s="18"/>
      <c r="AA27" s="18"/>
      <c r="AB27" s="18"/>
      <c r="AC27" s="18"/>
      <c r="AD27" s="18"/>
      <c r="AF27" s="18"/>
      <c r="AH27" s="18"/>
      <c r="AI27" s="18"/>
      <c r="AK27" s="18">
        <f t="shared" si="2"/>
        <v>221.45515683578719</v>
      </c>
      <c r="AL27" s="18"/>
      <c r="AM27" s="18"/>
      <c r="AN27" s="18"/>
      <c r="AO27" s="18"/>
      <c r="AP27" s="18"/>
      <c r="AR27" s="18"/>
      <c r="AT27" s="18"/>
      <c r="AU27" s="18"/>
      <c r="AW27" s="18">
        <f t="shared" si="3"/>
        <v>228.04154681673671</v>
      </c>
      <c r="AX27" s="18"/>
      <c r="AY27" s="18"/>
      <c r="AZ27" s="18"/>
      <c r="BA27" s="18"/>
      <c r="BB27" s="18"/>
      <c r="BC27" s="18"/>
      <c r="BD27" s="18"/>
      <c r="BI27" s="18">
        <f t="shared" si="4"/>
        <v>252.68160348395347</v>
      </c>
      <c r="BL27" s="16" t="s">
        <v>62</v>
      </c>
      <c r="BM27" s="650">
        <f>BK18</f>
        <v>0.16399858523093669</v>
      </c>
      <c r="BN27" s="9" t="s">
        <v>63</v>
      </c>
    </row>
    <row r="28" spans="1:66">
      <c r="A28" s="3"/>
      <c r="M28" s="18"/>
      <c r="Y28" s="18">
        <f t="shared" si="1"/>
        <v>140.69603922426066</v>
      </c>
      <c r="Z28" s="18"/>
      <c r="AA28" s="18"/>
      <c r="AB28" s="18"/>
      <c r="AC28" s="18"/>
      <c r="AD28" s="18"/>
      <c r="AF28" s="18"/>
      <c r="AH28" s="18"/>
      <c r="AI28" s="18"/>
      <c r="AK28" s="18">
        <f t="shared" si="2"/>
        <v>151.47980806082089</v>
      </c>
      <c r="AL28" s="18"/>
      <c r="AM28" s="18"/>
      <c r="AN28" s="18"/>
      <c r="AO28" s="18"/>
      <c r="AP28" s="18"/>
      <c r="AR28" s="18"/>
      <c r="AT28" s="18"/>
      <c r="AU28" s="18"/>
      <c r="AW28" s="18">
        <f t="shared" si="3"/>
        <v>160.05914002107426</v>
      </c>
      <c r="AX28" s="18"/>
      <c r="AY28" s="18"/>
      <c r="AZ28" s="18"/>
      <c r="BA28" s="18"/>
      <c r="BB28" s="18"/>
      <c r="BC28" s="18"/>
      <c r="BD28" s="18"/>
      <c r="BI28" s="18">
        <f t="shared" si="4"/>
        <v>167.4819380013173</v>
      </c>
      <c r="BL28" s="16" t="s">
        <v>64</v>
      </c>
      <c r="BM28" s="650">
        <f>BK15</f>
        <v>3.7637160531641456E-2</v>
      </c>
      <c r="BN28" s="9" t="s">
        <v>65</v>
      </c>
    </row>
    <row r="29" spans="1:66">
      <c r="A29" s="3"/>
      <c r="M29" s="18"/>
      <c r="Y29" s="18">
        <f t="shared" si="1"/>
        <v>130.71184463114662</v>
      </c>
      <c r="Z29" s="18"/>
      <c r="AA29" s="18"/>
      <c r="AB29" s="18"/>
      <c r="AC29" s="18"/>
      <c r="AD29" s="18"/>
      <c r="AF29" s="18"/>
      <c r="AH29" s="18"/>
      <c r="AI29" s="18"/>
      <c r="AK29" s="18">
        <f t="shared" si="2"/>
        <v>135.49965429044903</v>
      </c>
      <c r="AL29" s="18"/>
      <c r="AM29" s="18"/>
      <c r="AN29" s="18"/>
      <c r="AO29" s="18"/>
      <c r="AP29" s="18"/>
      <c r="AR29" s="18"/>
      <c r="AT29" s="18"/>
      <c r="AU29" s="18"/>
      <c r="AW29" s="18">
        <f t="shared" si="3"/>
        <v>140.09914494825099</v>
      </c>
      <c r="AX29" s="18"/>
      <c r="AY29" s="18"/>
      <c r="AZ29" s="18"/>
      <c r="BA29" s="18"/>
      <c r="BB29" s="18"/>
      <c r="BC29" s="18"/>
      <c r="BD29" s="18"/>
      <c r="BI29" s="18">
        <f t="shared" si="4"/>
        <v>146.11129805600248</v>
      </c>
      <c r="BL29" s="16" t="s">
        <v>20</v>
      </c>
      <c r="BM29" s="650">
        <f>BK2</f>
        <v>7.036802266674913E-2</v>
      </c>
      <c r="BN29" s="9" t="s">
        <v>66</v>
      </c>
    </row>
    <row r="30" spans="1:66">
      <c r="A30" s="3"/>
      <c r="M30" s="18"/>
      <c r="Y30" s="18">
        <f t="shared" si="1"/>
        <v>138.93122515987932</v>
      </c>
      <c r="Z30" s="18"/>
      <c r="AA30" s="18"/>
      <c r="AB30" s="18"/>
      <c r="AC30" s="18"/>
      <c r="AD30" s="18"/>
      <c r="AF30" s="18"/>
      <c r="AH30" s="18"/>
      <c r="AI30" s="18"/>
      <c r="AK30" s="18">
        <f t="shared" si="2"/>
        <v>150.83557852596812</v>
      </c>
      <c r="AL30" s="18"/>
      <c r="AM30" s="18"/>
      <c r="AN30" s="18"/>
      <c r="AO30" s="18"/>
      <c r="AP30" s="18"/>
      <c r="AR30" s="18"/>
      <c r="AT30" s="18"/>
      <c r="AU30" s="18"/>
      <c r="AW30" s="18">
        <f t="shared" si="3"/>
        <v>157.11301127543246</v>
      </c>
      <c r="AX30" s="18"/>
      <c r="AY30" s="18"/>
      <c r="AZ30" s="18"/>
      <c r="BA30" s="18"/>
      <c r="BB30" s="18"/>
      <c r="BC30" s="18"/>
      <c r="BD30" s="18"/>
      <c r="BI30" s="18">
        <f t="shared" si="4"/>
        <v>168.94463057298091</v>
      </c>
      <c r="BL30" s="16" t="s">
        <v>20</v>
      </c>
      <c r="BM30" s="650">
        <f>BK2</f>
        <v>7.036802266674913E-2</v>
      </c>
      <c r="BN30" s="9" t="s">
        <v>67</v>
      </c>
    </row>
    <row r="31" spans="1:66">
      <c r="A31" s="3"/>
      <c r="M31" s="18"/>
      <c r="Y31" s="18">
        <f t="shared" si="1"/>
        <v>109.12483577470806</v>
      </c>
      <c r="Z31" s="18"/>
      <c r="AA31" s="18"/>
      <c r="AB31" s="18"/>
      <c r="AC31" s="18"/>
      <c r="AD31" s="18"/>
      <c r="AF31" s="18"/>
      <c r="AH31" s="18"/>
      <c r="AI31" s="18"/>
      <c r="AK31" s="18">
        <f t="shared" si="2"/>
        <v>109.69812260307746</v>
      </c>
      <c r="AL31" s="18"/>
      <c r="AM31" s="18"/>
      <c r="AN31" s="18"/>
      <c r="AO31" s="18"/>
      <c r="AP31" s="18"/>
      <c r="AR31" s="18"/>
      <c r="AT31" s="18"/>
      <c r="AU31" s="18"/>
      <c r="AW31" s="18">
        <f t="shared" si="3"/>
        <v>112.83203419229454</v>
      </c>
      <c r="AX31" s="18"/>
      <c r="AY31" s="18"/>
      <c r="AZ31" s="18"/>
      <c r="BA31" s="18"/>
      <c r="BB31" s="18"/>
      <c r="BC31" s="18"/>
      <c r="BD31" s="18"/>
      <c r="BI31" s="18">
        <f t="shared" si="4"/>
        <v>153.66892122688375</v>
      </c>
      <c r="BL31" s="16" t="s">
        <v>20</v>
      </c>
      <c r="BM31" s="650">
        <f>BK2</f>
        <v>7.036802266674913E-2</v>
      </c>
      <c r="BN31" s="9" t="s">
        <v>68</v>
      </c>
    </row>
    <row r="32" spans="1:66">
      <c r="A32" s="3"/>
      <c r="M32" s="18"/>
      <c r="Y32" s="18">
        <f t="shared" si="1"/>
        <v>143.41889753364703</v>
      </c>
      <c r="Z32" s="18"/>
      <c r="AA32" s="18"/>
      <c r="AB32" s="18"/>
      <c r="AC32" s="18"/>
      <c r="AD32" s="18"/>
      <c r="AF32" s="18"/>
      <c r="AH32" s="18"/>
      <c r="AI32" s="18"/>
      <c r="AK32" s="18">
        <f t="shared" si="2"/>
        <v>155.23523298688124</v>
      </c>
      <c r="AL32" s="18"/>
      <c r="AM32" s="18"/>
      <c r="AN32" s="18"/>
      <c r="AO32" s="18"/>
      <c r="AP32" s="18"/>
      <c r="AR32" s="18"/>
      <c r="AT32" s="18"/>
      <c r="AU32" s="18"/>
      <c r="AW32" s="18">
        <f t="shared" ref="AW32:AW37" si="5">AVERAGE(AL14:AW14)</f>
        <v>182.36778621628378</v>
      </c>
      <c r="AX32" s="18"/>
      <c r="AY32" s="18"/>
      <c r="AZ32" s="18"/>
      <c r="BA32" s="18"/>
      <c r="BB32" s="18"/>
      <c r="BC32" s="18"/>
      <c r="BD32" s="18"/>
      <c r="BI32" s="18">
        <f t="shared" si="4"/>
        <v>198.57589787078146</v>
      </c>
      <c r="BL32" s="16" t="s">
        <v>20</v>
      </c>
      <c r="BM32" s="650">
        <f>BK2</f>
        <v>7.036802266674913E-2</v>
      </c>
      <c r="BN32" s="9" t="s">
        <v>69</v>
      </c>
    </row>
    <row r="33" spans="1:66">
      <c r="A33" s="3"/>
      <c r="M33" s="18"/>
      <c r="Y33" s="18">
        <f t="shared" si="1"/>
        <v>107.38454540333034</v>
      </c>
      <c r="Z33" s="18"/>
      <c r="AA33" s="18"/>
      <c r="AB33" s="18"/>
      <c r="AC33" s="18"/>
      <c r="AD33" s="18"/>
      <c r="AF33" s="18"/>
      <c r="AH33" s="18"/>
      <c r="AI33" s="18"/>
      <c r="AK33" s="18">
        <f t="shared" si="2"/>
        <v>108.57477437451827</v>
      </c>
      <c r="AL33" s="18"/>
      <c r="AM33" s="18"/>
      <c r="AN33" s="18"/>
      <c r="AO33" s="18"/>
      <c r="AP33" s="18"/>
      <c r="AR33" s="18"/>
      <c r="AT33" s="18"/>
      <c r="AU33" s="18"/>
      <c r="AW33" s="18">
        <f t="shared" si="5"/>
        <v>109.64141057004802</v>
      </c>
      <c r="AX33" s="18"/>
      <c r="AY33" s="18"/>
      <c r="AZ33" s="18"/>
      <c r="BA33" s="18"/>
      <c r="BB33" s="18"/>
      <c r="BC33" s="18"/>
      <c r="BD33" s="18"/>
      <c r="BI33" s="18">
        <f t="shared" si="4"/>
        <v>113.76800194058853</v>
      </c>
      <c r="BL33" s="16" t="s">
        <v>70</v>
      </c>
      <c r="BM33" s="684"/>
      <c r="BN33" s="9" t="s">
        <v>71</v>
      </c>
    </row>
    <row r="34" spans="1:66">
      <c r="A34" s="3"/>
      <c r="M34" s="18"/>
      <c r="Y34" s="18">
        <f t="shared" si="1"/>
        <v>141.29854162889171</v>
      </c>
      <c r="Z34" s="18"/>
      <c r="AA34" s="18"/>
      <c r="AB34" s="18"/>
      <c r="AC34" s="18"/>
      <c r="AD34" s="18"/>
      <c r="AF34" s="18"/>
      <c r="AH34" s="18"/>
      <c r="AI34" s="18"/>
      <c r="AK34" s="18">
        <f t="shared" si="2"/>
        <v>154.90889090033491</v>
      </c>
      <c r="AL34" s="18"/>
      <c r="AM34" s="18"/>
      <c r="AN34" s="18"/>
      <c r="AO34" s="18"/>
      <c r="AP34" s="18"/>
      <c r="AR34" s="18"/>
      <c r="AT34" s="18"/>
      <c r="AU34" s="18"/>
      <c r="AW34" s="18">
        <f t="shared" si="5"/>
        <v>154.22639689904113</v>
      </c>
      <c r="AX34" s="18"/>
      <c r="AY34" s="18"/>
      <c r="AZ34" s="18"/>
      <c r="BA34" s="18"/>
      <c r="BB34" s="18"/>
      <c r="BC34" s="18"/>
      <c r="BD34" s="18"/>
      <c r="BI34" s="18">
        <f t="shared" si="4"/>
        <v>154.23645872128802</v>
      </c>
      <c r="BL34" s="16" t="s">
        <v>70</v>
      </c>
      <c r="BM34" s="684"/>
      <c r="BN34" s="9" t="s">
        <v>15</v>
      </c>
    </row>
    <row r="35" spans="1:66">
      <c r="A35" s="3"/>
      <c r="M35" s="18"/>
      <c r="Y35" s="18">
        <f t="shared" si="1"/>
        <v>133.2430521527198</v>
      </c>
      <c r="Z35" s="18"/>
      <c r="AA35" s="18"/>
      <c r="AB35" s="18"/>
      <c r="AC35" s="18"/>
      <c r="AD35" s="18"/>
      <c r="AF35" s="18"/>
      <c r="AH35" s="18"/>
      <c r="AI35" s="18"/>
      <c r="AK35" s="18">
        <f t="shared" si="2"/>
        <v>141.8549194134462</v>
      </c>
      <c r="AL35" s="18"/>
      <c r="AM35" s="18"/>
      <c r="AN35" s="18"/>
      <c r="AO35" s="18"/>
      <c r="AP35" s="18"/>
      <c r="AR35" s="18"/>
      <c r="AT35" s="18"/>
      <c r="AU35" s="18"/>
      <c r="AW35" s="18">
        <f t="shared" si="5"/>
        <v>147.46029537304037</v>
      </c>
      <c r="AX35" s="18"/>
      <c r="AY35" s="18"/>
      <c r="AZ35" s="18"/>
      <c r="BA35" s="18"/>
      <c r="BB35" s="18"/>
      <c r="BC35" s="18"/>
      <c r="BD35" s="18"/>
      <c r="BI35" s="18">
        <f t="shared" si="4"/>
        <v>161.43381326858625</v>
      </c>
      <c r="BL35" s="16" t="s">
        <v>70</v>
      </c>
      <c r="BM35" s="684"/>
      <c r="BN35" s="9" t="s">
        <v>72</v>
      </c>
    </row>
    <row r="36" spans="1:66" ht="15.5" thickBot="1">
      <c r="A36" s="3"/>
      <c r="M36" s="18"/>
      <c r="Y36" s="18">
        <f t="shared" si="1"/>
        <v>125.17931943653004</v>
      </c>
      <c r="Z36" s="18"/>
      <c r="AA36" s="18"/>
      <c r="AB36" s="18"/>
      <c r="AC36" s="18"/>
      <c r="AD36" s="18"/>
      <c r="AF36" s="18"/>
      <c r="AH36" s="18"/>
      <c r="AI36" s="18"/>
      <c r="AK36" s="18">
        <f t="shared" si="2"/>
        <v>137.626207162149</v>
      </c>
      <c r="AL36" s="18"/>
      <c r="AM36" s="18"/>
      <c r="AN36" s="18"/>
      <c r="AO36" s="18"/>
      <c r="AP36" s="18"/>
      <c r="AR36" s="18"/>
      <c r="AT36" s="18"/>
      <c r="AU36" s="18"/>
      <c r="AW36" s="18">
        <f t="shared" si="5"/>
        <v>143.59870376180177</v>
      </c>
      <c r="AX36" s="18"/>
      <c r="AY36" s="18"/>
      <c r="AZ36" s="18"/>
      <c r="BA36" s="18"/>
      <c r="BB36" s="18"/>
      <c r="BC36" s="18"/>
      <c r="BD36" s="18"/>
      <c r="BI36" s="18">
        <f t="shared" si="4"/>
        <v>167.14868801973364</v>
      </c>
      <c r="BL36" s="16" t="s">
        <v>20</v>
      </c>
      <c r="BM36" s="650">
        <f>BK2</f>
        <v>7.036802266674913E-2</v>
      </c>
      <c r="BN36" s="8" t="s">
        <v>73</v>
      </c>
    </row>
    <row r="37" spans="1:66" ht="15.5" thickBot="1">
      <c r="A37" s="3"/>
      <c r="M37" s="18"/>
      <c r="Y37" s="18">
        <f t="shared" si="1"/>
        <v>122.53999950288313</v>
      </c>
      <c r="Z37" s="18"/>
      <c r="AA37" s="18"/>
      <c r="AB37" s="18"/>
      <c r="AC37" s="18"/>
      <c r="AD37" s="18"/>
      <c r="AF37" s="18"/>
      <c r="AH37" s="18"/>
      <c r="AI37" s="18"/>
      <c r="AK37" s="18">
        <f t="shared" si="2"/>
        <v>131.7489778003376</v>
      </c>
      <c r="AL37" s="18"/>
      <c r="AM37" s="18"/>
      <c r="AN37" s="18"/>
      <c r="AO37" s="18"/>
      <c r="AP37" s="18"/>
      <c r="AR37" s="18"/>
      <c r="AT37" s="18"/>
      <c r="AU37" s="18"/>
      <c r="AW37" s="18">
        <f t="shared" si="5"/>
        <v>139.16549897915866</v>
      </c>
      <c r="AX37" s="18"/>
      <c r="AY37" s="18"/>
      <c r="AZ37" s="18"/>
      <c r="BA37" s="18"/>
      <c r="BB37" s="18"/>
      <c r="BC37" s="18"/>
      <c r="BD37" s="18"/>
      <c r="BI37" s="18">
        <f t="shared" si="4"/>
        <v>146.04729115871169</v>
      </c>
      <c r="BL37" s="16"/>
      <c r="BM37" s="15"/>
      <c r="BN37" s="8"/>
    </row>
    <row r="38" spans="1:66" ht="15.5" thickBot="1">
      <c r="A38" s="3"/>
      <c r="M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L38" s="16" t="s">
        <v>74</v>
      </c>
      <c r="BM38" s="15"/>
      <c r="BN38" s="7" t="s">
        <v>75</v>
      </c>
    </row>
    <row r="39" spans="1:66">
      <c r="M39" s="18"/>
    </row>
    <row r="40" spans="1:66">
      <c r="B40" s="18">
        <v>112.95568752351471</v>
      </c>
      <c r="C40" s="18">
        <v>112.47517177376601</v>
      </c>
      <c r="D40" s="18">
        <v>113.70261807580162</v>
      </c>
      <c r="E40" s="18">
        <v>114.38172520448985</v>
      </c>
      <c r="F40" s="18">
        <v>114.80018748006934</v>
      </c>
      <c r="G40" s="18">
        <v>114.59573252538176</v>
      </c>
      <c r="H40" s="18">
        <v>113.72814942895685</v>
      </c>
      <c r="I40" s="18">
        <v>113.60797818675478</v>
      </c>
      <c r="J40" s="18">
        <v>113.88427781982193</v>
      </c>
      <c r="K40" s="18">
        <v>115.11995354623087</v>
      </c>
      <c r="L40" s="18">
        <v>116.50878077561238</v>
      </c>
      <c r="M40" s="18"/>
      <c r="N40" s="69">
        <v>113.70730457494773</v>
      </c>
      <c r="O40" s="69">
        <v>114.53570310198522</v>
      </c>
      <c r="P40" s="69">
        <v>115.35701055546325</v>
      </c>
      <c r="Q40" s="69">
        <v>116.80565561377662</v>
      </c>
      <c r="R40" s="69">
        <v>118.03255081362364</v>
      </c>
      <c r="S40" s="69">
        <v>116.99556691059966</v>
      </c>
      <c r="T40" s="69">
        <v>115.84769320168074</v>
      </c>
      <c r="U40" s="69">
        <v>116.32555075214434</v>
      </c>
      <c r="V40" s="69">
        <v>116.51866148464541</v>
      </c>
      <c r="W40" s="69">
        <v>115.81580110704473</v>
      </c>
      <c r="X40" s="69">
        <v>115.21639119318034</v>
      </c>
      <c r="Y40" s="69">
        <v>114.99840678345187</v>
      </c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t="s">
        <v>305</v>
      </c>
      <c r="BF40" s="18"/>
      <c r="BG40" s="18"/>
      <c r="BH40" s="18"/>
      <c r="BI40" s="18"/>
      <c r="BJ40" s="18"/>
      <c r="BK40" s="18"/>
    </row>
    <row r="41" spans="1:66">
      <c r="B41" s="18">
        <f>B2-B40</f>
        <v>13.95576201580559</v>
      </c>
      <c r="C41" s="18">
        <f t="shared" ref="C41:X41" si="6">C2-C40</f>
        <v>14.901401844005164</v>
      </c>
      <c r="D41" s="18">
        <f t="shared" si="6"/>
        <v>15.447470094318973</v>
      </c>
      <c r="E41" s="18">
        <f t="shared" si="6"/>
        <v>14.976271222841532</v>
      </c>
      <c r="F41" s="18">
        <f t="shared" si="6"/>
        <v>13.939817849155176</v>
      </c>
      <c r="G41" s="18">
        <f t="shared" si="6"/>
        <v>13.880563438626396</v>
      </c>
      <c r="H41" s="18">
        <f t="shared" si="6"/>
        <v>14.710079380371198</v>
      </c>
      <c r="I41" s="18">
        <f t="shared" si="6"/>
        <v>15.156248543181377</v>
      </c>
      <c r="J41" s="18">
        <f t="shared" si="6"/>
        <v>15.656638850435485</v>
      </c>
      <c r="K41" s="18">
        <f t="shared" si="6"/>
        <v>15.252553048384954</v>
      </c>
      <c r="L41" s="18">
        <f t="shared" si="6"/>
        <v>13.151875777176585</v>
      </c>
      <c r="M41" s="18"/>
      <c r="N41" s="18">
        <f t="shared" si="6"/>
        <v>18.69470021080835</v>
      </c>
      <c r="O41" s="18">
        <f t="shared" si="6"/>
        <v>20.214751416934163</v>
      </c>
      <c r="P41" s="18">
        <f t="shared" si="6"/>
        <v>23.521029900368049</v>
      </c>
      <c r="Q41" s="18">
        <f t="shared" si="6"/>
        <v>25.397125773011254</v>
      </c>
      <c r="R41" s="18">
        <f t="shared" si="6"/>
        <v>26.894131195810999</v>
      </c>
      <c r="S41" s="18">
        <f t="shared" si="6"/>
        <v>29.035033926745186</v>
      </c>
      <c r="T41" s="18">
        <f t="shared" si="6"/>
        <v>32.593461748963094</v>
      </c>
      <c r="U41" s="18">
        <f t="shared" si="6"/>
        <v>32.874897954837238</v>
      </c>
      <c r="V41" s="18">
        <f t="shared" si="6"/>
        <v>35.88584051551905</v>
      </c>
      <c r="W41" s="18">
        <f t="shared" si="6"/>
        <v>40.717436285698398</v>
      </c>
      <c r="X41" s="18">
        <f t="shared" si="6"/>
        <v>42.592062252489583</v>
      </c>
      <c r="Y41" s="18">
        <f>Y2-Y40</f>
        <v>42.764968965329118</v>
      </c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F41" s="18"/>
      <c r="BG41" s="18"/>
      <c r="BH41" s="18"/>
      <c r="BI41" s="18"/>
      <c r="BJ41" s="18"/>
      <c r="BK41" s="18"/>
    </row>
    <row r="42" spans="1:66">
      <c r="B42" s="70">
        <v>112.47517177376601</v>
      </c>
      <c r="C42" s="70">
        <v>113.70261807580162</v>
      </c>
      <c r="D42" s="70">
        <v>114.38172520448985</v>
      </c>
      <c r="E42" s="70">
        <v>114.80018748006934</v>
      </c>
      <c r="F42" s="70">
        <v>114.59573252538176</v>
      </c>
      <c r="G42" s="70">
        <v>113.72814942895685</v>
      </c>
      <c r="H42" s="70">
        <v>113.60797818675478</v>
      </c>
      <c r="I42" s="70">
        <v>113.88427781982193</v>
      </c>
      <c r="J42" s="70">
        <v>115.11995354623087</v>
      </c>
      <c r="K42" s="70">
        <v>116.50878077561238</v>
      </c>
      <c r="L42" s="70">
        <v>115.12688977952583</v>
      </c>
      <c r="M42" s="70"/>
      <c r="N42" s="70">
        <v>113.89613300408681</v>
      </c>
      <c r="O42" s="70">
        <v>114.53570310198522</v>
      </c>
      <c r="P42" s="70">
        <v>115.35701055546325</v>
      </c>
      <c r="Q42" s="70">
        <v>116.80565561377662</v>
      </c>
      <c r="R42" s="70">
        <v>118.03255081362364</v>
      </c>
      <c r="S42" s="70">
        <v>116.99556691059966</v>
      </c>
      <c r="T42" s="70">
        <v>115.84769320168074</v>
      </c>
      <c r="U42" s="70">
        <v>116.32555075214434</v>
      </c>
      <c r="V42" s="70">
        <v>116.51866148464541</v>
      </c>
      <c r="W42" s="70">
        <v>115.81580110704473</v>
      </c>
      <c r="X42" s="70">
        <v>115.21639119318034</v>
      </c>
      <c r="Y42" s="70">
        <v>114.99840678345187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t="s">
        <v>306</v>
      </c>
      <c r="BF42" s="18"/>
      <c r="BG42" s="18"/>
      <c r="BH42" s="18"/>
      <c r="BI42" s="18"/>
      <c r="BJ42" s="18"/>
      <c r="BK42" s="18"/>
    </row>
    <row r="43" spans="1:66">
      <c r="B43" s="18">
        <f>B42-B2</f>
        <v>-14.436277765554294</v>
      </c>
      <c r="C43" s="18">
        <f t="shared" ref="C43:Y43" si="7">C42-C2</f>
        <v>-13.673955541969548</v>
      </c>
      <c r="D43" s="18">
        <f t="shared" si="7"/>
        <v>-14.768362965630743</v>
      </c>
      <c r="E43" s="18">
        <f t="shared" si="7"/>
        <v>-14.557808947262046</v>
      </c>
      <c r="F43" s="18">
        <f t="shared" si="7"/>
        <v>-14.144272803842753</v>
      </c>
      <c r="G43" s="18">
        <f t="shared" si="7"/>
        <v>-14.748146535051305</v>
      </c>
      <c r="H43" s="18">
        <f t="shared" si="7"/>
        <v>-14.830250622573274</v>
      </c>
      <c r="I43" s="18">
        <f t="shared" si="7"/>
        <v>-14.879948910114223</v>
      </c>
      <c r="J43" s="18">
        <f t="shared" si="7"/>
        <v>-14.420963124026542</v>
      </c>
      <c r="K43" s="18">
        <f t="shared" si="7"/>
        <v>-13.863725819003449</v>
      </c>
      <c r="L43" s="18">
        <f t="shared" si="7"/>
        <v>-14.533766773263139</v>
      </c>
      <c r="M43" s="18"/>
      <c r="N43" s="18">
        <f t="shared" si="7"/>
        <v>-18.505871781669271</v>
      </c>
      <c r="O43" s="18">
        <f t="shared" si="7"/>
        <v>-20.214751416934163</v>
      </c>
      <c r="P43" s="18">
        <f t="shared" si="7"/>
        <v>-23.521029900368049</v>
      </c>
      <c r="Q43" s="18">
        <f t="shared" si="7"/>
        <v>-25.397125773011254</v>
      </c>
      <c r="R43" s="18">
        <f t="shared" si="7"/>
        <v>-26.894131195810999</v>
      </c>
      <c r="S43" s="18">
        <f t="shared" si="7"/>
        <v>-29.035033926745186</v>
      </c>
      <c r="T43" s="18">
        <f t="shared" si="7"/>
        <v>-32.593461748963094</v>
      </c>
      <c r="U43" s="18">
        <f t="shared" si="7"/>
        <v>-32.874897954837238</v>
      </c>
      <c r="V43" s="18">
        <f t="shared" si="7"/>
        <v>-35.88584051551905</v>
      </c>
      <c r="W43" s="18">
        <f t="shared" si="7"/>
        <v>-40.717436285698398</v>
      </c>
      <c r="X43" s="18">
        <f t="shared" si="7"/>
        <v>-42.592062252489583</v>
      </c>
      <c r="Y43" s="18">
        <f t="shared" si="7"/>
        <v>-42.764968965329118</v>
      </c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F43" s="18"/>
      <c r="BG43" s="18"/>
      <c r="BH43" s="18"/>
      <c r="BI43" s="18"/>
      <c r="BJ43" s="18"/>
      <c r="BK43" s="18"/>
    </row>
  </sheetData>
  <phoneticPr fontId="66" type="noConversion"/>
  <pageMargins left="0.7" right="0.7" top="0.75" bottom="0.75" header="0.3" footer="0.3"/>
  <pageSetup paperSize="9" orientation="portrait" r:id="rId1"/>
  <ignoredErrors>
    <ignoredError sqref="AW21:AW3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0AEC-0B51-4F8A-A334-2774FCFBFD81}">
  <dimension ref="A1:CD84"/>
  <sheetViews>
    <sheetView workbookViewId="0">
      <pane xSplit="1" ySplit="2" topLeftCell="BN54" activePane="bottomRight" state="frozen"/>
      <selection pane="topRight" activeCell="B1" sqref="B1"/>
      <selection pane="bottomLeft" activeCell="A2" sqref="A2"/>
      <selection pane="bottomRight" activeCell="CA9" sqref="CA9"/>
    </sheetView>
  </sheetViews>
  <sheetFormatPr defaultRowHeight="14.75"/>
  <cols>
    <col min="1" max="1" width="39.26953125" customWidth="1"/>
    <col min="2" max="13" width="8.7265625" customWidth="1"/>
    <col min="56" max="63" width="8.7265625" style="694"/>
    <col min="65" max="65" width="14.36328125" customWidth="1"/>
    <col min="66" max="66" width="14.1796875" bestFit="1" customWidth="1"/>
    <col min="79" max="79" width="74.7265625" bestFit="1" customWidth="1"/>
  </cols>
  <sheetData>
    <row r="1" spans="1:82" ht="15.5" thickBot="1">
      <c r="BM1" s="769">
        <v>2025</v>
      </c>
      <c r="BN1" s="769"/>
    </row>
    <row r="2" spans="1:82" ht="15.5" thickBot="1">
      <c r="B2" s="96">
        <v>44197</v>
      </c>
      <c r="C2" s="96">
        <v>44228</v>
      </c>
      <c r="D2" s="96">
        <v>44256</v>
      </c>
      <c r="E2" s="96">
        <v>44287</v>
      </c>
      <c r="F2" s="96">
        <v>44317</v>
      </c>
      <c r="G2" s="96">
        <v>44348</v>
      </c>
      <c r="H2" s="96">
        <v>44378</v>
      </c>
      <c r="I2" s="96">
        <v>44409</v>
      </c>
      <c r="J2" s="96">
        <v>44440</v>
      </c>
      <c r="K2" s="96">
        <v>44470</v>
      </c>
      <c r="L2" s="96">
        <v>44501</v>
      </c>
      <c r="M2" s="96">
        <v>44531</v>
      </c>
      <c r="N2" s="96">
        <v>44562</v>
      </c>
      <c r="O2" s="96">
        <v>44593</v>
      </c>
      <c r="P2" s="96">
        <v>44621</v>
      </c>
      <c r="Q2" s="96">
        <v>44652</v>
      </c>
      <c r="R2" s="96">
        <v>44682</v>
      </c>
      <c r="S2" s="96">
        <v>44713</v>
      </c>
      <c r="T2" s="96">
        <v>44743</v>
      </c>
      <c r="U2" s="96">
        <v>44774</v>
      </c>
      <c r="V2" s="96">
        <v>44805</v>
      </c>
      <c r="W2" s="96">
        <v>44835</v>
      </c>
      <c r="X2" s="96">
        <v>44866</v>
      </c>
      <c r="Y2" s="96">
        <v>44896</v>
      </c>
      <c r="Z2" s="96">
        <v>44927</v>
      </c>
      <c r="AA2" s="96">
        <v>44958</v>
      </c>
      <c r="AB2" s="96">
        <v>44986</v>
      </c>
      <c r="AC2" s="96">
        <v>45017</v>
      </c>
      <c r="AD2" s="96">
        <v>45047</v>
      </c>
      <c r="AE2" s="96">
        <v>45078</v>
      </c>
      <c r="AF2" s="96">
        <v>45108</v>
      </c>
      <c r="AG2" s="96">
        <v>45139</v>
      </c>
      <c r="AH2" s="96">
        <v>45170</v>
      </c>
      <c r="AI2" s="96">
        <v>45200</v>
      </c>
      <c r="AJ2" s="96">
        <v>45231</v>
      </c>
      <c r="AK2" s="96">
        <v>45261</v>
      </c>
      <c r="AL2" s="96">
        <v>45292</v>
      </c>
      <c r="AM2" s="96">
        <v>45323</v>
      </c>
      <c r="AN2" s="96">
        <v>45352</v>
      </c>
      <c r="AO2" s="96">
        <v>45383</v>
      </c>
      <c r="AP2" s="96">
        <v>45413</v>
      </c>
      <c r="AQ2" s="96">
        <v>45444</v>
      </c>
      <c r="AR2" s="96">
        <v>45474</v>
      </c>
      <c r="AS2" s="96">
        <v>45505</v>
      </c>
      <c r="AT2" s="96">
        <v>45536</v>
      </c>
      <c r="AU2" s="96">
        <v>45566</v>
      </c>
      <c r="AV2" s="96">
        <v>45597</v>
      </c>
      <c r="AW2" s="96">
        <v>45627</v>
      </c>
      <c r="AX2" s="695">
        <v>45658</v>
      </c>
      <c r="AY2" s="695">
        <v>45689</v>
      </c>
      <c r="AZ2" s="695">
        <v>45717</v>
      </c>
      <c r="BA2" s="695">
        <v>45748</v>
      </c>
      <c r="BB2" s="695">
        <v>45778</v>
      </c>
      <c r="BC2" s="695">
        <v>45809</v>
      </c>
      <c r="BD2" s="695">
        <v>45839</v>
      </c>
      <c r="BE2" s="695">
        <v>45870</v>
      </c>
      <c r="BF2" s="695">
        <v>45901</v>
      </c>
      <c r="BG2" s="695">
        <v>45931</v>
      </c>
      <c r="BH2" s="695">
        <v>45962</v>
      </c>
      <c r="BI2" s="695">
        <v>45992</v>
      </c>
      <c r="BJ2" s="695">
        <v>46023</v>
      </c>
      <c r="BK2" s="695"/>
      <c r="BL2" s="647">
        <v>2024</v>
      </c>
      <c r="BM2" s="693" t="s">
        <v>797</v>
      </c>
      <c r="BN2" s="95" t="s">
        <v>798</v>
      </c>
    </row>
    <row r="3" spans="1:82">
      <c r="A3" s="78" t="s">
        <v>76</v>
      </c>
      <c r="B3" s="114">
        <v>71.900000000000006</v>
      </c>
      <c r="C3" s="115">
        <v>72.2</v>
      </c>
      <c r="D3" s="115">
        <v>72.8</v>
      </c>
      <c r="E3" s="115">
        <v>72.7</v>
      </c>
      <c r="F3" s="115">
        <v>73</v>
      </c>
      <c r="G3" s="115">
        <v>74.7</v>
      </c>
      <c r="H3" s="115">
        <v>75</v>
      </c>
      <c r="I3" s="115">
        <v>73.8</v>
      </c>
      <c r="J3" s="116">
        <v>74.400000000000006</v>
      </c>
      <c r="K3" s="116">
        <v>74.7</v>
      </c>
      <c r="L3" s="116">
        <v>75.099999999999994</v>
      </c>
      <c r="M3" s="117">
        <v>77.2</v>
      </c>
      <c r="N3" s="118">
        <v>77.7</v>
      </c>
      <c r="O3" s="116">
        <v>79.099999999999994</v>
      </c>
      <c r="P3" s="116">
        <v>82.3</v>
      </c>
      <c r="Q3" s="116">
        <v>83</v>
      </c>
      <c r="R3" s="116">
        <v>88.4</v>
      </c>
      <c r="S3" s="116">
        <v>85.6</v>
      </c>
      <c r="T3" s="116">
        <v>81</v>
      </c>
      <c r="U3" s="71">
        <v>82.8</v>
      </c>
      <c r="V3" s="71">
        <v>84.1</v>
      </c>
      <c r="W3" s="71">
        <v>85</v>
      </c>
      <c r="X3" s="71">
        <v>84.4</v>
      </c>
      <c r="Y3" s="117">
        <v>87.1</v>
      </c>
      <c r="Z3" s="116">
        <v>88.4</v>
      </c>
      <c r="AA3" s="116">
        <v>88.3</v>
      </c>
      <c r="AB3" s="116">
        <v>88.3</v>
      </c>
      <c r="AC3" s="116">
        <v>90.9</v>
      </c>
      <c r="AD3" s="116">
        <v>92.3</v>
      </c>
      <c r="AE3" s="116">
        <v>96.2</v>
      </c>
      <c r="AF3" s="116">
        <v>100.6</v>
      </c>
      <c r="AG3" s="116">
        <v>101.7</v>
      </c>
      <c r="AH3" s="116">
        <v>106.7</v>
      </c>
      <c r="AI3" s="116">
        <v>108.1</v>
      </c>
      <c r="AJ3" s="116">
        <v>105.6</v>
      </c>
      <c r="AK3" s="116">
        <v>104.8</v>
      </c>
      <c r="AL3" s="116">
        <v>105.2</v>
      </c>
      <c r="AM3" s="116">
        <v>100.6</v>
      </c>
      <c r="AN3" s="116">
        <v>100.2</v>
      </c>
      <c r="AO3" s="116">
        <v>100</v>
      </c>
      <c r="AP3" s="116">
        <v>98.7</v>
      </c>
      <c r="AQ3" s="116">
        <v>94.4</v>
      </c>
      <c r="AR3" s="116">
        <v>95.1</v>
      </c>
      <c r="AS3" s="116">
        <v>96.5</v>
      </c>
      <c r="AT3" s="116">
        <v>96.8</v>
      </c>
      <c r="AU3" s="116">
        <v>102</v>
      </c>
      <c r="AV3" s="116">
        <v>105.5</v>
      </c>
      <c r="AW3" s="116">
        <v>105</v>
      </c>
      <c r="AX3" s="696">
        <v>105.9</v>
      </c>
      <c r="AY3" s="697">
        <v>104.9</v>
      </c>
      <c r="AZ3" s="696">
        <v>104.3</v>
      </c>
      <c r="BA3" s="696">
        <v>102.4</v>
      </c>
      <c r="BB3" s="698">
        <v>105</v>
      </c>
      <c r="BC3" s="696">
        <v>105.6</v>
      </c>
      <c r="BD3" s="696">
        <v>107.5</v>
      </c>
      <c r="BE3" s="729">
        <v>107.1</v>
      </c>
      <c r="BF3" s="729">
        <v>109.8</v>
      </c>
      <c r="BG3" s="729">
        <v>108.9</v>
      </c>
      <c r="BH3" s="729">
        <v>109.1</v>
      </c>
      <c r="BI3" s="729">
        <v>109.8</v>
      </c>
      <c r="BJ3" s="729"/>
      <c r="BK3" s="729"/>
      <c r="BL3" s="648">
        <f>AVERAGE(AL3:AW3)</f>
        <v>100</v>
      </c>
      <c r="BM3" s="648">
        <f>AVERAGE(AX3:BI3)</f>
        <v>106.69166666666666</v>
      </c>
      <c r="BN3" s="718">
        <f>BM3/BL3-1</f>
        <v>6.6916666666666735E-2</v>
      </c>
      <c r="CA3" s="92" t="s">
        <v>18</v>
      </c>
      <c r="CB3" s="88"/>
      <c r="CC3" s="16"/>
      <c r="CD3" s="6"/>
    </row>
    <row r="4" spans="1:82">
      <c r="A4" s="79" t="s">
        <v>77</v>
      </c>
      <c r="B4" s="119">
        <v>77.3</v>
      </c>
      <c r="C4" s="120">
        <v>77.3</v>
      </c>
      <c r="D4" s="120">
        <v>77.400000000000006</v>
      </c>
      <c r="E4" s="120">
        <v>79.599999999999994</v>
      </c>
      <c r="F4" s="120">
        <v>79.7</v>
      </c>
      <c r="G4" s="120">
        <v>85.9</v>
      </c>
      <c r="H4" s="120">
        <v>86.2</v>
      </c>
      <c r="I4" s="120">
        <v>86.4</v>
      </c>
      <c r="J4" s="120">
        <v>87.5</v>
      </c>
      <c r="K4" s="120">
        <v>87.7</v>
      </c>
      <c r="L4" s="120">
        <v>88.9</v>
      </c>
      <c r="M4" s="121">
        <v>92.7</v>
      </c>
      <c r="N4" s="119">
        <v>92.7</v>
      </c>
      <c r="O4" s="120">
        <v>92.7</v>
      </c>
      <c r="P4" s="120">
        <v>93.5</v>
      </c>
      <c r="Q4" s="120">
        <v>97.1</v>
      </c>
      <c r="R4" s="120">
        <v>97</v>
      </c>
      <c r="S4" s="120">
        <v>96.9</v>
      </c>
      <c r="T4" s="120">
        <v>97</v>
      </c>
      <c r="U4" s="72">
        <v>97.1</v>
      </c>
      <c r="V4" s="72">
        <v>97.1</v>
      </c>
      <c r="W4" s="72">
        <v>97.2</v>
      </c>
      <c r="X4" s="72">
        <v>97.3</v>
      </c>
      <c r="Y4" s="121">
        <v>97.4</v>
      </c>
      <c r="Z4" s="120">
        <v>97.6</v>
      </c>
      <c r="AA4" s="120">
        <v>97.7</v>
      </c>
      <c r="AB4" s="120">
        <v>97.8</v>
      </c>
      <c r="AC4" s="120">
        <v>97.9</v>
      </c>
      <c r="AD4" s="120">
        <v>98.1</v>
      </c>
      <c r="AE4" s="120">
        <v>98.3</v>
      </c>
      <c r="AF4" s="120">
        <v>98.6</v>
      </c>
      <c r="AG4" s="120">
        <v>98.7</v>
      </c>
      <c r="AH4" s="120">
        <v>98.9</v>
      </c>
      <c r="AI4" s="120">
        <v>99.1</v>
      </c>
      <c r="AJ4" s="120">
        <v>99.2</v>
      </c>
      <c r="AK4" s="120">
        <v>99.4</v>
      </c>
      <c r="AL4" s="120">
        <v>99.6</v>
      </c>
      <c r="AM4" s="120">
        <v>99.6</v>
      </c>
      <c r="AN4" s="120">
        <v>99.7</v>
      </c>
      <c r="AO4" s="120">
        <v>99.8</v>
      </c>
      <c r="AP4" s="120">
        <v>99.8</v>
      </c>
      <c r="AQ4" s="120">
        <v>99.9</v>
      </c>
      <c r="AR4" s="120">
        <v>100</v>
      </c>
      <c r="AS4" s="120">
        <v>100.1</v>
      </c>
      <c r="AT4" s="120">
        <v>100.2</v>
      </c>
      <c r="AU4" s="120">
        <v>100.3</v>
      </c>
      <c r="AV4" s="120">
        <v>100.5</v>
      </c>
      <c r="AW4" s="120">
        <v>100.6</v>
      </c>
      <c r="AX4" s="699">
        <v>100.6</v>
      </c>
      <c r="AY4" s="699">
        <v>100.8</v>
      </c>
      <c r="AZ4" s="699">
        <v>100.8</v>
      </c>
      <c r="BA4" s="699">
        <v>100.9</v>
      </c>
      <c r="BB4" s="699">
        <v>100.9</v>
      </c>
      <c r="BC4" s="699">
        <v>101</v>
      </c>
      <c r="BD4" s="699">
        <v>101.1</v>
      </c>
      <c r="BE4" s="730">
        <v>101.1</v>
      </c>
      <c r="BF4" s="730">
        <v>101.2</v>
      </c>
      <c r="BG4" s="730">
        <v>101.2</v>
      </c>
      <c r="BH4" s="730">
        <v>106.1</v>
      </c>
      <c r="BI4" s="730">
        <v>121.1</v>
      </c>
      <c r="BJ4" s="730"/>
      <c r="BK4" s="730"/>
      <c r="BL4" s="648">
        <f>AVERAGE(AL4:AW4)</f>
        <v>100.00833333333333</v>
      </c>
      <c r="BM4" s="648">
        <f t="shared" ref="BM4:BM67" si="0">AVERAGE(AX4:BI4)</f>
        <v>103.06666666666666</v>
      </c>
      <c r="BN4" s="718">
        <f t="shared" ref="BN4:BN67" si="1">BM4/BL4-1</f>
        <v>3.0580784934588934E-2</v>
      </c>
      <c r="CA4" s="93" t="s">
        <v>20</v>
      </c>
      <c r="CB4" s="89"/>
      <c r="CC4" s="16"/>
      <c r="CD4" s="5"/>
    </row>
    <row r="5" spans="1:82">
      <c r="A5" s="80" t="s">
        <v>78</v>
      </c>
      <c r="B5" s="122">
        <v>77.3</v>
      </c>
      <c r="C5" s="123">
        <v>77.3</v>
      </c>
      <c r="D5" s="123">
        <v>77.400000000000006</v>
      </c>
      <c r="E5" s="123">
        <v>79.599999999999994</v>
      </c>
      <c r="F5" s="123">
        <v>79.7</v>
      </c>
      <c r="G5" s="123">
        <v>85.9</v>
      </c>
      <c r="H5" s="123">
        <v>86.2</v>
      </c>
      <c r="I5" s="123">
        <v>86.4</v>
      </c>
      <c r="J5" s="123">
        <v>87.5</v>
      </c>
      <c r="K5" s="123">
        <v>87.7</v>
      </c>
      <c r="L5" s="123">
        <v>88.9</v>
      </c>
      <c r="M5" s="124">
        <v>92.7</v>
      </c>
      <c r="N5" s="122">
        <v>92.7</v>
      </c>
      <c r="O5" s="123">
        <v>92.7</v>
      </c>
      <c r="P5" s="123">
        <v>93.5</v>
      </c>
      <c r="Q5" s="123">
        <v>97.1</v>
      </c>
      <c r="R5" s="123">
        <v>97</v>
      </c>
      <c r="S5" s="123">
        <v>96.9</v>
      </c>
      <c r="T5" s="123">
        <v>97</v>
      </c>
      <c r="U5" s="73">
        <v>97.1</v>
      </c>
      <c r="V5" s="73">
        <v>97.1</v>
      </c>
      <c r="W5" s="73">
        <v>97.2</v>
      </c>
      <c r="X5" s="73">
        <v>97.3</v>
      </c>
      <c r="Y5" s="124">
        <v>97.4</v>
      </c>
      <c r="Z5" s="123">
        <v>97.6</v>
      </c>
      <c r="AA5" s="123">
        <v>97.7</v>
      </c>
      <c r="AB5" s="123">
        <v>97.8</v>
      </c>
      <c r="AC5" s="123">
        <v>97.9</v>
      </c>
      <c r="AD5" s="123">
        <v>98.1</v>
      </c>
      <c r="AE5" s="123">
        <v>98.3</v>
      </c>
      <c r="AF5" s="123">
        <v>98.6</v>
      </c>
      <c r="AG5" s="123">
        <v>98.7</v>
      </c>
      <c r="AH5" s="123">
        <v>98.9</v>
      </c>
      <c r="AI5" s="123">
        <v>99.1</v>
      </c>
      <c r="AJ5" s="123">
        <v>99.2</v>
      </c>
      <c r="AK5" s="123">
        <v>99.4</v>
      </c>
      <c r="AL5" s="123">
        <v>99.6</v>
      </c>
      <c r="AM5" s="123">
        <v>99.6</v>
      </c>
      <c r="AN5" s="123">
        <v>99.7</v>
      </c>
      <c r="AO5" s="123">
        <v>99.8</v>
      </c>
      <c r="AP5" s="123">
        <v>99.8</v>
      </c>
      <c r="AQ5" s="123">
        <v>99.9</v>
      </c>
      <c r="AR5" s="123">
        <v>100</v>
      </c>
      <c r="AS5" s="123">
        <v>100.1</v>
      </c>
      <c r="AT5" s="123">
        <v>100.2</v>
      </c>
      <c r="AU5" s="123">
        <v>100.3</v>
      </c>
      <c r="AV5" s="123">
        <v>100.5</v>
      </c>
      <c r="AW5" s="123">
        <v>100.6</v>
      </c>
      <c r="AX5" s="700">
        <v>100.6</v>
      </c>
      <c r="AY5" s="700">
        <v>100.8</v>
      </c>
      <c r="AZ5" s="700">
        <v>100.8</v>
      </c>
      <c r="BA5" s="700">
        <v>100.9</v>
      </c>
      <c r="BB5" s="700">
        <v>100.9</v>
      </c>
      <c r="BC5" s="700">
        <v>101</v>
      </c>
      <c r="BD5" s="700">
        <v>101.1</v>
      </c>
      <c r="BE5" s="731">
        <v>101.1</v>
      </c>
      <c r="BF5" s="731">
        <v>101.2</v>
      </c>
      <c r="BG5" s="731">
        <v>101.2</v>
      </c>
      <c r="BH5" s="731">
        <v>106.1</v>
      </c>
      <c r="BI5" s="731">
        <v>121.1</v>
      </c>
      <c r="BJ5" s="731"/>
      <c r="BK5" s="731"/>
      <c r="BL5" s="648">
        <f>AVERAGE(AL5:AW5)</f>
        <v>100.00833333333333</v>
      </c>
      <c r="BM5" s="648">
        <f t="shared" si="0"/>
        <v>103.06666666666666</v>
      </c>
      <c r="BN5" s="718">
        <f t="shared" si="1"/>
        <v>3.0580784934588934E-2</v>
      </c>
      <c r="CA5" s="93" t="s">
        <v>22</v>
      </c>
      <c r="CB5" s="89"/>
      <c r="CC5" s="16"/>
      <c r="CD5" s="5"/>
    </row>
    <row r="6" spans="1:82">
      <c r="A6" s="81" t="s">
        <v>79</v>
      </c>
      <c r="B6" s="125">
        <v>118.53429261133219</v>
      </c>
      <c r="C6" s="126">
        <v>118.62286156511756</v>
      </c>
      <c r="D6" s="126">
        <v>118.68371672758661</v>
      </c>
      <c r="E6" s="126">
        <v>122.10674107714654</v>
      </c>
      <c r="F6" s="126">
        <v>122.30838932911176</v>
      </c>
      <c r="G6" s="126">
        <v>131.80390275909497</v>
      </c>
      <c r="H6" s="126">
        <v>132.18021557596708</v>
      </c>
      <c r="I6" s="126">
        <v>132.4980195010875</v>
      </c>
      <c r="J6" s="126">
        <v>134.26907890473518</v>
      </c>
      <c r="K6" s="126">
        <v>134.51234403334766</v>
      </c>
      <c r="L6" s="126">
        <v>136.41831620511479</v>
      </c>
      <c r="M6" s="127">
        <v>142.11493335202729</v>
      </c>
      <c r="N6" s="125">
        <v>142.1660795861446</v>
      </c>
      <c r="O6" s="126">
        <v>142.2183675339688</v>
      </c>
      <c r="P6" s="126">
        <v>143.48099542218029</v>
      </c>
      <c r="Q6" s="126">
        <v>148.99731337337843</v>
      </c>
      <c r="R6" s="126">
        <v>148.76803273483463</v>
      </c>
      <c r="S6" s="126">
        <v>148.68431963464104</v>
      </c>
      <c r="T6" s="126">
        <v>148.74425194505386</v>
      </c>
      <c r="U6" s="74">
        <v>148.97483372835637</v>
      </c>
      <c r="V6" s="74">
        <v>148.95672457573593</v>
      </c>
      <c r="W6" s="74">
        <v>149.08412175821715</v>
      </c>
      <c r="X6" s="74">
        <v>149.22350801647283</v>
      </c>
      <c r="Y6" s="127">
        <v>149.41081649765536</v>
      </c>
      <c r="Z6" s="126">
        <v>149.63404594849922</v>
      </c>
      <c r="AA6" s="126">
        <v>149.82248204989239</v>
      </c>
      <c r="AB6" s="126">
        <v>149.96022618557132</v>
      </c>
      <c r="AC6" s="126">
        <v>150.18756447606037</v>
      </c>
      <c r="AD6" s="126">
        <v>150.4104051876262</v>
      </c>
      <c r="AE6" s="126">
        <v>150.78750323039569</v>
      </c>
      <c r="AF6" s="126">
        <v>151.19476537665838</v>
      </c>
      <c r="AG6" s="126">
        <v>151.41686935397641</v>
      </c>
      <c r="AH6" s="126">
        <v>151.66713736106817</v>
      </c>
      <c r="AI6" s="126">
        <v>152.00244612030153</v>
      </c>
      <c r="AJ6" s="126">
        <v>152.20090680789556</v>
      </c>
      <c r="AK6" s="126">
        <v>152.48185748364088</v>
      </c>
      <c r="AL6" s="126">
        <v>152.70899033911721</v>
      </c>
      <c r="AM6" s="126">
        <v>152.81018597894877</v>
      </c>
      <c r="AN6" s="126">
        <v>152.94137752217867</v>
      </c>
      <c r="AO6" s="126">
        <v>153.03331557132606</v>
      </c>
      <c r="AP6" s="126">
        <v>153.12529798323547</v>
      </c>
      <c r="AQ6" s="126">
        <v>153.23755860876071</v>
      </c>
      <c r="AR6" s="126">
        <v>153.42785080663478</v>
      </c>
      <c r="AS6" s="126">
        <v>153.48813490929626</v>
      </c>
      <c r="AT6" s="126">
        <v>153.61631212035317</v>
      </c>
      <c r="AU6" s="126">
        <v>153.9004503414472</v>
      </c>
      <c r="AV6" s="126">
        <v>154.09668679385155</v>
      </c>
      <c r="AW6" s="126">
        <v>154.24212528462868</v>
      </c>
      <c r="AX6" s="701">
        <v>154.37198060583609</v>
      </c>
      <c r="AY6" s="701">
        <v>154.54114653175674</v>
      </c>
      <c r="AZ6" s="701">
        <v>154.68591007064202</v>
      </c>
      <c r="BA6" s="701">
        <v>154.74971519352653</v>
      </c>
      <c r="BB6" s="701">
        <v>154.7901525711934</v>
      </c>
      <c r="BC6" s="701">
        <v>154.8948679925029</v>
      </c>
      <c r="BD6" s="701">
        <v>155.04016148940605</v>
      </c>
      <c r="BE6" s="732"/>
      <c r="BF6" s="732"/>
      <c r="BG6" s="732"/>
      <c r="BH6" s="732"/>
      <c r="BI6" s="732"/>
      <c r="BJ6" s="732"/>
      <c r="BK6" s="732"/>
      <c r="BL6" s="648">
        <f>AVERAGE(AL6:AW6)</f>
        <v>153.38569052164817</v>
      </c>
      <c r="BM6" s="648">
        <f t="shared" si="0"/>
        <v>154.72484777926624</v>
      </c>
      <c r="BN6" s="718">
        <f t="shared" si="1"/>
        <v>8.7306531206643445E-3</v>
      </c>
      <c r="CA6" s="93" t="s">
        <v>24</v>
      </c>
      <c r="CB6" s="89"/>
      <c r="CC6" s="16"/>
      <c r="CD6" s="5"/>
    </row>
    <row r="7" spans="1:82">
      <c r="A7" s="82" t="s">
        <v>80</v>
      </c>
      <c r="B7" s="128">
        <v>118.53429261133219</v>
      </c>
      <c r="C7" s="129">
        <v>118.62286156511756</v>
      </c>
      <c r="D7" s="129">
        <v>118.68371672758661</v>
      </c>
      <c r="E7" s="129">
        <v>122.10674107714654</v>
      </c>
      <c r="F7" s="129">
        <v>122.30838932911176</v>
      </c>
      <c r="G7" s="129">
        <v>131.80390275909497</v>
      </c>
      <c r="H7" s="129">
        <v>132.18021557596708</v>
      </c>
      <c r="I7" s="129">
        <v>132.4980195010875</v>
      </c>
      <c r="J7" s="129">
        <v>134.26907890473518</v>
      </c>
      <c r="K7" s="129">
        <v>134.51234403334766</v>
      </c>
      <c r="L7" s="129">
        <v>136.41831620511479</v>
      </c>
      <c r="M7" s="130">
        <v>142.11493335202729</v>
      </c>
      <c r="N7" s="128">
        <v>142.1660795861446</v>
      </c>
      <c r="O7" s="129">
        <v>142.2183675339688</v>
      </c>
      <c r="P7" s="129">
        <v>143.48099542218029</v>
      </c>
      <c r="Q7" s="129">
        <v>148.99731337337843</v>
      </c>
      <c r="R7" s="129">
        <v>148.76803273483463</v>
      </c>
      <c r="S7" s="129">
        <v>148.68431963464104</v>
      </c>
      <c r="T7" s="129">
        <v>148.74425194505386</v>
      </c>
      <c r="U7" s="75">
        <v>148.97483372835637</v>
      </c>
      <c r="V7" s="75">
        <v>148.95672457573593</v>
      </c>
      <c r="W7" s="75">
        <v>149.08412175821715</v>
      </c>
      <c r="X7" s="75">
        <v>149.22350801647283</v>
      </c>
      <c r="Y7" s="130">
        <v>149.41081649765536</v>
      </c>
      <c r="Z7" s="129">
        <v>149.63404594849922</v>
      </c>
      <c r="AA7" s="129">
        <v>149.82248204989239</v>
      </c>
      <c r="AB7" s="129">
        <v>149.96022618557132</v>
      </c>
      <c r="AC7" s="129">
        <v>150.18756447606037</v>
      </c>
      <c r="AD7" s="129">
        <v>150.4104051876262</v>
      </c>
      <c r="AE7" s="129">
        <v>150.78750323039569</v>
      </c>
      <c r="AF7" s="129">
        <v>151.19476537665838</v>
      </c>
      <c r="AG7" s="129">
        <v>151.41686935397641</v>
      </c>
      <c r="AH7" s="129">
        <v>151.66713736106817</v>
      </c>
      <c r="AI7" s="129">
        <v>152.00244612030153</v>
      </c>
      <c r="AJ7" s="129">
        <v>152.20090680789556</v>
      </c>
      <c r="AK7" s="129">
        <v>152.48185748364088</v>
      </c>
      <c r="AL7" s="129">
        <v>152.70899033911721</v>
      </c>
      <c r="AM7" s="129">
        <v>152.81018597894877</v>
      </c>
      <c r="AN7" s="129">
        <v>152.94137752217867</v>
      </c>
      <c r="AO7" s="129">
        <v>153.03331557132606</v>
      </c>
      <c r="AP7" s="129">
        <v>153.12529798323547</v>
      </c>
      <c r="AQ7" s="129">
        <v>153.23755860876071</v>
      </c>
      <c r="AR7" s="129">
        <v>153.42785080663478</v>
      </c>
      <c r="AS7" s="129">
        <v>153.48813490929626</v>
      </c>
      <c r="AT7" s="129">
        <v>153.61631212035317</v>
      </c>
      <c r="AU7" s="129">
        <v>153.9004503414472</v>
      </c>
      <c r="AV7" s="129">
        <v>154.09668679385155</v>
      </c>
      <c r="AW7" s="129">
        <v>154.24212528462868</v>
      </c>
      <c r="AX7" s="702">
        <v>154.37198060583609</v>
      </c>
      <c r="AY7" s="702">
        <v>154.54114653175674</v>
      </c>
      <c r="AZ7" s="702">
        <v>154.68591007064202</v>
      </c>
      <c r="BA7" s="702">
        <v>154.74971519352653</v>
      </c>
      <c r="BB7" s="702">
        <v>154.7901525711934</v>
      </c>
      <c r="BC7" s="702">
        <v>154.8948679925029</v>
      </c>
      <c r="BD7" s="702">
        <v>155.04016148940605</v>
      </c>
      <c r="BE7" s="733"/>
      <c r="BF7" s="733"/>
      <c r="BG7" s="733"/>
      <c r="BH7" s="733"/>
      <c r="BI7" s="733"/>
      <c r="BJ7" s="733"/>
      <c r="BK7" s="733"/>
      <c r="BL7" s="648">
        <f>AVERAGE(AL7:AW7)</f>
        <v>153.38569052164817</v>
      </c>
      <c r="BM7" s="648">
        <f t="shared" si="0"/>
        <v>154.72484777926624</v>
      </c>
      <c r="BN7" s="718">
        <f t="shared" si="1"/>
        <v>8.7306531206643445E-3</v>
      </c>
      <c r="CA7" s="93" t="s">
        <v>26</v>
      </c>
      <c r="CB7" s="89"/>
      <c r="CC7" s="16"/>
      <c r="CD7" s="5"/>
    </row>
    <row r="8" spans="1:82">
      <c r="A8" s="79" t="s">
        <v>81</v>
      </c>
      <c r="B8" s="119">
        <v>63.6</v>
      </c>
      <c r="C8" s="120">
        <v>64</v>
      </c>
      <c r="D8" s="120">
        <v>64.8</v>
      </c>
      <c r="E8" s="120">
        <v>64.599999999999994</v>
      </c>
      <c r="F8" s="120">
        <v>64.900000000000006</v>
      </c>
      <c r="G8" s="120">
        <v>67.099999999999994</v>
      </c>
      <c r="H8" s="120">
        <v>67.400000000000006</v>
      </c>
      <c r="I8" s="120">
        <v>65.7</v>
      </c>
      <c r="J8" s="120">
        <v>66.5</v>
      </c>
      <c r="K8" s="120">
        <v>66.900000000000006</v>
      </c>
      <c r="L8" s="120">
        <v>67.5</v>
      </c>
      <c r="M8" s="121">
        <v>70.099999999999994</v>
      </c>
      <c r="N8" s="119">
        <v>70.900000000000006</v>
      </c>
      <c r="O8" s="120">
        <v>72.900000000000006</v>
      </c>
      <c r="P8" s="120">
        <v>77.400000000000006</v>
      </c>
      <c r="Q8" s="120">
        <v>78</v>
      </c>
      <c r="R8" s="120">
        <v>85.4</v>
      </c>
      <c r="S8" s="120">
        <v>81.599999999999994</v>
      </c>
      <c r="T8" s="120">
        <v>75.3</v>
      </c>
      <c r="U8" s="72">
        <v>77.8</v>
      </c>
      <c r="V8" s="72">
        <v>79.599999999999994</v>
      </c>
      <c r="W8" s="72">
        <v>80.8</v>
      </c>
      <c r="X8" s="72">
        <v>80</v>
      </c>
      <c r="Y8" s="121">
        <v>83.6</v>
      </c>
      <c r="Z8" s="120">
        <v>85.4</v>
      </c>
      <c r="AA8" s="120">
        <v>85.2</v>
      </c>
      <c r="AB8" s="120">
        <v>85.2</v>
      </c>
      <c r="AC8" s="120">
        <v>88.6</v>
      </c>
      <c r="AD8" s="120">
        <v>90.5</v>
      </c>
      <c r="AE8" s="120">
        <v>95.3</v>
      </c>
      <c r="AF8" s="120">
        <v>100.9</v>
      </c>
      <c r="AG8" s="120">
        <v>102.2</v>
      </c>
      <c r="AH8" s="120">
        <v>108.4</v>
      </c>
      <c r="AI8" s="120">
        <v>110</v>
      </c>
      <c r="AJ8" s="120">
        <v>107</v>
      </c>
      <c r="AK8" s="120">
        <v>106.1</v>
      </c>
      <c r="AL8" s="120">
        <v>106.5</v>
      </c>
      <c r="AM8" s="120">
        <v>100.8</v>
      </c>
      <c r="AN8" s="120">
        <v>100.2</v>
      </c>
      <c r="AO8" s="120">
        <v>100</v>
      </c>
      <c r="AP8" s="120">
        <v>98.5</v>
      </c>
      <c r="AQ8" s="120">
        <v>93</v>
      </c>
      <c r="AR8" s="120">
        <v>93.9</v>
      </c>
      <c r="AS8" s="120">
        <v>95.6</v>
      </c>
      <c r="AT8" s="120">
        <v>96</v>
      </c>
      <c r="AU8" s="120">
        <v>102.5</v>
      </c>
      <c r="AV8" s="120">
        <v>106.8</v>
      </c>
      <c r="AW8" s="120">
        <v>106.2</v>
      </c>
      <c r="AX8" s="699">
        <v>107.2</v>
      </c>
      <c r="AY8" s="699">
        <v>106</v>
      </c>
      <c r="AZ8" s="699">
        <v>105.3</v>
      </c>
      <c r="BA8" s="699">
        <v>102.9</v>
      </c>
      <c r="BB8" s="699">
        <v>106.1</v>
      </c>
      <c r="BC8" s="699">
        <v>106.8</v>
      </c>
      <c r="BD8" s="699">
        <v>109.1</v>
      </c>
      <c r="BE8" s="730">
        <v>106.6</v>
      </c>
      <c r="BF8" s="730">
        <v>110</v>
      </c>
      <c r="BG8" s="730">
        <v>108.8</v>
      </c>
      <c r="BH8" s="730">
        <v>108.8</v>
      </c>
      <c r="BI8" s="730">
        <v>108.6</v>
      </c>
      <c r="BJ8" s="730"/>
      <c r="BK8" s="730"/>
      <c r="BL8" s="648">
        <f>AVERAGE(AL8:AW8)</f>
        <v>100</v>
      </c>
      <c r="BM8" s="648">
        <f t="shared" si="0"/>
        <v>107.18333333333332</v>
      </c>
      <c r="BN8" s="718">
        <f t="shared" si="1"/>
        <v>7.1833333333333194E-2</v>
      </c>
      <c r="CA8" s="93"/>
      <c r="CB8" s="90"/>
      <c r="CC8" s="16"/>
      <c r="CD8" s="15"/>
    </row>
    <row r="9" spans="1:82">
      <c r="A9" s="80" t="s">
        <v>82</v>
      </c>
      <c r="B9" s="122">
        <v>60.3</v>
      </c>
      <c r="C9" s="123">
        <v>60.9</v>
      </c>
      <c r="D9" s="123">
        <v>62.1</v>
      </c>
      <c r="E9" s="123">
        <v>61.4</v>
      </c>
      <c r="F9" s="123">
        <v>61.8</v>
      </c>
      <c r="G9" s="123">
        <v>64.7</v>
      </c>
      <c r="H9" s="123">
        <v>65</v>
      </c>
      <c r="I9" s="123">
        <v>62.4</v>
      </c>
      <c r="J9" s="123">
        <v>63.5</v>
      </c>
      <c r="K9" s="123">
        <v>63.9</v>
      </c>
      <c r="L9" s="123">
        <v>64.8</v>
      </c>
      <c r="M9" s="124">
        <v>68.599999999999994</v>
      </c>
      <c r="N9" s="122">
        <v>69.7</v>
      </c>
      <c r="O9" s="123">
        <v>72.099999999999994</v>
      </c>
      <c r="P9" s="123">
        <v>77.599999999999994</v>
      </c>
      <c r="Q9" s="123">
        <v>78.099999999999994</v>
      </c>
      <c r="R9" s="123">
        <v>87.6</v>
      </c>
      <c r="S9" s="123">
        <v>82.5</v>
      </c>
      <c r="T9" s="123">
        <v>73.900000000000006</v>
      </c>
      <c r="U9" s="73">
        <v>75.7</v>
      </c>
      <c r="V9" s="73">
        <v>78.2</v>
      </c>
      <c r="W9" s="73">
        <v>79</v>
      </c>
      <c r="X9" s="73">
        <v>77.8</v>
      </c>
      <c r="Y9" s="124">
        <v>82.9</v>
      </c>
      <c r="Z9" s="123">
        <v>84.8</v>
      </c>
      <c r="AA9" s="123">
        <v>84.6</v>
      </c>
      <c r="AB9" s="123">
        <v>84.5</v>
      </c>
      <c r="AC9" s="123">
        <v>86.2</v>
      </c>
      <c r="AD9" s="123">
        <v>88.8</v>
      </c>
      <c r="AE9" s="123">
        <v>95.4</v>
      </c>
      <c r="AF9" s="123">
        <v>102.8</v>
      </c>
      <c r="AG9" s="123">
        <v>104.5</v>
      </c>
      <c r="AH9" s="123">
        <v>112.1</v>
      </c>
      <c r="AI9" s="123">
        <v>114.1</v>
      </c>
      <c r="AJ9" s="123">
        <v>110.3</v>
      </c>
      <c r="AK9" s="123">
        <v>109.1</v>
      </c>
      <c r="AL9" s="123">
        <v>109.6</v>
      </c>
      <c r="AM9" s="123">
        <v>101.7</v>
      </c>
      <c r="AN9" s="123">
        <v>100.9</v>
      </c>
      <c r="AO9" s="123">
        <v>100.5</v>
      </c>
      <c r="AP9" s="123">
        <v>98.3</v>
      </c>
      <c r="AQ9" s="123">
        <v>90.9</v>
      </c>
      <c r="AR9" s="123">
        <v>91.3</v>
      </c>
      <c r="AS9" s="123">
        <v>93.7</v>
      </c>
      <c r="AT9" s="123">
        <v>94.3</v>
      </c>
      <c r="AU9" s="123">
        <v>102.9</v>
      </c>
      <c r="AV9" s="123">
        <v>108.4</v>
      </c>
      <c r="AW9" s="123">
        <v>107.5</v>
      </c>
      <c r="AX9" s="700">
        <v>108.4</v>
      </c>
      <c r="AY9" s="700">
        <v>106.9</v>
      </c>
      <c r="AZ9" s="700">
        <v>105.9</v>
      </c>
      <c r="BA9" s="700">
        <v>102.7</v>
      </c>
      <c r="BB9" s="700">
        <v>106.8</v>
      </c>
      <c r="BC9" s="700">
        <v>107.8</v>
      </c>
      <c r="BD9" s="700">
        <v>110.7</v>
      </c>
      <c r="BE9" s="731">
        <v>105.9</v>
      </c>
      <c r="BF9" s="731">
        <v>110.5</v>
      </c>
      <c r="BG9" s="731">
        <v>109</v>
      </c>
      <c r="BH9" s="731">
        <v>109</v>
      </c>
      <c r="BI9" s="731">
        <v>105.6</v>
      </c>
      <c r="BJ9" s="731"/>
      <c r="BK9" s="731"/>
      <c r="BL9" s="648">
        <f>AVERAGE(AL9:AW9)</f>
        <v>100</v>
      </c>
      <c r="BM9" s="648">
        <f t="shared" si="0"/>
        <v>107.43333333333332</v>
      </c>
      <c r="BN9" s="718">
        <f t="shared" si="1"/>
        <v>7.433333333333314E-2</v>
      </c>
      <c r="CA9" s="93" t="s">
        <v>29</v>
      </c>
      <c r="CB9" s="691">
        <f>BN4</f>
        <v>3.0580784934588934E-2</v>
      </c>
      <c r="CC9" s="16"/>
      <c r="CD9" s="19"/>
    </row>
    <row r="10" spans="1:82">
      <c r="A10" s="81" t="s">
        <v>83</v>
      </c>
      <c r="B10" s="125">
        <v>163.40075243715762</v>
      </c>
      <c r="C10" s="126">
        <v>163.40075243715762</v>
      </c>
      <c r="D10" s="126">
        <v>163.40075243715762</v>
      </c>
      <c r="E10" s="126">
        <v>163.40075243715762</v>
      </c>
      <c r="F10" s="126">
        <v>163.40075243715762</v>
      </c>
      <c r="G10" s="126">
        <v>163.40075243715762</v>
      </c>
      <c r="H10" s="126">
        <v>163.40075243715762</v>
      </c>
      <c r="I10" s="126">
        <v>163.40075243715762</v>
      </c>
      <c r="J10" s="126">
        <v>163.40075243715762</v>
      </c>
      <c r="K10" s="126">
        <v>163.40075243715762</v>
      </c>
      <c r="L10" s="126">
        <v>163.40075243715762</v>
      </c>
      <c r="M10" s="127">
        <v>163.40075243715762</v>
      </c>
      <c r="N10" s="125">
        <v>163.40075243715762</v>
      </c>
      <c r="O10" s="126">
        <v>163.40075243715762</v>
      </c>
      <c r="P10" s="126">
        <v>163.40075243715762</v>
      </c>
      <c r="Q10" s="126">
        <v>163.40075243715762</v>
      </c>
      <c r="R10" s="126">
        <v>163.40075243715762</v>
      </c>
      <c r="S10" s="126">
        <v>163.40075243715762</v>
      </c>
      <c r="T10" s="126">
        <v>163.40075243715762</v>
      </c>
      <c r="U10" s="74">
        <v>163.40075243715762</v>
      </c>
      <c r="V10" s="74">
        <v>163.40075243715762</v>
      </c>
      <c r="W10" s="74">
        <v>163.40075243715762</v>
      </c>
      <c r="X10" s="74">
        <v>163.40075243715762</v>
      </c>
      <c r="Y10" s="127">
        <v>289.09919915108719</v>
      </c>
      <c r="Z10" s="126">
        <v>289.09919915108719</v>
      </c>
      <c r="AA10" s="126">
        <v>289.09919915108719</v>
      </c>
      <c r="AB10" s="126">
        <v>289.09919915108719</v>
      </c>
      <c r="AC10" s="126">
        <v>289.09919915108719</v>
      </c>
      <c r="AD10" s="126">
        <v>289.09919915108719</v>
      </c>
      <c r="AE10" s="126">
        <v>289.09919915108719</v>
      </c>
      <c r="AF10" s="126">
        <v>343.18898744697657</v>
      </c>
      <c r="AG10" s="126">
        <v>343.18898744697657</v>
      </c>
      <c r="AH10" s="126">
        <v>343.18898744697657</v>
      </c>
      <c r="AI10" s="126">
        <v>343.18898744697657</v>
      </c>
      <c r="AJ10" s="126">
        <v>343.18898744697657</v>
      </c>
      <c r="AK10" s="126">
        <v>343.18898744697657</v>
      </c>
      <c r="AL10" s="126">
        <v>343.18898744697657</v>
      </c>
      <c r="AM10" s="126">
        <v>343.18898744697657</v>
      </c>
      <c r="AN10" s="126">
        <v>343.18898744697657</v>
      </c>
      <c r="AO10" s="126">
        <v>343.18898744697657</v>
      </c>
      <c r="AP10" s="126">
        <v>343.18898744697657</v>
      </c>
      <c r="AQ10" s="126">
        <v>343.18898744697657</v>
      </c>
      <c r="AR10" s="126">
        <v>343.18898744697657</v>
      </c>
      <c r="AS10" s="126">
        <v>343.18898744697657</v>
      </c>
      <c r="AT10" s="126">
        <v>343.18898744697657</v>
      </c>
      <c r="AU10" s="126">
        <v>343.18898744697657</v>
      </c>
      <c r="AV10" s="126">
        <v>343.18898744697657</v>
      </c>
      <c r="AW10" s="126">
        <v>343.18898744697657</v>
      </c>
      <c r="AX10" s="701">
        <v>343.18898744697657</v>
      </c>
      <c r="AY10" s="701">
        <v>343.18898744697657</v>
      </c>
      <c r="AZ10" s="701">
        <v>343.18898744697657</v>
      </c>
      <c r="BA10" s="701">
        <v>343.18898744697657</v>
      </c>
      <c r="BB10" s="701">
        <v>343.18898744697657</v>
      </c>
      <c r="BC10" s="701">
        <v>343.18898744697657</v>
      </c>
      <c r="BD10" s="701">
        <v>343.18898744697657</v>
      </c>
      <c r="BE10" s="732"/>
      <c r="BF10" s="732"/>
      <c r="BG10" s="732"/>
      <c r="BH10" s="732"/>
      <c r="BI10" s="732"/>
      <c r="BJ10" s="732"/>
      <c r="BK10" s="732"/>
      <c r="BL10" s="648">
        <f>AVERAGE(AL10:AW10)</f>
        <v>343.18898744697657</v>
      </c>
      <c r="BM10" s="648">
        <f t="shared" si="0"/>
        <v>343.18898744697657</v>
      </c>
      <c r="BN10" s="718">
        <f t="shared" si="1"/>
        <v>0</v>
      </c>
      <c r="CA10" s="93" t="s">
        <v>31</v>
      </c>
      <c r="CB10" s="692"/>
      <c r="CC10" s="16"/>
      <c r="CD10" s="15"/>
    </row>
    <row r="11" spans="1:82">
      <c r="A11" s="83" t="s">
        <v>83</v>
      </c>
      <c r="B11" s="128">
        <v>163.40075243715762</v>
      </c>
      <c r="C11" s="129">
        <v>163.40075243715762</v>
      </c>
      <c r="D11" s="129">
        <v>163.40075243715762</v>
      </c>
      <c r="E11" s="129">
        <v>163.40075243715762</v>
      </c>
      <c r="F11" s="129">
        <v>163.40075243715762</v>
      </c>
      <c r="G11" s="129">
        <v>163.40075243715762</v>
      </c>
      <c r="H11" s="129">
        <v>163.40075243715762</v>
      </c>
      <c r="I11" s="129">
        <v>163.40075243715762</v>
      </c>
      <c r="J11" s="129">
        <v>163.40075243715762</v>
      </c>
      <c r="K11" s="129">
        <v>163.40075243715762</v>
      </c>
      <c r="L11" s="129">
        <v>163.40075243715762</v>
      </c>
      <c r="M11" s="130">
        <v>163.40075243715762</v>
      </c>
      <c r="N11" s="128">
        <v>163.40075243715762</v>
      </c>
      <c r="O11" s="129">
        <v>163.40075243715762</v>
      </c>
      <c r="P11" s="129">
        <v>163.40075243715762</v>
      </c>
      <c r="Q11" s="129">
        <v>163.40075243715762</v>
      </c>
      <c r="R11" s="129">
        <v>163.40075243715762</v>
      </c>
      <c r="S11" s="129">
        <v>163.40075243715762</v>
      </c>
      <c r="T11" s="129">
        <v>163.40075243715762</v>
      </c>
      <c r="U11" s="75">
        <v>163.40075243715762</v>
      </c>
      <c r="V11" s="75">
        <v>163.40075243715762</v>
      </c>
      <c r="W11" s="75">
        <v>163.40075243715762</v>
      </c>
      <c r="X11" s="75">
        <v>163.40075243715762</v>
      </c>
      <c r="Y11" s="130">
        <v>289.09919915108719</v>
      </c>
      <c r="Z11" s="129">
        <v>289.09919915108719</v>
      </c>
      <c r="AA11" s="129">
        <v>289.09919915108719</v>
      </c>
      <c r="AB11" s="129">
        <v>289.09919915108719</v>
      </c>
      <c r="AC11" s="129">
        <v>289.09919915108719</v>
      </c>
      <c r="AD11" s="129">
        <v>289.09919915108719</v>
      </c>
      <c r="AE11" s="129">
        <v>289.09919915108719</v>
      </c>
      <c r="AF11" s="129">
        <v>343.18898744697657</v>
      </c>
      <c r="AG11" s="129">
        <v>343.18898744697657</v>
      </c>
      <c r="AH11" s="129">
        <v>343.18898744697657</v>
      </c>
      <c r="AI11" s="129">
        <v>343.18898744697657</v>
      </c>
      <c r="AJ11" s="129">
        <v>343.18898744697657</v>
      </c>
      <c r="AK11" s="129">
        <v>343.18898744697657</v>
      </c>
      <c r="AL11" s="129">
        <v>343.18898744697657</v>
      </c>
      <c r="AM11" s="129">
        <v>343.18898744697657</v>
      </c>
      <c r="AN11" s="129">
        <v>343.18898744697657</v>
      </c>
      <c r="AO11" s="129">
        <v>343.18898744697657</v>
      </c>
      <c r="AP11" s="129">
        <v>343.18898744697657</v>
      </c>
      <c r="AQ11" s="129">
        <v>343.18898744697657</v>
      </c>
      <c r="AR11" s="129">
        <v>343.18898744697657</v>
      </c>
      <c r="AS11" s="129">
        <v>343.18898744697657</v>
      </c>
      <c r="AT11" s="129">
        <v>343.18898744697657</v>
      </c>
      <c r="AU11" s="129">
        <v>343.18898744697657</v>
      </c>
      <c r="AV11" s="129">
        <v>343.18898744697657</v>
      </c>
      <c r="AW11" s="129">
        <v>343.18898744697657</v>
      </c>
      <c r="AX11" s="702">
        <v>343.18898744697657</v>
      </c>
      <c r="AY11" s="702">
        <v>343.18898744697657</v>
      </c>
      <c r="AZ11" s="702">
        <v>343.18898744697657</v>
      </c>
      <c r="BA11" s="702">
        <v>343.18898744697657</v>
      </c>
      <c r="BB11" s="702">
        <v>343.18898744697657</v>
      </c>
      <c r="BC11" s="702">
        <v>343.18898744697657</v>
      </c>
      <c r="BD11" s="702">
        <v>343.18898744697657</v>
      </c>
      <c r="BE11" s="733"/>
      <c r="BF11" s="733"/>
      <c r="BG11" s="733"/>
      <c r="BH11" s="733"/>
      <c r="BI11" s="733"/>
      <c r="BJ11" s="733"/>
      <c r="BK11" s="733"/>
      <c r="BL11" s="648">
        <f>AVERAGE(AL11:AW11)</f>
        <v>343.18898744697657</v>
      </c>
      <c r="BM11" s="648">
        <f t="shared" si="0"/>
        <v>343.18898744697657</v>
      </c>
      <c r="BN11" s="718">
        <f t="shared" si="1"/>
        <v>0</v>
      </c>
      <c r="CA11" s="93" t="s">
        <v>33</v>
      </c>
      <c r="CB11" s="691">
        <f>BN9</f>
        <v>7.433333333333314E-2</v>
      </c>
      <c r="CC11" s="16"/>
      <c r="CD11" s="19"/>
    </row>
    <row r="12" spans="1:82">
      <c r="A12" s="81" t="s">
        <v>84</v>
      </c>
      <c r="B12" s="125">
        <v>163.52202283458524</v>
      </c>
      <c r="C12" s="126">
        <v>163.52202283458524</v>
      </c>
      <c r="D12" s="126">
        <v>163.52202283458524</v>
      </c>
      <c r="E12" s="126">
        <v>171.28688425852997</v>
      </c>
      <c r="F12" s="126">
        <v>171.28688425852997</v>
      </c>
      <c r="G12" s="126">
        <v>171.28688425852997</v>
      </c>
      <c r="H12" s="126">
        <v>171.28688425852997</v>
      </c>
      <c r="I12" s="126">
        <v>171.28688425852997</v>
      </c>
      <c r="J12" s="126">
        <v>171.28688425852997</v>
      </c>
      <c r="K12" s="126">
        <v>171.28688425852997</v>
      </c>
      <c r="L12" s="126">
        <v>171.28688425852997</v>
      </c>
      <c r="M12" s="127">
        <v>171.28688425852997</v>
      </c>
      <c r="N12" s="125">
        <v>171.28688425852997</v>
      </c>
      <c r="O12" s="126">
        <v>171.28688425852997</v>
      </c>
      <c r="P12" s="126">
        <v>171.28688425852997</v>
      </c>
      <c r="Q12" s="126">
        <v>175.96867856110566</v>
      </c>
      <c r="R12" s="126">
        <v>175.96867856110566</v>
      </c>
      <c r="S12" s="126">
        <v>175.96867856110566</v>
      </c>
      <c r="T12" s="126">
        <v>175.96867856110566</v>
      </c>
      <c r="U12" s="74">
        <v>175.96867856110566</v>
      </c>
      <c r="V12" s="74">
        <v>175.96867856110566</v>
      </c>
      <c r="W12" s="74">
        <v>175.96867856110566</v>
      </c>
      <c r="X12" s="74">
        <v>175.96867856110566</v>
      </c>
      <c r="Y12" s="127">
        <v>175.96867856110566</v>
      </c>
      <c r="Z12" s="126">
        <v>175.96867856110566</v>
      </c>
      <c r="AA12" s="126">
        <v>175.96867856110566</v>
      </c>
      <c r="AB12" s="126">
        <v>175.96867856110566</v>
      </c>
      <c r="AC12" s="126">
        <v>175.96867856110566</v>
      </c>
      <c r="AD12" s="126">
        <v>175.96867856110566</v>
      </c>
      <c r="AE12" s="126">
        <v>175.96867856110566</v>
      </c>
      <c r="AF12" s="126">
        <v>175.96867856110566</v>
      </c>
      <c r="AG12" s="126">
        <v>175.96867856110566</v>
      </c>
      <c r="AH12" s="126">
        <v>175.96867856110566</v>
      </c>
      <c r="AI12" s="126">
        <v>175.96867856110566</v>
      </c>
      <c r="AJ12" s="126">
        <v>175.96867856110566</v>
      </c>
      <c r="AK12" s="126">
        <v>175.96867856110566</v>
      </c>
      <c r="AL12" s="126">
        <v>193.45672449264782</v>
      </c>
      <c r="AM12" s="126">
        <v>193.45672449264782</v>
      </c>
      <c r="AN12" s="126">
        <v>238.26633066636381</v>
      </c>
      <c r="AO12" s="126">
        <v>238.26633066636381</v>
      </c>
      <c r="AP12" s="126">
        <v>250.00427120139284</v>
      </c>
      <c r="AQ12" s="126">
        <v>250.00427120139284</v>
      </c>
      <c r="AR12" s="126">
        <v>261.75255085229014</v>
      </c>
      <c r="AS12" s="126">
        <v>261.75255085229014</v>
      </c>
      <c r="AT12" s="126">
        <v>261.75255085229014</v>
      </c>
      <c r="AU12" s="126">
        <v>261.75255085229014</v>
      </c>
      <c r="AV12" s="126">
        <v>261.75255085229014</v>
      </c>
      <c r="AW12" s="126">
        <v>261.75255085229014</v>
      </c>
      <c r="AX12" s="701">
        <v>261.75255085229014</v>
      </c>
      <c r="AY12" s="701">
        <v>261.75255085229014</v>
      </c>
      <c r="AZ12" s="701">
        <v>261.75255085229014</v>
      </c>
      <c r="BA12" s="701">
        <v>261.75255085229014</v>
      </c>
      <c r="BB12" s="701">
        <v>261.75255085229014</v>
      </c>
      <c r="BC12" s="701">
        <v>261.75255085229014</v>
      </c>
      <c r="BD12" s="701">
        <v>261.75255085229014</v>
      </c>
      <c r="BE12" s="732"/>
      <c r="BF12" s="732"/>
      <c r="BG12" s="732"/>
      <c r="BH12" s="732"/>
      <c r="BI12" s="732"/>
      <c r="BJ12" s="732"/>
      <c r="BK12" s="732"/>
      <c r="BL12" s="648">
        <f>AVERAGE(AL12:AW12)</f>
        <v>244.49749648621255</v>
      </c>
      <c r="BM12" s="648">
        <f t="shared" si="0"/>
        <v>261.75255085229014</v>
      </c>
      <c r="BN12" s="718">
        <f t="shared" si="1"/>
        <v>7.057354211825495E-2</v>
      </c>
      <c r="CA12" s="93" t="s">
        <v>35</v>
      </c>
      <c r="CB12" s="691">
        <f>BN24</f>
        <v>7.2422701891824648E-2</v>
      </c>
      <c r="CC12" s="16"/>
      <c r="CD12" s="19"/>
    </row>
    <row r="13" spans="1:82">
      <c r="A13" s="83" t="s">
        <v>84</v>
      </c>
      <c r="B13" s="128">
        <v>163.52202283458524</v>
      </c>
      <c r="C13" s="129">
        <v>163.52202283458524</v>
      </c>
      <c r="D13" s="129">
        <v>163.52202283458524</v>
      </c>
      <c r="E13" s="129">
        <v>171.28688425852997</v>
      </c>
      <c r="F13" s="129">
        <v>171.28688425852997</v>
      </c>
      <c r="G13" s="129">
        <v>171.28688425852997</v>
      </c>
      <c r="H13" s="129">
        <v>171.28688425852997</v>
      </c>
      <c r="I13" s="129">
        <v>171.28688425852997</v>
      </c>
      <c r="J13" s="129">
        <v>171.28688425852997</v>
      </c>
      <c r="K13" s="129">
        <v>171.28688425852997</v>
      </c>
      <c r="L13" s="129">
        <v>171.28688425852997</v>
      </c>
      <c r="M13" s="130">
        <v>171.28688425852997</v>
      </c>
      <c r="N13" s="128">
        <v>171.28688425852997</v>
      </c>
      <c r="O13" s="129">
        <v>171.28688425852997</v>
      </c>
      <c r="P13" s="129">
        <v>171.28688425852997</v>
      </c>
      <c r="Q13" s="129">
        <v>175.96867856110566</v>
      </c>
      <c r="R13" s="129">
        <v>175.96867856110566</v>
      </c>
      <c r="S13" s="129">
        <v>175.96867856110566</v>
      </c>
      <c r="T13" s="129">
        <v>175.96867856110566</v>
      </c>
      <c r="U13" s="75">
        <v>175.96867856110566</v>
      </c>
      <c r="V13" s="75">
        <v>175.96867856110566</v>
      </c>
      <c r="W13" s="75">
        <v>175.96867856110566</v>
      </c>
      <c r="X13" s="75">
        <v>175.96867856110566</v>
      </c>
      <c r="Y13" s="130">
        <v>175.96867856110566</v>
      </c>
      <c r="Z13" s="129">
        <v>175.96867856110566</v>
      </c>
      <c r="AA13" s="129">
        <v>175.96867856110566</v>
      </c>
      <c r="AB13" s="129">
        <v>175.96867856110566</v>
      </c>
      <c r="AC13" s="129">
        <v>175.96867856110566</v>
      </c>
      <c r="AD13" s="129">
        <v>175.96867856110566</v>
      </c>
      <c r="AE13" s="129">
        <v>175.96867856110566</v>
      </c>
      <c r="AF13" s="129">
        <v>175.96867856110566</v>
      </c>
      <c r="AG13" s="129">
        <v>175.96867856110566</v>
      </c>
      <c r="AH13" s="129">
        <v>175.96867856110566</v>
      </c>
      <c r="AI13" s="129">
        <v>175.96867856110566</v>
      </c>
      <c r="AJ13" s="129">
        <v>175.96867856110566</v>
      </c>
      <c r="AK13" s="129">
        <v>175.96867856110566</v>
      </c>
      <c r="AL13" s="129">
        <v>193.45672449264782</v>
      </c>
      <c r="AM13" s="129">
        <v>193.45672449264782</v>
      </c>
      <c r="AN13" s="129">
        <v>238.26633066636381</v>
      </c>
      <c r="AO13" s="129">
        <v>238.26633066636381</v>
      </c>
      <c r="AP13" s="129">
        <v>250.00427120139284</v>
      </c>
      <c r="AQ13" s="129">
        <v>250.00427120139284</v>
      </c>
      <c r="AR13" s="129">
        <v>261.75255085229014</v>
      </c>
      <c r="AS13" s="129">
        <v>261.75255085229014</v>
      </c>
      <c r="AT13" s="129">
        <v>261.75255085229014</v>
      </c>
      <c r="AU13" s="129">
        <v>261.75255085229014</v>
      </c>
      <c r="AV13" s="129">
        <v>261.75255085229014</v>
      </c>
      <c r="AW13" s="129">
        <v>261.75255085229014</v>
      </c>
      <c r="AX13" s="702">
        <v>261.75255085229014</v>
      </c>
      <c r="AY13" s="702">
        <v>261.75255085229014</v>
      </c>
      <c r="AZ13" s="702">
        <v>261.75255085229014</v>
      </c>
      <c r="BA13" s="702">
        <v>261.75255085229014</v>
      </c>
      <c r="BB13" s="702">
        <v>261.75255085229014</v>
      </c>
      <c r="BC13" s="702">
        <v>261.75255085229014</v>
      </c>
      <c r="BD13" s="702">
        <v>261.75255085229014</v>
      </c>
      <c r="BE13" s="733"/>
      <c r="BF13" s="733"/>
      <c r="BG13" s="733"/>
      <c r="BH13" s="733"/>
      <c r="BI13" s="733"/>
      <c r="BJ13" s="733"/>
      <c r="BK13" s="733"/>
      <c r="BL13" s="648">
        <f>AVERAGE(AL13:AW13)</f>
        <v>244.49749648621255</v>
      </c>
      <c r="BM13" s="648">
        <f t="shared" si="0"/>
        <v>261.75255085229014</v>
      </c>
      <c r="BN13" s="718">
        <f t="shared" si="1"/>
        <v>7.057354211825495E-2</v>
      </c>
      <c r="CA13" s="93" t="s">
        <v>37</v>
      </c>
      <c r="CB13" s="691">
        <f>BN32</f>
        <v>0</v>
      </c>
      <c r="CC13" s="16"/>
      <c r="CD13" s="19"/>
    </row>
    <row r="14" spans="1:82">
      <c r="A14" s="81" t="s">
        <v>85</v>
      </c>
      <c r="B14" s="125">
        <v>101.90808843543029</v>
      </c>
      <c r="C14" s="126">
        <v>101.90808843543029</v>
      </c>
      <c r="D14" s="126">
        <v>101.90808843543029</v>
      </c>
      <c r="E14" s="126">
        <v>105.70085439527337</v>
      </c>
      <c r="F14" s="126">
        <v>105.70085439527337</v>
      </c>
      <c r="G14" s="126">
        <v>105.70085439527337</v>
      </c>
      <c r="H14" s="126">
        <v>105.70085439527337</v>
      </c>
      <c r="I14" s="126">
        <v>105.70085439527337</v>
      </c>
      <c r="J14" s="126">
        <v>105.70085439527337</v>
      </c>
      <c r="K14" s="126">
        <v>105.70085439527337</v>
      </c>
      <c r="L14" s="126">
        <v>105.70085439527337</v>
      </c>
      <c r="M14" s="127">
        <v>105.70085439527337</v>
      </c>
      <c r="N14" s="125">
        <v>105.70085439527337</v>
      </c>
      <c r="O14" s="126">
        <v>105.70085439527337</v>
      </c>
      <c r="P14" s="126">
        <v>105.70085439527337</v>
      </c>
      <c r="Q14" s="126">
        <v>105.70085439527337</v>
      </c>
      <c r="R14" s="126">
        <v>105.70085439527337</v>
      </c>
      <c r="S14" s="126">
        <v>105.70085439527337</v>
      </c>
      <c r="T14" s="126">
        <v>105.70085439527337</v>
      </c>
      <c r="U14" s="74">
        <v>115.5719010471793</v>
      </c>
      <c r="V14" s="74">
        <v>115.5719010471793</v>
      </c>
      <c r="W14" s="74">
        <v>115.5719010471793</v>
      </c>
      <c r="X14" s="74">
        <v>115.5719010471793</v>
      </c>
      <c r="Y14" s="127">
        <v>115.5719010471793</v>
      </c>
      <c r="Z14" s="126">
        <v>115.5719010471793</v>
      </c>
      <c r="AA14" s="126">
        <v>115.5719010471793</v>
      </c>
      <c r="AB14" s="126">
        <v>115.5719010471793</v>
      </c>
      <c r="AC14" s="126">
        <v>115.5719010471793</v>
      </c>
      <c r="AD14" s="126">
        <v>115.5719010471793</v>
      </c>
      <c r="AE14" s="126">
        <v>115.5719010471793</v>
      </c>
      <c r="AF14" s="126">
        <v>115.5719010471793</v>
      </c>
      <c r="AG14" s="126">
        <v>115.5719010471793</v>
      </c>
      <c r="AH14" s="126">
        <v>115.5719010471793</v>
      </c>
      <c r="AI14" s="126">
        <v>115.5719010471793</v>
      </c>
      <c r="AJ14" s="126">
        <v>115.5719010471793</v>
      </c>
      <c r="AK14" s="126">
        <v>115.5719010471793</v>
      </c>
      <c r="AL14" s="126">
        <v>115.5719010471793</v>
      </c>
      <c r="AM14" s="126">
        <v>115.5719010471793</v>
      </c>
      <c r="AN14" s="126">
        <v>115.5719010471793</v>
      </c>
      <c r="AO14" s="126">
        <v>115.5719010471793</v>
      </c>
      <c r="AP14" s="126">
        <v>131.40543654053636</v>
      </c>
      <c r="AQ14" s="126">
        <v>131.40543654053636</v>
      </c>
      <c r="AR14" s="126">
        <v>131.40543654053636</v>
      </c>
      <c r="AS14" s="126">
        <v>133.22202019303703</v>
      </c>
      <c r="AT14" s="126">
        <v>133.22202019303703</v>
      </c>
      <c r="AU14" s="126">
        <v>133.22202019303703</v>
      </c>
      <c r="AV14" s="126">
        <v>133.22202019303703</v>
      </c>
      <c r="AW14" s="126">
        <v>133.22202019303703</v>
      </c>
      <c r="AX14" s="701">
        <v>133.22202019303703</v>
      </c>
      <c r="AY14" s="701">
        <v>133.22202019303703</v>
      </c>
      <c r="AZ14" s="701">
        <v>133.22202019303703</v>
      </c>
      <c r="BA14" s="701">
        <v>133.22202019303703</v>
      </c>
      <c r="BB14" s="701">
        <v>133.22202019303703</v>
      </c>
      <c r="BC14" s="701">
        <v>133.22202019303703</v>
      </c>
      <c r="BD14" s="701">
        <v>133.22202019303703</v>
      </c>
      <c r="BE14" s="732"/>
      <c r="BF14" s="732"/>
      <c r="BG14" s="732"/>
      <c r="BH14" s="732"/>
      <c r="BI14" s="732"/>
      <c r="BJ14" s="732"/>
      <c r="BK14" s="732"/>
      <c r="BL14" s="648">
        <f>AVERAGE(AL14:AW14)</f>
        <v>126.88450123129262</v>
      </c>
      <c r="BM14" s="648">
        <f t="shared" si="0"/>
        <v>133.22202019303703</v>
      </c>
      <c r="BN14" s="718">
        <f t="shared" si="1"/>
        <v>4.9947147998729902E-2</v>
      </c>
      <c r="CA14" s="93" t="s">
        <v>39</v>
      </c>
      <c r="CB14" s="691">
        <f>BN41</f>
        <v>0</v>
      </c>
      <c r="CC14" s="16"/>
      <c r="CD14" s="19"/>
    </row>
    <row r="15" spans="1:82">
      <c r="A15" s="83" t="s">
        <v>85</v>
      </c>
      <c r="B15" s="128">
        <v>101.90808843543029</v>
      </c>
      <c r="C15" s="129">
        <v>101.90808843543029</v>
      </c>
      <c r="D15" s="129">
        <v>101.90808843543029</v>
      </c>
      <c r="E15" s="129">
        <v>105.70085439527337</v>
      </c>
      <c r="F15" s="129">
        <v>105.70085439527337</v>
      </c>
      <c r="G15" s="129">
        <v>105.70085439527337</v>
      </c>
      <c r="H15" s="129">
        <v>105.70085439527337</v>
      </c>
      <c r="I15" s="129">
        <v>105.70085439527337</v>
      </c>
      <c r="J15" s="129">
        <v>105.70085439527337</v>
      </c>
      <c r="K15" s="129">
        <v>105.70085439527337</v>
      </c>
      <c r="L15" s="129">
        <v>105.70085439527337</v>
      </c>
      <c r="M15" s="130">
        <v>105.70085439527337</v>
      </c>
      <c r="N15" s="128">
        <v>105.70085439527337</v>
      </c>
      <c r="O15" s="129">
        <v>105.70085439527337</v>
      </c>
      <c r="P15" s="129">
        <v>105.70085439527337</v>
      </c>
      <c r="Q15" s="129">
        <v>105.70085439527337</v>
      </c>
      <c r="R15" s="129">
        <v>105.70085439527337</v>
      </c>
      <c r="S15" s="129">
        <v>105.70085439527337</v>
      </c>
      <c r="T15" s="129">
        <v>105.70085439527337</v>
      </c>
      <c r="U15" s="75">
        <v>115.5719010471793</v>
      </c>
      <c r="V15" s="75">
        <v>115.5719010471793</v>
      </c>
      <c r="W15" s="75">
        <v>115.5719010471793</v>
      </c>
      <c r="X15" s="75">
        <v>115.5719010471793</v>
      </c>
      <c r="Y15" s="130">
        <v>115.5719010471793</v>
      </c>
      <c r="Z15" s="129">
        <v>115.5719010471793</v>
      </c>
      <c r="AA15" s="129">
        <v>115.5719010471793</v>
      </c>
      <c r="AB15" s="129">
        <v>115.5719010471793</v>
      </c>
      <c r="AC15" s="129">
        <v>115.5719010471793</v>
      </c>
      <c r="AD15" s="129">
        <v>115.5719010471793</v>
      </c>
      <c r="AE15" s="129">
        <v>115.5719010471793</v>
      </c>
      <c r="AF15" s="129">
        <v>115.5719010471793</v>
      </c>
      <c r="AG15" s="129">
        <v>115.5719010471793</v>
      </c>
      <c r="AH15" s="129">
        <v>115.5719010471793</v>
      </c>
      <c r="AI15" s="129">
        <v>115.5719010471793</v>
      </c>
      <c r="AJ15" s="129">
        <v>115.5719010471793</v>
      </c>
      <c r="AK15" s="129">
        <v>115.5719010471793</v>
      </c>
      <c r="AL15" s="129">
        <v>115.5719010471793</v>
      </c>
      <c r="AM15" s="129">
        <v>115.5719010471793</v>
      </c>
      <c r="AN15" s="129">
        <v>115.5719010471793</v>
      </c>
      <c r="AO15" s="129">
        <v>115.5719010471793</v>
      </c>
      <c r="AP15" s="129">
        <v>131.40543654053636</v>
      </c>
      <c r="AQ15" s="129">
        <v>131.40543654053636</v>
      </c>
      <c r="AR15" s="129">
        <v>131.40543654053636</v>
      </c>
      <c r="AS15" s="129">
        <v>133.22202019303703</v>
      </c>
      <c r="AT15" s="129">
        <v>133.22202019303703</v>
      </c>
      <c r="AU15" s="129">
        <v>133.22202019303703</v>
      </c>
      <c r="AV15" s="129">
        <v>133.22202019303703</v>
      </c>
      <c r="AW15" s="129">
        <v>133.22202019303703</v>
      </c>
      <c r="AX15" s="702">
        <v>133.22202019303703</v>
      </c>
      <c r="AY15" s="702">
        <v>133.22202019303703</v>
      </c>
      <c r="AZ15" s="702">
        <v>133.22202019303703</v>
      </c>
      <c r="BA15" s="702">
        <v>133.22202019303703</v>
      </c>
      <c r="BB15" s="702">
        <v>133.22202019303703</v>
      </c>
      <c r="BC15" s="702">
        <v>133.22202019303703</v>
      </c>
      <c r="BD15" s="702">
        <v>133.22202019303703</v>
      </c>
      <c r="BE15" s="733"/>
      <c r="BF15" s="733"/>
      <c r="BG15" s="733"/>
      <c r="BH15" s="733"/>
      <c r="BI15" s="733"/>
      <c r="BJ15" s="733"/>
      <c r="BK15" s="733"/>
      <c r="BL15" s="648">
        <f>AVERAGE(AL15:AW15)</f>
        <v>126.88450123129262</v>
      </c>
      <c r="BM15" s="648">
        <f t="shared" si="0"/>
        <v>133.22202019303703</v>
      </c>
      <c r="BN15" s="718">
        <f t="shared" si="1"/>
        <v>4.9947147998729902E-2</v>
      </c>
      <c r="CA15" s="93" t="s">
        <v>41</v>
      </c>
      <c r="CB15" s="691">
        <f>BN47</f>
        <v>7.0000000000000062E-2</v>
      </c>
      <c r="CC15" s="16"/>
      <c r="CD15" s="19"/>
    </row>
    <row r="16" spans="1:82">
      <c r="A16" s="81" t="s">
        <v>86</v>
      </c>
      <c r="B16" s="125">
        <v>111.36340273841247</v>
      </c>
      <c r="C16" s="126">
        <v>111.36378829375577</v>
      </c>
      <c r="D16" s="126">
        <v>111.36378829375577</v>
      </c>
      <c r="E16" s="126">
        <v>111.36378829375577</v>
      </c>
      <c r="F16" s="126">
        <v>111.31733134931221</v>
      </c>
      <c r="G16" s="126">
        <v>111.23726805459258</v>
      </c>
      <c r="H16" s="126">
        <v>111.24070340777712</v>
      </c>
      <c r="I16" s="126">
        <v>111.23972345711375</v>
      </c>
      <c r="J16" s="126">
        <v>111.24575671554626</v>
      </c>
      <c r="K16" s="126">
        <v>111.39267567764153</v>
      </c>
      <c r="L16" s="126">
        <v>111.39267567764153</v>
      </c>
      <c r="M16" s="127">
        <v>111.4829540981757</v>
      </c>
      <c r="N16" s="125">
        <v>111.4829540981757</v>
      </c>
      <c r="O16" s="126">
        <v>111.4829540981757</v>
      </c>
      <c r="P16" s="126">
        <v>111.51222547340744</v>
      </c>
      <c r="Q16" s="126">
        <v>111.51965751172827</v>
      </c>
      <c r="R16" s="126">
        <v>111.51965751172827</v>
      </c>
      <c r="S16" s="126">
        <v>111.51965751172827</v>
      </c>
      <c r="T16" s="126">
        <v>111.7628579693027</v>
      </c>
      <c r="U16" s="74">
        <v>111.7628579693027</v>
      </c>
      <c r="V16" s="74">
        <v>111.76783104415018</v>
      </c>
      <c r="W16" s="74">
        <v>111.84253748174504</v>
      </c>
      <c r="X16" s="74">
        <v>111.89513014467103</v>
      </c>
      <c r="Y16" s="127">
        <v>111.89513014467103</v>
      </c>
      <c r="Z16" s="126">
        <v>112.20178095880597</v>
      </c>
      <c r="AA16" s="126">
        <v>112.1136789491147</v>
      </c>
      <c r="AB16" s="126">
        <v>112.1136789491147</v>
      </c>
      <c r="AC16" s="126">
        <v>112.24729304947236</v>
      </c>
      <c r="AD16" s="126">
        <v>112.27815834740107</v>
      </c>
      <c r="AE16" s="126">
        <v>112.27815834740107</v>
      </c>
      <c r="AF16" s="126">
        <v>112.32477639604082</v>
      </c>
      <c r="AG16" s="126">
        <v>112.32477639604082</v>
      </c>
      <c r="AH16" s="126">
        <v>112.43487437784007</v>
      </c>
      <c r="AI16" s="126">
        <v>112.43487437784007</v>
      </c>
      <c r="AJ16" s="126">
        <v>112.39320224263842</v>
      </c>
      <c r="AK16" s="126">
        <v>115.05523878829815</v>
      </c>
      <c r="AL16" s="126">
        <v>114.75451900265196</v>
      </c>
      <c r="AM16" s="126">
        <v>114.82859153114124</v>
      </c>
      <c r="AN16" s="126">
        <v>116.79180632337366</v>
      </c>
      <c r="AO16" s="126">
        <v>116.83823838342119</v>
      </c>
      <c r="AP16" s="126">
        <v>118.98168641188576</v>
      </c>
      <c r="AQ16" s="126">
        <v>119.02347226606747</v>
      </c>
      <c r="AR16" s="126">
        <v>119.02347226606747</v>
      </c>
      <c r="AS16" s="126">
        <v>118.97608724758319</v>
      </c>
      <c r="AT16" s="126">
        <v>118.97608724758319</v>
      </c>
      <c r="AU16" s="126">
        <v>118.72103329687886</v>
      </c>
      <c r="AV16" s="126">
        <v>118.72103329687886</v>
      </c>
      <c r="AW16" s="126">
        <v>118.72103329687886</v>
      </c>
      <c r="AX16" s="701">
        <v>118.72103329687886</v>
      </c>
      <c r="AY16" s="701">
        <v>118.72103329687886</v>
      </c>
      <c r="AZ16" s="701">
        <v>118.72103329687886</v>
      </c>
      <c r="BA16" s="701">
        <v>118.72103329687886</v>
      </c>
      <c r="BB16" s="701">
        <v>118.72103329687886</v>
      </c>
      <c r="BC16" s="701">
        <v>118.72103329687886</v>
      </c>
      <c r="BD16" s="701">
        <v>118.72103329687886</v>
      </c>
      <c r="BE16" s="732"/>
      <c r="BF16" s="732"/>
      <c r="BG16" s="732"/>
      <c r="BH16" s="732"/>
      <c r="BI16" s="732"/>
      <c r="BJ16" s="732"/>
      <c r="BK16" s="732"/>
      <c r="BL16" s="648">
        <f>AVERAGE(AL16:AW16)</f>
        <v>117.86308838086767</v>
      </c>
      <c r="BM16" s="648">
        <f t="shared" si="0"/>
        <v>118.72103329687887</v>
      </c>
      <c r="BN16" s="718">
        <f t="shared" si="1"/>
        <v>7.2791654096047154E-3</v>
      </c>
      <c r="CA16" s="93" t="s">
        <v>43</v>
      </c>
      <c r="CB16" s="691">
        <f>BN60</f>
        <v>-5.7509584930821589E-3</v>
      </c>
      <c r="CC16" s="16"/>
      <c r="CD16" s="19"/>
    </row>
    <row r="17" spans="1:82">
      <c r="A17" s="83" t="s">
        <v>86</v>
      </c>
      <c r="B17" s="128">
        <v>111.36340273841247</v>
      </c>
      <c r="C17" s="129">
        <v>111.36378829375577</v>
      </c>
      <c r="D17" s="129">
        <v>111.36378829375577</v>
      </c>
      <c r="E17" s="129">
        <v>111.36378829375577</v>
      </c>
      <c r="F17" s="129">
        <v>111.31733134931221</v>
      </c>
      <c r="G17" s="129">
        <v>111.23726805459258</v>
      </c>
      <c r="H17" s="129">
        <v>111.24070340777712</v>
      </c>
      <c r="I17" s="129">
        <v>111.23972345711375</v>
      </c>
      <c r="J17" s="129">
        <v>111.24575671554626</v>
      </c>
      <c r="K17" s="129">
        <v>111.39267567764153</v>
      </c>
      <c r="L17" s="129">
        <v>111.39267567764153</v>
      </c>
      <c r="M17" s="130">
        <v>111.4829540981757</v>
      </c>
      <c r="N17" s="128">
        <v>111.4829540981757</v>
      </c>
      <c r="O17" s="129">
        <v>111.4829540981757</v>
      </c>
      <c r="P17" s="129">
        <v>111.51222547340744</v>
      </c>
      <c r="Q17" s="129">
        <v>111.51965751172827</v>
      </c>
      <c r="R17" s="129">
        <v>111.51965751172827</v>
      </c>
      <c r="S17" s="129">
        <v>111.51965751172827</v>
      </c>
      <c r="T17" s="129">
        <v>111.7628579693027</v>
      </c>
      <c r="U17" s="75">
        <v>111.7628579693027</v>
      </c>
      <c r="V17" s="75">
        <v>111.76783104415018</v>
      </c>
      <c r="W17" s="75">
        <v>111.84253748174504</v>
      </c>
      <c r="X17" s="75">
        <v>111.89513014467103</v>
      </c>
      <c r="Y17" s="130">
        <v>111.89513014467103</v>
      </c>
      <c r="Z17" s="129">
        <v>112.20178095880597</v>
      </c>
      <c r="AA17" s="129">
        <v>112.1136789491147</v>
      </c>
      <c r="AB17" s="129">
        <v>112.1136789491147</v>
      </c>
      <c r="AC17" s="129">
        <v>112.24729304947236</v>
      </c>
      <c r="AD17" s="129">
        <v>112.27815834740107</v>
      </c>
      <c r="AE17" s="129">
        <v>112.27815834740107</v>
      </c>
      <c r="AF17" s="129">
        <v>112.32477639604082</v>
      </c>
      <c r="AG17" s="129">
        <v>112.32477639604082</v>
      </c>
      <c r="AH17" s="129">
        <v>112.43487437784007</v>
      </c>
      <c r="AI17" s="129">
        <v>112.43487437784007</v>
      </c>
      <c r="AJ17" s="129">
        <v>112.39320224263842</v>
      </c>
      <c r="AK17" s="129">
        <v>115.05523878829815</v>
      </c>
      <c r="AL17" s="129">
        <v>114.75451900265196</v>
      </c>
      <c r="AM17" s="129">
        <v>114.82859153114124</v>
      </c>
      <c r="AN17" s="129">
        <v>116.79180632337366</v>
      </c>
      <c r="AO17" s="129">
        <v>116.83823838342119</v>
      </c>
      <c r="AP17" s="129">
        <v>118.98168641188576</v>
      </c>
      <c r="AQ17" s="129">
        <v>119.02347226606747</v>
      </c>
      <c r="AR17" s="129">
        <v>119.02347226606747</v>
      </c>
      <c r="AS17" s="129">
        <v>118.97608724758319</v>
      </c>
      <c r="AT17" s="129">
        <v>118.97608724758319</v>
      </c>
      <c r="AU17" s="129">
        <v>118.72103329687886</v>
      </c>
      <c r="AV17" s="129">
        <v>118.72103329687886</v>
      </c>
      <c r="AW17" s="129">
        <v>118.72103329687886</v>
      </c>
      <c r="AX17" s="702">
        <v>118.72103329687886</v>
      </c>
      <c r="AY17" s="702">
        <v>118.72103329687886</v>
      </c>
      <c r="AZ17" s="702">
        <v>118.72103329687886</v>
      </c>
      <c r="BA17" s="702">
        <v>118.72103329687886</v>
      </c>
      <c r="BB17" s="702">
        <v>118.72103329687886</v>
      </c>
      <c r="BC17" s="702">
        <v>118.72103329687886</v>
      </c>
      <c r="BD17" s="702">
        <v>118.72103329687886</v>
      </c>
      <c r="BE17" s="733"/>
      <c r="BF17" s="733"/>
      <c r="BG17" s="733"/>
      <c r="BH17" s="733"/>
      <c r="BI17" s="733"/>
      <c r="BJ17" s="733"/>
      <c r="BK17" s="733"/>
      <c r="BL17" s="648">
        <f>AVERAGE(AL17:AW17)</f>
        <v>117.86308838086767</v>
      </c>
      <c r="BM17" s="648">
        <f t="shared" si="0"/>
        <v>118.72103329687887</v>
      </c>
      <c r="BN17" s="718">
        <f t="shared" si="1"/>
        <v>7.2791654096047154E-3</v>
      </c>
      <c r="CA17" s="93" t="s">
        <v>45</v>
      </c>
      <c r="CB17" s="691">
        <f>BN63</f>
        <v>0</v>
      </c>
      <c r="CC17" s="16"/>
      <c r="CD17" s="19"/>
    </row>
    <row r="18" spans="1:82">
      <c r="A18" s="81" t="s">
        <v>87</v>
      </c>
      <c r="B18" s="125">
        <v>144.1645157991299</v>
      </c>
      <c r="C18" s="126">
        <v>145.81747662143823</v>
      </c>
      <c r="D18" s="126">
        <v>149.27349326070373</v>
      </c>
      <c r="E18" s="126">
        <v>147.20470849169902</v>
      </c>
      <c r="F18" s="126">
        <v>148.2288718299524</v>
      </c>
      <c r="G18" s="126">
        <v>156.1950138594654</v>
      </c>
      <c r="H18" s="126">
        <v>157.01115304397905</v>
      </c>
      <c r="I18" s="126">
        <v>149.97146033381958</v>
      </c>
      <c r="J18" s="126">
        <v>152.94013184755323</v>
      </c>
      <c r="K18" s="126">
        <v>154.12268284496963</v>
      </c>
      <c r="L18" s="126">
        <v>156.50714981950466</v>
      </c>
      <c r="M18" s="127">
        <v>166.73058515712023</v>
      </c>
      <c r="N18" s="125">
        <v>169.6986468467727</v>
      </c>
      <c r="O18" s="126">
        <v>176.20742587748416</v>
      </c>
      <c r="P18" s="126">
        <v>190.65929762219474</v>
      </c>
      <c r="Q18" s="126">
        <v>191.97653492891811</v>
      </c>
      <c r="R18" s="126">
        <v>216.70112640706662</v>
      </c>
      <c r="S18" s="126">
        <v>203.62073821467982</v>
      </c>
      <c r="T18" s="126">
        <v>180.91744862128874</v>
      </c>
      <c r="U18" s="74">
        <v>185.62589316204944</v>
      </c>
      <c r="V18" s="74">
        <v>192.10447203403265</v>
      </c>
      <c r="W18" s="74">
        <v>194.26115643200919</v>
      </c>
      <c r="X18" s="74">
        <v>191.06011404371316</v>
      </c>
      <c r="Y18" s="127">
        <v>193.334175633706</v>
      </c>
      <c r="Z18" s="126">
        <v>198.70683470648927</v>
      </c>
      <c r="AA18" s="126">
        <v>198.08512313200336</v>
      </c>
      <c r="AB18" s="126">
        <v>197.9689484705271</v>
      </c>
      <c r="AC18" s="126">
        <v>202.53720674581083</v>
      </c>
      <c r="AD18" s="126">
        <v>209.87562619800374</v>
      </c>
      <c r="AE18" s="126">
        <v>228.13656434242841</v>
      </c>
      <c r="AF18" s="126">
        <v>241.99857366898439</v>
      </c>
      <c r="AG18" s="126">
        <v>246.72025698761865</v>
      </c>
      <c r="AH18" s="126">
        <v>267.61754449195871</v>
      </c>
      <c r="AI18" s="126">
        <v>272.93153545019317</v>
      </c>
      <c r="AJ18" s="126">
        <v>262.760405036203</v>
      </c>
      <c r="AK18" s="126">
        <v>259.44236163649583</v>
      </c>
      <c r="AL18" s="126">
        <v>260.83502291161773</v>
      </c>
      <c r="AM18" s="126">
        <v>239.09845820874543</v>
      </c>
      <c r="AN18" s="126">
        <v>236.55123357698872</v>
      </c>
      <c r="AO18" s="126">
        <v>235.33914171842514</v>
      </c>
      <c r="AP18" s="126">
        <v>229.16110006660978</v>
      </c>
      <c r="AQ18" s="126">
        <v>207.63257438776694</v>
      </c>
      <c r="AR18" s="126">
        <v>208.8305808551186</v>
      </c>
      <c r="AS18" s="126">
        <v>215.90614661481123</v>
      </c>
      <c r="AT18" s="126">
        <v>217.47029371200176</v>
      </c>
      <c r="AU18" s="126">
        <v>242.00616752983913</v>
      </c>
      <c r="AV18" s="126">
        <v>257.18204706413241</v>
      </c>
      <c r="AW18" s="126">
        <v>254.92124435584333</v>
      </c>
      <c r="AX18" s="701">
        <v>257.14206308007994</v>
      </c>
      <c r="AY18" s="701">
        <v>253.04734521278044</v>
      </c>
      <c r="AZ18" s="701">
        <v>250.51968269922264</v>
      </c>
      <c r="BA18" s="701">
        <v>241.40789120722798</v>
      </c>
      <c r="BB18" s="701">
        <v>252.9438391114835</v>
      </c>
      <c r="BC18" s="701">
        <v>255.702572775649</v>
      </c>
      <c r="BD18" s="701">
        <v>263.4615010935949</v>
      </c>
      <c r="BE18" s="732"/>
      <c r="BF18" s="732"/>
      <c r="BG18" s="732"/>
      <c r="BH18" s="732"/>
      <c r="BI18" s="732"/>
      <c r="BJ18" s="732"/>
      <c r="BK18" s="732"/>
      <c r="BL18" s="648">
        <f>AVERAGE(AL18:AW18)</f>
        <v>233.74450091682502</v>
      </c>
      <c r="BM18" s="648">
        <f t="shared" si="0"/>
        <v>253.46069931143407</v>
      </c>
      <c r="BN18" s="718">
        <f t="shared" si="1"/>
        <v>8.4349357171079831E-2</v>
      </c>
      <c r="CA18" s="93" t="s">
        <v>47</v>
      </c>
      <c r="CB18" s="691">
        <f>BN69</f>
        <v>2.0581618198483254E-2</v>
      </c>
      <c r="CC18" s="16"/>
      <c r="CD18" s="19"/>
    </row>
    <row r="19" spans="1:82">
      <c r="A19" s="83" t="s">
        <v>88</v>
      </c>
      <c r="B19" s="128">
        <v>143.61960147479792</v>
      </c>
      <c r="C19" s="129">
        <v>143.61960147479792</v>
      </c>
      <c r="D19" s="129">
        <v>143.61960147479792</v>
      </c>
      <c r="E19" s="129">
        <v>143.61960147479792</v>
      </c>
      <c r="F19" s="129">
        <v>143.61960147479792</v>
      </c>
      <c r="G19" s="129">
        <v>143.61960147479792</v>
      </c>
      <c r="H19" s="129">
        <v>143.61960147479792</v>
      </c>
      <c r="I19" s="129">
        <v>143.61960147479792</v>
      </c>
      <c r="J19" s="129">
        <v>143.61960147479792</v>
      </c>
      <c r="K19" s="129">
        <v>147.24658892326858</v>
      </c>
      <c r="L19" s="129">
        <v>147.24658892326858</v>
      </c>
      <c r="M19" s="130">
        <v>151.14078643615863</v>
      </c>
      <c r="N19" s="128">
        <v>151.14078643615866</v>
      </c>
      <c r="O19" s="129">
        <v>151.14078643615866</v>
      </c>
      <c r="P19" s="129">
        <v>151.14078643615866</v>
      </c>
      <c r="Q19" s="129">
        <v>166.17181521527152</v>
      </c>
      <c r="R19" s="129">
        <v>166.17181521527152</v>
      </c>
      <c r="S19" s="129">
        <v>166.17181521527152</v>
      </c>
      <c r="T19" s="129">
        <v>176.71573540473642</v>
      </c>
      <c r="U19" s="75">
        <v>176.71573540473642</v>
      </c>
      <c r="V19" s="75">
        <v>176.71573540473642</v>
      </c>
      <c r="W19" s="75">
        <v>176.71573540473642</v>
      </c>
      <c r="X19" s="75">
        <v>176.71573540473642</v>
      </c>
      <c r="Y19" s="130">
        <v>176.71573540473642</v>
      </c>
      <c r="Z19" s="129">
        <v>176.71573540473642</v>
      </c>
      <c r="AA19" s="129">
        <v>176.71573540473642</v>
      </c>
      <c r="AB19" s="129">
        <v>176.71573540473642</v>
      </c>
      <c r="AC19" s="129">
        <v>176.71573540473642</v>
      </c>
      <c r="AD19" s="129">
        <v>176.71573540473642</v>
      </c>
      <c r="AE19" s="129">
        <v>176.71573540473642</v>
      </c>
      <c r="AF19" s="129">
        <v>176.71573540473642</v>
      </c>
      <c r="AG19" s="129">
        <v>176.71573540473642</v>
      </c>
      <c r="AH19" s="129">
        <v>176.71573540473642</v>
      </c>
      <c r="AI19" s="129">
        <v>176.71573540473642</v>
      </c>
      <c r="AJ19" s="129">
        <v>176.71573540473642</v>
      </c>
      <c r="AK19" s="129">
        <v>176.71573540473642</v>
      </c>
      <c r="AL19" s="129">
        <v>176.71573540473642</v>
      </c>
      <c r="AM19" s="129">
        <v>176.71573540473642</v>
      </c>
      <c r="AN19" s="129">
        <v>176.71573540473642</v>
      </c>
      <c r="AO19" s="129">
        <v>176.71573540473642</v>
      </c>
      <c r="AP19" s="129">
        <v>176.71573540473642</v>
      </c>
      <c r="AQ19" s="129">
        <v>176.71573540473642</v>
      </c>
      <c r="AR19" s="129">
        <v>176.71573540473642</v>
      </c>
      <c r="AS19" s="129">
        <v>176.71573540473642</v>
      </c>
      <c r="AT19" s="129">
        <v>176.71573540473642</v>
      </c>
      <c r="AU19" s="129">
        <v>176.71573540473642</v>
      </c>
      <c r="AV19" s="129">
        <v>176.71573540473642</v>
      </c>
      <c r="AW19" s="129">
        <v>176.71573540473642</v>
      </c>
      <c r="AX19" s="702">
        <v>176.71573540473642</v>
      </c>
      <c r="AY19" s="702">
        <v>176.71573540473642</v>
      </c>
      <c r="AZ19" s="702">
        <v>184.67639492887886</v>
      </c>
      <c r="BA19" s="702">
        <v>184.67639492887886</v>
      </c>
      <c r="BB19" s="702">
        <v>184.67639492887886</v>
      </c>
      <c r="BC19" s="702">
        <v>184.67639492887886</v>
      </c>
      <c r="BD19" s="702">
        <v>184.67639492887886</v>
      </c>
      <c r="BE19" s="733"/>
      <c r="BF19" s="733"/>
      <c r="BG19" s="733"/>
      <c r="BH19" s="733"/>
      <c r="BI19" s="733"/>
      <c r="BJ19" s="733"/>
      <c r="BK19" s="733"/>
      <c r="BL19" s="648">
        <f>AVERAGE(AL19:AW19)</f>
        <v>176.71573540473648</v>
      </c>
      <c r="BM19" s="648">
        <f t="shared" si="0"/>
        <v>182.40192077912388</v>
      </c>
      <c r="BN19" s="718">
        <f t="shared" si="1"/>
        <v>3.2177017860713919E-2</v>
      </c>
      <c r="CA19" s="93" t="s">
        <v>49</v>
      </c>
      <c r="CB19" s="691">
        <f>BN73</f>
        <v>0.1449999999999998</v>
      </c>
      <c r="CC19" s="16"/>
      <c r="CD19" s="19"/>
    </row>
    <row r="20" spans="1:82">
      <c r="A20" s="83" t="s">
        <v>89</v>
      </c>
      <c r="B20" s="128">
        <v>148.70231457338843</v>
      </c>
      <c r="C20" s="129">
        <v>151.2655942877773</v>
      </c>
      <c r="D20" s="129">
        <v>155.85643226764009</v>
      </c>
      <c r="E20" s="129">
        <v>154.20594488346907</v>
      </c>
      <c r="F20" s="129">
        <v>154.20594488346907</v>
      </c>
      <c r="G20" s="129">
        <v>154.20594488346907</v>
      </c>
      <c r="H20" s="129">
        <v>154.20594488346907</v>
      </c>
      <c r="I20" s="129">
        <v>145.62156524529667</v>
      </c>
      <c r="J20" s="129">
        <v>149.52465000601705</v>
      </c>
      <c r="K20" s="129">
        <v>154.40250310882908</v>
      </c>
      <c r="L20" s="129">
        <v>156.01508283525214</v>
      </c>
      <c r="M20" s="130">
        <v>154.05952906253762</v>
      </c>
      <c r="N20" s="128">
        <v>161.04135745517269</v>
      </c>
      <c r="O20" s="129">
        <v>171.43487504512817</v>
      </c>
      <c r="P20" s="129">
        <v>202.29852781900598</v>
      </c>
      <c r="Q20" s="129">
        <v>207.38292751414016</v>
      </c>
      <c r="R20" s="129">
        <v>248.70632596574271</v>
      </c>
      <c r="S20" s="129">
        <v>225.35560993220747</v>
      </c>
      <c r="T20" s="129">
        <v>186.64206346022704</v>
      </c>
      <c r="U20" s="75">
        <v>179.43760279192909</v>
      </c>
      <c r="V20" s="75">
        <v>184.59424766336397</v>
      </c>
      <c r="W20" s="75">
        <v>189.90332544426172</v>
      </c>
      <c r="X20" s="75">
        <v>183.57334830919811</v>
      </c>
      <c r="Y20" s="130">
        <v>190.7431104336315</v>
      </c>
      <c r="Z20" s="129">
        <v>200.18051265594289</v>
      </c>
      <c r="AA20" s="129">
        <v>197.66536964980543</v>
      </c>
      <c r="AB20" s="129">
        <v>198.4957278671427</v>
      </c>
      <c r="AC20" s="129">
        <v>214.50519475309883</v>
      </c>
      <c r="AD20" s="129">
        <v>216.12178587187611</v>
      </c>
      <c r="AE20" s="129">
        <v>237.48646155080425</v>
      </c>
      <c r="AF20" s="129">
        <v>260.42360303261262</v>
      </c>
      <c r="AG20" s="129">
        <v>265.80288017971043</v>
      </c>
      <c r="AH20" s="129">
        <v>295.00381082273657</v>
      </c>
      <c r="AI20" s="129">
        <v>302.34265313490317</v>
      </c>
      <c r="AJ20" s="129">
        <v>278.00553572144889</v>
      </c>
      <c r="AK20" s="129">
        <v>272.3193870592483</v>
      </c>
      <c r="AL20" s="129">
        <v>273.08355730273979</v>
      </c>
      <c r="AM20" s="129">
        <v>241.3053070720847</v>
      </c>
      <c r="AN20" s="129">
        <v>232.08411889766936</v>
      </c>
      <c r="AO20" s="129">
        <v>238.74603875005013</v>
      </c>
      <c r="AP20" s="129">
        <v>224.89871234305429</v>
      </c>
      <c r="AQ20" s="129">
        <v>197.73757471218261</v>
      </c>
      <c r="AR20" s="129">
        <v>198.56392153716553</v>
      </c>
      <c r="AS20" s="129">
        <v>192.62706085282201</v>
      </c>
      <c r="AT20" s="129">
        <v>180.59003995704762</v>
      </c>
      <c r="AU20" s="129">
        <v>221.95033896265392</v>
      </c>
      <c r="AV20" s="129">
        <v>244.09322475831362</v>
      </c>
      <c r="AW20" s="129">
        <v>247.28270841667057</v>
      </c>
      <c r="AX20" s="702">
        <v>250.51386797986669</v>
      </c>
      <c r="AY20" s="702">
        <v>242.60900958722775</v>
      </c>
      <c r="AZ20" s="702">
        <v>226.98864775963736</v>
      </c>
      <c r="BA20" s="702">
        <v>239.98957037987884</v>
      </c>
      <c r="BB20" s="702">
        <v>250.95270568414296</v>
      </c>
      <c r="BC20" s="702">
        <v>246.73252035781621</v>
      </c>
      <c r="BD20" s="702">
        <v>240.11392354286173</v>
      </c>
      <c r="BE20" s="733"/>
      <c r="BF20" s="733"/>
      <c r="BG20" s="733"/>
      <c r="BH20" s="733"/>
      <c r="BI20" s="733"/>
      <c r="BJ20" s="733"/>
      <c r="BK20" s="733"/>
      <c r="BL20" s="648">
        <f>AVERAGE(AL20:AW20)</f>
        <v>224.41355029687119</v>
      </c>
      <c r="BM20" s="648">
        <f t="shared" si="0"/>
        <v>242.55717789877593</v>
      </c>
      <c r="BN20" s="718">
        <f t="shared" si="1"/>
        <v>8.0849073408905126E-2</v>
      </c>
      <c r="CA20" s="93" t="s">
        <v>51</v>
      </c>
      <c r="CB20" s="691">
        <f>BN76</f>
        <v>0</v>
      </c>
      <c r="CC20" s="16"/>
      <c r="CD20" s="19"/>
    </row>
    <row r="21" spans="1:82">
      <c r="A21" s="83" t="s">
        <v>90</v>
      </c>
      <c r="B21" s="131">
        <v>139.54809319241846</v>
      </c>
      <c r="C21" s="132">
        <v>140.25753173133177</v>
      </c>
      <c r="D21" s="132">
        <v>142.54428899460083</v>
      </c>
      <c r="E21" s="132">
        <v>139.93231916764748</v>
      </c>
      <c r="F21" s="132">
        <v>142.0640926191559</v>
      </c>
      <c r="G21" s="132">
        <v>158.40030424869582</v>
      </c>
      <c r="H21" s="132">
        <v>159.9695289307987</v>
      </c>
      <c r="I21" s="132">
        <v>154.05665168885707</v>
      </c>
      <c r="J21" s="132">
        <v>156.35604423548099</v>
      </c>
      <c r="K21" s="132">
        <v>154.07076730353938</v>
      </c>
      <c r="L21" s="132">
        <v>157.26156344000165</v>
      </c>
      <c r="M21" s="133">
        <v>177.58957182921918</v>
      </c>
      <c r="N21" s="131">
        <v>177.65670428227153</v>
      </c>
      <c r="O21" s="132">
        <v>181.18003637503793</v>
      </c>
      <c r="P21" s="132">
        <v>179.28420609452371</v>
      </c>
      <c r="Q21" s="132">
        <v>175.52314790945894</v>
      </c>
      <c r="R21" s="132">
        <v>175.21682778892759</v>
      </c>
      <c r="S21" s="132">
        <v>178.76210737811743</v>
      </c>
      <c r="T21" s="132">
        <v>175.2801560754296</v>
      </c>
      <c r="U21" s="76">
        <v>191.42149147748734</v>
      </c>
      <c r="V21" s="76">
        <v>199.14990435057922</v>
      </c>
      <c r="W21" s="76">
        <v>198.72065374195537</v>
      </c>
      <c r="X21" s="76">
        <v>198.06496752754438</v>
      </c>
      <c r="Y21" s="133">
        <v>196.21950429268492</v>
      </c>
      <c r="Z21" s="132">
        <v>197.93222519033901</v>
      </c>
      <c r="AA21" s="132">
        <v>199.10164227566827</v>
      </c>
      <c r="AB21" s="132">
        <v>198.08769523903425</v>
      </c>
      <c r="AC21" s="132">
        <v>190.29366938969093</v>
      </c>
      <c r="AD21" s="132">
        <v>204.490515942993</v>
      </c>
      <c r="AE21" s="132">
        <v>219.72759301185823</v>
      </c>
      <c r="AF21" s="132">
        <v>222.9065069477968</v>
      </c>
      <c r="AG21" s="132">
        <v>227.02814886319734</v>
      </c>
      <c r="AH21" s="132">
        <v>237.40049683408762</v>
      </c>
      <c r="AI21" s="132">
        <v>239.96906668242434</v>
      </c>
      <c r="AJ21" s="132">
        <v>248.46060675201321</v>
      </c>
      <c r="AK21" s="132">
        <v>247.91024361541992</v>
      </c>
      <c r="AL21" s="132">
        <v>250.05469947494393</v>
      </c>
      <c r="AM21" s="132">
        <v>238.48762958255838</v>
      </c>
      <c r="AN21" s="132">
        <v>242.03760036233913</v>
      </c>
      <c r="AO21" s="132">
        <v>233.4841510483777</v>
      </c>
      <c r="AP21" s="132">
        <v>234.32866796792996</v>
      </c>
      <c r="AQ21" s="132">
        <v>217.08188157462027</v>
      </c>
      <c r="AR21" s="132">
        <v>218.59981482664094</v>
      </c>
      <c r="AS21" s="132">
        <v>235.14502750348584</v>
      </c>
      <c r="AT21" s="132">
        <v>244.3436376482758</v>
      </c>
      <c r="AU21" s="132">
        <v>259.80691782160932</v>
      </c>
      <c r="AV21" s="132">
        <v>270.10721148495793</v>
      </c>
      <c r="AW21" s="132">
        <v>263.42006370680173</v>
      </c>
      <c r="AX21" s="702">
        <v>264.82772746244086</v>
      </c>
      <c r="AY21" s="702">
        <v>263.80156565987915</v>
      </c>
      <c r="AZ21" s="702">
        <v>270.68674643623825</v>
      </c>
      <c r="BA21" s="702">
        <v>244.12817107979592</v>
      </c>
      <c r="BB21" s="702">
        <v>256.41778652407891</v>
      </c>
      <c r="BC21" s="702">
        <v>265.23976973727656</v>
      </c>
      <c r="BD21" s="702">
        <v>283.87374937742197</v>
      </c>
      <c r="BE21" s="733"/>
      <c r="BF21" s="733"/>
      <c r="BG21" s="733"/>
      <c r="BH21" s="733"/>
      <c r="BI21" s="733"/>
      <c r="BJ21" s="733"/>
      <c r="BK21" s="733"/>
      <c r="BL21" s="648">
        <f>AVERAGE(AL21:AW21)</f>
        <v>242.24144191687841</v>
      </c>
      <c r="BM21" s="648">
        <f t="shared" si="0"/>
        <v>264.13935946816167</v>
      </c>
      <c r="BN21" s="718">
        <f t="shared" si="1"/>
        <v>9.0397074001884459E-2</v>
      </c>
      <c r="CA21" s="93" t="s">
        <v>53</v>
      </c>
      <c r="CB21" s="691">
        <f>BN3</f>
        <v>6.6916666666666735E-2</v>
      </c>
      <c r="CC21" s="16"/>
      <c r="CD21" s="19"/>
    </row>
    <row r="22" spans="1:82">
      <c r="A22" s="84" t="s">
        <v>91</v>
      </c>
      <c r="B22" s="134">
        <v>120.9793439986321</v>
      </c>
      <c r="C22" s="135">
        <v>121.28374512023221</v>
      </c>
      <c r="D22" s="135">
        <v>121.49320889735624</v>
      </c>
      <c r="E22" s="135">
        <v>121.49320889735624</v>
      </c>
      <c r="F22" s="135">
        <v>112.32525824863937</v>
      </c>
      <c r="G22" s="135">
        <v>161.67340714123395</v>
      </c>
      <c r="H22" s="135">
        <v>168.01647399184486</v>
      </c>
      <c r="I22" s="135">
        <v>154.39366593532375</v>
      </c>
      <c r="J22" s="135">
        <v>134.84123342442359</v>
      </c>
      <c r="K22" s="135">
        <v>135.7394442381547</v>
      </c>
      <c r="L22" s="135">
        <v>135.74865693179788</v>
      </c>
      <c r="M22" s="136">
        <v>168.68712647008581</v>
      </c>
      <c r="N22" s="134">
        <v>168.9301119267968</v>
      </c>
      <c r="O22" s="135">
        <v>169.17879270690247</v>
      </c>
      <c r="P22" s="135">
        <v>169.17879270690247</v>
      </c>
      <c r="Q22" s="135">
        <v>169.04400910413034</v>
      </c>
      <c r="R22" s="135">
        <v>169.04400910413034</v>
      </c>
      <c r="S22" s="135">
        <v>169.2161899389242</v>
      </c>
      <c r="T22" s="135">
        <v>169.48920731834164</v>
      </c>
      <c r="U22" s="77">
        <v>206.69528083332978</v>
      </c>
      <c r="V22" s="77">
        <v>207.3482425412509</v>
      </c>
      <c r="W22" s="77">
        <v>208.0571013285109</v>
      </c>
      <c r="X22" s="77">
        <v>208.83474839704022</v>
      </c>
      <c r="Y22" s="136">
        <v>209.88318563816102</v>
      </c>
      <c r="Z22" s="135">
        <v>211.13783313997385</v>
      </c>
      <c r="AA22" s="135">
        <v>212.20129492500317</v>
      </c>
      <c r="AB22" s="135">
        <v>214.6029413346867</v>
      </c>
      <c r="AC22" s="135">
        <v>215.90467172027178</v>
      </c>
      <c r="AD22" s="135">
        <v>226.99943277061675</v>
      </c>
      <c r="AE22" s="135">
        <v>250.34234913911516</v>
      </c>
      <c r="AF22" s="135">
        <v>253.05255005760662</v>
      </c>
      <c r="AG22" s="135">
        <v>254.53981602168579</v>
      </c>
      <c r="AH22" s="135">
        <v>257.07861486705497</v>
      </c>
      <c r="AI22" s="135">
        <v>258.49240090643872</v>
      </c>
      <c r="AJ22" s="135">
        <v>273.12657234612306</v>
      </c>
      <c r="AK22" s="135">
        <v>266.47655295619381</v>
      </c>
      <c r="AL22" s="135">
        <v>268.06470653710858</v>
      </c>
      <c r="AM22" s="135">
        <v>255.01587183748384</v>
      </c>
      <c r="AN22" s="135">
        <v>252.02636613842691</v>
      </c>
      <c r="AO22" s="135">
        <v>242.62129398089178</v>
      </c>
      <c r="AP22" s="135">
        <v>243.20399024954747</v>
      </c>
      <c r="AQ22" s="135">
        <v>238.72742749665039</v>
      </c>
      <c r="AR22" s="135">
        <v>239.91311118223763</v>
      </c>
      <c r="AS22" s="135">
        <v>260.06284665131813</v>
      </c>
      <c r="AT22" s="135">
        <v>260.37408323792806</v>
      </c>
      <c r="AU22" s="135">
        <v>282.40718688575055</v>
      </c>
      <c r="AV22" s="135">
        <v>260.38229529248474</v>
      </c>
      <c r="AW22" s="135">
        <v>259.04695664891688</v>
      </c>
      <c r="AX22" s="703">
        <v>259.91869513146753</v>
      </c>
      <c r="AY22" s="703">
        <v>266.74481421706815</v>
      </c>
      <c r="AZ22" s="703">
        <v>280.64358674608513</v>
      </c>
      <c r="BA22" s="703">
        <v>251.89175138319709</v>
      </c>
      <c r="BB22" s="703">
        <v>279.209990097743</v>
      </c>
      <c r="BC22" s="703">
        <v>279.96480731062582</v>
      </c>
      <c r="BD22" s="703">
        <v>298.21187688281617</v>
      </c>
      <c r="BE22" s="734"/>
      <c r="BF22" s="734"/>
      <c r="BG22" s="734"/>
      <c r="BH22" s="734"/>
      <c r="BI22" s="734"/>
      <c r="BJ22" s="734"/>
      <c r="BK22" s="734"/>
      <c r="BL22" s="648">
        <f>AVERAGE(AL22:AW22)</f>
        <v>255.15384467822869</v>
      </c>
      <c r="BM22" s="648">
        <f t="shared" si="0"/>
        <v>273.79793168128612</v>
      </c>
      <c r="BN22" s="718">
        <f t="shared" si="1"/>
        <v>7.3069982647407272E-2</v>
      </c>
      <c r="CA22" s="93"/>
      <c r="CB22" s="90"/>
      <c r="CC22" s="16"/>
      <c r="CD22" s="15"/>
    </row>
    <row r="23" spans="1:82">
      <c r="A23" s="84" t="s">
        <v>92</v>
      </c>
      <c r="B23" s="134">
        <v>151.99021782663667</v>
      </c>
      <c r="C23" s="135">
        <v>152.92512407284673</v>
      </c>
      <c r="D23" s="135">
        <v>156.31749691648656</v>
      </c>
      <c r="E23" s="135">
        <v>152.31370589274954</v>
      </c>
      <c r="F23" s="135">
        <v>159.67496418173573</v>
      </c>
      <c r="G23" s="135">
        <v>155.53623861631931</v>
      </c>
      <c r="H23" s="135">
        <v>152.50657710678178</v>
      </c>
      <c r="I23" s="135">
        <v>153.77180095165352</v>
      </c>
      <c r="J23" s="135">
        <v>170.66573418322076</v>
      </c>
      <c r="K23" s="135">
        <v>166.64075796431536</v>
      </c>
      <c r="L23" s="135">
        <v>171.58878696522356</v>
      </c>
      <c r="M23" s="136">
        <v>184.4435709505585</v>
      </c>
      <c r="N23" s="134">
        <v>184.38705417219848</v>
      </c>
      <c r="O23" s="135">
        <v>190.16779723110739</v>
      </c>
      <c r="P23" s="135">
        <v>186.98115284004984</v>
      </c>
      <c r="Q23" s="135">
        <v>180.62760153151879</v>
      </c>
      <c r="R23" s="135">
        <v>180.09435295210773</v>
      </c>
      <c r="S23" s="135">
        <v>186.07011949802001</v>
      </c>
      <c r="T23" s="135">
        <v>179.87362304082973</v>
      </c>
      <c r="U23" s="77">
        <v>176.35144298956561</v>
      </c>
      <c r="V23" s="77">
        <v>191.6844612653222</v>
      </c>
      <c r="W23" s="77">
        <v>190.1195592779568</v>
      </c>
      <c r="X23" s="77">
        <v>187.99373647071107</v>
      </c>
      <c r="Y23" s="136">
        <v>183.02964232104736</v>
      </c>
      <c r="Z23" s="135">
        <v>185.26293671038039</v>
      </c>
      <c r="AA23" s="135">
        <v>186.55841548638219</v>
      </c>
      <c r="AB23" s="135">
        <v>181.66411313630195</v>
      </c>
      <c r="AC23" s="135">
        <v>161.46484403683991</v>
      </c>
      <c r="AD23" s="135">
        <v>180.68525384387777</v>
      </c>
      <c r="AE23" s="135">
        <v>184.81875466244674</v>
      </c>
      <c r="AF23" s="135">
        <v>188.91304510062662</v>
      </c>
      <c r="AG23" s="135">
        <v>197.12253931889819</v>
      </c>
      <c r="AH23" s="135">
        <v>217.85244987728825</v>
      </c>
      <c r="AI23" s="135">
        <v>221.79593970432009</v>
      </c>
      <c r="AJ23" s="135">
        <v>223.03275068068027</v>
      </c>
      <c r="AK23" s="135">
        <v>229.78520998048947</v>
      </c>
      <c r="AL23" s="135">
        <v>232.58053297828357</v>
      </c>
      <c r="AM23" s="135">
        <v>222.54371905292257</v>
      </c>
      <c r="AN23" s="135">
        <v>232.93993045976805</v>
      </c>
      <c r="AO23" s="135">
        <v>225.19724194394485</v>
      </c>
      <c r="AP23" s="135">
        <v>226.29917414137489</v>
      </c>
      <c r="AQ23" s="135">
        <v>194.74509799454438</v>
      </c>
      <c r="AR23" s="135">
        <v>196.71836980001123</v>
      </c>
      <c r="AS23" s="135">
        <v>209.05022519662754</v>
      </c>
      <c r="AT23" s="135">
        <v>229.00015747407895</v>
      </c>
      <c r="AU23" s="135">
        <v>237.15105521970972</v>
      </c>
      <c r="AV23" s="135">
        <v>277.78102174246396</v>
      </c>
      <c r="AW23" s="135">
        <v>266.99186170474815</v>
      </c>
      <c r="AX23" s="703">
        <v>268.82333437781921</v>
      </c>
      <c r="AY23" s="703">
        <v>261.27199760311038</v>
      </c>
      <c r="AZ23" s="703">
        <v>261.6981405994776</v>
      </c>
      <c r="BA23" s="703">
        <v>237.18751574362301</v>
      </c>
      <c r="BB23" s="703">
        <v>233.47224460728063</v>
      </c>
      <c r="BC23" s="703">
        <v>251.43764786707834</v>
      </c>
      <c r="BD23" s="703">
        <v>270.57064474306623</v>
      </c>
      <c r="BE23" s="734"/>
      <c r="BF23" s="734"/>
      <c r="BG23" s="734"/>
      <c r="BH23" s="734"/>
      <c r="BI23" s="734"/>
      <c r="BJ23" s="734"/>
      <c r="BK23" s="734"/>
      <c r="BL23" s="648">
        <f>AVERAGE(AL23:AW23)</f>
        <v>229.24986564237315</v>
      </c>
      <c r="BM23" s="648">
        <f t="shared" si="0"/>
        <v>254.92307507735077</v>
      </c>
      <c r="BN23" s="718">
        <f t="shared" si="1"/>
        <v>0.1119878930486593</v>
      </c>
      <c r="CA23" s="93"/>
      <c r="CB23" s="90"/>
      <c r="CC23" s="16"/>
      <c r="CD23" s="15"/>
    </row>
    <row r="24" spans="1:82">
      <c r="A24" s="80" t="s">
        <v>93</v>
      </c>
      <c r="B24" s="122">
        <v>67.900000000000006</v>
      </c>
      <c r="C24" s="123">
        <v>67.900000000000006</v>
      </c>
      <c r="D24" s="123">
        <v>67.900000000000006</v>
      </c>
      <c r="E24" s="123">
        <v>67.900000000000006</v>
      </c>
      <c r="F24" s="123">
        <v>67.900000000000006</v>
      </c>
      <c r="G24" s="123">
        <v>67.900000000000006</v>
      </c>
      <c r="H24" s="123">
        <v>67.900000000000006</v>
      </c>
      <c r="I24" s="123">
        <v>67.900000000000006</v>
      </c>
      <c r="J24" s="123">
        <v>68.2</v>
      </c>
      <c r="K24" s="123">
        <v>68.2</v>
      </c>
      <c r="L24" s="123">
        <v>68.2</v>
      </c>
      <c r="M24" s="124">
        <v>68.2</v>
      </c>
      <c r="N24" s="122">
        <v>68.2</v>
      </c>
      <c r="O24" s="123">
        <v>68.2</v>
      </c>
      <c r="P24" s="123">
        <v>71.400000000000006</v>
      </c>
      <c r="Q24" s="123">
        <v>71.400000000000006</v>
      </c>
      <c r="R24" s="123">
        <v>71.400000000000006</v>
      </c>
      <c r="S24" s="123">
        <v>71.400000000000006</v>
      </c>
      <c r="T24" s="123">
        <v>71.400000000000006</v>
      </c>
      <c r="U24" s="73">
        <v>78.400000000000006</v>
      </c>
      <c r="V24" s="73">
        <v>78.400000000000006</v>
      </c>
      <c r="W24" s="73">
        <v>82.1</v>
      </c>
      <c r="X24" s="73">
        <v>82.1</v>
      </c>
      <c r="Y24" s="124">
        <v>82.1</v>
      </c>
      <c r="Z24" s="123">
        <v>82.1</v>
      </c>
      <c r="AA24" s="123">
        <v>82.5</v>
      </c>
      <c r="AB24" s="123">
        <v>82.5</v>
      </c>
      <c r="AC24" s="123">
        <v>95.1</v>
      </c>
      <c r="AD24" s="123">
        <v>95.1</v>
      </c>
      <c r="AE24" s="123">
        <v>95.1</v>
      </c>
      <c r="AF24" s="123">
        <v>95.1</v>
      </c>
      <c r="AG24" s="123">
        <v>95.1</v>
      </c>
      <c r="AH24" s="123">
        <v>95.1</v>
      </c>
      <c r="AI24" s="123">
        <v>95.1</v>
      </c>
      <c r="AJ24" s="123">
        <v>95.1</v>
      </c>
      <c r="AK24" s="123">
        <v>95.1</v>
      </c>
      <c r="AL24" s="123">
        <v>95.1</v>
      </c>
      <c r="AM24" s="123">
        <v>97.5</v>
      </c>
      <c r="AN24" s="123">
        <v>98.3</v>
      </c>
      <c r="AO24" s="123">
        <v>98.8</v>
      </c>
      <c r="AP24" s="123">
        <v>98.8</v>
      </c>
      <c r="AQ24" s="123">
        <v>98.8</v>
      </c>
      <c r="AR24" s="123">
        <v>102.1</v>
      </c>
      <c r="AS24" s="123">
        <v>102.1</v>
      </c>
      <c r="AT24" s="123">
        <v>102.1</v>
      </c>
      <c r="AU24" s="123">
        <v>102.1</v>
      </c>
      <c r="AV24" s="123">
        <v>102.1</v>
      </c>
      <c r="AW24" s="123">
        <v>102.1</v>
      </c>
      <c r="AX24" s="700">
        <v>104</v>
      </c>
      <c r="AY24" s="700">
        <v>104</v>
      </c>
      <c r="AZ24" s="700">
        <v>104</v>
      </c>
      <c r="BA24" s="700">
        <v>104</v>
      </c>
      <c r="BB24" s="700">
        <v>104</v>
      </c>
      <c r="BC24" s="700">
        <v>104</v>
      </c>
      <c r="BD24" s="700">
        <v>103.7</v>
      </c>
      <c r="BE24" s="731">
        <v>109.9</v>
      </c>
      <c r="BF24" s="731">
        <v>109.9</v>
      </c>
      <c r="BG24" s="731">
        <v>109.9</v>
      </c>
      <c r="BH24" s="731">
        <v>109.9</v>
      </c>
      <c r="BI24" s="731">
        <v>119.5</v>
      </c>
      <c r="BJ24" s="731"/>
      <c r="BK24" s="731"/>
      <c r="BL24" s="648">
        <f>AVERAGE(AL24:AW24)</f>
        <v>99.99166666666666</v>
      </c>
      <c r="BM24" s="648">
        <f t="shared" si="0"/>
        <v>107.23333333333335</v>
      </c>
      <c r="BN24" s="718">
        <f t="shared" si="1"/>
        <v>7.2422701891824648E-2</v>
      </c>
      <c r="CA24" s="93" t="s">
        <v>20</v>
      </c>
      <c r="CB24" s="89"/>
      <c r="CC24" s="16"/>
      <c r="CD24" s="5"/>
    </row>
    <row r="25" spans="1:82">
      <c r="A25" s="81" t="s">
        <v>93</v>
      </c>
      <c r="B25" s="125">
        <v>127.69044809464671</v>
      </c>
      <c r="C25" s="126">
        <v>127.69044809464671</v>
      </c>
      <c r="D25" s="126">
        <v>127.69044809464671</v>
      </c>
      <c r="E25" s="126">
        <v>127.69044809464671</v>
      </c>
      <c r="F25" s="126">
        <v>127.69044809464671</v>
      </c>
      <c r="G25" s="126">
        <v>127.69044809464671</v>
      </c>
      <c r="H25" s="126">
        <v>127.69044809464671</v>
      </c>
      <c r="I25" s="126">
        <v>127.69044809464671</v>
      </c>
      <c r="J25" s="126">
        <v>128.2543738981324</v>
      </c>
      <c r="K25" s="126">
        <v>128.2543738981324</v>
      </c>
      <c r="L25" s="126">
        <v>128.2543738981324</v>
      </c>
      <c r="M25" s="127">
        <v>128.2543738981324</v>
      </c>
      <c r="N25" s="125">
        <v>128.2543738981324</v>
      </c>
      <c r="O25" s="126">
        <v>128.25467410028745</v>
      </c>
      <c r="P25" s="126">
        <v>134.23146132907689</v>
      </c>
      <c r="Q25" s="126">
        <v>134.23146132907689</v>
      </c>
      <c r="R25" s="126">
        <v>134.23212769399444</v>
      </c>
      <c r="S25" s="126">
        <v>134.23212769399444</v>
      </c>
      <c r="T25" s="126">
        <v>134.23212769399444</v>
      </c>
      <c r="U25" s="74">
        <v>147.37412031117913</v>
      </c>
      <c r="V25" s="74">
        <v>147.37412031117913</v>
      </c>
      <c r="W25" s="74">
        <v>154.41978674976079</v>
      </c>
      <c r="X25" s="74">
        <v>154.41978674976079</v>
      </c>
      <c r="Y25" s="127">
        <v>154.41978674976079</v>
      </c>
      <c r="Z25" s="126">
        <v>154.41978674976079</v>
      </c>
      <c r="AA25" s="126">
        <v>155.18110385065123</v>
      </c>
      <c r="AB25" s="126">
        <v>155.18110385065123</v>
      </c>
      <c r="AC25" s="126">
        <v>178.78214882901131</v>
      </c>
      <c r="AD25" s="126">
        <v>178.78214882901128</v>
      </c>
      <c r="AE25" s="126">
        <v>178.78214882901128</v>
      </c>
      <c r="AF25" s="126">
        <v>178.78214882901128</v>
      </c>
      <c r="AG25" s="126">
        <v>178.78214882901128</v>
      </c>
      <c r="AH25" s="126">
        <v>178.78214882901128</v>
      </c>
      <c r="AI25" s="126">
        <v>178.78214882901128</v>
      </c>
      <c r="AJ25" s="126">
        <v>178.78214882901128</v>
      </c>
      <c r="AK25" s="126">
        <v>178.78214882901128</v>
      </c>
      <c r="AL25" s="126">
        <v>178.78214882901128</v>
      </c>
      <c r="AM25" s="126">
        <v>183.37444478321962</v>
      </c>
      <c r="AN25" s="126">
        <v>184.77970696668473</v>
      </c>
      <c r="AO25" s="126">
        <v>185.80956507942452</v>
      </c>
      <c r="AP25" s="126">
        <v>185.80956507942452</v>
      </c>
      <c r="AQ25" s="126">
        <v>185.80956507942452</v>
      </c>
      <c r="AR25" s="126">
        <v>192.05582875910895</v>
      </c>
      <c r="AS25" s="126">
        <v>192.05582875910895</v>
      </c>
      <c r="AT25" s="126">
        <v>192.05582875910895</v>
      </c>
      <c r="AU25" s="126">
        <v>192.05582875910895</v>
      </c>
      <c r="AV25" s="126">
        <v>192.05582875910895</v>
      </c>
      <c r="AW25" s="126">
        <v>192.05582875910895</v>
      </c>
      <c r="AX25" s="701">
        <v>195.49771608841988</v>
      </c>
      <c r="AY25" s="701">
        <v>195.49771608841988</v>
      </c>
      <c r="AZ25" s="701">
        <v>195.49771608841988</v>
      </c>
      <c r="BA25" s="701">
        <v>195.49822180356861</v>
      </c>
      <c r="BB25" s="701">
        <v>195.49822180356858</v>
      </c>
      <c r="BC25" s="701">
        <v>195.49822180356858</v>
      </c>
      <c r="BD25" s="701">
        <v>195.01001364518171</v>
      </c>
      <c r="BE25" s="732"/>
      <c r="BF25" s="732"/>
      <c r="BG25" s="732"/>
      <c r="BH25" s="732"/>
      <c r="BI25" s="732"/>
      <c r="BJ25" s="732"/>
      <c r="BK25" s="732"/>
      <c r="BL25" s="648">
        <f>AVERAGE(AL25:AW25)</f>
        <v>188.05833069765353</v>
      </c>
      <c r="BM25" s="648">
        <f t="shared" si="0"/>
        <v>195.42826104587817</v>
      </c>
      <c r="BN25" s="718">
        <f t="shared" si="1"/>
        <v>3.9189597827886002E-2</v>
      </c>
      <c r="CA25" s="93" t="s">
        <v>20</v>
      </c>
      <c r="CB25" s="89"/>
      <c r="CC25" s="16"/>
      <c r="CD25" s="5"/>
    </row>
    <row r="26" spans="1:82">
      <c r="A26" s="83" t="s">
        <v>94</v>
      </c>
      <c r="B26" s="128">
        <v>102.29808103320768</v>
      </c>
      <c r="C26" s="129">
        <v>102.29808103320768</v>
      </c>
      <c r="D26" s="129">
        <v>102.29808103320768</v>
      </c>
      <c r="E26" s="129">
        <v>102.29808103320768</v>
      </c>
      <c r="F26" s="129">
        <v>102.29808103320768</v>
      </c>
      <c r="G26" s="129">
        <v>102.29808103320768</v>
      </c>
      <c r="H26" s="129">
        <v>102.29808103320768</v>
      </c>
      <c r="I26" s="129">
        <v>102.29808103320768</v>
      </c>
      <c r="J26" s="129">
        <v>103.61682061071484</v>
      </c>
      <c r="K26" s="129">
        <v>103.61682061071484</v>
      </c>
      <c r="L26" s="129">
        <v>103.61682061071484</v>
      </c>
      <c r="M26" s="130">
        <v>103.61682061071484</v>
      </c>
      <c r="N26" s="128">
        <v>103.61682061071484</v>
      </c>
      <c r="O26" s="129">
        <v>103.61682061071484</v>
      </c>
      <c r="P26" s="129">
        <v>106.32933249677959</v>
      </c>
      <c r="Q26" s="129">
        <v>106.32933249677959</v>
      </c>
      <c r="R26" s="129">
        <v>106.32933249677959</v>
      </c>
      <c r="S26" s="129">
        <v>106.32933249677959</v>
      </c>
      <c r="T26" s="129">
        <v>106.32933249677959</v>
      </c>
      <c r="U26" s="75">
        <v>126.37665024721623</v>
      </c>
      <c r="V26" s="75">
        <v>126.37665024721623</v>
      </c>
      <c r="W26" s="75">
        <v>128.06568530473444</v>
      </c>
      <c r="X26" s="75">
        <v>128.06568530473444</v>
      </c>
      <c r="Y26" s="130">
        <v>128.06568530473444</v>
      </c>
      <c r="Z26" s="129">
        <v>128.06568530473444</v>
      </c>
      <c r="AA26" s="129">
        <v>130.12790426603416</v>
      </c>
      <c r="AB26" s="129">
        <v>130.12790426603416</v>
      </c>
      <c r="AC26" s="129">
        <v>137.16486762531196</v>
      </c>
      <c r="AD26" s="129">
        <v>137.16486762531196</v>
      </c>
      <c r="AE26" s="129">
        <v>137.16486762531196</v>
      </c>
      <c r="AF26" s="129">
        <v>137.16486762531196</v>
      </c>
      <c r="AG26" s="129">
        <v>137.16486762531196</v>
      </c>
      <c r="AH26" s="129">
        <v>137.16486762531196</v>
      </c>
      <c r="AI26" s="129">
        <v>137.16486762531196</v>
      </c>
      <c r="AJ26" s="129">
        <v>137.16486762531196</v>
      </c>
      <c r="AK26" s="129">
        <v>137.16486762531196</v>
      </c>
      <c r="AL26" s="129">
        <v>137.16486762531196</v>
      </c>
      <c r="AM26" s="129">
        <v>141.4072345146389</v>
      </c>
      <c r="AN26" s="129">
        <v>143.86045202992079</v>
      </c>
      <c r="AO26" s="129">
        <v>146.49083069931382</v>
      </c>
      <c r="AP26" s="129">
        <v>146.49083069931382</v>
      </c>
      <c r="AQ26" s="129">
        <v>146.49083069931382</v>
      </c>
      <c r="AR26" s="129">
        <v>149.12614152569753</v>
      </c>
      <c r="AS26" s="129">
        <v>149.12614152569753</v>
      </c>
      <c r="AT26" s="129">
        <v>149.12614152569753</v>
      </c>
      <c r="AU26" s="129">
        <v>149.12614152569753</v>
      </c>
      <c r="AV26" s="129">
        <v>149.12614152569753</v>
      </c>
      <c r="AW26" s="129">
        <v>149.12614152569753</v>
      </c>
      <c r="AX26" s="702">
        <v>155.99714947920887</v>
      </c>
      <c r="AY26" s="702">
        <v>155.99714947920882</v>
      </c>
      <c r="AZ26" s="702">
        <v>155.99714947920882</v>
      </c>
      <c r="BA26" s="702">
        <v>155.99724965856231</v>
      </c>
      <c r="BB26" s="702">
        <v>155.99724965856231</v>
      </c>
      <c r="BC26" s="702">
        <v>155.99724965856231</v>
      </c>
      <c r="BD26" s="702">
        <v>154.73466252887397</v>
      </c>
      <c r="BE26" s="733"/>
      <c r="BF26" s="733"/>
      <c r="BG26" s="733"/>
      <c r="BH26" s="733"/>
      <c r="BI26" s="733"/>
      <c r="BJ26" s="733"/>
      <c r="BK26" s="733"/>
      <c r="BL26" s="648">
        <f>AVERAGE(AL26:AW26)</f>
        <v>146.38849128516651</v>
      </c>
      <c r="BM26" s="648">
        <f t="shared" si="0"/>
        <v>155.81683713459819</v>
      </c>
      <c r="BN26" s="718">
        <f t="shared" si="1"/>
        <v>6.4406332537884747E-2</v>
      </c>
      <c r="CA26" s="93" t="s">
        <v>59</v>
      </c>
      <c r="CB26" s="89"/>
      <c r="CC26" s="16"/>
      <c r="CD26" s="5"/>
    </row>
    <row r="27" spans="1:82">
      <c r="A27" s="83" t="s">
        <v>95</v>
      </c>
      <c r="B27" s="128">
        <v>127.6026046831755</v>
      </c>
      <c r="C27" s="129">
        <v>127.6026046831755</v>
      </c>
      <c r="D27" s="129">
        <v>127.6026046831755</v>
      </c>
      <c r="E27" s="129">
        <v>127.6026046831755</v>
      </c>
      <c r="F27" s="129">
        <v>127.6026046831755</v>
      </c>
      <c r="G27" s="129">
        <v>127.6026046831755</v>
      </c>
      <c r="H27" s="129">
        <v>127.6026046831755</v>
      </c>
      <c r="I27" s="129">
        <v>127.6026046831755</v>
      </c>
      <c r="J27" s="129">
        <v>128.17526902234201</v>
      </c>
      <c r="K27" s="129">
        <v>128.17526902234201</v>
      </c>
      <c r="L27" s="129">
        <v>128.17526902234201</v>
      </c>
      <c r="M27" s="130">
        <v>128.17526902234201</v>
      </c>
      <c r="N27" s="128">
        <v>128.17526902234201</v>
      </c>
      <c r="O27" s="129">
        <v>128.17526902234201</v>
      </c>
      <c r="P27" s="129">
        <v>134.31675115814031</v>
      </c>
      <c r="Q27" s="129">
        <v>134.31675115814031</v>
      </c>
      <c r="R27" s="129">
        <v>134.31675115814031</v>
      </c>
      <c r="S27" s="129">
        <v>134.31675115814031</v>
      </c>
      <c r="T27" s="129">
        <v>134.31675115814031</v>
      </c>
      <c r="U27" s="75">
        <v>147.58307676702768</v>
      </c>
      <c r="V27" s="75">
        <v>147.58307676702768</v>
      </c>
      <c r="W27" s="75">
        <v>154.24334682036854</v>
      </c>
      <c r="X27" s="75">
        <v>154.24334682036854</v>
      </c>
      <c r="Y27" s="130">
        <v>154.24334682036854</v>
      </c>
      <c r="Z27" s="129">
        <v>154.24334682036854</v>
      </c>
      <c r="AA27" s="129">
        <v>155.00687389496085</v>
      </c>
      <c r="AB27" s="129">
        <v>155.00687389496085</v>
      </c>
      <c r="AC27" s="129">
        <v>178.99808506383127</v>
      </c>
      <c r="AD27" s="129">
        <v>178.99808506383127</v>
      </c>
      <c r="AE27" s="129">
        <v>178.99808506383127</v>
      </c>
      <c r="AF27" s="129">
        <v>178.99808506383127</v>
      </c>
      <c r="AG27" s="129">
        <v>178.99808506383127</v>
      </c>
      <c r="AH27" s="129">
        <v>178.99808506383127</v>
      </c>
      <c r="AI27" s="129">
        <v>178.99808506383127</v>
      </c>
      <c r="AJ27" s="129">
        <v>178.99808506383127</v>
      </c>
      <c r="AK27" s="129">
        <v>178.99808506383127</v>
      </c>
      <c r="AL27" s="129">
        <v>178.99808506383127</v>
      </c>
      <c r="AM27" s="129">
        <v>183.73465703934303</v>
      </c>
      <c r="AN27" s="129">
        <v>185.16179058862619</v>
      </c>
      <c r="AO27" s="129">
        <v>186.201761755798</v>
      </c>
      <c r="AP27" s="129">
        <v>186.201761755798</v>
      </c>
      <c r="AQ27" s="129">
        <v>186.201761755798</v>
      </c>
      <c r="AR27" s="129">
        <v>192.56238348051161</v>
      </c>
      <c r="AS27" s="129">
        <v>192.56238348051161</v>
      </c>
      <c r="AT27" s="129">
        <v>192.56238348051161</v>
      </c>
      <c r="AU27" s="129">
        <v>192.56238348051161</v>
      </c>
      <c r="AV27" s="129">
        <v>192.56238348051161</v>
      </c>
      <c r="AW27" s="129">
        <v>192.56238348051161</v>
      </c>
      <c r="AX27" s="702">
        <v>196.04558288261222</v>
      </c>
      <c r="AY27" s="702">
        <v>196.04558288261222</v>
      </c>
      <c r="AZ27" s="702">
        <v>196.04558288261222</v>
      </c>
      <c r="BA27" s="702">
        <v>196.0461006033465</v>
      </c>
      <c r="BB27" s="702">
        <v>196.04610060334647</v>
      </c>
      <c r="BC27" s="702">
        <v>196.04610060334647</v>
      </c>
      <c r="BD27" s="702">
        <v>195.55424516355794</v>
      </c>
      <c r="BE27" s="733"/>
      <c r="BF27" s="733"/>
      <c r="BG27" s="733"/>
      <c r="BH27" s="733"/>
      <c r="BI27" s="733"/>
      <c r="BJ27" s="733"/>
      <c r="BK27" s="733"/>
      <c r="BL27" s="648">
        <f>AVERAGE(AL27:AW27)</f>
        <v>188.48950990352202</v>
      </c>
      <c r="BM27" s="648">
        <f t="shared" si="0"/>
        <v>195.97561366020486</v>
      </c>
      <c r="BN27" s="718">
        <f t="shared" si="1"/>
        <v>3.9716288511305375E-2</v>
      </c>
      <c r="CA27" s="93"/>
      <c r="CB27" s="90"/>
      <c r="CC27" s="16"/>
      <c r="CD27" s="15"/>
    </row>
    <row r="28" spans="1:82">
      <c r="A28" s="83" t="s">
        <v>96</v>
      </c>
      <c r="B28" s="128">
        <v>142.36266727036303</v>
      </c>
      <c r="C28" s="129">
        <v>142.36266727036303</v>
      </c>
      <c r="D28" s="129">
        <v>142.36266727036303</v>
      </c>
      <c r="E28" s="129">
        <v>142.36266727036303</v>
      </c>
      <c r="F28" s="129">
        <v>142.36266727036303</v>
      </c>
      <c r="G28" s="129">
        <v>142.36266727036303</v>
      </c>
      <c r="H28" s="129">
        <v>142.36266727036303</v>
      </c>
      <c r="I28" s="129">
        <v>142.36266727036303</v>
      </c>
      <c r="J28" s="129">
        <v>142.36266727036303</v>
      </c>
      <c r="K28" s="129">
        <v>142.36266727036303</v>
      </c>
      <c r="L28" s="129">
        <v>142.36266727036303</v>
      </c>
      <c r="M28" s="130">
        <v>142.36266727036303</v>
      </c>
      <c r="N28" s="128">
        <v>142.36266727036303</v>
      </c>
      <c r="O28" s="129">
        <v>142.3754860195655</v>
      </c>
      <c r="P28" s="129">
        <v>142.3754860195655</v>
      </c>
      <c r="Q28" s="129">
        <v>142.3754860195655</v>
      </c>
      <c r="R28" s="129">
        <v>142.40644265688024</v>
      </c>
      <c r="S28" s="129">
        <v>142.40644265688024</v>
      </c>
      <c r="T28" s="129">
        <v>142.40644265688024</v>
      </c>
      <c r="U28" s="75">
        <v>147.34856908400312</v>
      </c>
      <c r="V28" s="75">
        <v>147.34856908400312</v>
      </c>
      <c r="W28" s="75">
        <v>173.72295931709377</v>
      </c>
      <c r="X28" s="75">
        <v>173.72295931709374</v>
      </c>
      <c r="Y28" s="130">
        <v>173.72295931709374</v>
      </c>
      <c r="Z28" s="129">
        <v>173.72295931709374</v>
      </c>
      <c r="AA28" s="129">
        <v>174.00548571172368</v>
      </c>
      <c r="AB28" s="129">
        <v>174.00548571172368</v>
      </c>
      <c r="AC28" s="129">
        <v>186.25276865897337</v>
      </c>
      <c r="AD28" s="129">
        <v>186.25276865897331</v>
      </c>
      <c r="AE28" s="129">
        <v>186.25276865897331</v>
      </c>
      <c r="AF28" s="129">
        <v>186.25276865897331</v>
      </c>
      <c r="AG28" s="129">
        <v>186.25276865897331</v>
      </c>
      <c r="AH28" s="129">
        <v>186.25276865897331</v>
      </c>
      <c r="AI28" s="129">
        <v>186.25276865897331</v>
      </c>
      <c r="AJ28" s="129">
        <v>186.25276865897331</v>
      </c>
      <c r="AK28" s="129">
        <v>186.25276865897331</v>
      </c>
      <c r="AL28" s="129">
        <v>186.25276865897331</v>
      </c>
      <c r="AM28" s="129">
        <v>184.09293670912476</v>
      </c>
      <c r="AN28" s="129">
        <v>184.09293670912464</v>
      </c>
      <c r="AO28" s="129">
        <v>184.09293670912464</v>
      </c>
      <c r="AP28" s="129">
        <v>184.09293670912464</v>
      </c>
      <c r="AQ28" s="129">
        <v>184.09293670912464</v>
      </c>
      <c r="AR28" s="129">
        <v>185.70752731944989</v>
      </c>
      <c r="AS28" s="129">
        <v>185.70752731944989</v>
      </c>
      <c r="AT28" s="129">
        <v>185.70752731944989</v>
      </c>
      <c r="AU28" s="129">
        <v>185.70752731944989</v>
      </c>
      <c r="AV28" s="129">
        <v>185.70752731944989</v>
      </c>
      <c r="AW28" s="129">
        <v>185.70752731944989</v>
      </c>
      <c r="AX28" s="702">
        <v>185.70752731944989</v>
      </c>
      <c r="AY28" s="702">
        <v>185.70752731944989</v>
      </c>
      <c r="AZ28" s="702">
        <v>185.70752731944989</v>
      </c>
      <c r="BA28" s="702">
        <v>185.70752731944989</v>
      </c>
      <c r="BB28" s="702">
        <v>185.70752731944989</v>
      </c>
      <c r="BC28" s="702">
        <v>185.70752731944989</v>
      </c>
      <c r="BD28" s="702">
        <v>185.70752731944989</v>
      </c>
      <c r="BE28" s="733"/>
      <c r="BF28" s="733"/>
      <c r="BG28" s="733"/>
      <c r="BH28" s="733"/>
      <c r="BI28" s="733"/>
      <c r="BJ28" s="733"/>
      <c r="BK28" s="733"/>
      <c r="BL28" s="648">
        <f>AVERAGE(AL28:AW28)</f>
        <v>185.08021801010796</v>
      </c>
      <c r="BM28" s="648">
        <f t="shared" si="0"/>
        <v>185.70752731944987</v>
      </c>
      <c r="BN28" s="718">
        <f t="shared" si="1"/>
        <v>3.3893914546159198E-3</v>
      </c>
      <c r="CA28" s="93" t="s">
        <v>62</v>
      </c>
      <c r="CB28" s="89"/>
      <c r="CC28" s="16"/>
      <c r="CD28" s="5"/>
    </row>
    <row r="29" spans="1:82">
      <c r="A29" s="794" t="s">
        <v>97</v>
      </c>
      <c r="B29" s="122">
        <v>100</v>
      </c>
      <c r="C29" s="123">
        <v>100</v>
      </c>
      <c r="D29" s="123">
        <v>100</v>
      </c>
      <c r="E29" s="123">
        <v>100</v>
      </c>
      <c r="F29" s="123">
        <v>100</v>
      </c>
      <c r="G29" s="123">
        <v>100</v>
      </c>
      <c r="H29" s="123">
        <v>100</v>
      </c>
      <c r="I29" s="123">
        <v>100</v>
      </c>
      <c r="J29" s="123">
        <v>100</v>
      </c>
      <c r="K29" s="123">
        <v>100</v>
      </c>
      <c r="L29" s="123">
        <v>100</v>
      </c>
      <c r="M29" s="124">
        <v>100</v>
      </c>
      <c r="N29" s="122">
        <v>100</v>
      </c>
      <c r="O29" s="123">
        <v>100</v>
      </c>
      <c r="P29" s="123">
        <v>100</v>
      </c>
      <c r="Q29" s="123">
        <v>100</v>
      </c>
      <c r="R29" s="123">
        <v>100</v>
      </c>
      <c r="S29" s="123">
        <v>100</v>
      </c>
      <c r="T29" s="123">
        <v>100</v>
      </c>
      <c r="U29" s="73">
        <v>100</v>
      </c>
      <c r="V29" s="73">
        <v>100</v>
      </c>
      <c r="W29" s="73">
        <v>100</v>
      </c>
      <c r="X29" s="73">
        <v>100</v>
      </c>
      <c r="Y29" s="124">
        <v>100</v>
      </c>
      <c r="Z29" s="123">
        <v>100</v>
      </c>
      <c r="AA29" s="123">
        <v>100</v>
      </c>
      <c r="AB29" s="123">
        <v>100</v>
      </c>
      <c r="AC29" s="123">
        <v>100</v>
      </c>
      <c r="AD29" s="123">
        <v>100</v>
      </c>
      <c r="AE29" s="123">
        <v>100</v>
      </c>
      <c r="AF29" s="123">
        <v>100</v>
      </c>
      <c r="AG29" s="123">
        <v>100</v>
      </c>
      <c r="AH29" s="123">
        <v>100</v>
      </c>
      <c r="AI29" s="123">
        <v>100</v>
      </c>
      <c r="AJ29" s="123">
        <v>100</v>
      </c>
      <c r="AK29" s="123">
        <v>100</v>
      </c>
      <c r="AL29" s="123">
        <v>100</v>
      </c>
      <c r="AM29" s="123">
        <v>100</v>
      </c>
      <c r="AN29" s="123">
        <v>100</v>
      </c>
      <c r="AO29" s="123">
        <v>100</v>
      </c>
      <c r="AP29" s="123">
        <v>100</v>
      </c>
      <c r="AQ29" s="123">
        <v>100</v>
      </c>
      <c r="AR29" s="123">
        <v>100</v>
      </c>
      <c r="AS29" s="123">
        <v>100</v>
      </c>
      <c r="AT29" s="123">
        <v>100</v>
      </c>
      <c r="AU29" s="123">
        <v>100</v>
      </c>
      <c r="AV29" s="123">
        <v>100</v>
      </c>
      <c r="AW29" s="123">
        <v>100</v>
      </c>
      <c r="AX29" s="700">
        <v>100</v>
      </c>
      <c r="AY29" s="700">
        <v>100</v>
      </c>
      <c r="AZ29" s="704">
        <v>100</v>
      </c>
      <c r="BA29" s="700">
        <v>100</v>
      </c>
      <c r="BB29" s="700">
        <v>100</v>
      </c>
      <c r="BC29" s="700">
        <v>100</v>
      </c>
      <c r="BD29" s="700">
        <v>100</v>
      </c>
      <c r="BE29" s="731"/>
      <c r="BF29" s="731"/>
      <c r="BG29" s="731"/>
      <c r="BH29" s="731"/>
      <c r="BI29" s="731"/>
      <c r="BJ29" s="731"/>
      <c r="BK29" s="731"/>
      <c r="BL29" s="648">
        <f>AVERAGE(AL29:AW29)</f>
        <v>100</v>
      </c>
      <c r="BM29" s="648">
        <f t="shared" si="0"/>
        <v>100</v>
      </c>
      <c r="BN29" s="718">
        <f t="shared" si="1"/>
        <v>0</v>
      </c>
      <c r="CA29" s="93" t="s">
        <v>64</v>
      </c>
      <c r="CB29" s="89"/>
      <c r="CC29" s="16"/>
      <c r="CD29" s="5"/>
    </row>
    <row r="30" spans="1:82">
      <c r="A30" s="81" t="s">
        <v>97</v>
      </c>
      <c r="B30" s="125">
        <v>100</v>
      </c>
      <c r="C30" s="126">
        <v>100</v>
      </c>
      <c r="D30" s="126">
        <v>100</v>
      </c>
      <c r="E30" s="126">
        <v>100</v>
      </c>
      <c r="F30" s="126">
        <v>100</v>
      </c>
      <c r="G30" s="126">
        <v>100</v>
      </c>
      <c r="H30" s="126">
        <v>100</v>
      </c>
      <c r="I30" s="126">
        <v>100</v>
      </c>
      <c r="J30" s="126">
        <v>100</v>
      </c>
      <c r="K30" s="126">
        <v>100</v>
      </c>
      <c r="L30" s="126">
        <v>100</v>
      </c>
      <c r="M30" s="127">
        <v>100</v>
      </c>
      <c r="N30" s="125">
        <v>100</v>
      </c>
      <c r="O30" s="126">
        <v>100</v>
      </c>
      <c r="P30" s="126">
        <v>100</v>
      </c>
      <c r="Q30" s="126">
        <v>100</v>
      </c>
      <c r="R30" s="126">
        <v>100</v>
      </c>
      <c r="S30" s="126">
        <v>100</v>
      </c>
      <c r="T30" s="126">
        <v>100</v>
      </c>
      <c r="U30" s="74">
        <v>100</v>
      </c>
      <c r="V30" s="74">
        <v>100</v>
      </c>
      <c r="W30" s="74">
        <v>100</v>
      </c>
      <c r="X30" s="74">
        <v>100</v>
      </c>
      <c r="Y30" s="127">
        <v>100</v>
      </c>
      <c r="Z30" s="126">
        <v>100</v>
      </c>
      <c r="AA30" s="126">
        <v>100</v>
      </c>
      <c r="AB30" s="126">
        <v>100</v>
      </c>
      <c r="AC30" s="126">
        <v>100</v>
      </c>
      <c r="AD30" s="126">
        <v>100</v>
      </c>
      <c r="AE30" s="126">
        <v>100</v>
      </c>
      <c r="AF30" s="126">
        <v>100</v>
      </c>
      <c r="AG30" s="126">
        <v>100</v>
      </c>
      <c r="AH30" s="126">
        <v>100</v>
      </c>
      <c r="AI30" s="126">
        <v>100</v>
      </c>
      <c r="AJ30" s="126">
        <v>100</v>
      </c>
      <c r="AK30" s="126">
        <v>100</v>
      </c>
      <c r="AL30" s="126">
        <v>100</v>
      </c>
      <c r="AM30" s="126">
        <v>100</v>
      </c>
      <c r="AN30" s="126">
        <v>100</v>
      </c>
      <c r="AO30" s="126">
        <v>100</v>
      </c>
      <c r="AP30" s="126">
        <v>100</v>
      </c>
      <c r="AQ30" s="126">
        <v>100</v>
      </c>
      <c r="AR30" s="126">
        <v>100</v>
      </c>
      <c r="AS30" s="126">
        <v>100</v>
      </c>
      <c r="AT30" s="126">
        <v>100</v>
      </c>
      <c r="AU30" s="126">
        <v>100</v>
      </c>
      <c r="AV30" s="126">
        <v>100</v>
      </c>
      <c r="AW30" s="126">
        <v>100</v>
      </c>
      <c r="AX30" s="701">
        <v>100</v>
      </c>
      <c r="AY30" s="701">
        <v>100</v>
      </c>
      <c r="AZ30" s="705">
        <v>100</v>
      </c>
      <c r="BA30" s="701">
        <v>100</v>
      </c>
      <c r="BB30" s="701">
        <v>100</v>
      </c>
      <c r="BC30" s="701">
        <v>100</v>
      </c>
      <c r="BD30" s="701">
        <v>100</v>
      </c>
      <c r="BE30" s="732"/>
      <c r="BF30" s="732"/>
      <c r="BG30" s="732"/>
      <c r="BH30" s="732"/>
      <c r="BI30" s="732"/>
      <c r="BJ30" s="732"/>
      <c r="BK30" s="732"/>
      <c r="BL30" s="648">
        <f>AVERAGE(AL30:AW30)</f>
        <v>100</v>
      </c>
      <c r="BM30" s="648">
        <f t="shared" si="0"/>
        <v>100</v>
      </c>
      <c r="BN30" s="718">
        <f t="shared" si="1"/>
        <v>0</v>
      </c>
      <c r="CA30" s="93" t="s">
        <v>20</v>
      </c>
      <c r="CB30" s="89"/>
      <c r="CC30" s="16"/>
      <c r="CD30" s="5"/>
    </row>
    <row r="31" spans="1:82">
      <c r="A31" s="83" t="s">
        <v>97</v>
      </c>
      <c r="B31" s="128">
        <v>100</v>
      </c>
      <c r="C31" s="129">
        <v>100</v>
      </c>
      <c r="D31" s="129">
        <v>100</v>
      </c>
      <c r="E31" s="129">
        <v>100</v>
      </c>
      <c r="F31" s="129">
        <v>100</v>
      </c>
      <c r="G31" s="129">
        <v>100</v>
      </c>
      <c r="H31" s="129">
        <v>100</v>
      </c>
      <c r="I31" s="129">
        <v>100</v>
      </c>
      <c r="J31" s="129">
        <v>100</v>
      </c>
      <c r="K31" s="129">
        <v>100</v>
      </c>
      <c r="L31" s="129">
        <v>100</v>
      </c>
      <c r="M31" s="130">
        <v>100</v>
      </c>
      <c r="N31" s="128">
        <v>100</v>
      </c>
      <c r="O31" s="129">
        <v>100</v>
      </c>
      <c r="P31" s="129">
        <v>100</v>
      </c>
      <c r="Q31" s="129">
        <v>100</v>
      </c>
      <c r="R31" s="129">
        <v>100</v>
      </c>
      <c r="S31" s="129">
        <v>100</v>
      </c>
      <c r="T31" s="129">
        <v>100</v>
      </c>
      <c r="U31" s="75">
        <v>100</v>
      </c>
      <c r="V31" s="75">
        <v>100</v>
      </c>
      <c r="W31" s="75">
        <v>100</v>
      </c>
      <c r="X31" s="75">
        <v>100</v>
      </c>
      <c r="Y31" s="130">
        <v>100</v>
      </c>
      <c r="Z31" s="129">
        <v>100</v>
      </c>
      <c r="AA31" s="129">
        <v>100</v>
      </c>
      <c r="AB31" s="129">
        <v>100</v>
      </c>
      <c r="AC31" s="129">
        <v>100</v>
      </c>
      <c r="AD31" s="129">
        <v>100</v>
      </c>
      <c r="AE31" s="129">
        <v>100</v>
      </c>
      <c r="AF31" s="129">
        <v>100</v>
      </c>
      <c r="AG31" s="129">
        <v>100</v>
      </c>
      <c r="AH31" s="129">
        <v>100</v>
      </c>
      <c r="AI31" s="129">
        <v>100</v>
      </c>
      <c r="AJ31" s="129">
        <v>100</v>
      </c>
      <c r="AK31" s="129">
        <v>100</v>
      </c>
      <c r="AL31" s="129">
        <v>100</v>
      </c>
      <c r="AM31" s="129">
        <v>100</v>
      </c>
      <c r="AN31" s="129">
        <v>100</v>
      </c>
      <c r="AO31" s="129">
        <v>100</v>
      </c>
      <c r="AP31" s="129">
        <v>100</v>
      </c>
      <c r="AQ31" s="129">
        <v>100</v>
      </c>
      <c r="AR31" s="129">
        <v>100</v>
      </c>
      <c r="AS31" s="129">
        <v>100</v>
      </c>
      <c r="AT31" s="129">
        <v>100</v>
      </c>
      <c r="AU31" s="129">
        <v>100</v>
      </c>
      <c r="AV31" s="129">
        <v>100</v>
      </c>
      <c r="AW31" s="129">
        <v>100</v>
      </c>
      <c r="AX31" s="702">
        <v>100</v>
      </c>
      <c r="AY31" s="702">
        <v>100</v>
      </c>
      <c r="AZ31" s="706">
        <v>100</v>
      </c>
      <c r="BA31" s="702">
        <v>100</v>
      </c>
      <c r="BB31" s="702">
        <v>100</v>
      </c>
      <c r="BC31" s="702">
        <v>100</v>
      </c>
      <c r="BD31" s="702">
        <v>100</v>
      </c>
      <c r="BE31" s="733"/>
      <c r="BF31" s="733"/>
      <c r="BG31" s="733"/>
      <c r="BH31" s="733"/>
      <c r="BI31" s="733"/>
      <c r="BJ31" s="733"/>
      <c r="BK31" s="733"/>
      <c r="BL31" s="648">
        <f>AVERAGE(AL31:AW31)</f>
        <v>100</v>
      </c>
      <c r="BM31" s="648">
        <f t="shared" si="0"/>
        <v>100</v>
      </c>
      <c r="BN31" s="718">
        <f t="shared" si="1"/>
        <v>0</v>
      </c>
      <c r="CA31" s="93" t="s">
        <v>20</v>
      </c>
      <c r="CB31" s="89"/>
      <c r="CC31" s="16"/>
      <c r="CD31" s="5"/>
    </row>
    <row r="32" spans="1:82">
      <c r="A32" s="794" t="s">
        <v>98</v>
      </c>
      <c r="B32" s="122">
        <v>92.797755499501761</v>
      </c>
      <c r="C32" s="123">
        <v>92.797755499501761</v>
      </c>
      <c r="D32" s="123">
        <v>92.797755499501761</v>
      </c>
      <c r="E32" s="123">
        <v>92.797755499501761</v>
      </c>
      <c r="F32" s="123">
        <v>92.797755499501761</v>
      </c>
      <c r="G32" s="123">
        <v>92.797755499501761</v>
      </c>
      <c r="H32" s="123">
        <v>92.797755499501761</v>
      </c>
      <c r="I32" s="123">
        <v>92.797755499501761</v>
      </c>
      <c r="J32" s="123">
        <v>92.797755499501761</v>
      </c>
      <c r="K32" s="123">
        <v>92.797755499501761</v>
      </c>
      <c r="L32" s="123">
        <v>92.797755499501761</v>
      </c>
      <c r="M32" s="124">
        <v>95.704143178542651</v>
      </c>
      <c r="N32" s="122">
        <v>95.704143178542651</v>
      </c>
      <c r="O32" s="123">
        <v>95.704143178542651</v>
      </c>
      <c r="P32" s="123">
        <v>95.704143178542651</v>
      </c>
      <c r="Q32" s="123">
        <v>95.704143178542651</v>
      </c>
      <c r="R32" s="123">
        <v>95.704143178542651</v>
      </c>
      <c r="S32" s="123">
        <v>95.704143178542651</v>
      </c>
      <c r="T32" s="123">
        <v>95.704143178542651</v>
      </c>
      <c r="U32" s="73">
        <v>95.704143178542651</v>
      </c>
      <c r="V32" s="73">
        <v>95.704143178542651</v>
      </c>
      <c r="W32" s="73">
        <v>95.673131686429244</v>
      </c>
      <c r="X32" s="73">
        <v>95.673131686429244</v>
      </c>
      <c r="Y32" s="124">
        <v>95.673131686429244</v>
      </c>
      <c r="Z32" s="123">
        <v>95.673131686429244</v>
      </c>
      <c r="AA32" s="123">
        <v>95.673131686429244</v>
      </c>
      <c r="AB32" s="123">
        <v>95.673131686429244</v>
      </c>
      <c r="AC32" s="123">
        <v>95.673131686429244</v>
      </c>
      <c r="AD32" s="123">
        <v>95.673131686429244</v>
      </c>
      <c r="AE32" s="123">
        <v>95.673131686429244</v>
      </c>
      <c r="AF32" s="123">
        <v>95.673131686429244</v>
      </c>
      <c r="AG32" s="123">
        <v>95.673131686429244</v>
      </c>
      <c r="AH32" s="123">
        <v>95.673131686429244</v>
      </c>
      <c r="AI32" s="123">
        <v>95.673131686429244</v>
      </c>
      <c r="AJ32" s="123">
        <v>95.673131686429244</v>
      </c>
      <c r="AK32" s="123">
        <v>95.673131686429244</v>
      </c>
      <c r="AL32" s="123">
        <v>95.673131686429244</v>
      </c>
      <c r="AM32" s="123">
        <v>95.673131686429244</v>
      </c>
      <c r="AN32" s="123">
        <v>95.673131686429244</v>
      </c>
      <c r="AO32" s="123">
        <v>95.673131686429244</v>
      </c>
      <c r="AP32" s="123">
        <v>95.673131686429244</v>
      </c>
      <c r="AQ32" s="123">
        <v>95.673131686429244</v>
      </c>
      <c r="AR32" s="123">
        <v>95.673131686429244</v>
      </c>
      <c r="AS32" s="123">
        <v>95.673131686429244</v>
      </c>
      <c r="AT32" s="123">
        <v>95.673131686429244</v>
      </c>
      <c r="AU32" s="123">
        <v>95.673131686429244</v>
      </c>
      <c r="AV32" s="123">
        <v>95.673131686429244</v>
      </c>
      <c r="AW32" s="123">
        <v>95.673131686429244</v>
      </c>
      <c r="AX32" s="700">
        <v>95.673131686429244</v>
      </c>
      <c r="AY32" s="700">
        <v>95.673131686429244</v>
      </c>
      <c r="AZ32" s="700">
        <v>95.673131686429244</v>
      </c>
      <c r="BA32" s="700">
        <v>95.673131686429244</v>
      </c>
      <c r="BB32" s="700">
        <v>95.673131686429244</v>
      </c>
      <c r="BC32" s="700">
        <v>95.673131686429244</v>
      </c>
      <c r="BD32" s="700">
        <v>95.673131686429244</v>
      </c>
      <c r="BE32" s="731"/>
      <c r="BF32" s="731"/>
      <c r="BG32" s="731"/>
      <c r="BH32" s="731"/>
      <c r="BI32" s="731"/>
      <c r="BJ32" s="731"/>
      <c r="BK32" s="731"/>
      <c r="BL32" s="648">
        <f>AVERAGE(AL32:AW32)</f>
        <v>95.673131686429244</v>
      </c>
      <c r="BM32" s="648">
        <f t="shared" si="0"/>
        <v>95.67313168642923</v>
      </c>
      <c r="BN32" s="718">
        <f t="shared" si="1"/>
        <v>0</v>
      </c>
      <c r="CA32" s="93" t="s">
        <v>20</v>
      </c>
      <c r="CB32" s="89"/>
      <c r="CC32" s="16"/>
      <c r="CD32" s="5"/>
    </row>
    <row r="33" spans="1:82">
      <c r="A33" s="81" t="s">
        <v>99</v>
      </c>
      <c r="B33" s="125">
        <v>92.797755499501761</v>
      </c>
      <c r="C33" s="126">
        <v>92.797755499501761</v>
      </c>
      <c r="D33" s="126">
        <v>92.797755499501761</v>
      </c>
      <c r="E33" s="126">
        <v>92.797755499501761</v>
      </c>
      <c r="F33" s="126">
        <v>92.797755499501761</v>
      </c>
      <c r="G33" s="126">
        <v>92.797755499501761</v>
      </c>
      <c r="H33" s="126">
        <v>92.797755499501761</v>
      </c>
      <c r="I33" s="126">
        <v>92.797755499501761</v>
      </c>
      <c r="J33" s="126">
        <v>92.797755499501761</v>
      </c>
      <c r="K33" s="126">
        <v>92.797755499501761</v>
      </c>
      <c r="L33" s="126">
        <v>92.797755499501761</v>
      </c>
      <c r="M33" s="127">
        <v>95.704143178542651</v>
      </c>
      <c r="N33" s="125">
        <v>95.704143178542651</v>
      </c>
      <c r="O33" s="126">
        <v>95.704143178542651</v>
      </c>
      <c r="P33" s="126">
        <v>95.704143178542651</v>
      </c>
      <c r="Q33" s="126">
        <v>95.704143178542651</v>
      </c>
      <c r="R33" s="126">
        <v>95.704143178542651</v>
      </c>
      <c r="S33" s="126">
        <v>95.704143178542651</v>
      </c>
      <c r="T33" s="126">
        <v>95.704143178542651</v>
      </c>
      <c r="U33" s="74">
        <v>95.704143178542651</v>
      </c>
      <c r="V33" s="74">
        <v>95.704143178542651</v>
      </c>
      <c r="W33" s="74">
        <v>95.673131686429244</v>
      </c>
      <c r="X33" s="74">
        <v>95.673131686429244</v>
      </c>
      <c r="Y33" s="127">
        <v>95.673131686429244</v>
      </c>
      <c r="Z33" s="126">
        <v>95.673131686429244</v>
      </c>
      <c r="AA33" s="126">
        <v>95.673131686429244</v>
      </c>
      <c r="AB33" s="126">
        <v>95.673131686429244</v>
      </c>
      <c r="AC33" s="126">
        <v>95.673131686429244</v>
      </c>
      <c r="AD33" s="126">
        <v>95.673131686429244</v>
      </c>
      <c r="AE33" s="126">
        <v>95.673131686429244</v>
      </c>
      <c r="AF33" s="126">
        <v>95.673131686429244</v>
      </c>
      <c r="AG33" s="126">
        <v>95.673131686429244</v>
      </c>
      <c r="AH33" s="126">
        <v>95.673131686429244</v>
      </c>
      <c r="AI33" s="126">
        <v>95.673131686429244</v>
      </c>
      <c r="AJ33" s="126">
        <v>95.673131686429244</v>
      </c>
      <c r="AK33" s="126">
        <v>95.673131686429244</v>
      </c>
      <c r="AL33" s="126">
        <v>95.673131686429244</v>
      </c>
      <c r="AM33" s="126">
        <v>95.673131686429244</v>
      </c>
      <c r="AN33" s="126">
        <v>95.673131686429244</v>
      </c>
      <c r="AO33" s="126">
        <v>95.673131686429244</v>
      </c>
      <c r="AP33" s="126">
        <v>95.673131686429244</v>
      </c>
      <c r="AQ33" s="126">
        <v>95.673131686429244</v>
      </c>
      <c r="AR33" s="126">
        <v>95.673131686429244</v>
      </c>
      <c r="AS33" s="126">
        <v>95.673131686429244</v>
      </c>
      <c r="AT33" s="126">
        <v>95.673131686429244</v>
      </c>
      <c r="AU33" s="126">
        <v>95.673131686429244</v>
      </c>
      <c r="AV33" s="126">
        <v>95.673131686429244</v>
      </c>
      <c r="AW33" s="126">
        <v>95.673131686429244</v>
      </c>
      <c r="AX33" s="701">
        <v>95.673131686429244</v>
      </c>
      <c r="AY33" s="701">
        <v>95.673131686429244</v>
      </c>
      <c r="AZ33" s="701">
        <v>95.673131686429244</v>
      </c>
      <c r="BA33" s="701">
        <v>95.673131686429244</v>
      </c>
      <c r="BB33" s="701">
        <v>95.673131686429244</v>
      </c>
      <c r="BC33" s="701">
        <v>95.673131686429244</v>
      </c>
      <c r="BD33" s="701">
        <v>95.673131686429244</v>
      </c>
      <c r="BE33" s="732"/>
      <c r="BF33" s="732"/>
      <c r="BG33" s="732"/>
      <c r="BH33" s="732"/>
      <c r="BI33" s="732"/>
      <c r="BJ33" s="732"/>
      <c r="BK33" s="732"/>
      <c r="BL33" s="648">
        <f>AVERAGE(AL33:AW33)</f>
        <v>95.673131686429244</v>
      </c>
      <c r="BM33" s="648">
        <f t="shared" si="0"/>
        <v>95.67313168642923</v>
      </c>
      <c r="BN33" s="718">
        <f t="shared" si="1"/>
        <v>0</v>
      </c>
      <c r="CA33" s="93" t="s">
        <v>20</v>
      </c>
      <c r="CB33" s="89"/>
      <c r="CC33" s="16"/>
      <c r="CD33" s="5"/>
    </row>
    <row r="34" spans="1:82">
      <c r="A34" s="83" t="s">
        <v>100</v>
      </c>
      <c r="B34" s="128">
        <v>92.797755499501761</v>
      </c>
      <c r="C34" s="129">
        <v>92.797755499501761</v>
      </c>
      <c r="D34" s="129">
        <v>92.797755499501761</v>
      </c>
      <c r="E34" s="129">
        <v>92.797755499501761</v>
      </c>
      <c r="F34" s="129">
        <v>92.797755499501761</v>
      </c>
      <c r="G34" s="129">
        <v>92.797755499501761</v>
      </c>
      <c r="H34" s="129">
        <v>92.797755499501761</v>
      </c>
      <c r="I34" s="129">
        <v>92.797755499501761</v>
      </c>
      <c r="J34" s="129">
        <v>92.797755499501761</v>
      </c>
      <c r="K34" s="129">
        <v>92.797755499501761</v>
      </c>
      <c r="L34" s="129">
        <v>92.797755499501761</v>
      </c>
      <c r="M34" s="130">
        <v>95.704143178542651</v>
      </c>
      <c r="N34" s="128">
        <v>95.704143178542651</v>
      </c>
      <c r="O34" s="129">
        <v>95.704143178542651</v>
      </c>
      <c r="P34" s="129">
        <v>95.704143178542651</v>
      </c>
      <c r="Q34" s="129">
        <v>95.704143178542651</v>
      </c>
      <c r="R34" s="129">
        <v>95.704143178542651</v>
      </c>
      <c r="S34" s="129">
        <v>95.704143178542651</v>
      </c>
      <c r="T34" s="129">
        <v>95.704143178542651</v>
      </c>
      <c r="U34" s="75">
        <v>95.704143178542651</v>
      </c>
      <c r="V34" s="75">
        <v>95.704143178542651</v>
      </c>
      <c r="W34" s="75">
        <v>95.673131686429244</v>
      </c>
      <c r="X34" s="75">
        <v>95.673131686429244</v>
      </c>
      <c r="Y34" s="130">
        <v>95.673131686429244</v>
      </c>
      <c r="Z34" s="129">
        <v>95.673131686429244</v>
      </c>
      <c r="AA34" s="129">
        <v>95.673131686429244</v>
      </c>
      <c r="AB34" s="129">
        <v>95.673131686429244</v>
      </c>
      <c r="AC34" s="129">
        <v>95.673131686429244</v>
      </c>
      <c r="AD34" s="129">
        <v>95.673131686429244</v>
      </c>
      <c r="AE34" s="129">
        <v>95.673131686429244</v>
      </c>
      <c r="AF34" s="129">
        <v>95.673131686429244</v>
      </c>
      <c r="AG34" s="129">
        <v>95.673131686429244</v>
      </c>
      <c r="AH34" s="129">
        <v>95.673131686429244</v>
      </c>
      <c r="AI34" s="129">
        <v>95.673131686429244</v>
      </c>
      <c r="AJ34" s="129">
        <v>95.673131686429244</v>
      </c>
      <c r="AK34" s="129">
        <v>95.673131686429244</v>
      </c>
      <c r="AL34" s="129">
        <v>95.673131686429244</v>
      </c>
      <c r="AM34" s="129">
        <v>95.673131686429244</v>
      </c>
      <c r="AN34" s="129">
        <v>95.673131686429244</v>
      </c>
      <c r="AO34" s="129">
        <v>95.673131686429244</v>
      </c>
      <c r="AP34" s="129">
        <v>95.673131686429244</v>
      </c>
      <c r="AQ34" s="129">
        <v>95.673131686429244</v>
      </c>
      <c r="AR34" s="129">
        <v>95.673131686429244</v>
      </c>
      <c r="AS34" s="129">
        <v>95.673131686429244</v>
      </c>
      <c r="AT34" s="129">
        <v>95.673131686429244</v>
      </c>
      <c r="AU34" s="129">
        <v>95.673131686429244</v>
      </c>
      <c r="AV34" s="129">
        <v>95.673131686429244</v>
      </c>
      <c r="AW34" s="129">
        <v>95.673131686429244</v>
      </c>
      <c r="AX34" s="702">
        <v>95.673131686429244</v>
      </c>
      <c r="AY34" s="702">
        <v>95.673131686429244</v>
      </c>
      <c r="AZ34" s="702">
        <v>95.673131686429244</v>
      </c>
      <c r="BA34" s="702">
        <v>95.673131686429244</v>
      </c>
      <c r="BB34" s="702">
        <v>95.673131686429244</v>
      </c>
      <c r="BC34" s="702">
        <v>95.673131686429244</v>
      </c>
      <c r="BD34" s="702">
        <v>95.673131686429244</v>
      </c>
      <c r="BE34" s="733"/>
      <c r="BF34" s="733"/>
      <c r="BG34" s="733"/>
      <c r="BH34" s="733"/>
      <c r="BI34" s="733"/>
      <c r="BJ34" s="733"/>
      <c r="BK34" s="733"/>
      <c r="BL34" s="648">
        <f>AVERAGE(AL34:AW34)</f>
        <v>95.673131686429244</v>
      </c>
      <c r="BM34" s="648">
        <f t="shared" si="0"/>
        <v>95.67313168642923</v>
      </c>
      <c r="BN34" s="718">
        <f t="shared" si="1"/>
        <v>0</v>
      </c>
      <c r="CA34" s="93" t="s">
        <v>70</v>
      </c>
      <c r="CB34" s="90"/>
      <c r="CC34" s="16"/>
      <c r="CD34" s="15"/>
    </row>
    <row r="35" spans="1:82">
      <c r="A35" s="794" t="s">
        <v>101</v>
      </c>
      <c r="B35" s="122">
        <v>97.310634773143406</v>
      </c>
      <c r="C35" s="123">
        <v>97.310634773143406</v>
      </c>
      <c r="D35" s="123">
        <v>97.310634773143406</v>
      </c>
      <c r="E35" s="123">
        <v>97.310634773143406</v>
      </c>
      <c r="F35" s="123">
        <v>97.310634773143406</v>
      </c>
      <c r="G35" s="123">
        <v>97.310634773143406</v>
      </c>
      <c r="H35" s="123">
        <v>97.310634773143406</v>
      </c>
      <c r="I35" s="123">
        <v>97.310634773143406</v>
      </c>
      <c r="J35" s="123">
        <v>97.310634773143406</v>
      </c>
      <c r="K35" s="123">
        <v>97.310634773143406</v>
      </c>
      <c r="L35" s="123">
        <v>97.310634773143406</v>
      </c>
      <c r="M35" s="124">
        <v>99.843859783193693</v>
      </c>
      <c r="N35" s="122">
        <v>99.843859783193693</v>
      </c>
      <c r="O35" s="123">
        <v>99.843859783193693</v>
      </c>
      <c r="P35" s="123">
        <v>99.843859783193693</v>
      </c>
      <c r="Q35" s="123">
        <v>99.843859783193693</v>
      </c>
      <c r="R35" s="123">
        <v>99.843859783193693</v>
      </c>
      <c r="S35" s="123">
        <v>99.843859783193693</v>
      </c>
      <c r="T35" s="123">
        <v>99.843859783193693</v>
      </c>
      <c r="U35" s="73">
        <v>99.843859783193693</v>
      </c>
      <c r="V35" s="73">
        <v>99.843859783193693</v>
      </c>
      <c r="W35" s="73">
        <v>99.816898300760613</v>
      </c>
      <c r="X35" s="73">
        <v>99.816898300760599</v>
      </c>
      <c r="Y35" s="124">
        <v>99.816898300760599</v>
      </c>
      <c r="Z35" s="123">
        <v>99.816898300760599</v>
      </c>
      <c r="AA35" s="123">
        <v>99.816898300760599</v>
      </c>
      <c r="AB35" s="123">
        <v>99.816898300760599</v>
      </c>
      <c r="AC35" s="123">
        <v>99.816898300760599</v>
      </c>
      <c r="AD35" s="123">
        <v>99.816898300760599</v>
      </c>
      <c r="AE35" s="123">
        <v>99.816898300760599</v>
      </c>
      <c r="AF35" s="123">
        <v>99.816898300760599</v>
      </c>
      <c r="AG35" s="123">
        <v>99.816898300760599</v>
      </c>
      <c r="AH35" s="123">
        <v>99.816898300760599</v>
      </c>
      <c r="AI35" s="123">
        <v>99.816898300760599</v>
      </c>
      <c r="AJ35" s="123">
        <v>99.816898300760599</v>
      </c>
      <c r="AK35" s="123">
        <v>99.816898300760599</v>
      </c>
      <c r="AL35" s="123">
        <v>99.816898300760599</v>
      </c>
      <c r="AM35" s="123">
        <v>99.816898300760599</v>
      </c>
      <c r="AN35" s="123">
        <v>99.816898300760599</v>
      </c>
      <c r="AO35" s="123">
        <v>99.816898300760599</v>
      </c>
      <c r="AP35" s="123">
        <v>99.816898300760599</v>
      </c>
      <c r="AQ35" s="123">
        <v>99.816898300760599</v>
      </c>
      <c r="AR35" s="123">
        <v>99.816898300760599</v>
      </c>
      <c r="AS35" s="123">
        <v>99.816898300760599</v>
      </c>
      <c r="AT35" s="123">
        <v>99.816898300760599</v>
      </c>
      <c r="AU35" s="123">
        <v>99.816898300760599</v>
      </c>
      <c r="AV35" s="123">
        <v>99.816898300760599</v>
      </c>
      <c r="AW35" s="123">
        <v>99.816898300760599</v>
      </c>
      <c r="AX35" s="700">
        <v>99.816898300760599</v>
      </c>
      <c r="AY35" s="700">
        <v>99.816898300760599</v>
      </c>
      <c r="AZ35" s="700">
        <v>99.816898300760599</v>
      </c>
      <c r="BA35" s="700">
        <v>99.816898300760599</v>
      </c>
      <c r="BB35" s="700">
        <v>99.816898300760599</v>
      </c>
      <c r="BC35" s="700">
        <v>99.816898300760599</v>
      </c>
      <c r="BD35" s="700">
        <v>99.816898300760599</v>
      </c>
      <c r="BE35" s="731"/>
      <c r="BF35" s="731"/>
      <c r="BG35" s="731"/>
      <c r="BH35" s="731"/>
      <c r="BI35" s="731"/>
      <c r="BJ35" s="731"/>
      <c r="BK35" s="731"/>
      <c r="BL35" s="648">
        <f>AVERAGE(AL35:AW35)</f>
        <v>99.816898300760599</v>
      </c>
      <c r="BM35" s="648">
        <f t="shared" si="0"/>
        <v>99.816898300760599</v>
      </c>
      <c r="BN35" s="718">
        <f t="shared" si="1"/>
        <v>0</v>
      </c>
      <c r="CA35" s="93" t="s">
        <v>70</v>
      </c>
      <c r="CB35" s="90"/>
      <c r="CC35" s="16"/>
      <c r="CD35" s="15"/>
    </row>
    <row r="36" spans="1:82">
      <c r="A36" s="81" t="s">
        <v>102</v>
      </c>
      <c r="B36" s="125">
        <v>97.310634773143406</v>
      </c>
      <c r="C36" s="126">
        <v>97.310634773143406</v>
      </c>
      <c r="D36" s="126">
        <v>97.310634773143406</v>
      </c>
      <c r="E36" s="126">
        <v>97.310634773143406</v>
      </c>
      <c r="F36" s="126">
        <v>97.310634773143406</v>
      </c>
      <c r="G36" s="126">
        <v>97.310634773143406</v>
      </c>
      <c r="H36" s="126">
        <v>97.310634773143406</v>
      </c>
      <c r="I36" s="126">
        <v>97.310634773143406</v>
      </c>
      <c r="J36" s="126">
        <v>97.310634773143406</v>
      </c>
      <c r="K36" s="126">
        <v>97.310634773143406</v>
      </c>
      <c r="L36" s="126">
        <v>97.310634773143406</v>
      </c>
      <c r="M36" s="127">
        <v>99.843859783193693</v>
      </c>
      <c r="N36" s="125">
        <v>99.843859783193693</v>
      </c>
      <c r="O36" s="126">
        <v>99.843859783193693</v>
      </c>
      <c r="P36" s="126">
        <v>99.843859783193693</v>
      </c>
      <c r="Q36" s="126">
        <v>99.843859783193693</v>
      </c>
      <c r="R36" s="126">
        <v>99.843859783193693</v>
      </c>
      <c r="S36" s="126">
        <v>99.843859783193693</v>
      </c>
      <c r="T36" s="126">
        <v>99.843859783193693</v>
      </c>
      <c r="U36" s="74">
        <v>99.843859783193693</v>
      </c>
      <c r="V36" s="74">
        <v>99.843859783193693</v>
      </c>
      <c r="W36" s="74">
        <v>99.816898300760613</v>
      </c>
      <c r="X36" s="74">
        <v>99.816898300760599</v>
      </c>
      <c r="Y36" s="127">
        <v>99.816898300760599</v>
      </c>
      <c r="Z36" s="126">
        <v>99.816898300760599</v>
      </c>
      <c r="AA36" s="126">
        <v>99.816898300760599</v>
      </c>
      <c r="AB36" s="126">
        <v>99.816898300760599</v>
      </c>
      <c r="AC36" s="126">
        <v>99.816898300760599</v>
      </c>
      <c r="AD36" s="126">
        <v>99.816898300760599</v>
      </c>
      <c r="AE36" s="126">
        <v>99.816898300760599</v>
      </c>
      <c r="AF36" s="126">
        <v>99.816898300760599</v>
      </c>
      <c r="AG36" s="126">
        <v>99.816898300760599</v>
      </c>
      <c r="AH36" s="126">
        <v>99.816898300760599</v>
      </c>
      <c r="AI36" s="126">
        <v>99.816898300760599</v>
      </c>
      <c r="AJ36" s="126">
        <v>99.816898300760599</v>
      </c>
      <c r="AK36" s="126">
        <v>99.816898300760599</v>
      </c>
      <c r="AL36" s="126">
        <v>99.816898300760599</v>
      </c>
      <c r="AM36" s="126">
        <v>99.816898300760599</v>
      </c>
      <c r="AN36" s="126">
        <v>99.816898300760599</v>
      </c>
      <c r="AO36" s="126">
        <v>99.816898300760599</v>
      </c>
      <c r="AP36" s="126">
        <v>99.816898300760599</v>
      </c>
      <c r="AQ36" s="126">
        <v>99.816898300760599</v>
      </c>
      <c r="AR36" s="126">
        <v>99.816898300760599</v>
      </c>
      <c r="AS36" s="126">
        <v>99.816898300760599</v>
      </c>
      <c r="AT36" s="126">
        <v>99.816898300760599</v>
      </c>
      <c r="AU36" s="126">
        <v>99.816898300760599</v>
      </c>
      <c r="AV36" s="126">
        <v>99.816898300760599</v>
      </c>
      <c r="AW36" s="126">
        <v>99.816898300760599</v>
      </c>
      <c r="AX36" s="701">
        <v>99.816898300760599</v>
      </c>
      <c r="AY36" s="701">
        <v>99.816898300760599</v>
      </c>
      <c r="AZ36" s="701">
        <v>99.816898300760599</v>
      </c>
      <c r="BA36" s="701">
        <v>99.816898300760599</v>
      </c>
      <c r="BB36" s="701">
        <v>99.816898300760599</v>
      </c>
      <c r="BC36" s="701">
        <v>99.816898300760599</v>
      </c>
      <c r="BD36" s="701">
        <v>99.816898300760599</v>
      </c>
      <c r="BE36" s="732"/>
      <c r="BF36" s="732"/>
      <c r="BG36" s="732"/>
      <c r="BH36" s="732"/>
      <c r="BI36" s="732"/>
      <c r="BJ36" s="732"/>
      <c r="BK36" s="732"/>
      <c r="BL36" s="648">
        <f>AVERAGE(AL36:AW36)</f>
        <v>99.816898300760599</v>
      </c>
      <c r="BM36" s="648">
        <f t="shared" si="0"/>
        <v>99.816898300760599</v>
      </c>
      <c r="BN36" s="718">
        <f t="shared" si="1"/>
        <v>0</v>
      </c>
      <c r="CA36" s="93" t="s">
        <v>70</v>
      </c>
      <c r="CB36" s="90"/>
      <c r="CC36" s="16"/>
      <c r="CD36" s="15"/>
    </row>
    <row r="37" spans="1:82">
      <c r="A37" s="83" t="s">
        <v>102</v>
      </c>
      <c r="B37" s="128">
        <v>97.310634773143406</v>
      </c>
      <c r="C37" s="129">
        <v>97.310634773143406</v>
      </c>
      <c r="D37" s="129">
        <v>97.310634773143406</v>
      </c>
      <c r="E37" s="129">
        <v>97.310634773143406</v>
      </c>
      <c r="F37" s="129">
        <v>97.310634773143406</v>
      </c>
      <c r="G37" s="129">
        <v>97.310634773143406</v>
      </c>
      <c r="H37" s="129">
        <v>97.310634773143406</v>
      </c>
      <c r="I37" s="129">
        <v>97.310634773143406</v>
      </c>
      <c r="J37" s="129">
        <v>97.310634773143406</v>
      </c>
      <c r="K37" s="129">
        <v>97.310634773143406</v>
      </c>
      <c r="L37" s="129">
        <v>97.310634773143406</v>
      </c>
      <c r="M37" s="130">
        <v>99.843859783193693</v>
      </c>
      <c r="N37" s="128">
        <v>99.843859783193693</v>
      </c>
      <c r="O37" s="129">
        <v>99.843859783193693</v>
      </c>
      <c r="P37" s="129">
        <v>99.843859783193693</v>
      </c>
      <c r="Q37" s="129">
        <v>99.843859783193693</v>
      </c>
      <c r="R37" s="129">
        <v>99.843859783193693</v>
      </c>
      <c r="S37" s="129">
        <v>99.843859783193693</v>
      </c>
      <c r="T37" s="129">
        <v>99.843859783193693</v>
      </c>
      <c r="U37" s="75">
        <v>99.843859783193693</v>
      </c>
      <c r="V37" s="75">
        <v>99.843859783193693</v>
      </c>
      <c r="W37" s="75">
        <v>99.816898300760613</v>
      </c>
      <c r="X37" s="75">
        <v>99.816898300760599</v>
      </c>
      <c r="Y37" s="130">
        <v>99.816898300760599</v>
      </c>
      <c r="Z37" s="129">
        <v>99.816898300760599</v>
      </c>
      <c r="AA37" s="129">
        <v>99.816898300760599</v>
      </c>
      <c r="AB37" s="129">
        <v>99.816898300760599</v>
      </c>
      <c r="AC37" s="129">
        <v>99.816898300760599</v>
      </c>
      <c r="AD37" s="129">
        <v>99.816898300760599</v>
      </c>
      <c r="AE37" s="129">
        <v>99.816898300760599</v>
      </c>
      <c r="AF37" s="129">
        <v>99.816898300760599</v>
      </c>
      <c r="AG37" s="129">
        <v>99.816898300760599</v>
      </c>
      <c r="AH37" s="129">
        <v>99.816898300760599</v>
      </c>
      <c r="AI37" s="129">
        <v>99.816898300760599</v>
      </c>
      <c r="AJ37" s="129">
        <v>99.816898300760599</v>
      </c>
      <c r="AK37" s="129">
        <v>99.816898300760599</v>
      </c>
      <c r="AL37" s="129">
        <v>99.816898300760599</v>
      </c>
      <c r="AM37" s="129">
        <v>99.816898300760599</v>
      </c>
      <c r="AN37" s="129">
        <v>99.816898300760599</v>
      </c>
      <c r="AO37" s="129">
        <v>99.816898300760599</v>
      </c>
      <c r="AP37" s="129">
        <v>99.816898300760599</v>
      </c>
      <c r="AQ37" s="129">
        <v>99.816898300760599</v>
      </c>
      <c r="AR37" s="129">
        <v>99.816898300760599</v>
      </c>
      <c r="AS37" s="129">
        <v>99.816898300760599</v>
      </c>
      <c r="AT37" s="129">
        <v>99.816898300760599</v>
      </c>
      <c r="AU37" s="129">
        <v>99.816898300760599</v>
      </c>
      <c r="AV37" s="129">
        <v>99.816898300760599</v>
      </c>
      <c r="AW37" s="129">
        <v>99.816898300760599</v>
      </c>
      <c r="AX37" s="702">
        <v>99.816898300760599</v>
      </c>
      <c r="AY37" s="702">
        <v>99.816898300760599</v>
      </c>
      <c r="AZ37" s="702">
        <v>99.816898300760599</v>
      </c>
      <c r="BA37" s="702">
        <v>99.816898300760599</v>
      </c>
      <c r="BB37" s="702">
        <v>99.816898300760599</v>
      </c>
      <c r="BC37" s="702">
        <v>99.816898300760599</v>
      </c>
      <c r="BD37" s="702">
        <v>99.816898300760599</v>
      </c>
      <c r="BE37" s="733"/>
      <c r="BF37" s="733"/>
      <c r="BG37" s="733"/>
      <c r="BH37" s="733"/>
      <c r="BI37" s="733"/>
      <c r="BJ37" s="733"/>
      <c r="BK37" s="733"/>
      <c r="BL37" s="648">
        <f>AVERAGE(AL37:AW37)</f>
        <v>99.816898300760599</v>
      </c>
      <c r="BM37" s="648">
        <f t="shared" si="0"/>
        <v>99.816898300760599</v>
      </c>
      <c r="BN37" s="718">
        <f t="shared" si="1"/>
        <v>0</v>
      </c>
      <c r="CA37" s="93" t="s">
        <v>20</v>
      </c>
      <c r="CB37" s="89"/>
      <c r="CC37" s="16"/>
      <c r="CD37" s="5"/>
    </row>
    <row r="38" spans="1:82">
      <c r="A38" s="794" t="s">
        <v>103</v>
      </c>
      <c r="B38" s="122">
        <v>112.54704142418845</v>
      </c>
      <c r="C38" s="123">
        <v>112.54704142418845</v>
      </c>
      <c r="D38" s="123">
        <v>112.54704142418845</v>
      </c>
      <c r="E38" s="123">
        <v>112.54704142418845</v>
      </c>
      <c r="F38" s="123">
        <v>112.54704142418845</v>
      </c>
      <c r="G38" s="123">
        <v>112.54704142418845</v>
      </c>
      <c r="H38" s="123">
        <v>112.54704142418845</v>
      </c>
      <c r="I38" s="123">
        <v>112.54704142418845</v>
      </c>
      <c r="J38" s="123">
        <v>112.54704142418845</v>
      </c>
      <c r="K38" s="123">
        <v>112.54704142418845</v>
      </c>
      <c r="L38" s="123">
        <v>112.54704142418845</v>
      </c>
      <c r="M38" s="124">
        <v>112.54704142418845</v>
      </c>
      <c r="N38" s="122">
        <v>112.54704142418845</v>
      </c>
      <c r="O38" s="123">
        <v>112.54704142418845</v>
      </c>
      <c r="P38" s="123">
        <v>112.54704142418845</v>
      </c>
      <c r="Q38" s="123">
        <v>112.54704142418845</v>
      </c>
      <c r="R38" s="123">
        <v>112.54704142418845</v>
      </c>
      <c r="S38" s="123">
        <v>112.54704142418845</v>
      </c>
      <c r="T38" s="123">
        <v>112.54704142418845</v>
      </c>
      <c r="U38" s="73">
        <v>112.54704142418845</v>
      </c>
      <c r="V38" s="73">
        <v>112.54704142418845</v>
      </c>
      <c r="W38" s="73">
        <v>112.54704142418845</v>
      </c>
      <c r="X38" s="73">
        <v>112.54704142418845</v>
      </c>
      <c r="Y38" s="124">
        <v>112.54704142418845</v>
      </c>
      <c r="Z38" s="123">
        <v>112.54704142418845</v>
      </c>
      <c r="AA38" s="123">
        <v>125.93808261187114</v>
      </c>
      <c r="AB38" s="123">
        <v>125.93808261187117</v>
      </c>
      <c r="AC38" s="123">
        <v>125.93808261187117</v>
      </c>
      <c r="AD38" s="123">
        <v>125.93808261187117</v>
      </c>
      <c r="AE38" s="123">
        <v>125.93808261187117</v>
      </c>
      <c r="AF38" s="123">
        <v>125.93808261187117</v>
      </c>
      <c r="AG38" s="123">
        <v>125.93808261187117</v>
      </c>
      <c r="AH38" s="123">
        <v>125.93808261187117</v>
      </c>
      <c r="AI38" s="123">
        <v>125.93808261187117</v>
      </c>
      <c r="AJ38" s="123">
        <v>125.93808261187117</v>
      </c>
      <c r="AK38" s="123">
        <v>125.93808261187117</v>
      </c>
      <c r="AL38" s="123">
        <v>125.93808261187117</v>
      </c>
      <c r="AM38" s="123">
        <v>125.93808261187117</v>
      </c>
      <c r="AN38" s="123">
        <v>125.93808261187117</v>
      </c>
      <c r="AO38" s="123">
        <v>125.93808261187117</v>
      </c>
      <c r="AP38" s="123">
        <v>125.93808261187117</v>
      </c>
      <c r="AQ38" s="123">
        <v>125.93808261187117</v>
      </c>
      <c r="AR38" s="123">
        <v>125.93808261187117</v>
      </c>
      <c r="AS38" s="123">
        <v>125.93808261187117</v>
      </c>
      <c r="AT38" s="123">
        <v>125.93808261187117</v>
      </c>
      <c r="AU38" s="123">
        <v>125.93808261187117</v>
      </c>
      <c r="AV38" s="123">
        <v>125.93808261187117</v>
      </c>
      <c r="AW38" s="123">
        <v>125.93808261187117</v>
      </c>
      <c r="AX38" s="700">
        <v>125.93808261187117</v>
      </c>
      <c r="AY38" s="700">
        <v>125.93808261187117</v>
      </c>
      <c r="AZ38" s="700">
        <v>125.93808261187117</v>
      </c>
      <c r="BA38" s="700">
        <v>125.93808261187117</v>
      </c>
      <c r="BB38" s="700">
        <v>125.93808261187117</v>
      </c>
      <c r="BC38" s="700">
        <v>125.93808261187117</v>
      </c>
      <c r="BD38" s="700">
        <v>125.93808261187117</v>
      </c>
      <c r="BE38" s="731"/>
      <c r="BF38" s="731"/>
      <c r="BG38" s="731"/>
      <c r="BH38" s="731"/>
      <c r="BI38" s="731"/>
      <c r="BJ38" s="731"/>
      <c r="BK38" s="731"/>
      <c r="BL38" s="648">
        <f>AVERAGE(AL38:AW38)</f>
        <v>125.93808261187115</v>
      </c>
      <c r="BM38" s="648">
        <f t="shared" si="0"/>
        <v>125.93808261187118</v>
      </c>
      <c r="BN38" s="718">
        <f t="shared" si="1"/>
        <v>0</v>
      </c>
      <c r="CA38" s="93"/>
      <c r="CB38" s="90"/>
      <c r="CC38" s="16"/>
      <c r="CD38" s="15"/>
    </row>
    <row r="39" spans="1:82" ht="15.5" thickBot="1">
      <c r="A39" s="81" t="s">
        <v>104</v>
      </c>
      <c r="B39" s="125">
        <v>112.54704142418845</v>
      </c>
      <c r="C39" s="126">
        <v>112.54704142418845</v>
      </c>
      <c r="D39" s="126">
        <v>112.54704142418845</v>
      </c>
      <c r="E39" s="126">
        <v>112.54704142418845</v>
      </c>
      <c r="F39" s="126">
        <v>112.54704142418845</v>
      </c>
      <c r="G39" s="126">
        <v>112.54704142418845</v>
      </c>
      <c r="H39" s="126">
        <v>112.54704142418845</v>
      </c>
      <c r="I39" s="126">
        <v>112.54704142418845</v>
      </c>
      <c r="J39" s="126">
        <v>112.54704142418845</v>
      </c>
      <c r="K39" s="126">
        <v>112.54704142418845</v>
      </c>
      <c r="L39" s="126">
        <v>112.54704142418845</v>
      </c>
      <c r="M39" s="127">
        <v>112.54704142418845</v>
      </c>
      <c r="N39" s="125">
        <v>112.54704142418845</v>
      </c>
      <c r="O39" s="126">
        <v>112.54704142418845</v>
      </c>
      <c r="P39" s="126">
        <v>112.54704142418845</v>
      </c>
      <c r="Q39" s="126">
        <v>112.54704142418845</v>
      </c>
      <c r="R39" s="126">
        <v>112.54704142418845</v>
      </c>
      <c r="S39" s="126">
        <v>112.54704142418845</v>
      </c>
      <c r="T39" s="126">
        <v>112.54704142418845</v>
      </c>
      <c r="U39" s="74">
        <v>112.54704142418845</v>
      </c>
      <c r="V39" s="74">
        <v>112.54704142418845</v>
      </c>
      <c r="W39" s="74">
        <v>112.54704142418845</v>
      </c>
      <c r="X39" s="74">
        <v>112.54704142418845</v>
      </c>
      <c r="Y39" s="127">
        <v>112.54704142418845</v>
      </c>
      <c r="Z39" s="126">
        <v>112.54704142418845</v>
      </c>
      <c r="AA39" s="126">
        <v>125.93808261187114</v>
      </c>
      <c r="AB39" s="126">
        <v>125.93808261187117</v>
      </c>
      <c r="AC39" s="126">
        <v>125.93808261187117</v>
      </c>
      <c r="AD39" s="126">
        <v>125.93808261187117</v>
      </c>
      <c r="AE39" s="126">
        <v>125.93808261187117</v>
      </c>
      <c r="AF39" s="126">
        <v>125.93808261187117</v>
      </c>
      <c r="AG39" s="126">
        <v>125.93808261187117</v>
      </c>
      <c r="AH39" s="126">
        <v>125.93808261187117</v>
      </c>
      <c r="AI39" s="126">
        <v>125.93808261187117</v>
      </c>
      <c r="AJ39" s="126">
        <v>125.93808261187117</v>
      </c>
      <c r="AK39" s="126">
        <v>125.93808261187117</v>
      </c>
      <c r="AL39" s="126">
        <v>125.93808261187117</v>
      </c>
      <c r="AM39" s="126">
        <v>125.93808261187117</v>
      </c>
      <c r="AN39" s="126">
        <v>125.93808261187117</v>
      </c>
      <c r="AO39" s="126">
        <v>125.93808261187117</v>
      </c>
      <c r="AP39" s="126">
        <v>125.93808261187117</v>
      </c>
      <c r="AQ39" s="126">
        <v>125.93808261187117</v>
      </c>
      <c r="AR39" s="126">
        <v>125.93808261187117</v>
      </c>
      <c r="AS39" s="126">
        <v>125.93808261187117</v>
      </c>
      <c r="AT39" s="126">
        <v>125.93808261187117</v>
      </c>
      <c r="AU39" s="126">
        <v>125.93808261187117</v>
      </c>
      <c r="AV39" s="126">
        <v>125.93808261187117</v>
      </c>
      <c r="AW39" s="126">
        <v>125.93808261187117</v>
      </c>
      <c r="AX39" s="701">
        <v>125.93808261187117</v>
      </c>
      <c r="AY39" s="701">
        <v>125.93808261187117</v>
      </c>
      <c r="AZ39" s="701">
        <v>125.93808261187117</v>
      </c>
      <c r="BA39" s="701">
        <v>125.93808261187117</v>
      </c>
      <c r="BB39" s="701">
        <v>125.93808261187117</v>
      </c>
      <c r="BC39" s="701">
        <v>125.93808261187117</v>
      </c>
      <c r="BD39" s="701">
        <v>125.93808261187117</v>
      </c>
      <c r="BE39" s="732"/>
      <c r="BF39" s="732"/>
      <c r="BG39" s="732"/>
      <c r="BH39" s="732"/>
      <c r="BI39" s="732"/>
      <c r="BJ39" s="732"/>
      <c r="BK39" s="732"/>
      <c r="BL39" s="648">
        <f>AVERAGE(AL39:AW39)</f>
        <v>125.93808261187115</v>
      </c>
      <c r="BM39" s="648">
        <f t="shared" si="0"/>
        <v>125.93808261187118</v>
      </c>
      <c r="BN39" s="718">
        <f t="shared" si="1"/>
        <v>0</v>
      </c>
      <c r="CA39" s="94" t="s">
        <v>74</v>
      </c>
      <c r="CB39" s="91"/>
      <c r="CC39" s="16"/>
      <c r="CD39" s="15"/>
    </row>
    <row r="40" spans="1:82">
      <c r="A40" s="83" t="s">
        <v>105</v>
      </c>
      <c r="B40" s="128">
        <v>112.54704142418845</v>
      </c>
      <c r="C40" s="129">
        <v>112.54704142418845</v>
      </c>
      <c r="D40" s="129">
        <v>112.54704142418845</v>
      </c>
      <c r="E40" s="129">
        <v>112.54704142418845</v>
      </c>
      <c r="F40" s="129">
        <v>112.54704142418845</v>
      </c>
      <c r="G40" s="129">
        <v>112.54704142418845</v>
      </c>
      <c r="H40" s="129">
        <v>112.54704142418845</v>
      </c>
      <c r="I40" s="129">
        <v>112.54704142418845</v>
      </c>
      <c r="J40" s="129">
        <v>112.54704142418845</v>
      </c>
      <c r="K40" s="129">
        <v>112.54704142418845</v>
      </c>
      <c r="L40" s="129">
        <v>112.54704142418845</v>
      </c>
      <c r="M40" s="130">
        <v>112.54704142418845</v>
      </c>
      <c r="N40" s="128">
        <v>112.54704142418845</v>
      </c>
      <c r="O40" s="129">
        <v>112.54704142418845</v>
      </c>
      <c r="P40" s="129">
        <v>112.54704142418845</v>
      </c>
      <c r="Q40" s="129">
        <v>112.54704142418845</v>
      </c>
      <c r="R40" s="129">
        <v>112.54704142418845</v>
      </c>
      <c r="S40" s="129">
        <v>112.54704142418845</v>
      </c>
      <c r="T40" s="129">
        <v>112.54704142418845</v>
      </c>
      <c r="U40" s="75">
        <v>112.54704142418845</v>
      </c>
      <c r="V40" s="75">
        <v>112.54704142418845</v>
      </c>
      <c r="W40" s="75">
        <v>112.54704142418845</v>
      </c>
      <c r="X40" s="75">
        <v>112.54704142418845</v>
      </c>
      <c r="Y40" s="130">
        <v>112.54704142418845</v>
      </c>
      <c r="Z40" s="129">
        <v>112.54704142418845</v>
      </c>
      <c r="AA40" s="129">
        <v>125.93808261187114</v>
      </c>
      <c r="AB40" s="129">
        <v>125.93808261187117</v>
      </c>
      <c r="AC40" s="129">
        <v>125.93808261187117</v>
      </c>
      <c r="AD40" s="129">
        <v>125.93808261187117</v>
      </c>
      <c r="AE40" s="129">
        <v>125.93808261187117</v>
      </c>
      <c r="AF40" s="129">
        <v>125.93808261187117</v>
      </c>
      <c r="AG40" s="129">
        <v>125.93808261187117</v>
      </c>
      <c r="AH40" s="129">
        <v>125.93808261187117</v>
      </c>
      <c r="AI40" s="129">
        <v>125.93808261187117</v>
      </c>
      <c r="AJ40" s="129">
        <v>125.93808261187117</v>
      </c>
      <c r="AK40" s="129">
        <v>125.93808261187117</v>
      </c>
      <c r="AL40" s="129">
        <v>125.93808261187117</v>
      </c>
      <c r="AM40" s="129">
        <v>125.93808261187117</v>
      </c>
      <c r="AN40" s="129">
        <v>125.93808261187117</v>
      </c>
      <c r="AO40" s="129">
        <v>125.93808261187117</v>
      </c>
      <c r="AP40" s="129">
        <v>125.93808261187117</v>
      </c>
      <c r="AQ40" s="129">
        <v>125.93808261187117</v>
      </c>
      <c r="AR40" s="129">
        <v>125.93808261187117</v>
      </c>
      <c r="AS40" s="129">
        <v>125.93808261187117</v>
      </c>
      <c r="AT40" s="129">
        <v>125.93808261187117</v>
      </c>
      <c r="AU40" s="129">
        <v>125.93808261187117</v>
      </c>
      <c r="AV40" s="129">
        <v>125.93808261187117</v>
      </c>
      <c r="AW40" s="129">
        <v>125.93808261187117</v>
      </c>
      <c r="AX40" s="702">
        <v>125.93808261187117</v>
      </c>
      <c r="AY40" s="702">
        <v>125.93808261187117</v>
      </c>
      <c r="AZ40" s="702">
        <v>125.93808261187117</v>
      </c>
      <c r="BA40" s="702">
        <v>125.93808261187117</v>
      </c>
      <c r="BB40" s="702">
        <v>125.93808261187117</v>
      </c>
      <c r="BC40" s="702">
        <v>125.93808261187117</v>
      </c>
      <c r="BD40" s="702">
        <v>125.93808261187117</v>
      </c>
      <c r="BE40" s="733"/>
      <c r="BF40" s="733"/>
      <c r="BG40" s="733"/>
      <c r="BH40" s="733"/>
      <c r="BI40" s="733"/>
      <c r="BJ40" s="733"/>
      <c r="BK40" s="733"/>
      <c r="BL40" s="648">
        <f>AVERAGE(AL40:AW40)</f>
        <v>125.93808261187115</v>
      </c>
      <c r="BM40" s="648">
        <f t="shared" si="0"/>
        <v>125.93808261187118</v>
      </c>
      <c r="BN40" s="718">
        <f t="shared" si="1"/>
        <v>0</v>
      </c>
    </row>
    <row r="41" spans="1:82">
      <c r="A41" s="794" t="s">
        <v>106</v>
      </c>
      <c r="B41" s="122">
        <v>136.09054370584175</v>
      </c>
      <c r="C41" s="123">
        <v>136.09054370584175</v>
      </c>
      <c r="D41" s="123">
        <v>136.09054370584175</v>
      </c>
      <c r="E41" s="123">
        <v>136.09054370584175</v>
      </c>
      <c r="F41" s="123">
        <v>136.09054370584175</v>
      </c>
      <c r="G41" s="123">
        <v>136.09054370584175</v>
      </c>
      <c r="H41" s="123">
        <v>136.09054370584175</v>
      </c>
      <c r="I41" s="123">
        <v>136.09054370584175</v>
      </c>
      <c r="J41" s="123">
        <v>136.09054370584175</v>
      </c>
      <c r="K41" s="123">
        <v>136.09054370584175</v>
      </c>
      <c r="L41" s="123">
        <v>136.09054370584175</v>
      </c>
      <c r="M41" s="124">
        <v>136.09054370584175</v>
      </c>
      <c r="N41" s="122">
        <v>136.09054370584175</v>
      </c>
      <c r="O41" s="123">
        <v>136.09054370584175</v>
      </c>
      <c r="P41" s="123">
        <v>136.09054370584175</v>
      </c>
      <c r="Q41" s="123">
        <v>136.09054370584175</v>
      </c>
      <c r="R41" s="123">
        <v>136.09054370584175</v>
      </c>
      <c r="S41" s="123">
        <v>136.09054370584175</v>
      </c>
      <c r="T41" s="123">
        <v>136.09054370584175</v>
      </c>
      <c r="U41" s="73">
        <v>136.09054370584175</v>
      </c>
      <c r="V41" s="73">
        <v>136.09054370584175</v>
      </c>
      <c r="W41" s="73">
        <v>136.09054370584175</v>
      </c>
      <c r="X41" s="73">
        <v>136.09054370584175</v>
      </c>
      <c r="Y41" s="124">
        <v>136.09054370584175</v>
      </c>
      <c r="Z41" s="123">
        <v>136.09054370584175</v>
      </c>
      <c r="AA41" s="123">
        <v>136.09054370584175</v>
      </c>
      <c r="AB41" s="123">
        <v>136.09054370584175</v>
      </c>
      <c r="AC41" s="123">
        <v>136.09054370584175</v>
      </c>
      <c r="AD41" s="123">
        <v>136.09054370584175</v>
      </c>
      <c r="AE41" s="123">
        <v>136.09054370584175</v>
      </c>
      <c r="AF41" s="123">
        <v>136.09054370584175</v>
      </c>
      <c r="AG41" s="123">
        <v>136.09054370584175</v>
      </c>
      <c r="AH41" s="123">
        <v>136.09054370584175</v>
      </c>
      <c r="AI41" s="123">
        <v>136.09054370584175</v>
      </c>
      <c r="AJ41" s="123">
        <v>136.09054370584175</v>
      </c>
      <c r="AK41" s="123">
        <v>136.09054370584175</v>
      </c>
      <c r="AL41" s="123">
        <v>136.09054370584175</v>
      </c>
      <c r="AM41" s="123">
        <v>136.09054370584175</v>
      </c>
      <c r="AN41" s="123">
        <v>136.09054370584175</v>
      </c>
      <c r="AO41" s="123">
        <v>136.09054370584175</v>
      </c>
      <c r="AP41" s="123">
        <v>136.09054370584175</v>
      </c>
      <c r="AQ41" s="123">
        <v>136.09054370584175</v>
      </c>
      <c r="AR41" s="123">
        <v>136.09054370584175</v>
      </c>
      <c r="AS41" s="123">
        <v>136.09054370584175</v>
      </c>
      <c r="AT41" s="123">
        <v>136.09054370584175</v>
      </c>
      <c r="AU41" s="123">
        <v>136.09054370584175</v>
      </c>
      <c r="AV41" s="123">
        <v>136.09054370584175</v>
      </c>
      <c r="AW41" s="123">
        <v>136.09054370584175</v>
      </c>
      <c r="AX41" s="700">
        <v>136.09054370584175</v>
      </c>
      <c r="AY41" s="700">
        <v>136.09054370584175</v>
      </c>
      <c r="AZ41" s="700">
        <v>136.09054370584175</v>
      </c>
      <c r="BA41" s="700">
        <v>136.09054370584175</v>
      </c>
      <c r="BB41" s="700">
        <v>136.09054370584175</v>
      </c>
      <c r="BC41" s="700">
        <v>136.09054370584175</v>
      </c>
      <c r="BD41" s="700">
        <v>136.09054370584175</v>
      </c>
      <c r="BE41" s="731"/>
      <c r="BF41" s="731"/>
      <c r="BG41" s="731"/>
      <c r="BH41" s="731"/>
      <c r="BI41" s="731"/>
      <c r="BJ41" s="731"/>
      <c r="BK41" s="731"/>
      <c r="BL41" s="648">
        <f>AVERAGE(AL41:AW41)</f>
        <v>136.09054370584178</v>
      </c>
      <c r="BM41" s="648">
        <f t="shared" si="0"/>
        <v>136.09054370584178</v>
      </c>
      <c r="BN41" s="718">
        <f t="shared" si="1"/>
        <v>0</v>
      </c>
    </row>
    <row r="42" spans="1:82">
      <c r="A42" s="81" t="s">
        <v>106</v>
      </c>
      <c r="B42" s="125">
        <v>136.09054370584175</v>
      </c>
      <c r="C42" s="126">
        <v>136.09054370584175</v>
      </c>
      <c r="D42" s="126">
        <v>136.09054370584175</v>
      </c>
      <c r="E42" s="126">
        <v>136.09054370584175</v>
      </c>
      <c r="F42" s="126">
        <v>136.09054370584175</v>
      </c>
      <c r="G42" s="126">
        <v>136.09054370584175</v>
      </c>
      <c r="H42" s="126">
        <v>136.09054370584175</v>
      </c>
      <c r="I42" s="126">
        <v>136.09054370584175</v>
      </c>
      <c r="J42" s="126">
        <v>136.09054370584175</v>
      </c>
      <c r="K42" s="126">
        <v>136.09054370584175</v>
      </c>
      <c r="L42" s="126">
        <v>136.09054370584175</v>
      </c>
      <c r="M42" s="127">
        <v>136.09054370584175</v>
      </c>
      <c r="N42" s="125">
        <v>136.09054370584175</v>
      </c>
      <c r="O42" s="126">
        <v>136.09054370584175</v>
      </c>
      <c r="P42" s="126">
        <v>136.09054370584175</v>
      </c>
      <c r="Q42" s="126">
        <v>136.09054370584175</v>
      </c>
      <c r="R42" s="126">
        <v>136.09054370584175</v>
      </c>
      <c r="S42" s="126">
        <v>136.09054370584175</v>
      </c>
      <c r="T42" s="126">
        <v>136.09054370584175</v>
      </c>
      <c r="U42" s="74">
        <v>136.09054370584175</v>
      </c>
      <c r="V42" s="74">
        <v>136.09054370584175</v>
      </c>
      <c r="W42" s="74">
        <v>136.09054370584175</v>
      </c>
      <c r="X42" s="74">
        <v>136.09054370584175</v>
      </c>
      <c r="Y42" s="127">
        <v>136.09054370584175</v>
      </c>
      <c r="Z42" s="126">
        <v>136.09054370584175</v>
      </c>
      <c r="AA42" s="126">
        <v>136.09054370584175</v>
      </c>
      <c r="AB42" s="126">
        <v>136.09054370584175</v>
      </c>
      <c r="AC42" s="126">
        <v>136.09054370584175</v>
      </c>
      <c r="AD42" s="126">
        <v>136.09054370584175</v>
      </c>
      <c r="AE42" s="126">
        <v>136.09054370584175</v>
      </c>
      <c r="AF42" s="126">
        <v>136.09054370584175</v>
      </c>
      <c r="AG42" s="126">
        <v>136.09054370584175</v>
      </c>
      <c r="AH42" s="126">
        <v>136.09054370584175</v>
      </c>
      <c r="AI42" s="126">
        <v>136.09054370584175</v>
      </c>
      <c r="AJ42" s="126">
        <v>136.09054370584175</v>
      </c>
      <c r="AK42" s="126">
        <v>136.09054370584175</v>
      </c>
      <c r="AL42" s="126">
        <v>136.09054370584175</v>
      </c>
      <c r="AM42" s="126">
        <v>136.09054370584175</v>
      </c>
      <c r="AN42" s="126">
        <v>136.09054370584175</v>
      </c>
      <c r="AO42" s="126">
        <v>136.09054370584175</v>
      </c>
      <c r="AP42" s="126">
        <v>136.09054370584175</v>
      </c>
      <c r="AQ42" s="126">
        <v>136.09054370584175</v>
      </c>
      <c r="AR42" s="126">
        <v>136.09054370584175</v>
      </c>
      <c r="AS42" s="126">
        <v>136.09054370584175</v>
      </c>
      <c r="AT42" s="126">
        <v>136.09054370584175</v>
      </c>
      <c r="AU42" s="126">
        <v>136.09054370584175</v>
      </c>
      <c r="AV42" s="126">
        <v>136.09054370584175</v>
      </c>
      <c r="AW42" s="126">
        <v>136.09054370584175</v>
      </c>
      <c r="AX42" s="701">
        <v>136.09054370584175</v>
      </c>
      <c r="AY42" s="701">
        <v>136.09054370584175</v>
      </c>
      <c r="AZ42" s="701">
        <v>136.09054370584175</v>
      </c>
      <c r="BA42" s="701">
        <v>136.09054370584175</v>
      </c>
      <c r="BB42" s="701">
        <v>136.09054370584175</v>
      </c>
      <c r="BC42" s="701">
        <v>136.09054370584175</v>
      </c>
      <c r="BD42" s="701">
        <v>136.09054370584175</v>
      </c>
      <c r="BE42" s="732"/>
      <c r="BF42" s="732"/>
      <c r="BG42" s="732"/>
      <c r="BH42" s="732"/>
      <c r="BI42" s="732"/>
      <c r="BJ42" s="732"/>
      <c r="BK42" s="732"/>
      <c r="BL42" s="648">
        <f>AVERAGE(AL42:AW42)</f>
        <v>136.09054370584178</v>
      </c>
      <c r="BM42" s="648">
        <f t="shared" si="0"/>
        <v>136.09054370584178</v>
      </c>
      <c r="BN42" s="718">
        <f t="shared" si="1"/>
        <v>0</v>
      </c>
    </row>
    <row r="43" spans="1:82">
      <c r="A43" s="83" t="s">
        <v>107</v>
      </c>
      <c r="B43" s="128">
        <v>136.09054370584175</v>
      </c>
      <c r="C43" s="129">
        <v>136.09054370584175</v>
      </c>
      <c r="D43" s="129">
        <v>136.09054370584175</v>
      </c>
      <c r="E43" s="129">
        <v>136.09054370584175</v>
      </c>
      <c r="F43" s="129">
        <v>136.09054370584175</v>
      </c>
      <c r="G43" s="129">
        <v>136.09054370584175</v>
      </c>
      <c r="H43" s="129">
        <v>136.09054370584175</v>
      </c>
      <c r="I43" s="129">
        <v>136.09054370584175</v>
      </c>
      <c r="J43" s="129">
        <v>136.09054370584175</v>
      </c>
      <c r="K43" s="129">
        <v>136.09054370584175</v>
      </c>
      <c r="L43" s="129">
        <v>136.09054370584175</v>
      </c>
      <c r="M43" s="130">
        <v>136.09054370584175</v>
      </c>
      <c r="N43" s="128">
        <v>136.09054370584175</v>
      </c>
      <c r="O43" s="129">
        <v>136.09054370584175</v>
      </c>
      <c r="P43" s="129">
        <v>136.09054370584175</v>
      </c>
      <c r="Q43" s="129">
        <v>136.09054370584175</v>
      </c>
      <c r="R43" s="129">
        <v>136.09054370584175</v>
      </c>
      <c r="S43" s="129">
        <v>136.09054370584175</v>
      </c>
      <c r="T43" s="129">
        <v>136.09054370584175</v>
      </c>
      <c r="U43" s="75">
        <v>136.09054370584175</v>
      </c>
      <c r="V43" s="75">
        <v>136.09054370584175</v>
      </c>
      <c r="W43" s="75">
        <v>136.09054370584175</v>
      </c>
      <c r="X43" s="75">
        <v>136.09054370584175</v>
      </c>
      <c r="Y43" s="130">
        <v>136.09054370584175</v>
      </c>
      <c r="Z43" s="129">
        <v>136.09054370584175</v>
      </c>
      <c r="AA43" s="129">
        <v>136.09054370584175</v>
      </c>
      <c r="AB43" s="129">
        <v>136.09054370584175</v>
      </c>
      <c r="AC43" s="129">
        <v>136.09054370584175</v>
      </c>
      <c r="AD43" s="129">
        <v>136.09054370584175</v>
      </c>
      <c r="AE43" s="129">
        <v>136.09054370584175</v>
      </c>
      <c r="AF43" s="129">
        <v>136.09054370584175</v>
      </c>
      <c r="AG43" s="129">
        <v>136.09054370584175</v>
      </c>
      <c r="AH43" s="129">
        <v>136.09054370584175</v>
      </c>
      <c r="AI43" s="129">
        <v>136.09054370584175</v>
      </c>
      <c r="AJ43" s="129">
        <v>136.09054370584175</v>
      </c>
      <c r="AK43" s="129">
        <v>136.09054370584175</v>
      </c>
      <c r="AL43" s="129">
        <v>136.09054370584175</v>
      </c>
      <c r="AM43" s="129">
        <v>136.09054370584175</v>
      </c>
      <c r="AN43" s="129">
        <v>136.09054370584175</v>
      </c>
      <c r="AO43" s="129">
        <v>136.09054370584175</v>
      </c>
      <c r="AP43" s="129">
        <v>136.09054370584175</v>
      </c>
      <c r="AQ43" s="129">
        <v>136.09054370584175</v>
      </c>
      <c r="AR43" s="129">
        <v>136.09054370584175</v>
      </c>
      <c r="AS43" s="129">
        <v>136.09054370584175</v>
      </c>
      <c r="AT43" s="129">
        <v>136.09054370584175</v>
      </c>
      <c r="AU43" s="129">
        <v>136.09054370584175</v>
      </c>
      <c r="AV43" s="129">
        <v>136.09054370584175</v>
      </c>
      <c r="AW43" s="129">
        <v>136.09054370584175</v>
      </c>
      <c r="AX43" s="702">
        <v>136.09054370584175</v>
      </c>
      <c r="AY43" s="702">
        <v>136.09054370584175</v>
      </c>
      <c r="AZ43" s="702">
        <v>136.09054370584175</v>
      </c>
      <c r="BA43" s="702">
        <v>136.09054370584175</v>
      </c>
      <c r="BB43" s="702">
        <v>136.09054370584175</v>
      </c>
      <c r="BC43" s="702">
        <v>136.09054370584175</v>
      </c>
      <c r="BD43" s="702">
        <v>136.09054370584175</v>
      </c>
      <c r="BE43" s="733"/>
      <c r="BF43" s="733"/>
      <c r="BG43" s="733"/>
      <c r="BH43" s="733"/>
      <c r="BI43" s="733"/>
      <c r="BJ43" s="733"/>
      <c r="BK43" s="733"/>
      <c r="BL43" s="648">
        <f>AVERAGE(AL43:AW43)</f>
        <v>136.09054370584178</v>
      </c>
      <c r="BM43" s="648">
        <f t="shared" si="0"/>
        <v>136.09054370584178</v>
      </c>
      <c r="BN43" s="718">
        <f t="shared" si="1"/>
        <v>0</v>
      </c>
    </row>
    <row r="44" spans="1:82">
      <c r="A44" s="80" t="s">
        <v>108</v>
      </c>
      <c r="B44" s="122">
        <v>89.3</v>
      </c>
      <c r="C44" s="123">
        <v>89.3</v>
      </c>
      <c r="D44" s="123">
        <v>93.2</v>
      </c>
      <c r="E44" s="123">
        <v>93.6</v>
      </c>
      <c r="F44" s="123">
        <v>93.9</v>
      </c>
      <c r="G44" s="123">
        <v>93.9</v>
      </c>
      <c r="H44" s="123">
        <v>93.9</v>
      </c>
      <c r="I44" s="123">
        <v>93.9</v>
      </c>
      <c r="J44" s="123">
        <v>93.9</v>
      </c>
      <c r="K44" s="123">
        <v>93.9</v>
      </c>
      <c r="L44" s="123">
        <v>93.9</v>
      </c>
      <c r="M44" s="124">
        <v>93.9</v>
      </c>
      <c r="N44" s="122">
        <v>93.9</v>
      </c>
      <c r="O44" s="123">
        <v>93.9</v>
      </c>
      <c r="P44" s="123">
        <v>93.9</v>
      </c>
      <c r="Q44" s="123">
        <v>93.9</v>
      </c>
      <c r="R44" s="123">
        <v>93.9</v>
      </c>
      <c r="S44" s="123">
        <v>93.9</v>
      </c>
      <c r="T44" s="123">
        <v>93.9</v>
      </c>
      <c r="U44" s="73">
        <v>93.9</v>
      </c>
      <c r="V44" s="73">
        <v>93.9</v>
      </c>
      <c r="W44" s="73">
        <v>93.9</v>
      </c>
      <c r="X44" s="73">
        <v>93.9</v>
      </c>
      <c r="Y44" s="124">
        <v>93.9</v>
      </c>
      <c r="Z44" s="123">
        <v>93.9</v>
      </c>
      <c r="AA44" s="123">
        <v>93.9</v>
      </c>
      <c r="AB44" s="123">
        <v>93.9</v>
      </c>
      <c r="AC44" s="123">
        <v>93.9</v>
      </c>
      <c r="AD44" s="123">
        <v>93.9</v>
      </c>
      <c r="AE44" s="123">
        <v>93.9</v>
      </c>
      <c r="AF44" s="123">
        <v>93.9</v>
      </c>
      <c r="AG44" s="123">
        <v>93.9</v>
      </c>
      <c r="AH44" s="123">
        <v>93.9</v>
      </c>
      <c r="AI44" s="123">
        <v>93.9</v>
      </c>
      <c r="AJ44" s="123">
        <v>93.9</v>
      </c>
      <c r="AK44" s="123">
        <v>93.9</v>
      </c>
      <c r="AL44" s="123">
        <v>93.9</v>
      </c>
      <c r="AM44" s="123">
        <v>93.9</v>
      </c>
      <c r="AN44" s="123">
        <v>98.8</v>
      </c>
      <c r="AO44" s="123">
        <v>98.8</v>
      </c>
      <c r="AP44" s="123">
        <v>101.8</v>
      </c>
      <c r="AQ44" s="123">
        <v>101.8</v>
      </c>
      <c r="AR44" s="123">
        <v>101.8</v>
      </c>
      <c r="AS44" s="123">
        <v>101.8</v>
      </c>
      <c r="AT44" s="123">
        <v>101.8</v>
      </c>
      <c r="AU44" s="123">
        <v>101.8</v>
      </c>
      <c r="AV44" s="123">
        <v>101.8</v>
      </c>
      <c r="AW44" s="123">
        <v>101.8</v>
      </c>
      <c r="AX44" s="700">
        <v>101.8</v>
      </c>
      <c r="AY44" s="700">
        <v>101.8</v>
      </c>
      <c r="AZ44" s="700">
        <v>101.8</v>
      </c>
      <c r="BA44" s="700">
        <v>101.8</v>
      </c>
      <c r="BB44" s="700">
        <v>101.8</v>
      </c>
      <c r="BC44" s="700">
        <v>101.8</v>
      </c>
      <c r="BD44" s="700">
        <v>101.8</v>
      </c>
      <c r="BE44" s="731">
        <v>104.3</v>
      </c>
      <c r="BF44" s="731">
        <v>104.3</v>
      </c>
      <c r="BG44" s="731">
        <v>104.3</v>
      </c>
      <c r="BH44" s="731">
        <v>104.3</v>
      </c>
      <c r="BI44" s="731">
        <v>104.3</v>
      </c>
      <c r="BJ44" s="731"/>
      <c r="BK44" s="731"/>
      <c r="BL44" s="648">
        <f>AVERAGE(AL44:AW44)</f>
        <v>99.983333333333306</v>
      </c>
      <c r="BM44" s="648">
        <f t="shared" si="0"/>
        <v>102.84166666666664</v>
      </c>
      <c r="BN44" s="718">
        <f t="shared" si="1"/>
        <v>2.8588098016335994E-2</v>
      </c>
    </row>
    <row r="45" spans="1:82">
      <c r="A45" s="81" t="s">
        <v>109</v>
      </c>
      <c r="B45" s="125">
        <v>101.03373599637952</v>
      </c>
      <c r="C45" s="126">
        <v>101.03373599637952</v>
      </c>
      <c r="D45" s="126">
        <v>105.40497685900321</v>
      </c>
      <c r="E45" s="126">
        <v>105.85577578870917</v>
      </c>
      <c r="F45" s="126">
        <v>106.2110889740907</v>
      </c>
      <c r="G45" s="126">
        <v>106.2110889740907</v>
      </c>
      <c r="H45" s="126">
        <v>106.2110889740907</v>
      </c>
      <c r="I45" s="126">
        <v>106.2110889740907</v>
      </c>
      <c r="J45" s="126">
        <v>106.2110889740907</v>
      </c>
      <c r="K45" s="126">
        <v>106.2110889740907</v>
      </c>
      <c r="L45" s="126">
        <v>106.2110889740907</v>
      </c>
      <c r="M45" s="127">
        <v>106.2110889740907</v>
      </c>
      <c r="N45" s="125">
        <v>106.2110889740907</v>
      </c>
      <c r="O45" s="126">
        <v>106.2110889740907</v>
      </c>
      <c r="P45" s="126">
        <v>106.2110889740907</v>
      </c>
      <c r="Q45" s="126">
        <v>106.2110889740907</v>
      </c>
      <c r="R45" s="126">
        <v>106.2110889740907</v>
      </c>
      <c r="S45" s="126">
        <v>106.2110889740907</v>
      </c>
      <c r="T45" s="126">
        <v>106.2110889740907</v>
      </c>
      <c r="U45" s="74">
        <v>106.2110889740907</v>
      </c>
      <c r="V45" s="74">
        <v>106.2110889740907</v>
      </c>
      <c r="W45" s="74">
        <v>106.2110889740907</v>
      </c>
      <c r="X45" s="74">
        <v>106.2110889740907</v>
      </c>
      <c r="Y45" s="127">
        <v>106.2110889740907</v>
      </c>
      <c r="Z45" s="126">
        <v>106.2110889740907</v>
      </c>
      <c r="AA45" s="126">
        <v>106.2110889740907</v>
      </c>
      <c r="AB45" s="126">
        <v>106.2110889740907</v>
      </c>
      <c r="AC45" s="126">
        <v>106.2110889740907</v>
      </c>
      <c r="AD45" s="126">
        <v>106.2110889740907</v>
      </c>
      <c r="AE45" s="126">
        <v>106.2110889740907</v>
      </c>
      <c r="AF45" s="126">
        <v>106.2110889740907</v>
      </c>
      <c r="AG45" s="126">
        <v>106.2110889740907</v>
      </c>
      <c r="AH45" s="126">
        <v>106.2110889740907</v>
      </c>
      <c r="AI45" s="126">
        <v>106.2110889740907</v>
      </c>
      <c r="AJ45" s="126">
        <v>106.2110889740907</v>
      </c>
      <c r="AK45" s="126">
        <v>106.2110889740907</v>
      </c>
      <c r="AL45" s="126">
        <v>106.2110889740907</v>
      </c>
      <c r="AM45" s="126">
        <v>106.2110889740907</v>
      </c>
      <c r="AN45" s="126">
        <v>111.77783690055479</v>
      </c>
      <c r="AO45" s="126">
        <v>111.77783690055479</v>
      </c>
      <c r="AP45" s="126">
        <v>115.12426982849331</v>
      </c>
      <c r="AQ45" s="126">
        <v>115.12426982849331</v>
      </c>
      <c r="AR45" s="126">
        <v>115.12426982849331</v>
      </c>
      <c r="AS45" s="126">
        <v>115.12426982849331</v>
      </c>
      <c r="AT45" s="126">
        <v>115.12426982849331</v>
      </c>
      <c r="AU45" s="126">
        <v>115.12426982849331</v>
      </c>
      <c r="AV45" s="126">
        <v>115.12426982849331</v>
      </c>
      <c r="AW45" s="126">
        <v>115.12426982849331</v>
      </c>
      <c r="AX45" s="701">
        <v>115.12426982849331</v>
      </c>
      <c r="AY45" s="701">
        <v>115.12426982849331</v>
      </c>
      <c r="AZ45" s="701">
        <v>115.12426982849331</v>
      </c>
      <c r="BA45" s="701">
        <v>115.12426982849331</v>
      </c>
      <c r="BB45" s="701">
        <v>115.12426982849331</v>
      </c>
      <c r="BC45" s="701">
        <v>115.12426982849331</v>
      </c>
      <c r="BD45" s="701">
        <v>115.12426982849331</v>
      </c>
      <c r="BE45" s="732"/>
      <c r="BF45" s="732"/>
      <c r="BG45" s="732"/>
      <c r="BH45" s="732"/>
      <c r="BI45" s="732"/>
      <c r="BJ45" s="732"/>
      <c r="BK45" s="732"/>
      <c r="BL45" s="648">
        <f>AVERAGE(AL45:AW45)</f>
        <v>113.08100086476979</v>
      </c>
      <c r="BM45" s="648">
        <f t="shared" si="0"/>
        <v>115.12426982849331</v>
      </c>
      <c r="BN45" s="718">
        <f t="shared" si="1"/>
        <v>1.8069073921330059E-2</v>
      </c>
    </row>
    <row r="46" spans="1:82">
      <c r="A46" s="83" t="s">
        <v>110</v>
      </c>
      <c r="B46" s="128">
        <v>101.03373599637952</v>
      </c>
      <c r="C46" s="129">
        <v>101.03373599637952</v>
      </c>
      <c r="D46" s="129">
        <v>105.40497685900321</v>
      </c>
      <c r="E46" s="129">
        <v>105.85577578870917</v>
      </c>
      <c r="F46" s="129">
        <v>106.2110889740907</v>
      </c>
      <c r="G46" s="129">
        <v>106.2110889740907</v>
      </c>
      <c r="H46" s="129">
        <v>106.2110889740907</v>
      </c>
      <c r="I46" s="129">
        <v>106.2110889740907</v>
      </c>
      <c r="J46" s="129">
        <v>106.2110889740907</v>
      </c>
      <c r="K46" s="129">
        <v>106.2110889740907</v>
      </c>
      <c r="L46" s="129">
        <v>106.2110889740907</v>
      </c>
      <c r="M46" s="130">
        <v>106.2110889740907</v>
      </c>
      <c r="N46" s="128">
        <v>106.2110889740907</v>
      </c>
      <c r="O46" s="129">
        <v>106.2110889740907</v>
      </c>
      <c r="P46" s="129">
        <v>106.2110889740907</v>
      </c>
      <c r="Q46" s="129">
        <v>106.2110889740907</v>
      </c>
      <c r="R46" s="129">
        <v>106.2110889740907</v>
      </c>
      <c r="S46" s="129">
        <v>106.2110889740907</v>
      </c>
      <c r="T46" s="129">
        <v>106.2110889740907</v>
      </c>
      <c r="U46" s="75">
        <v>106.2110889740907</v>
      </c>
      <c r="V46" s="75">
        <v>106.2110889740907</v>
      </c>
      <c r="W46" s="75">
        <v>106.2110889740907</v>
      </c>
      <c r="X46" s="75">
        <v>106.2110889740907</v>
      </c>
      <c r="Y46" s="130">
        <v>106.2110889740907</v>
      </c>
      <c r="Z46" s="129">
        <v>106.2110889740907</v>
      </c>
      <c r="AA46" s="129">
        <v>106.2110889740907</v>
      </c>
      <c r="AB46" s="129">
        <v>106.2110889740907</v>
      </c>
      <c r="AC46" s="129">
        <v>106.2110889740907</v>
      </c>
      <c r="AD46" s="129">
        <v>106.2110889740907</v>
      </c>
      <c r="AE46" s="129">
        <v>106.2110889740907</v>
      </c>
      <c r="AF46" s="129">
        <v>106.2110889740907</v>
      </c>
      <c r="AG46" s="129">
        <v>106.2110889740907</v>
      </c>
      <c r="AH46" s="129">
        <v>106.2110889740907</v>
      </c>
      <c r="AI46" s="129">
        <v>106.2110889740907</v>
      </c>
      <c r="AJ46" s="129">
        <v>106.2110889740907</v>
      </c>
      <c r="AK46" s="129">
        <v>106.2110889740907</v>
      </c>
      <c r="AL46" s="129">
        <v>106.2110889740907</v>
      </c>
      <c r="AM46" s="129">
        <v>106.2110889740907</v>
      </c>
      <c r="AN46" s="129">
        <v>111.77783690055479</v>
      </c>
      <c r="AO46" s="129">
        <v>111.77783690055479</v>
      </c>
      <c r="AP46" s="129">
        <v>115.12426982849331</v>
      </c>
      <c r="AQ46" s="129">
        <v>115.12426982849331</v>
      </c>
      <c r="AR46" s="129">
        <v>115.12426982849331</v>
      </c>
      <c r="AS46" s="129">
        <v>115.12426982849331</v>
      </c>
      <c r="AT46" s="129">
        <v>115.12426982849331</v>
      </c>
      <c r="AU46" s="129">
        <v>115.12426982849331</v>
      </c>
      <c r="AV46" s="129">
        <v>115.12426982849331</v>
      </c>
      <c r="AW46" s="129">
        <v>115.12426982849331</v>
      </c>
      <c r="AX46" s="702">
        <v>115.12426982849331</v>
      </c>
      <c r="AY46" s="702">
        <v>115.12426982849331</v>
      </c>
      <c r="AZ46" s="702">
        <v>115.12426982849331</v>
      </c>
      <c r="BA46" s="702">
        <v>115.12426982849331</v>
      </c>
      <c r="BB46" s="702">
        <v>115.12426982849331</v>
      </c>
      <c r="BC46" s="702">
        <v>115.12426982849331</v>
      </c>
      <c r="BD46" s="702">
        <v>115.12426982849331</v>
      </c>
      <c r="BE46" s="733"/>
      <c r="BF46" s="733"/>
      <c r="BG46" s="733"/>
      <c r="BH46" s="733"/>
      <c r="BI46" s="733"/>
      <c r="BJ46" s="733"/>
      <c r="BK46" s="733"/>
      <c r="BL46" s="648">
        <f>AVERAGE(AL46:AW46)</f>
        <v>113.08100086476979</v>
      </c>
      <c r="BM46" s="648">
        <f t="shared" si="0"/>
        <v>115.12426982849331</v>
      </c>
      <c r="BN46" s="718">
        <f t="shared" si="1"/>
        <v>1.8069073921330059E-2</v>
      </c>
    </row>
    <row r="47" spans="1:82">
      <c r="A47" s="80" t="s">
        <v>111</v>
      </c>
      <c r="B47" s="122">
        <v>63.4</v>
      </c>
      <c r="C47" s="123">
        <v>63.4</v>
      </c>
      <c r="D47" s="123">
        <v>63.4</v>
      </c>
      <c r="E47" s="123">
        <v>69</v>
      </c>
      <c r="F47" s="123">
        <v>69.2</v>
      </c>
      <c r="G47" s="123">
        <v>69.2</v>
      </c>
      <c r="H47" s="123">
        <v>72.3</v>
      </c>
      <c r="I47" s="123">
        <v>71.7</v>
      </c>
      <c r="J47" s="123">
        <v>72.599999999999994</v>
      </c>
      <c r="K47" s="123">
        <v>73.5</v>
      </c>
      <c r="L47" s="123">
        <v>73.5</v>
      </c>
      <c r="M47" s="124">
        <v>73.5</v>
      </c>
      <c r="N47" s="122">
        <v>73.5</v>
      </c>
      <c r="O47" s="123">
        <v>77.8</v>
      </c>
      <c r="P47" s="123">
        <v>77.7</v>
      </c>
      <c r="Q47" s="123">
        <v>81.599999999999994</v>
      </c>
      <c r="R47" s="123">
        <v>85.5</v>
      </c>
      <c r="S47" s="123">
        <v>85.8</v>
      </c>
      <c r="T47" s="123">
        <v>87.7</v>
      </c>
      <c r="U47" s="73">
        <v>90</v>
      </c>
      <c r="V47" s="73">
        <v>90.1</v>
      </c>
      <c r="W47" s="73">
        <v>90.2</v>
      </c>
      <c r="X47" s="73">
        <v>90.4</v>
      </c>
      <c r="Y47" s="124">
        <v>90.4</v>
      </c>
      <c r="Z47" s="123">
        <v>96.7</v>
      </c>
      <c r="AA47" s="123">
        <v>96.6</v>
      </c>
      <c r="AB47" s="123">
        <v>95.9</v>
      </c>
      <c r="AC47" s="123">
        <v>96.5</v>
      </c>
      <c r="AD47" s="123">
        <v>96.6</v>
      </c>
      <c r="AE47" s="123">
        <v>96.7</v>
      </c>
      <c r="AF47" s="123">
        <v>96.7</v>
      </c>
      <c r="AG47" s="123">
        <v>96.1</v>
      </c>
      <c r="AH47" s="123">
        <v>96.3</v>
      </c>
      <c r="AI47" s="123">
        <v>98.1</v>
      </c>
      <c r="AJ47" s="123">
        <v>97.4</v>
      </c>
      <c r="AK47" s="123">
        <v>97.5</v>
      </c>
      <c r="AL47" s="123">
        <v>98.4</v>
      </c>
      <c r="AM47" s="123">
        <v>99.9</v>
      </c>
      <c r="AN47" s="123">
        <v>98.4</v>
      </c>
      <c r="AO47" s="123">
        <v>98.5</v>
      </c>
      <c r="AP47" s="123">
        <v>100</v>
      </c>
      <c r="AQ47" s="123">
        <v>100.1</v>
      </c>
      <c r="AR47" s="123">
        <v>99.3</v>
      </c>
      <c r="AS47" s="123">
        <v>99.4</v>
      </c>
      <c r="AT47" s="123">
        <v>100.3</v>
      </c>
      <c r="AU47" s="123">
        <v>101.8</v>
      </c>
      <c r="AV47" s="123">
        <v>101.9</v>
      </c>
      <c r="AW47" s="123">
        <v>102</v>
      </c>
      <c r="AX47" s="700">
        <v>104.6</v>
      </c>
      <c r="AY47" s="700">
        <v>104.7</v>
      </c>
      <c r="AZ47" s="704">
        <v>105.3</v>
      </c>
      <c r="BA47" s="700">
        <v>106.5</v>
      </c>
      <c r="BB47" s="700">
        <v>106.4</v>
      </c>
      <c r="BC47" s="700">
        <v>106.4</v>
      </c>
      <c r="BD47" s="700">
        <v>110</v>
      </c>
      <c r="BE47" s="731">
        <v>110</v>
      </c>
      <c r="BF47" s="731">
        <v>110</v>
      </c>
      <c r="BG47" s="731">
        <v>110.6</v>
      </c>
      <c r="BH47" s="731">
        <v>109.5</v>
      </c>
      <c r="BI47" s="731">
        <v>100</v>
      </c>
      <c r="BJ47" s="731"/>
      <c r="BK47" s="731"/>
      <c r="BL47" s="648">
        <f>AVERAGE(AL47:AW47)</f>
        <v>100</v>
      </c>
      <c r="BM47" s="648">
        <f t="shared" si="0"/>
        <v>107</v>
      </c>
      <c r="BN47" s="718">
        <f t="shared" si="1"/>
        <v>7.0000000000000062E-2</v>
      </c>
    </row>
    <row r="48" spans="1:82">
      <c r="A48" s="81" t="s">
        <v>112</v>
      </c>
      <c r="B48" s="125">
        <v>135.34034459139485</v>
      </c>
      <c r="C48" s="126">
        <v>135.31126950146191</v>
      </c>
      <c r="D48" s="126">
        <v>135.39320287838626</v>
      </c>
      <c r="E48" s="126">
        <v>147.4061621741254</v>
      </c>
      <c r="F48" s="126">
        <v>147.64989627211006</v>
      </c>
      <c r="G48" s="126">
        <v>147.64989627211006</v>
      </c>
      <c r="H48" s="126">
        <v>154.35816146402834</v>
      </c>
      <c r="I48" s="126">
        <v>153.06934861993628</v>
      </c>
      <c r="J48" s="126">
        <v>154.98879571222744</v>
      </c>
      <c r="K48" s="126">
        <v>156.91214184303831</v>
      </c>
      <c r="L48" s="126">
        <v>157.00152199757875</v>
      </c>
      <c r="M48" s="127">
        <v>156.99059118368706</v>
      </c>
      <c r="N48" s="125">
        <v>156.99294777960506</v>
      </c>
      <c r="O48" s="126">
        <v>166.01991567674861</v>
      </c>
      <c r="P48" s="126">
        <v>166.00209357281685</v>
      </c>
      <c r="Q48" s="126">
        <v>174.27172506319121</v>
      </c>
      <c r="R48" s="126">
        <v>182.52913950700813</v>
      </c>
      <c r="S48" s="126">
        <v>183.23746258266678</v>
      </c>
      <c r="T48" s="126">
        <v>187.31034427117351</v>
      </c>
      <c r="U48" s="74">
        <v>192.06791887357215</v>
      </c>
      <c r="V48" s="74">
        <v>192.48102370672683</v>
      </c>
      <c r="W48" s="74">
        <v>192.55858939111178</v>
      </c>
      <c r="X48" s="74">
        <v>193.09784730343259</v>
      </c>
      <c r="Y48" s="127">
        <v>193.10168292303467</v>
      </c>
      <c r="Z48" s="126">
        <v>206.3782826528207</v>
      </c>
      <c r="AA48" s="126">
        <v>206.21254402863093</v>
      </c>
      <c r="AB48" s="126">
        <v>204.66082538217546</v>
      </c>
      <c r="AC48" s="126">
        <v>206.04005298698374</v>
      </c>
      <c r="AD48" s="126">
        <v>206.19532079842315</v>
      </c>
      <c r="AE48" s="126">
        <v>206.45644447355491</v>
      </c>
      <c r="AF48" s="126">
        <v>206.40728412450829</v>
      </c>
      <c r="AG48" s="126">
        <v>205.17571686572055</v>
      </c>
      <c r="AH48" s="126">
        <v>205.5331938522973</v>
      </c>
      <c r="AI48" s="126">
        <v>209.44394500093168</v>
      </c>
      <c r="AJ48" s="126">
        <v>207.97127094653871</v>
      </c>
      <c r="AK48" s="126">
        <v>208.13447800904666</v>
      </c>
      <c r="AL48" s="126">
        <v>210.05315691325541</v>
      </c>
      <c r="AM48" s="126">
        <v>213.39654087647429</v>
      </c>
      <c r="AN48" s="126">
        <v>210.1480428739832</v>
      </c>
      <c r="AO48" s="126">
        <v>210.30928555869934</v>
      </c>
      <c r="AP48" s="126">
        <v>213.49575388337078</v>
      </c>
      <c r="AQ48" s="126">
        <v>213.82481105713862</v>
      </c>
      <c r="AR48" s="126">
        <v>212.0913601332079</v>
      </c>
      <c r="AS48" s="126">
        <v>212.25013099574858</v>
      </c>
      <c r="AT48" s="126">
        <v>214.21847792093035</v>
      </c>
      <c r="AU48" s="126">
        <v>217.25681723725972</v>
      </c>
      <c r="AV48" s="126">
        <v>217.4992466283822</v>
      </c>
      <c r="AW48" s="126">
        <v>217.6954828919591</v>
      </c>
      <c r="AX48" s="701">
        <v>223.43429197270433</v>
      </c>
      <c r="AY48" s="701">
        <v>223.50437490210692</v>
      </c>
      <c r="AZ48" s="705">
        <v>224.86998127746475</v>
      </c>
      <c r="BA48" s="701">
        <v>227.37981049982187</v>
      </c>
      <c r="BB48" s="701">
        <v>227.25086096000265</v>
      </c>
      <c r="BC48" s="701">
        <v>227.27509578065909</v>
      </c>
      <c r="BD48" s="701">
        <v>234.84757061132547</v>
      </c>
      <c r="BE48" s="732"/>
      <c r="BF48" s="732"/>
      <c r="BG48" s="732"/>
      <c r="BH48" s="732"/>
      <c r="BI48" s="732"/>
      <c r="BJ48" s="732"/>
      <c r="BK48" s="732"/>
      <c r="BL48" s="648">
        <f>AVERAGE(AL48:AW48)</f>
        <v>213.51992558086746</v>
      </c>
      <c r="BM48" s="648">
        <f t="shared" si="0"/>
        <v>226.93742657201213</v>
      </c>
      <c r="BN48" s="718">
        <f t="shared" si="1"/>
        <v>6.2839573190385911E-2</v>
      </c>
    </row>
    <row r="49" spans="1:66">
      <c r="A49" s="83" t="s">
        <v>113</v>
      </c>
      <c r="B49" s="128">
        <v>128.47360644124137</v>
      </c>
      <c r="C49" s="129">
        <v>128.47360644124137</v>
      </c>
      <c r="D49" s="129">
        <v>128.47360644124137</v>
      </c>
      <c r="E49" s="129">
        <v>167.0536510930844</v>
      </c>
      <c r="F49" s="129">
        <v>167.0536510930844</v>
      </c>
      <c r="G49" s="129">
        <v>167.0536510930844</v>
      </c>
      <c r="H49" s="129">
        <v>174.26452056524323</v>
      </c>
      <c r="I49" s="129">
        <v>174.26452056524323</v>
      </c>
      <c r="J49" s="129">
        <v>174.26452056524323</v>
      </c>
      <c r="K49" s="129">
        <v>174.26452056524323</v>
      </c>
      <c r="L49" s="129">
        <v>174.26452056524323</v>
      </c>
      <c r="M49" s="130">
        <v>174.26452056524323</v>
      </c>
      <c r="N49" s="128">
        <v>174.26452056524323</v>
      </c>
      <c r="O49" s="129">
        <v>174.26452056524323</v>
      </c>
      <c r="P49" s="129">
        <v>174.26452056524323</v>
      </c>
      <c r="Q49" s="129">
        <v>174.26452056524323</v>
      </c>
      <c r="R49" s="129">
        <v>200.01254761952839</v>
      </c>
      <c r="S49" s="129">
        <v>201.84121948908148</v>
      </c>
      <c r="T49" s="129">
        <v>201.84121948908148</v>
      </c>
      <c r="U49" s="75">
        <v>215.323417536253</v>
      </c>
      <c r="V49" s="75">
        <v>215.323417536253</v>
      </c>
      <c r="W49" s="75">
        <v>215.323417536253</v>
      </c>
      <c r="X49" s="75">
        <v>215.323417536253</v>
      </c>
      <c r="Y49" s="130">
        <v>215.323417536253</v>
      </c>
      <c r="Z49" s="129">
        <v>245.21383820356616</v>
      </c>
      <c r="AA49" s="129">
        <v>245.21383820356616</v>
      </c>
      <c r="AB49" s="129">
        <v>245.21383820356616</v>
      </c>
      <c r="AC49" s="129">
        <v>245.21383820356616</v>
      </c>
      <c r="AD49" s="129">
        <v>245.21383820356616</v>
      </c>
      <c r="AE49" s="129">
        <v>245.21383820356616</v>
      </c>
      <c r="AF49" s="129">
        <v>245.21383820356616</v>
      </c>
      <c r="AG49" s="129">
        <v>245.21383820356616</v>
      </c>
      <c r="AH49" s="129">
        <v>245.21383820356616</v>
      </c>
      <c r="AI49" s="129">
        <v>245.21383820356616</v>
      </c>
      <c r="AJ49" s="129">
        <v>245.21383820356616</v>
      </c>
      <c r="AK49" s="129">
        <v>245.21383820356616</v>
      </c>
      <c r="AL49" s="129">
        <v>245.21383820356616</v>
      </c>
      <c r="AM49" s="129">
        <v>245.21383820356616</v>
      </c>
      <c r="AN49" s="129">
        <v>245.21383820356616</v>
      </c>
      <c r="AO49" s="129">
        <v>245.21383820356616</v>
      </c>
      <c r="AP49" s="129">
        <v>245.21383820356616</v>
      </c>
      <c r="AQ49" s="129">
        <v>245.21383820356616</v>
      </c>
      <c r="AR49" s="129">
        <v>245.21383820356616</v>
      </c>
      <c r="AS49" s="129">
        <v>245.21383820356616</v>
      </c>
      <c r="AT49" s="129">
        <v>245.21383820356616</v>
      </c>
      <c r="AU49" s="129">
        <v>245.21383820356616</v>
      </c>
      <c r="AV49" s="129">
        <v>245.21383820356616</v>
      </c>
      <c r="AW49" s="129">
        <v>245.21383820356616</v>
      </c>
      <c r="AX49" s="702">
        <v>245.21383820356616</v>
      </c>
      <c r="AY49" s="702">
        <v>245.21383820356616</v>
      </c>
      <c r="AZ49" s="702">
        <v>247.72425368258243</v>
      </c>
      <c r="BA49" s="702">
        <v>247.72425368258243</v>
      </c>
      <c r="BB49" s="702">
        <v>247.72425368258243</v>
      </c>
      <c r="BC49" s="702">
        <v>247.72425368258243</v>
      </c>
      <c r="BD49" s="702">
        <v>247.72425368258243</v>
      </c>
      <c r="BE49" s="733"/>
      <c r="BF49" s="733"/>
      <c r="BG49" s="733"/>
      <c r="BH49" s="733"/>
      <c r="BI49" s="733"/>
      <c r="BJ49" s="733"/>
      <c r="BK49" s="733"/>
      <c r="BL49" s="648">
        <f>AVERAGE(AL49:AW49)</f>
        <v>245.2138382035661</v>
      </c>
      <c r="BM49" s="648">
        <f t="shared" si="0"/>
        <v>247.0069921171492</v>
      </c>
      <c r="BN49" s="718">
        <f t="shared" si="1"/>
        <v>7.3126130512035648E-3</v>
      </c>
    </row>
    <row r="50" spans="1:66">
      <c r="A50" s="83" t="s">
        <v>114</v>
      </c>
      <c r="B50" s="128">
        <v>138.37306560442701</v>
      </c>
      <c r="C50" s="129">
        <v>138.37306560442701</v>
      </c>
      <c r="D50" s="129">
        <v>138.37306560442701</v>
      </c>
      <c r="E50" s="129">
        <v>139.48346401288637</v>
      </c>
      <c r="F50" s="129">
        <v>139.48346401288637</v>
      </c>
      <c r="G50" s="129">
        <v>139.48346401288637</v>
      </c>
      <c r="H50" s="129">
        <v>146.73024325502178</v>
      </c>
      <c r="I50" s="129">
        <v>146.73024325502178</v>
      </c>
      <c r="J50" s="129">
        <v>146.73024325502178</v>
      </c>
      <c r="K50" s="129">
        <v>149.99142352645305</v>
      </c>
      <c r="L50" s="129">
        <v>149.99142352645305</v>
      </c>
      <c r="M50" s="130">
        <v>149.99142352645305</v>
      </c>
      <c r="N50" s="128">
        <v>149.99142352645305</v>
      </c>
      <c r="O50" s="129">
        <v>165.1297517201015</v>
      </c>
      <c r="P50" s="129">
        <v>165.1297517201015</v>
      </c>
      <c r="Q50" s="129">
        <v>178.20520667260192</v>
      </c>
      <c r="R50" s="129">
        <v>178.20520667260192</v>
      </c>
      <c r="S50" s="129">
        <v>178.20520667260192</v>
      </c>
      <c r="T50" s="129">
        <v>185.69874245958277</v>
      </c>
      <c r="U50" s="75">
        <v>185.69874245958277</v>
      </c>
      <c r="V50" s="75">
        <v>185.69874245958277</v>
      </c>
      <c r="W50" s="75">
        <v>185.69874245958277</v>
      </c>
      <c r="X50" s="75">
        <v>186.36284001452793</v>
      </c>
      <c r="Y50" s="130">
        <v>186.36284001452793</v>
      </c>
      <c r="Z50" s="129">
        <v>186.36284001452793</v>
      </c>
      <c r="AA50" s="129">
        <v>185.7868577690968</v>
      </c>
      <c r="AB50" s="129">
        <v>185.7868577690968</v>
      </c>
      <c r="AC50" s="129">
        <v>185.7868577690968</v>
      </c>
      <c r="AD50" s="129">
        <v>185.7868577690968</v>
      </c>
      <c r="AE50" s="129">
        <v>185.7868577690968</v>
      </c>
      <c r="AF50" s="129">
        <v>185.7868577690968</v>
      </c>
      <c r="AG50" s="129">
        <v>182.6843210974049</v>
      </c>
      <c r="AH50" s="129">
        <v>182.6843210974049</v>
      </c>
      <c r="AI50" s="129">
        <v>190.13559366984231</v>
      </c>
      <c r="AJ50" s="129">
        <v>190.13559366984231</v>
      </c>
      <c r="AK50" s="129">
        <v>190.13559366984231</v>
      </c>
      <c r="AL50" s="129">
        <v>190.13559366984231</v>
      </c>
      <c r="AM50" s="129">
        <v>196.43744075775516</v>
      </c>
      <c r="AN50" s="129">
        <v>190.13559366984231</v>
      </c>
      <c r="AO50" s="129">
        <v>190.13559366984231</v>
      </c>
      <c r="AP50" s="129">
        <v>196.44662157595647</v>
      </c>
      <c r="AQ50" s="129">
        <v>196.44662157595647</v>
      </c>
      <c r="AR50" s="129">
        <v>196.85873967132983</v>
      </c>
      <c r="AS50" s="129">
        <v>196.85873967132983</v>
      </c>
      <c r="AT50" s="129">
        <v>196.85873967132983</v>
      </c>
      <c r="AU50" s="129">
        <v>201.86298762252034</v>
      </c>
      <c r="AV50" s="129">
        <v>201.86298762252034</v>
      </c>
      <c r="AW50" s="129">
        <v>201.86298762252034</v>
      </c>
      <c r="AX50" s="702">
        <v>211.99724443392208</v>
      </c>
      <c r="AY50" s="702">
        <v>211.99724443392208</v>
      </c>
      <c r="AZ50" s="702">
        <v>211.99724443392208</v>
      </c>
      <c r="BA50" s="702">
        <v>216.78363280431614</v>
      </c>
      <c r="BB50" s="702">
        <v>216.78309973539288</v>
      </c>
      <c r="BC50" s="702">
        <v>216.78309973539288</v>
      </c>
      <c r="BD50" s="702">
        <v>229.3716370015614</v>
      </c>
      <c r="BE50" s="733"/>
      <c r="BF50" s="733"/>
      <c r="BG50" s="733"/>
      <c r="BH50" s="733"/>
      <c r="BI50" s="733"/>
      <c r="BJ50" s="733"/>
      <c r="BK50" s="733"/>
      <c r="BL50" s="648">
        <f>AVERAGE(AL50:AW50)</f>
        <v>196.32522056672883</v>
      </c>
      <c r="BM50" s="648">
        <f t="shared" si="0"/>
        <v>216.53045751120422</v>
      </c>
      <c r="BN50" s="718">
        <f t="shared" si="1"/>
        <v>0.10291717429960978</v>
      </c>
    </row>
    <row r="51" spans="1:66">
      <c r="A51" s="83" t="s">
        <v>115</v>
      </c>
      <c r="B51" s="128">
        <v>135.13844177785469</v>
      </c>
      <c r="C51" s="129">
        <v>134.82080671808527</v>
      </c>
      <c r="D51" s="129">
        <v>135.71244804539324</v>
      </c>
      <c r="E51" s="129">
        <v>123.39868639836263</v>
      </c>
      <c r="F51" s="129">
        <v>127.16153563013808</v>
      </c>
      <c r="G51" s="129">
        <v>127.1615356301381</v>
      </c>
      <c r="H51" s="129">
        <v>127.1615356301381</v>
      </c>
      <c r="I51" s="129">
        <v>96.991379634298525</v>
      </c>
      <c r="J51" s="129">
        <v>136.79202542426191</v>
      </c>
      <c r="K51" s="129">
        <v>138.12016924877594</v>
      </c>
      <c r="L51" s="129">
        <v>139.37884278622133</v>
      </c>
      <c r="M51" s="130">
        <v>139.22621300155308</v>
      </c>
      <c r="N51" s="128">
        <v>139.25914885689747</v>
      </c>
      <c r="O51" s="129">
        <v>140.73469622887032</v>
      </c>
      <c r="P51" s="129">
        <v>140.45601820442371</v>
      </c>
      <c r="Q51" s="129">
        <v>140.88246784727289</v>
      </c>
      <c r="R51" s="129">
        <v>140.66609329372565</v>
      </c>
      <c r="S51" s="129">
        <v>141.98180345183582</v>
      </c>
      <c r="T51" s="129">
        <v>132.40702559931742</v>
      </c>
      <c r="U51" s="75">
        <v>132.40702559931742</v>
      </c>
      <c r="V51" s="75">
        <v>142.70965706538891</v>
      </c>
      <c r="W51" s="75">
        <v>144.40862290771364</v>
      </c>
      <c r="X51" s="75">
        <v>147.63847670543291</v>
      </c>
      <c r="Y51" s="130">
        <v>147.71652141782852</v>
      </c>
      <c r="Z51" s="129">
        <v>177.82591371512297</v>
      </c>
      <c r="AA51" s="129">
        <v>179.65325828747768</v>
      </c>
      <c r="AB51" s="129">
        <v>152.92603948030725</v>
      </c>
      <c r="AC51" s="129">
        <v>177.13211953840309</v>
      </c>
      <c r="AD51" s="129">
        <v>179.40500990242217</v>
      </c>
      <c r="AE51" s="129">
        <v>183.09168387900422</v>
      </c>
      <c r="AF51" s="129">
        <v>182.40979768971849</v>
      </c>
      <c r="AG51" s="129">
        <v>186.59579627628025</v>
      </c>
      <c r="AH51" s="129">
        <v>191.14078586578958</v>
      </c>
      <c r="AI51" s="129">
        <v>193.44633914292444</v>
      </c>
      <c r="AJ51" s="129">
        <v>172.50676824836776</v>
      </c>
      <c r="AK51" s="129">
        <v>175.11063532065322</v>
      </c>
      <c r="AL51" s="129">
        <v>200.87295819736033</v>
      </c>
      <c r="AM51" s="129">
        <v>201.95685266747881</v>
      </c>
      <c r="AN51" s="129">
        <v>201.98265658559231</v>
      </c>
      <c r="AO51" s="129">
        <v>203.84223354901459</v>
      </c>
      <c r="AP51" s="129">
        <v>203.08890527403443</v>
      </c>
      <c r="AQ51" s="129">
        <v>206.94341004909668</v>
      </c>
      <c r="AR51" s="129">
        <v>181.46475571830464</v>
      </c>
      <c r="AS51" s="129">
        <v>183.82952689035648</v>
      </c>
      <c r="AT51" s="129">
        <v>208.97904401579973</v>
      </c>
      <c r="AU51" s="129">
        <v>213.41672289315429</v>
      </c>
      <c r="AV51" s="129">
        <v>216.09815828424149</v>
      </c>
      <c r="AW51" s="129">
        <v>218.22488565778193</v>
      </c>
      <c r="AX51" s="702">
        <v>220.65682011353886</v>
      </c>
      <c r="AY51" s="702">
        <v>221.43283198518327</v>
      </c>
      <c r="AZ51" s="702">
        <v>226.70491734703774</v>
      </c>
      <c r="BA51" s="702">
        <v>225.07981833334517</v>
      </c>
      <c r="BB51" s="702">
        <v>223.64805150926759</v>
      </c>
      <c r="BC51" s="702">
        <v>223.91905801027886</v>
      </c>
      <c r="BD51" s="702">
        <v>227.56776898264494</v>
      </c>
      <c r="BE51" s="733"/>
      <c r="BF51" s="733"/>
      <c r="BG51" s="733"/>
      <c r="BH51" s="733"/>
      <c r="BI51" s="733"/>
      <c r="BJ51" s="733"/>
      <c r="BK51" s="733"/>
      <c r="BL51" s="648">
        <f>AVERAGE(AL51:AW51)</f>
        <v>203.39167581518464</v>
      </c>
      <c r="BM51" s="648">
        <f t="shared" si="0"/>
        <v>224.14418089732808</v>
      </c>
      <c r="BN51" s="718">
        <f t="shared" si="1"/>
        <v>0.10203222427352721</v>
      </c>
    </row>
    <row r="52" spans="1:66">
      <c r="A52" s="794" t="s">
        <v>116</v>
      </c>
      <c r="B52" s="122">
        <v>100.08294815718686</v>
      </c>
      <c r="C52" s="123">
        <v>100.08294815718686</v>
      </c>
      <c r="D52" s="123">
        <v>100.08294815718686</v>
      </c>
      <c r="E52" s="123">
        <v>100.08294815718686</v>
      </c>
      <c r="F52" s="123">
        <v>100.08294815718686</v>
      </c>
      <c r="G52" s="123">
        <v>100.08294815718686</v>
      </c>
      <c r="H52" s="123">
        <v>100.08294815718686</v>
      </c>
      <c r="I52" s="123">
        <v>100.08294815718686</v>
      </c>
      <c r="J52" s="123">
        <v>100.08294815718686</v>
      </c>
      <c r="K52" s="123">
        <v>100.08294815718686</v>
      </c>
      <c r="L52" s="123">
        <v>100.08294815718686</v>
      </c>
      <c r="M52" s="124">
        <v>100.08294815718686</v>
      </c>
      <c r="N52" s="122">
        <v>100.08294815718686</v>
      </c>
      <c r="O52" s="123">
        <v>100.08294815718686</v>
      </c>
      <c r="P52" s="123">
        <v>100.08294815718686</v>
      </c>
      <c r="Q52" s="123">
        <v>100.08294815718686</v>
      </c>
      <c r="R52" s="123">
        <v>100.08294815718686</v>
      </c>
      <c r="S52" s="123">
        <v>100.08294815718686</v>
      </c>
      <c r="T52" s="123">
        <v>100.08294815718686</v>
      </c>
      <c r="U52" s="73">
        <v>100.08294815718686</v>
      </c>
      <c r="V52" s="73">
        <v>100.08294815718686</v>
      </c>
      <c r="W52" s="73">
        <v>100.08294815718686</v>
      </c>
      <c r="X52" s="73">
        <v>100.08294815718686</v>
      </c>
      <c r="Y52" s="124">
        <v>100.08294815718686</v>
      </c>
      <c r="Z52" s="123">
        <v>100.08294815718686</v>
      </c>
      <c r="AA52" s="123">
        <v>100.08294815718686</v>
      </c>
      <c r="AB52" s="123">
        <v>100.08294815718686</v>
      </c>
      <c r="AC52" s="123">
        <v>100.08294815718686</v>
      </c>
      <c r="AD52" s="123">
        <v>100.08294815718686</v>
      </c>
      <c r="AE52" s="123">
        <v>100.08294815718686</v>
      </c>
      <c r="AF52" s="123">
        <v>100.08294815718686</v>
      </c>
      <c r="AG52" s="123">
        <v>100.08294815718686</v>
      </c>
      <c r="AH52" s="123">
        <v>100.08294815718686</v>
      </c>
      <c r="AI52" s="123">
        <v>100.08294815718686</v>
      </c>
      <c r="AJ52" s="123">
        <v>100.08294815718686</v>
      </c>
      <c r="AK52" s="123">
        <v>100.08294815718686</v>
      </c>
      <c r="AL52" s="123">
        <v>100.08294815718686</v>
      </c>
      <c r="AM52" s="123">
        <v>100.08294815718686</v>
      </c>
      <c r="AN52" s="123">
        <v>100.08294815718686</v>
      </c>
      <c r="AO52" s="123">
        <v>100.08294815718686</v>
      </c>
      <c r="AP52" s="123">
        <v>100.08294815718686</v>
      </c>
      <c r="AQ52" s="123">
        <v>100.08294815718686</v>
      </c>
      <c r="AR52" s="123">
        <v>100.08294815718686</v>
      </c>
      <c r="AS52" s="123">
        <v>100.08294815718686</v>
      </c>
      <c r="AT52" s="123">
        <v>100.08294815718686</v>
      </c>
      <c r="AU52" s="123">
        <v>100.08294815718686</v>
      </c>
      <c r="AV52" s="123">
        <v>100.08294815718686</v>
      </c>
      <c r="AW52" s="123">
        <v>100.08294815718686</v>
      </c>
      <c r="AX52" s="700">
        <v>100.08294815718686</v>
      </c>
      <c r="AY52" s="700">
        <v>100.08294815718686</v>
      </c>
      <c r="AZ52" s="700">
        <v>100.08294815718686</v>
      </c>
      <c r="BA52" s="700">
        <v>100.08294815718686</v>
      </c>
      <c r="BB52" s="700">
        <v>100.08294815718686</v>
      </c>
      <c r="BC52" s="700">
        <v>100.08294815718686</v>
      </c>
      <c r="BD52" s="700">
        <v>100.08294815718686</v>
      </c>
      <c r="BE52" s="731"/>
      <c r="BF52" s="731"/>
      <c r="BG52" s="731"/>
      <c r="BH52" s="731"/>
      <c r="BI52" s="731"/>
      <c r="BJ52" s="731"/>
      <c r="BK52" s="731"/>
      <c r="BL52" s="648">
        <f>AVERAGE(AL52:AW52)</f>
        <v>100.08294815718683</v>
      </c>
      <c r="BM52" s="648">
        <f t="shared" si="0"/>
        <v>100.08294815718685</v>
      </c>
      <c r="BN52" s="718">
        <f t="shared" si="1"/>
        <v>0</v>
      </c>
    </row>
    <row r="53" spans="1:66">
      <c r="A53" s="81" t="s">
        <v>116</v>
      </c>
      <c r="B53" s="125">
        <v>100.08294815718686</v>
      </c>
      <c r="C53" s="126">
        <v>100.08294815718686</v>
      </c>
      <c r="D53" s="126">
        <v>100.08294815718686</v>
      </c>
      <c r="E53" s="126">
        <v>100.08294815718686</v>
      </c>
      <c r="F53" s="126">
        <v>100.08294815718686</v>
      </c>
      <c r="G53" s="126">
        <v>100.08294815718686</v>
      </c>
      <c r="H53" s="126">
        <v>100.08294815718686</v>
      </c>
      <c r="I53" s="126">
        <v>100.08294815718686</v>
      </c>
      <c r="J53" s="126">
        <v>100.08294815718686</v>
      </c>
      <c r="K53" s="126">
        <v>100.08294815718686</v>
      </c>
      <c r="L53" s="126">
        <v>100.08294815718686</v>
      </c>
      <c r="M53" s="127">
        <v>100.08294815718686</v>
      </c>
      <c r="N53" s="125">
        <v>100.08294815718686</v>
      </c>
      <c r="O53" s="126">
        <v>100.08294815718686</v>
      </c>
      <c r="P53" s="126">
        <v>100.08294815718686</v>
      </c>
      <c r="Q53" s="126">
        <v>100.08294815718686</v>
      </c>
      <c r="R53" s="126">
        <v>100.08294815718686</v>
      </c>
      <c r="S53" s="126">
        <v>100.08294815718686</v>
      </c>
      <c r="T53" s="126">
        <v>100.08294815718686</v>
      </c>
      <c r="U53" s="74">
        <v>100.08294815718686</v>
      </c>
      <c r="V53" s="74">
        <v>100.08294815718686</v>
      </c>
      <c r="W53" s="74">
        <v>100.08294815718686</v>
      </c>
      <c r="X53" s="74">
        <v>100.08294815718686</v>
      </c>
      <c r="Y53" s="127">
        <v>100.08294815718686</v>
      </c>
      <c r="Z53" s="126">
        <v>100.08294815718686</v>
      </c>
      <c r="AA53" s="126">
        <v>100.08294815718686</v>
      </c>
      <c r="AB53" s="126">
        <v>100.08294815718686</v>
      </c>
      <c r="AC53" s="126">
        <v>100.08294815718686</v>
      </c>
      <c r="AD53" s="126">
        <v>100.08294815718686</v>
      </c>
      <c r="AE53" s="126">
        <v>100.08294815718686</v>
      </c>
      <c r="AF53" s="126">
        <v>100.08294815718686</v>
      </c>
      <c r="AG53" s="126">
        <v>100.08294815718686</v>
      </c>
      <c r="AH53" s="126">
        <v>100.08294815718686</v>
      </c>
      <c r="AI53" s="126">
        <v>100.08294815718686</v>
      </c>
      <c r="AJ53" s="126">
        <v>100.08294815718686</v>
      </c>
      <c r="AK53" s="126">
        <v>100.08294815718686</v>
      </c>
      <c r="AL53" s="126">
        <v>100.08294815718686</v>
      </c>
      <c r="AM53" s="126">
        <v>100.08294815718686</v>
      </c>
      <c r="AN53" s="126">
        <v>100.08294815718686</v>
      </c>
      <c r="AO53" s="126">
        <v>100.08294815718686</v>
      </c>
      <c r="AP53" s="126">
        <v>100.08294815718686</v>
      </c>
      <c r="AQ53" s="126">
        <v>100.08294815718686</v>
      </c>
      <c r="AR53" s="126">
        <v>100.08294815718686</v>
      </c>
      <c r="AS53" s="126">
        <v>100.08294815718686</v>
      </c>
      <c r="AT53" s="126">
        <v>100.08294815718686</v>
      </c>
      <c r="AU53" s="126">
        <v>100.08294815718686</v>
      </c>
      <c r="AV53" s="126">
        <v>100.08294815718686</v>
      </c>
      <c r="AW53" s="126">
        <v>100.08294815718686</v>
      </c>
      <c r="AX53" s="701">
        <v>100.08294815718686</v>
      </c>
      <c r="AY53" s="701">
        <v>100.08294815718686</v>
      </c>
      <c r="AZ53" s="701">
        <v>100.08294815718686</v>
      </c>
      <c r="BA53" s="701">
        <v>100.08294815718686</v>
      </c>
      <c r="BB53" s="701">
        <v>100.08294815718686</v>
      </c>
      <c r="BC53" s="701">
        <v>100.08294815718686</v>
      </c>
      <c r="BD53" s="701">
        <v>100.08294815718686</v>
      </c>
      <c r="BE53" s="732"/>
      <c r="BF53" s="732"/>
      <c r="BG53" s="732"/>
      <c r="BH53" s="732"/>
      <c r="BI53" s="732"/>
      <c r="BJ53" s="732"/>
      <c r="BK53" s="732"/>
      <c r="BL53" s="648">
        <f>AVERAGE(AL53:AW53)</f>
        <v>100.08294815718683</v>
      </c>
      <c r="BM53" s="648">
        <f t="shared" si="0"/>
        <v>100.08294815718685</v>
      </c>
      <c r="BN53" s="718">
        <f t="shared" si="1"/>
        <v>0</v>
      </c>
    </row>
    <row r="54" spans="1:66">
      <c r="A54" s="83" t="s">
        <v>116</v>
      </c>
      <c r="B54" s="128">
        <v>100.08294815718686</v>
      </c>
      <c r="C54" s="129">
        <v>100.08294815718686</v>
      </c>
      <c r="D54" s="129">
        <v>100.08294815718686</v>
      </c>
      <c r="E54" s="129">
        <v>100.08294815718686</v>
      </c>
      <c r="F54" s="129">
        <v>100.08294815718686</v>
      </c>
      <c r="G54" s="129">
        <v>100.08294815718686</v>
      </c>
      <c r="H54" s="129">
        <v>100.08294815718686</v>
      </c>
      <c r="I54" s="129">
        <v>100.08294815718686</v>
      </c>
      <c r="J54" s="129">
        <v>100.08294815718686</v>
      </c>
      <c r="K54" s="129">
        <v>100.08294815718686</v>
      </c>
      <c r="L54" s="129">
        <v>100.08294815718686</v>
      </c>
      <c r="M54" s="130">
        <v>100.08294815718686</v>
      </c>
      <c r="N54" s="128">
        <v>100.08294815718686</v>
      </c>
      <c r="O54" s="129">
        <v>100.08294815718686</v>
      </c>
      <c r="P54" s="129">
        <v>100.08294815718686</v>
      </c>
      <c r="Q54" s="129">
        <v>100.08294815718686</v>
      </c>
      <c r="R54" s="129">
        <v>100.08294815718686</v>
      </c>
      <c r="S54" s="129">
        <v>100.08294815718686</v>
      </c>
      <c r="T54" s="129">
        <v>100.08294815718686</v>
      </c>
      <c r="U54" s="75">
        <v>100.08294815718686</v>
      </c>
      <c r="V54" s="75">
        <v>100.08294815718686</v>
      </c>
      <c r="W54" s="75">
        <v>100.08294815718686</v>
      </c>
      <c r="X54" s="75">
        <v>100.08294815718686</v>
      </c>
      <c r="Y54" s="130">
        <v>100.08294815718686</v>
      </c>
      <c r="Z54" s="129">
        <v>100.08294815718686</v>
      </c>
      <c r="AA54" s="129">
        <v>100.08294815718686</v>
      </c>
      <c r="AB54" s="129">
        <v>100.08294815718686</v>
      </c>
      <c r="AC54" s="129">
        <v>100.08294815718686</v>
      </c>
      <c r="AD54" s="129">
        <v>100.08294815718686</v>
      </c>
      <c r="AE54" s="129">
        <v>100.08294815718686</v>
      </c>
      <c r="AF54" s="129">
        <v>100.08294815718686</v>
      </c>
      <c r="AG54" s="129">
        <v>100.08294815718686</v>
      </c>
      <c r="AH54" s="129">
        <v>100.08294815718686</v>
      </c>
      <c r="AI54" s="129">
        <v>100.08294815718686</v>
      </c>
      <c r="AJ54" s="129">
        <v>100.08294815718686</v>
      </c>
      <c r="AK54" s="129">
        <v>100.08294815718686</v>
      </c>
      <c r="AL54" s="129">
        <v>100.08294815718686</v>
      </c>
      <c r="AM54" s="129">
        <v>100.08294815718686</v>
      </c>
      <c r="AN54" s="129">
        <v>100.08294815718686</v>
      </c>
      <c r="AO54" s="129">
        <v>100.08294815718686</v>
      </c>
      <c r="AP54" s="129">
        <v>100.08294815718686</v>
      </c>
      <c r="AQ54" s="129">
        <v>100.08294815718686</v>
      </c>
      <c r="AR54" s="129">
        <v>100.08294815718686</v>
      </c>
      <c r="AS54" s="129">
        <v>100.08294815718686</v>
      </c>
      <c r="AT54" s="129">
        <v>100.08294815718686</v>
      </c>
      <c r="AU54" s="129">
        <v>100.08294815718686</v>
      </c>
      <c r="AV54" s="129">
        <v>100.08294815718686</v>
      </c>
      <c r="AW54" s="129">
        <v>100.08294815718686</v>
      </c>
      <c r="AX54" s="702">
        <v>100.08294815718686</v>
      </c>
      <c r="AY54" s="702">
        <v>100.08294815718686</v>
      </c>
      <c r="AZ54" s="702">
        <v>100.08294815718686</v>
      </c>
      <c r="BA54" s="702">
        <v>100.08294815718686</v>
      </c>
      <c r="BB54" s="702">
        <v>100.08294815718686</v>
      </c>
      <c r="BC54" s="702">
        <v>100.08294815718686</v>
      </c>
      <c r="BD54" s="702">
        <v>100.08294815718686</v>
      </c>
      <c r="BE54" s="733"/>
      <c r="BF54" s="733"/>
      <c r="BG54" s="733"/>
      <c r="BH54" s="733"/>
      <c r="BI54" s="733"/>
      <c r="BJ54" s="733"/>
      <c r="BK54" s="733"/>
      <c r="BL54" s="648">
        <f>AVERAGE(AL54:AW54)</f>
        <v>100.08294815718683</v>
      </c>
      <c r="BM54" s="648">
        <f t="shared" si="0"/>
        <v>100.08294815718685</v>
      </c>
      <c r="BN54" s="718">
        <f t="shared" si="1"/>
        <v>0</v>
      </c>
    </row>
    <row r="55" spans="1:66">
      <c r="A55" s="80" t="s">
        <v>117</v>
      </c>
      <c r="B55" s="122">
        <v>75.599999999999994</v>
      </c>
      <c r="C55" s="123">
        <v>75.599999999999994</v>
      </c>
      <c r="D55" s="123">
        <v>75.7</v>
      </c>
      <c r="E55" s="123">
        <v>76.8</v>
      </c>
      <c r="F55" s="123">
        <v>77.7</v>
      </c>
      <c r="G55" s="123">
        <v>87.1</v>
      </c>
      <c r="H55" s="123">
        <v>87.1</v>
      </c>
      <c r="I55" s="123">
        <v>87.4</v>
      </c>
      <c r="J55" s="123">
        <v>89</v>
      </c>
      <c r="K55" s="123">
        <v>89.9</v>
      </c>
      <c r="L55" s="123">
        <v>89.9</v>
      </c>
      <c r="M55" s="124">
        <v>89.9</v>
      </c>
      <c r="N55" s="122">
        <v>89.9</v>
      </c>
      <c r="O55" s="123">
        <v>89.9</v>
      </c>
      <c r="P55" s="123">
        <v>89.9</v>
      </c>
      <c r="Q55" s="123">
        <v>91.9</v>
      </c>
      <c r="R55" s="123">
        <v>93.6</v>
      </c>
      <c r="S55" s="123">
        <v>94.2</v>
      </c>
      <c r="T55" s="123">
        <v>94.1</v>
      </c>
      <c r="U55" s="73">
        <v>94.1</v>
      </c>
      <c r="V55" s="73">
        <v>94.1</v>
      </c>
      <c r="W55" s="73">
        <v>94.1</v>
      </c>
      <c r="X55" s="73">
        <v>94.4</v>
      </c>
      <c r="Y55" s="124">
        <v>94.4</v>
      </c>
      <c r="Z55" s="123">
        <v>94.4</v>
      </c>
      <c r="AA55" s="123">
        <v>94.4</v>
      </c>
      <c r="AB55" s="123">
        <v>94.9</v>
      </c>
      <c r="AC55" s="123">
        <v>94.9</v>
      </c>
      <c r="AD55" s="123">
        <v>94.9</v>
      </c>
      <c r="AE55" s="123">
        <v>94.9</v>
      </c>
      <c r="AF55" s="123">
        <v>94.9</v>
      </c>
      <c r="AG55" s="123">
        <v>94.9</v>
      </c>
      <c r="AH55" s="123">
        <v>94.9</v>
      </c>
      <c r="AI55" s="123">
        <v>95.7</v>
      </c>
      <c r="AJ55" s="123">
        <v>95.7</v>
      </c>
      <c r="AK55" s="123">
        <v>95.7</v>
      </c>
      <c r="AL55" s="123">
        <v>95.7</v>
      </c>
      <c r="AM55" s="123">
        <v>100.3</v>
      </c>
      <c r="AN55" s="123">
        <v>100.3</v>
      </c>
      <c r="AO55" s="123">
        <v>100.3</v>
      </c>
      <c r="AP55" s="123">
        <v>100.4</v>
      </c>
      <c r="AQ55" s="123">
        <v>100.4</v>
      </c>
      <c r="AR55" s="123">
        <v>100.4</v>
      </c>
      <c r="AS55" s="123">
        <v>100.4</v>
      </c>
      <c r="AT55" s="123">
        <v>100.4</v>
      </c>
      <c r="AU55" s="123">
        <v>100.4</v>
      </c>
      <c r="AV55" s="123">
        <v>100.4</v>
      </c>
      <c r="AW55" s="123">
        <v>100.4</v>
      </c>
      <c r="AX55" s="700">
        <v>100.4</v>
      </c>
      <c r="AY55" s="700">
        <v>100.4</v>
      </c>
      <c r="AZ55" s="700">
        <v>100.4</v>
      </c>
      <c r="BA55" s="700">
        <v>100.4</v>
      </c>
      <c r="BB55" s="700">
        <v>100.4</v>
      </c>
      <c r="BC55" s="700">
        <v>100.4</v>
      </c>
      <c r="BD55" s="700">
        <v>100.4</v>
      </c>
      <c r="BE55" s="731">
        <v>100.4</v>
      </c>
      <c r="BF55" s="731">
        <v>97.8</v>
      </c>
      <c r="BG55" s="731">
        <v>98.4</v>
      </c>
      <c r="BH55" s="731">
        <v>98.4</v>
      </c>
      <c r="BI55" s="731">
        <v>98.4</v>
      </c>
      <c r="BJ55" s="731"/>
      <c r="BK55" s="731"/>
      <c r="BL55" s="648">
        <f>AVERAGE(AL55:AW55)</f>
        <v>99.983333333333334</v>
      </c>
      <c r="BM55" s="648">
        <f t="shared" si="0"/>
        <v>99.683333333333337</v>
      </c>
      <c r="BN55" s="718">
        <f t="shared" si="1"/>
        <v>-3.0005000833471795E-3</v>
      </c>
    </row>
    <row r="56" spans="1:66">
      <c r="A56" s="81" t="s">
        <v>118</v>
      </c>
      <c r="B56" s="125">
        <v>100</v>
      </c>
      <c r="C56" s="126">
        <v>100</v>
      </c>
      <c r="D56" s="126">
        <v>100</v>
      </c>
      <c r="E56" s="126">
        <v>100</v>
      </c>
      <c r="F56" s="126">
        <v>100</v>
      </c>
      <c r="G56" s="126">
        <v>100</v>
      </c>
      <c r="H56" s="126">
        <v>100</v>
      </c>
      <c r="I56" s="126">
        <v>100</v>
      </c>
      <c r="J56" s="126">
        <v>100</v>
      </c>
      <c r="K56" s="126">
        <v>100</v>
      </c>
      <c r="L56" s="126">
        <v>100</v>
      </c>
      <c r="M56" s="127">
        <v>100</v>
      </c>
      <c r="N56" s="125">
        <v>100</v>
      </c>
      <c r="O56" s="126">
        <v>100</v>
      </c>
      <c r="P56" s="126">
        <v>100</v>
      </c>
      <c r="Q56" s="126">
        <v>100</v>
      </c>
      <c r="R56" s="126">
        <v>100</v>
      </c>
      <c r="S56" s="126">
        <v>100</v>
      </c>
      <c r="T56" s="126">
        <v>100</v>
      </c>
      <c r="U56" s="74">
        <v>100</v>
      </c>
      <c r="V56" s="74">
        <v>100</v>
      </c>
      <c r="W56" s="74">
        <v>100</v>
      </c>
      <c r="X56" s="74">
        <v>100</v>
      </c>
      <c r="Y56" s="127">
        <v>100</v>
      </c>
      <c r="Z56" s="126">
        <v>100</v>
      </c>
      <c r="AA56" s="126">
        <v>100</v>
      </c>
      <c r="AB56" s="126">
        <v>100</v>
      </c>
      <c r="AC56" s="126">
        <v>100</v>
      </c>
      <c r="AD56" s="126">
        <v>100</v>
      </c>
      <c r="AE56" s="126">
        <v>100</v>
      </c>
      <c r="AF56" s="126">
        <v>100</v>
      </c>
      <c r="AG56" s="126">
        <v>100</v>
      </c>
      <c r="AH56" s="126">
        <v>100</v>
      </c>
      <c r="AI56" s="126">
        <v>100</v>
      </c>
      <c r="AJ56" s="126">
        <v>100</v>
      </c>
      <c r="AK56" s="126">
        <v>100</v>
      </c>
      <c r="AL56" s="126">
        <v>100</v>
      </c>
      <c r="AM56" s="126">
        <v>100</v>
      </c>
      <c r="AN56" s="126">
        <v>100</v>
      </c>
      <c r="AO56" s="126">
        <v>100</v>
      </c>
      <c r="AP56" s="126">
        <v>100</v>
      </c>
      <c r="AQ56" s="126">
        <v>100</v>
      </c>
      <c r="AR56" s="126">
        <v>100</v>
      </c>
      <c r="AS56" s="126">
        <v>100</v>
      </c>
      <c r="AT56" s="126">
        <v>100</v>
      </c>
      <c r="AU56" s="126">
        <v>100</v>
      </c>
      <c r="AV56" s="126">
        <v>100</v>
      </c>
      <c r="AW56" s="126">
        <v>100</v>
      </c>
      <c r="AX56" s="701">
        <v>100</v>
      </c>
      <c r="AY56" s="701">
        <v>100</v>
      </c>
      <c r="AZ56" s="705">
        <v>100</v>
      </c>
      <c r="BA56" s="701">
        <v>100</v>
      </c>
      <c r="BB56" s="701">
        <v>100</v>
      </c>
      <c r="BC56" s="701">
        <v>100</v>
      </c>
      <c r="BD56" s="701">
        <v>100</v>
      </c>
      <c r="BE56" s="732"/>
      <c r="BF56" s="732"/>
      <c r="BG56" s="732"/>
      <c r="BH56" s="732"/>
      <c r="BI56" s="732"/>
      <c r="BJ56" s="732"/>
      <c r="BK56" s="732"/>
      <c r="BL56" s="648">
        <f>AVERAGE(AL56:AW56)</f>
        <v>100</v>
      </c>
      <c r="BM56" s="648">
        <f t="shared" si="0"/>
        <v>100</v>
      </c>
      <c r="BN56" s="718">
        <f t="shared" si="1"/>
        <v>0</v>
      </c>
    </row>
    <row r="57" spans="1:66">
      <c r="A57" s="83" t="s">
        <v>119</v>
      </c>
      <c r="B57" s="128">
        <v>100</v>
      </c>
      <c r="C57" s="129">
        <v>100</v>
      </c>
      <c r="D57" s="129">
        <v>100</v>
      </c>
      <c r="E57" s="129">
        <v>100</v>
      </c>
      <c r="F57" s="129">
        <v>100</v>
      </c>
      <c r="G57" s="129">
        <v>100</v>
      </c>
      <c r="H57" s="129">
        <v>100</v>
      </c>
      <c r="I57" s="129">
        <v>100</v>
      </c>
      <c r="J57" s="129">
        <v>100</v>
      </c>
      <c r="K57" s="129">
        <v>100</v>
      </c>
      <c r="L57" s="129">
        <v>100</v>
      </c>
      <c r="M57" s="130">
        <v>100</v>
      </c>
      <c r="N57" s="128">
        <v>100</v>
      </c>
      <c r="O57" s="129">
        <v>100</v>
      </c>
      <c r="P57" s="129">
        <v>100</v>
      </c>
      <c r="Q57" s="129">
        <v>100</v>
      </c>
      <c r="R57" s="129">
        <v>100</v>
      </c>
      <c r="S57" s="129">
        <v>100</v>
      </c>
      <c r="T57" s="129">
        <v>100</v>
      </c>
      <c r="U57" s="75">
        <v>100</v>
      </c>
      <c r="V57" s="75">
        <v>100</v>
      </c>
      <c r="W57" s="75">
        <v>100</v>
      </c>
      <c r="X57" s="75">
        <v>100</v>
      </c>
      <c r="Y57" s="130">
        <v>100</v>
      </c>
      <c r="Z57" s="129">
        <v>100</v>
      </c>
      <c r="AA57" s="129">
        <v>100</v>
      </c>
      <c r="AB57" s="129">
        <v>100</v>
      </c>
      <c r="AC57" s="129">
        <v>100</v>
      </c>
      <c r="AD57" s="129">
        <v>100</v>
      </c>
      <c r="AE57" s="129">
        <v>100</v>
      </c>
      <c r="AF57" s="129">
        <v>100</v>
      </c>
      <c r="AG57" s="129">
        <v>100</v>
      </c>
      <c r="AH57" s="129">
        <v>100</v>
      </c>
      <c r="AI57" s="129">
        <v>100</v>
      </c>
      <c r="AJ57" s="129">
        <v>100</v>
      </c>
      <c r="AK57" s="129">
        <v>100</v>
      </c>
      <c r="AL57" s="129">
        <v>100</v>
      </c>
      <c r="AM57" s="129">
        <v>100</v>
      </c>
      <c r="AN57" s="129">
        <v>100</v>
      </c>
      <c r="AO57" s="129">
        <v>100</v>
      </c>
      <c r="AP57" s="129">
        <v>100</v>
      </c>
      <c r="AQ57" s="129">
        <v>100</v>
      </c>
      <c r="AR57" s="129">
        <v>100</v>
      </c>
      <c r="AS57" s="129">
        <v>100</v>
      </c>
      <c r="AT57" s="129">
        <v>100</v>
      </c>
      <c r="AU57" s="129">
        <v>100</v>
      </c>
      <c r="AV57" s="129">
        <v>100</v>
      </c>
      <c r="AW57" s="129">
        <v>100</v>
      </c>
      <c r="AX57" s="702">
        <v>100</v>
      </c>
      <c r="AY57" s="702">
        <v>100</v>
      </c>
      <c r="AZ57" s="706">
        <v>100</v>
      </c>
      <c r="BA57" s="702">
        <v>100</v>
      </c>
      <c r="BB57" s="702">
        <v>100</v>
      </c>
      <c r="BC57" s="702">
        <v>100</v>
      </c>
      <c r="BD57" s="702">
        <v>100</v>
      </c>
      <c r="BE57" s="733"/>
      <c r="BF57" s="733"/>
      <c r="BG57" s="733"/>
      <c r="BH57" s="733"/>
      <c r="BI57" s="733"/>
      <c r="BJ57" s="733"/>
      <c r="BK57" s="733"/>
      <c r="BL57" s="648">
        <f>AVERAGE(AL57:AW57)</f>
        <v>100</v>
      </c>
      <c r="BM57" s="648">
        <f t="shared" si="0"/>
        <v>100</v>
      </c>
      <c r="BN57" s="718">
        <f t="shared" si="1"/>
        <v>0</v>
      </c>
    </row>
    <row r="58" spans="1:66">
      <c r="A58" s="81" t="s">
        <v>120</v>
      </c>
      <c r="B58" s="125">
        <v>90.73498060703335</v>
      </c>
      <c r="C58" s="126">
        <v>90.73498060703335</v>
      </c>
      <c r="D58" s="126">
        <v>90.73498060703335</v>
      </c>
      <c r="E58" s="126">
        <v>93.894371651916714</v>
      </c>
      <c r="F58" s="126">
        <v>93.894371651916714</v>
      </c>
      <c r="G58" s="126">
        <v>117.58199412287178</v>
      </c>
      <c r="H58" s="126">
        <v>117.58199412287178</v>
      </c>
      <c r="I58" s="126">
        <v>117.58199412287178</v>
      </c>
      <c r="J58" s="126">
        <v>121.6525669333684</v>
      </c>
      <c r="K58" s="126">
        <v>123.87699465287496</v>
      </c>
      <c r="L58" s="126">
        <v>123.87699465287496</v>
      </c>
      <c r="M58" s="127">
        <v>123.87699465287496</v>
      </c>
      <c r="N58" s="125">
        <v>123.87699465287496</v>
      </c>
      <c r="O58" s="126">
        <v>123.87699465287496</v>
      </c>
      <c r="P58" s="126">
        <v>123.87699465287496</v>
      </c>
      <c r="Q58" s="126">
        <v>123.87699465287496</v>
      </c>
      <c r="R58" s="126">
        <v>123.87699465287496</v>
      </c>
      <c r="S58" s="126">
        <v>123.87699465287496</v>
      </c>
      <c r="T58" s="126">
        <v>123.87699465287496</v>
      </c>
      <c r="U58" s="74">
        <v>123.87699465287496</v>
      </c>
      <c r="V58" s="74">
        <v>123.87699465287496</v>
      </c>
      <c r="W58" s="74">
        <v>123.87699465287496</v>
      </c>
      <c r="X58" s="74">
        <v>123.87699465287496</v>
      </c>
      <c r="Y58" s="127">
        <v>123.87699465287496</v>
      </c>
      <c r="Z58" s="126">
        <v>123.87699465287496</v>
      </c>
      <c r="AA58" s="126">
        <v>123.87699465287496</v>
      </c>
      <c r="AB58" s="126">
        <v>123.87699465287496</v>
      </c>
      <c r="AC58" s="126">
        <v>123.87699465287496</v>
      </c>
      <c r="AD58" s="126">
        <v>123.87699465287496</v>
      </c>
      <c r="AE58" s="126">
        <v>123.87699465287496</v>
      </c>
      <c r="AF58" s="126">
        <v>123.87699465287496</v>
      </c>
      <c r="AG58" s="126">
        <v>123.87699465287496</v>
      </c>
      <c r="AH58" s="126">
        <v>123.87699465287496</v>
      </c>
      <c r="AI58" s="126">
        <v>123.87699465287496</v>
      </c>
      <c r="AJ58" s="126">
        <v>123.87699465287496</v>
      </c>
      <c r="AK58" s="126">
        <v>123.87699465287496</v>
      </c>
      <c r="AL58" s="126">
        <v>123.87699465287496</v>
      </c>
      <c r="AM58" s="126">
        <v>123.87699465287496</v>
      </c>
      <c r="AN58" s="126">
        <v>123.87699465287496</v>
      </c>
      <c r="AO58" s="126">
        <v>123.87699465287496</v>
      </c>
      <c r="AP58" s="126">
        <v>123.87699465287496</v>
      </c>
      <c r="AQ58" s="126">
        <v>123.87699465287496</v>
      </c>
      <c r="AR58" s="126">
        <v>123.87699465287496</v>
      </c>
      <c r="AS58" s="126">
        <v>123.87699465287496</v>
      </c>
      <c r="AT58" s="126">
        <v>123.87699465287496</v>
      </c>
      <c r="AU58" s="126">
        <v>123.87699465287496</v>
      </c>
      <c r="AV58" s="126">
        <v>123.87699465287496</v>
      </c>
      <c r="AW58" s="126">
        <v>123.87699465287496</v>
      </c>
      <c r="AX58" s="701">
        <v>123.87699465287496</v>
      </c>
      <c r="AY58" s="701">
        <v>123.87699465287496</v>
      </c>
      <c r="AZ58" s="701">
        <v>123.87699465287496</v>
      </c>
      <c r="BA58" s="701">
        <v>123.87699465287496</v>
      </c>
      <c r="BB58" s="701">
        <v>123.87699465287496</v>
      </c>
      <c r="BC58" s="701">
        <v>123.87699465287496</v>
      </c>
      <c r="BD58" s="701">
        <v>123.87699465287496</v>
      </c>
      <c r="BE58" s="732"/>
      <c r="BF58" s="732"/>
      <c r="BG58" s="732"/>
      <c r="BH58" s="732"/>
      <c r="BI58" s="732"/>
      <c r="BJ58" s="732"/>
      <c r="BK58" s="732"/>
      <c r="BL58" s="648">
        <f>AVERAGE(AL58:AW58)</f>
        <v>123.87699465287498</v>
      </c>
      <c r="BM58" s="648">
        <f t="shared" si="0"/>
        <v>123.87699465287496</v>
      </c>
      <c r="BN58" s="718">
        <f t="shared" si="1"/>
        <v>0</v>
      </c>
    </row>
    <row r="59" spans="1:66">
      <c r="A59" s="83" t="s">
        <v>120</v>
      </c>
      <c r="B59" s="128">
        <v>90.73498060703335</v>
      </c>
      <c r="C59" s="129">
        <v>90.73498060703335</v>
      </c>
      <c r="D59" s="129">
        <v>90.73498060703335</v>
      </c>
      <c r="E59" s="129">
        <v>93.894371651916714</v>
      </c>
      <c r="F59" s="129">
        <v>93.894371651916714</v>
      </c>
      <c r="G59" s="129">
        <v>117.58199412287178</v>
      </c>
      <c r="H59" s="129">
        <v>117.58199412287178</v>
      </c>
      <c r="I59" s="129">
        <v>117.58199412287178</v>
      </c>
      <c r="J59" s="129">
        <v>121.6525669333684</v>
      </c>
      <c r="K59" s="129">
        <v>123.87699465287496</v>
      </c>
      <c r="L59" s="129">
        <v>123.87699465287496</v>
      </c>
      <c r="M59" s="130">
        <v>123.87699465287496</v>
      </c>
      <c r="N59" s="128">
        <v>123.87699465287496</v>
      </c>
      <c r="O59" s="129">
        <v>123.87699465287496</v>
      </c>
      <c r="P59" s="129">
        <v>123.87699465287496</v>
      </c>
      <c r="Q59" s="129">
        <v>123.87699465287496</v>
      </c>
      <c r="R59" s="129">
        <v>123.87699465287496</v>
      </c>
      <c r="S59" s="129">
        <v>123.87699465287496</v>
      </c>
      <c r="T59" s="129">
        <v>123.87699465287496</v>
      </c>
      <c r="U59" s="75">
        <v>123.87699465287496</v>
      </c>
      <c r="V59" s="75">
        <v>123.87699465287496</v>
      </c>
      <c r="W59" s="75">
        <v>123.87699465287496</v>
      </c>
      <c r="X59" s="75">
        <v>123.87699465287496</v>
      </c>
      <c r="Y59" s="130">
        <v>123.87699465287496</v>
      </c>
      <c r="Z59" s="129">
        <v>123.87699465287496</v>
      </c>
      <c r="AA59" s="129">
        <v>123.87699465287496</v>
      </c>
      <c r="AB59" s="129">
        <v>123.87699465287496</v>
      </c>
      <c r="AC59" s="129">
        <v>123.87699465287496</v>
      </c>
      <c r="AD59" s="129">
        <v>123.87699465287496</v>
      </c>
      <c r="AE59" s="129">
        <v>123.87699465287496</v>
      </c>
      <c r="AF59" s="129">
        <v>123.87699465287496</v>
      </c>
      <c r="AG59" s="129">
        <v>123.87699465287496</v>
      </c>
      <c r="AH59" s="129">
        <v>123.87699465287496</v>
      </c>
      <c r="AI59" s="129">
        <v>123.87699465287496</v>
      </c>
      <c r="AJ59" s="129">
        <v>123.87699465287496</v>
      </c>
      <c r="AK59" s="129">
        <v>123.87699465287496</v>
      </c>
      <c r="AL59" s="129">
        <v>123.87699465287496</v>
      </c>
      <c r="AM59" s="129">
        <v>123.87699465287496</v>
      </c>
      <c r="AN59" s="129">
        <v>123.87699465287496</v>
      </c>
      <c r="AO59" s="129">
        <v>123.87699465287496</v>
      </c>
      <c r="AP59" s="129">
        <v>123.87699465287496</v>
      </c>
      <c r="AQ59" s="129">
        <v>123.87699465287496</v>
      </c>
      <c r="AR59" s="129">
        <v>123.87699465287496</v>
      </c>
      <c r="AS59" s="129">
        <v>123.87699465287496</v>
      </c>
      <c r="AT59" s="129">
        <v>123.87699465287496</v>
      </c>
      <c r="AU59" s="129">
        <v>123.87699465287496</v>
      </c>
      <c r="AV59" s="129">
        <v>123.87699465287496</v>
      </c>
      <c r="AW59" s="129">
        <v>123.87699465287496</v>
      </c>
      <c r="AX59" s="702">
        <v>123.87699465287496</v>
      </c>
      <c r="AY59" s="702">
        <v>123.87699465287496</v>
      </c>
      <c r="AZ59" s="702">
        <v>123.87699465287496</v>
      </c>
      <c r="BA59" s="702">
        <v>123.87699465287496</v>
      </c>
      <c r="BB59" s="702">
        <v>123.87699465287496</v>
      </c>
      <c r="BC59" s="702">
        <v>123.87699465287496</v>
      </c>
      <c r="BD59" s="702">
        <v>123.87699465287496</v>
      </c>
      <c r="BE59" s="733"/>
      <c r="BF59" s="733"/>
      <c r="BG59" s="733"/>
      <c r="BH59" s="733"/>
      <c r="BI59" s="733"/>
      <c r="BJ59" s="733"/>
      <c r="BK59" s="733"/>
      <c r="BL59" s="648">
        <f>AVERAGE(AL59:AW59)</f>
        <v>123.87699465287498</v>
      </c>
      <c r="BM59" s="648">
        <f t="shared" si="0"/>
        <v>123.87699465287496</v>
      </c>
      <c r="BN59" s="718">
        <f t="shared" si="1"/>
        <v>0</v>
      </c>
    </row>
    <row r="60" spans="1:66">
      <c r="A60" s="80" t="s">
        <v>121</v>
      </c>
      <c r="B60" s="122">
        <v>81.3</v>
      </c>
      <c r="C60" s="123">
        <v>81.3</v>
      </c>
      <c r="D60" s="123">
        <v>81.5</v>
      </c>
      <c r="E60" s="123">
        <v>81.3</v>
      </c>
      <c r="F60" s="123">
        <v>82.8</v>
      </c>
      <c r="G60" s="123">
        <v>82.8</v>
      </c>
      <c r="H60" s="123">
        <v>82.8</v>
      </c>
      <c r="I60" s="123">
        <v>83.2</v>
      </c>
      <c r="J60" s="123">
        <v>83.2</v>
      </c>
      <c r="K60" s="123">
        <v>83.2</v>
      </c>
      <c r="L60" s="123">
        <v>83.2</v>
      </c>
      <c r="M60" s="124">
        <v>83.2</v>
      </c>
      <c r="N60" s="122">
        <v>83.2</v>
      </c>
      <c r="O60" s="123">
        <v>83.2</v>
      </c>
      <c r="P60" s="123">
        <v>83.2</v>
      </c>
      <c r="Q60" s="123">
        <v>86.5</v>
      </c>
      <c r="R60" s="123">
        <v>89.4</v>
      </c>
      <c r="S60" s="123">
        <v>90.4</v>
      </c>
      <c r="T60" s="123">
        <v>90.1</v>
      </c>
      <c r="U60" s="73">
        <v>90.1</v>
      </c>
      <c r="V60" s="73">
        <v>90.1</v>
      </c>
      <c r="W60" s="73">
        <v>90.1</v>
      </c>
      <c r="X60" s="73">
        <v>90.6</v>
      </c>
      <c r="Y60" s="124">
        <v>90.6</v>
      </c>
      <c r="Z60" s="123">
        <v>90.6</v>
      </c>
      <c r="AA60" s="123">
        <v>90.6</v>
      </c>
      <c r="AB60" s="123">
        <v>91.5</v>
      </c>
      <c r="AC60" s="123">
        <v>91.5</v>
      </c>
      <c r="AD60" s="123">
        <v>91.5</v>
      </c>
      <c r="AE60" s="123">
        <v>91.5</v>
      </c>
      <c r="AF60" s="123">
        <v>91.5</v>
      </c>
      <c r="AG60" s="123">
        <v>91.5</v>
      </c>
      <c r="AH60" s="123">
        <v>91.5</v>
      </c>
      <c r="AI60" s="123">
        <v>92.9</v>
      </c>
      <c r="AJ60" s="123">
        <v>92.9</v>
      </c>
      <c r="AK60" s="123">
        <v>92.9</v>
      </c>
      <c r="AL60" s="123">
        <v>92.9</v>
      </c>
      <c r="AM60" s="123">
        <v>100.5</v>
      </c>
      <c r="AN60" s="123">
        <v>100.5</v>
      </c>
      <c r="AO60" s="123">
        <v>100.5</v>
      </c>
      <c r="AP60" s="123">
        <v>100.6</v>
      </c>
      <c r="AQ60" s="123">
        <v>100.6</v>
      </c>
      <c r="AR60" s="123">
        <v>100.7</v>
      </c>
      <c r="AS60" s="123">
        <v>100.7</v>
      </c>
      <c r="AT60" s="123">
        <v>100.7</v>
      </c>
      <c r="AU60" s="123">
        <v>100.7</v>
      </c>
      <c r="AV60" s="123">
        <v>100.7</v>
      </c>
      <c r="AW60" s="123">
        <v>100.7</v>
      </c>
      <c r="AX60" s="700">
        <v>100.7</v>
      </c>
      <c r="AY60" s="700">
        <v>100.7</v>
      </c>
      <c r="AZ60" s="700">
        <v>100.7</v>
      </c>
      <c r="BA60" s="700">
        <v>100.7</v>
      </c>
      <c r="BB60" s="700">
        <v>100.7</v>
      </c>
      <c r="BC60" s="700">
        <v>100.7</v>
      </c>
      <c r="BD60" s="700">
        <v>100.7</v>
      </c>
      <c r="BE60" s="731">
        <v>100.7</v>
      </c>
      <c r="BF60" s="731">
        <v>96.4</v>
      </c>
      <c r="BG60" s="731">
        <v>96.4</v>
      </c>
      <c r="BH60" s="731">
        <v>96.6</v>
      </c>
      <c r="BI60" s="731">
        <v>97.9</v>
      </c>
      <c r="BJ60" s="731"/>
      <c r="BK60" s="731"/>
      <c r="BL60" s="648">
        <f>AVERAGE(AL60:AW60)</f>
        <v>99.983333333333348</v>
      </c>
      <c r="BM60" s="648">
        <f t="shared" si="0"/>
        <v>99.408333333333346</v>
      </c>
      <c r="BN60" s="718">
        <f t="shared" si="1"/>
        <v>-5.7509584930821589E-3</v>
      </c>
    </row>
    <row r="61" spans="1:66">
      <c r="A61" s="81" t="s">
        <v>122</v>
      </c>
      <c r="B61" s="125">
        <v>112.27796066457054</v>
      </c>
      <c r="C61" s="126">
        <v>112.27796066457054</v>
      </c>
      <c r="D61" s="126">
        <v>112.49592858088799</v>
      </c>
      <c r="E61" s="126">
        <v>112.27796066457054</v>
      </c>
      <c r="F61" s="126">
        <v>114.27362520239008</v>
      </c>
      <c r="G61" s="126">
        <v>114.27362520239008</v>
      </c>
      <c r="H61" s="126">
        <v>114.27362520239008</v>
      </c>
      <c r="I61" s="126">
        <v>114.85817128236498</v>
      </c>
      <c r="J61" s="126">
        <v>114.85817128236498</v>
      </c>
      <c r="K61" s="126">
        <v>114.85817128236498</v>
      </c>
      <c r="L61" s="126">
        <v>114.85817128236498</v>
      </c>
      <c r="M61" s="127">
        <v>114.85817128236498</v>
      </c>
      <c r="N61" s="125">
        <v>114.85817128236498</v>
      </c>
      <c r="O61" s="126">
        <v>114.85817128236498</v>
      </c>
      <c r="P61" s="126">
        <v>114.85817128236498</v>
      </c>
      <c r="Q61" s="126">
        <v>119.40697944902945</v>
      </c>
      <c r="R61" s="126">
        <v>123.3320556307349</v>
      </c>
      <c r="S61" s="126">
        <v>124.74154069621414</v>
      </c>
      <c r="T61" s="126">
        <v>124.42758042334046</v>
      </c>
      <c r="U61" s="74">
        <v>124.42758042334046</v>
      </c>
      <c r="V61" s="74">
        <v>124.42758042334046</v>
      </c>
      <c r="W61" s="74">
        <v>124.42758042334046</v>
      </c>
      <c r="X61" s="74">
        <v>125.0428632646944</v>
      </c>
      <c r="Y61" s="127">
        <v>125.0428632646944</v>
      </c>
      <c r="Z61" s="126">
        <v>125.0428632646944</v>
      </c>
      <c r="AA61" s="126">
        <v>125.0428632646944</v>
      </c>
      <c r="AB61" s="126">
        <v>126.35501391156431</v>
      </c>
      <c r="AC61" s="126">
        <v>126.35501391156431</v>
      </c>
      <c r="AD61" s="126">
        <v>126.35501391156431</v>
      </c>
      <c r="AE61" s="126">
        <v>126.35501391156431</v>
      </c>
      <c r="AF61" s="126">
        <v>126.35501391156431</v>
      </c>
      <c r="AG61" s="126">
        <v>126.35501391156431</v>
      </c>
      <c r="AH61" s="126">
        <v>126.35501391156431</v>
      </c>
      <c r="AI61" s="126">
        <v>128.20449632627853</v>
      </c>
      <c r="AJ61" s="126">
        <v>128.20449632627853</v>
      </c>
      <c r="AK61" s="126">
        <v>128.20449632627853</v>
      </c>
      <c r="AL61" s="126">
        <v>128.20449632627853</v>
      </c>
      <c r="AM61" s="126">
        <v>138.73431083978619</v>
      </c>
      <c r="AN61" s="126">
        <v>138.73431083978619</v>
      </c>
      <c r="AO61" s="126">
        <v>138.73431083978619</v>
      </c>
      <c r="AP61" s="126">
        <v>138.84867697471154</v>
      </c>
      <c r="AQ61" s="126">
        <v>138.84867697471154</v>
      </c>
      <c r="AR61" s="126">
        <v>139.03180037758679</v>
      </c>
      <c r="AS61" s="126">
        <v>139.03180037758679</v>
      </c>
      <c r="AT61" s="126">
        <v>139.03180037758679</v>
      </c>
      <c r="AU61" s="126">
        <v>139.03180037758679</v>
      </c>
      <c r="AV61" s="126">
        <v>139.03180037758679</v>
      </c>
      <c r="AW61" s="126">
        <v>139.03180037758679</v>
      </c>
      <c r="AX61" s="701">
        <v>139.03180037758679</v>
      </c>
      <c r="AY61" s="701">
        <v>139.03180037758679</v>
      </c>
      <c r="AZ61" s="701">
        <v>139.03180037758679</v>
      </c>
      <c r="BA61" s="701">
        <v>139.03180037758679</v>
      </c>
      <c r="BB61" s="701">
        <v>139.03180037758679</v>
      </c>
      <c r="BC61" s="701">
        <v>139.03180037758679</v>
      </c>
      <c r="BD61" s="701">
        <v>139.03180037758679</v>
      </c>
      <c r="BE61" s="732"/>
      <c r="BF61" s="732"/>
      <c r="BG61" s="732"/>
      <c r="BH61" s="732"/>
      <c r="BI61" s="732"/>
      <c r="BJ61" s="732"/>
      <c r="BK61" s="732"/>
      <c r="BL61" s="648">
        <f>AVERAGE(AL61:AW61)</f>
        <v>138.02463208838171</v>
      </c>
      <c r="BM61" s="648">
        <f t="shared" si="0"/>
        <v>139.03180037758679</v>
      </c>
      <c r="BN61" s="718">
        <f t="shared" si="1"/>
        <v>7.2970184666760751E-3</v>
      </c>
    </row>
    <row r="62" spans="1:66">
      <c r="A62" s="83" t="s">
        <v>122</v>
      </c>
      <c r="B62" s="128">
        <v>112.27796066457054</v>
      </c>
      <c r="C62" s="129">
        <v>112.27796066457054</v>
      </c>
      <c r="D62" s="129">
        <v>112.49592858088799</v>
      </c>
      <c r="E62" s="129">
        <v>112.27796066457054</v>
      </c>
      <c r="F62" s="129">
        <v>114.27362520239008</v>
      </c>
      <c r="G62" s="129">
        <v>114.27362520239008</v>
      </c>
      <c r="H62" s="129">
        <v>114.27362520239008</v>
      </c>
      <c r="I62" s="129">
        <v>114.85817128236498</v>
      </c>
      <c r="J62" s="129">
        <v>114.85817128236498</v>
      </c>
      <c r="K62" s="129">
        <v>114.85817128236498</v>
      </c>
      <c r="L62" s="129">
        <v>114.85817128236498</v>
      </c>
      <c r="M62" s="130">
        <v>114.85817128236498</v>
      </c>
      <c r="N62" s="128">
        <v>114.85817128236498</v>
      </c>
      <c r="O62" s="129">
        <v>114.85817128236498</v>
      </c>
      <c r="P62" s="129">
        <v>114.85817128236498</v>
      </c>
      <c r="Q62" s="129">
        <v>119.40697944902945</v>
      </c>
      <c r="R62" s="129">
        <v>123.3320556307349</v>
      </c>
      <c r="S62" s="129">
        <v>124.74154069621414</v>
      </c>
      <c r="T62" s="129">
        <v>124.42758042334046</v>
      </c>
      <c r="U62" s="75">
        <v>124.42758042334046</v>
      </c>
      <c r="V62" s="75">
        <v>124.42758042334046</v>
      </c>
      <c r="W62" s="75">
        <v>124.42758042334046</v>
      </c>
      <c r="X62" s="75">
        <v>125.0428632646944</v>
      </c>
      <c r="Y62" s="130">
        <v>125.0428632646944</v>
      </c>
      <c r="Z62" s="129">
        <v>125.0428632646944</v>
      </c>
      <c r="AA62" s="129">
        <v>125.0428632646944</v>
      </c>
      <c r="AB62" s="129">
        <v>126.35501391156431</v>
      </c>
      <c r="AC62" s="129">
        <v>126.35501391156431</v>
      </c>
      <c r="AD62" s="129">
        <v>126.35501391156431</v>
      </c>
      <c r="AE62" s="129">
        <v>126.35501391156431</v>
      </c>
      <c r="AF62" s="129">
        <v>126.35501391156431</v>
      </c>
      <c r="AG62" s="129">
        <v>126.35501391156431</v>
      </c>
      <c r="AH62" s="129">
        <v>126.35501391156431</v>
      </c>
      <c r="AI62" s="129">
        <v>128.20449632627853</v>
      </c>
      <c r="AJ62" s="129">
        <v>128.20449632627853</v>
      </c>
      <c r="AK62" s="129">
        <v>128.20449632627853</v>
      </c>
      <c r="AL62" s="129">
        <v>128.20449632627853</v>
      </c>
      <c r="AM62" s="129">
        <v>138.73431083978619</v>
      </c>
      <c r="AN62" s="129">
        <v>138.73431083978619</v>
      </c>
      <c r="AO62" s="129">
        <v>138.73431083978619</v>
      </c>
      <c r="AP62" s="129">
        <v>138.84867697471154</v>
      </c>
      <c r="AQ62" s="129">
        <v>138.84867697471154</v>
      </c>
      <c r="AR62" s="129">
        <v>139.03180037758679</v>
      </c>
      <c r="AS62" s="129">
        <v>139.03180037758679</v>
      </c>
      <c r="AT62" s="129">
        <v>139.03180037758679</v>
      </c>
      <c r="AU62" s="129">
        <v>139.03180037758679</v>
      </c>
      <c r="AV62" s="129">
        <v>139.03180037758679</v>
      </c>
      <c r="AW62" s="129">
        <v>139.03180037758679</v>
      </c>
      <c r="AX62" s="702">
        <v>139.03180037758679</v>
      </c>
      <c r="AY62" s="702">
        <v>139.03180037758679</v>
      </c>
      <c r="AZ62" s="702">
        <v>139.03180037758679</v>
      </c>
      <c r="BA62" s="702">
        <v>139.03180037758679</v>
      </c>
      <c r="BB62" s="702">
        <v>139.03180037758679</v>
      </c>
      <c r="BC62" s="702">
        <v>139.03180037758679</v>
      </c>
      <c r="BD62" s="702">
        <v>139.03180037758679</v>
      </c>
      <c r="BE62" s="733"/>
      <c r="BF62" s="733"/>
      <c r="BG62" s="733"/>
      <c r="BH62" s="733"/>
      <c r="BI62" s="733"/>
      <c r="BJ62" s="733"/>
      <c r="BK62" s="733"/>
      <c r="BL62" s="648">
        <f>AVERAGE(AL62:AW62)</f>
        <v>138.02463208838171</v>
      </c>
      <c r="BM62" s="648">
        <f t="shared" si="0"/>
        <v>139.03180037758679</v>
      </c>
      <c r="BN62" s="718">
        <f t="shared" si="1"/>
        <v>7.2970184666760751E-3</v>
      </c>
    </row>
    <row r="63" spans="1:66">
      <c r="A63" s="794" t="s">
        <v>123</v>
      </c>
      <c r="B63" s="122">
        <v>144.86182778067544</v>
      </c>
      <c r="C63" s="123">
        <v>144.86182778067544</v>
      </c>
      <c r="D63" s="123">
        <v>144.86182778067544</v>
      </c>
      <c r="E63" s="123">
        <v>144.86182778067544</v>
      </c>
      <c r="F63" s="123">
        <v>144.86182778067544</v>
      </c>
      <c r="G63" s="123">
        <v>144.86182778067544</v>
      </c>
      <c r="H63" s="123">
        <v>144.86182778067544</v>
      </c>
      <c r="I63" s="123">
        <v>144.86182778067544</v>
      </c>
      <c r="J63" s="123">
        <v>144.86182778067544</v>
      </c>
      <c r="K63" s="123">
        <v>144.86182778067544</v>
      </c>
      <c r="L63" s="123">
        <v>144.86182778067544</v>
      </c>
      <c r="M63" s="124">
        <v>144.86182778067544</v>
      </c>
      <c r="N63" s="122">
        <v>144.86182778067544</v>
      </c>
      <c r="O63" s="123">
        <v>144.86182778067544</v>
      </c>
      <c r="P63" s="123">
        <v>144.86182778067544</v>
      </c>
      <c r="Q63" s="123">
        <v>144.86182778067544</v>
      </c>
      <c r="R63" s="123">
        <v>144.86182778067544</v>
      </c>
      <c r="S63" s="123">
        <v>144.86182778067544</v>
      </c>
      <c r="T63" s="123">
        <v>144.86182778067544</v>
      </c>
      <c r="U63" s="73">
        <v>144.86182778067544</v>
      </c>
      <c r="V63" s="73">
        <v>144.86182778067544</v>
      </c>
      <c r="W63" s="73">
        <v>144.86182778067544</v>
      </c>
      <c r="X63" s="73">
        <v>144.86182778067544</v>
      </c>
      <c r="Y63" s="124">
        <v>144.86182778067544</v>
      </c>
      <c r="Z63" s="123">
        <v>144.86182778067544</v>
      </c>
      <c r="AA63" s="123">
        <v>144.86182778067544</v>
      </c>
      <c r="AB63" s="123">
        <v>144.86182778067544</v>
      </c>
      <c r="AC63" s="123">
        <v>144.86182778067544</v>
      </c>
      <c r="AD63" s="123">
        <v>144.86182778067544</v>
      </c>
      <c r="AE63" s="123">
        <v>144.86182778067544</v>
      </c>
      <c r="AF63" s="123">
        <v>144.86182778067544</v>
      </c>
      <c r="AG63" s="123">
        <v>144.86182778067544</v>
      </c>
      <c r="AH63" s="123">
        <v>144.86182778067544</v>
      </c>
      <c r="AI63" s="123">
        <v>144.86182778067544</v>
      </c>
      <c r="AJ63" s="123">
        <v>144.86182778067544</v>
      </c>
      <c r="AK63" s="123">
        <v>144.86182778067544</v>
      </c>
      <c r="AL63" s="123">
        <v>144.86182778067544</v>
      </c>
      <c r="AM63" s="123">
        <v>144.86182778067544</v>
      </c>
      <c r="AN63" s="123">
        <v>144.86182778067544</v>
      </c>
      <c r="AO63" s="123">
        <v>144.86182778067544</v>
      </c>
      <c r="AP63" s="123">
        <v>144.86182778067544</v>
      </c>
      <c r="AQ63" s="123">
        <v>144.86182778067544</v>
      </c>
      <c r="AR63" s="123">
        <v>144.86182778067544</v>
      </c>
      <c r="AS63" s="123">
        <v>144.86182778067544</v>
      </c>
      <c r="AT63" s="123">
        <v>144.86182778067544</v>
      </c>
      <c r="AU63" s="123">
        <v>144.86182778067544</v>
      </c>
      <c r="AV63" s="123">
        <v>144.86182778067544</v>
      </c>
      <c r="AW63" s="123">
        <v>144.86182778067544</v>
      </c>
      <c r="AX63" s="700">
        <v>144.86182778067544</v>
      </c>
      <c r="AY63" s="700">
        <v>144.86182778067544</v>
      </c>
      <c r="AZ63" s="700">
        <v>144.86182778067544</v>
      </c>
      <c r="BA63" s="700">
        <v>144.86182778067544</v>
      </c>
      <c r="BB63" s="700">
        <v>144.86182778067544</v>
      </c>
      <c r="BC63" s="700">
        <v>144.86182778067544</v>
      </c>
      <c r="BD63" s="700">
        <v>144.86182778067544</v>
      </c>
      <c r="BE63" s="731"/>
      <c r="BF63" s="731"/>
      <c r="BG63" s="731"/>
      <c r="BH63" s="731"/>
      <c r="BI63" s="731"/>
      <c r="BJ63" s="731"/>
      <c r="BK63" s="731"/>
      <c r="BL63" s="648">
        <f>AVERAGE(AL63:AW63)</f>
        <v>144.86182778067544</v>
      </c>
      <c r="BM63" s="648">
        <f t="shared" si="0"/>
        <v>144.86182778067544</v>
      </c>
      <c r="BN63" s="718">
        <f t="shared" si="1"/>
        <v>0</v>
      </c>
    </row>
    <row r="64" spans="1:66">
      <c r="A64" s="81" t="s">
        <v>123</v>
      </c>
      <c r="B64" s="125">
        <v>144.86182778067544</v>
      </c>
      <c r="C64" s="126">
        <v>144.86182778067544</v>
      </c>
      <c r="D64" s="126">
        <v>144.86182778067544</v>
      </c>
      <c r="E64" s="126">
        <v>144.86182778067544</v>
      </c>
      <c r="F64" s="126">
        <v>144.86182778067544</v>
      </c>
      <c r="G64" s="126">
        <v>144.86182778067544</v>
      </c>
      <c r="H64" s="126">
        <v>144.86182778067544</v>
      </c>
      <c r="I64" s="126">
        <v>144.86182778067544</v>
      </c>
      <c r="J64" s="126">
        <v>144.86182778067544</v>
      </c>
      <c r="K64" s="126">
        <v>144.86182778067544</v>
      </c>
      <c r="L64" s="126">
        <v>144.86182778067544</v>
      </c>
      <c r="M64" s="127">
        <v>144.86182778067544</v>
      </c>
      <c r="N64" s="125">
        <v>144.86182778067544</v>
      </c>
      <c r="O64" s="126">
        <v>144.86182778067544</v>
      </c>
      <c r="P64" s="126">
        <v>144.86182778067544</v>
      </c>
      <c r="Q64" s="126">
        <v>144.86182778067544</v>
      </c>
      <c r="R64" s="126">
        <v>144.86182778067544</v>
      </c>
      <c r="S64" s="126">
        <v>144.86182778067544</v>
      </c>
      <c r="T64" s="126">
        <v>144.86182778067544</v>
      </c>
      <c r="U64" s="74">
        <v>144.86182778067544</v>
      </c>
      <c r="V64" s="74">
        <v>144.86182778067544</v>
      </c>
      <c r="W64" s="74">
        <v>144.86182778067544</v>
      </c>
      <c r="X64" s="74">
        <v>144.86182778067544</v>
      </c>
      <c r="Y64" s="127">
        <v>144.86182778067544</v>
      </c>
      <c r="Z64" s="126">
        <v>144.86182778067544</v>
      </c>
      <c r="AA64" s="126">
        <v>144.86182778067544</v>
      </c>
      <c r="AB64" s="126">
        <v>144.86182778067544</v>
      </c>
      <c r="AC64" s="126">
        <v>144.86182778067544</v>
      </c>
      <c r="AD64" s="126">
        <v>144.86182778067544</v>
      </c>
      <c r="AE64" s="126">
        <v>144.86182778067544</v>
      </c>
      <c r="AF64" s="126">
        <v>144.86182778067544</v>
      </c>
      <c r="AG64" s="126">
        <v>144.86182778067544</v>
      </c>
      <c r="AH64" s="126">
        <v>144.86182778067544</v>
      </c>
      <c r="AI64" s="126">
        <v>144.86182778067544</v>
      </c>
      <c r="AJ64" s="126">
        <v>144.86182778067544</v>
      </c>
      <c r="AK64" s="126">
        <v>144.86182778067544</v>
      </c>
      <c r="AL64" s="126">
        <v>144.86182778067544</v>
      </c>
      <c r="AM64" s="126">
        <v>144.86182778067544</v>
      </c>
      <c r="AN64" s="126">
        <v>144.86182778067544</v>
      </c>
      <c r="AO64" s="126">
        <v>144.86182778067544</v>
      </c>
      <c r="AP64" s="126">
        <v>144.86182778067544</v>
      </c>
      <c r="AQ64" s="126">
        <v>144.86182778067544</v>
      </c>
      <c r="AR64" s="126">
        <v>144.86182778067544</v>
      </c>
      <c r="AS64" s="126">
        <v>144.86182778067544</v>
      </c>
      <c r="AT64" s="126">
        <v>144.86182778067544</v>
      </c>
      <c r="AU64" s="126">
        <v>144.86182778067544</v>
      </c>
      <c r="AV64" s="126">
        <v>144.86182778067544</v>
      </c>
      <c r="AW64" s="126">
        <v>144.86182778067544</v>
      </c>
      <c r="AX64" s="701">
        <v>144.86182778067544</v>
      </c>
      <c r="AY64" s="701">
        <v>144.86182778067544</v>
      </c>
      <c r="AZ64" s="701">
        <v>144.86182778067544</v>
      </c>
      <c r="BA64" s="701">
        <v>144.86182778067544</v>
      </c>
      <c r="BB64" s="701">
        <v>144.86182778067544</v>
      </c>
      <c r="BC64" s="701">
        <v>144.86182778067544</v>
      </c>
      <c r="BD64" s="701">
        <v>144.86182778067544</v>
      </c>
      <c r="BE64" s="732"/>
      <c r="BF64" s="732"/>
      <c r="BG64" s="732"/>
      <c r="BH64" s="732"/>
      <c r="BI64" s="732"/>
      <c r="BJ64" s="732"/>
      <c r="BK64" s="732"/>
      <c r="BL64" s="648">
        <f>AVERAGE(AL64:AW64)</f>
        <v>144.86182778067544</v>
      </c>
      <c r="BM64" s="648">
        <f t="shared" si="0"/>
        <v>144.86182778067544</v>
      </c>
      <c r="BN64" s="718">
        <f t="shared" si="1"/>
        <v>0</v>
      </c>
    </row>
    <row r="65" spans="1:66">
      <c r="A65" s="83" t="s">
        <v>123</v>
      </c>
      <c r="B65" s="128">
        <v>144.86182778067544</v>
      </c>
      <c r="C65" s="129">
        <v>144.86182778067544</v>
      </c>
      <c r="D65" s="129">
        <v>144.86182778067544</v>
      </c>
      <c r="E65" s="129">
        <v>144.86182778067544</v>
      </c>
      <c r="F65" s="129">
        <v>144.86182778067544</v>
      </c>
      <c r="G65" s="129">
        <v>144.86182778067544</v>
      </c>
      <c r="H65" s="129">
        <v>144.86182778067544</v>
      </c>
      <c r="I65" s="129">
        <v>144.86182778067544</v>
      </c>
      <c r="J65" s="129">
        <v>144.86182778067544</v>
      </c>
      <c r="K65" s="129">
        <v>144.86182778067544</v>
      </c>
      <c r="L65" s="129">
        <v>144.86182778067544</v>
      </c>
      <c r="M65" s="130">
        <v>144.86182778067544</v>
      </c>
      <c r="N65" s="128">
        <v>144.86182778067544</v>
      </c>
      <c r="O65" s="129">
        <v>144.86182778067544</v>
      </c>
      <c r="P65" s="129">
        <v>144.86182778067544</v>
      </c>
      <c r="Q65" s="129">
        <v>144.86182778067544</v>
      </c>
      <c r="R65" s="129">
        <v>144.86182778067544</v>
      </c>
      <c r="S65" s="129">
        <v>144.86182778067544</v>
      </c>
      <c r="T65" s="129">
        <v>144.86182778067544</v>
      </c>
      <c r="U65" s="75">
        <v>144.86182778067544</v>
      </c>
      <c r="V65" s="75">
        <v>144.86182778067544</v>
      </c>
      <c r="W65" s="75">
        <v>144.86182778067544</v>
      </c>
      <c r="X65" s="75">
        <v>144.86182778067544</v>
      </c>
      <c r="Y65" s="130">
        <v>144.86182778067544</v>
      </c>
      <c r="Z65" s="129">
        <v>144.86182778067544</v>
      </c>
      <c r="AA65" s="129">
        <v>144.86182778067544</v>
      </c>
      <c r="AB65" s="129">
        <v>144.86182778067544</v>
      </c>
      <c r="AC65" s="129">
        <v>144.86182778067544</v>
      </c>
      <c r="AD65" s="129">
        <v>144.86182778067544</v>
      </c>
      <c r="AE65" s="129">
        <v>144.86182778067544</v>
      </c>
      <c r="AF65" s="129">
        <v>144.86182778067544</v>
      </c>
      <c r="AG65" s="129">
        <v>144.86182778067544</v>
      </c>
      <c r="AH65" s="129">
        <v>144.86182778067544</v>
      </c>
      <c r="AI65" s="129">
        <v>144.86182778067544</v>
      </c>
      <c r="AJ65" s="129">
        <v>144.86182778067544</v>
      </c>
      <c r="AK65" s="129">
        <v>144.86182778067544</v>
      </c>
      <c r="AL65" s="129">
        <v>144.86182778067544</v>
      </c>
      <c r="AM65" s="129">
        <v>144.86182778067544</v>
      </c>
      <c r="AN65" s="129">
        <v>144.86182778067544</v>
      </c>
      <c r="AO65" s="129">
        <v>144.86182778067544</v>
      </c>
      <c r="AP65" s="129">
        <v>144.86182778067544</v>
      </c>
      <c r="AQ65" s="129">
        <v>144.86182778067544</v>
      </c>
      <c r="AR65" s="129">
        <v>144.86182778067544</v>
      </c>
      <c r="AS65" s="129">
        <v>144.86182778067544</v>
      </c>
      <c r="AT65" s="129">
        <v>144.86182778067544</v>
      </c>
      <c r="AU65" s="129">
        <v>144.86182778067544</v>
      </c>
      <c r="AV65" s="129">
        <v>144.86182778067544</v>
      </c>
      <c r="AW65" s="129">
        <v>144.86182778067544</v>
      </c>
      <c r="AX65" s="702">
        <v>144.86182778067544</v>
      </c>
      <c r="AY65" s="702">
        <v>144.86182778067544</v>
      </c>
      <c r="AZ65" s="702">
        <v>144.86182778067544</v>
      </c>
      <c r="BA65" s="702">
        <v>144.86182778067544</v>
      </c>
      <c r="BB65" s="702">
        <v>144.86182778067544</v>
      </c>
      <c r="BC65" s="702">
        <v>144.86182778067544</v>
      </c>
      <c r="BD65" s="702">
        <v>144.86182778067544</v>
      </c>
      <c r="BE65" s="733"/>
      <c r="BF65" s="733"/>
      <c r="BG65" s="733"/>
      <c r="BH65" s="733"/>
      <c r="BI65" s="733"/>
      <c r="BJ65" s="733"/>
      <c r="BK65" s="733"/>
      <c r="BL65" s="648">
        <f>AVERAGE(AL65:AW65)</f>
        <v>144.86182778067544</v>
      </c>
      <c r="BM65" s="648">
        <f t="shared" si="0"/>
        <v>144.86182778067544</v>
      </c>
      <c r="BN65" s="718">
        <f t="shared" si="1"/>
        <v>0</v>
      </c>
    </row>
    <row r="66" spans="1:66">
      <c r="A66" s="795" t="s">
        <v>124</v>
      </c>
      <c r="B66" s="122">
        <v>156.11061552185549</v>
      </c>
      <c r="C66" s="123">
        <v>156.11061552185549</v>
      </c>
      <c r="D66" s="123">
        <v>156.11061552185549</v>
      </c>
      <c r="E66" s="123">
        <v>156.11061552185549</v>
      </c>
      <c r="F66" s="123">
        <v>156.11061552185549</v>
      </c>
      <c r="G66" s="123">
        <v>156.11061552185549</v>
      </c>
      <c r="H66" s="123">
        <v>156.11061552185549</v>
      </c>
      <c r="I66" s="123">
        <v>156.11061552185549</v>
      </c>
      <c r="J66" s="123">
        <v>156.11061552185549</v>
      </c>
      <c r="K66" s="123">
        <v>156.11061552185549</v>
      </c>
      <c r="L66" s="123">
        <v>156.11061552185549</v>
      </c>
      <c r="M66" s="124">
        <v>156.11061552185549</v>
      </c>
      <c r="N66" s="122">
        <v>156.11061552185549</v>
      </c>
      <c r="O66" s="123">
        <v>156.11061552185549</v>
      </c>
      <c r="P66" s="123">
        <v>156.11061552185549</v>
      </c>
      <c r="Q66" s="123">
        <v>156.11061552185549</v>
      </c>
      <c r="R66" s="123">
        <v>156.11061552185549</v>
      </c>
      <c r="S66" s="123">
        <v>156.11061552185549</v>
      </c>
      <c r="T66" s="123">
        <v>156.11061552185549</v>
      </c>
      <c r="U66" s="73">
        <v>156.11061552185549</v>
      </c>
      <c r="V66" s="73">
        <v>156.11061552185549</v>
      </c>
      <c r="W66" s="73">
        <v>156.11061552185549</v>
      </c>
      <c r="X66" s="73">
        <v>156.11061552185549</v>
      </c>
      <c r="Y66" s="124">
        <v>156.11061552185549</v>
      </c>
      <c r="Z66" s="123">
        <v>156.11061552185549</v>
      </c>
      <c r="AA66" s="123">
        <v>156.11061552185549</v>
      </c>
      <c r="AB66" s="123">
        <v>156.11061552185549</v>
      </c>
      <c r="AC66" s="123">
        <v>156.11061552185549</v>
      </c>
      <c r="AD66" s="123">
        <v>156.11061552185549</v>
      </c>
      <c r="AE66" s="123">
        <v>156.11061552185549</v>
      </c>
      <c r="AF66" s="123">
        <v>156.11061552185549</v>
      </c>
      <c r="AG66" s="123">
        <v>156.11061552185549</v>
      </c>
      <c r="AH66" s="123">
        <v>156.11061552185549</v>
      </c>
      <c r="AI66" s="123">
        <v>156.11061552185549</v>
      </c>
      <c r="AJ66" s="123">
        <v>156.11061552185549</v>
      </c>
      <c r="AK66" s="123">
        <v>156.11061552185549</v>
      </c>
      <c r="AL66" s="123">
        <v>156.11061552185549</v>
      </c>
      <c r="AM66" s="123">
        <v>156.11061552185549</v>
      </c>
      <c r="AN66" s="123">
        <v>156.11061552185549</v>
      </c>
      <c r="AO66" s="123">
        <v>156.11061552185549</v>
      </c>
      <c r="AP66" s="123">
        <v>156.11061552185549</v>
      </c>
      <c r="AQ66" s="123">
        <v>156.11061552185549</v>
      </c>
      <c r="AR66" s="123">
        <v>156.11061552185549</v>
      </c>
      <c r="AS66" s="123">
        <v>156.11061552185549</v>
      </c>
      <c r="AT66" s="123">
        <v>156.11061552185549</v>
      </c>
      <c r="AU66" s="123">
        <v>156.11061552185549</v>
      </c>
      <c r="AV66" s="123">
        <v>156.11061552185549</v>
      </c>
      <c r="AW66" s="123">
        <v>156.11061552185549</v>
      </c>
      <c r="AX66" s="700">
        <v>156.11061552185549</v>
      </c>
      <c r="AY66" s="700">
        <v>156.11061552185549</v>
      </c>
      <c r="AZ66" s="700">
        <v>156.11061552185549</v>
      </c>
      <c r="BA66" s="700">
        <v>156.11061552185549</v>
      </c>
      <c r="BB66" s="700">
        <v>156.11061552185549</v>
      </c>
      <c r="BC66" s="700">
        <v>156.11061552185549</v>
      </c>
      <c r="BD66" s="700">
        <v>156.11061552185549</v>
      </c>
      <c r="BE66" s="731"/>
      <c r="BF66" s="731"/>
      <c r="BG66" s="731"/>
      <c r="BH66" s="731"/>
      <c r="BI66" s="731"/>
      <c r="BJ66" s="731"/>
      <c r="BK66" s="731"/>
      <c r="BL66" s="648">
        <f>AVERAGE(AL66:AW66)</f>
        <v>156.11061552185546</v>
      </c>
      <c r="BM66" s="648">
        <f t="shared" si="0"/>
        <v>156.11061552185552</v>
      </c>
      <c r="BN66" s="718">
        <f t="shared" si="1"/>
        <v>0</v>
      </c>
    </row>
    <row r="67" spans="1:66">
      <c r="A67" s="85" t="s">
        <v>125</v>
      </c>
      <c r="B67" s="125">
        <v>156.11061552185549</v>
      </c>
      <c r="C67" s="126">
        <v>156.11061552185549</v>
      </c>
      <c r="D67" s="126">
        <v>156.11061552185549</v>
      </c>
      <c r="E67" s="126">
        <v>156.11061552185549</v>
      </c>
      <c r="F67" s="126">
        <v>156.11061552185549</v>
      </c>
      <c r="G67" s="126">
        <v>156.11061552185549</v>
      </c>
      <c r="H67" s="126">
        <v>156.11061552185549</v>
      </c>
      <c r="I67" s="126">
        <v>156.11061552185549</v>
      </c>
      <c r="J67" s="126">
        <v>156.11061552185549</v>
      </c>
      <c r="K67" s="126">
        <v>156.11061552185549</v>
      </c>
      <c r="L67" s="126">
        <v>156.11061552185549</v>
      </c>
      <c r="M67" s="127">
        <v>156.11061552185549</v>
      </c>
      <c r="N67" s="125">
        <v>156.11061552185549</v>
      </c>
      <c r="O67" s="126">
        <v>156.11061552185549</v>
      </c>
      <c r="P67" s="126">
        <v>156.11061552185549</v>
      </c>
      <c r="Q67" s="126">
        <v>156.11061552185549</v>
      </c>
      <c r="R67" s="126">
        <v>156.11061552185549</v>
      </c>
      <c r="S67" s="126">
        <v>156.11061552185549</v>
      </c>
      <c r="T67" s="126">
        <v>156.11061552185549</v>
      </c>
      <c r="U67" s="74">
        <v>156.11061552185549</v>
      </c>
      <c r="V67" s="74">
        <v>156.11061552185549</v>
      </c>
      <c r="W67" s="74">
        <v>156.11061552185549</v>
      </c>
      <c r="X67" s="74">
        <v>156.11061552185549</v>
      </c>
      <c r="Y67" s="127">
        <v>156.11061552185549</v>
      </c>
      <c r="Z67" s="126">
        <v>156.11061552185549</v>
      </c>
      <c r="AA67" s="126">
        <v>156.11061552185549</v>
      </c>
      <c r="AB67" s="126">
        <v>156.11061552185549</v>
      </c>
      <c r="AC67" s="126">
        <v>156.11061552185549</v>
      </c>
      <c r="AD67" s="126">
        <v>156.11061552185549</v>
      </c>
      <c r="AE67" s="126">
        <v>156.11061552185549</v>
      </c>
      <c r="AF67" s="126">
        <v>156.11061552185549</v>
      </c>
      <c r="AG67" s="126">
        <v>156.11061552185549</v>
      </c>
      <c r="AH67" s="126">
        <v>156.11061552185549</v>
      </c>
      <c r="AI67" s="126">
        <v>156.11061552185549</v>
      </c>
      <c r="AJ67" s="126">
        <v>156.11061552185549</v>
      </c>
      <c r="AK67" s="126">
        <v>156.11061552185549</v>
      </c>
      <c r="AL67" s="126">
        <v>156.11061552185549</v>
      </c>
      <c r="AM67" s="126">
        <v>156.11061552185549</v>
      </c>
      <c r="AN67" s="126">
        <v>156.11061552185549</v>
      </c>
      <c r="AO67" s="126">
        <v>156.11061552185549</v>
      </c>
      <c r="AP67" s="126">
        <v>156.11061552185549</v>
      </c>
      <c r="AQ67" s="126">
        <v>156.11061552185549</v>
      </c>
      <c r="AR67" s="126">
        <v>156.11061552185549</v>
      </c>
      <c r="AS67" s="126">
        <v>156.11061552185549</v>
      </c>
      <c r="AT67" s="126">
        <v>156.11061552185549</v>
      </c>
      <c r="AU67" s="126">
        <v>156.11061552185549</v>
      </c>
      <c r="AV67" s="126">
        <v>156.11061552185549</v>
      </c>
      <c r="AW67" s="126">
        <v>156.11061552185549</v>
      </c>
      <c r="AX67" s="701">
        <v>156.11061552185549</v>
      </c>
      <c r="AY67" s="701">
        <v>156.11061552185549</v>
      </c>
      <c r="AZ67" s="701">
        <v>156.11061552185549</v>
      </c>
      <c r="BA67" s="701">
        <v>156.11061552185549</v>
      </c>
      <c r="BB67" s="701">
        <v>156.11061552185549</v>
      </c>
      <c r="BC67" s="701">
        <v>156.11061552185549</v>
      </c>
      <c r="BD67" s="701">
        <v>156.11061552185549</v>
      </c>
      <c r="BE67" s="732"/>
      <c r="BF67" s="732"/>
      <c r="BG67" s="732"/>
      <c r="BH67" s="732"/>
      <c r="BI67" s="732"/>
      <c r="BJ67" s="732"/>
      <c r="BK67" s="732"/>
      <c r="BL67" s="648">
        <f>AVERAGE(AL67:AW67)</f>
        <v>156.11061552185546</v>
      </c>
      <c r="BM67" s="648">
        <f t="shared" si="0"/>
        <v>156.11061552185552</v>
      </c>
      <c r="BN67" s="718">
        <f t="shared" si="1"/>
        <v>0</v>
      </c>
    </row>
    <row r="68" spans="1:66">
      <c r="A68" s="83" t="s">
        <v>125</v>
      </c>
      <c r="B68" s="128">
        <v>156.11061552185549</v>
      </c>
      <c r="C68" s="129">
        <v>156.11061552185549</v>
      </c>
      <c r="D68" s="129">
        <v>156.11061552185549</v>
      </c>
      <c r="E68" s="129">
        <v>156.11061552185549</v>
      </c>
      <c r="F68" s="129">
        <v>156.11061552185549</v>
      </c>
      <c r="G68" s="129">
        <v>156.11061552185549</v>
      </c>
      <c r="H68" s="129">
        <v>156.11061552185549</v>
      </c>
      <c r="I68" s="129">
        <v>156.11061552185549</v>
      </c>
      <c r="J68" s="129">
        <v>156.11061552185549</v>
      </c>
      <c r="K68" s="129">
        <v>156.11061552185549</v>
      </c>
      <c r="L68" s="129">
        <v>156.11061552185549</v>
      </c>
      <c r="M68" s="130">
        <v>156.11061552185549</v>
      </c>
      <c r="N68" s="128">
        <v>156.11061552185549</v>
      </c>
      <c r="O68" s="129">
        <v>156.11061552185549</v>
      </c>
      <c r="P68" s="129">
        <v>156.11061552185549</v>
      </c>
      <c r="Q68" s="129">
        <v>156.11061552185549</v>
      </c>
      <c r="R68" s="129">
        <v>156.11061552185549</v>
      </c>
      <c r="S68" s="129">
        <v>156.11061552185549</v>
      </c>
      <c r="T68" s="129">
        <v>156.11061552185549</v>
      </c>
      <c r="U68" s="75">
        <v>156.11061552185549</v>
      </c>
      <c r="V68" s="75">
        <v>156.11061552185549</v>
      </c>
      <c r="W68" s="75">
        <v>156.11061552185549</v>
      </c>
      <c r="X68" s="75">
        <v>156.11061552185549</v>
      </c>
      <c r="Y68" s="130">
        <v>156.11061552185549</v>
      </c>
      <c r="Z68" s="129">
        <v>156.11061552185549</v>
      </c>
      <c r="AA68" s="129">
        <v>156.11061552185549</v>
      </c>
      <c r="AB68" s="129">
        <v>156.11061552185549</v>
      </c>
      <c r="AC68" s="129">
        <v>156.11061552185549</v>
      </c>
      <c r="AD68" s="129">
        <v>156.11061552185549</v>
      </c>
      <c r="AE68" s="129">
        <v>156.11061552185549</v>
      </c>
      <c r="AF68" s="129">
        <v>156.11061552185549</v>
      </c>
      <c r="AG68" s="129">
        <v>156.11061552185549</v>
      </c>
      <c r="AH68" s="129">
        <v>156.11061552185549</v>
      </c>
      <c r="AI68" s="129">
        <v>156.11061552185549</v>
      </c>
      <c r="AJ68" s="129">
        <v>156.11061552185549</v>
      </c>
      <c r="AK68" s="129">
        <v>156.11061552185549</v>
      </c>
      <c r="AL68" s="129">
        <v>156.11061552185549</v>
      </c>
      <c r="AM68" s="129">
        <v>156.11061552185549</v>
      </c>
      <c r="AN68" s="129">
        <v>156.11061552185549</v>
      </c>
      <c r="AO68" s="129">
        <v>156.11061552185549</v>
      </c>
      <c r="AP68" s="129">
        <v>156.11061552185549</v>
      </c>
      <c r="AQ68" s="129">
        <v>156.11061552185549</v>
      </c>
      <c r="AR68" s="129">
        <v>156.11061552185549</v>
      </c>
      <c r="AS68" s="129">
        <v>156.11061552185549</v>
      </c>
      <c r="AT68" s="129">
        <v>156.11061552185549</v>
      </c>
      <c r="AU68" s="129">
        <v>156.11061552185549</v>
      </c>
      <c r="AV68" s="129">
        <v>156.11061552185549</v>
      </c>
      <c r="AW68" s="129">
        <v>156.11061552185549</v>
      </c>
      <c r="AX68" s="702">
        <v>156.11061552185549</v>
      </c>
      <c r="AY68" s="702">
        <v>156.11061552185549</v>
      </c>
      <c r="AZ68" s="702">
        <v>156.11061552185549</v>
      </c>
      <c r="BA68" s="702">
        <v>156.11061552185549</v>
      </c>
      <c r="BB68" s="702">
        <v>156.11061552185549</v>
      </c>
      <c r="BC68" s="702">
        <v>156.11061552185549</v>
      </c>
      <c r="BD68" s="702">
        <v>156.11061552185549</v>
      </c>
      <c r="BE68" s="733"/>
      <c r="BF68" s="733"/>
      <c r="BG68" s="733"/>
      <c r="BH68" s="733"/>
      <c r="BI68" s="733"/>
      <c r="BJ68" s="733"/>
      <c r="BK68" s="733"/>
      <c r="BL68" s="648">
        <f>AVERAGE(AL68:AW68)</f>
        <v>156.11061552185546</v>
      </c>
      <c r="BM68" s="648">
        <f t="shared" ref="BM68:BM84" si="2">AVERAGE(AX68:BI68)</f>
        <v>156.11061552185552</v>
      </c>
      <c r="BN68" s="718">
        <f t="shared" ref="BN68:BN84" si="3">BM68/BL68-1</f>
        <v>0</v>
      </c>
    </row>
    <row r="69" spans="1:66">
      <c r="A69" s="80" t="s">
        <v>126</v>
      </c>
      <c r="B69" s="122">
        <v>82.8</v>
      </c>
      <c r="C69" s="123">
        <v>82.8</v>
      </c>
      <c r="D69" s="123">
        <v>82.8</v>
      </c>
      <c r="E69" s="123">
        <v>82.2</v>
      </c>
      <c r="F69" s="123">
        <v>87.6</v>
      </c>
      <c r="G69" s="123">
        <v>87.6</v>
      </c>
      <c r="H69" s="123">
        <v>87.6</v>
      </c>
      <c r="I69" s="123">
        <v>87.6</v>
      </c>
      <c r="J69" s="123">
        <v>87.6</v>
      </c>
      <c r="K69" s="123">
        <v>87.6</v>
      </c>
      <c r="L69" s="123">
        <v>87.6</v>
      </c>
      <c r="M69" s="124">
        <v>88.8</v>
      </c>
      <c r="N69" s="122">
        <v>88.8</v>
      </c>
      <c r="O69" s="123">
        <v>91.7</v>
      </c>
      <c r="P69" s="123">
        <v>92.9</v>
      </c>
      <c r="Q69" s="123">
        <v>92.9</v>
      </c>
      <c r="R69" s="123">
        <v>95.6</v>
      </c>
      <c r="S69" s="123">
        <v>95.6</v>
      </c>
      <c r="T69" s="123">
        <v>95.6</v>
      </c>
      <c r="U69" s="73">
        <v>95.6</v>
      </c>
      <c r="V69" s="73">
        <v>97.3</v>
      </c>
      <c r="W69" s="73">
        <v>97.3</v>
      </c>
      <c r="X69" s="73">
        <v>97.3</v>
      </c>
      <c r="Y69" s="124">
        <v>97.3</v>
      </c>
      <c r="Z69" s="123">
        <v>97.3</v>
      </c>
      <c r="AA69" s="123">
        <v>97.3</v>
      </c>
      <c r="AB69" s="123">
        <v>97.7</v>
      </c>
      <c r="AC69" s="123">
        <v>97.7</v>
      </c>
      <c r="AD69" s="123">
        <v>97.7</v>
      </c>
      <c r="AE69" s="123">
        <v>97.7</v>
      </c>
      <c r="AF69" s="123">
        <v>97.7</v>
      </c>
      <c r="AG69" s="123">
        <v>97.7</v>
      </c>
      <c r="AH69" s="123">
        <v>97.7</v>
      </c>
      <c r="AI69" s="123">
        <v>96.4</v>
      </c>
      <c r="AJ69" s="123">
        <v>96.4</v>
      </c>
      <c r="AK69" s="123">
        <v>97.5</v>
      </c>
      <c r="AL69" s="123">
        <v>98</v>
      </c>
      <c r="AM69" s="123">
        <v>98</v>
      </c>
      <c r="AN69" s="123">
        <v>98.9</v>
      </c>
      <c r="AO69" s="123">
        <v>98.9</v>
      </c>
      <c r="AP69" s="123">
        <v>98.9</v>
      </c>
      <c r="AQ69" s="123">
        <v>101.2</v>
      </c>
      <c r="AR69" s="123">
        <v>101.2</v>
      </c>
      <c r="AS69" s="123">
        <v>100.8</v>
      </c>
      <c r="AT69" s="123">
        <v>100.8</v>
      </c>
      <c r="AU69" s="123">
        <v>100.8</v>
      </c>
      <c r="AV69" s="123">
        <v>100.8</v>
      </c>
      <c r="AW69" s="123">
        <v>101.8</v>
      </c>
      <c r="AX69" s="700">
        <v>101.8</v>
      </c>
      <c r="AY69" s="700">
        <v>101.8</v>
      </c>
      <c r="AZ69" s="700">
        <v>101.8</v>
      </c>
      <c r="BA69" s="700">
        <v>101.8</v>
      </c>
      <c r="BB69" s="700">
        <v>101.8</v>
      </c>
      <c r="BC69" s="700">
        <v>101.8</v>
      </c>
      <c r="BD69" s="700">
        <v>101.8</v>
      </c>
      <c r="BE69" s="731">
        <v>101.8</v>
      </c>
      <c r="BF69" s="731">
        <v>102.6</v>
      </c>
      <c r="BG69" s="731">
        <v>102.6</v>
      </c>
      <c r="BH69" s="731">
        <v>102.6</v>
      </c>
      <c r="BI69" s="731">
        <v>102.6</v>
      </c>
      <c r="BJ69" s="731"/>
      <c r="BK69" s="731"/>
      <c r="BL69" s="648">
        <f>AVERAGE(AL69:AW69)</f>
        <v>100.00833333333333</v>
      </c>
      <c r="BM69" s="648">
        <f t="shared" si="2"/>
        <v>102.06666666666665</v>
      </c>
      <c r="BN69" s="718">
        <f t="shared" si="3"/>
        <v>2.0581618198483254E-2</v>
      </c>
    </row>
    <row r="70" spans="1:66">
      <c r="A70" s="81" t="s">
        <v>126</v>
      </c>
      <c r="B70" s="125">
        <v>115.81244247706506</v>
      </c>
      <c r="C70" s="126">
        <v>115.81244247706503</v>
      </c>
      <c r="D70" s="126">
        <v>115.81244247706503</v>
      </c>
      <c r="E70" s="126">
        <v>114.88487124265072</v>
      </c>
      <c r="F70" s="126">
        <v>122.46113378305905</v>
      </c>
      <c r="G70" s="126">
        <v>122.46113378305905</v>
      </c>
      <c r="H70" s="126">
        <v>122.46113378305905</v>
      </c>
      <c r="I70" s="126">
        <v>122.46113378305905</v>
      </c>
      <c r="J70" s="126">
        <v>122.46113378305905</v>
      </c>
      <c r="K70" s="126">
        <v>122.46113378305905</v>
      </c>
      <c r="L70" s="126">
        <v>122.46113378305905</v>
      </c>
      <c r="M70" s="127">
        <v>124.13772957349623</v>
      </c>
      <c r="N70" s="125">
        <v>124.13772957349623</v>
      </c>
      <c r="O70" s="126">
        <v>128.18120777024004</v>
      </c>
      <c r="P70" s="126">
        <v>129.87739643122262</v>
      </c>
      <c r="Q70" s="126">
        <v>129.87739643122262</v>
      </c>
      <c r="R70" s="126">
        <v>133.66733999871525</v>
      </c>
      <c r="S70" s="126">
        <v>133.66733999871525</v>
      </c>
      <c r="T70" s="126">
        <v>133.66733999871525</v>
      </c>
      <c r="U70" s="74">
        <v>133.66733999871525</v>
      </c>
      <c r="V70" s="74">
        <v>136.09934053375912</v>
      </c>
      <c r="W70" s="74">
        <v>136.09934053375912</v>
      </c>
      <c r="X70" s="74">
        <v>136.09934053375912</v>
      </c>
      <c r="Y70" s="127">
        <v>136.09934053375912</v>
      </c>
      <c r="Z70" s="126">
        <v>136.09934053375912</v>
      </c>
      <c r="AA70" s="126">
        <v>136.09934053375912</v>
      </c>
      <c r="AB70" s="126">
        <v>136.60026003249686</v>
      </c>
      <c r="AC70" s="126">
        <v>136.60026003249689</v>
      </c>
      <c r="AD70" s="126">
        <v>136.60026003249689</v>
      </c>
      <c r="AE70" s="126">
        <v>136.60026003249689</v>
      </c>
      <c r="AF70" s="126">
        <v>136.60026003249689</v>
      </c>
      <c r="AG70" s="126">
        <v>136.60026003249689</v>
      </c>
      <c r="AH70" s="126">
        <v>136.60026003249689</v>
      </c>
      <c r="AI70" s="126">
        <v>134.79612812443557</v>
      </c>
      <c r="AJ70" s="126">
        <v>134.79612812443557</v>
      </c>
      <c r="AK70" s="126">
        <v>136.34320357772594</v>
      </c>
      <c r="AL70" s="126">
        <v>137.09903846742236</v>
      </c>
      <c r="AM70" s="126">
        <v>137.09903846742239</v>
      </c>
      <c r="AN70" s="126">
        <v>138.32012292373403</v>
      </c>
      <c r="AO70" s="126">
        <v>138.32012292373403</v>
      </c>
      <c r="AP70" s="126">
        <v>138.32012292373403</v>
      </c>
      <c r="AQ70" s="126">
        <v>141.53292591641738</v>
      </c>
      <c r="AR70" s="126">
        <v>141.53292591641738</v>
      </c>
      <c r="AS70" s="126">
        <v>140.89806142980737</v>
      </c>
      <c r="AT70" s="126">
        <v>140.89806142980737</v>
      </c>
      <c r="AU70" s="126">
        <v>140.89806142980737</v>
      </c>
      <c r="AV70" s="126">
        <v>140.89806142980737</v>
      </c>
      <c r="AW70" s="126">
        <v>142.31429533030749</v>
      </c>
      <c r="AX70" s="701">
        <v>142.31429533030749</v>
      </c>
      <c r="AY70" s="701">
        <v>142.39179374438345</v>
      </c>
      <c r="AZ70" s="701">
        <v>142.39179374438345</v>
      </c>
      <c r="BA70" s="701">
        <v>142.39179374438345</v>
      </c>
      <c r="BB70" s="701">
        <v>142.39179374438345</v>
      </c>
      <c r="BC70" s="701">
        <v>142.39179374438345</v>
      </c>
      <c r="BD70" s="701">
        <v>142.39179374438345</v>
      </c>
      <c r="BE70" s="732"/>
      <c r="BF70" s="732"/>
      <c r="BG70" s="732"/>
      <c r="BH70" s="732"/>
      <c r="BI70" s="732"/>
      <c r="BJ70" s="732"/>
      <c r="BK70" s="732"/>
      <c r="BL70" s="648">
        <f>AVERAGE(AL70:AW70)</f>
        <v>139.84423654903486</v>
      </c>
      <c r="BM70" s="648">
        <f t="shared" si="2"/>
        <v>142.38072254237258</v>
      </c>
      <c r="BN70" s="718">
        <f t="shared" si="3"/>
        <v>1.8137937293170703E-2</v>
      </c>
    </row>
    <row r="71" spans="1:66">
      <c r="A71" s="83" t="s">
        <v>126</v>
      </c>
      <c r="B71" s="128">
        <v>115.81244247706506</v>
      </c>
      <c r="C71" s="129">
        <v>115.81244247706503</v>
      </c>
      <c r="D71" s="129">
        <v>115.81244247706503</v>
      </c>
      <c r="E71" s="129">
        <v>114.88487124265072</v>
      </c>
      <c r="F71" s="129">
        <v>122.46113378305905</v>
      </c>
      <c r="G71" s="129">
        <v>122.46113378305905</v>
      </c>
      <c r="H71" s="129">
        <v>122.46113378305905</v>
      </c>
      <c r="I71" s="129">
        <v>122.46113378305905</v>
      </c>
      <c r="J71" s="129">
        <v>122.46113378305905</v>
      </c>
      <c r="K71" s="129">
        <v>122.46113378305905</v>
      </c>
      <c r="L71" s="129">
        <v>122.46113378305905</v>
      </c>
      <c r="M71" s="130">
        <v>124.13772957349623</v>
      </c>
      <c r="N71" s="128">
        <v>124.13772957349623</v>
      </c>
      <c r="O71" s="129">
        <v>128.18120777024004</v>
      </c>
      <c r="P71" s="129">
        <v>129.87739643122262</v>
      </c>
      <c r="Q71" s="129">
        <v>129.87739643122262</v>
      </c>
      <c r="R71" s="129">
        <v>133.66733999871525</v>
      </c>
      <c r="S71" s="129">
        <v>133.66733999871525</v>
      </c>
      <c r="T71" s="129">
        <v>133.66733999871525</v>
      </c>
      <c r="U71" s="75">
        <v>133.66733999871525</v>
      </c>
      <c r="V71" s="75">
        <v>136.09934053375912</v>
      </c>
      <c r="W71" s="75">
        <v>136.09934053375912</v>
      </c>
      <c r="X71" s="75">
        <v>136.09934053375912</v>
      </c>
      <c r="Y71" s="130">
        <v>136.09934053375912</v>
      </c>
      <c r="Z71" s="129">
        <v>136.09934053375912</v>
      </c>
      <c r="AA71" s="129">
        <v>136.09934053375912</v>
      </c>
      <c r="AB71" s="129">
        <v>136.60026003249686</v>
      </c>
      <c r="AC71" s="129">
        <v>136.60026003249689</v>
      </c>
      <c r="AD71" s="129">
        <v>136.60026003249689</v>
      </c>
      <c r="AE71" s="129">
        <v>136.60026003249689</v>
      </c>
      <c r="AF71" s="129">
        <v>136.60026003249689</v>
      </c>
      <c r="AG71" s="129">
        <v>136.60026003249689</v>
      </c>
      <c r="AH71" s="129">
        <v>136.60026003249689</v>
      </c>
      <c r="AI71" s="129">
        <v>134.79612812443557</v>
      </c>
      <c r="AJ71" s="129">
        <v>134.79612812443557</v>
      </c>
      <c r="AK71" s="129">
        <v>136.34320357772594</v>
      </c>
      <c r="AL71" s="129">
        <v>137.09903846742236</v>
      </c>
      <c r="AM71" s="129">
        <v>137.09903846742239</v>
      </c>
      <c r="AN71" s="129">
        <v>138.32012292373403</v>
      </c>
      <c r="AO71" s="129">
        <v>138.32012292373403</v>
      </c>
      <c r="AP71" s="129">
        <v>138.32012292373403</v>
      </c>
      <c r="AQ71" s="129">
        <v>141.53292591641738</v>
      </c>
      <c r="AR71" s="129">
        <v>141.53292591641738</v>
      </c>
      <c r="AS71" s="129">
        <v>140.89806142980737</v>
      </c>
      <c r="AT71" s="129">
        <v>140.89806142980737</v>
      </c>
      <c r="AU71" s="129">
        <v>140.89806142980737</v>
      </c>
      <c r="AV71" s="129">
        <v>140.89806142980737</v>
      </c>
      <c r="AW71" s="129">
        <v>142.31429533030749</v>
      </c>
      <c r="AX71" s="702">
        <v>142.31429533030749</v>
      </c>
      <c r="AY71" s="702">
        <v>142.39179374438345</v>
      </c>
      <c r="AZ71" s="702">
        <v>142.39179374438345</v>
      </c>
      <c r="BA71" s="702">
        <v>142.39179374438345</v>
      </c>
      <c r="BB71" s="702">
        <v>142.39179374438345</v>
      </c>
      <c r="BC71" s="702">
        <v>142.39179374438345</v>
      </c>
      <c r="BD71" s="702">
        <v>142.39179374438345</v>
      </c>
      <c r="BE71" s="733"/>
      <c r="BF71" s="733"/>
      <c r="BG71" s="733"/>
      <c r="BH71" s="733"/>
      <c r="BI71" s="733"/>
      <c r="BJ71" s="733"/>
      <c r="BK71" s="733"/>
      <c r="BL71" s="648">
        <f>AVERAGE(AL71:AW71)</f>
        <v>139.84423654903486</v>
      </c>
      <c r="BM71" s="648">
        <f t="shared" si="2"/>
        <v>142.38072254237258</v>
      </c>
      <c r="BN71" s="718">
        <f t="shared" si="3"/>
        <v>1.8137937293170703E-2</v>
      </c>
    </row>
    <row r="72" spans="1:66">
      <c r="A72" s="79" t="s">
        <v>127</v>
      </c>
      <c r="B72" s="119">
        <v>179.5416498789516</v>
      </c>
      <c r="C72" s="120">
        <v>179.5416498789516</v>
      </c>
      <c r="D72" s="120">
        <v>179.5416498789516</v>
      </c>
      <c r="E72" s="120">
        <v>179.5416498789516</v>
      </c>
      <c r="F72" s="120">
        <v>179.5416498789516</v>
      </c>
      <c r="G72" s="120">
        <v>179.5416498789516</v>
      </c>
      <c r="H72" s="120">
        <v>179.5416498789516</v>
      </c>
      <c r="I72" s="120">
        <v>179.5416498789516</v>
      </c>
      <c r="J72" s="120">
        <v>179.5416498789516</v>
      </c>
      <c r="K72" s="120">
        <v>179.5416498789516</v>
      </c>
      <c r="L72" s="120">
        <v>179.5416498789516</v>
      </c>
      <c r="M72" s="121">
        <v>179.5416498789516</v>
      </c>
      <c r="N72" s="119">
        <v>179.5416498789516</v>
      </c>
      <c r="O72" s="120">
        <v>179.5416498789516</v>
      </c>
      <c r="P72" s="120">
        <v>179.5416498789516</v>
      </c>
      <c r="Q72" s="120">
        <v>179.5416498789516</v>
      </c>
      <c r="R72" s="120">
        <v>179.5416498789516</v>
      </c>
      <c r="S72" s="120">
        <v>179.5416498789516</v>
      </c>
      <c r="T72" s="120">
        <v>179.5416498789516</v>
      </c>
      <c r="U72" s="72">
        <v>179.5416498789516</v>
      </c>
      <c r="V72" s="72">
        <v>179.5416498789516</v>
      </c>
      <c r="W72" s="72">
        <v>179.5416498789516</v>
      </c>
      <c r="X72" s="72">
        <v>179.5416498789516</v>
      </c>
      <c r="Y72" s="121">
        <v>179.5416498789516</v>
      </c>
      <c r="Z72" s="120">
        <v>179.5416498789516</v>
      </c>
      <c r="AA72" s="120">
        <v>179.5416498789516</v>
      </c>
      <c r="AB72" s="120">
        <v>179.5416498789516</v>
      </c>
      <c r="AC72" s="120">
        <v>179.5416498789516</v>
      </c>
      <c r="AD72" s="120">
        <v>179.5416498789516</v>
      </c>
      <c r="AE72" s="120">
        <v>179.5416498789516</v>
      </c>
      <c r="AF72" s="120">
        <v>179.5416498789516</v>
      </c>
      <c r="AG72" s="120">
        <v>179.5416498789516</v>
      </c>
      <c r="AH72" s="120">
        <v>179.5416498789516</v>
      </c>
      <c r="AI72" s="120">
        <v>179.5416498789516</v>
      </c>
      <c r="AJ72" s="120">
        <v>179.5416498789516</v>
      </c>
      <c r="AK72" s="120">
        <v>179.5416498789516</v>
      </c>
      <c r="AL72" s="120">
        <v>179.5416498789516</v>
      </c>
      <c r="AM72" s="120">
        <v>179.5416498789516</v>
      </c>
      <c r="AN72" s="120">
        <v>179.5416498789516</v>
      </c>
      <c r="AO72" s="120">
        <v>179.5416498789516</v>
      </c>
      <c r="AP72" s="120">
        <v>179.5416498789516</v>
      </c>
      <c r="AQ72" s="120">
        <v>179.5416498789516</v>
      </c>
      <c r="AR72" s="120">
        <v>179.5416498789516</v>
      </c>
      <c r="AS72" s="120">
        <v>179.5416498789516</v>
      </c>
      <c r="AT72" s="120">
        <v>179.5416498789516</v>
      </c>
      <c r="AU72" s="120">
        <v>179.5416498789516</v>
      </c>
      <c r="AV72" s="120">
        <v>179.5416498789516</v>
      </c>
      <c r="AW72" s="120">
        <v>179.5416498789516</v>
      </c>
      <c r="AX72" s="699">
        <v>179.5416498789516</v>
      </c>
      <c r="AY72" s="699">
        <v>179.5416498789516</v>
      </c>
      <c r="AZ72" s="699">
        <v>179.5416498789516</v>
      </c>
      <c r="BA72" s="699">
        <v>179.5416498789516</v>
      </c>
      <c r="BB72" s="699">
        <v>179.5416498789516</v>
      </c>
      <c r="BC72" s="699">
        <v>179.5416498789516</v>
      </c>
      <c r="BD72" s="699">
        <v>179.5416498789516</v>
      </c>
      <c r="BE72" s="730"/>
      <c r="BF72" s="730"/>
      <c r="BG72" s="730"/>
      <c r="BH72" s="730"/>
      <c r="BI72" s="730"/>
      <c r="BJ72" s="730"/>
      <c r="BK72" s="730"/>
      <c r="BL72" s="648">
        <f>AVERAGE(AL72:AW72)</f>
        <v>179.5416498789516</v>
      </c>
      <c r="BM72" s="648">
        <f t="shared" si="2"/>
        <v>179.5416498789516</v>
      </c>
      <c r="BN72" s="718">
        <f t="shared" si="3"/>
        <v>0</v>
      </c>
    </row>
    <row r="73" spans="1:66">
      <c r="A73" s="80" t="s">
        <v>127</v>
      </c>
      <c r="B73" s="122">
        <v>100</v>
      </c>
      <c r="C73" s="123">
        <v>100</v>
      </c>
      <c r="D73" s="123">
        <v>100</v>
      </c>
      <c r="E73" s="123">
        <v>100</v>
      </c>
      <c r="F73" s="123">
        <v>100</v>
      </c>
      <c r="G73" s="123">
        <v>100</v>
      </c>
      <c r="H73" s="123">
        <v>100</v>
      </c>
      <c r="I73" s="123">
        <v>100</v>
      </c>
      <c r="J73" s="123">
        <v>100</v>
      </c>
      <c r="K73" s="123">
        <v>100</v>
      </c>
      <c r="L73" s="123">
        <v>100</v>
      </c>
      <c r="M73" s="124">
        <v>100</v>
      </c>
      <c r="N73" s="122">
        <v>100</v>
      </c>
      <c r="O73" s="123">
        <v>100</v>
      </c>
      <c r="P73" s="123">
        <v>100</v>
      </c>
      <c r="Q73" s="123">
        <v>100</v>
      </c>
      <c r="R73" s="123">
        <v>100</v>
      </c>
      <c r="S73" s="123">
        <v>100</v>
      </c>
      <c r="T73" s="123">
        <v>100</v>
      </c>
      <c r="U73" s="73">
        <v>100</v>
      </c>
      <c r="V73" s="73">
        <v>100</v>
      </c>
      <c r="W73" s="73">
        <v>100</v>
      </c>
      <c r="X73" s="73">
        <v>100</v>
      </c>
      <c r="Y73" s="124">
        <v>100</v>
      </c>
      <c r="Z73" s="123">
        <v>100</v>
      </c>
      <c r="AA73" s="123">
        <v>100</v>
      </c>
      <c r="AB73" s="123">
        <v>100</v>
      </c>
      <c r="AC73" s="123">
        <v>100</v>
      </c>
      <c r="AD73" s="123">
        <v>100</v>
      </c>
      <c r="AE73" s="123">
        <v>100</v>
      </c>
      <c r="AF73" s="123">
        <v>100</v>
      </c>
      <c r="AG73" s="123">
        <v>100</v>
      </c>
      <c r="AH73" s="123">
        <v>100</v>
      </c>
      <c r="AI73" s="123">
        <v>100</v>
      </c>
      <c r="AJ73" s="123">
        <v>100</v>
      </c>
      <c r="AK73" s="123">
        <v>100</v>
      </c>
      <c r="AL73" s="123">
        <v>100</v>
      </c>
      <c r="AM73" s="123">
        <v>100</v>
      </c>
      <c r="AN73" s="123">
        <v>100</v>
      </c>
      <c r="AO73" s="123">
        <v>100</v>
      </c>
      <c r="AP73" s="123">
        <v>100</v>
      </c>
      <c r="AQ73" s="123">
        <v>100</v>
      </c>
      <c r="AR73" s="123">
        <v>100</v>
      </c>
      <c r="AS73" s="123">
        <v>100</v>
      </c>
      <c r="AT73" s="123">
        <v>100</v>
      </c>
      <c r="AU73" s="123">
        <v>100</v>
      </c>
      <c r="AV73" s="123">
        <v>100</v>
      </c>
      <c r="AW73" s="123">
        <v>100</v>
      </c>
      <c r="AX73" s="700">
        <v>100</v>
      </c>
      <c r="AY73" s="700">
        <v>100</v>
      </c>
      <c r="AZ73" s="700">
        <v>100</v>
      </c>
      <c r="BA73" s="700">
        <v>100</v>
      </c>
      <c r="BB73" s="700">
        <v>100</v>
      </c>
      <c r="BC73" s="700">
        <v>100</v>
      </c>
      <c r="BD73" s="700">
        <v>100</v>
      </c>
      <c r="BE73" s="731">
        <v>134.80000000000001</v>
      </c>
      <c r="BF73" s="731">
        <v>134.80000000000001</v>
      </c>
      <c r="BG73" s="731">
        <v>134.80000000000001</v>
      </c>
      <c r="BH73" s="731">
        <v>134.80000000000001</v>
      </c>
      <c r="BI73" s="731">
        <v>134.80000000000001</v>
      </c>
      <c r="BJ73" s="731"/>
      <c r="BK73" s="731"/>
      <c r="BL73" s="648">
        <f>AVERAGE(AL73:AW73)</f>
        <v>100</v>
      </c>
      <c r="BM73" s="648">
        <f t="shared" si="2"/>
        <v>114.49999999999999</v>
      </c>
      <c r="BN73" s="718">
        <f t="shared" si="3"/>
        <v>0.1449999999999998</v>
      </c>
    </row>
    <row r="74" spans="1:66">
      <c r="A74" s="81" t="s">
        <v>128</v>
      </c>
      <c r="B74" s="125">
        <v>179.5416498789516</v>
      </c>
      <c r="C74" s="126">
        <v>179.5416498789516</v>
      </c>
      <c r="D74" s="126">
        <v>179.5416498789516</v>
      </c>
      <c r="E74" s="126">
        <v>179.5416498789516</v>
      </c>
      <c r="F74" s="126">
        <v>179.5416498789516</v>
      </c>
      <c r="G74" s="126">
        <v>179.5416498789516</v>
      </c>
      <c r="H74" s="126">
        <v>179.5416498789516</v>
      </c>
      <c r="I74" s="126">
        <v>179.5416498789516</v>
      </c>
      <c r="J74" s="126">
        <v>179.5416498789516</v>
      </c>
      <c r="K74" s="126">
        <v>179.5416498789516</v>
      </c>
      <c r="L74" s="126">
        <v>179.5416498789516</v>
      </c>
      <c r="M74" s="127">
        <v>179.5416498789516</v>
      </c>
      <c r="N74" s="125">
        <v>179.5416498789516</v>
      </c>
      <c r="O74" s="126">
        <v>179.5416498789516</v>
      </c>
      <c r="P74" s="126">
        <v>179.5416498789516</v>
      </c>
      <c r="Q74" s="126">
        <v>179.5416498789516</v>
      </c>
      <c r="R74" s="126">
        <v>179.5416498789516</v>
      </c>
      <c r="S74" s="126">
        <v>179.5416498789516</v>
      </c>
      <c r="T74" s="126">
        <v>179.5416498789516</v>
      </c>
      <c r="U74" s="74">
        <v>179.5416498789516</v>
      </c>
      <c r="V74" s="74">
        <v>179.5416498789516</v>
      </c>
      <c r="W74" s="74">
        <v>179.5416498789516</v>
      </c>
      <c r="X74" s="74">
        <v>179.5416498789516</v>
      </c>
      <c r="Y74" s="127">
        <v>179.5416498789516</v>
      </c>
      <c r="Z74" s="126">
        <v>179.5416498789516</v>
      </c>
      <c r="AA74" s="126">
        <v>179.5416498789516</v>
      </c>
      <c r="AB74" s="126">
        <v>179.5416498789516</v>
      </c>
      <c r="AC74" s="126">
        <v>179.5416498789516</v>
      </c>
      <c r="AD74" s="126">
        <v>179.5416498789516</v>
      </c>
      <c r="AE74" s="126">
        <v>179.5416498789516</v>
      </c>
      <c r="AF74" s="126">
        <v>179.5416498789516</v>
      </c>
      <c r="AG74" s="126">
        <v>179.5416498789516</v>
      </c>
      <c r="AH74" s="126">
        <v>179.5416498789516</v>
      </c>
      <c r="AI74" s="126">
        <v>179.5416498789516</v>
      </c>
      <c r="AJ74" s="126">
        <v>179.5416498789516</v>
      </c>
      <c r="AK74" s="126">
        <v>179.5416498789516</v>
      </c>
      <c r="AL74" s="126">
        <v>179.5416498789516</v>
      </c>
      <c r="AM74" s="126">
        <v>179.5416498789516</v>
      </c>
      <c r="AN74" s="126">
        <v>179.5416498789516</v>
      </c>
      <c r="AO74" s="126">
        <v>179.5416498789516</v>
      </c>
      <c r="AP74" s="126">
        <v>179.5416498789516</v>
      </c>
      <c r="AQ74" s="126">
        <v>179.5416498789516</v>
      </c>
      <c r="AR74" s="126">
        <v>179.5416498789516</v>
      </c>
      <c r="AS74" s="126">
        <v>179.5416498789516</v>
      </c>
      <c r="AT74" s="126">
        <v>179.5416498789516</v>
      </c>
      <c r="AU74" s="126">
        <v>179.5416498789516</v>
      </c>
      <c r="AV74" s="126">
        <v>179.5416498789516</v>
      </c>
      <c r="AW74" s="126">
        <v>179.5416498789516</v>
      </c>
      <c r="AX74" s="701">
        <v>179.5416498789516</v>
      </c>
      <c r="AY74" s="701">
        <v>179.5416498789516</v>
      </c>
      <c r="AZ74" s="701">
        <v>179.5416498789516</v>
      </c>
      <c r="BA74" s="701">
        <v>179.5416498789516</v>
      </c>
      <c r="BB74" s="701">
        <v>179.5416498789516</v>
      </c>
      <c r="BC74" s="701">
        <v>179.5416498789516</v>
      </c>
      <c r="BD74" s="701">
        <v>179.5416498789516</v>
      </c>
      <c r="BE74" s="732"/>
      <c r="BF74" s="732"/>
      <c r="BG74" s="732"/>
      <c r="BH74" s="732"/>
      <c r="BI74" s="732"/>
      <c r="BJ74" s="732"/>
      <c r="BK74" s="732"/>
      <c r="BL74" s="648">
        <f>AVERAGE(AL74:AW74)</f>
        <v>179.5416498789516</v>
      </c>
      <c r="BM74" s="648">
        <f t="shared" si="2"/>
        <v>179.5416498789516</v>
      </c>
      <c r="BN74" s="718">
        <f t="shared" si="3"/>
        <v>0</v>
      </c>
    </row>
    <row r="75" spans="1:66">
      <c r="A75" s="83" t="s">
        <v>128</v>
      </c>
      <c r="B75" s="128">
        <v>179.5416498789516</v>
      </c>
      <c r="C75" s="129">
        <v>179.5416498789516</v>
      </c>
      <c r="D75" s="129">
        <v>179.5416498789516</v>
      </c>
      <c r="E75" s="129">
        <v>179.5416498789516</v>
      </c>
      <c r="F75" s="129">
        <v>179.5416498789516</v>
      </c>
      <c r="G75" s="129">
        <v>179.5416498789516</v>
      </c>
      <c r="H75" s="129">
        <v>179.5416498789516</v>
      </c>
      <c r="I75" s="129">
        <v>179.5416498789516</v>
      </c>
      <c r="J75" s="129">
        <v>179.5416498789516</v>
      </c>
      <c r="K75" s="129">
        <v>179.5416498789516</v>
      </c>
      <c r="L75" s="129">
        <v>179.5416498789516</v>
      </c>
      <c r="M75" s="130">
        <v>179.5416498789516</v>
      </c>
      <c r="N75" s="128">
        <v>179.5416498789516</v>
      </c>
      <c r="O75" s="129">
        <v>179.5416498789516</v>
      </c>
      <c r="P75" s="129">
        <v>179.5416498789516</v>
      </c>
      <c r="Q75" s="129">
        <v>179.5416498789516</v>
      </c>
      <c r="R75" s="129">
        <v>179.5416498789516</v>
      </c>
      <c r="S75" s="129">
        <v>179.5416498789516</v>
      </c>
      <c r="T75" s="129">
        <v>179.5416498789516</v>
      </c>
      <c r="U75" s="75">
        <v>179.5416498789516</v>
      </c>
      <c r="V75" s="75">
        <v>179.5416498789516</v>
      </c>
      <c r="W75" s="75">
        <v>179.5416498789516</v>
      </c>
      <c r="X75" s="75">
        <v>179.5416498789516</v>
      </c>
      <c r="Y75" s="130">
        <v>179.5416498789516</v>
      </c>
      <c r="Z75" s="129">
        <v>179.5416498789516</v>
      </c>
      <c r="AA75" s="129">
        <v>179.5416498789516</v>
      </c>
      <c r="AB75" s="129">
        <v>179.5416498789516</v>
      </c>
      <c r="AC75" s="129">
        <v>179.5416498789516</v>
      </c>
      <c r="AD75" s="129">
        <v>179.5416498789516</v>
      </c>
      <c r="AE75" s="129">
        <v>179.5416498789516</v>
      </c>
      <c r="AF75" s="129">
        <v>179.5416498789516</v>
      </c>
      <c r="AG75" s="129">
        <v>179.5416498789516</v>
      </c>
      <c r="AH75" s="129">
        <v>179.5416498789516</v>
      </c>
      <c r="AI75" s="129">
        <v>179.5416498789516</v>
      </c>
      <c r="AJ75" s="129">
        <v>179.5416498789516</v>
      </c>
      <c r="AK75" s="129">
        <v>179.5416498789516</v>
      </c>
      <c r="AL75" s="129">
        <v>179.5416498789516</v>
      </c>
      <c r="AM75" s="129">
        <v>179.5416498789516</v>
      </c>
      <c r="AN75" s="129">
        <v>179.5416498789516</v>
      </c>
      <c r="AO75" s="129">
        <v>179.5416498789516</v>
      </c>
      <c r="AP75" s="129">
        <v>179.5416498789516</v>
      </c>
      <c r="AQ75" s="129">
        <v>179.5416498789516</v>
      </c>
      <c r="AR75" s="129">
        <v>179.5416498789516</v>
      </c>
      <c r="AS75" s="129">
        <v>179.5416498789516</v>
      </c>
      <c r="AT75" s="129">
        <v>179.5416498789516</v>
      </c>
      <c r="AU75" s="129">
        <v>179.5416498789516</v>
      </c>
      <c r="AV75" s="129">
        <v>179.5416498789516</v>
      </c>
      <c r="AW75" s="129">
        <v>179.5416498789516</v>
      </c>
      <c r="AX75" s="702">
        <v>179.5416498789516</v>
      </c>
      <c r="AY75" s="702">
        <v>179.5416498789516</v>
      </c>
      <c r="AZ75" s="702">
        <v>179.5416498789516</v>
      </c>
      <c r="BA75" s="702">
        <v>179.5416498789516</v>
      </c>
      <c r="BB75" s="702">
        <v>179.5416498789516</v>
      </c>
      <c r="BC75" s="702">
        <v>179.5416498789516</v>
      </c>
      <c r="BD75" s="702">
        <v>179.5416498789516</v>
      </c>
      <c r="BE75" s="733"/>
      <c r="BF75" s="733"/>
      <c r="BG75" s="733"/>
      <c r="BH75" s="733"/>
      <c r="BI75" s="733"/>
      <c r="BJ75" s="733"/>
      <c r="BK75" s="733"/>
      <c r="BL75" s="648">
        <f>AVERAGE(AL75:AW75)</f>
        <v>179.5416498789516</v>
      </c>
      <c r="BM75" s="648">
        <f t="shared" si="2"/>
        <v>179.5416498789516</v>
      </c>
      <c r="BN75" s="718">
        <f t="shared" si="3"/>
        <v>0</v>
      </c>
    </row>
    <row r="76" spans="1:66">
      <c r="A76" s="79" t="s">
        <v>129</v>
      </c>
      <c r="B76" s="119">
        <v>190.58608129722737</v>
      </c>
      <c r="C76" s="120">
        <v>190.58608129722737</v>
      </c>
      <c r="D76" s="120">
        <v>190.58608129722737</v>
      </c>
      <c r="E76" s="120">
        <v>190.58608129722737</v>
      </c>
      <c r="F76" s="120">
        <v>190.58608129722737</v>
      </c>
      <c r="G76" s="120">
        <v>190.58608129722737</v>
      </c>
      <c r="H76" s="120">
        <v>190.58608129722737</v>
      </c>
      <c r="I76" s="120">
        <v>190.58608129722737</v>
      </c>
      <c r="J76" s="120">
        <v>190.58608129722737</v>
      </c>
      <c r="K76" s="120">
        <v>190.58608129722737</v>
      </c>
      <c r="L76" s="120">
        <v>190.58608129722737</v>
      </c>
      <c r="M76" s="121">
        <v>190.58608129722737</v>
      </c>
      <c r="N76" s="119">
        <v>190.58608129722737</v>
      </c>
      <c r="O76" s="120">
        <v>190.58608129722737</v>
      </c>
      <c r="P76" s="120">
        <v>190.58608129722737</v>
      </c>
      <c r="Q76" s="120">
        <v>190.58608129722737</v>
      </c>
      <c r="R76" s="120">
        <v>190.58608129722737</v>
      </c>
      <c r="S76" s="120">
        <v>190.58608129722737</v>
      </c>
      <c r="T76" s="120">
        <v>190.58608129722737</v>
      </c>
      <c r="U76" s="72">
        <v>190.58608129722737</v>
      </c>
      <c r="V76" s="72">
        <v>190.58608129722737</v>
      </c>
      <c r="W76" s="72">
        <v>190.58608129722737</v>
      </c>
      <c r="X76" s="72">
        <v>190.58608129722737</v>
      </c>
      <c r="Y76" s="121">
        <v>190.58608129722737</v>
      </c>
      <c r="Z76" s="120">
        <v>190.58608129722737</v>
      </c>
      <c r="AA76" s="120">
        <v>190.58608129722737</v>
      </c>
      <c r="AB76" s="120">
        <v>190.58608129722737</v>
      </c>
      <c r="AC76" s="120">
        <v>190.58608129722737</v>
      </c>
      <c r="AD76" s="120">
        <v>190.58608129722737</v>
      </c>
      <c r="AE76" s="120">
        <v>190.58608129722737</v>
      </c>
      <c r="AF76" s="120">
        <v>190.58608129722737</v>
      </c>
      <c r="AG76" s="120">
        <v>190.58608129722737</v>
      </c>
      <c r="AH76" s="120">
        <v>190.58608129722737</v>
      </c>
      <c r="AI76" s="120">
        <v>190.58608129722737</v>
      </c>
      <c r="AJ76" s="120">
        <v>190.58608129722737</v>
      </c>
      <c r="AK76" s="120">
        <v>190.58608129722737</v>
      </c>
      <c r="AL76" s="120">
        <v>190.58608129722737</v>
      </c>
      <c r="AM76" s="120">
        <v>190.58608129722737</v>
      </c>
      <c r="AN76" s="120">
        <v>190.58608129722737</v>
      </c>
      <c r="AO76" s="120">
        <v>190.58608129722737</v>
      </c>
      <c r="AP76" s="120">
        <v>190.58608129722737</v>
      </c>
      <c r="AQ76" s="120">
        <v>190.58608129722737</v>
      </c>
      <c r="AR76" s="120">
        <v>190.58608129722737</v>
      </c>
      <c r="AS76" s="120">
        <v>190.58608129722737</v>
      </c>
      <c r="AT76" s="120">
        <v>190.58608129722737</v>
      </c>
      <c r="AU76" s="120">
        <v>190.58608129722737</v>
      </c>
      <c r="AV76" s="120">
        <v>190.58608129722737</v>
      </c>
      <c r="AW76" s="120">
        <v>190.58608129722737</v>
      </c>
      <c r="AX76" s="699">
        <v>190.58608129722737</v>
      </c>
      <c r="AY76" s="699">
        <v>190.58608129722737</v>
      </c>
      <c r="AZ76" s="699">
        <v>190.58608129722737</v>
      </c>
      <c r="BA76" s="699">
        <v>190.58608129722737</v>
      </c>
      <c r="BB76" s="699">
        <v>190.58608129722737</v>
      </c>
      <c r="BC76" s="699">
        <v>190.58608129722737</v>
      </c>
      <c r="BD76" s="699">
        <v>190.58608129722737</v>
      </c>
      <c r="BE76" s="730"/>
      <c r="BF76" s="730"/>
      <c r="BG76" s="730"/>
      <c r="BH76" s="730"/>
      <c r="BI76" s="730"/>
      <c r="BJ76" s="730"/>
      <c r="BK76" s="730"/>
      <c r="BL76" s="648">
        <f>AVERAGE(AL76:AW76)</f>
        <v>190.58608129722737</v>
      </c>
      <c r="BM76" s="648">
        <f t="shared" si="2"/>
        <v>190.58608129722737</v>
      </c>
      <c r="BN76" s="718">
        <f t="shared" si="3"/>
        <v>0</v>
      </c>
    </row>
    <row r="77" spans="1:66">
      <c r="A77" s="80" t="s">
        <v>130</v>
      </c>
      <c r="B77" s="122">
        <v>100</v>
      </c>
      <c r="C77" s="123">
        <v>100</v>
      </c>
      <c r="D77" s="123">
        <v>100</v>
      </c>
      <c r="E77" s="123">
        <v>100</v>
      </c>
      <c r="F77" s="123">
        <v>100</v>
      </c>
      <c r="G77" s="123">
        <v>100</v>
      </c>
      <c r="H77" s="123">
        <v>100</v>
      </c>
      <c r="I77" s="123">
        <v>100</v>
      </c>
      <c r="J77" s="123">
        <v>100</v>
      </c>
      <c r="K77" s="123">
        <v>100</v>
      </c>
      <c r="L77" s="123">
        <v>100</v>
      </c>
      <c r="M77" s="124">
        <v>100</v>
      </c>
      <c r="N77" s="122">
        <v>100</v>
      </c>
      <c r="O77" s="123">
        <v>100</v>
      </c>
      <c r="P77" s="123">
        <v>100</v>
      </c>
      <c r="Q77" s="123">
        <v>100</v>
      </c>
      <c r="R77" s="123">
        <v>100</v>
      </c>
      <c r="S77" s="123">
        <v>100</v>
      </c>
      <c r="T77" s="123">
        <v>100</v>
      </c>
      <c r="U77" s="73">
        <v>100</v>
      </c>
      <c r="V77" s="73">
        <v>100</v>
      </c>
      <c r="W77" s="73">
        <v>100</v>
      </c>
      <c r="X77" s="73">
        <v>100</v>
      </c>
      <c r="Y77" s="124">
        <v>100</v>
      </c>
      <c r="Z77" s="123">
        <v>100</v>
      </c>
      <c r="AA77" s="123">
        <v>100</v>
      </c>
      <c r="AB77" s="123">
        <v>100</v>
      </c>
      <c r="AC77" s="123">
        <v>100</v>
      </c>
      <c r="AD77" s="123">
        <v>100</v>
      </c>
      <c r="AE77" s="123">
        <v>100</v>
      </c>
      <c r="AF77" s="123">
        <v>100</v>
      </c>
      <c r="AG77" s="123">
        <v>100</v>
      </c>
      <c r="AH77" s="123">
        <v>100</v>
      </c>
      <c r="AI77" s="123">
        <v>100</v>
      </c>
      <c r="AJ77" s="123">
        <v>100</v>
      </c>
      <c r="AK77" s="123">
        <v>100</v>
      </c>
      <c r="AL77" s="123">
        <v>100</v>
      </c>
      <c r="AM77" s="123">
        <v>100</v>
      </c>
      <c r="AN77" s="123">
        <v>100</v>
      </c>
      <c r="AO77" s="123">
        <v>100</v>
      </c>
      <c r="AP77" s="123">
        <v>100</v>
      </c>
      <c r="AQ77" s="123">
        <v>100</v>
      </c>
      <c r="AR77" s="123">
        <v>100</v>
      </c>
      <c r="AS77" s="123">
        <v>100</v>
      </c>
      <c r="AT77" s="123">
        <v>100</v>
      </c>
      <c r="AU77" s="123">
        <v>100</v>
      </c>
      <c r="AV77" s="123">
        <v>100</v>
      </c>
      <c r="AW77" s="123">
        <v>100</v>
      </c>
      <c r="AX77" s="700">
        <v>100</v>
      </c>
      <c r="AY77" s="700">
        <v>100</v>
      </c>
      <c r="AZ77" s="700">
        <v>100</v>
      </c>
      <c r="BA77" s="700">
        <v>100</v>
      </c>
      <c r="BB77" s="700">
        <v>100</v>
      </c>
      <c r="BC77" s="700">
        <v>100</v>
      </c>
      <c r="BD77" s="700">
        <v>100</v>
      </c>
      <c r="BE77" s="731">
        <v>100</v>
      </c>
      <c r="BF77" s="731">
        <v>100</v>
      </c>
      <c r="BG77" s="731">
        <v>100</v>
      </c>
      <c r="BH77" s="731">
        <v>100</v>
      </c>
      <c r="BI77" s="731">
        <v>100</v>
      </c>
      <c r="BJ77" s="731"/>
      <c r="BK77" s="731"/>
      <c r="BL77" s="648">
        <f>AVERAGE(AL77:AW77)</f>
        <v>100</v>
      </c>
      <c r="BM77" s="648">
        <f t="shared" si="2"/>
        <v>100</v>
      </c>
      <c r="BN77" s="718">
        <f t="shared" si="3"/>
        <v>0</v>
      </c>
    </row>
    <row r="78" spans="1:66">
      <c r="A78" s="81" t="s">
        <v>130</v>
      </c>
      <c r="B78" s="125">
        <v>190.58608129722737</v>
      </c>
      <c r="C78" s="126">
        <v>190.58608129722737</v>
      </c>
      <c r="D78" s="126">
        <v>190.58608129722737</v>
      </c>
      <c r="E78" s="126">
        <v>190.58608129722737</v>
      </c>
      <c r="F78" s="126">
        <v>190.58608129722737</v>
      </c>
      <c r="G78" s="126">
        <v>190.58608129722737</v>
      </c>
      <c r="H78" s="126">
        <v>190.58608129722737</v>
      </c>
      <c r="I78" s="126">
        <v>190.58608129722737</v>
      </c>
      <c r="J78" s="126">
        <v>190.58608129722737</v>
      </c>
      <c r="K78" s="126">
        <v>190.58608129722737</v>
      </c>
      <c r="L78" s="126">
        <v>190.58608129722737</v>
      </c>
      <c r="M78" s="127">
        <v>190.58608129722737</v>
      </c>
      <c r="N78" s="125">
        <v>190.58608129722737</v>
      </c>
      <c r="O78" s="126">
        <v>190.58608129722737</v>
      </c>
      <c r="P78" s="126">
        <v>190.58608129722737</v>
      </c>
      <c r="Q78" s="126">
        <v>190.58608129722737</v>
      </c>
      <c r="R78" s="126">
        <v>190.58608129722737</v>
      </c>
      <c r="S78" s="126">
        <v>190.58608129722737</v>
      </c>
      <c r="T78" s="126">
        <v>190.58608129722737</v>
      </c>
      <c r="U78" s="74">
        <v>190.58608129722737</v>
      </c>
      <c r="V78" s="74">
        <v>190.58608129722737</v>
      </c>
      <c r="W78" s="74">
        <v>190.58608129722737</v>
      </c>
      <c r="X78" s="74">
        <v>190.58608129722737</v>
      </c>
      <c r="Y78" s="127">
        <v>190.58608129722737</v>
      </c>
      <c r="Z78" s="126">
        <v>190.58608129722737</v>
      </c>
      <c r="AA78" s="126">
        <v>190.58608129722737</v>
      </c>
      <c r="AB78" s="126">
        <v>190.58608129722737</v>
      </c>
      <c r="AC78" s="126">
        <v>190.58608129722737</v>
      </c>
      <c r="AD78" s="126">
        <v>190.58608129722737</v>
      </c>
      <c r="AE78" s="126">
        <v>190.58608129722737</v>
      </c>
      <c r="AF78" s="126">
        <v>190.58608129722737</v>
      </c>
      <c r="AG78" s="126">
        <v>190.58608129722737</v>
      </c>
      <c r="AH78" s="126">
        <v>190.58608129722737</v>
      </c>
      <c r="AI78" s="126">
        <v>190.58608129722737</v>
      </c>
      <c r="AJ78" s="126">
        <v>190.58608129722737</v>
      </c>
      <c r="AK78" s="126">
        <v>190.58608129722737</v>
      </c>
      <c r="AL78" s="126">
        <v>190.58608129722737</v>
      </c>
      <c r="AM78" s="126">
        <v>190.58608129722737</v>
      </c>
      <c r="AN78" s="126">
        <v>190.58608129722737</v>
      </c>
      <c r="AO78" s="126">
        <v>190.58608129722737</v>
      </c>
      <c r="AP78" s="126">
        <v>190.58608129722737</v>
      </c>
      <c r="AQ78" s="126">
        <v>190.58608129722737</v>
      </c>
      <c r="AR78" s="126">
        <v>190.58608129722737</v>
      </c>
      <c r="AS78" s="126">
        <v>190.58608129722737</v>
      </c>
      <c r="AT78" s="126">
        <v>190.58608129722737</v>
      </c>
      <c r="AU78" s="126">
        <v>190.58608129722737</v>
      </c>
      <c r="AV78" s="126">
        <v>190.58608129722737</v>
      </c>
      <c r="AW78" s="126">
        <v>190.58608129722737</v>
      </c>
      <c r="AX78" s="701">
        <v>190.58608129722737</v>
      </c>
      <c r="AY78" s="701">
        <v>190.58608129722737</v>
      </c>
      <c r="AZ78" s="701">
        <v>190.58608129722737</v>
      </c>
      <c r="BA78" s="701">
        <v>190.58608129722737</v>
      </c>
      <c r="BB78" s="701">
        <v>190.58608129722737</v>
      </c>
      <c r="BC78" s="701">
        <v>190.58608129722737</v>
      </c>
      <c r="BD78" s="701">
        <v>190.58608129722737</v>
      </c>
      <c r="BE78" s="732"/>
      <c r="BF78" s="732"/>
      <c r="BG78" s="732"/>
      <c r="BH78" s="732"/>
      <c r="BI78" s="732"/>
      <c r="BJ78" s="732"/>
      <c r="BK78" s="732"/>
      <c r="BL78" s="648">
        <f>AVERAGE(AL78:AW78)</f>
        <v>190.58608129722737</v>
      </c>
      <c r="BM78" s="648">
        <f t="shared" si="2"/>
        <v>190.58608129722737</v>
      </c>
      <c r="BN78" s="718">
        <f t="shared" si="3"/>
        <v>0</v>
      </c>
    </row>
    <row r="79" spans="1:66">
      <c r="A79" s="83" t="s">
        <v>130</v>
      </c>
      <c r="B79" s="128">
        <v>190.58608129722737</v>
      </c>
      <c r="C79" s="129">
        <v>190.58608129722737</v>
      </c>
      <c r="D79" s="129">
        <v>190.58608129722737</v>
      </c>
      <c r="E79" s="129">
        <v>190.58608129722737</v>
      </c>
      <c r="F79" s="129">
        <v>190.58608129722737</v>
      </c>
      <c r="G79" s="129">
        <v>190.58608129722737</v>
      </c>
      <c r="H79" s="129">
        <v>190.58608129722737</v>
      </c>
      <c r="I79" s="129">
        <v>190.58608129722737</v>
      </c>
      <c r="J79" s="129">
        <v>190.58608129722737</v>
      </c>
      <c r="K79" s="129">
        <v>190.58608129722737</v>
      </c>
      <c r="L79" s="129">
        <v>190.58608129722737</v>
      </c>
      <c r="M79" s="130">
        <v>190.58608129722737</v>
      </c>
      <c r="N79" s="128">
        <v>190.58608129722737</v>
      </c>
      <c r="O79" s="129">
        <v>190.58608129722737</v>
      </c>
      <c r="P79" s="129">
        <v>190.58608129722737</v>
      </c>
      <c r="Q79" s="129">
        <v>190.58608129722737</v>
      </c>
      <c r="R79" s="129">
        <v>190.58608129722737</v>
      </c>
      <c r="S79" s="129">
        <v>190.58608129722737</v>
      </c>
      <c r="T79" s="129">
        <v>190.58608129722737</v>
      </c>
      <c r="U79" s="75">
        <v>190.58608129722737</v>
      </c>
      <c r="V79" s="75">
        <v>190.58608129722737</v>
      </c>
      <c r="W79" s="75">
        <v>190.58608129722737</v>
      </c>
      <c r="X79" s="75">
        <v>190.58608129722737</v>
      </c>
      <c r="Y79" s="130">
        <v>190.58608129722737</v>
      </c>
      <c r="Z79" s="129">
        <v>190.58608129722737</v>
      </c>
      <c r="AA79" s="129">
        <v>190.58608129722737</v>
      </c>
      <c r="AB79" s="129">
        <v>190.58608129722737</v>
      </c>
      <c r="AC79" s="129">
        <v>190.58608129722737</v>
      </c>
      <c r="AD79" s="129">
        <v>190.58608129722737</v>
      </c>
      <c r="AE79" s="129">
        <v>190.58608129722737</v>
      </c>
      <c r="AF79" s="129">
        <v>190.58608129722737</v>
      </c>
      <c r="AG79" s="129">
        <v>190.58608129722737</v>
      </c>
      <c r="AH79" s="129">
        <v>190.58608129722737</v>
      </c>
      <c r="AI79" s="129">
        <v>190.58608129722737</v>
      </c>
      <c r="AJ79" s="129">
        <v>190.58608129722737</v>
      </c>
      <c r="AK79" s="129">
        <v>190.58608129722737</v>
      </c>
      <c r="AL79" s="129">
        <v>190.58608129722737</v>
      </c>
      <c r="AM79" s="129">
        <v>190.58608129722737</v>
      </c>
      <c r="AN79" s="129">
        <v>190.58608129722737</v>
      </c>
      <c r="AO79" s="129">
        <v>190.58608129722737</v>
      </c>
      <c r="AP79" s="129">
        <v>190.58608129722737</v>
      </c>
      <c r="AQ79" s="129">
        <v>190.58608129722737</v>
      </c>
      <c r="AR79" s="129">
        <v>190.58608129722737</v>
      </c>
      <c r="AS79" s="129">
        <v>190.58608129722737</v>
      </c>
      <c r="AT79" s="129">
        <v>190.58608129722737</v>
      </c>
      <c r="AU79" s="129">
        <v>190.58608129722737</v>
      </c>
      <c r="AV79" s="129">
        <v>190.58608129722737</v>
      </c>
      <c r="AW79" s="129">
        <v>190.58608129722737</v>
      </c>
      <c r="AX79" s="702">
        <v>190.58608129722737</v>
      </c>
      <c r="AY79" s="702">
        <v>190.58608129722737</v>
      </c>
      <c r="AZ79" s="702">
        <v>190.58608129722737</v>
      </c>
      <c r="BA79" s="702">
        <v>190.58608129722737</v>
      </c>
      <c r="BB79" s="702">
        <v>190.58608129722737</v>
      </c>
      <c r="BC79" s="702">
        <v>190.58608129722737</v>
      </c>
      <c r="BD79" s="702">
        <v>190.58608129722737</v>
      </c>
      <c r="BE79" s="733"/>
      <c r="BF79" s="733"/>
      <c r="BG79" s="733"/>
      <c r="BH79" s="733"/>
      <c r="BI79" s="733"/>
      <c r="BJ79" s="733"/>
      <c r="BK79" s="733"/>
      <c r="BL79" s="648">
        <f>AVERAGE(AL79:AW79)</f>
        <v>190.58608129722737</v>
      </c>
      <c r="BM79" s="648">
        <f t="shared" si="2"/>
        <v>190.58608129722737</v>
      </c>
      <c r="BN79" s="718">
        <f t="shared" si="3"/>
        <v>0</v>
      </c>
    </row>
    <row r="80" spans="1:66">
      <c r="A80" s="79" t="s">
        <v>131</v>
      </c>
      <c r="B80" s="119">
        <v>197.81178078376075</v>
      </c>
      <c r="C80" s="120">
        <v>197.81178078376075</v>
      </c>
      <c r="D80" s="120">
        <v>197.81178078376075</v>
      </c>
      <c r="E80" s="120">
        <v>197.81178078376075</v>
      </c>
      <c r="F80" s="120">
        <v>197.81178078376075</v>
      </c>
      <c r="G80" s="120">
        <v>197.81178078376075</v>
      </c>
      <c r="H80" s="120">
        <v>197.81178078376075</v>
      </c>
      <c r="I80" s="120">
        <v>197.81178078376075</v>
      </c>
      <c r="J80" s="120">
        <v>197.81178078376075</v>
      </c>
      <c r="K80" s="120">
        <v>197.81178078376075</v>
      </c>
      <c r="L80" s="120">
        <v>197.81178078376075</v>
      </c>
      <c r="M80" s="121">
        <v>197.81178078376075</v>
      </c>
      <c r="N80" s="119">
        <v>197.81178078376075</v>
      </c>
      <c r="O80" s="120">
        <v>197.81178078376075</v>
      </c>
      <c r="P80" s="120">
        <v>197.81178078376075</v>
      </c>
      <c r="Q80" s="120">
        <v>197.81178078376075</v>
      </c>
      <c r="R80" s="120">
        <v>197.81178078376075</v>
      </c>
      <c r="S80" s="120">
        <v>197.81178078376075</v>
      </c>
      <c r="T80" s="120">
        <v>197.81178078376075</v>
      </c>
      <c r="U80" s="72">
        <v>197.81178078376075</v>
      </c>
      <c r="V80" s="72">
        <v>197.81178078376075</v>
      </c>
      <c r="W80" s="72">
        <v>197.81178078376075</v>
      </c>
      <c r="X80" s="72">
        <v>197.81178078376075</v>
      </c>
      <c r="Y80" s="121">
        <v>197.81178078376075</v>
      </c>
      <c r="Z80" s="120">
        <v>197.81178078376075</v>
      </c>
      <c r="AA80" s="120">
        <v>197.81178078376075</v>
      </c>
      <c r="AB80" s="120">
        <v>197.81178078376075</v>
      </c>
      <c r="AC80" s="120">
        <v>197.81178078376075</v>
      </c>
      <c r="AD80" s="120">
        <v>197.81178078376075</v>
      </c>
      <c r="AE80" s="120">
        <v>197.81178078376075</v>
      </c>
      <c r="AF80" s="120">
        <v>197.81178078376075</v>
      </c>
      <c r="AG80" s="120">
        <v>197.81178078376075</v>
      </c>
      <c r="AH80" s="120">
        <v>197.81178078376075</v>
      </c>
      <c r="AI80" s="120">
        <v>197.81178078376075</v>
      </c>
      <c r="AJ80" s="120">
        <v>197.81178078376075</v>
      </c>
      <c r="AK80" s="120">
        <v>197.81178078376075</v>
      </c>
      <c r="AL80" s="120">
        <v>197.81178078376075</v>
      </c>
      <c r="AM80" s="120">
        <v>197.81178078376075</v>
      </c>
      <c r="AN80" s="120">
        <v>197.81178078376075</v>
      </c>
      <c r="AO80" s="120">
        <v>197.81178078376075</v>
      </c>
      <c r="AP80" s="120">
        <v>197.81178078376075</v>
      </c>
      <c r="AQ80" s="120">
        <v>197.81178078376075</v>
      </c>
      <c r="AR80" s="120">
        <v>197.81178078376075</v>
      </c>
      <c r="AS80" s="120">
        <v>197.81178078376075</v>
      </c>
      <c r="AT80" s="120">
        <v>197.81178078376075</v>
      </c>
      <c r="AU80" s="120">
        <v>197.81178078376075</v>
      </c>
      <c r="AV80" s="120">
        <v>197.81178078376075</v>
      </c>
      <c r="AW80" s="120">
        <v>197.81178078376075</v>
      </c>
      <c r="AX80" s="699">
        <v>197.81178078376075</v>
      </c>
      <c r="AY80" s="699">
        <v>197.81178078376075</v>
      </c>
      <c r="AZ80" s="699">
        <v>197.81178078376075</v>
      </c>
      <c r="BA80" s="699">
        <v>197.81178078376075</v>
      </c>
      <c r="BB80" s="699">
        <v>197.81178078376075</v>
      </c>
      <c r="BC80" s="699">
        <v>197.81178078376075</v>
      </c>
      <c r="BD80" s="699">
        <v>197.81178078376075</v>
      </c>
      <c r="BE80" s="730"/>
      <c r="BF80" s="730"/>
      <c r="BG80" s="730"/>
      <c r="BH80" s="730"/>
      <c r="BI80" s="730"/>
      <c r="BJ80" s="730"/>
      <c r="BK80" s="730"/>
      <c r="BL80" s="648">
        <f>AVERAGE(AL80:AW80)</f>
        <v>197.81178078376072</v>
      </c>
      <c r="BM80" s="648">
        <f t="shared" si="2"/>
        <v>197.81178078376072</v>
      </c>
      <c r="BN80" s="718">
        <f t="shared" si="3"/>
        <v>0</v>
      </c>
    </row>
    <row r="81" spans="1:66">
      <c r="A81" s="794" t="s">
        <v>132</v>
      </c>
      <c r="B81" s="122">
        <v>197.81178078376075</v>
      </c>
      <c r="C81" s="123">
        <v>197.81178078376075</v>
      </c>
      <c r="D81" s="123">
        <v>197.81178078376075</v>
      </c>
      <c r="E81" s="123">
        <v>197.81178078376075</v>
      </c>
      <c r="F81" s="123">
        <v>197.81178078376075</v>
      </c>
      <c r="G81" s="123">
        <v>197.81178078376075</v>
      </c>
      <c r="H81" s="123">
        <v>197.81178078376075</v>
      </c>
      <c r="I81" s="123">
        <v>197.81178078376075</v>
      </c>
      <c r="J81" s="123">
        <v>197.81178078376075</v>
      </c>
      <c r="K81" s="123">
        <v>197.81178078376075</v>
      </c>
      <c r="L81" s="123">
        <v>197.81178078376075</v>
      </c>
      <c r="M81" s="124">
        <v>197.81178078376075</v>
      </c>
      <c r="N81" s="122">
        <v>197.81178078376075</v>
      </c>
      <c r="O81" s="123">
        <v>197.81178078376075</v>
      </c>
      <c r="P81" s="123">
        <v>197.81178078376075</v>
      </c>
      <c r="Q81" s="123">
        <v>197.81178078376075</v>
      </c>
      <c r="R81" s="123">
        <v>197.81178078376075</v>
      </c>
      <c r="S81" s="123">
        <v>197.81178078376075</v>
      </c>
      <c r="T81" s="123">
        <v>197.81178078376075</v>
      </c>
      <c r="U81" s="73">
        <v>197.81178078376075</v>
      </c>
      <c r="V81" s="73">
        <v>197.81178078376075</v>
      </c>
      <c r="W81" s="73">
        <v>197.81178078376075</v>
      </c>
      <c r="X81" s="73">
        <v>197.81178078376075</v>
      </c>
      <c r="Y81" s="124">
        <v>197.81178078376075</v>
      </c>
      <c r="Z81" s="123">
        <v>197.81178078376075</v>
      </c>
      <c r="AA81" s="123">
        <v>197.81178078376075</v>
      </c>
      <c r="AB81" s="123">
        <v>197.81178078376075</v>
      </c>
      <c r="AC81" s="123">
        <v>197.81178078376075</v>
      </c>
      <c r="AD81" s="123">
        <v>197.81178078376075</v>
      </c>
      <c r="AE81" s="123">
        <v>197.81178078376075</v>
      </c>
      <c r="AF81" s="123">
        <v>197.81178078376075</v>
      </c>
      <c r="AG81" s="123">
        <v>197.81178078376075</v>
      </c>
      <c r="AH81" s="123">
        <v>197.81178078376075</v>
      </c>
      <c r="AI81" s="123">
        <v>197.81178078376075</v>
      </c>
      <c r="AJ81" s="123">
        <v>197.81178078376075</v>
      </c>
      <c r="AK81" s="123">
        <v>197.81178078376075</v>
      </c>
      <c r="AL81" s="123">
        <v>197.81178078376075</v>
      </c>
      <c r="AM81" s="123">
        <v>197.81178078376075</v>
      </c>
      <c r="AN81" s="123">
        <v>197.81178078376075</v>
      </c>
      <c r="AO81" s="123">
        <v>197.81178078376075</v>
      </c>
      <c r="AP81" s="123">
        <v>197.81178078376075</v>
      </c>
      <c r="AQ81" s="123">
        <v>197.81178078376075</v>
      </c>
      <c r="AR81" s="123">
        <v>197.81178078376075</v>
      </c>
      <c r="AS81" s="123">
        <v>197.81178078376075</v>
      </c>
      <c r="AT81" s="123">
        <v>197.81178078376075</v>
      </c>
      <c r="AU81" s="123">
        <v>197.81178078376075</v>
      </c>
      <c r="AV81" s="123">
        <v>197.81178078376075</v>
      </c>
      <c r="AW81" s="123">
        <v>197.81178078376075</v>
      </c>
      <c r="AX81" s="700">
        <v>197.81178078376075</v>
      </c>
      <c r="AY81" s="700">
        <v>197.81178078376075</v>
      </c>
      <c r="AZ81" s="700">
        <v>197.81178078376075</v>
      </c>
      <c r="BA81" s="700">
        <v>197.81178078376075</v>
      </c>
      <c r="BB81" s="700">
        <v>197.81178078376075</v>
      </c>
      <c r="BC81" s="700">
        <v>197.81178078376075</v>
      </c>
      <c r="BD81" s="700">
        <v>197.81178078376075</v>
      </c>
      <c r="BE81" s="731"/>
      <c r="BF81" s="731"/>
      <c r="BG81" s="731"/>
      <c r="BH81" s="731"/>
      <c r="BI81" s="731"/>
      <c r="BJ81" s="731"/>
      <c r="BK81" s="731"/>
      <c r="BL81" s="648">
        <f>AVERAGE(AL81:AW81)</f>
        <v>197.81178078376072</v>
      </c>
      <c r="BM81" s="648">
        <f t="shared" si="2"/>
        <v>197.81178078376072</v>
      </c>
      <c r="BN81" s="718">
        <f t="shared" si="3"/>
        <v>0</v>
      </c>
    </row>
    <row r="82" spans="1:66">
      <c r="A82" s="81" t="s">
        <v>133</v>
      </c>
      <c r="B82" s="125">
        <v>197.81178078376075</v>
      </c>
      <c r="C82" s="126">
        <v>197.81178078376075</v>
      </c>
      <c r="D82" s="126">
        <v>197.81178078376075</v>
      </c>
      <c r="E82" s="126">
        <v>197.81178078376075</v>
      </c>
      <c r="F82" s="126">
        <v>197.81178078376075</v>
      </c>
      <c r="G82" s="126">
        <v>197.81178078376075</v>
      </c>
      <c r="H82" s="126">
        <v>197.81178078376075</v>
      </c>
      <c r="I82" s="126">
        <v>197.81178078376075</v>
      </c>
      <c r="J82" s="126">
        <v>197.81178078376075</v>
      </c>
      <c r="K82" s="126">
        <v>197.81178078376075</v>
      </c>
      <c r="L82" s="126">
        <v>197.81178078376075</v>
      </c>
      <c r="M82" s="127">
        <v>197.81178078376075</v>
      </c>
      <c r="N82" s="125">
        <v>197.81178078376075</v>
      </c>
      <c r="O82" s="126">
        <v>197.81178078376075</v>
      </c>
      <c r="P82" s="126">
        <v>197.81178078376075</v>
      </c>
      <c r="Q82" s="126">
        <v>197.81178078376075</v>
      </c>
      <c r="R82" s="126">
        <v>197.81178078376075</v>
      </c>
      <c r="S82" s="126">
        <v>197.81178078376075</v>
      </c>
      <c r="T82" s="126">
        <v>197.81178078376075</v>
      </c>
      <c r="U82" s="74">
        <v>197.81178078376075</v>
      </c>
      <c r="V82" s="74">
        <v>197.81178078376075</v>
      </c>
      <c r="W82" s="74">
        <v>197.81178078376075</v>
      </c>
      <c r="X82" s="74">
        <v>197.81178078376075</v>
      </c>
      <c r="Y82" s="127">
        <v>197.81178078376075</v>
      </c>
      <c r="Z82" s="126">
        <v>197.81178078376075</v>
      </c>
      <c r="AA82" s="126">
        <v>197.81178078376075</v>
      </c>
      <c r="AB82" s="126">
        <v>197.81178078376075</v>
      </c>
      <c r="AC82" s="126">
        <v>197.81178078376075</v>
      </c>
      <c r="AD82" s="126">
        <v>197.81178078376075</v>
      </c>
      <c r="AE82" s="126">
        <v>197.81178078376075</v>
      </c>
      <c r="AF82" s="126">
        <v>197.81178078376075</v>
      </c>
      <c r="AG82" s="126">
        <v>197.81178078376075</v>
      </c>
      <c r="AH82" s="126">
        <v>197.81178078376075</v>
      </c>
      <c r="AI82" s="126">
        <v>197.81178078376075</v>
      </c>
      <c r="AJ82" s="126">
        <v>197.81178078376075</v>
      </c>
      <c r="AK82" s="126">
        <v>197.81178078376075</v>
      </c>
      <c r="AL82" s="126">
        <v>197.81178078376075</v>
      </c>
      <c r="AM82" s="126">
        <v>197.81178078376075</v>
      </c>
      <c r="AN82" s="126">
        <v>197.81178078376075</v>
      </c>
      <c r="AO82" s="126">
        <v>197.81178078376075</v>
      </c>
      <c r="AP82" s="126">
        <v>197.81178078376075</v>
      </c>
      <c r="AQ82" s="126">
        <v>197.81178078376075</v>
      </c>
      <c r="AR82" s="126">
        <v>197.81178078376075</v>
      </c>
      <c r="AS82" s="126">
        <v>197.81178078376075</v>
      </c>
      <c r="AT82" s="126">
        <v>197.81178078376075</v>
      </c>
      <c r="AU82" s="126">
        <v>197.81178078376075</v>
      </c>
      <c r="AV82" s="126">
        <v>197.81178078376075</v>
      </c>
      <c r="AW82" s="126">
        <v>197.81178078376075</v>
      </c>
      <c r="AX82" s="701">
        <v>197.81178078376075</v>
      </c>
      <c r="AY82" s="701">
        <v>197.81178078376075</v>
      </c>
      <c r="AZ82" s="701">
        <v>197.81178078376075</v>
      </c>
      <c r="BA82" s="701">
        <v>197.81178078376075</v>
      </c>
      <c r="BB82" s="701">
        <v>197.81178078376075</v>
      </c>
      <c r="BC82" s="701">
        <v>197.81178078376075</v>
      </c>
      <c r="BD82" s="701">
        <v>197.81178078376075</v>
      </c>
      <c r="BE82" s="732"/>
      <c r="BF82" s="732"/>
      <c r="BG82" s="732"/>
      <c r="BH82" s="732"/>
      <c r="BI82" s="732"/>
      <c r="BJ82" s="732"/>
      <c r="BK82" s="732"/>
      <c r="BL82" s="648">
        <f>AVERAGE(AL82:AW82)</f>
        <v>197.81178078376072</v>
      </c>
      <c r="BM82" s="648">
        <f t="shared" si="2"/>
        <v>197.81178078376072</v>
      </c>
      <c r="BN82" s="718">
        <f t="shared" si="3"/>
        <v>0</v>
      </c>
    </row>
    <row r="83" spans="1:66">
      <c r="A83" s="83" t="s">
        <v>134</v>
      </c>
      <c r="B83" s="128">
        <v>185.78760656295128</v>
      </c>
      <c r="C83" s="129">
        <v>185.78760656295128</v>
      </c>
      <c r="D83" s="129">
        <v>185.78760656295128</v>
      </c>
      <c r="E83" s="129">
        <v>185.78760656295128</v>
      </c>
      <c r="F83" s="129">
        <v>185.78760656295128</v>
      </c>
      <c r="G83" s="129">
        <v>185.78760656295128</v>
      </c>
      <c r="H83" s="129">
        <v>185.78760656295128</v>
      </c>
      <c r="I83" s="129">
        <v>185.78760656295128</v>
      </c>
      <c r="J83" s="129">
        <v>185.78760656295128</v>
      </c>
      <c r="K83" s="129">
        <v>185.78760656295128</v>
      </c>
      <c r="L83" s="129">
        <v>185.78760656295128</v>
      </c>
      <c r="M83" s="130">
        <v>185.78760656295128</v>
      </c>
      <c r="N83" s="128">
        <v>185.78760656295128</v>
      </c>
      <c r="O83" s="129">
        <v>185.78760656295128</v>
      </c>
      <c r="P83" s="129">
        <v>185.78760656295128</v>
      </c>
      <c r="Q83" s="129">
        <v>185.78760656295128</v>
      </c>
      <c r="R83" s="129">
        <v>185.78760656295128</v>
      </c>
      <c r="S83" s="129">
        <v>185.78760656295128</v>
      </c>
      <c r="T83" s="129">
        <v>185.78760656295128</v>
      </c>
      <c r="U83" s="75">
        <v>185.78760656295128</v>
      </c>
      <c r="V83" s="75">
        <v>185.78760656295128</v>
      </c>
      <c r="W83" s="75">
        <v>185.78760656295128</v>
      </c>
      <c r="X83" s="75">
        <v>185.78760656295128</v>
      </c>
      <c r="Y83" s="130">
        <v>185.78760656295128</v>
      </c>
      <c r="Z83" s="129">
        <v>185.78760656295128</v>
      </c>
      <c r="AA83" s="129">
        <v>185.78760656295128</v>
      </c>
      <c r="AB83" s="129">
        <v>185.78760656295128</v>
      </c>
      <c r="AC83" s="129">
        <v>185.78760656295128</v>
      </c>
      <c r="AD83" s="129">
        <v>185.78760656295128</v>
      </c>
      <c r="AE83" s="129">
        <v>185.78760656295128</v>
      </c>
      <c r="AF83" s="129">
        <v>185.78760656295128</v>
      </c>
      <c r="AG83" s="129">
        <v>185.78760656295128</v>
      </c>
      <c r="AH83" s="129">
        <v>185.78760656295128</v>
      </c>
      <c r="AI83" s="129">
        <v>185.78760656295128</v>
      </c>
      <c r="AJ83" s="129">
        <v>185.78760656295128</v>
      </c>
      <c r="AK83" s="129">
        <v>185.78760656295128</v>
      </c>
      <c r="AL83" s="129">
        <v>185.78760656295128</v>
      </c>
      <c r="AM83" s="129">
        <v>185.78760656295128</v>
      </c>
      <c r="AN83" s="129">
        <v>185.78760656295128</v>
      </c>
      <c r="AO83" s="129">
        <v>185.78760656295128</v>
      </c>
      <c r="AP83" s="129">
        <v>185.78760656295128</v>
      </c>
      <c r="AQ83" s="129">
        <v>185.78760656295128</v>
      </c>
      <c r="AR83" s="129">
        <v>185.78760656295128</v>
      </c>
      <c r="AS83" s="129">
        <v>185.78760656295128</v>
      </c>
      <c r="AT83" s="129">
        <v>185.78760656295128</v>
      </c>
      <c r="AU83" s="129">
        <v>185.78760656295128</v>
      </c>
      <c r="AV83" s="129">
        <v>185.78760656295128</v>
      </c>
      <c r="AW83" s="129">
        <v>185.78760656295128</v>
      </c>
      <c r="AX83" s="702">
        <v>185.78760656295128</v>
      </c>
      <c r="AY83" s="702">
        <v>185.78760656295128</v>
      </c>
      <c r="AZ83" s="702">
        <v>185.78760656295128</v>
      </c>
      <c r="BA83" s="702">
        <v>185.78760656295128</v>
      </c>
      <c r="BB83" s="702">
        <v>185.78760656295128</v>
      </c>
      <c r="BC83" s="702">
        <v>185.78760656295128</v>
      </c>
      <c r="BD83" s="702">
        <v>185.78760656295128</v>
      </c>
      <c r="BE83" s="733"/>
      <c r="BF83" s="733"/>
      <c r="BG83" s="733"/>
      <c r="BH83" s="733"/>
      <c r="BI83" s="733"/>
      <c r="BJ83" s="733"/>
      <c r="BK83" s="733"/>
      <c r="BL83" s="648">
        <f>AVERAGE(AL83:AW83)</f>
        <v>185.78760656295125</v>
      </c>
      <c r="BM83" s="648">
        <f t="shared" si="2"/>
        <v>185.78760656295131</v>
      </c>
      <c r="BN83" s="718">
        <f t="shared" si="3"/>
        <v>0</v>
      </c>
    </row>
    <row r="84" spans="1:66" ht="15.5" thickBot="1">
      <c r="A84" s="86" t="s">
        <v>135</v>
      </c>
      <c r="B84" s="137">
        <v>200.05204163215419</v>
      </c>
      <c r="C84" s="138">
        <v>200.05204163215419</v>
      </c>
      <c r="D84" s="138">
        <v>200.05204163215419</v>
      </c>
      <c r="E84" s="138">
        <v>200.05204163215419</v>
      </c>
      <c r="F84" s="138">
        <v>200.05204163215419</v>
      </c>
      <c r="G84" s="138">
        <v>200.05204163215419</v>
      </c>
      <c r="H84" s="138">
        <v>200.05204163215419</v>
      </c>
      <c r="I84" s="138">
        <v>200.05204163215419</v>
      </c>
      <c r="J84" s="138">
        <v>200.05204163215419</v>
      </c>
      <c r="K84" s="138">
        <v>200.05204163215419</v>
      </c>
      <c r="L84" s="138">
        <v>200.05204163215419</v>
      </c>
      <c r="M84" s="139">
        <v>200.05204163215419</v>
      </c>
      <c r="N84" s="137">
        <v>200.05204163215419</v>
      </c>
      <c r="O84" s="138">
        <v>200.05204163215419</v>
      </c>
      <c r="P84" s="138">
        <v>200.05204163215419</v>
      </c>
      <c r="Q84" s="138">
        <v>200.05204163215419</v>
      </c>
      <c r="R84" s="138">
        <v>200.05204163215419</v>
      </c>
      <c r="S84" s="138">
        <v>200.05204163215419</v>
      </c>
      <c r="T84" s="138">
        <v>200.05204163215419</v>
      </c>
      <c r="U84" s="87">
        <v>200.05204163215419</v>
      </c>
      <c r="V84" s="87">
        <v>200.05204163215419</v>
      </c>
      <c r="W84" s="87">
        <v>200.05204163215419</v>
      </c>
      <c r="X84" s="87">
        <v>200.05204163215419</v>
      </c>
      <c r="Y84" s="139">
        <v>200.05204163215419</v>
      </c>
      <c r="Z84" s="138">
        <v>200.05204163215419</v>
      </c>
      <c r="AA84" s="138">
        <v>200.05204163215419</v>
      </c>
      <c r="AB84" s="138">
        <v>200.05204163215419</v>
      </c>
      <c r="AC84" s="138">
        <v>200.05204163215419</v>
      </c>
      <c r="AD84" s="138">
        <v>200.05204163215419</v>
      </c>
      <c r="AE84" s="138">
        <v>200.05204163215419</v>
      </c>
      <c r="AF84" s="138">
        <v>200.05204163215419</v>
      </c>
      <c r="AG84" s="138">
        <v>200.05204163215419</v>
      </c>
      <c r="AH84" s="138">
        <v>200.05204163215419</v>
      </c>
      <c r="AI84" s="138">
        <v>200.05204163215419</v>
      </c>
      <c r="AJ84" s="138">
        <v>200.05204163215419</v>
      </c>
      <c r="AK84" s="138">
        <v>200.05204163215419</v>
      </c>
      <c r="AL84" s="138">
        <v>200.05204163215419</v>
      </c>
      <c r="AM84" s="138">
        <v>200.05204163215419</v>
      </c>
      <c r="AN84" s="138">
        <v>200.05204163215419</v>
      </c>
      <c r="AO84" s="138">
        <v>200.05204163215419</v>
      </c>
      <c r="AP84" s="138">
        <v>200.05204163215419</v>
      </c>
      <c r="AQ84" s="138">
        <v>200.05204163215419</v>
      </c>
      <c r="AR84" s="138">
        <v>200.05204163215419</v>
      </c>
      <c r="AS84" s="138">
        <v>200.05204163215419</v>
      </c>
      <c r="AT84" s="138">
        <v>200.05204163215419</v>
      </c>
      <c r="AU84" s="138">
        <v>200.05204163215419</v>
      </c>
      <c r="AV84" s="138">
        <v>200.05204163215419</v>
      </c>
      <c r="AW84" s="138">
        <v>200.05204163215419</v>
      </c>
      <c r="AX84" s="707">
        <v>200.05204163215419</v>
      </c>
      <c r="AY84" s="707">
        <v>200.05204163215419</v>
      </c>
      <c r="AZ84" s="707">
        <v>200.05204163215419</v>
      </c>
      <c r="BA84" s="707">
        <v>200.05204163215419</v>
      </c>
      <c r="BB84" s="707">
        <v>200.05204163215419</v>
      </c>
      <c r="BC84" s="707">
        <v>200.05204163215419</v>
      </c>
      <c r="BD84" s="707">
        <v>200.05204163215419</v>
      </c>
      <c r="BE84" s="733"/>
      <c r="BF84" s="733"/>
      <c r="BG84" s="733"/>
      <c r="BH84" s="733"/>
      <c r="BI84" s="733"/>
      <c r="BJ84" s="733"/>
      <c r="BK84" s="733"/>
      <c r="BL84" s="648">
        <f>AVERAGE(AL84:AW84)</f>
        <v>200.05204163215419</v>
      </c>
      <c r="BM84" s="648">
        <f t="shared" si="2"/>
        <v>200.05204163215419</v>
      </c>
      <c r="BN84" s="718">
        <f t="shared" si="3"/>
        <v>0</v>
      </c>
    </row>
  </sheetData>
  <mergeCells count="1">
    <mergeCell ref="BM1:BN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C8BA-3923-4BDC-951C-BA7F15B4F87A}">
  <dimension ref="A1:AB86"/>
  <sheetViews>
    <sheetView tabSelected="1" workbookViewId="0">
      <pane xSplit="5845" ySplit="605" topLeftCell="W1" activePane="bottomRight"/>
      <selection pane="topRight" activeCell="B1" sqref="B1"/>
      <selection pane="bottomLeft" activeCell="A27" sqref="A27:XFD27"/>
      <selection pane="bottomRight" activeCell="W11" sqref="W11"/>
    </sheetView>
  </sheetViews>
  <sheetFormatPr defaultRowHeight="14.75"/>
  <cols>
    <col min="1" max="1" width="49.453125" bestFit="1" customWidth="1"/>
    <col min="2" max="8" width="6.54296875" bestFit="1" customWidth="1"/>
    <col min="9" max="9" width="6.08984375" bestFit="1" customWidth="1"/>
    <col min="10" max="11" width="6.54296875" bestFit="1" customWidth="1"/>
    <col min="12" max="12" width="9" bestFit="1" customWidth="1"/>
    <col min="13" max="13" width="6.54296875" bestFit="1" customWidth="1"/>
    <col min="16" max="16" width="9" bestFit="1" customWidth="1"/>
    <col min="17" max="17" width="9" customWidth="1"/>
    <col min="18" max="20" width="8.81640625" style="315"/>
    <col min="21" max="21" width="8.7265625" style="315"/>
    <col min="22" max="22" width="8.953125" style="315" customWidth="1"/>
    <col min="26" max="26" width="4.953125" customWidth="1"/>
    <col min="27" max="27" width="6.2265625" customWidth="1"/>
  </cols>
  <sheetData>
    <row r="1" spans="1:28" ht="15.5" thickBot="1">
      <c r="B1" s="769">
        <v>2020</v>
      </c>
      <c r="C1" s="769"/>
      <c r="D1" s="769"/>
      <c r="E1" s="769"/>
      <c r="F1" s="769">
        <v>2021</v>
      </c>
      <c r="G1" s="769"/>
      <c r="H1" s="769"/>
      <c r="I1" s="769"/>
      <c r="J1" s="769">
        <v>2022</v>
      </c>
      <c r="K1" s="769"/>
      <c r="L1" s="769"/>
      <c r="M1" s="769"/>
      <c r="N1" s="767">
        <v>2023</v>
      </c>
      <c r="O1" s="768"/>
      <c r="P1" s="768"/>
      <c r="Q1" s="768"/>
      <c r="R1" s="770">
        <v>2024</v>
      </c>
      <c r="S1" s="770"/>
      <c r="T1" s="770"/>
      <c r="U1" s="770"/>
      <c r="V1" s="770"/>
      <c r="W1" s="766">
        <v>2025</v>
      </c>
      <c r="X1" s="766"/>
      <c r="Y1" s="766"/>
      <c r="Z1" s="766"/>
    </row>
    <row r="2" spans="1:28" ht="15.5" thickBot="1">
      <c r="A2" s="496"/>
      <c r="B2" s="497" t="s">
        <v>136</v>
      </c>
      <c r="C2" s="498" t="s">
        <v>137</v>
      </c>
      <c r="D2" s="498" t="s">
        <v>138</v>
      </c>
      <c r="E2" s="499" t="s">
        <v>308</v>
      </c>
      <c r="F2" s="498" t="s">
        <v>136</v>
      </c>
      <c r="G2" s="498" t="s">
        <v>137</v>
      </c>
      <c r="H2" s="498" t="s">
        <v>138</v>
      </c>
      <c r="I2" s="499" t="s">
        <v>308</v>
      </c>
      <c r="J2" s="498" t="s">
        <v>136</v>
      </c>
      <c r="K2" s="498" t="s">
        <v>137</v>
      </c>
      <c r="L2" s="498" t="s">
        <v>138</v>
      </c>
      <c r="M2" s="499" t="s">
        <v>308</v>
      </c>
      <c r="N2" s="265" t="s">
        <v>136</v>
      </c>
      <c r="O2" s="500" t="s">
        <v>137</v>
      </c>
      <c r="P2" s="500" t="s">
        <v>138</v>
      </c>
      <c r="Q2" s="500" t="s">
        <v>308</v>
      </c>
      <c r="R2" s="685" t="s">
        <v>136</v>
      </c>
      <c r="S2" s="685" t="s">
        <v>137</v>
      </c>
      <c r="T2" s="685" t="s">
        <v>138</v>
      </c>
      <c r="U2" s="686" t="s">
        <v>308</v>
      </c>
      <c r="V2" s="749" t="s">
        <v>789</v>
      </c>
      <c r="W2" s="754" t="s">
        <v>136</v>
      </c>
      <c r="X2" s="754" t="s">
        <v>137</v>
      </c>
      <c r="Y2" s="754" t="s">
        <v>138</v>
      </c>
      <c r="Z2" s="755" t="s">
        <v>308</v>
      </c>
      <c r="AA2" s="750" t="s">
        <v>582</v>
      </c>
    </row>
    <row r="3" spans="1:28">
      <c r="A3" s="99" t="s">
        <v>139</v>
      </c>
      <c r="B3" s="738">
        <v>3621</v>
      </c>
      <c r="C3" s="738">
        <v>3451</v>
      </c>
      <c r="D3" s="738">
        <v>3258</v>
      </c>
      <c r="E3" s="738">
        <v>4042</v>
      </c>
      <c r="F3" s="741">
        <v>3707</v>
      </c>
      <c r="G3" s="742">
        <v>4070</v>
      </c>
      <c r="H3" s="742">
        <v>3454</v>
      </c>
      <c r="I3" s="742">
        <v>4350</v>
      </c>
      <c r="J3" s="738">
        <v>4074</v>
      </c>
      <c r="K3" s="738">
        <v>4541</v>
      </c>
      <c r="L3" s="738">
        <v>3852</v>
      </c>
      <c r="M3" s="738">
        <v>4644</v>
      </c>
      <c r="N3" s="738">
        <v>4386</v>
      </c>
      <c r="O3" s="738">
        <v>4659</v>
      </c>
      <c r="P3" s="738">
        <v>4261</v>
      </c>
      <c r="Q3" s="738">
        <v>5270</v>
      </c>
      <c r="R3" s="738">
        <v>4741</v>
      </c>
      <c r="S3" s="738">
        <v>5137</v>
      </c>
      <c r="T3" s="738">
        <v>4550</v>
      </c>
      <c r="U3" s="738">
        <v>5489</v>
      </c>
      <c r="V3" s="738">
        <f>AVERAGE(R3:T3)</f>
        <v>4809.333333333333</v>
      </c>
      <c r="W3" s="756">
        <v>5052</v>
      </c>
      <c r="X3" s="756">
        <v>5540</v>
      </c>
      <c r="Y3" s="756">
        <v>5089</v>
      </c>
      <c r="Z3" s="757"/>
      <c r="AA3" s="756">
        <f>AVERAGE(W3:Y3)</f>
        <v>5227</v>
      </c>
      <c r="AB3" s="763">
        <f>AA3/V3-1</f>
        <v>8.6845023565289781E-2</v>
      </c>
    </row>
    <row r="4" spans="1:28">
      <c r="A4" s="100"/>
      <c r="B4" s="688"/>
      <c r="C4" s="688"/>
      <c r="D4" s="688"/>
      <c r="E4" s="688"/>
      <c r="F4" s="743"/>
      <c r="G4" s="688"/>
      <c r="H4" s="688"/>
      <c r="I4" s="688"/>
      <c r="J4" s="688"/>
      <c r="K4" s="688"/>
      <c r="L4" s="688"/>
      <c r="M4" s="688"/>
      <c r="N4" s="688"/>
      <c r="O4" s="688"/>
      <c r="P4" s="688"/>
      <c r="Q4" s="688"/>
      <c r="R4" s="688"/>
      <c r="S4" s="688"/>
      <c r="T4" s="688"/>
      <c r="U4" s="688"/>
      <c r="V4" s="688"/>
      <c r="W4" s="758"/>
      <c r="X4" s="758"/>
      <c r="Y4" s="758"/>
      <c r="Z4" s="757"/>
      <c r="AA4" s="758"/>
      <c r="AB4" s="762"/>
    </row>
    <row r="5" spans="1:28">
      <c r="A5" s="99" t="s">
        <v>140</v>
      </c>
      <c r="B5" s="738">
        <v>871</v>
      </c>
      <c r="C5" s="738">
        <v>1069</v>
      </c>
      <c r="D5" s="738">
        <v>547</v>
      </c>
      <c r="E5" s="738">
        <v>1181</v>
      </c>
      <c r="F5" s="744">
        <v>892</v>
      </c>
      <c r="G5" s="738">
        <v>1112</v>
      </c>
      <c r="H5" s="738">
        <v>595</v>
      </c>
      <c r="I5" s="738">
        <v>1210</v>
      </c>
      <c r="J5" s="738">
        <v>888</v>
      </c>
      <c r="K5" s="738">
        <v>1121</v>
      </c>
      <c r="L5" s="738">
        <v>606</v>
      </c>
      <c r="M5" s="738">
        <v>1211</v>
      </c>
      <c r="N5" s="738">
        <v>924</v>
      </c>
      <c r="O5" s="738">
        <v>1138</v>
      </c>
      <c r="P5" s="738">
        <v>658</v>
      </c>
      <c r="Q5" s="738">
        <v>1293</v>
      </c>
      <c r="R5" s="738">
        <v>978</v>
      </c>
      <c r="S5" s="738">
        <v>1180</v>
      </c>
      <c r="T5" s="738">
        <v>677</v>
      </c>
      <c r="U5" s="738">
        <v>1307</v>
      </c>
      <c r="V5" s="738">
        <f t="shared" ref="V5:V42" si="0">AVERAGE(R5:T5)</f>
        <v>945</v>
      </c>
      <c r="W5" s="756">
        <v>1014</v>
      </c>
      <c r="X5" s="756">
        <v>1269</v>
      </c>
      <c r="Y5" s="756">
        <v>747</v>
      </c>
      <c r="Z5" s="757"/>
      <c r="AA5" s="756">
        <f t="shared" ref="AA5:AA42" si="1">AVERAGE(W5:Y5)</f>
        <v>1010</v>
      </c>
      <c r="AB5" s="763">
        <f t="shared" ref="AB5:AB42" si="2">AA5/V5-1</f>
        <v>6.8783068783068835E-2</v>
      </c>
    </row>
    <row r="6" spans="1:28">
      <c r="A6" s="101" t="s">
        <v>19</v>
      </c>
      <c r="B6" s="689">
        <v>543</v>
      </c>
      <c r="C6" s="689">
        <v>745</v>
      </c>
      <c r="D6" s="689">
        <v>189</v>
      </c>
      <c r="E6" s="689">
        <v>804</v>
      </c>
      <c r="F6" s="745">
        <v>543</v>
      </c>
      <c r="G6" s="689">
        <v>750</v>
      </c>
      <c r="H6" s="689">
        <v>195</v>
      </c>
      <c r="I6" s="689">
        <v>801</v>
      </c>
      <c r="J6" s="689">
        <v>537</v>
      </c>
      <c r="K6" s="689">
        <v>723</v>
      </c>
      <c r="L6" s="689">
        <v>203</v>
      </c>
      <c r="M6" s="689">
        <v>778</v>
      </c>
      <c r="N6" s="689">
        <v>554</v>
      </c>
      <c r="O6" s="689">
        <v>736</v>
      </c>
      <c r="P6" s="689">
        <v>242</v>
      </c>
      <c r="Q6" s="689">
        <v>831</v>
      </c>
      <c r="R6" s="689">
        <v>574</v>
      </c>
      <c r="S6" s="689">
        <v>752</v>
      </c>
      <c r="T6" s="689">
        <v>219</v>
      </c>
      <c r="U6" s="689">
        <v>828</v>
      </c>
      <c r="V6" s="689">
        <f t="shared" si="0"/>
        <v>515</v>
      </c>
      <c r="W6" s="759">
        <v>583</v>
      </c>
      <c r="X6" s="759">
        <v>777</v>
      </c>
      <c r="Y6" s="759">
        <v>228</v>
      </c>
      <c r="Z6" s="757"/>
      <c r="AA6" s="759">
        <f t="shared" si="1"/>
        <v>529.33333333333337</v>
      </c>
      <c r="AB6" s="762">
        <f t="shared" si="2"/>
        <v>2.7831715210355989E-2</v>
      </c>
    </row>
    <row r="7" spans="1:28">
      <c r="A7" s="101" t="s">
        <v>21</v>
      </c>
      <c r="B7" s="689">
        <v>59</v>
      </c>
      <c r="C7" s="689">
        <v>55</v>
      </c>
      <c r="D7" s="689">
        <v>97</v>
      </c>
      <c r="E7" s="689">
        <v>99</v>
      </c>
      <c r="F7" s="745">
        <v>63</v>
      </c>
      <c r="G7" s="689">
        <v>78</v>
      </c>
      <c r="H7" s="689">
        <v>101</v>
      </c>
      <c r="I7" s="689">
        <v>117</v>
      </c>
      <c r="J7" s="689">
        <v>47</v>
      </c>
      <c r="K7" s="689">
        <v>84</v>
      </c>
      <c r="L7" s="689">
        <v>96</v>
      </c>
      <c r="M7" s="689">
        <v>119</v>
      </c>
      <c r="N7" s="689">
        <v>57</v>
      </c>
      <c r="O7" s="689">
        <v>83</v>
      </c>
      <c r="P7" s="689">
        <v>85</v>
      </c>
      <c r="Q7" s="689">
        <v>120</v>
      </c>
      <c r="R7" s="689">
        <v>63</v>
      </c>
      <c r="S7" s="689">
        <v>81</v>
      </c>
      <c r="T7" s="689">
        <v>99</v>
      </c>
      <c r="U7" s="689">
        <v>109</v>
      </c>
      <c r="V7" s="689">
        <f t="shared" si="0"/>
        <v>81</v>
      </c>
      <c r="W7" s="759">
        <v>63</v>
      </c>
      <c r="X7" s="759">
        <v>115</v>
      </c>
      <c r="Y7" s="759">
        <v>133</v>
      </c>
      <c r="Z7" s="757"/>
      <c r="AA7" s="759">
        <f t="shared" si="1"/>
        <v>103.66666666666667</v>
      </c>
      <c r="AB7" s="762">
        <f t="shared" si="2"/>
        <v>0.27983539094650212</v>
      </c>
    </row>
    <row r="8" spans="1:28">
      <c r="A8" s="101" t="s">
        <v>23</v>
      </c>
      <c r="B8" s="689">
        <v>101</v>
      </c>
      <c r="C8" s="689">
        <v>104</v>
      </c>
      <c r="D8" s="689">
        <v>107</v>
      </c>
      <c r="E8" s="689">
        <v>110</v>
      </c>
      <c r="F8" s="745">
        <v>110</v>
      </c>
      <c r="G8" s="689">
        <v>107</v>
      </c>
      <c r="H8" s="689">
        <v>119</v>
      </c>
      <c r="I8" s="689">
        <v>110</v>
      </c>
      <c r="J8" s="689">
        <v>117</v>
      </c>
      <c r="K8" s="689">
        <v>123</v>
      </c>
      <c r="L8" s="689">
        <v>116</v>
      </c>
      <c r="M8" s="689">
        <v>120</v>
      </c>
      <c r="N8" s="689">
        <v>119</v>
      </c>
      <c r="O8" s="689">
        <v>122</v>
      </c>
      <c r="P8" s="689">
        <v>130</v>
      </c>
      <c r="Q8" s="689">
        <v>139</v>
      </c>
      <c r="R8" s="689">
        <v>137</v>
      </c>
      <c r="S8" s="689">
        <v>139</v>
      </c>
      <c r="T8" s="689">
        <v>148</v>
      </c>
      <c r="U8" s="689">
        <v>157</v>
      </c>
      <c r="V8" s="689">
        <f t="shared" si="0"/>
        <v>141.33333333333334</v>
      </c>
      <c r="W8" s="759">
        <v>152</v>
      </c>
      <c r="X8" s="759">
        <v>157</v>
      </c>
      <c r="Y8" s="759">
        <v>157</v>
      </c>
      <c r="Z8" s="757"/>
      <c r="AA8" s="759">
        <f t="shared" si="1"/>
        <v>155.33333333333334</v>
      </c>
      <c r="AB8" s="762">
        <f t="shared" si="2"/>
        <v>9.9056603773584939E-2</v>
      </c>
    </row>
    <row r="9" spans="1:28">
      <c r="A9" s="101" t="s">
        <v>25</v>
      </c>
      <c r="B9" s="689">
        <v>154</v>
      </c>
      <c r="C9" s="689">
        <v>154</v>
      </c>
      <c r="D9" s="689">
        <v>158</v>
      </c>
      <c r="E9" s="689">
        <v>160</v>
      </c>
      <c r="F9" s="745">
        <v>162</v>
      </c>
      <c r="G9" s="689">
        <v>162</v>
      </c>
      <c r="H9" s="689">
        <v>166</v>
      </c>
      <c r="I9" s="689">
        <v>168</v>
      </c>
      <c r="J9" s="689">
        <v>172</v>
      </c>
      <c r="K9" s="689">
        <v>175</v>
      </c>
      <c r="L9" s="689">
        <v>177</v>
      </c>
      <c r="M9" s="689">
        <v>180</v>
      </c>
      <c r="N9" s="689">
        <v>180</v>
      </c>
      <c r="O9" s="689">
        <v>184</v>
      </c>
      <c r="P9" s="689">
        <v>188</v>
      </c>
      <c r="Q9" s="689">
        <v>190</v>
      </c>
      <c r="R9" s="689">
        <v>192</v>
      </c>
      <c r="S9" s="689">
        <v>194</v>
      </c>
      <c r="T9" s="689">
        <v>197</v>
      </c>
      <c r="U9" s="689">
        <v>200</v>
      </c>
      <c r="V9" s="689">
        <f t="shared" si="0"/>
        <v>194.33333333333334</v>
      </c>
      <c r="W9" s="759">
        <v>202</v>
      </c>
      <c r="X9" s="759">
        <v>205</v>
      </c>
      <c r="Y9" s="759">
        <v>209</v>
      </c>
      <c r="Z9" s="757"/>
      <c r="AA9" s="759">
        <f t="shared" si="1"/>
        <v>205.33333333333334</v>
      </c>
      <c r="AB9" s="762">
        <f t="shared" si="2"/>
        <v>5.6603773584905648E-2</v>
      </c>
    </row>
    <row r="10" spans="1:28">
      <c r="A10" s="101" t="s">
        <v>27</v>
      </c>
      <c r="B10" s="689">
        <v>14</v>
      </c>
      <c r="C10" s="689">
        <v>7</v>
      </c>
      <c r="D10" s="689">
        <v>11</v>
      </c>
      <c r="E10" s="689">
        <v>14</v>
      </c>
      <c r="F10" s="745">
        <v>14</v>
      </c>
      <c r="G10" s="689">
        <v>14</v>
      </c>
      <c r="H10" s="689">
        <v>14</v>
      </c>
      <c r="I10" s="689">
        <v>14</v>
      </c>
      <c r="J10" s="689">
        <v>14</v>
      </c>
      <c r="K10" s="689">
        <v>14</v>
      </c>
      <c r="L10" s="689">
        <v>14</v>
      </c>
      <c r="M10" s="689">
        <v>14</v>
      </c>
      <c r="N10" s="689">
        <v>14</v>
      </c>
      <c r="O10" s="689">
        <v>14</v>
      </c>
      <c r="P10" s="689">
        <v>14</v>
      </c>
      <c r="Q10" s="689">
        <v>13</v>
      </c>
      <c r="R10" s="689">
        <v>12</v>
      </c>
      <c r="S10" s="689">
        <v>13</v>
      </c>
      <c r="T10" s="689">
        <v>14</v>
      </c>
      <c r="U10" s="689">
        <v>14</v>
      </c>
      <c r="V10" s="689">
        <f t="shared" si="0"/>
        <v>13</v>
      </c>
      <c r="W10" s="759">
        <v>15</v>
      </c>
      <c r="X10" s="759">
        <v>16</v>
      </c>
      <c r="Y10" s="759">
        <v>19</v>
      </c>
      <c r="Z10" s="757"/>
      <c r="AA10" s="759">
        <f t="shared" si="1"/>
        <v>16.666666666666668</v>
      </c>
      <c r="AB10" s="762">
        <f t="shared" si="2"/>
        <v>0.28205128205128216</v>
      </c>
    </row>
    <row r="11" spans="1:28">
      <c r="A11" s="99" t="s">
        <v>28</v>
      </c>
      <c r="B11" s="738">
        <v>721</v>
      </c>
      <c r="C11" s="738">
        <v>633</v>
      </c>
      <c r="D11" s="738">
        <v>771</v>
      </c>
      <c r="E11" s="738">
        <v>823</v>
      </c>
      <c r="F11" s="744">
        <v>790</v>
      </c>
      <c r="G11" s="738">
        <v>731</v>
      </c>
      <c r="H11" s="738">
        <v>736</v>
      </c>
      <c r="I11" s="738">
        <v>842</v>
      </c>
      <c r="J11" s="738">
        <v>943</v>
      </c>
      <c r="K11" s="738">
        <v>1015</v>
      </c>
      <c r="L11" s="738">
        <v>849</v>
      </c>
      <c r="M11" s="738">
        <v>960</v>
      </c>
      <c r="N11" s="738">
        <v>966</v>
      </c>
      <c r="O11" s="738">
        <v>989</v>
      </c>
      <c r="P11" s="738">
        <v>982</v>
      </c>
      <c r="Q11" s="738">
        <v>1152</v>
      </c>
      <c r="R11" s="738">
        <v>1136</v>
      </c>
      <c r="S11" s="738">
        <v>1120</v>
      </c>
      <c r="T11" s="738">
        <v>993</v>
      </c>
      <c r="U11" s="738">
        <v>1147</v>
      </c>
      <c r="V11" s="738">
        <f t="shared" si="0"/>
        <v>1083</v>
      </c>
      <c r="W11" s="756">
        <v>1193</v>
      </c>
      <c r="X11" s="756">
        <v>1198</v>
      </c>
      <c r="Y11" s="756">
        <v>1159</v>
      </c>
      <c r="Z11" s="757"/>
      <c r="AA11" s="756">
        <f t="shared" si="1"/>
        <v>1183.3333333333333</v>
      </c>
      <c r="AB11" s="762">
        <f t="shared" si="2"/>
        <v>9.2643890427823949E-2</v>
      </c>
    </row>
    <row r="12" spans="1:28">
      <c r="A12" s="101" t="s">
        <v>30</v>
      </c>
      <c r="B12" s="689">
        <v>58</v>
      </c>
      <c r="C12" s="689">
        <v>42</v>
      </c>
      <c r="D12" s="689">
        <v>58</v>
      </c>
      <c r="E12" s="689">
        <v>67</v>
      </c>
      <c r="F12" s="745">
        <v>60</v>
      </c>
      <c r="G12" s="689">
        <v>54</v>
      </c>
      <c r="H12" s="689">
        <v>61</v>
      </c>
      <c r="I12" s="689">
        <v>63</v>
      </c>
      <c r="J12" s="689">
        <v>74</v>
      </c>
      <c r="K12" s="689">
        <v>81</v>
      </c>
      <c r="L12" s="689">
        <v>72</v>
      </c>
      <c r="M12" s="689">
        <v>78</v>
      </c>
      <c r="N12" s="689">
        <v>73</v>
      </c>
      <c r="O12" s="689">
        <v>78</v>
      </c>
      <c r="P12" s="689">
        <v>83</v>
      </c>
      <c r="Q12" s="689">
        <v>93</v>
      </c>
      <c r="R12" s="689">
        <v>94</v>
      </c>
      <c r="S12" s="689">
        <v>86</v>
      </c>
      <c r="T12" s="689">
        <v>87</v>
      </c>
      <c r="U12" s="689">
        <v>87</v>
      </c>
      <c r="V12" s="689">
        <f t="shared" si="0"/>
        <v>89</v>
      </c>
      <c r="W12" s="759">
        <v>94</v>
      </c>
      <c r="X12" s="759">
        <v>96</v>
      </c>
      <c r="Y12" s="759">
        <v>99</v>
      </c>
      <c r="Z12" s="757"/>
      <c r="AA12" s="759">
        <f t="shared" si="1"/>
        <v>96.333333333333329</v>
      </c>
      <c r="AB12" s="762">
        <f t="shared" si="2"/>
        <v>8.2397003745318331E-2</v>
      </c>
    </row>
    <row r="13" spans="1:28">
      <c r="A13" s="101" t="s">
        <v>32</v>
      </c>
      <c r="B13" s="739">
        <v>283</v>
      </c>
      <c r="C13" s="739">
        <v>266</v>
      </c>
      <c r="D13" s="739">
        <v>310</v>
      </c>
      <c r="E13" s="739">
        <v>321</v>
      </c>
      <c r="F13" s="746">
        <v>307</v>
      </c>
      <c r="G13" s="739">
        <v>342</v>
      </c>
      <c r="H13" s="739">
        <v>274</v>
      </c>
      <c r="I13" s="739">
        <v>349</v>
      </c>
      <c r="J13" s="739">
        <v>338</v>
      </c>
      <c r="K13" s="739">
        <v>383</v>
      </c>
      <c r="L13" s="739">
        <v>296</v>
      </c>
      <c r="M13" s="739">
        <v>373</v>
      </c>
      <c r="N13" s="739">
        <v>391</v>
      </c>
      <c r="O13" s="739">
        <v>387</v>
      </c>
      <c r="P13" s="739">
        <v>329</v>
      </c>
      <c r="Q13" s="739">
        <v>418</v>
      </c>
      <c r="R13" s="739">
        <v>388</v>
      </c>
      <c r="S13" s="739">
        <v>427</v>
      </c>
      <c r="T13" s="739">
        <v>356</v>
      </c>
      <c r="U13" s="739">
        <v>448</v>
      </c>
      <c r="V13" s="739">
        <f t="shared" si="0"/>
        <v>390.33333333333331</v>
      </c>
      <c r="W13" s="756">
        <v>422</v>
      </c>
      <c r="X13" s="756">
        <v>459</v>
      </c>
      <c r="Y13" s="756">
        <v>406</v>
      </c>
      <c r="Z13" s="757"/>
      <c r="AA13" s="756">
        <f t="shared" si="1"/>
        <v>429</v>
      </c>
      <c r="AB13" s="762">
        <f t="shared" si="2"/>
        <v>9.906063193851411E-2</v>
      </c>
    </row>
    <row r="14" spans="1:28">
      <c r="A14" s="102" t="s">
        <v>141</v>
      </c>
      <c r="B14" s="740">
        <v>56</v>
      </c>
      <c r="C14" s="740">
        <v>56</v>
      </c>
      <c r="D14" s="740">
        <v>52</v>
      </c>
      <c r="E14" s="740">
        <v>55</v>
      </c>
      <c r="F14" s="747">
        <v>60</v>
      </c>
      <c r="G14" s="740">
        <v>89</v>
      </c>
      <c r="H14" s="740">
        <v>52</v>
      </c>
      <c r="I14" s="740">
        <v>92</v>
      </c>
      <c r="J14" s="740">
        <v>65</v>
      </c>
      <c r="K14" s="740">
        <v>107</v>
      </c>
      <c r="L14" s="740">
        <v>58</v>
      </c>
      <c r="M14" s="740">
        <v>103</v>
      </c>
      <c r="N14" s="740">
        <v>79</v>
      </c>
      <c r="O14" s="740">
        <v>109</v>
      </c>
      <c r="P14" s="740">
        <v>63</v>
      </c>
      <c r="Q14" s="740">
        <v>125</v>
      </c>
      <c r="R14" s="740">
        <v>82</v>
      </c>
      <c r="S14" s="740">
        <v>115</v>
      </c>
      <c r="T14" s="740">
        <v>67</v>
      </c>
      <c r="U14" s="740">
        <v>119</v>
      </c>
      <c r="V14" s="740">
        <f t="shared" si="0"/>
        <v>88</v>
      </c>
      <c r="W14" s="760">
        <v>86</v>
      </c>
      <c r="X14" s="760">
        <v>127</v>
      </c>
      <c r="Y14" s="760">
        <v>75</v>
      </c>
      <c r="Z14" s="757"/>
      <c r="AA14" s="760">
        <f t="shared" si="1"/>
        <v>96</v>
      </c>
      <c r="AB14" s="762">
        <f t="shared" si="2"/>
        <v>9.0909090909090828E-2</v>
      </c>
    </row>
    <row r="15" spans="1:28">
      <c r="A15" s="102" t="s">
        <v>142</v>
      </c>
      <c r="B15" s="740">
        <v>117</v>
      </c>
      <c r="C15" s="740">
        <v>110</v>
      </c>
      <c r="D15" s="740">
        <v>134</v>
      </c>
      <c r="E15" s="740">
        <v>132</v>
      </c>
      <c r="F15" s="747">
        <v>122</v>
      </c>
      <c r="G15" s="740">
        <v>98</v>
      </c>
      <c r="H15" s="740">
        <v>76</v>
      </c>
      <c r="I15" s="740">
        <v>115</v>
      </c>
      <c r="J15" s="740">
        <v>137</v>
      </c>
      <c r="K15" s="740">
        <v>122</v>
      </c>
      <c r="L15" s="740">
        <v>86</v>
      </c>
      <c r="M15" s="740">
        <v>117</v>
      </c>
      <c r="N15" s="740">
        <v>139</v>
      </c>
      <c r="O15" s="740">
        <v>117</v>
      </c>
      <c r="P15" s="740">
        <v>88</v>
      </c>
      <c r="Q15" s="740">
        <v>116</v>
      </c>
      <c r="R15" s="740">
        <v>142</v>
      </c>
      <c r="S15" s="740">
        <v>125</v>
      </c>
      <c r="T15" s="740">
        <v>92</v>
      </c>
      <c r="U15" s="740">
        <v>127</v>
      </c>
      <c r="V15" s="740">
        <f t="shared" si="0"/>
        <v>119.66666666666667</v>
      </c>
      <c r="W15" s="760">
        <v>146</v>
      </c>
      <c r="X15" s="760">
        <v>121</v>
      </c>
      <c r="Y15" s="760">
        <v>99</v>
      </c>
      <c r="Z15" s="757"/>
      <c r="AA15" s="760">
        <f t="shared" si="1"/>
        <v>122</v>
      </c>
      <c r="AB15" s="762">
        <f t="shared" si="2"/>
        <v>1.9498607242339761E-2</v>
      </c>
    </row>
    <row r="16" spans="1:28">
      <c r="A16" s="102" t="s">
        <v>143</v>
      </c>
      <c r="B16" s="740">
        <v>22</v>
      </c>
      <c r="C16" s="740">
        <v>19</v>
      </c>
      <c r="D16" s="740">
        <v>24</v>
      </c>
      <c r="E16" s="740">
        <v>26</v>
      </c>
      <c r="F16" s="747">
        <v>22</v>
      </c>
      <c r="G16" s="740">
        <v>25</v>
      </c>
      <c r="H16" s="740">
        <v>25</v>
      </c>
      <c r="I16" s="740">
        <v>27</v>
      </c>
      <c r="J16" s="740">
        <v>24</v>
      </c>
      <c r="K16" s="740">
        <v>27</v>
      </c>
      <c r="L16" s="740">
        <v>28</v>
      </c>
      <c r="M16" s="740">
        <v>30</v>
      </c>
      <c r="N16" s="740">
        <v>27</v>
      </c>
      <c r="O16" s="740">
        <v>30</v>
      </c>
      <c r="P16" s="740">
        <v>32</v>
      </c>
      <c r="Q16" s="740">
        <v>35</v>
      </c>
      <c r="R16" s="740">
        <v>30</v>
      </c>
      <c r="S16" s="740">
        <v>36</v>
      </c>
      <c r="T16" s="740">
        <v>36</v>
      </c>
      <c r="U16" s="740">
        <v>34</v>
      </c>
      <c r="V16" s="740">
        <f t="shared" si="0"/>
        <v>34</v>
      </c>
      <c r="W16" s="760">
        <v>30</v>
      </c>
      <c r="X16" s="760">
        <v>32</v>
      </c>
      <c r="Y16" s="760">
        <v>34</v>
      </c>
      <c r="Z16" s="757"/>
      <c r="AA16" s="760">
        <f t="shared" si="1"/>
        <v>32</v>
      </c>
      <c r="AB16" s="762">
        <f t="shared" si="2"/>
        <v>-5.8823529411764719E-2</v>
      </c>
    </row>
    <row r="17" spans="1:28">
      <c r="A17" s="102" t="s">
        <v>144</v>
      </c>
      <c r="B17" s="740">
        <v>8</v>
      </c>
      <c r="C17" s="740">
        <v>7</v>
      </c>
      <c r="D17" s="740">
        <v>9</v>
      </c>
      <c r="E17" s="740">
        <v>10</v>
      </c>
      <c r="F17" s="747">
        <v>9</v>
      </c>
      <c r="G17" s="740">
        <v>11</v>
      </c>
      <c r="H17" s="740">
        <v>11</v>
      </c>
      <c r="I17" s="740">
        <v>12</v>
      </c>
      <c r="J17" s="740">
        <v>11</v>
      </c>
      <c r="K17" s="740">
        <v>14</v>
      </c>
      <c r="L17" s="740">
        <v>15</v>
      </c>
      <c r="M17" s="740">
        <v>17</v>
      </c>
      <c r="N17" s="740">
        <v>14</v>
      </c>
      <c r="O17" s="740">
        <v>17</v>
      </c>
      <c r="P17" s="740">
        <v>18</v>
      </c>
      <c r="Q17" s="740">
        <v>18</v>
      </c>
      <c r="R17" s="740">
        <v>17</v>
      </c>
      <c r="S17" s="740">
        <v>18</v>
      </c>
      <c r="T17" s="740">
        <v>22</v>
      </c>
      <c r="U17" s="740">
        <v>21</v>
      </c>
      <c r="V17" s="740">
        <f t="shared" si="0"/>
        <v>19</v>
      </c>
      <c r="W17" s="760">
        <v>19</v>
      </c>
      <c r="X17" s="760">
        <v>22</v>
      </c>
      <c r="Y17" s="760">
        <v>25</v>
      </c>
      <c r="Z17" s="757"/>
      <c r="AA17" s="760">
        <f t="shared" si="1"/>
        <v>22</v>
      </c>
      <c r="AB17" s="762">
        <f t="shared" si="2"/>
        <v>0.15789473684210531</v>
      </c>
    </row>
    <row r="18" spans="1:28">
      <c r="A18" s="102" t="s">
        <v>145</v>
      </c>
      <c r="B18" s="740">
        <v>22</v>
      </c>
      <c r="C18" s="740">
        <v>23</v>
      </c>
      <c r="D18" s="740">
        <v>23</v>
      </c>
      <c r="E18" s="740">
        <v>28</v>
      </c>
      <c r="F18" s="747">
        <v>26</v>
      </c>
      <c r="G18" s="740">
        <v>45</v>
      </c>
      <c r="H18" s="740">
        <v>27</v>
      </c>
      <c r="I18" s="740">
        <v>29</v>
      </c>
      <c r="J18" s="740">
        <v>27</v>
      </c>
      <c r="K18" s="740">
        <v>36</v>
      </c>
      <c r="L18" s="740">
        <v>27</v>
      </c>
      <c r="M18" s="740">
        <v>31</v>
      </c>
      <c r="N18" s="740">
        <v>56</v>
      </c>
      <c r="O18" s="740">
        <v>35</v>
      </c>
      <c r="P18" s="740">
        <v>40</v>
      </c>
      <c r="Q18" s="740">
        <v>42</v>
      </c>
      <c r="R18" s="740">
        <v>42</v>
      </c>
      <c r="S18" s="740">
        <v>45</v>
      </c>
      <c r="T18" s="740">
        <v>49</v>
      </c>
      <c r="U18" s="740">
        <v>51</v>
      </c>
      <c r="V18" s="740">
        <f t="shared" si="0"/>
        <v>45.333333333333336</v>
      </c>
      <c r="W18" s="760">
        <v>51</v>
      </c>
      <c r="X18" s="760">
        <v>56</v>
      </c>
      <c r="Y18" s="760">
        <v>61</v>
      </c>
      <c r="Z18" s="757"/>
      <c r="AA18" s="760">
        <f t="shared" si="1"/>
        <v>56</v>
      </c>
      <c r="AB18" s="762">
        <f t="shared" si="2"/>
        <v>0.23529411764705865</v>
      </c>
    </row>
    <row r="19" spans="1:28">
      <c r="A19" s="102" t="s">
        <v>146</v>
      </c>
      <c r="B19" s="740">
        <v>20</v>
      </c>
      <c r="C19" s="740">
        <v>20</v>
      </c>
      <c r="D19" s="740">
        <v>26</v>
      </c>
      <c r="E19" s="740">
        <v>26</v>
      </c>
      <c r="F19" s="747">
        <v>20</v>
      </c>
      <c r="G19" s="740">
        <v>25</v>
      </c>
      <c r="H19" s="740">
        <v>32</v>
      </c>
      <c r="I19" s="740">
        <v>25</v>
      </c>
      <c r="J19" s="740">
        <v>26</v>
      </c>
      <c r="K19" s="740">
        <v>26</v>
      </c>
      <c r="L19" s="740">
        <v>31</v>
      </c>
      <c r="M19" s="740">
        <v>27</v>
      </c>
      <c r="N19" s="740">
        <v>29</v>
      </c>
      <c r="O19" s="740">
        <v>30</v>
      </c>
      <c r="P19" s="740">
        <v>35</v>
      </c>
      <c r="Q19" s="740">
        <v>33</v>
      </c>
      <c r="R19" s="740">
        <v>22</v>
      </c>
      <c r="S19" s="740">
        <v>32</v>
      </c>
      <c r="T19" s="740">
        <v>31</v>
      </c>
      <c r="U19" s="740">
        <v>37</v>
      </c>
      <c r="V19" s="740">
        <f t="shared" si="0"/>
        <v>28.333333333333332</v>
      </c>
      <c r="W19" s="760">
        <v>30</v>
      </c>
      <c r="X19" s="760">
        <v>39</v>
      </c>
      <c r="Y19" s="760">
        <v>45</v>
      </c>
      <c r="Z19" s="757"/>
      <c r="AA19" s="760">
        <f t="shared" si="1"/>
        <v>38</v>
      </c>
      <c r="AB19" s="762">
        <f t="shared" si="2"/>
        <v>0.34117647058823541</v>
      </c>
    </row>
    <row r="20" spans="1:28">
      <c r="A20" s="102" t="s">
        <v>147</v>
      </c>
      <c r="B20" s="740">
        <v>14</v>
      </c>
      <c r="C20" s="740">
        <v>14</v>
      </c>
      <c r="D20" s="740">
        <v>24</v>
      </c>
      <c r="E20" s="740">
        <v>23</v>
      </c>
      <c r="F20" s="747">
        <v>18</v>
      </c>
      <c r="G20" s="740">
        <v>18</v>
      </c>
      <c r="H20" s="740">
        <v>20</v>
      </c>
      <c r="I20" s="740">
        <v>18</v>
      </c>
      <c r="J20" s="740">
        <v>19</v>
      </c>
      <c r="K20" s="740">
        <v>23</v>
      </c>
      <c r="L20" s="740">
        <v>22</v>
      </c>
      <c r="M20" s="740">
        <v>21</v>
      </c>
      <c r="N20" s="740">
        <v>23</v>
      </c>
      <c r="O20" s="740">
        <v>23</v>
      </c>
      <c r="P20" s="740">
        <v>26</v>
      </c>
      <c r="Q20" s="740">
        <v>25</v>
      </c>
      <c r="R20" s="740">
        <v>27</v>
      </c>
      <c r="S20" s="740">
        <v>29</v>
      </c>
      <c r="T20" s="740">
        <v>31</v>
      </c>
      <c r="U20" s="740">
        <v>31</v>
      </c>
      <c r="V20" s="740">
        <f t="shared" si="0"/>
        <v>29</v>
      </c>
      <c r="W20" s="760">
        <v>31</v>
      </c>
      <c r="X20" s="760">
        <v>35</v>
      </c>
      <c r="Y20" s="760">
        <v>39</v>
      </c>
      <c r="Z20" s="757"/>
      <c r="AA20" s="760">
        <f t="shared" si="1"/>
        <v>35</v>
      </c>
      <c r="AB20" s="762">
        <f t="shared" si="2"/>
        <v>0.2068965517241379</v>
      </c>
    </row>
    <row r="21" spans="1:28">
      <c r="A21" s="102" t="s">
        <v>148</v>
      </c>
      <c r="B21" s="740">
        <v>27</v>
      </c>
      <c r="C21" s="740">
        <v>16</v>
      </c>
      <c r="D21" s="740">
        <v>31</v>
      </c>
      <c r="E21" s="740">
        <v>31</v>
      </c>
      <c r="F21" s="747">
        <v>31</v>
      </c>
      <c r="G21" s="740">
        <v>32</v>
      </c>
      <c r="H21" s="740">
        <v>32</v>
      </c>
      <c r="I21" s="740">
        <v>32</v>
      </c>
      <c r="J21" s="740">
        <v>30</v>
      </c>
      <c r="K21" s="740">
        <v>29</v>
      </c>
      <c r="L21" s="740">
        <v>28</v>
      </c>
      <c r="M21" s="740">
        <v>26</v>
      </c>
      <c r="N21" s="740">
        <v>25</v>
      </c>
      <c r="O21" s="740">
        <v>27</v>
      </c>
      <c r="P21" s="740">
        <v>27</v>
      </c>
      <c r="Q21" s="740">
        <v>26</v>
      </c>
      <c r="R21" s="740">
        <v>26</v>
      </c>
      <c r="S21" s="740">
        <v>27</v>
      </c>
      <c r="T21" s="740">
        <v>28</v>
      </c>
      <c r="U21" s="740">
        <v>29</v>
      </c>
      <c r="V21" s="740">
        <f t="shared" si="0"/>
        <v>27</v>
      </c>
      <c r="W21" s="760">
        <v>29</v>
      </c>
      <c r="X21" s="760">
        <v>28</v>
      </c>
      <c r="Y21" s="760">
        <v>28</v>
      </c>
      <c r="Z21" s="757"/>
      <c r="AA21" s="760">
        <f t="shared" si="1"/>
        <v>28.333333333333332</v>
      </c>
      <c r="AB21" s="762">
        <f t="shared" si="2"/>
        <v>4.9382716049382713E-2</v>
      </c>
    </row>
    <row r="22" spans="1:28">
      <c r="A22" s="101" t="s">
        <v>50</v>
      </c>
      <c r="B22" s="689">
        <v>22</v>
      </c>
      <c r="C22" s="689">
        <v>20</v>
      </c>
      <c r="D22" s="689">
        <v>23</v>
      </c>
      <c r="E22" s="689">
        <v>24</v>
      </c>
      <c r="F22" s="745">
        <v>22</v>
      </c>
      <c r="G22" s="689">
        <v>25</v>
      </c>
      <c r="H22" s="689">
        <v>26</v>
      </c>
      <c r="I22" s="689">
        <v>26</v>
      </c>
      <c r="J22" s="689">
        <v>27</v>
      </c>
      <c r="K22" s="689">
        <v>28</v>
      </c>
      <c r="L22" s="689">
        <v>29</v>
      </c>
      <c r="M22" s="689">
        <v>29</v>
      </c>
      <c r="N22" s="689">
        <v>27</v>
      </c>
      <c r="O22" s="689">
        <v>30</v>
      </c>
      <c r="P22" s="689">
        <v>33</v>
      </c>
      <c r="Q22" s="689">
        <v>32</v>
      </c>
      <c r="R22" s="689">
        <v>32</v>
      </c>
      <c r="S22" s="689">
        <v>37</v>
      </c>
      <c r="T22" s="689">
        <v>39</v>
      </c>
      <c r="U22" s="689">
        <v>39</v>
      </c>
      <c r="V22" s="689">
        <f t="shared" si="0"/>
        <v>36</v>
      </c>
      <c r="W22" s="759">
        <v>39</v>
      </c>
      <c r="X22" s="759">
        <v>42</v>
      </c>
      <c r="Y22" s="759">
        <v>43</v>
      </c>
      <c r="Z22" s="757"/>
      <c r="AA22" s="759">
        <f t="shared" si="1"/>
        <v>41.333333333333336</v>
      </c>
      <c r="AB22" s="762">
        <f t="shared" si="2"/>
        <v>0.14814814814814814</v>
      </c>
    </row>
    <row r="23" spans="1:28">
      <c r="A23" s="101" t="s">
        <v>52</v>
      </c>
      <c r="B23" s="689">
        <v>16</v>
      </c>
      <c r="C23" s="689">
        <v>16</v>
      </c>
      <c r="D23" s="689">
        <v>16</v>
      </c>
      <c r="E23" s="689">
        <v>16</v>
      </c>
      <c r="F23" s="745">
        <v>16</v>
      </c>
      <c r="G23" s="689">
        <v>17</v>
      </c>
      <c r="H23" s="689">
        <v>18</v>
      </c>
      <c r="I23" s="689">
        <v>18</v>
      </c>
      <c r="J23" s="689">
        <v>18</v>
      </c>
      <c r="K23" s="689">
        <v>18</v>
      </c>
      <c r="L23" s="689">
        <v>18</v>
      </c>
      <c r="M23" s="689">
        <v>18</v>
      </c>
      <c r="N23" s="689">
        <v>18</v>
      </c>
      <c r="O23" s="689">
        <v>18</v>
      </c>
      <c r="P23" s="689">
        <v>19</v>
      </c>
      <c r="Q23" s="689">
        <v>19</v>
      </c>
      <c r="R23" s="689">
        <v>19</v>
      </c>
      <c r="S23" s="689">
        <v>19</v>
      </c>
      <c r="T23" s="689">
        <v>20</v>
      </c>
      <c r="U23" s="689">
        <v>20</v>
      </c>
      <c r="V23" s="689">
        <f t="shared" si="0"/>
        <v>19.333333333333332</v>
      </c>
      <c r="W23" s="759">
        <v>20</v>
      </c>
      <c r="X23" s="759">
        <v>20</v>
      </c>
      <c r="Y23" s="759">
        <v>21</v>
      </c>
      <c r="Z23" s="757"/>
      <c r="AA23" s="759">
        <f t="shared" si="1"/>
        <v>20.333333333333332</v>
      </c>
      <c r="AB23" s="762">
        <f t="shared" si="2"/>
        <v>5.1724137931034475E-2</v>
      </c>
    </row>
    <row r="24" spans="1:28">
      <c r="A24" s="101" t="s">
        <v>54</v>
      </c>
      <c r="B24" s="689">
        <v>338</v>
      </c>
      <c r="C24" s="689">
        <v>277</v>
      </c>
      <c r="D24" s="689">
        <v>357</v>
      </c>
      <c r="E24" s="689">
        <v>393</v>
      </c>
      <c r="F24" s="745">
        <v>385</v>
      </c>
      <c r="G24" s="689">
        <v>293</v>
      </c>
      <c r="H24" s="689">
        <v>358</v>
      </c>
      <c r="I24" s="689">
        <v>386</v>
      </c>
      <c r="J24" s="689">
        <v>486</v>
      </c>
      <c r="K24" s="689">
        <v>505</v>
      </c>
      <c r="L24" s="689">
        <v>434</v>
      </c>
      <c r="M24" s="689">
        <v>462</v>
      </c>
      <c r="N24" s="689">
        <v>456</v>
      </c>
      <c r="O24" s="689">
        <v>475</v>
      </c>
      <c r="P24" s="689">
        <v>517</v>
      </c>
      <c r="Q24" s="689">
        <v>591</v>
      </c>
      <c r="R24" s="689">
        <v>603</v>
      </c>
      <c r="S24" s="689">
        <v>551</v>
      </c>
      <c r="T24" s="689">
        <v>492</v>
      </c>
      <c r="U24" s="689">
        <v>553</v>
      </c>
      <c r="V24" s="689">
        <f t="shared" si="0"/>
        <v>548.66666666666663</v>
      </c>
      <c r="W24" s="759">
        <v>617</v>
      </c>
      <c r="X24" s="759">
        <v>580</v>
      </c>
      <c r="Y24" s="759">
        <v>590</v>
      </c>
      <c r="Z24" s="757"/>
      <c r="AA24" s="759">
        <f t="shared" si="1"/>
        <v>595.66666666666663</v>
      </c>
      <c r="AB24" s="762">
        <f t="shared" si="2"/>
        <v>8.5662211421628109E-2</v>
      </c>
    </row>
    <row r="25" spans="1:28">
      <c r="A25" s="99" t="s">
        <v>55</v>
      </c>
      <c r="B25" s="738">
        <v>1816</v>
      </c>
      <c r="C25" s="738">
        <v>1531</v>
      </c>
      <c r="D25" s="738">
        <v>1751</v>
      </c>
      <c r="E25" s="738">
        <v>1832</v>
      </c>
      <c r="F25" s="744">
        <v>1809</v>
      </c>
      <c r="G25" s="738">
        <v>1975</v>
      </c>
      <c r="H25" s="738">
        <v>1930</v>
      </c>
      <c r="I25" s="738">
        <v>2054</v>
      </c>
      <c r="J25" s="738">
        <v>2013</v>
      </c>
      <c r="K25" s="738">
        <v>2144</v>
      </c>
      <c r="L25" s="738">
        <v>2162</v>
      </c>
      <c r="M25" s="738">
        <v>2248</v>
      </c>
      <c r="N25" s="738">
        <v>2276</v>
      </c>
      <c r="O25" s="738">
        <v>2288</v>
      </c>
      <c r="P25" s="738">
        <v>2390</v>
      </c>
      <c r="Q25" s="738">
        <v>2608</v>
      </c>
      <c r="R25" s="738">
        <v>2398</v>
      </c>
      <c r="S25" s="738">
        <v>2564</v>
      </c>
      <c r="T25" s="738">
        <v>2628</v>
      </c>
      <c r="U25" s="738">
        <v>2805</v>
      </c>
      <c r="V25" s="738">
        <f t="shared" si="0"/>
        <v>2530</v>
      </c>
      <c r="W25" s="756">
        <v>2600</v>
      </c>
      <c r="X25" s="756">
        <v>2784</v>
      </c>
      <c r="Y25" s="756">
        <v>2878</v>
      </c>
      <c r="Z25" s="757"/>
      <c r="AA25" s="756">
        <f t="shared" si="1"/>
        <v>2754</v>
      </c>
      <c r="AB25" s="762">
        <f t="shared" si="2"/>
        <v>8.8537549407114557E-2</v>
      </c>
    </row>
    <row r="26" spans="1:28">
      <c r="A26" s="103" t="s">
        <v>149</v>
      </c>
      <c r="B26" s="738">
        <v>612</v>
      </c>
      <c r="C26" s="738">
        <v>443</v>
      </c>
      <c r="D26" s="738">
        <v>599</v>
      </c>
      <c r="E26" s="738">
        <v>620</v>
      </c>
      <c r="F26" s="744">
        <v>587</v>
      </c>
      <c r="G26" s="738">
        <v>670</v>
      </c>
      <c r="H26" s="738">
        <v>617</v>
      </c>
      <c r="I26" s="738">
        <v>691</v>
      </c>
      <c r="J26" s="738">
        <v>665</v>
      </c>
      <c r="K26" s="738">
        <v>761</v>
      </c>
      <c r="L26" s="738">
        <v>704</v>
      </c>
      <c r="M26" s="738">
        <v>775</v>
      </c>
      <c r="N26" s="738">
        <v>804</v>
      </c>
      <c r="O26" s="738">
        <v>791</v>
      </c>
      <c r="P26" s="738">
        <v>825</v>
      </c>
      <c r="Q26" s="738">
        <v>886</v>
      </c>
      <c r="R26" s="738">
        <v>835</v>
      </c>
      <c r="S26" s="738">
        <v>894</v>
      </c>
      <c r="T26" s="738">
        <v>898</v>
      </c>
      <c r="U26" s="738">
        <v>967</v>
      </c>
      <c r="V26" s="738">
        <f t="shared" si="0"/>
        <v>875.66666666666663</v>
      </c>
      <c r="W26" s="756">
        <v>908</v>
      </c>
      <c r="X26" s="756">
        <v>985</v>
      </c>
      <c r="Y26" s="756">
        <v>1032</v>
      </c>
      <c r="Z26" s="757"/>
      <c r="AA26" s="756">
        <f t="shared" si="1"/>
        <v>975</v>
      </c>
      <c r="AB26" s="762">
        <f t="shared" si="2"/>
        <v>0.11343738104301493</v>
      </c>
    </row>
    <row r="27" spans="1:28">
      <c r="A27" s="101" t="s">
        <v>57</v>
      </c>
      <c r="B27" s="689">
        <v>15</v>
      </c>
      <c r="C27" s="689">
        <v>9</v>
      </c>
      <c r="D27" s="689">
        <v>18</v>
      </c>
      <c r="E27" s="689">
        <v>19</v>
      </c>
      <c r="F27" s="745">
        <v>20</v>
      </c>
      <c r="G27" s="689">
        <v>22</v>
      </c>
      <c r="H27" s="689">
        <v>22</v>
      </c>
      <c r="I27" s="689">
        <v>23</v>
      </c>
      <c r="J27" s="689">
        <v>23</v>
      </c>
      <c r="K27" s="689">
        <v>24</v>
      </c>
      <c r="L27" s="689">
        <v>25</v>
      </c>
      <c r="M27" s="689">
        <v>26</v>
      </c>
      <c r="N27" s="689">
        <v>26</v>
      </c>
      <c r="O27" s="689">
        <v>28</v>
      </c>
      <c r="P27" s="689">
        <v>29</v>
      </c>
      <c r="Q27" s="689">
        <v>30</v>
      </c>
      <c r="R27" s="689">
        <v>30</v>
      </c>
      <c r="S27" s="689">
        <v>30</v>
      </c>
      <c r="T27" s="689">
        <v>32</v>
      </c>
      <c r="U27" s="689">
        <v>37</v>
      </c>
      <c r="V27" s="689">
        <f t="shared" si="0"/>
        <v>30.666666666666668</v>
      </c>
      <c r="W27" s="759">
        <v>40</v>
      </c>
      <c r="X27" s="759">
        <v>40</v>
      </c>
      <c r="Y27" s="759">
        <v>42</v>
      </c>
      <c r="Z27" s="757"/>
      <c r="AA27" s="759">
        <f t="shared" si="1"/>
        <v>40.666666666666664</v>
      </c>
      <c r="AB27" s="762">
        <f t="shared" si="2"/>
        <v>0.32608695652173902</v>
      </c>
    </row>
    <row r="28" spans="1:28">
      <c r="A28" s="101" t="s">
        <v>58</v>
      </c>
      <c r="B28" s="689">
        <v>313</v>
      </c>
      <c r="C28" s="689">
        <v>247</v>
      </c>
      <c r="D28" s="689">
        <v>329</v>
      </c>
      <c r="E28" s="689">
        <v>325</v>
      </c>
      <c r="F28" s="745">
        <v>312</v>
      </c>
      <c r="G28" s="689">
        <v>365</v>
      </c>
      <c r="H28" s="689">
        <v>312</v>
      </c>
      <c r="I28" s="689">
        <v>347</v>
      </c>
      <c r="J28" s="689">
        <v>336</v>
      </c>
      <c r="K28" s="689">
        <v>396</v>
      </c>
      <c r="L28" s="689">
        <v>336</v>
      </c>
      <c r="M28" s="689">
        <v>379</v>
      </c>
      <c r="N28" s="689">
        <v>412</v>
      </c>
      <c r="O28" s="689">
        <v>401</v>
      </c>
      <c r="P28" s="689">
        <v>392</v>
      </c>
      <c r="Q28" s="689">
        <v>438</v>
      </c>
      <c r="R28" s="689">
        <v>418</v>
      </c>
      <c r="S28" s="689">
        <v>467</v>
      </c>
      <c r="T28" s="689">
        <v>441</v>
      </c>
      <c r="U28" s="689">
        <v>496</v>
      </c>
      <c r="V28" s="689">
        <f t="shared" si="0"/>
        <v>442</v>
      </c>
      <c r="W28" s="759">
        <v>472</v>
      </c>
      <c r="X28" s="759">
        <v>529</v>
      </c>
      <c r="Y28" s="759">
        <v>527</v>
      </c>
      <c r="Z28" s="757"/>
      <c r="AA28" s="759">
        <f t="shared" si="1"/>
        <v>509.33333333333331</v>
      </c>
      <c r="AB28" s="762">
        <f t="shared" si="2"/>
        <v>0.15233785822021106</v>
      </c>
    </row>
    <row r="29" spans="1:28">
      <c r="A29" s="101" t="s">
        <v>12</v>
      </c>
      <c r="B29" s="689">
        <v>297</v>
      </c>
      <c r="C29" s="689">
        <v>182</v>
      </c>
      <c r="D29" s="689">
        <v>245</v>
      </c>
      <c r="E29" s="689">
        <v>280</v>
      </c>
      <c r="F29" s="745">
        <v>256</v>
      </c>
      <c r="G29" s="689">
        <v>283</v>
      </c>
      <c r="H29" s="689">
        <v>283</v>
      </c>
      <c r="I29" s="689">
        <v>321</v>
      </c>
      <c r="J29" s="689">
        <v>305</v>
      </c>
      <c r="K29" s="689">
        <v>340</v>
      </c>
      <c r="L29" s="689">
        <v>343</v>
      </c>
      <c r="M29" s="689">
        <v>370</v>
      </c>
      <c r="N29" s="689">
        <v>366</v>
      </c>
      <c r="O29" s="689">
        <v>362</v>
      </c>
      <c r="P29" s="689">
        <v>404</v>
      </c>
      <c r="Q29" s="689">
        <v>418</v>
      </c>
      <c r="R29" s="689">
        <v>387</v>
      </c>
      <c r="S29" s="689">
        <v>397</v>
      </c>
      <c r="T29" s="689">
        <v>426</v>
      </c>
      <c r="U29" s="689">
        <v>434</v>
      </c>
      <c r="V29" s="689">
        <f t="shared" si="0"/>
        <v>403.33333333333331</v>
      </c>
      <c r="W29" s="759">
        <v>396</v>
      </c>
      <c r="X29" s="759">
        <v>416</v>
      </c>
      <c r="Y29" s="759">
        <v>463</v>
      </c>
      <c r="Z29" s="757"/>
      <c r="AA29" s="759">
        <f t="shared" si="1"/>
        <v>425</v>
      </c>
      <c r="AB29" s="762">
        <f t="shared" si="2"/>
        <v>5.3719008264462964E-2</v>
      </c>
    </row>
    <row r="30" spans="1:28">
      <c r="A30" s="99" t="s">
        <v>150</v>
      </c>
      <c r="B30" s="738">
        <v>1208</v>
      </c>
      <c r="C30" s="738">
        <v>1080</v>
      </c>
      <c r="D30" s="738">
        <v>1157</v>
      </c>
      <c r="E30" s="738">
        <v>1216</v>
      </c>
      <c r="F30" s="744">
        <v>1222</v>
      </c>
      <c r="G30" s="738">
        <v>1305</v>
      </c>
      <c r="H30" s="738">
        <v>1313</v>
      </c>
      <c r="I30" s="738">
        <v>1363</v>
      </c>
      <c r="J30" s="738">
        <v>1348</v>
      </c>
      <c r="K30" s="738">
        <v>1383</v>
      </c>
      <c r="L30" s="738">
        <v>1458</v>
      </c>
      <c r="M30" s="738">
        <v>1473</v>
      </c>
      <c r="N30" s="738">
        <v>1472</v>
      </c>
      <c r="O30" s="738">
        <v>1498</v>
      </c>
      <c r="P30" s="738">
        <v>1566</v>
      </c>
      <c r="Q30" s="738">
        <v>1722</v>
      </c>
      <c r="R30" s="738">
        <v>1563</v>
      </c>
      <c r="S30" s="738">
        <v>1671</v>
      </c>
      <c r="T30" s="738">
        <v>1730</v>
      </c>
      <c r="U30" s="738">
        <v>1838</v>
      </c>
      <c r="V30" s="738">
        <f t="shared" si="0"/>
        <v>1654.6666666666667</v>
      </c>
      <c r="W30" s="756">
        <v>1691</v>
      </c>
      <c r="X30" s="756">
        <v>1800</v>
      </c>
      <c r="Y30" s="756">
        <v>1846</v>
      </c>
      <c r="Z30" s="757"/>
      <c r="AA30" s="756">
        <f t="shared" si="1"/>
        <v>1779</v>
      </c>
      <c r="AB30" s="762">
        <f t="shared" si="2"/>
        <v>7.514101531023365E-2</v>
      </c>
    </row>
    <row r="31" spans="1:28">
      <c r="A31" s="101" t="s">
        <v>63</v>
      </c>
      <c r="B31" s="689">
        <v>147</v>
      </c>
      <c r="C31" s="689">
        <v>55</v>
      </c>
      <c r="D31" s="689">
        <v>71</v>
      </c>
      <c r="E31" s="689">
        <v>90</v>
      </c>
      <c r="F31" s="745">
        <v>96</v>
      </c>
      <c r="G31" s="689">
        <v>109</v>
      </c>
      <c r="H31" s="689">
        <v>110</v>
      </c>
      <c r="I31" s="689">
        <v>122</v>
      </c>
      <c r="J31" s="689">
        <v>118</v>
      </c>
      <c r="K31" s="689">
        <v>132</v>
      </c>
      <c r="L31" s="689">
        <v>141</v>
      </c>
      <c r="M31" s="689">
        <v>143</v>
      </c>
      <c r="N31" s="689">
        <v>139</v>
      </c>
      <c r="O31" s="689">
        <v>143</v>
      </c>
      <c r="P31" s="689">
        <v>162</v>
      </c>
      <c r="Q31" s="689">
        <v>168</v>
      </c>
      <c r="R31" s="689">
        <v>158</v>
      </c>
      <c r="S31" s="689">
        <v>169</v>
      </c>
      <c r="T31" s="689">
        <v>178</v>
      </c>
      <c r="U31" s="689">
        <v>176</v>
      </c>
      <c r="V31" s="689">
        <f t="shared" si="0"/>
        <v>168.33333333333334</v>
      </c>
      <c r="W31" s="759">
        <v>166</v>
      </c>
      <c r="X31" s="759">
        <v>156</v>
      </c>
      <c r="Y31" s="759">
        <v>172</v>
      </c>
      <c r="Z31" s="757"/>
      <c r="AA31" s="759">
        <f t="shared" si="1"/>
        <v>164.66666666666666</v>
      </c>
      <c r="AB31" s="762">
        <f t="shared" si="2"/>
        <v>-2.1782178217821913E-2</v>
      </c>
    </row>
    <row r="32" spans="1:28">
      <c r="A32" s="101" t="s">
        <v>65</v>
      </c>
      <c r="B32" s="689">
        <v>40</v>
      </c>
      <c r="C32" s="689">
        <v>46</v>
      </c>
      <c r="D32" s="689">
        <v>50</v>
      </c>
      <c r="E32" s="689">
        <v>48</v>
      </c>
      <c r="F32" s="745">
        <v>47</v>
      </c>
      <c r="G32" s="689">
        <v>64</v>
      </c>
      <c r="H32" s="689">
        <v>56</v>
      </c>
      <c r="I32" s="689">
        <v>58</v>
      </c>
      <c r="J32" s="689">
        <v>57</v>
      </c>
      <c r="K32" s="689">
        <v>66</v>
      </c>
      <c r="L32" s="689">
        <v>78</v>
      </c>
      <c r="M32" s="689">
        <v>71</v>
      </c>
      <c r="N32" s="689">
        <v>80</v>
      </c>
      <c r="O32" s="689">
        <v>91</v>
      </c>
      <c r="P32" s="689">
        <v>90</v>
      </c>
      <c r="Q32" s="689">
        <v>99</v>
      </c>
      <c r="R32" s="689">
        <v>98</v>
      </c>
      <c r="S32" s="689">
        <v>114</v>
      </c>
      <c r="T32" s="689">
        <v>107</v>
      </c>
      <c r="U32" s="689">
        <v>114</v>
      </c>
      <c r="V32" s="689">
        <f t="shared" si="0"/>
        <v>106.33333333333333</v>
      </c>
      <c r="W32" s="759">
        <v>110</v>
      </c>
      <c r="X32" s="759">
        <v>127</v>
      </c>
      <c r="Y32" s="759">
        <v>125</v>
      </c>
      <c r="Z32" s="757"/>
      <c r="AA32" s="759">
        <f t="shared" si="1"/>
        <v>120.66666666666667</v>
      </c>
      <c r="AB32" s="762">
        <f t="shared" si="2"/>
        <v>0.13479623824451425</v>
      </c>
    </row>
    <row r="33" spans="1:28">
      <c r="A33" s="101" t="s">
        <v>66</v>
      </c>
      <c r="B33" s="689">
        <v>89</v>
      </c>
      <c r="C33" s="689">
        <v>89</v>
      </c>
      <c r="D33" s="689">
        <v>93</v>
      </c>
      <c r="E33" s="689">
        <v>106</v>
      </c>
      <c r="F33" s="745">
        <v>98</v>
      </c>
      <c r="G33" s="689">
        <v>102</v>
      </c>
      <c r="H33" s="689">
        <v>104</v>
      </c>
      <c r="I33" s="689">
        <v>106</v>
      </c>
      <c r="J33" s="689">
        <v>103</v>
      </c>
      <c r="K33" s="689">
        <v>109</v>
      </c>
      <c r="L33" s="689">
        <v>104</v>
      </c>
      <c r="M33" s="689">
        <v>139</v>
      </c>
      <c r="N33" s="689">
        <v>106</v>
      </c>
      <c r="O33" s="689">
        <v>111</v>
      </c>
      <c r="P33" s="689">
        <v>109</v>
      </c>
      <c r="Q33" s="689">
        <v>120</v>
      </c>
      <c r="R33" s="689">
        <v>117</v>
      </c>
      <c r="S33" s="689">
        <v>128</v>
      </c>
      <c r="T33" s="689">
        <v>123</v>
      </c>
      <c r="U33" s="689">
        <v>130</v>
      </c>
      <c r="V33" s="689">
        <f t="shared" si="0"/>
        <v>122.66666666666667</v>
      </c>
      <c r="W33" s="759">
        <v>127</v>
      </c>
      <c r="X33" s="759">
        <v>139</v>
      </c>
      <c r="Y33" s="759">
        <v>135</v>
      </c>
      <c r="Z33" s="757"/>
      <c r="AA33" s="759">
        <f t="shared" si="1"/>
        <v>133.66666666666666</v>
      </c>
      <c r="AB33" s="762">
        <f t="shared" si="2"/>
        <v>8.9673913043478048E-2</v>
      </c>
    </row>
    <row r="34" spans="1:28">
      <c r="A34" s="101" t="s">
        <v>67</v>
      </c>
      <c r="B34" s="689">
        <v>294</v>
      </c>
      <c r="C34" s="689">
        <v>287</v>
      </c>
      <c r="D34" s="689">
        <v>299</v>
      </c>
      <c r="E34" s="689">
        <v>310</v>
      </c>
      <c r="F34" s="745">
        <v>303</v>
      </c>
      <c r="G34" s="689">
        <v>305</v>
      </c>
      <c r="H34" s="689">
        <v>313</v>
      </c>
      <c r="I34" s="689">
        <v>318</v>
      </c>
      <c r="J34" s="689">
        <v>317</v>
      </c>
      <c r="K34" s="689">
        <v>312</v>
      </c>
      <c r="L34" s="689">
        <v>313</v>
      </c>
      <c r="M34" s="689">
        <v>315</v>
      </c>
      <c r="N34" s="689">
        <v>347</v>
      </c>
      <c r="O34" s="689">
        <v>317</v>
      </c>
      <c r="P34" s="689">
        <v>324</v>
      </c>
      <c r="Q34" s="689">
        <v>329</v>
      </c>
      <c r="R34" s="689">
        <v>327</v>
      </c>
      <c r="S34" s="689">
        <v>326</v>
      </c>
      <c r="T34" s="689">
        <v>334</v>
      </c>
      <c r="U34" s="689">
        <v>385</v>
      </c>
      <c r="V34" s="689">
        <f t="shared" si="0"/>
        <v>329</v>
      </c>
      <c r="W34" s="759">
        <v>334</v>
      </c>
      <c r="X34" s="759">
        <v>335</v>
      </c>
      <c r="Y34" s="759">
        <v>346</v>
      </c>
      <c r="Z34" s="757"/>
      <c r="AA34" s="759">
        <f t="shared" si="1"/>
        <v>338.33333333333331</v>
      </c>
      <c r="AB34" s="762">
        <f t="shared" si="2"/>
        <v>2.8368794326241176E-2</v>
      </c>
    </row>
    <row r="35" spans="1:28">
      <c r="A35" s="101" t="s">
        <v>151</v>
      </c>
      <c r="B35" s="689">
        <v>90</v>
      </c>
      <c r="C35" s="689">
        <v>89</v>
      </c>
      <c r="D35" s="689">
        <v>93</v>
      </c>
      <c r="E35" s="689">
        <v>100</v>
      </c>
      <c r="F35" s="745">
        <v>99</v>
      </c>
      <c r="G35" s="689">
        <v>107</v>
      </c>
      <c r="H35" s="689">
        <v>108</v>
      </c>
      <c r="I35" s="689">
        <v>116</v>
      </c>
      <c r="J35" s="689">
        <v>114</v>
      </c>
      <c r="K35" s="689">
        <v>117</v>
      </c>
      <c r="L35" s="689">
        <v>115</v>
      </c>
      <c r="M35" s="689">
        <v>121</v>
      </c>
      <c r="N35" s="689">
        <v>117</v>
      </c>
      <c r="O35" s="689">
        <v>126</v>
      </c>
      <c r="P35" s="689">
        <v>134</v>
      </c>
      <c r="Q35" s="689">
        <v>138</v>
      </c>
      <c r="R35" s="689">
        <v>135</v>
      </c>
      <c r="S35" s="689">
        <v>146</v>
      </c>
      <c r="T35" s="689">
        <v>147</v>
      </c>
      <c r="U35" s="689">
        <v>160</v>
      </c>
      <c r="V35" s="689">
        <f t="shared" si="0"/>
        <v>142.66666666666666</v>
      </c>
      <c r="W35" s="759">
        <v>162</v>
      </c>
      <c r="X35" s="759">
        <v>168</v>
      </c>
      <c r="Y35" s="759">
        <v>175</v>
      </c>
      <c r="Z35" s="757"/>
      <c r="AA35" s="759">
        <f t="shared" si="1"/>
        <v>168.33333333333334</v>
      </c>
      <c r="AB35" s="762">
        <f t="shared" si="2"/>
        <v>0.17990654205607481</v>
      </c>
    </row>
    <row r="36" spans="1:28">
      <c r="A36" s="101" t="s">
        <v>152</v>
      </c>
      <c r="B36" s="689">
        <v>133</v>
      </c>
      <c r="C36" s="689">
        <v>124</v>
      </c>
      <c r="D36" s="689">
        <v>129</v>
      </c>
      <c r="E36" s="689">
        <v>128</v>
      </c>
      <c r="F36" s="745">
        <v>129</v>
      </c>
      <c r="G36" s="689">
        <v>146</v>
      </c>
      <c r="H36" s="689">
        <v>150</v>
      </c>
      <c r="I36" s="689">
        <v>153</v>
      </c>
      <c r="J36" s="689">
        <v>151</v>
      </c>
      <c r="K36" s="689">
        <v>154</v>
      </c>
      <c r="L36" s="689">
        <v>177</v>
      </c>
      <c r="M36" s="689">
        <v>171</v>
      </c>
      <c r="N36" s="689">
        <v>172</v>
      </c>
      <c r="O36" s="689">
        <v>170</v>
      </c>
      <c r="P36" s="689">
        <v>194</v>
      </c>
      <c r="Q36" s="689">
        <v>201</v>
      </c>
      <c r="R36" s="689">
        <v>178</v>
      </c>
      <c r="S36" s="689">
        <v>216</v>
      </c>
      <c r="T36" s="689">
        <v>232</v>
      </c>
      <c r="U36" s="689">
        <v>214</v>
      </c>
      <c r="V36" s="689">
        <f t="shared" si="0"/>
        <v>208.66666666666666</v>
      </c>
      <c r="W36" s="759">
        <v>184</v>
      </c>
      <c r="X36" s="759">
        <v>231</v>
      </c>
      <c r="Y36" s="759">
        <v>248</v>
      </c>
      <c r="Z36" s="757"/>
      <c r="AA36" s="759">
        <f t="shared" si="1"/>
        <v>221</v>
      </c>
      <c r="AB36" s="762">
        <f t="shared" si="2"/>
        <v>5.9105431309904199E-2</v>
      </c>
    </row>
    <row r="37" spans="1:28">
      <c r="A37" s="101" t="s">
        <v>153</v>
      </c>
      <c r="B37" s="689">
        <v>151</v>
      </c>
      <c r="C37" s="689">
        <v>137</v>
      </c>
      <c r="D37" s="689">
        <v>159</v>
      </c>
      <c r="E37" s="689">
        <v>148</v>
      </c>
      <c r="F37" s="745">
        <v>148</v>
      </c>
      <c r="G37" s="689">
        <v>149</v>
      </c>
      <c r="H37" s="689">
        <v>163</v>
      </c>
      <c r="I37" s="689">
        <v>155</v>
      </c>
      <c r="J37" s="689">
        <v>160</v>
      </c>
      <c r="K37" s="689">
        <v>153</v>
      </c>
      <c r="L37" s="689">
        <v>193</v>
      </c>
      <c r="M37" s="689">
        <v>170</v>
      </c>
      <c r="N37" s="689">
        <v>170</v>
      </c>
      <c r="O37" s="689">
        <v>181</v>
      </c>
      <c r="P37" s="689">
        <v>200</v>
      </c>
      <c r="Q37" s="689">
        <v>197</v>
      </c>
      <c r="R37" s="689">
        <v>180</v>
      </c>
      <c r="S37" s="689">
        <v>182</v>
      </c>
      <c r="T37" s="689">
        <v>223</v>
      </c>
      <c r="U37" s="689">
        <v>240</v>
      </c>
      <c r="V37" s="689">
        <f t="shared" si="0"/>
        <v>195</v>
      </c>
      <c r="W37" s="759">
        <v>207</v>
      </c>
      <c r="X37" s="759">
        <v>213</v>
      </c>
      <c r="Y37" s="759">
        <v>238</v>
      </c>
      <c r="Z37" s="757"/>
      <c r="AA37" s="759">
        <f t="shared" si="1"/>
        <v>219.33333333333334</v>
      </c>
      <c r="AB37" s="762">
        <f t="shared" si="2"/>
        <v>0.12478632478632479</v>
      </c>
    </row>
    <row r="38" spans="1:28">
      <c r="A38" s="101" t="s">
        <v>15</v>
      </c>
      <c r="B38" s="689">
        <v>139</v>
      </c>
      <c r="C38" s="689">
        <v>48</v>
      </c>
      <c r="D38" s="689">
        <v>61</v>
      </c>
      <c r="E38" s="689">
        <v>110</v>
      </c>
      <c r="F38" s="745">
        <v>147</v>
      </c>
      <c r="G38" s="689">
        <v>147</v>
      </c>
      <c r="H38" s="689">
        <v>147</v>
      </c>
      <c r="I38" s="689">
        <v>147</v>
      </c>
      <c r="J38" s="689">
        <v>155</v>
      </c>
      <c r="K38" s="689">
        <v>155</v>
      </c>
      <c r="L38" s="689">
        <v>155</v>
      </c>
      <c r="M38" s="689">
        <v>155</v>
      </c>
      <c r="N38" s="689">
        <v>162</v>
      </c>
      <c r="O38" s="689">
        <v>162</v>
      </c>
      <c r="P38" s="689">
        <v>162</v>
      </c>
      <c r="Q38" s="689">
        <v>162</v>
      </c>
      <c r="R38" s="689">
        <v>169</v>
      </c>
      <c r="S38" s="689">
        <v>169</v>
      </c>
      <c r="T38" s="689">
        <v>169</v>
      </c>
      <c r="U38" s="689">
        <v>169</v>
      </c>
      <c r="V38" s="689">
        <f t="shared" si="0"/>
        <v>169</v>
      </c>
      <c r="W38" s="759">
        <v>178</v>
      </c>
      <c r="X38" s="759">
        <v>178</v>
      </c>
      <c r="Y38" s="759">
        <v>178</v>
      </c>
      <c r="Z38" s="757"/>
      <c r="AA38" s="759">
        <f t="shared" si="1"/>
        <v>178</v>
      </c>
      <c r="AB38" s="762">
        <f t="shared" si="2"/>
        <v>5.3254437869822535E-2</v>
      </c>
    </row>
    <row r="39" spans="1:28">
      <c r="A39" s="101" t="s">
        <v>154</v>
      </c>
      <c r="B39" s="689">
        <v>47</v>
      </c>
      <c r="C39" s="689">
        <v>44</v>
      </c>
      <c r="D39" s="689">
        <v>39</v>
      </c>
      <c r="E39" s="689">
        <v>44</v>
      </c>
      <c r="F39" s="745">
        <v>41</v>
      </c>
      <c r="G39" s="689">
        <v>56</v>
      </c>
      <c r="H39" s="689">
        <v>42</v>
      </c>
      <c r="I39" s="689">
        <v>56</v>
      </c>
      <c r="J39" s="689">
        <v>52</v>
      </c>
      <c r="K39" s="689">
        <v>59</v>
      </c>
      <c r="L39" s="689">
        <v>48</v>
      </c>
      <c r="M39" s="689">
        <v>54</v>
      </c>
      <c r="N39" s="689">
        <v>51</v>
      </c>
      <c r="O39" s="689">
        <v>65</v>
      </c>
      <c r="P39" s="689">
        <v>48</v>
      </c>
      <c r="Q39" s="689">
        <v>49</v>
      </c>
      <c r="R39" s="689">
        <v>59</v>
      </c>
      <c r="S39" s="689">
        <v>65</v>
      </c>
      <c r="T39" s="689">
        <v>52</v>
      </c>
      <c r="U39" s="689">
        <v>73</v>
      </c>
      <c r="V39" s="689">
        <f t="shared" si="0"/>
        <v>58.666666666666664</v>
      </c>
      <c r="W39" s="759">
        <v>59</v>
      </c>
      <c r="X39" s="759">
        <v>71</v>
      </c>
      <c r="Y39" s="759">
        <v>44</v>
      </c>
      <c r="Z39" s="757"/>
      <c r="AA39" s="759">
        <f t="shared" si="1"/>
        <v>58</v>
      </c>
      <c r="AB39" s="762">
        <f t="shared" si="2"/>
        <v>-1.1363636363636354E-2</v>
      </c>
    </row>
    <row r="40" spans="1:28">
      <c r="A40" s="101" t="s">
        <v>73</v>
      </c>
      <c r="B40" s="689">
        <v>107</v>
      </c>
      <c r="C40" s="689">
        <v>107</v>
      </c>
      <c r="D40" s="689">
        <v>114</v>
      </c>
      <c r="E40" s="689">
        <v>114</v>
      </c>
      <c r="F40" s="745">
        <v>114</v>
      </c>
      <c r="G40" s="689">
        <v>120</v>
      </c>
      <c r="H40" s="689">
        <v>121</v>
      </c>
      <c r="I40" s="689">
        <v>131</v>
      </c>
      <c r="J40" s="689">
        <v>122</v>
      </c>
      <c r="K40" s="689">
        <v>126</v>
      </c>
      <c r="L40" s="689">
        <v>132</v>
      </c>
      <c r="M40" s="689">
        <v>135</v>
      </c>
      <c r="N40" s="689">
        <v>130</v>
      </c>
      <c r="O40" s="689">
        <v>132</v>
      </c>
      <c r="P40" s="689">
        <v>143</v>
      </c>
      <c r="Q40" s="689">
        <v>261</v>
      </c>
      <c r="R40" s="689">
        <v>143</v>
      </c>
      <c r="S40" s="689">
        <v>157</v>
      </c>
      <c r="T40" s="689">
        <v>164</v>
      </c>
      <c r="U40" s="689">
        <v>176</v>
      </c>
      <c r="V40" s="689">
        <f t="shared" si="0"/>
        <v>154.66666666666666</v>
      </c>
      <c r="W40" s="759">
        <v>166</v>
      </c>
      <c r="X40" s="759">
        <v>182</v>
      </c>
      <c r="Y40" s="759">
        <v>185</v>
      </c>
      <c r="Z40" s="757"/>
      <c r="AA40" s="759">
        <f t="shared" si="1"/>
        <v>177.66666666666666</v>
      </c>
      <c r="AB40" s="762">
        <f t="shared" si="2"/>
        <v>0.1487068965517242</v>
      </c>
    </row>
    <row r="41" spans="1:28" ht="15" customHeight="1">
      <c r="A41" s="104"/>
      <c r="B41" s="690"/>
      <c r="C41" s="690"/>
      <c r="D41" s="690"/>
      <c r="E41" s="690"/>
      <c r="F41" s="748"/>
      <c r="G41" s="690"/>
      <c r="H41" s="690"/>
      <c r="I41" s="690"/>
      <c r="J41" s="690"/>
      <c r="K41" s="690"/>
      <c r="L41" s="690"/>
      <c r="M41" s="690"/>
      <c r="N41" s="690"/>
      <c r="O41" s="690"/>
      <c r="P41" s="690"/>
      <c r="Q41" s="690"/>
      <c r="R41" s="690"/>
      <c r="S41" s="690"/>
      <c r="T41" s="690"/>
      <c r="U41" s="690"/>
      <c r="V41" s="690"/>
      <c r="W41" s="761"/>
      <c r="X41" s="761"/>
      <c r="Y41" s="761"/>
      <c r="Z41" s="757"/>
      <c r="AA41" s="761"/>
      <c r="AB41" s="762"/>
    </row>
    <row r="42" spans="1:28">
      <c r="A42" s="99" t="s">
        <v>75</v>
      </c>
      <c r="B42" s="738">
        <v>209</v>
      </c>
      <c r="C42" s="738">
        <v>199</v>
      </c>
      <c r="D42" s="738">
        <v>199</v>
      </c>
      <c r="E42" s="738">
        <v>210</v>
      </c>
      <c r="F42" s="744">
        <v>215</v>
      </c>
      <c r="G42" s="738">
        <v>252</v>
      </c>
      <c r="H42" s="738">
        <v>192</v>
      </c>
      <c r="I42" s="738">
        <v>244</v>
      </c>
      <c r="J42" s="738">
        <v>230</v>
      </c>
      <c r="K42" s="738">
        <v>261</v>
      </c>
      <c r="L42" s="738">
        <v>235</v>
      </c>
      <c r="M42" s="738">
        <v>224</v>
      </c>
      <c r="N42" s="738">
        <v>220</v>
      </c>
      <c r="O42" s="738">
        <v>244</v>
      </c>
      <c r="P42" s="738">
        <v>231</v>
      </c>
      <c r="Q42" s="738">
        <v>217</v>
      </c>
      <c r="R42" s="738">
        <v>229</v>
      </c>
      <c r="S42" s="738">
        <v>273</v>
      </c>
      <c r="T42" s="738">
        <v>253</v>
      </c>
      <c r="U42" s="738">
        <v>230</v>
      </c>
      <c r="V42" s="738">
        <f t="shared" si="0"/>
        <v>251.66666666666666</v>
      </c>
      <c r="W42" s="756">
        <v>245</v>
      </c>
      <c r="X42" s="756">
        <v>288</v>
      </c>
      <c r="Y42" s="756">
        <v>305</v>
      </c>
      <c r="Z42" s="757"/>
      <c r="AA42" s="756">
        <f t="shared" si="1"/>
        <v>279.33333333333331</v>
      </c>
      <c r="AB42" s="762">
        <f t="shared" si="2"/>
        <v>0.10993377483443711</v>
      </c>
    </row>
    <row r="43" spans="1:28" ht="15.5" thickBot="1">
      <c r="A43" s="105"/>
      <c r="B43" s="195"/>
      <c r="C43" s="97"/>
      <c r="D43" s="97"/>
      <c r="E43" s="98"/>
      <c r="F43" s="97"/>
      <c r="G43" s="97"/>
      <c r="H43" s="97"/>
      <c r="I43" s="228"/>
      <c r="J43" s="97"/>
      <c r="K43" s="97"/>
      <c r="L43" s="97"/>
      <c r="M43" s="256"/>
      <c r="N43" s="501"/>
      <c r="O43" s="502"/>
      <c r="P43" s="502"/>
      <c r="Q43" s="502"/>
      <c r="R43" s="687"/>
      <c r="S43" s="687"/>
      <c r="T43" s="687"/>
      <c r="U43" s="687"/>
      <c r="V43" s="687"/>
    </row>
    <row r="44" spans="1:28">
      <c r="N44" s="266"/>
      <c r="O44" s="503"/>
      <c r="P44" s="503"/>
      <c r="Q44" s="503"/>
    </row>
    <row r="45" spans="1:28" ht="15.5" thickBot="1">
      <c r="B45" s="495">
        <v>2020</v>
      </c>
      <c r="C45" s="495"/>
      <c r="D45" s="495"/>
      <c r="E45" s="495"/>
      <c r="F45" s="495">
        <v>2021</v>
      </c>
      <c r="G45" s="495"/>
      <c r="H45" s="495"/>
      <c r="I45" s="495"/>
      <c r="J45" s="220">
        <v>2022</v>
      </c>
      <c r="K45" s="220"/>
      <c r="L45" s="220"/>
      <c r="M45" s="220"/>
      <c r="N45" s="504">
        <v>2023</v>
      </c>
      <c r="O45" s="505"/>
      <c r="P45" s="505"/>
      <c r="Q45" s="505"/>
    </row>
    <row r="46" spans="1:28" ht="15.5" thickBot="1">
      <c r="B46" s="497" t="s">
        <v>136</v>
      </c>
      <c r="C46" s="498" t="s">
        <v>137</v>
      </c>
      <c r="D46" s="498" t="s">
        <v>138</v>
      </c>
      <c r="E46" s="499" t="s">
        <v>308</v>
      </c>
      <c r="F46" s="497" t="s">
        <v>136</v>
      </c>
      <c r="G46" s="498" t="s">
        <v>137</v>
      </c>
      <c r="H46" s="498" t="s">
        <v>138</v>
      </c>
      <c r="I46" s="498" t="s">
        <v>308</v>
      </c>
      <c r="J46" s="506" t="s">
        <v>136</v>
      </c>
      <c r="K46" s="507" t="s">
        <v>137</v>
      </c>
      <c r="L46" s="498" t="s">
        <v>138</v>
      </c>
      <c r="M46" s="507"/>
      <c r="N46" s="265" t="s">
        <v>136</v>
      </c>
      <c r="O46" s="508" t="s">
        <v>137</v>
      </c>
      <c r="P46" s="508" t="s">
        <v>138</v>
      </c>
      <c r="Q46" s="500"/>
    </row>
    <row r="47" spans="1:28">
      <c r="A47" s="99" t="s">
        <v>139</v>
      </c>
      <c r="B47" s="193">
        <v>2249</v>
      </c>
      <c r="C47" s="192">
        <v>2019</v>
      </c>
      <c r="D47" s="192">
        <v>2238</v>
      </c>
      <c r="E47" s="194">
        <v>2331</v>
      </c>
      <c r="F47" s="193">
        <v>2329</v>
      </c>
      <c r="G47" s="192">
        <v>2435</v>
      </c>
      <c r="H47" s="192">
        <v>2464</v>
      </c>
      <c r="I47" s="257">
        <v>2572</v>
      </c>
      <c r="J47" s="509">
        <v>2510</v>
      </c>
      <c r="K47" s="509">
        <v>2615</v>
      </c>
      <c r="L47" s="192">
        <v>2708</v>
      </c>
      <c r="M47" s="509">
        <v>2708</v>
      </c>
      <c r="N47" s="510">
        <v>2741</v>
      </c>
      <c r="O47" s="509">
        <v>2780</v>
      </c>
      <c r="P47" s="511">
        <v>2910</v>
      </c>
      <c r="Q47" s="512"/>
    </row>
    <row r="48" spans="1:28">
      <c r="A48" s="100"/>
      <c r="B48" s="221"/>
      <c r="E48" s="222"/>
      <c r="F48" s="221"/>
      <c r="J48" s="513"/>
      <c r="K48" s="513"/>
      <c r="M48" s="513"/>
      <c r="N48" s="514"/>
      <c r="O48" s="513"/>
      <c r="P48" s="513"/>
      <c r="Q48" s="279"/>
    </row>
    <row r="49" spans="1:17">
      <c r="A49" s="99" t="s">
        <v>140</v>
      </c>
      <c r="B49" s="223">
        <f>B5/B$47*100</f>
        <v>38.728323699421964</v>
      </c>
      <c r="C49" s="204">
        <f t="shared" ref="C49:J64" si="3">C5/C$47*100</f>
        <v>52.947003467062906</v>
      </c>
      <c r="D49" s="204">
        <f t="shared" si="3"/>
        <v>24.441465594280608</v>
      </c>
      <c r="E49" s="224">
        <f t="shared" si="3"/>
        <v>50.664950664950666</v>
      </c>
      <c r="F49" s="223">
        <f t="shared" si="3"/>
        <v>38.299699441820522</v>
      </c>
      <c r="G49" s="204">
        <f t="shared" si="3"/>
        <v>45.667351129363446</v>
      </c>
      <c r="H49" s="204">
        <f t="shared" ref="H49:M49" si="4">H5/H$47*100</f>
        <v>24.147727272727273</v>
      </c>
      <c r="I49" s="204">
        <f t="shared" si="4"/>
        <v>47.045101088646966</v>
      </c>
      <c r="J49" s="515">
        <f t="shared" si="4"/>
        <v>35.378486055776889</v>
      </c>
      <c r="K49" s="515">
        <f t="shared" si="4"/>
        <v>42.868068833652003</v>
      </c>
      <c r="L49" s="516">
        <f t="shared" si="4"/>
        <v>22.378138847858196</v>
      </c>
      <c r="M49" s="515">
        <f t="shared" si="4"/>
        <v>44.719350073855246</v>
      </c>
      <c r="N49" s="517">
        <f>N5/$N$47*100</f>
        <v>33.710324699014961</v>
      </c>
      <c r="O49" s="515">
        <f>O5/$O$47*100</f>
        <v>40.935251798561154</v>
      </c>
      <c r="P49" s="515">
        <f>P5/$P$47*100</f>
        <v>22.611683848797252</v>
      </c>
      <c r="Q49" s="518"/>
    </row>
    <row r="50" spans="1:17">
      <c r="A50" s="101" t="s">
        <v>19</v>
      </c>
      <c r="B50" s="223">
        <f t="shared" ref="B50:B65" si="5">B6/B$47*100</f>
        <v>24.144064028457091</v>
      </c>
      <c r="C50" s="204">
        <f t="shared" si="3"/>
        <v>36.899455175829623</v>
      </c>
      <c r="D50" s="204">
        <f t="shared" si="3"/>
        <v>8.4450402144772116</v>
      </c>
      <c r="E50" s="224">
        <f t="shared" si="3"/>
        <v>34.491634491634493</v>
      </c>
      <c r="F50" s="223">
        <f t="shared" si="3"/>
        <v>23.314727350794332</v>
      </c>
      <c r="G50" s="204">
        <f t="shared" si="3"/>
        <v>30.800821355236142</v>
      </c>
      <c r="H50" s="204">
        <f t="shared" si="3"/>
        <v>7.9139610389610384</v>
      </c>
      <c r="I50" s="204">
        <f>I6/I$47*100</f>
        <v>31.143079315707624</v>
      </c>
      <c r="J50" s="519">
        <f>J6/J$47*100</f>
        <v>21.394422310756973</v>
      </c>
      <c r="K50" s="519">
        <f t="shared" ref="K50:K86" si="6">K6/K$47*100</f>
        <v>27.648183556405353</v>
      </c>
      <c r="L50" s="204">
        <v>13.3</v>
      </c>
      <c r="M50" s="519">
        <f>M6/M$47*100</f>
        <v>28.729689807976367</v>
      </c>
      <c r="N50" s="520">
        <f t="shared" ref="N50:N84" si="7">N6/$N$47*100</f>
        <v>20.211601605253556</v>
      </c>
      <c r="O50" s="519">
        <f t="shared" ref="O50:O86" si="8">O6/$O$47*100</f>
        <v>26.474820143884891</v>
      </c>
      <c r="P50" s="519">
        <f t="shared" ref="P50:P86" si="9">P6/$P$47*100</f>
        <v>8.3161512027491398</v>
      </c>
      <c r="Q50" s="521"/>
    </row>
    <row r="51" spans="1:17">
      <c r="A51" s="101" t="s">
        <v>21</v>
      </c>
      <c r="B51" s="223">
        <f t="shared" si="5"/>
        <v>2.6233881725211203</v>
      </c>
      <c r="C51" s="204">
        <f t="shared" si="3"/>
        <v>2.7241208519068847</v>
      </c>
      <c r="D51" s="204">
        <f t="shared" si="3"/>
        <v>4.3342269883824844</v>
      </c>
      <c r="E51" s="224">
        <f t="shared" si="3"/>
        <v>4.2471042471042466</v>
      </c>
      <c r="F51" s="223">
        <f t="shared" si="3"/>
        <v>2.7050236152855303</v>
      </c>
      <c r="G51" s="204">
        <f t="shared" si="3"/>
        <v>3.2032854209445585</v>
      </c>
      <c r="H51" s="204">
        <f t="shared" si="3"/>
        <v>4.0990259740259747</v>
      </c>
      <c r="I51" s="204">
        <f t="shared" si="3"/>
        <v>4.5489891135303262</v>
      </c>
      <c r="J51" s="519">
        <f t="shared" si="3"/>
        <v>1.8725099601593624</v>
      </c>
      <c r="K51" s="519">
        <f t="shared" si="6"/>
        <v>3.2122370936902485</v>
      </c>
      <c r="L51" s="204">
        <v>1.7999999999999998</v>
      </c>
      <c r="M51" s="519">
        <f t="shared" ref="M51:M65" si="10">M7/M$47*100</f>
        <v>4.3943870014771047</v>
      </c>
      <c r="N51" s="520">
        <f t="shared" si="7"/>
        <v>2.0795330171470265</v>
      </c>
      <c r="O51" s="519">
        <f t="shared" si="8"/>
        <v>2.985611510791367</v>
      </c>
      <c r="P51" s="519">
        <f t="shared" si="9"/>
        <v>2.9209621993127146</v>
      </c>
      <c r="Q51" s="521"/>
    </row>
    <row r="52" spans="1:17">
      <c r="A52" s="101" t="s">
        <v>23</v>
      </c>
      <c r="B52" s="223">
        <f t="shared" si="5"/>
        <v>4.4908848377056474</v>
      </c>
      <c r="C52" s="204">
        <f t="shared" si="3"/>
        <v>5.1510648836057449</v>
      </c>
      <c r="D52" s="204">
        <f t="shared" si="3"/>
        <v>4.781054512957998</v>
      </c>
      <c r="E52" s="224">
        <f t="shared" si="3"/>
        <v>4.7190047190047189</v>
      </c>
      <c r="F52" s="223">
        <f t="shared" si="3"/>
        <v>4.7230571060541005</v>
      </c>
      <c r="G52" s="204">
        <f t="shared" si="3"/>
        <v>4.3942505133470231</v>
      </c>
      <c r="H52" s="204">
        <f t="shared" si="3"/>
        <v>4.8295454545454541</v>
      </c>
      <c r="I52" s="204">
        <f t="shared" si="3"/>
        <v>4.2768273716951786</v>
      </c>
      <c r="J52" s="519">
        <f t="shared" si="3"/>
        <v>4.6613545816733071</v>
      </c>
      <c r="K52" s="519">
        <f t="shared" si="6"/>
        <v>4.7036328871892925</v>
      </c>
      <c r="L52" s="204">
        <v>3.3000000000000003</v>
      </c>
      <c r="M52" s="519">
        <f t="shared" si="10"/>
        <v>4.431314623338257</v>
      </c>
      <c r="N52" s="520">
        <f t="shared" si="7"/>
        <v>4.3414812112367756</v>
      </c>
      <c r="O52" s="519">
        <f t="shared" si="8"/>
        <v>4.3884892086330938</v>
      </c>
      <c r="P52" s="519">
        <f t="shared" si="9"/>
        <v>4.4673539518900345</v>
      </c>
      <c r="Q52" s="521"/>
    </row>
    <row r="53" spans="1:17">
      <c r="A53" s="101" t="s">
        <v>25</v>
      </c>
      <c r="B53" s="223">
        <f t="shared" si="5"/>
        <v>6.8474877723432641</v>
      </c>
      <c r="C53" s="204">
        <f t="shared" si="3"/>
        <v>7.6275383853392773</v>
      </c>
      <c r="D53" s="204">
        <f t="shared" si="3"/>
        <v>7.0598748882931188</v>
      </c>
      <c r="E53" s="224">
        <f t="shared" si="3"/>
        <v>6.8640068640068632</v>
      </c>
      <c r="F53" s="223">
        <f t="shared" si="3"/>
        <v>6.9557750107342207</v>
      </c>
      <c r="G53" s="204">
        <f t="shared" si="3"/>
        <v>6.6529774127310066</v>
      </c>
      <c r="H53" s="204">
        <f t="shared" si="3"/>
        <v>6.7370129870129869</v>
      </c>
      <c r="I53" s="204">
        <f t="shared" si="3"/>
        <v>6.5318818040435458</v>
      </c>
      <c r="J53" s="519">
        <f t="shared" si="3"/>
        <v>6.8525896414342631</v>
      </c>
      <c r="K53" s="519">
        <f t="shared" si="6"/>
        <v>6.6921606118546846</v>
      </c>
      <c r="L53" s="204">
        <v>5.5</v>
      </c>
      <c r="M53" s="519">
        <f t="shared" si="10"/>
        <v>6.6469719350073859</v>
      </c>
      <c r="N53" s="520">
        <f t="shared" si="7"/>
        <v>6.5669463699379786</v>
      </c>
      <c r="O53" s="519">
        <f t="shared" si="8"/>
        <v>6.6187050359712227</v>
      </c>
      <c r="P53" s="519">
        <f t="shared" si="9"/>
        <v>6.4604810996563584</v>
      </c>
      <c r="Q53" s="521"/>
    </row>
    <row r="54" spans="1:17">
      <c r="A54" s="101" t="s">
        <v>27</v>
      </c>
      <c r="B54" s="223">
        <f t="shared" si="5"/>
        <v>0.62249888839484213</v>
      </c>
      <c r="C54" s="204">
        <f t="shared" si="3"/>
        <v>0.34670629024269439</v>
      </c>
      <c r="D54" s="204">
        <f t="shared" si="3"/>
        <v>0.49151027703306527</v>
      </c>
      <c r="E54" s="224">
        <f t="shared" si="3"/>
        <v>0.60060060060060061</v>
      </c>
      <c r="F54" s="223">
        <f t="shared" si="3"/>
        <v>0.60111635895234006</v>
      </c>
      <c r="G54" s="204">
        <f t="shared" si="3"/>
        <v>0.57494866529774125</v>
      </c>
      <c r="H54" s="204">
        <f t="shared" si="3"/>
        <v>0.56818181818181823</v>
      </c>
      <c r="I54" s="204">
        <f t="shared" si="3"/>
        <v>0.54432348367029548</v>
      </c>
      <c r="J54" s="519">
        <f t="shared" si="3"/>
        <v>0.5577689243027889</v>
      </c>
      <c r="K54" s="519">
        <f t="shared" si="6"/>
        <v>0.53537284894837467</v>
      </c>
      <c r="L54" s="204">
        <v>0.4</v>
      </c>
      <c r="M54" s="519">
        <f t="shared" si="10"/>
        <v>0.51698670605612995</v>
      </c>
      <c r="N54" s="520">
        <f t="shared" si="7"/>
        <v>0.5107624954396206</v>
      </c>
      <c r="O54" s="519">
        <f t="shared" si="8"/>
        <v>0.50359712230215825</v>
      </c>
      <c r="P54" s="519">
        <f t="shared" si="9"/>
        <v>0.48109965635738833</v>
      </c>
      <c r="Q54" s="521"/>
    </row>
    <row r="55" spans="1:17">
      <c r="A55" s="99" t="s">
        <v>28</v>
      </c>
      <c r="B55" s="223">
        <f t="shared" si="5"/>
        <v>32.058692752334373</v>
      </c>
      <c r="C55" s="204">
        <f t="shared" si="3"/>
        <v>31.352154531946507</v>
      </c>
      <c r="D55" s="204">
        <f t="shared" si="3"/>
        <v>34.45040214477212</v>
      </c>
      <c r="E55" s="224">
        <f t="shared" si="3"/>
        <v>35.306735306735305</v>
      </c>
      <c r="F55" s="223">
        <f t="shared" si="3"/>
        <v>33.920137398024899</v>
      </c>
      <c r="G55" s="204">
        <f t="shared" si="3"/>
        <v>30.020533880903489</v>
      </c>
      <c r="H55" s="204">
        <f t="shared" si="3"/>
        <v>29.870129870129869</v>
      </c>
      <c r="I55" s="204">
        <f t="shared" si="3"/>
        <v>32.737169517884915</v>
      </c>
      <c r="J55" s="515">
        <f t="shared" si="3"/>
        <v>37.569721115537845</v>
      </c>
      <c r="K55" s="515">
        <f t="shared" si="6"/>
        <v>38.814531548757166</v>
      </c>
      <c r="L55" s="516">
        <v>21</v>
      </c>
      <c r="M55" s="515">
        <f t="shared" si="10"/>
        <v>35.450516986706056</v>
      </c>
      <c r="N55" s="517">
        <f t="shared" si="7"/>
        <v>35.242612185333819</v>
      </c>
      <c r="O55" s="515">
        <f t="shared" si="8"/>
        <v>35.57553956834532</v>
      </c>
      <c r="P55" s="515">
        <f t="shared" si="9"/>
        <v>33.745704467353953</v>
      </c>
      <c r="Q55" s="518"/>
    </row>
    <row r="56" spans="1:17">
      <c r="A56" s="101" t="s">
        <v>30</v>
      </c>
      <c r="B56" s="223">
        <f t="shared" si="5"/>
        <v>2.5789239662072032</v>
      </c>
      <c r="C56" s="204">
        <f t="shared" si="3"/>
        <v>2.0802377414561661</v>
      </c>
      <c r="D56" s="204">
        <f t="shared" si="3"/>
        <v>2.5915996425379806</v>
      </c>
      <c r="E56" s="224">
        <f t="shared" si="3"/>
        <v>2.8743028743028742</v>
      </c>
      <c r="F56" s="223">
        <f t="shared" si="3"/>
        <v>2.5762129669386002</v>
      </c>
      <c r="G56" s="204">
        <f t="shared" si="3"/>
        <v>2.2176591375770021</v>
      </c>
      <c r="H56" s="204">
        <f t="shared" si="3"/>
        <v>2.4756493506493507</v>
      </c>
      <c r="I56" s="204">
        <f t="shared" si="3"/>
        <v>2.44945567651633</v>
      </c>
      <c r="J56" s="519">
        <f t="shared" si="3"/>
        <v>2.9482071713147411</v>
      </c>
      <c r="K56" s="519">
        <f t="shared" si="6"/>
        <v>3.0975143403441683</v>
      </c>
      <c r="L56" s="204">
        <v>2.5</v>
      </c>
      <c r="M56" s="519">
        <f t="shared" si="10"/>
        <v>2.8803545051698669</v>
      </c>
      <c r="N56" s="517">
        <f t="shared" si="7"/>
        <v>2.6632615833637359</v>
      </c>
      <c r="O56" s="515">
        <f t="shared" si="8"/>
        <v>2.8057553956834531</v>
      </c>
      <c r="P56" s="519">
        <f t="shared" si="9"/>
        <v>2.8522336769759451</v>
      </c>
      <c r="Q56" s="521"/>
    </row>
    <row r="57" spans="1:17">
      <c r="A57" s="101" t="s">
        <v>32</v>
      </c>
      <c r="B57" s="223">
        <f t="shared" si="5"/>
        <v>12.583370386838594</v>
      </c>
      <c r="C57" s="204">
        <f t="shared" si="3"/>
        <v>13.174839029222388</v>
      </c>
      <c r="D57" s="204">
        <f t="shared" si="3"/>
        <v>13.85165326184093</v>
      </c>
      <c r="E57" s="224">
        <f t="shared" si="3"/>
        <v>13.77091377091377</v>
      </c>
      <c r="F57" s="223">
        <f t="shared" si="3"/>
        <v>13.181623014169173</v>
      </c>
      <c r="G57" s="204">
        <f t="shared" si="3"/>
        <v>14.045174537987679</v>
      </c>
      <c r="H57" s="204">
        <f t="shared" si="3"/>
        <v>11.120129870129871</v>
      </c>
      <c r="I57" s="204">
        <f t="shared" si="3"/>
        <v>13.569206842923794</v>
      </c>
      <c r="J57" s="519">
        <f t="shared" si="3"/>
        <v>13.466135458167331</v>
      </c>
      <c r="K57" s="519">
        <f t="shared" si="6"/>
        <v>14.64627151051625</v>
      </c>
      <c r="L57" s="204">
        <v>9.7000000000000011</v>
      </c>
      <c r="M57" s="519">
        <f t="shared" si="10"/>
        <v>13.774002954209749</v>
      </c>
      <c r="N57" s="517">
        <f t="shared" si="7"/>
        <v>14.264866836920831</v>
      </c>
      <c r="O57" s="515">
        <f t="shared" si="8"/>
        <v>13.920863309352519</v>
      </c>
      <c r="P57" s="519">
        <f t="shared" si="9"/>
        <v>11.305841924398626</v>
      </c>
      <c r="Q57" s="521"/>
    </row>
    <row r="58" spans="1:17">
      <c r="A58" s="102" t="s">
        <v>141</v>
      </c>
      <c r="B58" s="223">
        <f t="shared" si="5"/>
        <v>2.4899955535793685</v>
      </c>
      <c r="C58" s="204">
        <f t="shared" si="3"/>
        <v>2.7736503219415551</v>
      </c>
      <c r="D58" s="204">
        <f t="shared" si="3"/>
        <v>2.3235031277926721</v>
      </c>
      <c r="E58" s="224">
        <f t="shared" si="3"/>
        <v>2.3595023595023594</v>
      </c>
      <c r="F58" s="223">
        <f t="shared" si="3"/>
        <v>2.5762129669386002</v>
      </c>
      <c r="G58" s="204">
        <f t="shared" si="3"/>
        <v>3.655030800821355</v>
      </c>
      <c r="H58" s="204">
        <f t="shared" si="3"/>
        <v>2.1103896103896105</v>
      </c>
      <c r="I58" s="204">
        <f t="shared" si="3"/>
        <v>3.5769828926905132</v>
      </c>
      <c r="J58" s="519">
        <f t="shared" si="3"/>
        <v>2.5896414342629481</v>
      </c>
      <c r="K58" s="519">
        <f t="shared" si="6"/>
        <v>4.0917782026768643</v>
      </c>
      <c r="L58" s="204">
        <v>3.9</v>
      </c>
      <c r="M58" s="519">
        <f t="shared" si="10"/>
        <v>3.8035450516986709</v>
      </c>
      <c r="N58" s="517">
        <f t="shared" si="7"/>
        <v>2.8821597956950016</v>
      </c>
      <c r="O58" s="515">
        <f t="shared" si="8"/>
        <v>3.920863309352518</v>
      </c>
      <c r="P58" s="519">
        <f t="shared" si="9"/>
        <v>2.1649484536082473</v>
      </c>
      <c r="Q58" s="521"/>
    </row>
    <row r="59" spans="1:17">
      <c r="A59" s="102" t="s">
        <v>142</v>
      </c>
      <c r="B59" s="223">
        <f t="shared" si="5"/>
        <v>5.202312138728324</v>
      </c>
      <c r="C59" s="204">
        <f t="shared" si="3"/>
        <v>5.4482417038137694</v>
      </c>
      <c r="D59" s="204">
        <f t="shared" si="3"/>
        <v>5.9874888293118858</v>
      </c>
      <c r="E59" s="224">
        <f t="shared" si="3"/>
        <v>5.6628056628056633</v>
      </c>
      <c r="F59" s="223">
        <f t="shared" si="3"/>
        <v>5.2382996994418205</v>
      </c>
      <c r="G59" s="204">
        <f t="shared" si="3"/>
        <v>4.0246406570841886</v>
      </c>
      <c r="H59" s="204">
        <f t="shared" si="3"/>
        <v>3.0844155844155843</v>
      </c>
      <c r="I59" s="204">
        <f t="shared" si="3"/>
        <v>4.4712286158631418</v>
      </c>
      <c r="J59" s="519">
        <f t="shared" si="3"/>
        <v>5.4581673306772913</v>
      </c>
      <c r="K59" s="519">
        <f t="shared" si="6"/>
        <v>4.6653919694072652</v>
      </c>
      <c r="L59" s="204">
        <v>2.1</v>
      </c>
      <c r="M59" s="519">
        <f t="shared" si="10"/>
        <v>4.3205317577548001</v>
      </c>
      <c r="N59" s="517">
        <f t="shared" si="7"/>
        <v>5.0711419190076619</v>
      </c>
      <c r="O59" s="515">
        <f t="shared" si="8"/>
        <v>4.2086330935251794</v>
      </c>
      <c r="P59" s="519">
        <f t="shared" si="9"/>
        <v>3.0240549828178693</v>
      </c>
      <c r="Q59" s="521"/>
    </row>
    <row r="60" spans="1:17">
      <c r="A60" s="102" t="s">
        <v>143</v>
      </c>
      <c r="B60" s="223">
        <f t="shared" si="5"/>
        <v>0.97821253890618043</v>
      </c>
      <c r="C60" s="204">
        <f t="shared" si="3"/>
        <v>0.94105993065874194</v>
      </c>
      <c r="D60" s="204">
        <f t="shared" si="3"/>
        <v>1.0723860589812333</v>
      </c>
      <c r="E60" s="224">
        <f t="shared" si="3"/>
        <v>1.1154011154011154</v>
      </c>
      <c r="F60" s="223">
        <f t="shared" si="3"/>
        <v>0.94461142121082009</v>
      </c>
      <c r="G60" s="204">
        <f t="shared" si="3"/>
        <v>1.0266940451745379</v>
      </c>
      <c r="H60" s="204">
        <f t="shared" si="3"/>
        <v>1.0146103896103895</v>
      </c>
      <c r="I60" s="204">
        <f t="shared" si="3"/>
        <v>1.0497667185069983</v>
      </c>
      <c r="J60" s="519">
        <f t="shared" si="3"/>
        <v>0.9561752988047808</v>
      </c>
      <c r="K60" s="519">
        <f t="shared" si="6"/>
        <v>1.0325047801147227</v>
      </c>
      <c r="L60" s="204">
        <v>0.70000000000000007</v>
      </c>
      <c r="M60" s="519">
        <f t="shared" si="10"/>
        <v>1.1078286558345642</v>
      </c>
      <c r="N60" s="517">
        <f t="shared" si="7"/>
        <v>0.98504195549069684</v>
      </c>
      <c r="O60" s="515">
        <f t="shared" si="8"/>
        <v>1.079136690647482</v>
      </c>
      <c r="P60" s="519">
        <f t="shared" si="9"/>
        <v>1.0996563573883162</v>
      </c>
      <c r="Q60" s="521"/>
    </row>
    <row r="61" spans="1:17">
      <c r="A61" s="102" t="s">
        <v>144</v>
      </c>
      <c r="B61" s="223">
        <f t="shared" si="5"/>
        <v>0.35571365051133835</v>
      </c>
      <c r="C61" s="204">
        <f t="shared" si="3"/>
        <v>0.34670629024269439</v>
      </c>
      <c r="D61" s="204">
        <f t="shared" si="3"/>
        <v>0.40214477211796246</v>
      </c>
      <c r="E61" s="224">
        <f t="shared" si="3"/>
        <v>0.42900042900042895</v>
      </c>
      <c r="F61" s="223">
        <f t="shared" si="3"/>
        <v>0.38643194504079004</v>
      </c>
      <c r="G61" s="204">
        <f t="shared" si="3"/>
        <v>0.45174537987679669</v>
      </c>
      <c r="H61" s="204">
        <f t="shared" si="3"/>
        <v>0.4464285714285714</v>
      </c>
      <c r="I61" s="204">
        <f>I17/I$47*100</f>
        <v>0.46656298600311047</v>
      </c>
      <c r="J61" s="519">
        <f>J17/J$47*100</f>
        <v>0.43824701195219129</v>
      </c>
      <c r="K61" s="519">
        <f t="shared" si="6"/>
        <v>0.53537284894837467</v>
      </c>
      <c r="L61" s="204">
        <v>0.3</v>
      </c>
      <c r="M61" s="519">
        <f t="shared" si="10"/>
        <v>0.62776957163958647</v>
      </c>
      <c r="N61" s="517">
        <f t="shared" si="7"/>
        <v>0.5107624954396206</v>
      </c>
      <c r="O61" s="515">
        <f t="shared" si="8"/>
        <v>0.61151079136690645</v>
      </c>
      <c r="P61" s="519">
        <f t="shared" si="9"/>
        <v>0.61855670103092786</v>
      </c>
      <c r="Q61" s="521"/>
    </row>
    <row r="62" spans="1:17">
      <c r="A62" s="102" t="s">
        <v>145</v>
      </c>
      <c r="B62" s="223">
        <f t="shared" si="5"/>
        <v>0.97821253890618043</v>
      </c>
      <c r="C62" s="204">
        <f t="shared" si="3"/>
        <v>1.1391778107974244</v>
      </c>
      <c r="D62" s="204">
        <f t="shared" si="3"/>
        <v>1.0277033065236818</v>
      </c>
      <c r="E62" s="224">
        <f t="shared" si="3"/>
        <v>1.2012012012012012</v>
      </c>
      <c r="F62" s="223">
        <f t="shared" si="3"/>
        <v>1.1163589523400601</v>
      </c>
      <c r="G62" s="204">
        <f t="shared" si="3"/>
        <v>1.8480492813141685</v>
      </c>
      <c r="H62" s="204">
        <f t="shared" si="3"/>
        <v>1.0957792207792207</v>
      </c>
      <c r="I62" s="204">
        <f t="shared" si="3"/>
        <v>1.1275272161741834</v>
      </c>
      <c r="J62" s="519">
        <f t="shared" si="3"/>
        <v>1.0756972111553786</v>
      </c>
      <c r="K62" s="519">
        <f t="shared" si="6"/>
        <v>1.3766730401529637</v>
      </c>
      <c r="L62" s="204">
        <v>0.89999999999999991</v>
      </c>
      <c r="M62" s="519">
        <f t="shared" si="10"/>
        <v>1.1447562776957163</v>
      </c>
      <c r="N62" s="517">
        <f t="shared" si="7"/>
        <v>2.0430499817584824</v>
      </c>
      <c r="O62" s="515">
        <f t="shared" si="8"/>
        <v>1.2589928057553956</v>
      </c>
      <c r="P62" s="519">
        <f t="shared" si="9"/>
        <v>1.3745704467353952</v>
      </c>
      <c r="Q62" s="521"/>
    </row>
    <row r="63" spans="1:17">
      <c r="A63" s="102" t="s">
        <v>146</v>
      </c>
      <c r="B63" s="223">
        <f t="shared" si="5"/>
        <v>0.88928412627834585</v>
      </c>
      <c r="C63" s="204">
        <f t="shared" si="3"/>
        <v>0.9905894006934125</v>
      </c>
      <c r="D63" s="204">
        <f t="shared" si="3"/>
        <v>1.161751563896336</v>
      </c>
      <c r="E63" s="224">
        <f t="shared" si="3"/>
        <v>1.1154011154011154</v>
      </c>
      <c r="F63" s="223">
        <f t="shared" si="3"/>
        <v>0.85873765564620008</v>
      </c>
      <c r="G63" s="204">
        <f t="shared" si="3"/>
        <v>1.0266940451745379</v>
      </c>
      <c r="H63" s="204">
        <f t="shared" si="3"/>
        <v>1.2987012987012987</v>
      </c>
      <c r="I63" s="204">
        <f t="shared" si="3"/>
        <v>0.97200622083981336</v>
      </c>
      <c r="J63" s="519">
        <f t="shared" si="3"/>
        <v>1.0358565737051793</v>
      </c>
      <c r="K63" s="519">
        <f t="shared" si="6"/>
        <v>0.99426386233269592</v>
      </c>
      <c r="L63" s="204">
        <v>0.6</v>
      </c>
      <c r="M63" s="519">
        <f t="shared" si="10"/>
        <v>0.99704579025110784</v>
      </c>
      <c r="N63" s="517">
        <f t="shared" si="7"/>
        <v>1.0580080262677856</v>
      </c>
      <c r="O63" s="515">
        <f t="shared" si="8"/>
        <v>1.079136690647482</v>
      </c>
      <c r="P63" s="519">
        <f t="shared" si="9"/>
        <v>1.202749140893471</v>
      </c>
      <c r="Q63" s="521"/>
    </row>
    <row r="64" spans="1:17">
      <c r="A64" s="102" t="s">
        <v>147</v>
      </c>
      <c r="B64" s="223">
        <f t="shared" si="5"/>
        <v>0.62249888839484213</v>
      </c>
      <c r="C64" s="204">
        <f t="shared" si="3"/>
        <v>0.69341258048538879</v>
      </c>
      <c r="D64" s="204">
        <f t="shared" si="3"/>
        <v>1.0723860589812333</v>
      </c>
      <c r="E64" s="224">
        <f t="shared" si="3"/>
        <v>0.9867009867009866</v>
      </c>
      <c r="F64" s="223">
        <f t="shared" si="3"/>
        <v>0.77286389008158007</v>
      </c>
      <c r="G64" s="204">
        <f t="shared" si="3"/>
        <v>0.73921971252566732</v>
      </c>
      <c r="H64" s="204">
        <f t="shared" si="3"/>
        <v>0.81168831168831157</v>
      </c>
      <c r="I64" s="204">
        <f t="shared" si="3"/>
        <v>0.69984447900466562</v>
      </c>
      <c r="J64" s="519">
        <f t="shared" si="3"/>
        <v>0.75697211155378485</v>
      </c>
      <c r="K64" s="519">
        <f t="shared" si="6"/>
        <v>0.87954110898661575</v>
      </c>
      <c r="L64" s="204">
        <v>0.4</v>
      </c>
      <c r="M64" s="519">
        <f t="shared" si="10"/>
        <v>0.77548005908419504</v>
      </c>
      <c r="N64" s="517">
        <f t="shared" si="7"/>
        <v>0.8391098139365194</v>
      </c>
      <c r="O64" s="515">
        <f t="shared" si="8"/>
        <v>0.82733812949640284</v>
      </c>
      <c r="P64" s="519">
        <f t="shared" si="9"/>
        <v>0.89347079037800681</v>
      </c>
      <c r="Q64" s="521"/>
    </row>
    <row r="65" spans="1:17">
      <c r="A65" s="102" t="s">
        <v>148</v>
      </c>
      <c r="B65" s="223">
        <f t="shared" si="5"/>
        <v>1.2005335704757669</v>
      </c>
      <c r="C65" s="204">
        <f t="shared" ref="C65:J65" si="11">C21/C$47*100</f>
        <v>0.79247152055473002</v>
      </c>
      <c r="D65" s="204">
        <f t="shared" si="11"/>
        <v>1.3851653261840928</v>
      </c>
      <c r="E65" s="224">
        <f t="shared" si="11"/>
        <v>1.3299013299013298</v>
      </c>
      <c r="F65" s="223">
        <f t="shared" si="11"/>
        <v>1.3310433662516101</v>
      </c>
      <c r="G65" s="204">
        <f t="shared" si="11"/>
        <v>1.3141683778234086</v>
      </c>
      <c r="H65" s="204">
        <f t="shared" si="11"/>
        <v>1.2987012987012987</v>
      </c>
      <c r="I65" s="204">
        <f t="shared" si="11"/>
        <v>1.2441679626749611</v>
      </c>
      <c r="J65" s="519">
        <f t="shared" si="11"/>
        <v>1.1952191235059761</v>
      </c>
      <c r="K65" s="519">
        <f t="shared" si="6"/>
        <v>1.1089866156787764</v>
      </c>
      <c r="L65" s="204">
        <v>0.8</v>
      </c>
      <c r="M65" s="519">
        <f t="shared" si="10"/>
        <v>0.96011816838995567</v>
      </c>
      <c r="N65" s="517">
        <f t="shared" si="7"/>
        <v>0.91207588471360812</v>
      </c>
      <c r="O65" s="515">
        <f t="shared" si="8"/>
        <v>0.97122302158273377</v>
      </c>
      <c r="P65" s="519">
        <f t="shared" si="9"/>
        <v>0.92783505154639179</v>
      </c>
      <c r="Q65" s="521"/>
    </row>
    <row r="66" spans="1:17">
      <c r="A66" s="101" t="s">
        <v>50</v>
      </c>
      <c r="B66" s="223">
        <f t="shared" ref="B66:J81" si="12">B22/B$47*100</f>
        <v>0.97821253890618043</v>
      </c>
      <c r="C66" s="204">
        <f t="shared" si="12"/>
        <v>0.9905894006934125</v>
      </c>
      <c r="D66" s="204">
        <f t="shared" si="12"/>
        <v>1.0277033065236818</v>
      </c>
      <c r="E66" s="224">
        <f t="shared" si="12"/>
        <v>1.0296010296010296</v>
      </c>
      <c r="F66" s="223">
        <f t="shared" si="12"/>
        <v>0.94461142121082009</v>
      </c>
      <c r="G66" s="204">
        <f t="shared" si="12"/>
        <v>1.0266940451745379</v>
      </c>
      <c r="H66" s="204">
        <f t="shared" si="12"/>
        <v>1.0551948051948052</v>
      </c>
      <c r="I66" s="204">
        <f t="shared" si="12"/>
        <v>1.0108864696734059</v>
      </c>
      <c r="J66" s="519">
        <f t="shared" si="12"/>
        <v>1.0756972111553786</v>
      </c>
      <c r="K66" s="519">
        <f t="shared" si="6"/>
        <v>1.0707456978967493</v>
      </c>
      <c r="L66" s="204">
        <v>0.4</v>
      </c>
      <c r="M66" s="519">
        <f t="shared" ref="M66:M81" si="13">M22/M$47*100</f>
        <v>1.0709010339734122</v>
      </c>
      <c r="N66" s="517">
        <f t="shared" si="7"/>
        <v>0.98504195549069684</v>
      </c>
      <c r="O66" s="515">
        <f t="shared" si="8"/>
        <v>1.079136690647482</v>
      </c>
      <c r="P66" s="519">
        <f t="shared" si="9"/>
        <v>1.134020618556701</v>
      </c>
      <c r="Q66" s="521"/>
    </row>
    <row r="67" spans="1:17">
      <c r="A67" s="101" t="s">
        <v>52</v>
      </c>
      <c r="B67" s="223">
        <f t="shared" si="12"/>
        <v>0.71142730102267671</v>
      </c>
      <c r="C67" s="204">
        <f t="shared" si="12"/>
        <v>0.79247152055473002</v>
      </c>
      <c r="D67" s="204">
        <f t="shared" si="12"/>
        <v>0.71492403932082216</v>
      </c>
      <c r="E67" s="224">
        <f t="shared" si="12"/>
        <v>0.68640068640068641</v>
      </c>
      <c r="F67" s="223">
        <f t="shared" si="12"/>
        <v>0.68699012451696007</v>
      </c>
      <c r="G67" s="204">
        <f t="shared" si="12"/>
        <v>0.69815195071868574</v>
      </c>
      <c r="H67" s="204">
        <f t="shared" si="12"/>
        <v>0.73051948051948046</v>
      </c>
      <c r="I67" s="204">
        <f t="shared" si="12"/>
        <v>0.69984447900466562</v>
      </c>
      <c r="J67" s="519">
        <f t="shared" si="12"/>
        <v>0.71713147410358569</v>
      </c>
      <c r="K67" s="519">
        <f t="shared" si="6"/>
        <v>0.68833652007648183</v>
      </c>
      <c r="L67" s="204">
        <v>0.4</v>
      </c>
      <c r="M67" s="519">
        <f t="shared" si="13"/>
        <v>0.66469719350073853</v>
      </c>
      <c r="N67" s="517">
        <f t="shared" si="7"/>
        <v>0.65669463699379782</v>
      </c>
      <c r="O67" s="515">
        <f t="shared" si="8"/>
        <v>0.64748201438848918</v>
      </c>
      <c r="P67" s="519">
        <f t="shared" si="9"/>
        <v>0.65292096219931273</v>
      </c>
      <c r="Q67" s="521"/>
    </row>
    <row r="68" spans="1:17">
      <c r="A68" s="101" t="s">
        <v>54</v>
      </c>
      <c r="B68" s="223">
        <f t="shared" si="12"/>
        <v>15.028901734104046</v>
      </c>
      <c r="C68" s="204">
        <f t="shared" si="12"/>
        <v>13.719663199603765</v>
      </c>
      <c r="D68" s="204">
        <f t="shared" si="12"/>
        <v>15.951742627345844</v>
      </c>
      <c r="E68" s="224">
        <f t="shared" si="12"/>
        <v>16.859716859716858</v>
      </c>
      <c r="F68" s="223">
        <f t="shared" si="12"/>
        <v>16.530699871189352</v>
      </c>
      <c r="G68" s="204">
        <f t="shared" si="12"/>
        <v>12.032854209445585</v>
      </c>
      <c r="H68" s="204">
        <f t="shared" si="12"/>
        <v>14.529220779220781</v>
      </c>
      <c r="I68" s="204">
        <f t="shared" si="12"/>
        <v>15.007776049766719</v>
      </c>
      <c r="J68" s="519">
        <f t="shared" si="12"/>
        <v>19.362549800796813</v>
      </c>
      <c r="K68" s="519">
        <f t="shared" si="6"/>
        <v>19.311663479923517</v>
      </c>
      <c r="L68" s="204">
        <v>7.9</v>
      </c>
      <c r="M68" s="519">
        <f t="shared" si="13"/>
        <v>17.060561299852289</v>
      </c>
      <c r="N68" s="517">
        <f t="shared" si="7"/>
        <v>16.636264137176212</v>
      </c>
      <c r="O68" s="515">
        <f t="shared" si="8"/>
        <v>17.086330935251798</v>
      </c>
      <c r="P68" s="519">
        <f t="shared" si="9"/>
        <v>17.766323024054984</v>
      </c>
      <c r="Q68" s="521"/>
    </row>
    <row r="69" spans="1:17">
      <c r="A69" s="99" t="s">
        <v>55</v>
      </c>
      <c r="B69" s="223">
        <f t="shared" si="12"/>
        <v>80.746998666073807</v>
      </c>
      <c r="C69" s="204">
        <f t="shared" si="12"/>
        <v>75.829618623080734</v>
      </c>
      <c r="D69" s="204">
        <f t="shared" si="12"/>
        <v>78.239499553172479</v>
      </c>
      <c r="E69" s="224">
        <f t="shared" si="12"/>
        <v>78.592878592878591</v>
      </c>
      <c r="F69" s="223">
        <f t="shared" si="12"/>
        <v>77.672820953198794</v>
      </c>
      <c r="G69" s="204">
        <f t="shared" si="12"/>
        <v>81.108829568788494</v>
      </c>
      <c r="H69" s="204">
        <f t="shared" si="12"/>
        <v>78.327922077922068</v>
      </c>
      <c r="I69" s="204">
        <f t="shared" si="12"/>
        <v>79.860031104199066</v>
      </c>
      <c r="J69" s="515">
        <f t="shared" si="12"/>
        <v>80.199203187251001</v>
      </c>
      <c r="K69" s="515">
        <f t="shared" si="6"/>
        <v>81.988527724665389</v>
      </c>
      <c r="L69" s="516">
        <v>47</v>
      </c>
      <c r="M69" s="515">
        <f t="shared" si="13"/>
        <v>83.013293943870011</v>
      </c>
      <c r="N69" s="517">
        <f t="shared" si="7"/>
        <v>83.035388544326892</v>
      </c>
      <c r="O69" s="515">
        <f t="shared" si="8"/>
        <v>82.302158273381295</v>
      </c>
      <c r="P69" s="515">
        <f t="shared" si="9"/>
        <v>82.130584192439855</v>
      </c>
      <c r="Q69" s="518"/>
    </row>
    <row r="70" spans="1:17">
      <c r="A70" s="103" t="s">
        <v>149</v>
      </c>
      <c r="B70" s="223">
        <f t="shared" si="12"/>
        <v>27.212094264117386</v>
      </c>
      <c r="C70" s="204">
        <f t="shared" si="12"/>
        <v>21.941555225359089</v>
      </c>
      <c r="D70" s="204">
        <f t="shared" si="12"/>
        <v>26.764968722073277</v>
      </c>
      <c r="E70" s="224">
        <f t="shared" si="12"/>
        <v>26.598026598026596</v>
      </c>
      <c r="F70" s="223">
        <f t="shared" si="12"/>
        <v>25.203950193215974</v>
      </c>
      <c r="G70" s="204">
        <f t="shared" si="12"/>
        <v>27.515400410677621</v>
      </c>
      <c r="H70" s="204">
        <f t="shared" si="12"/>
        <v>25.040584415584416</v>
      </c>
      <c r="I70" s="204">
        <f t="shared" si="12"/>
        <v>26.866251944012443</v>
      </c>
      <c r="J70" s="515">
        <f t="shared" si="12"/>
        <v>26.49402390438247</v>
      </c>
      <c r="K70" s="515">
        <f t="shared" si="6"/>
        <v>29.101338432122368</v>
      </c>
      <c r="L70" s="516">
        <v>16.600000000000001</v>
      </c>
      <c r="M70" s="515">
        <f t="shared" si="13"/>
        <v>28.618906942392908</v>
      </c>
      <c r="N70" s="517">
        <f t="shared" si="7"/>
        <v>29.33236045238964</v>
      </c>
      <c r="O70" s="515">
        <f t="shared" si="8"/>
        <v>28.453237410071942</v>
      </c>
      <c r="P70" s="515">
        <f t="shared" si="9"/>
        <v>28.350515463917525</v>
      </c>
      <c r="Q70" s="518"/>
    </row>
    <row r="71" spans="1:17">
      <c r="A71" s="101" t="s">
        <v>57</v>
      </c>
      <c r="B71" s="223">
        <f t="shared" si="12"/>
        <v>0.66696309470875947</v>
      </c>
      <c r="C71" s="204">
        <f t="shared" si="12"/>
        <v>0.44576523031203563</v>
      </c>
      <c r="D71" s="204">
        <f t="shared" si="12"/>
        <v>0.80428954423592491</v>
      </c>
      <c r="E71" s="224">
        <f t="shared" si="12"/>
        <v>0.81510081510081522</v>
      </c>
      <c r="F71" s="223">
        <f t="shared" si="12"/>
        <v>0.85873765564620008</v>
      </c>
      <c r="G71" s="204">
        <f t="shared" si="12"/>
        <v>0.90349075975359339</v>
      </c>
      <c r="H71" s="204">
        <f t="shared" si="12"/>
        <v>0.89285714285714279</v>
      </c>
      <c r="I71" s="204">
        <f t="shared" si="12"/>
        <v>0.89424572317262829</v>
      </c>
      <c r="J71" s="519">
        <f t="shared" si="12"/>
        <v>0.91633466135458164</v>
      </c>
      <c r="K71" s="519">
        <f t="shared" si="6"/>
        <v>0.91778202676864251</v>
      </c>
      <c r="L71" s="204">
        <v>0.6</v>
      </c>
      <c r="M71" s="519">
        <f t="shared" si="13"/>
        <v>0.96011816838995567</v>
      </c>
      <c r="N71" s="520">
        <f t="shared" si="7"/>
        <v>0.94855892010215248</v>
      </c>
      <c r="O71" s="519">
        <f t="shared" si="8"/>
        <v>1.0071942446043165</v>
      </c>
      <c r="P71" s="519">
        <f t="shared" si="9"/>
        <v>0.99656357388316141</v>
      </c>
      <c r="Q71" s="521"/>
    </row>
    <row r="72" spans="1:17">
      <c r="A72" s="101" t="s">
        <v>58</v>
      </c>
      <c r="B72" s="223">
        <f t="shared" si="12"/>
        <v>13.917296576256113</v>
      </c>
      <c r="C72" s="204">
        <f t="shared" si="12"/>
        <v>12.233779098563645</v>
      </c>
      <c r="D72" s="204">
        <f t="shared" si="12"/>
        <v>14.700625558534405</v>
      </c>
      <c r="E72" s="224">
        <f t="shared" si="12"/>
        <v>13.942513942513942</v>
      </c>
      <c r="F72" s="223">
        <f t="shared" si="12"/>
        <v>13.396307428080723</v>
      </c>
      <c r="G72" s="204">
        <f t="shared" si="12"/>
        <v>14.989733059548255</v>
      </c>
      <c r="H72" s="204">
        <f t="shared" si="12"/>
        <v>12.662337662337661</v>
      </c>
      <c r="I72" s="204">
        <f t="shared" si="12"/>
        <v>13.491446345256611</v>
      </c>
      <c r="J72" s="519">
        <f t="shared" si="12"/>
        <v>13.386454183266933</v>
      </c>
      <c r="K72" s="519">
        <f t="shared" si="6"/>
        <v>15.143403441682601</v>
      </c>
      <c r="L72" s="204">
        <v>10.4</v>
      </c>
      <c r="M72" s="519">
        <f t="shared" si="13"/>
        <v>13.995568685376661</v>
      </c>
      <c r="N72" s="520">
        <f t="shared" si="7"/>
        <v>15.031010580080261</v>
      </c>
      <c r="O72" s="519">
        <f t="shared" si="8"/>
        <v>14.424460431654676</v>
      </c>
      <c r="P72" s="519">
        <f t="shared" si="9"/>
        <v>13.470790378006873</v>
      </c>
      <c r="Q72" s="521"/>
    </row>
    <row r="73" spans="1:17">
      <c r="A73" s="101" t="s">
        <v>12</v>
      </c>
      <c r="B73" s="223">
        <f t="shared" si="12"/>
        <v>13.205869275233436</v>
      </c>
      <c r="C73" s="204">
        <f t="shared" si="12"/>
        <v>9.0143635463100544</v>
      </c>
      <c r="D73" s="204">
        <f t="shared" si="12"/>
        <v>10.94727435210009</v>
      </c>
      <c r="E73" s="224">
        <f t="shared" si="12"/>
        <v>12.012012012012011</v>
      </c>
      <c r="F73" s="223">
        <f t="shared" si="12"/>
        <v>10.991841992271361</v>
      </c>
      <c r="G73" s="204">
        <f t="shared" si="12"/>
        <v>11.622176591375769</v>
      </c>
      <c r="H73" s="204">
        <f t="shared" si="12"/>
        <v>11.48538961038961</v>
      </c>
      <c r="I73" s="204">
        <f t="shared" si="12"/>
        <v>12.480559875583204</v>
      </c>
      <c r="J73" s="519">
        <f t="shared" si="12"/>
        <v>12.151394422310757</v>
      </c>
      <c r="K73" s="519">
        <f t="shared" si="6"/>
        <v>13.001912045889103</v>
      </c>
      <c r="L73" s="204">
        <v>5.7</v>
      </c>
      <c r="M73" s="519">
        <f t="shared" si="13"/>
        <v>13.663220088626293</v>
      </c>
      <c r="N73" s="520">
        <f t="shared" si="7"/>
        <v>13.352790952207224</v>
      </c>
      <c r="O73" s="519">
        <f t="shared" si="8"/>
        <v>13.02158273381295</v>
      </c>
      <c r="P73" s="519">
        <f t="shared" si="9"/>
        <v>13.883161512027492</v>
      </c>
      <c r="Q73" s="521"/>
    </row>
    <row r="74" spans="1:17">
      <c r="A74" s="99" t="s">
        <v>150</v>
      </c>
      <c r="B74" s="223">
        <f t="shared" si="12"/>
        <v>53.712761227212091</v>
      </c>
      <c r="C74" s="204">
        <f t="shared" si="12"/>
        <v>53.491827637444281</v>
      </c>
      <c r="D74" s="204">
        <f t="shared" si="12"/>
        <v>51.697944593386957</v>
      </c>
      <c r="E74" s="224">
        <f t="shared" si="12"/>
        <v>52.166452166452174</v>
      </c>
      <c r="F74" s="223">
        <f t="shared" si="12"/>
        <v>52.468870759982821</v>
      </c>
      <c r="G74" s="204">
        <f t="shared" si="12"/>
        <v>53.593429158110887</v>
      </c>
      <c r="H74" s="204">
        <f t="shared" si="12"/>
        <v>53.287337662337663</v>
      </c>
      <c r="I74" s="204">
        <f t="shared" si="12"/>
        <v>52.993779160186627</v>
      </c>
      <c r="J74" s="515">
        <f t="shared" si="12"/>
        <v>53.705179282868521</v>
      </c>
      <c r="K74" s="515">
        <f t="shared" si="6"/>
        <v>52.887189292543027</v>
      </c>
      <c r="L74" s="516">
        <v>30.4</v>
      </c>
      <c r="M74" s="515">
        <f t="shared" si="13"/>
        <v>54.394387001477106</v>
      </c>
      <c r="N74" s="517">
        <f t="shared" si="7"/>
        <v>53.703028091937242</v>
      </c>
      <c r="O74" s="515">
        <f t="shared" si="8"/>
        <v>53.884892086330936</v>
      </c>
      <c r="P74" s="515">
        <f t="shared" si="9"/>
        <v>53.814432989690722</v>
      </c>
      <c r="Q74" s="518"/>
    </row>
    <row r="75" spans="1:17">
      <c r="A75" s="101" t="s">
        <v>63</v>
      </c>
      <c r="B75" s="223">
        <f t="shared" si="12"/>
        <v>6.536238328145842</v>
      </c>
      <c r="C75" s="204">
        <f t="shared" si="12"/>
        <v>2.7241208519068847</v>
      </c>
      <c r="D75" s="204">
        <f t="shared" si="12"/>
        <v>3.1724754244861488</v>
      </c>
      <c r="E75" s="224">
        <f t="shared" si="12"/>
        <v>3.8610038610038608</v>
      </c>
      <c r="F75" s="223">
        <f t="shared" si="12"/>
        <v>4.1219407471017604</v>
      </c>
      <c r="G75" s="204">
        <f t="shared" si="12"/>
        <v>4.476386036960986</v>
      </c>
      <c r="H75" s="204">
        <f t="shared" si="12"/>
        <v>4.4642857142857144</v>
      </c>
      <c r="I75" s="204">
        <f t="shared" si="12"/>
        <v>4.7433903576982894</v>
      </c>
      <c r="J75" s="519">
        <f t="shared" si="12"/>
        <v>4.7011952191235062</v>
      </c>
      <c r="K75" s="519">
        <f t="shared" si="6"/>
        <v>5.047801147227533</v>
      </c>
      <c r="L75" s="204">
        <v>1.4000000000000001</v>
      </c>
      <c r="M75" s="519">
        <f t="shared" si="13"/>
        <v>5.2806499261447568</v>
      </c>
      <c r="N75" s="520">
        <f t="shared" si="7"/>
        <v>5.0711419190076619</v>
      </c>
      <c r="O75" s="519">
        <f t="shared" si="8"/>
        <v>5.1438848920863309</v>
      </c>
      <c r="P75" s="519">
        <f t="shared" si="9"/>
        <v>5.5670103092783512</v>
      </c>
      <c r="Q75" s="521"/>
    </row>
    <row r="76" spans="1:17">
      <c r="A76" s="101" t="s">
        <v>65</v>
      </c>
      <c r="B76" s="223">
        <f t="shared" si="12"/>
        <v>1.7785682525566917</v>
      </c>
      <c r="C76" s="204">
        <f t="shared" si="12"/>
        <v>2.2783556215948488</v>
      </c>
      <c r="D76" s="204">
        <f t="shared" si="12"/>
        <v>2.2341376228775691</v>
      </c>
      <c r="E76" s="224">
        <f t="shared" si="12"/>
        <v>2.0592020592020592</v>
      </c>
      <c r="F76" s="223">
        <f t="shared" si="12"/>
        <v>2.0180334907685702</v>
      </c>
      <c r="G76" s="204">
        <f t="shared" si="12"/>
        <v>2.6283367556468171</v>
      </c>
      <c r="H76" s="204">
        <f t="shared" si="12"/>
        <v>2.2727272727272729</v>
      </c>
      <c r="I76" s="204">
        <f t="shared" si="12"/>
        <v>2.2550544323483668</v>
      </c>
      <c r="J76" s="519">
        <f t="shared" si="12"/>
        <v>2.2709163346613543</v>
      </c>
      <c r="K76" s="519">
        <f t="shared" si="6"/>
        <v>2.5239005736137665</v>
      </c>
      <c r="L76" s="204">
        <v>1.3</v>
      </c>
      <c r="M76" s="519">
        <f t="shared" si="13"/>
        <v>2.6218611521418018</v>
      </c>
      <c r="N76" s="520">
        <f t="shared" si="7"/>
        <v>2.9186428310835462</v>
      </c>
      <c r="O76" s="519">
        <f t="shared" si="8"/>
        <v>3.2733812949640293</v>
      </c>
      <c r="P76" s="519">
        <f t="shared" si="9"/>
        <v>3.0927835051546393</v>
      </c>
      <c r="Q76" s="521"/>
    </row>
    <row r="77" spans="1:17">
      <c r="A77" s="101" t="s">
        <v>66</v>
      </c>
      <c r="B77" s="223">
        <f t="shared" si="12"/>
        <v>3.9573143619386393</v>
      </c>
      <c r="C77" s="204">
        <f t="shared" si="12"/>
        <v>4.4081228330856863</v>
      </c>
      <c r="D77" s="204">
        <f t="shared" si="12"/>
        <v>4.1554959785522785</v>
      </c>
      <c r="E77" s="224">
        <f t="shared" si="12"/>
        <v>4.5474045474045477</v>
      </c>
      <c r="F77" s="223">
        <f t="shared" si="12"/>
        <v>4.2078145126663804</v>
      </c>
      <c r="G77" s="204">
        <f t="shared" si="12"/>
        <v>4.1889117043121153</v>
      </c>
      <c r="H77" s="204">
        <f t="shared" si="12"/>
        <v>4.220779220779221</v>
      </c>
      <c r="I77" s="204">
        <f t="shared" si="12"/>
        <v>4.1213063763608089</v>
      </c>
      <c r="J77" s="519">
        <f t="shared" si="12"/>
        <v>4.1035856573705178</v>
      </c>
      <c r="K77" s="519">
        <f t="shared" si="6"/>
        <v>4.1682600382409181</v>
      </c>
      <c r="L77" s="204">
        <v>2.8000000000000003</v>
      </c>
      <c r="M77" s="519">
        <f t="shared" si="13"/>
        <v>5.1329394387001477</v>
      </c>
      <c r="N77" s="520">
        <f t="shared" si="7"/>
        <v>3.8672017511856982</v>
      </c>
      <c r="O77" s="519">
        <f t="shared" si="8"/>
        <v>3.9928057553956835</v>
      </c>
      <c r="P77" s="519">
        <f t="shared" si="9"/>
        <v>3.7457044673539519</v>
      </c>
      <c r="Q77" s="521"/>
    </row>
    <row r="78" spans="1:17">
      <c r="A78" s="101" t="s">
        <v>67</v>
      </c>
      <c r="B78" s="223">
        <f t="shared" si="12"/>
        <v>13.072476656291684</v>
      </c>
      <c r="C78" s="204">
        <f t="shared" si="12"/>
        <v>14.21495789995047</v>
      </c>
      <c r="D78" s="204">
        <f t="shared" si="12"/>
        <v>13.360142984807863</v>
      </c>
      <c r="E78" s="224">
        <f t="shared" si="12"/>
        <v>13.299013299013298</v>
      </c>
      <c r="F78" s="223">
        <f t="shared" si="12"/>
        <v>13.009875483039931</v>
      </c>
      <c r="G78" s="204">
        <f t="shared" si="12"/>
        <v>12.525667351129362</v>
      </c>
      <c r="H78" s="204">
        <f t="shared" si="12"/>
        <v>12.702922077922077</v>
      </c>
      <c r="I78" s="204">
        <f t="shared" si="12"/>
        <v>12.363919129082426</v>
      </c>
      <c r="J78" s="519">
        <f t="shared" si="12"/>
        <v>12.629482071713147</v>
      </c>
      <c r="K78" s="519">
        <f t="shared" si="6"/>
        <v>11.931166347992352</v>
      </c>
      <c r="L78" s="204">
        <v>4.9000000000000004</v>
      </c>
      <c r="M78" s="519">
        <f t="shared" si="13"/>
        <v>11.632200886262925</v>
      </c>
      <c r="N78" s="520">
        <f t="shared" si="7"/>
        <v>12.65961327982488</v>
      </c>
      <c r="O78" s="519">
        <f t="shared" si="8"/>
        <v>11.402877697841726</v>
      </c>
      <c r="P78" s="519">
        <f t="shared" si="9"/>
        <v>11.134020618556702</v>
      </c>
      <c r="Q78" s="521"/>
    </row>
    <row r="79" spans="1:17">
      <c r="A79" s="101" t="s">
        <v>151</v>
      </c>
      <c r="B79" s="223">
        <f t="shared" si="12"/>
        <v>4.001778568252556</v>
      </c>
      <c r="C79" s="204">
        <f t="shared" si="12"/>
        <v>4.4081228330856863</v>
      </c>
      <c r="D79" s="204">
        <f t="shared" si="12"/>
        <v>4.1554959785522785</v>
      </c>
      <c r="E79" s="224">
        <f t="shared" si="12"/>
        <v>4.2900042900042905</v>
      </c>
      <c r="F79" s="223">
        <f t="shared" si="12"/>
        <v>4.25075139544869</v>
      </c>
      <c r="G79" s="204">
        <f t="shared" si="12"/>
        <v>4.3942505133470231</v>
      </c>
      <c r="H79" s="204">
        <f t="shared" si="12"/>
        <v>4.383116883116883</v>
      </c>
      <c r="I79" s="204">
        <f t="shared" si="12"/>
        <v>4.5101088646967336</v>
      </c>
      <c r="J79" s="519">
        <f t="shared" si="12"/>
        <v>4.5418326693227087</v>
      </c>
      <c r="K79" s="519">
        <f t="shared" si="6"/>
        <v>4.4741873804971322</v>
      </c>
      <c r="L79" s="204">
        <v>2</v>
      </c>
      <c r="M79" s="519">
        <f t="shared" si="13"/>
        <v>4.4682422451994093</v>
      </c>
      <c r="N79" s="520">
        <f t="shared" si="7"/>
        <v>4.2685151404596864</v>
      </c>
      <c r="O79" s="519">
        <f t="shared" si="8"/>
        <v>4.5323741007194247</v>
      </c>
      <c r="P79" s="519">
        <f t="shared" si="9"/>
        <v>4.6048109965635744</v>
      </c>
      <c r="Q79" s="521"/>
    </row>
    <row r="80" spans="1:17">
      <c r="A80" s="101" t="s">
        <v>152</v>
      </c>
      <c r="B80" s="223">
        <f t="shared" si="12"/>
        <v>5.9137394397510006</v>
      </c>
      <c r="C80" s="204">
        <f t="shared" si="12"/>
        <v>6.1416542842991575</v>
      </c>
      <c r="D80" s="204">
        <f t="shared" si="12"/>
        <v>5.7640750670241285</v>
      </c>
      <c r="E80" s="224">
        <f t="shared" si="12"/>
        <v>5.4912054912054913</v>
      </c>
      <c r="F80" s="223">
        <f t="shared" si="12"/>
        <v>5.5388578789179901</v>
      </c>
      <c r="G80" s="204">
        <f t="shared" si="12"/>
        <v>5.9958932238193023</v>
      </c>
      <c r="H80" s="204">
        <f t="shared" si="12"/>
        <v>6.087662337662338</v>
      </c>
      <c r="I80" s="204">
        <f t="shared" si="12"/>
        <v>5.9486780715396579</v>
      </c>
      <c r="J80" s="519">
        <f t="shared" si="12"/>
        <v>6.0159362549800797</v>
      </c>
      <c r="K80" s="519">
        <f t="shared" si="6"/>
        <v>5.8891013384321225</v>
      </c>
      <c r="L80" s="204">
        <v>2.9000000000000004</v>
      </c>
      <c r="M80" s="519">
        <f t="shared" si="13"/>
        <v>6.3146233382570163</v>
      </c>
      <c r="N80" s="520">
        <f t="shared" si="7"/>
        <v>6.2750820868296238</v>
      </c>
      <c r="O80" s="519">
        <f t="shared" si="8"/>
        <v>6.1151079136690649</v>
      </c>
      <c r="P80" s="519">
        <f t="shared" si="9"/>
        <v>6.666666666666667</v>
      </c>
      <c r="Q80" s="521"/>
    </row>
    <row r="81" spans="1:17">
      <c r="A81" s="101" t="s">
        <v>153</v>
      </c>
      <c r="B81" s="223">
        <f t="shared" si="12"/>
        <v>6.7140951534015114</v>
      </c>
      <c r="C81" s="204">
        <f t="shared" si="12"/>
        <v>6.7855373947498761</v>
      </c>
      <c r="D81" s="204">
        <f t="shared" si="12"/>
        <v>7.104557640750671</v>
      </c>
      <c r="E81" s="224">
        <f t="shared" si="12"/>
        <v>6.3492063492063489</v>
      </c>
      <c r="F81" s="223">
        <f t="shared" si="12"/>
        <v>6.3546586517818806</v>
      </c>
      <c r="G81" s="204">
        <f t="shared" si="12"/>
        <v>6.1190965092402463</v>
      </c>
      <c r="H81" s="204">
        <f t="shared" si="12"/>
        <v>6.6152597402597406</v>
      </c>
      <c r="I81" s="204">
        <f t="shared" si="12"/>
        <v>6.0264385692068423</v>
      </c>
      <c r="J81" s="519">
        <f t="shared" si="12"/>
        <v>6.3745019920318722</v>
      </c>
      <c r="K81" s="519">
        <f t="shared" si="6"/>
        <v>5.8508604206500952</v>
      </c>
      <c r="L81" s="204">
        <v>5.8999999999999995</v>
      </c>
      <c r="M81" s="519">
        <f t="shared" si="13"/>
        <v>6.2776957163958649</v>
      </c>
      <c r="N81" s="520">
        <f t="shared" si="7"/>
        <v>6.2021160160525355</v>
      </c>
      <c r="O81" s="519">
        <f t="shared" si="8"/>
        <v>6.5107913669064752</v>
      </c>
      <c r="P81" s="519">
        <f t="shared" si="9"/>
        <v>6.8728522336769764</v>
      </c>
      <c r="Q81" s="521"/>
    </row>
    <row r="82" spans="1:17">
      <c r="A82" s="101" t="s">
        <v>15</v>
      </c>
      <c r="B82" s="223">
        <f t="shared" ref="B82:J86" si="14">B38/B$47*100</f>
        <v>6.1805246776345042</v>
      </c>
      <c r="C82" s="204">
        <f t="shared" si="14"/>
        <v>2.3774145616641902</v>
      </c>
      <c r="D82" s="204">
        <f t="shared" si="14"/>
        <v>2.7256478999106344</v>
      </c>
      <c r="E82" s="224">
        <f t="shared" si="14"/>
        <v>4.7190047190047189</v>
      </c>
      <c r="F82" s="223">
        <f t="shared" si="14"/>
        <v>6.3117217689995702</v>
      </c>
      <c r="G82" s="204">
        <f t="shared" si="14"/>
        <v>6.0369609856262834</v>
      </c>
      <c r="H82" s="204">
        <f t="shared" si="14"/>
        <v>5.9659090909090908</v>
      </c>
      <c r="I82" s="204">
        <f t="shared" si="14"/>
        <v>5.7153965785381029</v>
      </c>
      <c r="J82" s="519">
        <f t="shared" si="14"/>
        <v>6.1752988047808763</v>
      </c>
      <c r="K82" s="519">
        <f t="shared" si="6"/>
        <v>5.9273422562141489</v>
      </c>
      <c r="L82" s="204">
        <v>3.8</v>
      </c>
      <c r="M82" s="519">
        <f t="shared" ref="M82:M84" si="15">M38/M$47*100</f>
        <v>5.7237813884785815</v>
      </c>
      <c r="N82" s="520">
        <f t="shared" si="7"/>
        <v>5.9102517329441806</v>
      </c>
      <c r="O82" s="519">
        <f t="shared" si="8"/>
        <v>5.8273381294964031</v>
      </c>
      <c r="P82" s="519">
        <f t="shared" si="9"/>
        <v>5.5670103092783512</v>
      </c>
      <c r="Q82" s="521"/>
    </row>
    <row r="83" spans="1:17">
      <c r="A83" s="101" t="s">
        <v>154</v>
      </c>
      <c r="B83" s="223">
        <f t="shared" si="14"/>
        <v>2.0898176967541127</v>
      </c>
      <c r="C83" s="204">
        <f t="shared" si="14"/>
        <v>2.1792966815255075</v>
      </c>
      <c r="D83" s="204">
        <f t="shared" si="14"/>
        <v>1.7426273458445041</v>
      </c>
      <c r="E83" s="224">
        <f t="shared" si="14"/>
        <v>1.8876018876018876</v>
      </c>
      <c r="F83" s="223">
        <f t="shared" si="14"/>
        <v>1.7604121940747102</v>
      </c>
      <c r="G83" s="204">
        <f t="shared" si="14"/>
        <v>2.299794661190965</v>
      </c>
      <c r="H83" s="204">
        <f t="shared" si="14"/>
        <v>1.7045454545454544</v>
      </c>
      <c r="I83" s="204">
        <f t="shared" si="14"/>
        <v>2.1772939346811819</v>
      </c>
      <c r="J83" s="519">
        <f t="shared" si="14"/>
        <v>2.0717131474103585</v>
      </c>
      <c r="K83" s="519">
        <f t="shared" si="6"/>
        <v>2.2562141491395793</v>
      </c>
      <c r="L83" s="204">
        <v>1.0999999999999999</v>
      </c>
      <c r="M83" s="519">
        <f t="shared" si="15"/>
        <v>1.9940915805022157</v>
      </c>
      <c r="N83" s="520">
        <f t="shared" si="7"/>
        <v>1.8606348048157608</v>
      </c>
      <c r="O83" s="519">
        <f t="shared" si="8"/>
        <v>2.3381294964028778</v>
      </c>
      <c r="P83" s="519">
        <f t="shared" si="9"/>
        <v>1.6494845360824744</v>
      </c>
      <c r="Q83" s="521"/>
    </row>
    <row r="84" spans="1:17">
      <c r="A84" s="101" t="s">
        <v>73</v>
      </c>
      <c r="B84" s="223">
        <f t="shared" si="14"/>
        <v>4.757670075589151</v>
      </c>
      <c r="C84" s="204">
        <f t="shared" si="14"/>
        <v>5.2996532937097571</v>
      </c>
      <c r="D84" s="204">
        <f t="shared" si="14"/>
        <v>5.0938337801608577</v>
      </c>
      <c r="E84" s="224">
        <f t="shared" si="14"/>
        <v>4.89060489060489</v>
      </c>
      <c r="F84" s="223">
        <f t="shared" si="14"/>
        <v>4.8948046371833405</v>
      </c>
      <c r="G84" s="204">
        <f t="shared" si="14"/>
        <v>4.9281314168377826</v>
      </c>
      <c r="H84" s="204">
        <f t="shared" si="14"/>
        <v>4.9107142857142856</v>
      </c>
      <c r="I84" s="204">
        <f t="shared" si="14"/>
        <v>5.0933125972006223</v>
      </c>
      <c r="J84" s="519">
        <f t="shared" si="14"/>
        <v>4.8605577689243029</v>
      </c>
      <c r="K84" s="519">
        <f t="shared" si="6"/>
        <v>4.8183556405353727</v>
      </c>
      <c r="L84" s="204">
        <v>4.3</v>
      </c>
      <c r="M84" s="519">
        <f t="shared" si="15"/>
        <v>4.9852289512555386</v>
      </c>
      <c r="N84" s="520">
        <f t="shared" si="7"/>
        <v>4.7427946005107628</v>
      </c>
      <c r="O84" s="519">
        <f t="shared" si="8"/>
        <v>4.7482014388489207</v>
      </c>
      <c r="P84" s="519">
        <f t="shared" si="9"/>
        <v>4.9140893470790381</v>
      </c>
      <c r="Q84" s="521"/>
    </row>
    <row r="85" spans="1:17" ht="18">
      <c r="A85" s="104"/>
      <c r="B85" s="223"/>
      <c r="C85" s="204"/>
      <c r="D85" s="204"/>
      <c r="E85" s="224"/>
      <c r="F85" s="223"/>
      <c r="G85" s="204"/>
      <c r="H85" s="204"/>
      <c r="I85" s="204"/>
      <c r="J85" s="519"/>
      <c r="K85" s="519"/>
      <c r="L85" s="204"/>
      <c r="M85" s="519"/>
      <c r="N85" s="517"/>
      <c r="O85" s="515"/>
      <c r="P85" s="519"/>
      <c r="Q85" s="521"/>
    </row>
    <row r="86" spans="1:17" ht="15.5" thickBot="1">
      <c r="A86" s="99" t="s">
        <v>75</v>
      </c>
      <c r="B86" s="225">
        <f t="shared" si="14"/>
        <v>9.2930191196087151</v>
      </c>
      <c r="C86" s="226">
        <f t="shared" si="14"/>
        <v>9.8563645368994557</v>
      </c>
      <c r="D86" s="226">
        <f t="shared" si="14"/>
        <v>8.8918677390527243</v>
      </c>
      <c r="E86" s="227">
        <f t="shared" si="14"/>
        <v>9.0090090090090094</v>
      </c>
      <c r="F86" s="225">
        <f t="shared" si="14"/>
        <v>9.2314297981966504</v>
      </c>
      <c r="G86" s="226">
        <f t="shared" si="14"/>
        <v>10.349075975359343</v>
      </c>
      <c r="H86" s="226">
        <f t="shared" si="14"/>
        <v>7.7922077922077921</v>
      </c>
      <c r="I86" s="226">
        <f t="shared" si="14"/>
        <v>9.4867807153965789</v>
      </c>
      <c r="J86" s="522">
        <f>J42/J$47*100</f>
        <v>9.1633466135458175</v>
      </c>
      <c r="K86" s="522">
        <f t="shared" si="6"/>
        <v>9.9808795411089868</v>
      </c>
      <c r="L86" s="226">
        <v>7.7</v>
      </c>
      <c r="M86" s="522">
        <f>M42/M$47*100</f>
        <v>8.2717872968980792</v>
      </c>
      <c r="N86" s="523">
        <f>N42/$N$47*100</f>
        <v>8.0262677854797513</v>
      </c>
      <c r="O86" s="522">
        <f t="shared" si="8"/>
        <v>8.7769784172661875</v>
      </c>
      <c r="P86" s="522">
        <f t="shared" si="9"/>
        <v>7.9381443298969065</v>
      </c>
      <c r="Q86" s="524"/>
    </row>
  </sheetData>
  <mergeCells count="6">
    <mergeCell ref="W1:Z1"/>
    <mergeCell ref="N1:Q1"/>
    <mergeCell ref="B1:E1"/>
    <mergeCell ref="F1:I1"/>
    <mergeCell ref="J1:M1"/>
    <mergeCell ref="R1:V1"/>
  </mergeCells>
  <phoneticPr fontId="66" type="noConversion"/>
  <conditionalFormatting sqref="B47:H47">
    <cfRule type="cellIs" dxfId="4" priority="21" stopIfTrue="1" operator="lessThan">
      <formula>0</formula>
    </cfRule>
  </conditionalFormatting>
  <conditionalFormatting sqref="B3:Y42">
    <cfRule type="cellIs" dxfId="3" priority="3" operator="lessThan">
      <formula>0</formula>
    </cfRule>
  </conditionalFormatting>
  <conditionalFormatting sqref="J47:Q47">
    <cfRule type="cellIs" dxfId="2" priority="13" stopIfTrue="1" operator="lessThan">
      <formula>0</formula>
    </cfRule>
  </conditionalFormatting>
  <conditionalFormatting sqref="AA3:AA4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V3:V4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H55"/>
  <sheetViews>
    <sheetView showGridLines="0" zoomScale="99" zoomScaleNormal="99" workbookViewId="0">
      <pane xSplit="5" ySplit="15" topLeftCell="DW16" activePane="bottomRight" state="frozen"/>
      <selection pane="topRight" activeCell="F1" sqref="F1"/>
      <selection pane="bottomLeft" activeCell="A16" sqref="A16"/>
      <selection pane="bottomRight" activeCell="BI6" sqref="BH6:BI6"/>
    </sheetView>
  </sheetViews>
  <sheetFormatPr defaultColWidth="9.08984375" defaultRowHeight="14.75"/>
  <cols>
    <col min="1" max="1" width="57.08984375" bestFit="1" customWidth="1"/>
    <col min="2" max="2" width="7.7265625" bestFit="1" customWidth="1"/>
    <col min="3" max="4" width="8.08984375" bestFit="1" customWidth="1"/>
    <col min="5" max="5" width="8.26953125" bestFit="1" customWidth="1"/>
    <col min="6" max="6" width="8.08984375" bestFit="1" customWidth="1"/>
    <col min="7" max="8" width="8.453125" bestFit="1" customWidth="1"/>
    <col min="9" max="9" width="8.7265625" bestFit="1" customWidth="1"/>
    <col min="10" max="10" width="8.08984375" bestFit="1" customWidth="1"/>
    <col min="11" max="12" width="8.453125" bestFit="1" customWidth="1"/>
    <col min="13" max="13" width="8.7265625" bestFit="1" customWidth="1"/>
    <col min="14" max="14" width="8.26953125" bestFit="1" customWidth="1"/>
    <col min="15" max="17" width="8.7265625" bestFit="1" customWidth="1"/>
    <col min="18" max="18" width="8.08984375" bestFit="1" customWidth="1"/>
    <col min="19" max="20" width="8.453125" bestFit="1" customWidth="1"/>
    <col min="21" max="21" width="8.7265625" bestFit="1" customWidth="1"/>
    <col min="22" max="22" width="8.08984375" bestFit="1" customWidth="1"/>
    <col min="23" max="24" width="8.453125" bestFit="1" customWidth="1"/>
    <col min="25" max="25" width="8.7265625" bestFit="1" customWidth="1"/>
    <col min="26" max="26" width="8.08984375" bestFit="1" customWidth="1"/>
    <col min="27" max="28" width="8.453125" bestFit="1" customWidth="1"/>
    <col min="29" max="29" width="8.7265625" bestFit="1" customWidth="1"/>
    <col min="30" max="30" width="8.08984375" bestFit="1" customWidth="1"/>
    <col min="31" max="32" width="8.453125" bestFit="1" customWidth="1"/>
    <col min="33" max="33" width="8.7265625" bestFit="1" customWidth="1"/>
    <col min="34" max="34" width="8.08984375" bestFit="1" customWidth="1"/>
    <col min="35" max="36" width="8.453125" bestFit="1" customWidth="1"/>
    <col min="37" max="37" width="8.7265625" bestFit="1" customWidth="1"/>
    <col min="38" max="38" width="8.453125" bestFit="1" customWidth="1"/>
    <col min="39" max="40" width="9" bestFit="1" customWidth="1"/>
    <col min="41" max="41" width="9.08984375" bestFit="1" customWidth="1"/>
    <col min="42" max="42" width="8.08984375" bestFit="1" customWidth="1"/>
    <col min="43" max="44" width="8.453125" bestFit="1" customWidth="1"/>
    <col min="47" max="47" width="9.08984375" style="220"/>
    <col min="57" max="57" width="9.08984375" style="279"/>
    <col min="58" max="58" width="6.54296875" customWidth="1"/>
    <col min="64" max="64" width="8.7265625" bestFit="1" customWidth="1"/>
    <col min="65" max="65" width="8.1796875" bestFit="1" customWidth="1"/>
    <col min="66" max="66" width="8.7265625" bestFit="1" customWidth="1"/>
    <col min="68" max="68" width="55.08984375" bestFit="1" customWidth="1"/>
    <col min="127" max="222" width="9.08984375" customWidth="1"/>
  </cols>
  <sheetData>
    <row r="1" spans="1:137" ht="15.5" thickBot="1">
      <c r="B1" s="494" t="s">
        <v>317</v>
      </c>
      <c r="C1" s="494" t="s">
        <v>318</v>
      </c>
      <c r="D1" s="494" t="s">
        <v>319</v>
      </c>
      <c r="E1" s="494" t="s">
        <v>320</v>
      </c>
      <c r="F1" s="494" t="s">
        <v>321</v>
      </c>
      <c r="G1" s="494" t="s">
        <v>322</v>
      </c>
      <c r="H1" s="494" t="s">
        <v>323</v>
      </c>
      <c r="I1" s="494" t="s">
        <v>324</v>
      </c>
      <c r="J1" s="494" t="s">
        <v>325</v>
      </c>
      <c r="K1" s="494" t="s">
        <v>326</v>
      </c>
      <c r="L1" s="494" t="s">
        <v>327</v>
      </c>
      <c r="M1" s="494" t="s">
        <v>328</v>
      </c>
      <c r="N1" s="494" t="s">
        <v>329</v>
      </c>
      <c r="O1" s="494" t="s">
        <v>330</v>
      </c>
      <c r="P1" s="494" t="s">
        <v>331</v>
      </c>
      <c r="Q1" s="494" t="s">
        <v>332</v>
      </c>
      <c r="R1" s="494" t="s">
        <v>333</v>
      </c>
      <c r="S1" s="494" t="s">
        <v>334</v>
      </c>
      <c r="T1" s="494" t="s">
        <v>335</v>
      </c>
      <c r="U1" s="494" t="s">
        <v>336</v>
      </c>
      <c r="V1" s="494" t="s">
        <v>337</v>
      </c>
      <c r="W1" s="494" t="s">
        <v>338</v>
      </c>
      <c r="X1" s="494" t="s">
        <v>339</v>
      </c>
      <c r="Y1" s="494" t="s">
        <v>340</v>
      </c>
      <c r="Z1" s="494" t="s">
        <v>341</v>
      </c>
      <c r="AA1" s="494" t="s">
        <v>342</v>
      </c>
      <c r="AB1" s="494" t="s">
        <v>343</v>
      </c>
      <c r="AC1" s="494" t="s">
        <v>344</v>
      </c>
      <c r="AD1" s="494" t="s">
        <v>345</v>
      </c>
      <c r="AE1" s="494" t="s">
        <v>346</v>
      </c>
      <c r="AF1" s="494" t="s">
        <v>347</v>
      </c>
      <c r="AG1" s="494" t="s">
        <v>348</v>
      </c>
      <c r="AH1" s="494" t="s">
        <v>349</v>
      </c>
      <c r="AI1" s="494" t="s">
        <v>350</v>
      </c>
      <c r="AJ1" s="494" t="s">
        <v>351</v>
      </c>
      <c r="AK1" s="494" t="s">
        <v>352</v>
      </c>
      <c r="AL1" s="494" t="s">
        <v>353</v>
      </c>
      <c r="AM1" s="494" t="s">
        <v>354</v>
      </c>
      <c r="AN1" s="494" t="s">
        <v>355</v>
      </c>
      <c r="AO1" s="494" t="s">
        <v>356</v>
      </c>
      <c r="AP1" s="494" t="s">
        <v>357</v>
      </c>
      <c r="AQ1" s="494" t="s">
        <v>358</v>
      </c>
      <c r="AR1" s="494" t="s">
        <v>364</v>
      </c>
      <c r="AS1" s="494" t="s">
        <v>365</v>
      </c>
      <c r="AT1" s="494" t="s">
        <v>454</v>
      </c>
      <c r="AU1" s="494" t="s">
        <v>455</v>
      </c>
      <c r="AV1" s="494" t="s">
        <v>462</v>
      </c>
      <c r="AW1" s="494" t="s">
        <v>463</v>
      </c>
      <c r="AX1" s="494" t="s">
        <v>469</v>
      </c>
      <c r="AY1" s="494" t="s">
        <v>470</v>
      </c>
      <c r="AZ1" s="494" t="s">
        <v>477</v>
      </c>
      <c r="BA1" s="494" t="s">
        <v>478</v>
      </c>
      <c r="BB1" s="494" t="s">
        <v>741</v>
      </c>
      <c r="BC1" s="494" t="s">
        <v>742</v>
      </c>
      <c r="BD1" s="494" t="s">
        <v>746</v>
      </c>
      <c r="BE1" s="494" t="s">
        <v>747</v>
      </c>
      <c r="BF1" s="494" t="s">
        <v>755</v>
      </c>
      <c r="BG1" s="494" t="s">
        <v>756</v>
      </c>
      <c r="BH1" s="494" t="s">
        <v>757</v>
      </c>
      <c r="BI1" s="494" t="s">
        <v>758</v>
      </c>
      <c r="BJ1" s="494" t="s">
        <v>753</v>
      </c>
      <c r="BK1" s="494" t="s">
        <v>754</v>
      </c>
      <c r="BL1" s="494" t="s">
        <v>188</v>
      </c>
      <c r="BM1" s="494" t="s">
        <v>759</v>
      </c>
      <c r="BN1" s="494" t="s">
        <v>788</v>
      </c>
      <c r="BO1" s="649" t="s">
        <v>188</v>
      </c>
      <c r="BQ1" s="494" t="s">
        <v>317</v>
      </c>
      <c r="BR1" s="494" t="s">
        <v>318</v>
      </c>
      <c r="BS1" s="494" t="s">
        <v>319</v>
      </c>
      <c r="BT1" s="494" t="s">
        <v>320</v>
      </c>
      <c r="BU1" s="494" t="s">
        <v>321</v>
      </c>
      <c r="BV1" s="494" t="s">
        <v>322</v>
      </c>
      <c r="BW1" s="494" t="s">
        <v>323</v>
      </c>
      <c r="BX1" s="494" t="s">
        <v>324</v>
      </c>
      <c r="BY1" s="494" t="s">
        <v>325</v>
      </c>
      <c r="BZ1" s="494" t="s">
        <v>326</v>
      </c>
      <c r="CA1" s="494" t="s">
        <v>327</v>
      </c>
      <c r="CB1" s="494" t="s">
        <v>328</v>
      </c>
      <c r="CC1" s="494" t="s">
        <v>329</v>
      </c>
      <c r="CD1" s="494" t="s">
        <v>330</v>
      </c>
      <c r="CE1" s="494" t="s">
        <v>331</v>
      </c>
      <c r="CF1" s="494" t="s">
        <v>332</v>
      </c>
      <c r="CG1" s="494" t="s">
        <v>333</v>
      </c>
      <c r="CH1" s="494" t="s">
        <v>334</v>
      </c>
      <c r="CI1" s="494" t="s">
        <v>335</v>
      </c>
      <c r="CJ1" s="494" t="s">
        <v>336</v>
      </c>
      <c r="CK1" s="494" t="s">
        <v>337</v>
      </c>
      <c r="CL1" s="494" t="s">
        <v>338</v>
      </c>
      <c r="CM1" s="494" t="s">
        <v>339</v>
      </c>
      <c r="CN1" s="494" t="s">
        <v>340</v>
      </c>
      <c r="CO1" s="494" t="s">
        <v>341</v>
      </c>
      <c r="CP1" s="494" t="s">
        <v>342</v>
      </c>
      <c r="CQ1" s="494" t="s">
        <v>343</v>
      </c>
      <c r="CR1" s="494" t="s">
        <v>344</v>
      </c>
      <c r="CS1" s="494" t="s">
        <v>345</v>
      </c>
      <c r="CT1" s="494" t="s">
        <v>346</v>
      </c>
      <c r="CU1" s="494" t="s">
        <v>347</v>
      </c>
      <c r="CV1" s="494" t="s">
        <v>348</v>
      </c>
      <c r="CW1" s="494" t="s">
        <v>349</v>
      </c>
      <c r="CX1" s="494" t="s">
        <v>350</v>
      </c>
      <c r="CY1" s="494" t="s">
        <v>351</v>
      </c>
      <c r="CZ1" s="494" t="s">
        <v>352</v>
      </c>
      <c r="DA1" s="494" t="s">
        <v>353</v>
      </c>
      <c r="DB1" s="494" t="s">
        <v>354</v>
      </c>
      <c r="DC1" s="494" t="s">
        <v>355</v>
      </c>
      <c r="DD1" s="494" t="s">
        <v>356</v>
      </c>
      <c r="DE1" s="494" t="s">
        <v>357</v>
      </c>
      <c r="DF1" s="494" t="s">
        <v>358</v>
      </c>
      <c r="DG1" s="494" t="s">
        <v>364</v>
      </c>
      <c r="DH1" s="494" t="s">
        <v>365</v>
      </c>
      <c r="DI1" s="494" t="s">
        <v>454</v>
      </c>
      <c r="DJ1" s="494" t="s">
        <v>455</v>
      </c>
      <c r="DK1" s="494" t="s">
        <v>462</v>
      </c>
      <c r="DL1" s="494" t="s">
        <v>463</v>
      </c>
      <c r="DM1" s="494" t="s">
        <v>469</v>
      </c>
      <c r="DN1" s="494" t="s">
        <v>470</v>
      </c>
      <c r="DO1" s="494" t="s">
        <v>477</v>
      </c>
      <c r="DP1" s="652" t="s">
        <v>478</v>
      </c>
      <c r="DQ1" s="494" t="s">
        <v>741</v>
      </c>
      <c r="DR1" s="494" t="s">
        <v>742</v>
      </c>
      <c r="DS1" s="494" t="s">
        <v>743</v>
      </c>
      <c r="DT1" s="494" t="s">
        <v>744</v>
      </c>
      <c r="DU1" s="494" t="s">
        <v>755</v>
      </c>
      <c r="DV1" s="494" t="s">
        <v>756</v>
      </c>
      <c r="DW1" s="494" t="s">
        <v>757</v>
      </c>
      <c r="DX1" s="494" t="s">
        <v>758</v>
      </c>
      <c r="DY1" s="652" t="s">
        <v>479</v>
      </c>
      <c r="DZ1" s="652" t="s">
        <v>480</v>
      </c>
      <c r="EA1" s="652" t="s">
        <v>188</v>
      </c>
      <c r="EB1" s="652" t="s">
        <v>753</v>
      </c>
      <c r="EC1" s="652" t="s">
        <v>754</v>
      </c>
      <c r="ED1" s="652" t="s">
        <v>188</v>
      </c>
      <c r="EE1" s="652" t="s">
        <v>759</v>
      </c>
      <c r="EF1" s="652" t="s">
        <v>788</v>
      </c>
      <c r="EG1" s="652" t="s">
        <v>188</v>
      </c>
    </row>
    <row r="2" spans="1:137" ht="16.5" customHeight="1" thickTop="1">
      <c r="A2" s="150" t="s">
        <v>30</v>
      </c>
      <c r="B2" s="152">
        <v>83.521769800055225</v>
      </c>
      <c r="C2" s="152">
        <v>70.546089072291792</v>
      </c>
      <c r="D2" s="152">
        <v>83.65979198192332</v>
      </c>
      <c r="E2" s="152">
        <v>96.405701678599954</v>
      </c>
      <c r="F2" s="152">
        <v>80.704282312961226</v>
      </c>
      <c r="G2" s="152">
        <v>70.801789125983888</v>
      </c>
      <c r="H2" s="152">
        <v>82.132373096452156</v>
      </c>
      <c r="I2" s="152">
        <v>93.503246778968659</v>
      </c>
      <c r="J2" s="152">
        <v>89.978894244850679</v>
      </c>
      <c r="K2" s="152">
        <v>93.729826545734838</v>
      </c>
      <c r="L2" s="152">
        <v>96.901544372420972</v>
      </c>
      <c r="M2" s="152">
        <v>101.70439717499941</v>
      </c>
      <c r="N2" s="152">
        <v>104.78436615246687</v>
      </c>
      <c r="O2" s="152">
        <v>99.105910201910049</v>
      </c>
      <c r="P2" s="152">
        <v>164.89621762035296</v>
      </c>
      <c r="Q2" s="152">
        <v>109.9027552147496</v>
      </c>
      <c r="R2" s="152">
        <v>101.15829206812816</v>
      </c>
      <c r="S2" s="152">
        <v>101.25921580226873</v>
      </c>
      <c r="T2" s="152">
        <v>126.68282192076805</v>
      </c>
      <c r="U2" s="152">
        <v>125.87782549588405</v>
      </c>
      <c r="V2" s="152">
        <v>111.09509134655251</v>
      </c>
      <c r="W2" s="152">
        <v>116.16361690382507</v>
      </c>
      <c r="X2" s="152">
        <v>150.7668948406745</v>
      </c>
      <c r="Y2" s="152">
        <v>124.4289914943089</v>
      </c>
      <c r="Z2" s="152">
        <v>145.83337054629439</v>
      </c>
      <c r="AA2" s="152">
        <v>149.69748931295362</v>
      </c>
      <c r="AB2" s="152">
        <v>162.26896553635513</v>
      </c>
      <c r="AC2" s="152">
        <v>158.17282797176395</v>
      </c>
      <c r="AD2" s="152">
        <v>120.20538101151179</v>
      </c>
      <c r="AE2" s="152">
        <v>107.30041587776878</v>
      </c>
      <c r="AF2" s="152">
        <v>92.838874209545381</v>
      </c>
      <c r="AG2" s="152">
        <v>100.01875249741924</v>
      </c>
      <c r="AH2" s="152">
        <v>96.195001713017248</v>
      </c>
      <c r="AI2" s="152">
        <v>121.74138874529875</v>
      </c>
      <c r="AJ2" s="152">
        <v>125.67416851723378</v>
      </c>
      <c r="AK2" s="152">
        <v>222.42659725834855</v>
      </c>
      <c r="AL2" s="152">
        <v>169.99215077473366</v>
      </c>
      <c r="AM2" s="152">
        <v>67.536597512570992</v>
      </c>
      <c r="AN2" s="152">
        <v>74.269971050306751</v>
      </c>
      <c r="AO2" s="152">
        <v>67.710089031516006</v>
      </c>
      <c r="AP2" s="152">
        <v>64.044032048384395</v>
      </c>
      <c r="AQ2" s="152">
        <v>99.932547984481175</v>
      </c>
      <c r="AR2" s="152">
        <v>97.973611683948164</v>
      </c>
      <c r="AS2" s="152">
        <v>81.732669542803521</v>
      </c>
      <c r="AT2" s="233">
        <v>58.371933440608956</v>
      </c>
      <c r="AU2" s="234">
        <v>86.871351229253563</v>
      </c>
      <c r="AV2" s="234">
        <v>120.17018131315142</v>
      </c>
      <c r="AW2" s="234">
        <v>152.66649398163545</v>
      </c>
      <c r="AX2" s="234">
        <v>92.929386021627053</v>
      </c>
      <c r="AY2" s="234">
        <v>104.62860607818129</v>
      </c>
      <c r="AZ2" s="234">
        <v>96.600772530024599</v>
      </c>
      <c r="BA2" s="234">
        <v>103.70562612392445</v>
      </c>
      <c r="BB2" s="281">
        <v>102.79950058007772</v>
      </c>
      <c r="BC2" s="281">
        <v>81.369417418944934</v>
      </c>
      <c r="BD2" s="281">
        <v>98.74231917098011</v>
      </c>
      <c r="BE2" s="281">
        <v>117.08876282999721</v>
      </c>
      <c r="BF2" s="281">
        <v>110.06837489530882</v>
      </c>
      <c r="BG2" s="281">
        <v>89.710587743901087</v>
      </c>
      <c r="BH2" s="18">
        <v>110.3625461552424</v>
      </c>
      <c r="BI2" s="18">
        <v>115.35692780580617</v>
      </c>
      <c r="BJ2" s="281">
        <v>92.084458999511327</v>
      </c>
      <c r="BK2" s="281">
        <v>107.91554100048866</v>
      </c>
      <c r="BL2" s="280">
        <f t="shared" ref="BL2:BL14" si="0">ED2</f>
        <v>100</v>
      </c>
      <c r="BM2" s="281">
        <v>99.889481319604954</v>
      </c>
      <c r="BN2" s="281">
        <v>112.85973698052427</v>
      </c>
      <c r="BO2" s="280">
        <f>EG2</f>
        <v>106.37460915006461</v>
      </c>
      <c r="BP2" s="150" t="s">
        <v>30</v>
      </c>
      <c r="BQ2" s="152">
        <f t="shared" ref="BQ2:BQ14" si="1">AVERAGE(BK18:BM18)</f>
        <v>83.521769800055225</v>
      </c>
      <c r="BR2" s="152">
        <f t="shared" ref="BR2:BR14" si="2">AVERAGE(BN18:BP18)</f>
        <v>70.546089072291792</v>
      </c>
      <c r="BS2" s="152">
        <f t="shared" ref="BS2:BS14" si="3">AVERAGE(BQ18:BS18)</f>
        <v>83.65979198192332</v>
      </c>
      <c r="BT2" s="152">
        <f t="shared" ref="BT2:BT14" si="4">AVERAGE(BT18:BV18)</f>
        <v>96.405701678599954</v>
      </c>
      <c r="BU2" s="152">
        <f t="shared" ref="BU2:BU14" si="5">AVERAGE(BW18:BY18)</f>
        <v>80.704282312961226</v>
      </c>
      <c r="BV2" s="152">
        <f t="shared" ref="BV2:BV14" si="6">AVERAGE(BZ18:CB18)</f>
        <v>70.801789125983888</v>
      </c>
      <c r="BW2" s="152">
        <f t="shared" ref="BW2:BW14" si="7">AVERAGE(CC18:CE18)</f>
        <v>82.132373096452156</v>
      </c>
      <c r="BX2" s="152">
        <f t="shared" ref="BX2:BX14" si="8">AVERAGE(CF18:CH18)</f>
        <v>93.503246778968659</v>
      </c>
      <c r="BY2" s="152">
        <f t="shared" ref="BY2:BY14" si="9">AVERAGE(CI18:CK18)</f>
        <v>89.978894244850679</v>
      </c>
      <c r="BZ2" s="152">
        <f t="shared" ref="BZ2:BZ14" si="10">AVERAGE(CL18:CN18)</f>
        <v>93.729826545734838</v>
      </c>
      <c r="CA2" s="152">
        <f t="shared" ref="CA2:CA14" si="11">AVERAGE(CO18:CQ18)</f>
        <v>96.901544372420972</v>
      </c>
      <c r="CB2" s="152">
        <f t="shared" ref="CB2:CB14" si="12">AVERAGE(CR18:CT18)</f>
        <v>101.70439717499941</v>
      </c>
      <c r="CC2" s="152">
        <f t="shared" ref="CC2:CC14" si="13">AVERAGE(CU18:CW18)</f>
        <v>104.78436615246687</v>
      </c>
      <c r="CD2" s="152">
        <f t="shared" ref="CD2:CD14" si="14">AVERAGE(CX18:CZ18)</f>
        <v>99.105910201910049</v>
      </c>
      <c r="CE2" s="152">
        <f t="shared" ref="CE2:CE14" si="15">AVERAGE(DA18:DC18)</f>
        <v>164.89621762035296</v>
      </c>
      <c r="CF2" s="152">
        <f t="shared" ref="CF2:CF14" si="16">AVERAGE(DD18:DF18)</f>
        <v>109.9027552147496</v>
      </c>
      <c r="CG2" s="152">
        <f t="shared" ref="CG2:CG14" si="17">AVERAGE(DG18:DI18)</f>
        <v>101.15829206812816</v>
      </c>
      <c r="CH2" s="152">
        <f t="shared" ref="CH2:CH14" si="18">AVERAGE(DJ18:DL18)</f>
        <v>101.25921580226873</v>
      </c>
      <c r="CI2" s="152">
        <f t="shared" ref="CI2:CI14" si="19">AVERAGE(DM18:DO18)</f>
        <v>126.68282192076805</v>
      </c>
      <c r="CJ2" s="152">
        <f t="shared" ref="CJ2:CJ14" si="20">AVERAGE(DP18:DR18)</f>
        <v>125.87782549588405</v>
      </c>
      <c r="CK2" s="152">
        <f t="shared" ref="CK2:CK14" si="21">AVERAGE(DS18:DU18)</f>
        <v>111.09509134655251</v>
      </c>
      <c r="CL2" s="152">
        <f t="shared" ref="CL2:CL14" si="22">AVERAGE(DV18:DX18)</f>
        <v>116.16361690382507</v>
      </c>
      <c r="CM2" s="152">
        <f t="shared" ref="CM2:CM14" si="23">AVERAGE(DY18:EA18)</f>
        <v>150.7668948406745</v>
      </c>
      <c r="CN2" s="152">
        <f t="shared" ref="CN2:CN14" si="24">AVERAGE(EB18:ED18)</f>
        <v>124.4289914943089</v>
      </c>
      <c r="CO2" s="152">
        <f t="shared" ref="CO2:CO14" si="25">AVERAGE(EE18:EG18)</f>
        <v>145.83337054629439</v>
      </c>
      <c r="CP2" s="152">
        <f t="shared" ref="CP2:CP14" si="26">AVERAGE(EH18:EJ18)</f>
        <v>149.69748931295362</v>
      </c>
      <c r="CQ2" s="152">
        <f t="shared" ref="CQ2:CQ14" si="27">AVERAGE(EK18:EM18)</f>
        <v>162.26896553635513</v>
      </c>
      <c r="CR2" s="152">
        <f t="shared" ref="CR2:CR14" si="28">AVERAGE(EN18:EP18)</f>
        <v>158.17282797176395</v>
      </c>
      <c r="CS2" s="152">
        <f t="shared" ref="CS2:CS14" si="29">AVERAGE(EQ18:ES18)</f>
        <v>120.20538101151179</v>
      </c>
      <c r="CT2" s="152">
        <f t="shared" ref="CT2:CT14" si="30">AVERAGE(ET18:EV18)</f>
        <v>107.30041587776878</v>
      </c>
      <c r="CU2" s="152">
        <f t="shared" ref="CU2:CU14" si="31">AVERAGE(EW18:EY18)</f>
        <v>92.838874209545381</v>
      </c>
      <c r="CV2" s="152">
        <f t="shared" ref="CV2:CV14" si="32">AVERAGE(EZ18:FB18)</f>
        <v>100.01875249741924</v>
      </c>
      <c r="CW2" s="152">
        <f t="shared" ref="CW2:CW14" si="33">AVERAGE(FC18:FE18)</f>
        <v>96.195001713017248</v>
      </c>
      <c r="CX2" s="152">
        <f t="shared" ref="CX2:CX14" si="34">AVERAGE(FF18:FH18)</f>
        <v>121.74138874529875</v>
      </c>
      <c r="CY2" s="152">
        <f t="shared" ref="CY2:CY14" si="35">AVERAGE(FI18:FK18)</f>
        <v>125.67416851723378</v>
      </c>
      <c r="CZ2" s="152">
        <f t="shared" ref="CZ2:CZ14" si="36">AVERAGE(FL18:FN18)</f>
        <v>222.42659725834855</v>
      </c>
      <c r="DA2" s="152">
        <f t="shared" ref="DA2:DA14" si="37">AVERAGE(FO18:FQ18)</f>
        <v>169.99215077473366</v>
      </c>
      <c r="DB2" s="152">
        <f t="shared" ref="DB2:DB14" si="38">AVERAGE(FR18:FT18)</f>
        <v>67.536597512570992</v>
      </c>
      <c r="DC2" s="152">
        <f t="shared" ref="DC2:DC14" si="39">AVERAGE(FU18:FW18)</f>
        <v>74.269971050306751</v>
      </c>
      <c r="DD2" s="152">
        <f t="shared" ref="DD2:DD14" si="40">AVERAGE(FX18:FZ18)</f>
        <v>67.710089031516006</v>
      </c>
      <c r="DE2" s="152">
        <f t="shared" ref="DE2:DE14" si="41">AVERAGE(GA18:GC18)</f>
        <v>64.044032048384395</v>
      </c>
      <c r="DF2" s="152">
        <f t="shared" ref="DF2:DF14" si="42">AVERAGE(GD18:GF18)</f>
        <v>99.932547984481175</v>
      </c>
      <c r="DG2" s="152">
        <f t="shared" ref="DG2:DG14" si="43">AVERAGE(GG18:GI18)</f>
        <v>97.973611683948164</v>
      </c>
      <c r="DH2" s="152">
        <f t="shared" ref="DH2:DH14" si="44">AVERAGE(GJ18:GL18)</f>
        <v>81.732669542803521</v>
      </c>
      <c r="DI2" s="233">
        <f t="shared" ref="DI2:DI14" si="45">AVERAGE(GM18:GO18)</f>
        <v>58.371933440608956</v>
      </c>
      <c r="DJ2" s="234">
        <f t="shared" ref="DJ2:DJ14" si="46">AVERAGE(GP18:GR18)</f>
        <v>86.871351229253563</v>
      </c>
      <c r="DK2" s="234">
        <f t="shared" ref="DK2:DK14" si="47">AVERAGE(GS18:GU18)</f>
        <v>120.17018131315142</v>
      </c>
      <c r="DL2" s="234">
        <f t="shared" ref="DL2:DL14" si="48">AVERAGE(GV18:GX18)</f>
        <v>152.66649398163545</v>
      </c>
      <c r="DM2" s="234">
        <f t="shared" ref="DM2:DM14" si="49">AVERAGE(GY18:HA18)</f>
        <v>92.929386021627053</v>
      </c>
      <c r="DN2" s="234">
        <f t="shared" ref="DN2:DN14" si="50">AVERAGE(HB18:HD18)</f>
        <v>104.62860607818129</v>
      </c>
      <c r="DO2" s="234">
        <f t="shared" ref="DO2:DO14" si="51">AVERAGE(HE18:HG18)</f>
        <v>96.600772530024599</v>
      </c>
      <c r="DP2" s="234">
        <f t="shared" ref="DP2:DP14" si="52">AVERAGE(HH18:HJ18)</f>
        <v>103.70562612392445</v>
      </c>
      <c r="DQ2" s="281">
        <f t="shared" ref="DQ2:DQ14" si="53">AVERAGE(HK18:HM18)</f>
        <v>102.79950058007772</v>
      </c>
      <c r="DR2" s="281">
        <f t="shared" ref="DR2:DR14" si="54">AVERAGE(HN18:HP18)</f>
        <v>81.369417418944934</v>
      </c>
      <c r="DS2" s="281">
        <f t="shared" ref="DS2:DS14" si="55">AVERAGE(HQ18:HS18)</f>
        <v>98.74231917098011</v>
      </c>
      <c r="DT2" s="281">
        <f t="shared" ref="DT2:DT14" si="56">AVERAGE(HT18:HV18)</f>
        <v>117.08876282999721</v>
      </c>
      <c r="DU2" s="281">
        <f t="shared" ref="DU2:DU14" si="57">AVERAGE(HW18:HY18)</f>
        <v>110.06837489530882</v>
      </c>
      <c r="DV2" s="281">
        <f t="shared" ref="DV2:DV14" si="58">AVERAGE(HZ18:IB18)</f>
        <v>89.710587743901087</v>
      </c>
      <c r="DW2" s="18">
        <f t="shared" ref="DW2:DW14" si="59">AVERAGE(IC18:IE18)</f>
        <v>110.3625461552424</v>
      </c>
      <c r="DX2" s="18">
        <f t="shared" ref="DX2:DX14" si="60">AVERAGE(IF18:IH18)</f>
        <v>115.35692780580617</v>
      </c>
      <c r="DY2" s="281">
        <f>AVERAGE(DM2:DN2)</f>
        <v>98.77899604990418</v>
      </c>
      <c r="DZ2" s="281">
        <f>AVERAGE(DO2:DP2)</f>
        <v>100.15319932697452</v>
      </c>
      <c r="EA2" s="281">
        <f>AVERAGE(DY2:DZ2)</f>
        <v>99.466097688439348</v>
      </c>
      <c r="EB2" s="281">
        <f>AVERAGE(DQ2:DR2)</f>
        <v>92.084458999511327</v>
      </c>
      <c r="EC2" s="281">
        <f>AVERAGE(DS2:DT2)</f>
        <v>107.91554100048866</v>
      </c>
      <c r="ED2" s="281">
        <f>AVERAGE(EB2:EC2)</f>
        <v>100</v>
      </c>
      <c r="EE2" s="281">
        <f>AVERAGE(DU2:DV2)</f>
        <v>99.889481319604954</v>
      </c>
      <c r="EF2" s="281">
        <f t="shared" ref="EF2:EF14" si="61">AVERAGE(DW2:DX2)</f>
        <v>112.85973698052427</v>
      </c>
      <c r="EG2" s="281">
        <f>AVERAGE(EE2:EF2)</f>
        <v>106.37460915006461</v>
      </c>
    </row>
    <row r="3" spans="1:137" ht="16.5" customHeight="1">
      <c r="A3" s="150" t="s">
        <v>34</v>
      </c>
      <c r="B3" s="152">
        <v>28.209733146100941</v>
      </c>
      <c r="C3" s="152">
        <v>30.786080044951778</v>
      </c>
      <c r="D3" s="152">
        <v>48.682833217754911</v>
      </c>
      <c r="E3" s="152">
        <v>45.437850905665961</v>
      </c>
      <c r="F3" s="152">
        <v>39.262379445827172</v>
      </c>
      <c r="G3" s="152">
        <v>42.302367554765908</v>
      </c>
      <c r="H3" s="152">
        <v>50.86606366118189</v>
      </c>
      <c r="I3" s="152">
        <v>53.029553922083274</v>
      </c>
      <c r="J3" s="152">
        <v>38.844461222614761</v>
      </c>
      <c r="K3" s="152">
        <v>45.681144437305967</v>
      </c>
      <c r="L3" s="152">
        <v>55.993280813059954</v>
      </c>
      <c r="M3" s="152">
        <v>49.589869296878824</v>
      </c>
      <c r="N3" s="152">
        <v>44.651617994818231</v>
      </c>
      <c r="O3" s="152">
        <v>45.256646153251701</v>
      </c>
      <c r="P3" s="152">
        <v>52.901327095421415</v>
      </c>
      <c r="Q3" s="152">
        <v>59.653650555729826</v>
      </c>
      <c r="R3" s="152">
        <v>51.294779932955294</v>
      </c>
      <c r="S3" s="152">
        <v>58.637115515417037</v>
      </c>
      <c r="T3" s="152">
        <v>63.8242280929069</v>
      </c>
      <c r="U3" s="152">
        <v>66.203004446993205</v>
      </c>
      <c r="V3" s="152">
        <v>59.831818356986311</v>
      </c>
      <c r="W3" s="152">
        <v>56.849026161519113</v>
      </c>
      <c r="X3" s="152">
        <v>67.26661223025161</v>
      </c>
      <c r="Y3" s="152">
        <v>58.562541492542636</v>
      </c>
      <c r="Z3" s="152">
        <v>57.944223031608651</v>
      </c>
      <c r="AA3" s="152">
        <v>57.303541899431856</v>
      </c>
      <c r="AB3" s="152">
        <v>63.74640973357284</v>
      </c>
      <c r="AC3" s="152">
        <v>81.071088463747898</v>
      </c>
      <c r="AD3" s="152">
        <v>91.217228830316046</v>
      </c>
      <c r="AE3" s="152">
        <v>89.247225148452642</v>
      </c>
      <c r="AF3" s="152">
        <v>87.458197977107503</v>
      </c>
      <c r="AG3" s="152">
        <v>92.696790647611223</v>
      </c>
      <c r="AH3" s="152">
        <v>81.748594316421006</v>
      </c>
      <c r="AI3" s="152">
        <v>80.130244972865015</v>
      </c>
      <c r="AJ3" s="152">
        <v>77.961146907733337</v>
      </c>
      <c r="AK3" s="152">
        <v>84.126016717079537</v>
      </c>
      <c r="AL3" s="152">
        <v>68.440118694579425</v>
      </c>
      <c r="AM3" s="152">
        <v>71.269792695989679</v>
      </c>
      <c r="AN3" s="152">
        <v>75.615285905215458</v>
      </c>
      <c r="AO3" s="152">
        <v>74.25093336228862</v>
      </c>
      <c r="AP3" s="152">
        <v>66.942157088629187</v>
      </c>
      <c r="AQ3" s="152">
        <v>71.380961540993468</v>
      </c>
      <c r="AR3" s="152">
        <v>94.886217579492495</v>
      </c>
      <c r="AS3" s="152">
        <v>108.57056266826309</v>
      </c>
      <c r="AT3" s="233">
        <v>94.747981731807599</v>
      </c>
      <c r="AU3" s="234">
        <v>87.838794738994963</v>
      </c>
      <c r="AV3" s="234">
        <v>114.17020099522763</v>
      </c>
      <c r="AW3" s="234">
        <v>103.05302001511039</v>
      </c>
      <c r="AX3" s="234">
        <v>83.957170909803395</v>
      </c>
      <c r="AY3" s="234">
        <v>86.163819521807611</v>
      </c>
      <c r="AZ3" s="234">
        <v>96.071847303338203</v>
      </c>
      <c r="BA3" s="234">
        <v>89.71776008148187</v>
      </c>
      <c r="BB3" s="281">
        <v>86.574500006915812</v>
      </c>
      <c r="BC3" s="281">
        <v>107.07181664948075</v>
      </c>
      <c r="BD3" s="281">
        <v>100.93619232751446</v>
      </c>
      <c r="BE3" s="281">
        <v>105.41749101608885</v>
      </c>
      <c r="BF3" s="281">
        <v>94.881539913743481</v>
      </c>
      <c r="BG3" s="281">
        <v>119.13794880637933</v>
      </c>
      <c r="BH3" s="18">
        <v>103.0961151871286</v>
      </c>
      <c r="BI3" s="18">
        <v>108.58212780007234</v>
      </c>
      <c r="BJ3" s="281">
        <v>96.823158328198275</v>
      </c>
      <c r="BK3" s="281">
        <v>103.17684167180165</v>
      </c>
      <c r="BL3" s="280">
        <f t="shared" si="0"/>
        <v>99.999999999999972</v>
      </c>
      <c r="BM3" s="281">
        <v>107.0097443600614</v>
      </c>
      <c r="BN3" s="281">
        <v>105.83912149360047</v>
      </c>
      <c r="BO3" s="280">
        <f t="shared" ref="BO3:BO14" si="62">EG3</f>
        <v>106.42443292683095</v>
      </c>
      <c r="BP3" s="150" t="s">
        <v>34</v>
      </c>
      <c r="BQ3" s="152">
        <f t="shared" si="1"/>
        <v>28.209733146100941</v>
      </c>
      <c r="BR3" s="152">
        <f t="shared" si="2"/>
        <v>30.786080044951778</v>
      </c>
      <c r="BS3" s="152">
        <f t="shared" si="3"/>
        <v>48.682833217754911</v>
      </c>
      <c r="BT3" s="152">
        <f t="shared" si="4"/>
        <v>45.437850905665961</v>
      </c>
      <c r="BU3" s="152">
        <f t="shared" si="5"/>
        <v>39.262379445827172</v>
      </c>
      <c r="BV3" s="152">
        <f t="shared" si="6"/>
        <v>42.302367554765908</v>
      </c>
      <c r="BW3" s="152">
        <f t="shared" si="7"/>
        <v>50.86606366118189</v>
      </c>
      <c r="BX3" s="152">
        <f t="shared" si="8"/>
        <v>53.029553922083274</v>
      </c>
      <c r="BY3" s="152">
        <f t="shared" si="9"/>
        <v>38.844461222614761</v>
      </c>
      <c r="BZ3" s="152">
        <f t="shared" si="10"/>
        <v>45.681144437305967</v>
      </c>
      <c r="CA3" s="152">
        <f t="shared" si="11"/>
        <v>55.993280813059954</v>
      </c>
      <c r="CB3" s="152">
        <f t="shared" si="12"/>
        <v>49.589869296878824</v>
      </c>
      <c r="CC3" s="152">
        <f t="shared" si="13"/>
        <v>44.651617994818231</v>
      </c>
      <c r="CD3" s="152">
        <f t="shared" si="14"/>
        <v>45.256646153251701</v>
      </c>
      <c r="CE3" s="152">
        <f t="shared" si="15"/>
        <v>52.901327095421415</v>
      </c>
      <c r="CF3" s="152">
        <f t="shared" si="16"/>
        <v>59.653650555729826</v>
      </c>
      <c r="CG3" s="152">
        <f t="shared" si="17"/>
        <v>51.294779932955294</v>
      </c>
      <c r="CH3" s="152">
        <f t="shared" si="18"/>
        <v>58.637115515417037</v>
      </c>
      <c r="CI3" s="152">
        <f t="shared" si="19"/>
        <v>63.8242280929069</v>
      </c>
      <c r="CJ3" s="152">
        <f t="shared" si="20"/>
        <v>66.203004446993205</v>
      </c>
      <c r="CK3" s="152">
        <f t="shared" si="21"/>
        <v>59.831818356986311</v>
      </c>
      <c r="CL3" s="152">
        <f t="shared" si="22"/>
        <v>56.849026161519113</v>
      </c>
      <c r="CM3" s="152">
        <f t="shared" si="23"/>
        <v>67.26661223025161</v>
      </c>
      <c r="CN3" s="152">
        <f t="shared" si="24"/>
        <v>58.562541492542636</v>
      </c>
      <c r="CO3" s="152">
        <f t="shared" si="25"/>
        <v>57.944223031608651</v>
      </c>
      <c r="CP3" s="152">
        <f t="shared" si="26"/>
        <v>57.303541899431856</v>
      </c>
      <c r="CQ3" s="152">
        <f t="shared" si="27"/>
        <v>63.74640973357284</v>
      </c>
      <c r="CR3" s="152">
        <f t="shared" si="28"/>
        <v>81.071088463747898</v>
      </c>
      <c r="CS3" s="152">
        <f t="shared" si="29"/>
        <v>91.217228830316046</v>
      </c>
      <c r="CT3" s="152">
        <f t="shared" si="30"/>
        <v>89.247225148452642</v>
      </c>
      <c r="CU3" s="152">
        <f t="shared" si="31"/>
        <v>87.458197977107503</v>
      </c>
      <c r="CV3" s="152">
        <f t="shared" si="32"/>
        <v>92.696790647611223</v>
      </c>
      <c r="CW3" s="152">
        <f t="shared" si="33"/>
        <v>81.748594316421006</v>
      </c>
      <c r="CX3" s="152">
        <f t="shared" si="34"/>
        <v>80.130244972865015</v>
      </c>
      <c r="CY3" s="152">
        <f t="shared" si="35"/>
        <v>77.961146907733337</v>
      </c>
      <c r="CZ3" s="152">
        <f t="shared" si="36"/>
        <v>84.126016717079537</v>
      </c>
      <c r="DA3" s="152">
        <f t="shared" si="37"/>
        <v>68.440118694579425</v>
      </c>
      <c r="DB3" s="152">
        <f t="shared" si="38"/>
        <v>71.269792695989679</v>
      </c>
      <c r="DC3" s="152">
        <f t="shared" si="39"/>
        <v>75.615285905215458</v>
      </c>
      <c r="DD3" s="152">
        <f t="shared" si="40"/>
        <v>74.25093336228862</v>
      </c>
      <c r="DE3" s="152">
        <f t="shared" si="41"/>
        <v>66.942157088629187</v>
      </c>
      <c r="DF3" s="152">
        <f t="shared" si="42"/>
        <v>71.380961540993468</v>
      </c>
      <c r="DG3" s="152">
        <f t="shared" si="43"/>
        <v>94.886217579492495</v>
      </c>
      <c r="DH3" s="152">
        <f t="shared" si="44"/>
        <v>108.57056266826309</v>
      </c>
      <c r="DI3" s="233">
        <f t="shared" si="45"/>
        <v>94.747981731807599</v>
      </c>
      <c r="DJ3" s="234">
        <f t="shared" si="46"/>
        <v>87.838794738994963</v>
      </c>
      <c r="DK3" s="234">
        <f t="shared" si="47"/>
        <v>114.17020099522763</v>
      </c>
      <c r="DL3" s="234">
        <f t="shared" si="48"/>
        <v>103.05302001511039</v>
      </c>
      <c r="DM3" s="234">
        <f t="shared" si="49"/>
        <v>83.957170909803395</v>
      </c>
      <c r="DN3" s="234">
        <f t="shared" si="50"/>
        <v>86.163819521807611</v>
      </c>
      <c r="DO3" s="234">
        <f t="shared" si="51"/>
        <v>96.071847303338203</v>
      </c>
      <c r="DP3" s="234">
        <f t="shared" si="52"/>
        <v>89.71776008148187</v>
      </c>
      <c r="DQ3" s="281">
        <f t="shared" si="53"/>
        <v>86.574500006915812</v>
      </c>
      <c r="DR3" s="281">
        <f t="shared" si="54"/>
        <v>107.07181664948075</v>
      </c>
      <c r="DS3" s="281">
        <f t="shared" si="55"/>
        <v>100.93619232751446</v>
      </c>
      <c r="DT3" s="281">
        <f t="shared" si="56"/>
        <v>105.41749101608885</v>
      </c>
      <c r="DU3" s="281">
        <f t="shared" si="57"/>
        <v>94.881539913743481</v>
      </c>
      <c r="DV3" s="281">
        <f t="shared" si="58"/>
        <v>119.13794880637933</v>
      </c>
      <c r="DW3" s="18">
        <f t="shared" si="59"/>
        <v>103.0961151871286</v>
      </c>
      <c r="DX3" s="18">
        <f t="shared" si="60"/>
        <v>108.58212780007234</v>
      </c>
      <c r="DY3" s="281">
        <f t="shared" ref="DY3:DY14" si="63">AVERAGE(DM3:DN3)</f>
        <v>85.060495215805503</v>
      </c>
      <c r="DZ3" s="281">
        <f t="shared" ref="DZ3:DZ14" si="64">AVERAGE(DO3:DP3)</f>
        <v>92.894803692410036</v>
      </c>
      <c r="EA3" s="281">
        <f t="shared" ref="EA3:EA14" si="65">AVERAGE(DY3:DZ3)</f>
        <v>88.977649454107762</v>
      </c>
      <c r="EB3" s="281">
        <f t="shared" ref="EB3:EB14" si="66">AVERAGE(DQ3:DR3)</f>
        <v>96.823158328198275</v>
      </c>
      <c r="EC3" s="281">
        <f t="shared" ref="EC3:EC14" si="67">AVERAGE(DS3:DT3)</f>
        <v>103.17684167180165</v>
      </c>
      <c r="ED3" s="281">
        <f t="shared" ref="ED3:ED14" si="68">AVERAGE(EB3:EC3)</f>
        <v>99.999999999999972</v>
      </c>
      <c r="EE3" s="281">
        <f t="shared" ref="EE3:EE14" si="69">AVERAGE(DU3:DV3)</f>
        <v>107.0097443600614</v>
      </c>
      <c r="EF3" s="281">
        <f t="shared" si="61"/>
        <v>105.83912149360047</v>
      </c>
      <c r="EG3" s="281">
        <f t="shared" ref="EG3:EG14" si="70">AVERAGE(EE3:EF3)</f>
        <v>106.42443292683095</v>
      </c>
    </row>
    <row r="4" spans="1:137" ht="16.5" customHeight="1">
      <c r="A4" s="150" t="s">
        <v>36</v>
      </c>
      <c r="B4" s="152">
        <v>49.367867110808788</v>
      </c>
      <c r="C4" s="152">
        <v>54.027455130405635</v>
      </c>
      <c r="D4" s="152">
        <v>57.844300238942928</v>
      </c>
      <c r="E4" s="152">
        <v>48.542159931168207</v>
      </c>
      <c r="F4" s="152">
        <v>55.03319423714057</v>
      </c>
      <c r="G4" s="152">
        <v>53.634371401738228</v>
      </c>
      <c r="H4" s="152">
        <v>63.269444584034375</v>
      </c>
      <c r="I4" s="152">
        <v>57.117863000410431</v>
      </c>
      <c r="J4" s="152">
        <v>52.239544602100835</v>
      </c>
      <c r="K4" s="152">
        <v>57.952193204596426</v>
      </c>
      <c r="L4" s="152">
        <v>65.47336346723705</v>
      </c>
      <c r="M4" s="152">
        <v>57.112184423270776</v>
      </c>
      <c r="N4" s="152">
        <v>60.473481454604418</v>
      </c>
      <c r="O4" s="152">
        <v>57.394010103535265</v>
      </c>
      <c r="P4" s="152">
        <v>67.933028639396156</v>
      </c>
      <c r="Q4" s="152">
        <v>66.580475691798441</v>
      </c>
      <c r="R4" s="152">
        <v>66.667336890268018</v>
      </c>
      <c r="S4" s="152">
        <v>65.697562105417603</v>
      </c>
      <c r="T4" s="152">
        <v>74.710515614413467</v>
      </c>
      <c r="U4" s="152">
        <v>64.799085011320656</v>
      </c>
      <c r="V4" s="152">
        <v>65.780847903465926</v>
      </c>
      <c r="W4" s="152">
        <v>67.652885500506386</v>
      </c>
      <c r="X4" s="152">
        <v>75.8559056552496</v>
      </c>
      <c r="Y4" s="152">
        <v>61.935820226902173</v>
      </c>
      <c r="Z4" s="152">
        <v>69.542202679954258</v>
      </c>
      <c r="AA4" s="152">
        <v>66.343054305042656</v>
      </c>
      <c r="AB4" s="152">
        <v>61.351682882637839</v>
      </c>
      <c r="AC4" s="152">
        <v>55.201052110767897</v>
      </c>
      <c r="AD4" s="152">
        <v>61.144181255377532</v>
      </c>
      <c r="AE4" s="152">
        <v>64.450945043677223</v>
      </c>
      <c r="AF4" s="152">
        <v>75.606023431277592</v>
      </c>
      <c r="AG4" s="152">
        <v>67.8552956856458</v>
      </c>
      <c r="AH4" s="152">
        <v>69.203416116920593</v>
      </c>
      <c r="AI4" s="152">
        <v>87.603278704301843</v>
      </c>
      <c r="AJ4" s="152">
        <v>86.426562695400619</v>
      </c>
      <c r="AK4" s="152">
        <v>78.926243725434176</v>
      </c>
      <c r="AL4" s="152">
        <v>73.6996949890856</v>
      </c>
      <c r="AM4" s="152">
        <v>63.58166865401148</v>
      </c>
      <c r="AN4" s="152">
        <v>89.019102347517943</v>
      </c>
      <c r="AO4" s="152">
        <v>86.971237893129612</v>
      </c>
      <c r="AP4" s="152">
        <v>86.43366512574444</v>
      </c>
      <c r="AQ4" s="152">
        <v>99.792143306686512</v>
      </c>
      <c r="AR4" s="152">
        <v>82.22465138083362</v>
      </c>
      <c r="AS4" s="152">
        <v>89.517585920791802</v>
      </c>
      <c r="AT4" s="233">
        <v>94.820445479692822</v>
      </c>
      <c r="AU4" s="234">
        <v>91.982297305818179</v>
      </c>
      <c r="AV4" s="234">
        <v>89.97880098771806</v>
      </c>
      <c r="AW4" s="234">
        <v>90.957040258125843</v>
      </c>
      <c r="AX4" s="234">
        <v>96.628579060257678</v>
      </c>
      <c r="AY4" s="234">
        <v>88.611343735079842</v>
      </c>
      <c r="AZ4" s="234">
        <v>104.48146161471594</v>
      </c>
      <c r="BA4" s="234">
        <v>97.050166472679351</v>
      </c>
      <c r="BB4" s="281">
        <v>95.484157995857132</v>
      </c>
      <c r="BC4" s="281">
        <v>91.459420082805934</v>
      </c>
      <c r="BD4" s="281">
        <v>107.74489350007572</v>
      </c>
      <c r="BE4" s="281">
        <v>105.31152842126123</v>
      </c>
      <c r="BF4" s="281">
        <v>99.01051659078864</v>
      </c>
      <c r="BG4" s="281">
        <v>94.720621274792094</v>
      </c>
      <c r="BH4" s="18">
        <v>108.72466507110698</v>
      </c>
      <c r="BI4" s="18">
        <v>112.98122653432016</v>
      </c>
      <c r="BJ4" s="281">
        <v>93.471789039331526</v>
      </c>
      <c r="BK4" s="281">
        <v>106.52821096066847</v>
      </c>
      <c r="BL4" s="280">
        <f t="shared" si="0"/>
        <v>100</v>
      </c>
      <c r="BM4" s="281">
        <v>96.865568932790367</v>
      </c>
      <c r="BN4" s="281">
        <v>110.85294580271358</v>
      </c>
      <c r="BO4" s="280">
        <f t="shared" si="62"/>
        <v>103.85925736775198</v>
      </c>
      <c r="BP4" s="150" t="s">
        <v>36</v>
      </c>
      <c r="BQ4" s="152">
        <f t="shared" si="1"/>
        <v>49.367867110808788</v>
      </c>
      <c r="BR4" s="152">
        <f t="shared" si="2"/>
        <v>54.027455130405635</v>
      </c>
      <c r="BS4" s="152">
        <f t="shared" si="3"/>
        <v>57.844300238942928</v>
      </c>
      <c r="BT4" s="152">
        <f t="shared" si="4"/>
        <v>48.542159931168207</v>
      </c>
      <c r="BU4" s="152">
        <f t="shared" si="5"/>
        <v>55.03319423714057</v>
      </c>
      <c r="BV4" s="152">
        <f t="shared" si="6"/>
        <v>53.634371401738228</v>
      </c>
      <c r="BW4" s="152">
        <f t="shared" si="7"/>
        <v>63.269444584034375</v>
      </c>
      <c r="BX4" s="152">
        <f t="shared" si="8"/>
        <v>57.117863000410431</v>
      </c>
      <c r="BY4" s="152">
        <f t="shared" si="9"/>
        <v>52.239544602100835</v>
      </c>
      <c r="BZ4" s="152">
        <f t="shared" si="10"/>
        <v>57.952193204596426</v>
      </c>
      <c r="CA4" s="152">
        <f t="shared" si="11"/>
        <v>65.47336346723705</v>
      </c>
      <c r="CB4" s="152">
        <f t="shared" si="12"/>
        <v>57.112184423270776</v>
      </c>
      <c r="CC4" s="152">
        <f t="shared" si="13"/>
        <v>60.473481454604418</v>
      </c>
      <c r="CD4" s="152">
        <f t="shared" si="14"/>
        <v>57.394010103535265</v>
      </c>
      <c r="CE4" s="152">
        <f t="shared" si="15"/>
        <v>67.933028639396156</v>
      </c>
      <c r="CF4" s="152">
        <f t="shared" si="16"/>
        <v>66.580475691798441</v>
      </c>
      <c r="CG4" s="152">
        <f t="shared" si="17"/>
        <v>66.667336890268018</v>
      </c>
      <c r="CH4" s="152">
        <f t="shared" si="18"/>
        <v>65.697562105417603</v>
      </c>
      <c r="CI4" s="152">
        <f t="shared" si="19"/>
        <v>74.710515614413467</v>
      </c>
      <c r="CJ4" s="152">
        <f t="shared" si="20"/>
        <v>64.799085011320656</v>
      </c>
      <c r="CK4" s="152">
        <f t="shared" si="21"/>
        <v>65.780847903465926</v>
      </c>
      <c r="CL4" s="152">
        <f t="shared" si="22"/>
        <v>67.652885500506386</v>
      </c>
      <c r="CM4" s="152">
        <f t="shared" si="23"/>
        <v>75.8559056552496</v>
      </c>
      <c r="CN4" s="152">
        <f t="shared" si="24"/>
        <v>61.935820226902173</v>
      </c>
      <c r="CO4" s="152">
        <f t="shared" si="25"/>
        <v>69.542202679954258</v>
      </c>
      <c r="CP4" s="152">
        <f t="shared" si="26"/>
        <v>66.343054305042656</v>
      </c>
      <c r="CQ4" s="152">
        <f t="shared" si="27"/>
        <v>61.351682882637839</v>
      </c>
      <c r="CR4" s="152">
        <f t="shared" si="28"/>
        <v>55.201052110767897</v>
      </c>
      <c r="CS4" s="152">
        <f t="shared" si="29"/>
        <v>61.144181255377532</v>
      </c>
      <c r="CT4" s="152">
        <f t="shared" si="30"/>
        <v>64.450945043677223</v>
      </c>
      <c r="CU4" s="152">
        <f t="shared" si="31"/>
        <v>75.606023431277592</v>
      </c>
      <c r="CV4" s="152">
        <f t="shared" si="32"/>
        <v>67.8552956856458</v>
      </c>
      <c r="CW4" s="152">
        <f t="shared" si="33"/>
        <v>69.203416116920593</v>
      </c>
      <c r="CX4" s="152">
        <f t="shared" si="34"/>
        <v>87.603278704301843</v>
      </c>
      <c r="CY4" s="152">
        <f t="shared" si="35"/>
        <v>86.426562695400619</v>
      </c>
      <c r="CZ4" s="152">
        <f t="shared" si="36"/>
        <v>78.926243725434176</v>
      </c>
      <c r="DA4" s="152">
        <f t="shared" si="37"/>
        <v>73.6996949890856</v>
      </c>
      <c r="DB4" s="152">
        <f t="shared" si="38"/>
        <v>63.58166865401148</v>
      </c>
      <c r="DC4" s="152">
        <f t="shared" si="39"/>
        <v>89.019102347517943</v>
      </c>
      <c r="DD4" s="152">
        <f t="shared" si="40"/>
        <v>86.971237893129612</v>
      </c>
      <c r="DE4" s="152">
        <f t="shared" si="41"/>
        <v>86.43366512574444</v>
      </c>
      <c r="DF4" s="152">
        <f t="shared" si="42"/>
        <v>99.792143306686512</v>
      </c>
      <c r="DG4" s="152">
        <f t="shared" si="43"/>
        <v>82.22465138083362</v>
      </c>
      <c r="DH4" s="152">
        <f t="shared" si="44"/>
        <v>89.517585920791802</v>
      </c>
      <c r="DI4" s="233">
        <f t="shared" si="45"/>
        <v>94.820445479692822</v>
      </c>
      <c r="DJ4" s="234">
        <f t="shared" si="46"/>
        <v>91.982297305818179</v>
      </c>
      <c r="DK4" s="234">
        <f t="shared" si="47"/>
        <v>89.97880098771806</v>
      </c>
      <c r="DL4" s="234">
        <f t="shared" si="48"/>
        <v>90.957040258125843</v>
      </c>
      <c r="DM4" s="234">
        <f t="shared" si="49"/>
        <v>96.628579060257678</v>
      </c>
      <c r="DN4" s="234">
        <f t="shared" si="50"/>
        <v>88.611343735079842</v>
      </c>
      <c r="DO4" s="234">
        <f t="shared" si="51"/>
        <v>104.48146161471594</v>
      </c>
      <c r="DP4" s="234">
        <f t="shared" si="52"/>
        <v>97.050166472679351</v>
      </c>
      <c r="DQ4" s="281">
        <f t="shared" si="53"/>
        <v>95.484157995857132</v>
      </c>
      <c r="DR4" s="281">
        <f t="shared" si="54"/>
        <v>91.459420082805934</v>
      </c>
      <c r="DS4" s="281">
        <f t="shared" si="55"/>
        <v>107.74489350007572</v>
      </c>
      <c r="DT4" s="281">
        <f t="shared" si="56"/>
        <v>105.31152842126123</v>
      </c>
      <c r="DU4" s="281">
        <f t="shared" si="57"/>
        <v>99.01051659078864</v>
      </c>
      <c r="DV4" s="281">
        <f t="shared" si="58"/>
        <v>94.720621274792094</v>
      </c>
      <c r="DW4" s="18">
        <f t="shared" si="59"/>
        <v>108.72466507110698</v>
      </c>
      <c r="DX4" s="18">
        <f t="shared" si="60"/>
        <v>112.98122653432016</v>
      </c>
      <c r="DY4" s="281">
        <f t="shared" si="63"/>
        <v>92.61996139766876</v>
      </c>
      <c r="DZ4" s="281">
        <f t="shared" si="64"/>
        <v>100.76581404369765</v>
      </c>
      <c r="EA4" s="281">
        <f t="shared" si="65"/>
        <v>96.692887720683203</v>
      </c>
      <c r="EB4" s="281">
        <f t="shared" si="66"/>
        <v>93.471789039331526</v>
      </c>
      <c r="EC4" s="281">
        <f t="shared" si="67"/>
        <v>106.52821096066847</v>
      </c>
      <c r="ED4" s="281">
        <f t="shared" si="68"/>
        <v>100</v>
      </c>
      <c r="EE4" s="281">
        <f t="shared" si="69"/>
        <v>96.865568932790367</v>
      </c>
      <c r="EF4" s="281">
        <f t="shared" si="61"/>
        <v>110.85294580271358</v>
      </c>
      <c r="EG4" s="281">
        <f t="shared" si="70"/>
        <v>103.85925736775198</v>
      </c>
    </row>
    <row r="5" spans="1:137" ht="16.5" customHeight="1">
      <c r="A5" s="150" t="s">
        <v>38</v>
      </c>
      <c r="B5" s="152">
        <v>10.727570390543848</v>
      </c>
      <c r="C5" s="152">
        <v>10.813109650623781</v>
      </c>
      <c r="D5" s="152">
        <v>11.37382976851179</v>
      </c>
      <c r="E5" s="152">
        <v>8.7716508762516394</v>
      </c>
      <c r="F5" s="152">
        <v>7.3921259939434201</v>
      </c>
      <c r="G5" s="152">
        <v>14.76086594813936</v>
      </c>
      <c r="H5" s="152">
        <v>5.2724203804878709</v>
      </c>
      <c r="I5" s="152">
        <v>9.3192111079735049</v>
      </c>
      <c r="J5" s="152">
        <v>6.8381534610004726</v>
      </c>
      <c r="K5" s="152">
        <v>12.510818786987295</v>
      </c>
      <c r="L5" s="152">
        <v>11.647295555881492</v>
      </c>
      <c r="M5" s="152">
        <v>14.268250336684423</v>
      </c>
      <c r="N5" s="152">
        <v>9.944263790399825</v>
      </c>
      <c r="O5" s="152">
        <v>15.132779418962159</v>
      </c>
      <c r="P5" s="152">
        <v>13.311015304726716</v>
      </c>
      <c r="Q5" s="152">
        <v>11.904458172172758</v>
      </c>
      <c r="R5" s="152">
        <v>10.542703327235381</v>
      </c>
      <c r="S5" s="152">
        <v>13.810629963919704</v>
      </c>
      <c r="T5" s="152">
        <v>8.8257153767431209</v>
      </c>
      <c r="U5" s="152">
        <v>11.433929376034877</v>
      </c>
      <c r="V5" s="152">
        <v>14.540961735675173</v>
      </c>
      <c r="W5" s="152">
        <v>11.930526481712063</v>
      </c>
      <c r="X5" s="152">
        <v>8.822111076710355</v>
      </c>
      <c r="Y5" s="152">
        <v>20.717809961594185</v>
      </c>
      <c r="Z5" s="152">
        <v>25.629755187854943</v>
      </c>
      <c r="AA5" s="152">
        <v>34.062836325827618</v>
      </c>
      <c r="AB5" s="152">
        <v>26.433575728463527</v>
      </c>
      <c r="AC5" s="152">
        <v>26.824087960226592</v>
      </c>
      <c r="AD5" s="152">
        <v>53.440164029706715</v>
      </c>
      <c r="AE5" s="152">
        <v>59.387820765254013</v>
      </c>
      <c r="AF5" s="152">
        <v>61.242815754130163</v>
      </c>
      <c r="AG5" s="152">
        <v>64.113732078943585</v>
      </c>
      <c r="AH5" s="152">
        <v>60.968082140906596</v>
      </c>
      <c r="AI5" s="152">
        <v>67.896940685656261</v>
      </c>
      <c r="AJ5" s="152">
        <v>77.657992801868275</v>
      </c>
      <c r="AK5" s="152">
        <v>88.734496423871306</v>
      </c>
      <c r="AL5" s="152">
        <v>68.176149574394685</v>
      </c>
      <c r="AM5" s="152">
        <v>32.097540019846441</v>
      </c>
      <c r="AN5" s="152">
        <v>53.693759521603134</v>
      </c>
      <c r="AO5" s="152">
        <v>105.57327218024845</v>
      </c>
      <c r="AP5" s="152">
        <v>76.326241632332639</v>
      </c>
      <c r="AQ5" s="152">
        <v>108.46690888154994</v>
      </c>
      <c r="AR5" s="152">
        <v>91.966781433243128</v>
      </c>
      <c r="AS5" s="152">
        <v>106.47206410498409</v>
      </c>
      <c r="AT5" s="233">
        <v>105.76548664036325</v>
      </c>
      <c r="AU5" s="234">
        <v>91.706789129414105</v>
      </c>
      <c r="AV5" s="234">
        <v>101.44084613579334</v>
      </c>
      <c r="AW5" s="234">
        <v>111.68728756327327</v>
      </c>
      <c r="AX5" s="234">
        <v>115.16603463280728</v>
      </c>
      <c r="AY5" s="234">
        <v>104.95220962136267</v>
      </c>
      <c r="AZ5" s="234">
        <v>99.670251345383051</v>
      </c>
      <c r="BA5" s="234">
        <v>114.164333304357</v>
      </c>
      <c r="BB5" s="281">
        <v>116.91425180834712</v>
      </c>
      <c r="BC5" s="281">
        <v>104.39220136482443</v>
      </c>
      <c r="BD5" s="281">
        <v>92.294183453393487</v>
      </c>
      <c r="BE5" s="281">
        <v>86.399363373434994</v>
      </c>
      <c r="BF5" s="281">
        <v>103.29720344654267</v>
      </c>
      <c r="BG5" s="281">
        <v>104.22912212270033</v>
      </c>
      <c r="BH5" s="18">
        <v>88.774095409362317</v>
      </c>
      <c r="BI5" s="18">
        <v>88.651943445513083</v>
      </c>
      <c r="BJ5" s="281">
        <v>110.65322658658577</v>
      </c>
      <c r="BK5" s="281">
        <v>89.34677341341424</v>
      </c>
      <c r="BL5" s="280">
        <f t="shared" si="0"/>
        <v>100</v>
      </c>
      <c r="BM5" s="281">
        <v>103.7631627846215</v>
      </c>
      <c r="BN5" s="281">
        <v>88.7130194274377</v>
      </c>
      <c r="BO5" s="280">
        <f t="shared" si="62"/>
        <v>96.2380911060296</v>
      </c>
      <c r="BP5" s="150" t="s">
        <v>38</v>
      </c>
      <c r="BQ5" s="152">
        <f t="shared" si="1"/>
        <v>10.727570390543848</v>
      </c>
      <c r="BR5" s="152">
        <f t="shared" si="2"/>
        <v>10.813109650623781</v>
      </c>
      <c r="BS5" s="152">
        <f t="shared" si="3"/>
        <v>11.37382976851179</v>
      </c>
      <c r="BT5" s="152">
        <f t="shared" si="4"/>
        <v>8.7716508762516394</v>
      </c>
      <c r="BU5" s="152">
        <f t="shared" si="5"/>
        <v>7.3921259939434201</v>
      </c>
      <c r="BV5" s="152">
        <f t="shared" si="6"/>
        <v>14.76086594813936</v>
      </c>
      <c r="BW5" s="152">
        <f t="shared" si="7"/>
        <v>5.2724203804878709</v>
      </c>
      <c r="BX5" s="152">
        <f t="shared" si="8"/>
        <v>9.3192111079735049</v>
      </c>
      <c r="BY5" s="152">
        <f t="shared" si="9"/>
        <v>6.8381534610004726</v>
      </c>
      <c r="BZ5" s="152">
        <f t="shared" si="10"/>
        <v>12.510818786987295</v>
      </c>
      <c r="CA5" s="152">
        <f t="shared" si="11"/>
        <v>11.647295555881492</v>
      </c>
      <c r="CB5" s="152">
        <f t="shared" si="12"/>
        <v>14.268250336684423</v>
      </c>
      <c r="CC5" s="152">
        <f t="shared" si="13"/>
        <v>9.944263790399825</v>
      </c>
      <c r="CD5" s="152">
        <f t="shared" si="14"/>
        <v>15.132779418962159</v>
      </c>
      <c r="CE5" s="152">
        <f t="shared" si="15"/>
        <v>13.311015304726716</v>
      </c>
      <c r="CF5" s="152">
        <f t="shared" si="16"/>
        <v>11.904458172172758</v>
      </c>
      <c r="CG5" s="152">
        <f t="shared" si="17"/>
        <v>10.542703327235381</v>
      </c>
      <c r="CH5" s="152">
        <f t="shared" si="18"/>
        <v>13.810629963919704</v>
      </c>
      <c r="CI5" s="152">
        <f t="shared" si="19"/>
        <v>8.8257153767431209</v>
      </c>
      <c r="CJ5" s="152">
        <f t="shared" si="20"/>
        <v>11.433929376034877</v>
      </c>
      <c r="CK5" s="152">
        <f t="shared" si="21"/>
        <v>14.540961735675173</v>
      </c>
      <c r="CL5" s="152">
        <f t="shared" si="22"/>
        <v>11.930526481712063</v>
      </c>
      <c r="CM5" s="152">
        <f t="shared" si="23"/>
        <v>8.822111076710355</v>
      </c>
      <c r="CN5" s="152">
        <f t="shared" si="24"/>
        <v>20.717809961594185</v>
      </c>
      <c r="CO5" s="152">
        <f t="shared" si="25"/>
        <v>25.629755187854943</v>
      </c>
      <c r="CP5" s="152">
        <f t="shared" si="26"/>
        <v>34.062836325827618</v>
      </c>
      <c r="CQ5" s="152">
        <f t="shared" si="27"/>
        <v>26.433575728463527</v>
      </c>
      <c r="CR5" s="152">
        <f t="shared" si="28"/>
        <v>26.824087960226592</v>
      </c>
      <c r="CS5" s="152">
        <f t="shared" si="29"/>
        <v>53.440164029706715</v>
      </c>
      <c r="CT5" s="152">
        <f t="shared" si="30"/>
        <v>59.387820765254013</v>
      </c>
      <c r="CU5" s="152">
        <f t="shared" si="31"/>
        <v>61.242815754130163</v>
      </c>
      <c r="CV5" s="152">
        <f t="shared" si="32"/>
        <v>64.113732078943585</v>
      </c>
      <c r="CW5" s="152">
        <f t="shared" si="33"/>
        <v>60.968082140906596</v>
      </c>
      <c r="CX5" s="152">
        <f t="shared" si="34"/>
        <v>67.896940685656261</v>
      </c>
      <c r="CY5" s="152">
        <f t="shared" si="35"/>
        <v>77.657992801868275</v>
      </c>
      <c r="CZ5" s="152">
        <f t="shared" si="36"/>
        <v>88.734496423871306</v>
      </c>
      <c r="DA5" s="152">
        <f t="shared" si="37"/>
        <v>68.176149574394685</v>
      </c>
      <c r="DB5" s="152">
        <f t="shared" si="38"/>
        <v>32.097540019846441</v>
      </c>
      <c r="DC5" s="152">
        <f t="shared" si="39"/>
        <v>53.693759521603134</v>
      </c>
      <c r="DD5" s="152">
        <f t="shared" si="40"/>
        <v>105.57327218024845</v>
      </c>
      <c r="DE5" s="152">
        <f t="shared" si="41"/>
        <v>76.326241632332639</v>
      </c>
      <c r="DF5" s="152">
        <f t="shared" si="42"/>
        <v>108.46690888154994</v>
      </c>
      <c r="DG5" s="152">
        <f t="shared" si="43"/>
        <v>91.966781433243128</v>
      </c>
      <c r="DH5" s="152">
        <f t="shared" si="44"/>
        <v>106.47206410498409</v>
      </c>
      <c r="DI5" s="233">
        <f t="shared" si="45"/>
        <v>105.76548664036325</v>
      </c>
      <c r="DJ5" s="234">
        <f t="shared" si="46"/>
        <v>91.706789129414105</v>
      </c>
      <c r="DK5" s="234">
        <f t="shared" si="47"/>
        <v>101.44084613579334</v>
      </c>
      <c r="DL5" s="234">
        <f t="shared" si="48"/>
        <v>111.68728756327327</v>
      </c>
      <c r="DM5" s="234">
        <f t="shared" si="49"/>
        <v>115.16603463280728</v>
      </c>
      <c r="DN5" s="234">
        <f t="shared" si="50"/>
        <v>104.95220962136267</v>
      </c>
      <c r="DO5" s="234">
        <f t="shared" si="51"/>
        <v>99.670251345383051</v>
      </c>
      <c r="DP5" s="234">
        <f t="shared" si="52"/>
        <v>114.164333304357</v>
      </c>
      <c r="DQ5" s="281">
        <f t="shared" si="53"/>
        <v>116.91425180834712</v>
      </c>
      <c r="DR5" s="281">
        <f t="shared" si="54"/>
        <v>104.39220136482443</v>
      </c>
      <c r="DS5" s="281">
        <f t="shared" si="55"/>
        <v>92.294183453393487</v>
      </c>
      <c r="DT5" s="281">
        <f t="shared" si="56"/>
        <v>86.399363373434994</v>
      </c>
      <c r="DU5" s="281">
        <f t="shared" si="57"/>
        <v>103.29720344654267</v>
      </c>
      <c r="DV5" s="281">
        <f t="shared" si="58"/>
        <v>104.22912212270033</v>
      </c>
      <c r="DW5" s="18">
        <f t="shared" si="59"/>
        <v>88.774095409362317</v>
      </c>
      <c r="DX5" s="18">
        <f t="shared" si="60"/>
        <v>88.651943445513083</v>
      </c>
      <c r="DY5" s="281">
        <f t="shared" si="63"/>
        <v>110.05912212708498</v>
      </c>
      <c r="DZ5" s="281">
        <f t="shared" si="64"/>
        <v>106.91729232487003</v>
      </c>
      <c r="EA5" s="281">
        <f t="shared" si="65"/>
        <v>108.4882072259775</v>
      </c>
      <c r="EB5" s="281">
        <f t="shared" si="66"/>
        <v>110.65322658658577</v>
      </c>
      <c r="EC5" s="281">
        <f t="shared" si="67"/>
        <v>89.34677341341424</v>
      </c>
      <c r="ED5" s="281">
        <f t="shared" si="68"/>
        <v>100</v>
      </c>
      <c r="EE5" s="281">
        <f t="shared" si="69"/>
        <v>103.7631627846215</v>
      </c>
      <c r="EF5" s="281">
        <f t="shared" si="61"/>
        <v>88.7130194274377</v>
      </c>
      <c r="EG5" s="281">
        <f t="shared" si="70"/>
        <v>96.2380911060296</v>
      </c>
    </row>
    <row r="6" spans="1:137" ht="16.5" customHeight="1">
      <c r="A6" s="150" t="s">
        <v>40</v>
      </c>
      <c r="B6" s="152">
        <v>16.537365508688751</v>
      </c>
      <c r="C6" s="152">
        <v>16.385344981926007</v>
      </c>
      <c r="D6" s="152">
        <v>15.435722782091013</v>
      </c>
      <c r="E6" s="152">
        <v>19.650749752732075</v>
      </c>
      <c r="F6" s="152">
        <v>15.64519684972287</v>
      </c>
      <c r="G6" s="152">
        <v>23.122736634414846</v>
      </c>
      <c r="H6" s="152">
        <v>24.228717296145319</v>
      </c>
      <c r="I6" s="152">
        <v>26.294056412119811</v>
      </c>
      <c r="J6" s="152">
        <v>22.709958006895462</v>
      </c>
      <c r="K6" s="152">
        <v>20.783914807961022</v>
      </c>
      <c r="L6" s="152">
        <v>35.560464246993284</v>
      </c>
      <c r="M6" s="152">
        <v>25.836163259219983</v>
      </c>
      <c r="N6" s="152">
        <v>28.222316777899877</v>
      </c>
      <c r="O6" s="152">
        <v>29.545676189059634</v>
      </c>
      <c r="P6" s="152">
        <v>28.423886163734306</v>
      </c>
      <c r="Q6" s="152">
        <v>29.486391075578922</v>
      </c>
      <c r="R6" s="152">
        <v>27.031698181801811</v>
      </c>
      <c r="S6" s="152">
        <v>29.937343532266372</v>
      </c>
      <c r="T6" s="152">
        <v>28.113386406788965</v>
      </c>
      <c r="U6" s="152">
        <v>35.423385496798858</v>
      </c>
      <c r="V6" s="152">
        <v>28.561639703838278</v>
      </c>
      <c r="W6" s="152">
        <v>29.200665748169428</v>
      </c>
      <c r="X6" s="152">
        <v>49.003918020456773</v>
      </c>
      <c r="Y6" s="152">
        <v>37.181020414024665</v>
      </c>
      <c r="Z6" s="152">
        <v>30.123435320493684</v>
      </c>
      <c r="AA6" s="152">
        <v>35.93139636966027</v>
      </c>
      <c r="AB6" s="152">
        <v>30.850976778420783</v>
      </c>
      <c r="AC6" s="152">
        <v>39.339768984697763</v>
      </c>
      <c r="AD6" s="152">
        <v>40.541283179054069</v>
      </c>
      <c r="AE6" s="152">
        <v>39.985974044597945</v>
      </c>
      <c r="AF6" s="152">
        <v>39.911516567149597</v>
      </c>
      <c r="AG6" s="152">
        <v>46.81966551095163</v>
      </c>
      <c r="AH6" s="152">
        <v>48.479973641053441</v>
      </c>
      <c r="AI6" s="152">
        <v>63.513144084948571</v>
      </c>
      <c r="AJ6" s="152">
        <v>47.75416375519189</v>
      </c>
      <c r="AK6" s="152">
        <v>42.491622402326847</v>
      </c>
      <c r="AL6" s="152">
        <v>35.370937272500285</v>
      </c>
      <c r="AM6" s="152">
        <v>31.566524051619695</v>
      </c>
      <c r="AN6" s="152">
        <v>47.513699789303928</v>
      </c>
      <c r="AO6" s="152">
        <v>55.51072926254998</v>
      </c>
      <c r="AP6" s="152">
        <v>50.51931901515551</v>
      </c>
      <c r="AQ6" s="152">
        <v>67.97902644917751</v>
      </c>
      <c r="AR6" s="152">
        <v>58.722202612663487</v>
      </c>
      <c r="AS6" s="152">
        <v>58.300989004376937</v>
      </c>
      <c r="AT6" s="233">
        <v>66.202349004298227</v>
      </c>
      <c r="AU6" s="234">
        <v>63.476729162326734</v>
      </c>
      <c r="AV6" s="234">
        <v>85.354081653253232</v>
      </c>
      <c r="AW6" s="234">
        <v>76.388530645599175</v>
      </c>
      <c r="AX6" s="234">
        <v>95.067419428295082</v>
      </c>
      <c r="AY6" s="234">
        <v>101.28558356551798</v>
      </c>
      <c r="AZ6" s="234">
        <v>103.45131311630951</v>
      </c>
      <c r="BA6" s="234">
        <v>87.399512455011447</v>
      </c>
      <c r="BB6" s="281">
        <v>92.47104157478141</v>
      </c>
      <c r="BC6" s="281">
        <v>130.90674987719376</v>
      </c>
      <c r="BD6" s="281">
        <v>88.550672864881321</v>
      </c>
      <c r="BE6" s="281">
        <v>88.071535683143566</v>
      </c>
      <c r="BF6" s="281">
        <v>90.766587415403009</v>
      </c>
      <c r="BG6" s="281">
        <v>133.37456051627154</v>
      </c>
      <c r="BH6" s="18">
        <v>101.08670411367972</v>
      </c>
      <c r="BI6" s="18">
        <v>85.913573928656888</v>
      </c>
      <c r="BJ6" s="281">
        <v>111.68889572598758</v>
      </c>
      <c r="BK6" s="281">
        <v>88.31110427401245</v>
      </c>
      <c r="BL6" s="280">
        <f t="shared" si="0"/>
        <v>100.00000000000001</v>
      </c>
      <c r="BM6" s="281">
        <v>112.07057396583727</v>
      </c>
      <c r="BN6" s="281">
        <v>93.500139021168309</v>
      </c>
      <c r="BO6" s="280">
        <f t="shared" si="62"/>
        <v>102.78535649350279</v>
      </c>
      <c r="BP6" s="150" t="s">
        <v>40</v>
      </c>
      <c r="BQ6" s="152">
        <f t="shared" si="1"/>
        <v>16.537365508688751</v>
      </c>
      <c r="BR6" s="152">
        <f t="shared" si="2"/>
        <v>16.385344981926007</v>
      </c>
      <c r="BS6" s="152">
        <f t="shared" si="3"/>
        <v>15.435722782091013</v>
      </c>
      <c r="BT6" s="152">
        <f t="shared" si="4"/>
        <v>19.650749752732075</v>
      </c>
      <c r="BU6" s="152">
        <f t="shared" si="5"/>
        <v>15.64519684972287</v>
      </c>
      <c r="BV6" s="152">
        <f t="shared" si="6"/>
        <v>23.122736634414846</v>
      </c>
      <c r="BW6" s="152">
        <f t="shared" si="7"/>
        <v>24.228717296145319</v>
      </c>
      <c r="BX6" s="152">
        <f t="shared" si="8"/>
        <v>26.294056412119811</v>
      </c>
      <c r="BY6" s="152">
        <f t="shared" si="9"/>
        <v>22.709958006895462</v>
      </c>
      <c r="BZ6" s="152">
        <f t="shared" si="10"/>
        <v>20.783914807961022</v>
      </c>
      <c r="CA6" s="152">
        <f t="shared" si="11"/>
        <v>35.560464246993284</v>
      </c>
      <c r="CB6" s="152">
        <f t="shared" si="12"/>
        <v>25.836163259219983</v>
      </c>
      <c r="CC6" s="152">
        <f t="shared" si="13"/>
        <v>28.222316777899877</v>
      </c>
      <c r="CD6" s="152">
        <f t="shared" si="14"/>
        <v>29.545676189059634</v>
      </c>
      <c r="CE6" s="152">
        <f t="shared" si="15"/>
        <v>28.423886163734306</v>
      </c>
      <c r="CF6" s="152">
        <f t="shared" si="16"/>
        <v>29.486391075578922</v>
      </c>
      <c r="CG6" s="152">
        <f t="shared" si="17"/>
        <v>27.031698181801811</v>
      </c>
      <c r="CH6" s="152">
        <f t="shared" si="18"/>
        <v>29.937343532266372</v>
      </c>
      <c r="CI6" s="152">
        <f t="shared" si="19"/>
        <v>28.113386406788965</v>
      </c>
      <c r="CJ6" s="152">
        <f t="shared" si="20"/>
        <v>35.423385496798858</v>
      </c>
      <c r="CK6" s="152">
        <f t="shared" si="21"/>
        <v>28.561639703838278</v>
      </c>
      <c r="CL6" s="152">
        <f t="shared" si="22"/>
        <v>29.200665748169428</v>
      </c>
      <c r="CM6" s="152">
        <f t="shared" si="23"/>
        <v>49.003918020456773</v>
      </c>
      <c r="CN6" s="152">
        <f t="shared" si="24"/>
        <v>37.181020414024665</v>
      </c>
      <c r="CO6" s="152">
        <f t="shared" si="25"/>
        <v>30.123435320493684</v>
      </c>
      <c r="CP6" s="152">
        <f t="shared" si="26"/>
        <v>35.93139636966027</v>
      </c>
      <c r="CQ6" s="152">
        <f t="shared" si="27"/>
        <v>30.850976778420783</v>
      </c>
      <c r="CR6" s="152">
        <f t="shared" si="28"/>
        <v>39.339768984697763</v>
      </c>
      <c r="CS6" s="152">
        <f t="shared" si="29"/>
        <v>40.541283179054069</v>
      </c>
      <c r="CT6" s="152">
        <f t="shared" si="30"/>
        <v>39.985974044597945</v>
      </c>
      <c r="CU6" s="152">
        <f t="shared" si="31"/>
        <v>39.911516567149597</v>
      </c>
      <c r="CV6" s="152">
        <f t="shared" si="32"/>
        <v>46.81966551095163</v>
      </c>
      <c r="CW6" s="152">
        <f t="shared" si="33"/>
        <v>48.479973641053441</v>
      </c>
      <c r="CX6" s="152">
        <f t="shared" si="34"/>
        <v>63.513144084948571</v>
      </c>
      <c r="CY6" s="152">
        <f t="shared" si="35"/>
        <v>47.75416375519189</v>
      </c>
      <c r="CZ6" s="152">
        <f t="shared" si="36"/>
        <v>42.491622402326847</v>
      </c>
      <c r="DA6" s="152">
        <f t="shared" si="37"/>
        <v>35.370937272500285</v>
      </c>
      <c r="DB6" s="152">
        <f t="shared" si="38"/>
        <v>31.566524051619695</v>
      </c>
      <c r="DC6" s="152">
        <f t="shared" si="39"/>
        <v>47.513699789303928</v>
      </c>
      <c r="DD6" s="152">
        <f t="shared" si="40"/>
        <v>55.51072926254998</v>
      </c>
      <c r="DE6" s="152">
        <f t="shared" si="41"/>
        <v>50.51931901515551</v>
      </c>
      <c r="DF6" s="152">
        <f t="shared" si="42"/>
        <v>67.97902644917751</v>
      </c>
      <c r="DG6" s="152">
        <f t="shared" si="43"/>
        <v>58.722202612663487</v>
      </c>
      <c r="DH6" s="152">
        <f t="shared" si="44"/>
        <v>58.300989004376937</v>
      </c>
      <c r="DI6" s="233">
        <f t="shared" si="45"/>
        <v>66.202349004298227</v>
      </c>
      <c r="DJ6" s="234">
        <f t="shared" si="46"/>
        <v>63.476729162326734</v>
      </c>
      <c r="DK6" s="234">
        <f t="shared" si="47"/>
        <v>85.354081653253232</v>
      </c>
      <c r="DL6" s="234">
        <f t="shared" si="48"/>
        <v>76.388530645599175</v>
      </c>
      <c r="DM6" s="234">
        <f t="shared" si="49"/>
        <v>95.067419428295082</v>
      </c>
      <c r="DN6" s="234">
        <f t="shared" si="50"/>
        <v>101.28558356551798</v>
      </c>
      <c r="DO6" s="234">
        <f t="shared" si="51"/>
        <v>103.45131311630951</v>
      </c>
      <c r="DP6" s="234">
        <f t="shared" si="52"/>
        <v>87.399512455011447</v>
      </c>
      <c r="DQ6" s="281">
        <f t="shared" si="53"/>
        <v>92.47104157478141</v>
      </c>
      <c r="DR6" s="281">
        <f t="shared" si="54"/>
        <v>130.90674987719376</v>
      </c>
      <c r="DS6" s="281">
        <f t="shared" si="55"/>
        <v>88.550672864881321</v>
      </c>
      <c r="DT6" s="281">
        <f t="shared" si="56"/>
        <v>88.071535683143566</v>
      </c>
      <c r="DU6" s="281">
        <f t="shared" si="57"/>
        <v>90.766587415403009</v>
      </c>
      <c r="DV6" s="281">
        <f t="shared" si="58"/>
        <v>133.37456051627154</v>
      </c>
      <c r="DW6" s="18">
        <f t="shared" si="59"/>
        <v>101.08670411367972</v>
      </c>
      <c r="DX6" s="18">
        <f t="shared" si="60"/>
        <v>85.913573928656888</v>
      </c>
      <c r="DY6" s="281">
        <f t="shared" si="63"/>
        <v>98.176501496906525</v>
      </c>
      <c r="DZ6" s="281">
        <f t="shared" si="64"/>
        <v>95.425412785660484</v>
      </c>
      <c r="EA6" s="281">
        <f t="shared" si="65"/>
        <v>96.800957141283504</v>
      </c>
      <c r="EB6" s="281">
        <f t="shared" si="66"/>
        <v>111.68889572598758</v>
      </c>
      <c r="EC6" s="281">
        <f t="shared" si="67"/>
        <v>88.31110427401245</v>
      </c>
      <c r="ED6" s="281">
        <f t="shared" si="68"/>
        <v>100.00000000000001</v>
      </c>
      <c r="EE6" s="281">
        <f t="shared" si="69"/>
        <v>112.07057396583727</v>
      </c>
      <c r="EF6" s="281">
        <f t="shared" si="61"/>
        <v>93.500139021168309</v>
      </c>
      <c r="EG6" s="281">
        <f t="shared" si="70"/>
        <v>102.78535649350279</v>
      </c>
    </row>
    <row r="7" spans="1:137" ht="16.5" customHeight="1">
      <c r="A7" s="150" t="s">
        <v>42</v>
      </c>
      <c r="B7" s="152">
        <v>19.189487959047479</v>
      </c>
      <c r="C7" s="152">
        <v>20.928349982610342</v>
      </c>
      <c r="D7" s="152">
        <v>22.56174226247153</v>
      </c>
      <c r="E7" s="152">
        <v>22.58741532463948</v>
      </c>
      <c r="F7" s="152">
        <v>25.302379182617301</v>
      </c>
      <c r="G7" s="152">
        <v>25.277381727348502</v>
      </c>
      <c r="H7" s="152">
        <v>23.39521597373118</v>
      </c>
      <c r="I7" s="152">
        <v>24.421462853550207</v>
      </c>
      <c r="J7" s="152">
        <v>23.314668617865049</v>
      </c>
      <c r="K7" s="152">
        <v>23.782789131547407</v>
      </c>
      <c r="L7" s="152">
        <v>22.135134039370694</v>
      </c>
      <c r="M7" s="152">
        <v>21.105358990189401</v>
      </c>
      <c r="N7" s="152">
        <v>20.480948080502131</v>
      </c>
      <c r="O7" s="152">
        <v>23.549029144439185</v>
      </c>
      <c r="P7" s="152">
        <v>23.712075609435672</v>
      </c>
      <c r="Q7" s="152">
        <v>22.338791985749818</v>
      </c>
      <c r="R7" s="152">
        <v>24.963299586673873</v>
      </c>
      <c r="S7" s="152">
        <v>25.620439897253629</v>
      </c>
      <c r="T7" s="152">
        <v>28.703159110672413</v>
      </c>
      <c r="U7" s="152">
        <v>28.058555061443681</v>
      </c>
      <c r="V7" s="152">
        <v>26.389580818226914</v>
      </c>
      <c r="W7" s="152">
        <v>29.011611193854066</v>
      </c>
      <c r="X7" s="152">
        <v>33.203676935688151</v>
      </c>
      <c r="Y7" s="152">
        <v>30.698301351315394</v>
      </c>
      <c r="Z7" s="152">
        <v>30.792721997935221</v>
      </c>
      <c r="AA7" s="152">
        <v>38.088469386333252</v>
      </c>
      <c r="AB7" s="152">
        <v>36.98241013284786</v>
      </c>
      <c r="AC7" s="152">
        <v>39.987091479731276</v>
      </c>
      <c r="AD7" s="152">
        <v>39.000119927247006</v>
      </c>
      <c r="AE7" s="152">
        <v>42.654093506368859</v>
      </c>
      <c r="AF7" s="152">
        <v>42.535385088499254</v>
      </c>
      <c r="AG7" s="152">
        <v>48.031041448171869</v>
      </c>
      <c r="AH7" s="152">
        <v>48.537973615175453</v>
      </c>
      <c r="AI7" s="152">
        <v>63.490067731942446</v>
      </c>
      <c r="AJ7" s="152">
        <v>56.004348700750739</v>
      </c>
      <c r="AK7" s="152">
        <v>57.380785763026132</v>
      </c>
      <c r="AL7" s="152">
        <v>57.01136933381084</v>
      </c>
      <c r="AM7" s="152">
        <v>41.731037258424415</v>
      </c>
      <c r="AN7" s="152">
        <v>58.788747723976833</v>
      </c>
      <c r="AO7" s="152">
        <v>67.855507964983119</v>
      </c>
      <c r="AP7" s="152">
        <v>56.01481248131433</v>
      </c>
      <c r="AQ7" s="152">
        <v>70.746466844604001</v>
      </c>
      <c r="AR7" s="152">
        <v>62.489133622471087</v>
      </c>
      <c r="AS7" s="152">
        <v>66.280715565008862</v>
      </c>
      <c r="AT7" s="233">
        <v>61.928633414406022</v>
      </c>
      <c r="AU7" s="234">
        <v>75.373348955734002</v>
      </c>
      <c r="AV7" s="234">
        <v>86.467887273679551</v>
      </c>
      <c r="AW7" s="234">
        <v>60.864258610882587</v>
      </c>
      <c r="AX7" s="234">
        <v>63.222051549821153</v>
      </c>
      <c r="AY7" s="234">
        <v>83.446008644266882</v>
      </c>
      <c r="AZ7" s="234">
        <v>113.42760282183667</v>
      </c>
      <c r="BA7" s="234">
        <v>77.547897850533744</v>
      </c>
      <c r="BB7" s="281">
        <v>88.315292547337847</v>
      </c>
      <c r="BC7" s="281">
        <v>117.6521637920323</v>
      </c>
      <c r="BD7" s="281">
        <v>108.7572328877925</v>
      </c>
      <c r="BE7" s="281">
        <v>85.275310772837429</v>
      </c>
      <c r="BF7" s="281">
        <v>90.103730391085321</v>
      </c>
      <c r="BG7" s="281">
        <v>111.55817296052417</v>
      </c>
      <c r="BH7" s="18">
        <v>112.94217012124614</v>
      </c>
      <c r="BI7" s="18">
        <v>88.25292239024877</v>
      </c>
      <c r="BJ7" s="281">
        <v>102.98372816968507</v>
      </c>
      <c r="BK7" s="281">
        <v>97.016271830314963</v>
      </c>
      <c r="BL7" s="280">
        <f t="shared" si="0"/>
        <v>100.00000000000001</v>
      </c>
      <c r="BM7" s="281">
        <v>100.83095167580476</v>
      </c>
      <c r="BN7" s="281">
        <v>100.59754625574746</v>
      </c>
      <c r="BO7" s="280">
        <f t="shared" si="62"/>
        <v>100.71424896577611</v>
      </c>
      <c r="BP7" s="150" t="s">
        <v>42</v>
      </c>
      <c r="BQ7" s="152">
        <f t="shared" si="1"/>
        <v>19.189487959047479</v>
      </c>
      <c r="BR7" s="152">
        <f t="shared" si="2"/>
        <v>20.928349982610342</v>
      </c>
      <c r="BS7" s="152">
        <f t="shared" si="3"/>
        <v>22.56174226247153</v>
      </c>
      <c r="BT7" s="152">
        <f t="shared" si="4"/>
        <v>22.58741532463948</v>
      </c>
      <c r="BU7" s="152">
        <f t="shared" si="5"/>
        <v>25.302379182617301</v>
      </c>
      <c r="BV7" s="152">
        <f t="shared" si="6"/>
        <v>25.277381727348502</v>
      </c>
      <c r="BW7" s="152">
        <f t="shared" si="7"/>
        <v>23.39521597373118</v>
      </c>
      <c r="BX7" s="152">
        <f t="shared" si="8"/>
        <v>24.421462853550207</v>
      </c>
      <c r="BY7" s="152">
        <f t="shared" si="9"/>
        <v>23.314668617865049</v>
      </c>
      <c r="BZ7" s="152">
        <f t="shared" si="10"/>
        <v>23.782789131547407</v>
      </c>
      <c r="CA7" s="152">
        <f t="shared" si="11"/>
        <v>22.135134039370694</v>
      </c>
      <c r="CB7" s="152">
        <f t="shared" si="12"/>
        <v>21.105358990189401</v>
      </c>
      <c r="CC7" s="152">
        <f t="shared" si="13"/>
        <v>20.480948080502131</v>
      </c>
      <c r="CD7" s="152">
        <f t="shared" si="14"/>
        <v>23.549029144439185</v>
      </c>
      <c r="CE7" s="152">
        <f t="shared" si="15"/>
        <v>23.712075609435672</v>
      </c>
      <c r="CF7" s="152">
        <f t="shared" si="16"/>
        <v>22.338791985749818</v>
      </c>
      <c r="CG7" s="152">
        <f t="shared" si="17"/>
        <v>24.963299586673873</v>
      </c>
      <c r="CH7" s="152">
        <f t="shared" si="18"/>
        <v>25.620439897253629</v>
      </c>
      <c r="CI7" s="152">
        <f t="shared" si="19"/>
        <v>28.703159110672413</v>
      </c>
      <c r="CJ7" s="152">
        <f t="shared" si="20"/>
        <v>28.058555061443681</v>
      </c>
      <c r="CK7" s="152">
        <f t="shared" si="21"/>
        <v>26.389580818226914</v>
      </c>
      <c r="CL7" s="152">
        <f t="shared" si="22"/>
        <v>29.011611193854066</v>
      </c>
      <c r="CM7" s="152">
        <f t="shared" si="23"/>
        <v>33.203676935688151</v>
      </c>
      <c r="CN7" s="152">
        <f t="shared" si="24"/>
        <v>30.698301351315394</v>
      </c>
      <c r="CO7" s="152">
        <f t="shared" si="25"/>
        <v>30.792721997935221</v>
      </c>
      <c r="CP7" s="152">
        <f t="shared" si="26"/>
        <v>38.088469386333252</v>
      </c>
      <c r="CQ7" s="152">
        <f t="shared" si="27"/>
        <v>36.98241013284786</v>
      </c>
      <c r="CR7" s="152">
        <f t="shared" si="28"/>
        <v>39.987091479731276</v>
      </c>
      <c r="CS7" s="152">
        <f t="shared" si="29"/>
        <v>39.000119927247006</v>
      </c>
      <c r="CT7" s="152">
        <f t="shared" si="30"/>
        <v>42.654093506368859</v>
      </c>
      <c r="CU7" s="152">
        <f t="shared" si="31"/>
        <v>42.535385088499254</v>
      </c>
      <c r="CV7" s="152">
        <f t="shared" si="32"/>
        <v>48.031041448171869</v>
      </c>
      <c r="CW7" s="152">
        <f t="shared" si="33"/>
        <v>48.537973615175453</v>
      </c>
      <c r="CX7" s="152">
        <f t="shared" si="34"/>
        <v>63.490067731942446</v>
      </c>
      <c r="CY7" s="152">
        <f t="shared" si="35"/>
        <v>56.004348700750739</v>
      </c>
      <c r="CZ7" s="152">
        <f t="shared" si="36"/>
        <v>57.380785763026132</v>
      </c>
      <c r="DA7" s="152">
        <f t="shared" si="37"/>
        <v>57.01136933381084</v>
      </c>
      <c r="DB7" s="152">
        <f t="shared" si="38"/>
        <v>41.731037258424415</v>
      </c>
      <c r="DC7" s="152">
        <f t="shared" si="39"/>
        <v>58.788747723976833</v>
      </c>
      <c r="DD7" s="152">
        <f t="shared" si="40"/>
        <v>67.855507964983119</v>
      </c>
      <c r="DE7" s="152">
        <f t="shared" si="41"/>
        <v>56.01481248131433</v>
      </c>
      <c r="DF7" s="152">
        <f t="shared" si="42"/>
        <v>70.746466844604001</v>
      </c>
      <c r="DG7" s="152">
        <f t="shared" si="43"/>
        <v>62.489133622471087</v>
      </c>
      <c r="DH7" s="152">
        <f t="shared" si="44"/>
        <v>66.280715565008862</v>
      </c>
      <c r="DI7" s="233">
        <f t="shared" si="45"/>
        <v>61.928633414406022</v>
      </c>
      <c r="DJ7" s="234">
        <f t="shared" si="46"/>
        <v>75.373348955734002</v>
      </c>
      <c r="DK7" s="234">
        <f t="shared" si="47"/>
        <v>86.467887273679551</v>
      </c>
      <c r="DL7" s="234">
        <f t="shared" si="48"/>
        <v>60.864258610882587</v>
      </c>
      <c r="DM7" s="234">
        <f t="shared" si="49"/>
        <v>63.222051549821153</v>
      </c>
      <c r="DN7" s="234">
        <f t="shared" si="50"/>
        <v>83.446008644266882</v>
      </c>
      <c r="DO7" s="234">
        <f t="shared" si="51"/>
        <v>113.42760282183667</v>
      </c>
      <c r="DP7" s="234">
        <f t="shared" si="52"/>
        <v>77.547897850533744</v>
      </c>
      <c r="DQ7" s="281">
        <f t="shared" si="53"/>
        <v>88.315292547337847</v>
      </c>
      <c r="DR7" s="281">
        <f t="shared" si="54"/>
        <v>117.6521637920323</v>
      </c>
      <c r="DS7" s="281">
        <f t="shared" si="55"/>
        <v>108.7572328877925</v>
      </c>
      <c r="DT7" s="281">
        <f t="shared" si="56"/>
        <v>85.275310772837429</v>
      </c>
      <c r="DU7" s="281">
        <f t="shared" si="57"/>
        <v>90.103730391085321</v>
      </c>
      <c r="DV7" s="281">
        <f t="shared" si="58"/>
        <v>111.55817296052417</v>
      </c>
      <c r="DW7" s="18">
        <f t="shared" si="59"/>
        <v>112.94217012124614</v>
      </c>
      <c r="DX7" s="18">
        <f t="shared" si="60"/>
        <v>88.25292239024877</v>
      </c>
      <c r="DY7" s="281">
        <f t="shared" si="63"/>
        <v>73.334030097044021</v>
      </c>
      <c r="DZ7" s="281">
        <f t="shared" si="64"/>
        <v>95.487750336185201</v>
      </c>
      <c r="EA7" s="281">
        <f t="shared" si="65"/>
        <v>84.410890216614604</v>
      </c>
      <c r="EB7" s="281">
        <f t="shared" si="66"/>
        <v>102.98372816968507</v>
      </c>
      <c r="EC7" s="281">
        <f t="shared" si="67"/>
        <v>97.016271830314963</v>
      </c>
      <c r="ED7" s="281">
        <f t="shared" si="68"/>
        <v>100.00000000000001</v>
      </c>
      <c r="EE7" s="281">
        <f t="shared" si="69"/>
        <v>100.83095167580476</v>
      </c>
      <c r="EF7" s="281">
        <f t="shared" si="61"/>
        <v>100.59754625574746</v>
      </c>
      <c r="EG7" s="281">
        <f t="shared" si="70"/>
        <v>100.71424896577611</v>
      </c>
    </row>
    <row r="8" spans="1:137" ht="16.5" customHeight="1">
      <c r="A8" s="150" t="s">
        <v>359</v>
      </c>
      <c r="B8" s="152">
        <v>15.748849095577159</v>
      </c>
      <c r="C8" s="152">
        <v>19.880024017169458</v>
      </c>
      <c r="D8" s="152">
        <v>23.79635639493695</v>
      </c>
      <c r="E8" s="152">
        <v>21.063021222316451</v>
      </c>
      <c r="F8" s="152">
        <v>19.73752270214522</v>
      </c>
      <c r="G8" s="152">
        <v>22.816205449441799</v>
      </c>
      <c r="H8" s="152">
        <v>24.927369702001119</v>
      </c>
      <c r="I8" s="152">
        <v>21.010946443292926</v>
      </c>
      <c r="J8" s="152">
        <v>21.306036857759565</v>
      </c>
      <c r="K8" s="152">
        <v>21.228333653457451</v>
      </c>
      <c r="L8" s="152">
        <v>21.487253453523806</v>
      </c>
      <c r="M8" s="152">
        <v>23.0738529163383</v>
      </c>
      <c r="N8" s="152">
        <v>23.008963924675481</v>
      </c>
      <c r="O8" s="152">
        <v>28.385298614856467</v>
      </c>
      <c r="P8" s="152">
        <v>29.125614757833144</v>
      </c>
      <c r="Q8" s="152">
        <v>28.537251547713939</v>
      </c>
      <c r="R8" s="152">
        <v>25.626335016957373</v>
      </c>
      <c r="S8" s="152">
        <v>24.121801043598804</v>
      </c>
      <c r="T8" s="152">
        <v>39.84465819013456</v>
      </c>
      <c r="U8" s="152">
        <v>44.471861286090558</v>
      </c>
      <c r="V8" s="152">
        <v>39.879465590424275</v>
      </c>
      <c r="W8" s="152">
        <v>46.515773642528735</v>
      </c>
      <c r="X8" s="152">
        <v>44.738233323294658</v>
      </c>
      <c r="Y8" s="152">
        <v>51.958178776601706</v>
      </c>
      <c r="Z8" s="152">
        <v>46.864497738588362</v>
      </c>
      <c r="AA8" s="152">
        <v>52.021322150336857</v>
      </c>
      <c r="AB8" s="152">
        <v>56.961030979140048</v>
      </c>
      <c r="AC8" s="152">
        <v>57.168440762941145</v>
      </c>
      <c r="AD8" s="152">
        <v>48.269855354742539</v>
      </c>
      <c r="AE8" s="152">
        <v>41.47263831181693</v>
      </c>
      <c r="AF8" s="152">
        <v>78.467085494725396</v>
      </c>
      <c r="AG8" s="152">
        <v>72.256824640983041</v>
      </c>
      <c r="AH8" s="152">
        <v>64.3350426665193</v>
      </c>
      <c r="AI8" s="152">
        <v>69.227678042155347</v>
      </c>
      <c r="AJ8" s="152">
        <v>73.430863648092611</v>
      </c>
      <c r="AK8" s="152">
        <v>62.591761933137867</v>
      </c>
      <c r="AL8" s="152">
        <v>61.639969438535019</v>
      </c>
      <c r="AM8" s="152">
        <v>60.16893375431092</v>
      </c>
      <c r="AN8" s="152">
        <v>100.08360002127857</v>
      </c>
      <c r="AO8" s="152">
        <v>95.745631631672723</v>
      </c>
      <c r="AP8" s="152">
        <v>77.441130954734874</v>
      </c>
      <c r="AQ8" s="152">
        <v>103.53373548036241</v>
      </c>
      <c r="AR8" s="152">
        <v>70.81461604497342</v>
      </c>
      <c r="AS8" s="152">
        <v>97.264119415115943</v>
      </c>
      <c r="AT8" s="233">
        <v>83.243860793049365</v>
      </c>
      <c r="AU8" s="234">
        <v>80.517333290514003</v>
      </c>
      <c r="AV8" s="234">
        <v>86.717930987215823</v>
      </c>
      <c r="AW8" s="234">
        <v>109.5651185665174</v>
      </c>
      <c r="AX8" s="234">
        <v>91.253811489505495</v>
      </c>
      <c r="AY8" s="234">
        <v>82.770888323402815</v>
      </c>
      <c r="AZ8" s="234">
        <v>128.87992209961695</v>
      </c>
      <c r="BA8" s="234">
        <v>91.787154626428219</v>
      </c>
      <c r="BB8" s="281">
        <v>91.757091805219787</v>
      </c>
      <c r="BC8" s="281">
        <v>121.85541564830089</v>
      </c>
      <c r="BD8" s="281">
        <v>96.720002659136284</v>
      </c>
      <c r="BE8" s="281">
        <v>89.667489887343052</v>
      </c>
      <c r="BF8" s="281">
        <v>101.26396619089348</v>
      </c>
      <c r="BG8" s="281">
        <v>124.18164140798773</v>
      </c>
      <c r="BH8" s="18">
        <v>121.69267269227845</v>
      </c>
      <c r="BI8" s="18">
        <v>92.736574755436507</v>
      </c>
      <c r="BJ8" s="281">
        <v>106.80625372676033</v>
      </c>
      <c r="BK8" s="281">
        <v>93.193746273239668</v>
      </c>
      <c r="BL8" s="280">
        <f t="shared" si="0"/>
        <v>100</v>
      </c>
      <c r="BM8" s="281">
        <v>112.72280379944061</v>
      </c>
      <c r="BN8" s="281">
        <v>107.21462372385747</v>
      </c>
      <c r="BO8" s="280">
        <f t="shared" si="62"/>
        <v>109.96871376164904</v>
      </c>
      <c r="BP8" s="150" t="s">
        <v>359</v>
      </c>
      <c r="BQ8" s="152">
        <f t="shared" si="1"/>
        <v>15.748849095577159</v>
      </c>
      <c r="BR8" s="152">
        <f t="shared" si="2"/>
        <v>19.880024017169458</v>
      </c>
      <c r="BS8" s="152">
        <f t="shared" si="3"/>
        <v>23.79635639493695</v>
      </c>
      <c r="BT8" s="152">
        <f t="shared" si="4"/>
        <v>21.063021222316451</v>
      </c>
      <c r="BU8" s="152">
        <f t="shared" si="5"/>
        <v>19.73752270214522</v>
      </c>
      <c r="BV8" s="152">
        <f t="shared" si="6"/>
        <v>22.816205449441799</v>
      </c>
      <c r="BW8" s="152">
        <f t="shared" si="7"/>
        <v>24.927369702001119</v>
      </c>
      <c r="BX8" s="152">
        <f t="shared" si="8"/>
        <v>21.010946443292926</v>
      </c>
      <c r="BY8" s="152">
        <f t="shared" si="9"/>
        <v>21.306036857759565</v>
      </c>
      <c r="BZ8" s="152">
        <f t="shared" si="10"/>
        <v>21.228333653457451</v>
      </c>
      <c r="CA8" s="152">
        <f t="shared" si="11"/>
        <v>21.487253453523806</v>
      </c>
      <c r="CB8" s="152">
        <f t="shared" si="12"/>
        <v>23.0738529163383</v>
      </c>
      <c r="CC8" s="152">
        <f t="shared" si="13"/>
        <v>23.008963924675481</v>
      </c>
      <c r="CD8" s="152">
        <f t="shared" si="14"/>
        <v>28.385298614856467</v>
      </c>
      <c r="CE8" s="152">
        <f t="shared" si="15"/>
        <v>29.125614757833144</v>
      </c>
      <c r="CF8" s="152">
        <f t="shared" si="16"/>
        <v>28.537251547713939</v>
      </c>
      <c r="CG8" s="152">
        <f t="shared" si="17"/>
        <v>25.626335016957373</v>
      </c>
      <c r="CH8" s="152">
        <f t="shared" si="18"/>
        <v>24.121801043598804</v>
      </c>
      <c r="CI8" s="152">
        <f t="shared" si="19"/>
        <v>39.84465819013456</v>
      </c>
      <c r="CJ8" s="152">
        <f t="shared" si="20"/>
        <v>44.471861286090558</v>
      </c>
      <c r="CK8" s="152">
        <f t="shared" si="21"/>
        <v>39.879465590424275</v>
      </c>
      <c r="CL8" s="152">
        <f t="shared" si="22"/>
        <v>46.515773642528735</v>
      </c>
      <c r="CM8" s="152">
        <f t="shared" si="23"/>
        <v>44.738233323294658</v>
      </c>
      <c r="CN8" s="152">
        <f t="shared" si="24"/>
        <v>51.958178776601706</v>
      </c>
      <c r="CO8" s="152">
        <f t="shared" si="25"/>
        <v>46.864497738588362</v>
      </c>
      <c r="CP8" s="152">
        <f t="shared" si="26"/>
        <v>52.021322150336857</v>
      </c>
      <c r="CQ8" s="152">
        <f t="shared" si="27"/>
        <v>56.961030979140048</v>
      </c>
      <c r="CR8" s="152">
        <f t="shared" si="28"/>
        <v>57.168440762941145</v>
      </c>
      <c r="CS8" s="152">
        <f t="shared" si="29"/>
        <v>48.269855354742539</v>
      </c>
      <c r="CT8" s="152">
        <f t="shared" si="30"/>
        <v>41.47263831181693</v>
      </c>
      <c r="CU8" s="152">
        <f t="shared" si="31"/>
        <v>78.467085494725396</v>
      </c>
      <c r="CV8" s="152">
        <f t="shared" si="32"/>
        <v>72.256824640983041</v>
      </c>
      <c r="CW8" s="152">
        <f t="shared" si="33"/>
        <v>64.3350426665193</v>
      </c>
      <c r="CX8" s="152">
        <f t="shared" si="34"/>
        <v>69.227678042155347</v>
      </c>
      <c r="CY8" s="152">
        <f t="shared" si="35"/>
        <v>73.430863648092611</v>
      </c>
      <c r="CZ8" s="152">
        <f t="shared" si="36"/>
        <v>62.591761933137867</v>
      </c>
      <c r="DA8" s="152">
        <f t="shared" si="37"/>
        <v>61.639969438535019</v>
      </c>
      <c r="DB8" s="152">
        <f t="shared" si="38"/>
        <v>60.16893375431092</v>
      </c>
      <c r="DC8" s="152">
        <f t="shared" si="39"/>
        <v>100.08360002127857</v>
      </c>
      <c r="DD8" s="152">
        <f t="shared" si="40"/>
        <v>95.745631631672723</v>
      </c>
      <c r="DE8" s="152">
        <f t="shared" si="41"/>
        <v>77.441130954734874</v>
      </c>
      <c r="DF8" s="152">
        <f t="shared" si="42"/>
        <v>103.53373548036241</v>
      </c>
      <c r="DG8" s="152">
        <f t="shared" si="43"/>
        <v>70.81461604497342</v>
      </c>
      <c r="DH8" s="152">
        <f t="shared" si="44"/>
        <v>97.264119415115943</v>
      </c>
      <c r="DI8" s="233">
        <f t="shared" si="45"/>
        <v>83.243860793049365</v>
      </c>
      <c r="DJ8" s="234">
        <f t="shared" si="46"/>
        <v>80.517333290514003</v>
      </c>
      <c r="DK8" s="234">
        <f t="shared" si="47"/>
        <v>86.717930987215823</v>
      </c>
      <c r="DL8" s="234">
        <f t="shared" si="48"/>
        <v>109.5651185665174</v>
      </c>
      <c r="DM8" s="234">
        <f t="shared" si="49"/>
        <v>91.253811489505495</v>
      </c>
      <c r="DN8" s="234">
        <f t="shared" si="50"/>
        <v>82.770888323402815</v>
      </c>
      <c r="DO8" s="234">
        <f t="shared" si="51"/>
        <v>128.87992209961695</v>
      </c>
      <c r="DP8" s="234">
        <f t="shared" si="52"/>
        <v>91.787154626428219</v>
      </c>
      <c r="DQ8" s="281">
        <f t="shared" si="53"/>
        <v>91.757091805219787</v>
      </c>
      <c r="DR8" s="281">
        <f t="shared" si="54"/>
        <v>121.85541564830089</v>
      </c>
      <c r="DS8" s="281">
        <f t="shared" si="55"/>
        <v>96.720002659136284</v>
      </c>
      <c r="DT8" s="281">
        <f t="shared" si="56"/>
        <v>89.667489887343052</v>
      </c>
      <c r="DU8" s="281">
        <f t="shared" si="57"/>
        <v>101.26396619089348</v>
      </c>
      <c r="DV8" s="281">
        <f t="shared" si="58"/>
        <v>124.18164140798773</v>
      </c>
      <c r="DW8" s="18">
        <f t="shared" si="59"/>
        <v>121.69267269227845</v>
      </c>
      <c r="DX8" s="18">
        <f t="shared" si="60"/>
        <v>92.736574755436507</v>
      </c>
      <c r="DY8" s="281">
        <f t="shared" si="63"/>
        <v>87.012349906454148</v>
      </c>
      <c r="DZ8" s="281">
        <f t="shared" si="64"/>
        <v>110.33353836302258</v>
      </c>
      <c r="EA8" s="281">
        <f t="shared" si="65"/>
        <v>98.672944134738373</v>
      </c>
      <c r="EB8" s="281">
        <f t="shared" si="66"/>
        <v>106.80625372676033</v>
      </c>
      <c r="EC8" s="281">
        <f t="shared" si="67"/>
        <v>93.193746273239668</v>
      </c>
      <c r="ED8" s="281">
        <f t="shared" si="68"/>
        <v>100</v>
      </c>
      <c r="EE8" s="281">
        <f t="shared" si="69"/>
        <v>112.72280379944061</v>
      </c>
      <c r="EF8" s="281">
        <f t="shared" si="61"/>
        <v>107.21462372385747</v>
      </c>
      <c r="EG8" s="281">
        <f t="shared" si="70"/>
        <v>109.96871376164904</v>
      </c>
    </row>
    <row r="9" spans="1:137" ht="16.5" customHeight="1">
      <c r="A9" s="150" t="s">
        <v>46</v>
      </c>
      <c r="B9" s="152">
        <v>9.1038728477690345</v>
      </c>
      <c r="C9" s="152">
        <v>16.101369353965271</v>
      </c>
      <c r="D9" s="152">
        <v>23.453847423462232</v>
      </c>
      <c r="E9" s="152">
        <v>19.294162361325249</v>
      </c>
      <c r="F9" s="152">
        <v>21.089889013762992</v>
      </c>
      <c r="G9" s="152">
        <v>20.612933564636311</v>
      </c>
      <c r="H9" s="152">
        <v>24.846586726209921</v>
      </c>
      <c r="I9" s="152">
        <v>22.727719083076632</v>
      </c>
      <c r="J9" s="152">
        <v>14.837216979046156</v>
      </c>
      <c r="K9" s="152">
        <v>19.224684599050892</v>
      </c>
      <c r="L9" s="152">
        <v>21.513531914399469</v>
      </c>
      <c r="M9" s="152">
        <v>17.32706811427661</v>
      </c>
      <c r="N9" s="152">
        <v>20.081114359636114</v>
      </c>
      <c r="O9" s="152">
        <v>24.31811486345795</v>
      </c>
      <c r="P9" s="152">
        <v>28.174824630882657</v>
      </c>
      <c r="Q9" s="152">
        <v>25.396938777316205</v>
      </c>
      <c r="R9" s="152">
        <v>29.817553249827863</v>
      </c>
      <c r="S9" s="152">
        <v>34.032918492776957</v>
      </c>
      <c r="T9" s="152">
        <v>42.343716155195686</v>
      </c>
      <c r="U9" s="152">
        <v>34.336546927440104</v>
      </c>
      <c r="V9" s="152">
        <v>36.866484527155528</v>
      </c>
      <c r="W9" s="152">
        <v>45.856384453496823</v>
      </c>
      <c r="X9" s="152">
        <v>43.16479471593977</v>
      </c>
      <c r="Y9" s="152">
        <v>39.865621539080983</v>
      </c>
      <c r="Z9" s="152">
        <v>37.969889627388149</v>
      </c>
      <c r="AA9" s="152">
        <v>42.979983315100156</v>
      </c>
      <c r="AB9" s="152">
        <v>42.367991273866913</v>
      </c>
      <c r="AC9" s="152">
        <v>41.789302322914502</v>
      </c>
      <c r="AD9" s="152">
        <v>41.960644111644655</v>
      </c>
      <c r="AE9" s="152">
        <v>58.833114682658881</v>
      </c>
      <c r="AF9" s="152">
        <v>59.951791981528721</v>
      </c>
      <c r="AG9" s="152">
        <v>47.725986559268385</v>
      </c>
      <c r="AH9" s="152">
        <v>49.233037525123365</v>
      </c>
      <c r="AI9" s="152">
        <v>74.563045431606994</v>
      </c>
      <c r="AJ9" s="152">
        <v>64.382306342993601</v>
      </c>
      <c r="AK9" s="152">
        <v>57.943378200890557</v>
      </c>
      <c r="AL9" s="152">
        <v>54.92542344081901</v>
      </c>
      <c r="AM9" s="152">
        <v>46.645218677096331</v>
      </c>
      <c r="AN9" s="152">
        <v>89.0978982843409</v>
      </c>
      <c r="AO9" s="152">
        <v>93.213443055363157</v>
      </c>
      <c r="AP9" s="152">
        <v>65.213990529422247</v>
      </c>
      <c r="AQ9" s="152">
        <v>73.680449220496584</v>
      </c>
      <c r="AR9" s="152">
        <v>73.881309733429489</v>
      </c>
      <c r="AS9" s="152">
        <v>73.572649211184697</v>
      </c>
      <c r="AT9" s="233">
        <v>70.372748746133652</v>
      </c>
      <c r="AU9" s="234">
        <v>68.793421744733337</v>
      </c>
      <c r="AV9" s="234">
        <v>86.626898556459807</v>
      </c>
      <c r="AW9" s="234">
        <v>79.582752961462063</v>
      </c>
      <c r="AX9" s="234">
        <v>82.866824178870729</v>
      </c>
      <c r="AY9" s="234">
        <v>83.535927994671582</v>
      </c>
      <c r="AZ9" s="234">
        <v>95.598534477215765</v>
      </c>
      <c r="BA9" s="234">
        <v>79.97535859766343</v>
      </c>
      <c r="BB9" s="281">
        <v>90.064799180312889</v>
      </c>
      <c r="BC9" s="281">
        <v>111.71066837261766</v>
      </c>
      <c r="BD9" s="281">
        <v>102.57705340503561</v>
      </c>
      <c r="BE9" s="281">
        <v>95.647479042033765</v>
      </c>
      <c r="BF9" s="281">
        <v>100.64572618610929</v>
      </c>
      <c r="BG9" s="281">
        <v>110.40600754799641</v>
      </c>
      <c r="BH9" s="18">
        <v>114.2063896029252</v>
      </c>
      <c r="BI9" s="18">
        <v>97.604756128245867</v>
      </c>
      <c r="BJ9" s="281">
        <v>100.88773377646527</v>
      </c>
      <c r="BK9" s="281">
        <v>99.112266223534689</v>
      </c>
      <c r="BL9" s="280">
        <f t="shared" si="0"/>
        <v>99.999999999999972</v>
      </c>
      <c r="BM9" s="281">
        <v>105.52586686705286</v>
      </c>
      <c r="BN9" s="281">
        <v>105.90557286558553</v>
      </c>
      <c r="BO9" s="280">
        <f t="shared" si="62"/>
        <v>105.71571986631919</v>
      </c>
      <c r="BP9" s="150" t="s">
        <v>46</v>
      </c>
      <c r="BQ9" s="152">
        <f t="shared" si="1"/>
        <v>9.1038728477690345</v>
      </c>
      <c r="BR9" s="152">
        <f t="shared" si="2"/>
        <v>16.101369353965271</v>
      </c>
      <c r="BS9" s="152">
        <f t="shared" si="3"/>
        <v>23.453847423462232</v>
      </c>
      <c r="BT9" s="152">
        <f t="shared" si="4"/>
        <v>19.294162361325249</v>
      </c>
      <c r="BU9" s="152">
        <f t="shared" si="5"/>
        <v>21.089889013762992</v>
      </c>
      <c r="BV9" s="152">
        <f t="shared" si="6"/>
        <v>20.612933564636311</v>
      </c>
      <c r="BW9" s="152">
        <f t="shared" si="7"/>
        <v>24.846586726209921</v>
      </c>
      <c r="BX9" s="152">
        <f t="shared" si="8"/>
        <v>22.727719083076632</v>
      </c>
      <c r="BY9" s="152">
        <f t="shared" si="9"/>
        <v>14.837216979046156</v>
      </c>
      <c r="BZ9" s="152">
        <f t="shared" si="10"/>
        <v>19.224684599050892</v>
      </c>
      <c r="CA9" s="152">
        <f t="shared" si="11"/>
        <v>21.513531914399469</v>
      </c>
      <c r="CB9" s="152">
        <f t="shared" si="12"/>
        <v>17.32706811427661</v>
      </c>
      <c r="CC9" s="152">
        <f t="shared" si="13"/>
        <v>20.081114359636114</v>
      </c>
      <c r="CD9" s="152">
        <f t="shared" si="14"/>
        <v>24.31811486345795</v>
      </c>
      <c r="CE9" s="152">
        <f t="shared" si="15"/>
        <v>28.174824630882657</v>
      </c>
      <c r="CF9" s="152">
        <f t="shared" si="16"/>
        <v>25.396938777316205</v>
      </c>
      <c r="CG9" s="152">
        <f t="shared" si="17"/>
        <v>29.817553249827863</v>
      </c>
      <c r="CH9" s="152">
        <f t="shared" si="18"/>
        <v>34.032918492776957</v>
      </c>
      <c r="CI9" s="152">
        <f t="shared" si="19"/>
        <v>42.343716155195686</v>
      </c>
      <c r="CJ9" s="152">
        <f t="shared" si="20"/>
        <v>34.336546927440104</v>
      </c>
      <c r="CK9" s="152">
        <f t="shared" si="21"/>
        <v>36.866484527155528</v>
      </c>
      <c r="CL9" s="152">
        <f t="shared" si="22"/>
        <v>45.856384453496823</v>
      </c>
      <c r="CM9" s="152">
        <f t="shared" si="23"/>
        <v>43.16479471593977</v>
      </c>
      <c r="CN9" s="152">
        <f t="shared" si="24"/>
        <v>39.865621539080983</v>
      </c>
      <c r="CO9" s="152">
        <f t="shared" si="25"/>
        <v>37.969889627388149</v>
      </c>
      <c r="CP9" s="152">
        <f t="shared" si="26"/>
        <v>42.979983315100156</v>
      </c>
      <c r="CQ9" s="152">
        <f t="shared" si="27"/>
        <v>42.367991273866913</v>
      </c>
      <c r="CR9" s="152">
        <f t="shared" si="28"/>
        <v>41.789302322914502</v>
      </c>
      <c r="CS9" s="152">
        <f t="shared" si="29"/>
        <v>41.960644111644655</v>
      </c>
      <c r="CT9" s="152">
        <f t="shared" si="30"/>
        <v>58.833114682658881</v>
      </c>
      <c r="CU9" s="152">
        <f t="shared" si="31"/>
        <v>59.951791981528721</v>
      </c>
      <c r="CV9" s="152">
        <f t="shared" si="32"/>
        <v>47.725986559268385</v>
      </c>
      <c r="CW9" s="152">
        <f t="shared" si="33"/>
        <v>49.233037525123365</v>
      </c>
      <c r="CX9" s="152">
        <f t="shared" si="34"/>
        <v>74.563045431606994</v>
      </c>
      <c r="CY9" s="152">
        <f t="shared" si="35"/>
        <v>64.382306342993601</v>
      </c>
      <c r="CZ9" s="152">
        <f t="shared" si="36"/>
        <v>57.943378200890557</v>
      </c>
      <c r="DA9" s="152">
        <f t="shared" si="37"/>
        <v>54.92542344081901</v>
      </c>
      <c r="DB9" s="152">
        <f t="shared" si="38"/>
        <v>46.645218677096331</v>
      </c>
      <c r="DC9" s="152">
        <f t="shared" si="39"/>
        <v>89.0978982843409</v>
      </c>
      <c r="DD9" s="152">
        <f t="shared" si="40"/>
        <v>93.213443055363157</v>
      </c>
      <c r="DE9" s="152">
        <f t="shared" si="41"/>
        <v>65.213990529422247</v>
      </c>
      <c r="DF9" s="152">
        <f t="shared" si="42"/>
        <v>73.680449220496584</v>
      </c>
      <c r="DG9" s="152">
        <f t="shared" si="43"/>
        <v>73.881309733429489</v>
      </c>
      <c r="DH9" s="152">
        <f t="shared" si="44"/>
        <v>73.572649211184697</v>
      </c>
      <c r="DI9" s="233">
        <f t="shared" si="45"/>
        <v>70.372748746133652</v>
      </c>
      <c r="DJ9" s="234">
        <f t="shared" si="46"/>
        <v>68.793421744733337</v>
      </c>
      <c r="DK9" s="234">
        <f t="shared" si="47"/>
        <v>86.626898556459807</v>
      </c>
      <c r="DL9" s="234">
        <f t="shared" si="48"/>
        <v>79.582752961462063</v>
      </c>
      <c r="DM9" s="234">
        <f t="shared" si="49"/>
        <v>82.866824178870729</v>
      </c>
      <c r="DN9" s="234">
        <f t="shared" si="50"/>
        <v>83.535927994671582</v>
      </c>
      <c r="DO9" s="234">
        <f t="shared" si="51"/>
        <v>95.598534477215765</v>
      </c>
      <c r="DP9" s="234">
        <f t="shared" si="52"/>
        <v>79.97535859766343</v>
      </c>
      <c r="DQ9" s="281">
        <f t="shared" si="53"/>
        <v>90.064799180312889</v>
      </c>
      <c r="DR9" s="281">
        <f t="shared" si="54"/>
        <v>111.71066837261766</v>
      </c>
      <c r="DS9" s="281">
        <f t="shared" si="55"/>
        <v>102.57705340503561</v>
      </c>
      <c r="DT9" s="281">
        <f t="shared" si="56"/>
        <v>95.647479042033765</v>
      </c>
      <c r="DU9" s="281">
        <f t="shared" si="57"/>
        <v>100.64572618610929</v>
      </c>
      <c r="DV9" s="281">
        <f t="shared" si="58"/>
        <v>110.40600754799641</v>
      </c>
      <c r="DW9" s="18">
        <f t="shared" si="59"/>
        <v>114.2063896029252</v>
      </c>
      <c r="DX9" s="18">
        <f t="shared" si="60"/>
        <v>97.604756128245867</v>
      </c>
      <c r="DY9" s="281">
        <f t="shared" si="63"/>
        <v>83.201376086771148</v>
      </c>
      <c r="DZ9" s="281">
        <f t="shared" si="64"/>
        <v>87.786946537439604</v>
      </c>
      <c r="EA9" s="281">
        <f t="shared" si="65"/>
        <v>85.494161312105376</v>
      </c>
      <c r="EB9" s="281">
        <f t="shared" si="66"/>
        <v>100.88773377646527</v>
      </c>
      <c r="EC9" s="281">
        <f t="shared" si="67"/>
        <v>99.112266223534689</v>
      </c>
      <c r="ED9" s="281">
        <f t="shared" si="68"/>
        <v>99.999999999999972</v>
      </c>
      <c r="EE9" s="281">
        <f t="shared" si="69"/>
        <v>105.52586686705286</v>
      </c>
      <c r="EF9" s="281">
        <f t="shared" si="61"/>
        <v>105.90557286558553</v>
      </c>
      <c r="EG9" s="281">
        <f t="shared" si="70"/>
        <v>105.71571986631919</v>
      </c>
    </row>
    <row r="10" spans="1:137" ht="16.5" customHeight="1">
      <c r="A10" s="150" t="s">
        <v>48</v>
      </c>
      <c r="B10" s="152">
        <v>23.180950527190166</v>
      </c>
      <c r="C10" s="152">
        <v>27.134869814059822</v>
      </c>
      <c r="D10" s="152">
        <v>31.722288007094306</v>
      </c>
      <c r="E10" s="152">
        <v>38.477644504220756</v>
      </c>
      <c r="F10" s="152">
        <v>35.95615449812648</v>
      </c>
      <c r="G10" s="152">
        <v>49.887770882938959</v>
      </c>
      <c r="H10" s="152">
        <v>38.684880469012398</v>
      </c>
      <c r="I10" s="152">
        <v>37.543117494026674</v>
      </c>
      <c r="J10" s="152">
        <v>33.429662244606199</v>
      </c>
      <c r="K10" s="152">
        <v>46.769762871293551</v>
      </c>
      <c r="L10" s="152">
        <v>43.205661580264739</v>
      </c>
      <c r="M10" s="152">
        <v>44.256490843113433</v>
      </c>
      <c r="N10" s="152">
        <v>48.566641607392178</v>
      </c>
      <c r="O10" s="152">
        <v>53.158168789383744</v>
      </c>
      <c r="P10" s="152">
        <v>58.085025200611447</v>
      </c>
      <c r="Q10" s="152">
        <v>54.572375597392977</v>
      </c>
      <c r="R10" s="152">
        <v>59.155327498082805</v>
      </c>
      <c r="S10" s="152">
        <v>68.166161629256308</v>
      </c>
      <c r="T10" s="152">
        <v>62.573291703594748</v>
      </c>
      <c r="U10" s="152">
        <v>63.651276023898902</v>
      </c>
      <c r="V10" s="152">
        <v>56.346029613299436</v>
      </c>
      <c r="W10" s="152">
        <v>61.249482652641198</v>
      </c>
      <c r="X10" s="152">
        <v>59.639294936548822</v>
      </c>
      <c r="Y10" s="152">
        <v>52.818730571190521</v>
      </c>
      <c r="Z10" s="152">
        <v>56.178169332656296</v>
      </c>
      <c r="AA10" s="152">
        <v>62.497525996121226</v>
      </c>
      <c r="AB10" s="152">
        <v>69.015782370566527</v>
      </c>
      <c r="AC10" s="152">
        <v>76.573144827561705</v>
      </c>
      <c r="AD10" s="152">
        <v>76.554727131115044</v>
      </c>
      <c r="AE10" s="152">
        <v>71.013473932113598</v>
      </c>
      <c r="AF10" s="152">
        <v>74.910270161438191</v>
      </c>
      <c r="AG10" s="152">
        <v>68.846414253977571</v>
      </c>
      <c r="AH10" s="152">
        <v>78.371829432353309</v>
      </c>
      <c r="AI10" s="152">
        <v>87.160225706333748</v>
      </c>
      <c r="AJ10" s="152">
        <v>89.724937147529673</v>
      </c>
      <c r="AK10" s="152">
        <v>86.969455248478042</v>
      </c>
      <c r="AL10" s="152">
        <v>70.980798147454152</v>
      </c>
      <c r="AM10" s="152">
        <v>68.607810858186539</v>
      </c>
      <c r="AN10" s="152">
        <v>91.772329130846785</v>
      </c>
      <c r="AO10" s="152">
        <v>86.768299279075791</v>
      </c>
      <c r="AP10" s="152">
        <v>74.479955614491573</v>
      </c>
      <c r="AQ10" s="152">
        <v>109.22996476290955</v>
      </c>
      <c r="AR10" s="152">
        <v>93.312955839976254</v>
      </c>
      <c r="AS10" s="152">
        <v>93.77665148744974</v>
      </c>
      <c r="AT10" s="233">
        <v>95.192072621848524</v>
      </c>
      <c r="AU10" s="234">
        <v>96.632776325531779</v>
      </c>
      <c r="AV10" s="234">
        <v>144.13315560920194</v>
      </c>
      <c r="AW10" s="234">
        <v>77.939732169806447</v>
      </c>
      <c r="AX10" s="234">
        <v>86.934351549449715</v>
      </c>
      <c r="AY10" s="234">
        <v>106.78519047977134</v>
      </c>
      <c r="AZ10" s="234">
        <v>105.96969159714467</v>
      </c>
      <c r="BA10" s="234">
        <v>103.93165752521628</v>
      </c>
      <c r="BB10" s="281">
        <v>85.568527435310671</v>
      </c>
      <c r="BC10" s="281">
        <v>88.413549006500261</v>
      </c>
      <c r="BD10" s="281">
        <v>105.88791685706501</v>
      </c>
      <c r="BE10" s="281">
        <v>120.13000670112399</v>
      </c>
      <c r="BF10" s="281">
        <v>99.871696971303848</v>
      </c>
      <c r="BG10" s="281">
        <v>92.289530946834589</v>
      </c>
      <c r="BH10" s="18">
        <v>132.4424338510895</v>
      </c>
      <c r="BI10" s="18">
        <v>121.67697715371257</v>
      </c>
      <c r="BJ10" s="281">
        <v>86.991038220905466</v>
      </c>
      <c r="BK10" s="281">
        <v>113.00896177909451</v>
      </c>
      <c r="BL10" s="280">
        <f t="shared" si="0"/>
        <v>99.999999999999986</v>
      </c>
      <c r="BM10" s="281">
        <v>96.080613959069211</v>
      </c>
      <c r="BN10" s="281">
        <v>127.05970550240104</v>
      </c>
      <c r="BO10" s="280">
        <f t="shared" si="62"/>
        <v>111.57015973073513</v>
      </c>
      <c r="BP10" s="150" t="s">
        <v>48</v>
      </c>
      <c r="BQ10" s="152">
        <f t="shared" si="1"/>
        <v>23.180950527190166</v>
      </c>
      <c r="BR10" s="152">
        <f t="shared" si="2"/>
        <v>27.134869814059822</v>
      </c>
      <c r="BS10" s="152">
        <f t="shared" si="3"/>
        <v>31.722288007094306</v>
      </c>
      <c r="BT10" s="152">
        <f t="shared" si="4"/>
        <v>38.477644504220756</v>
      </c>
      <c r="BU10" s="152">
        <f t="shared" si="5"/>
        <v>35.95615449812648</v>
      </c>
      <c r="BV10" s="152">
        <f t="shared" si="6"/>
        <v>49.887770882938959</v>
      </c>
      <c r="BW10" s="152">
        <f t="shared" si="7"/>
        <v>38.684880469012398</v>
      </c>
      <c r="BX10" s="152">
        <f t="shared" si="8"/>
        <v>37.543117494026674</v>
      </c>
      <c r="BY10" s="152">
        <f t="shared" si="9"/>
        <v>33.429662244606199</v>
      </c>
      <c r="BZ10" s="152">
        <f t="shared" si="10"/>
        <v>46.769762871293551</v>
      </c>
      <c r="CA10" s="152">
        <f t="shared" si="11"/>
        <v>43.205661580264739</v>
      </c>
      <c r="CB10" s="152">
        <f t="shared" si="12"/>
        <v>44.256490843113433</v>
      </c>
      <c r="CC10" s="152">
        <f t="shared" si="13"/>
        <v>48.566641607392178</v>
      </c>
      <c r="CD10" s="152">
        <f t="shared" si="14"/>
        <v>53.158168789383744</v>
      </c>
      <c r="CE10" s="152">
        <f t="shared" si="15"/>
        <v>58.085025200611447</v>
      </c>
      <c r="CF10" s="152">
        <f t="shared" si="16"/>
        <v>54.572375597392977</v>
      </c>
      <c r="CG10" s="152">
        <f t="shared" si="17"/>
        <v>59.155327498082805</v>
      </c>
      <c r="CH10" s="152">
        <f t="shared" si="18"/>
        <v>68.166161629256308</v>
      </c>
      <c r="CI10" s="152">
        <f t="shared" si="19"/>
        <v>62.573291703594748</v>
      </c>
      <c r="CJ10" s="152">
        <f t="shared" si="20"/>
        <v>63.651276023898902</v>
      </c>
      <c r="CK10" s="152">
        <f t="shared" si="21"/>
        <v>56.346029613299436</v>
      </c>
      <c r="CL10" s="152">
        <f t="shared" si="22"/>
        <v>61.249482652641198</v>
      </c>
      <c r="CM10" s="152">
        <f t="shared" si="23"/>
        <v>59.639294936548822</v>
      </c>
      <c r="CN10" s="152">
        <f t="shared" si="24"/>
        <v>52.818730571190521</v>
      </c>
      <c r="CO10" s="152">
        <f t="shared" si="25"/>
        <v>56.178169332656296</v>
      </c>
      <c r="CP10" s="152">
        <f t="shared" si="26"/>
        <v>62.497525996121226</v>
      </c>
      <c r="CQ10" s="152">
        <f t="shared" si="27"/>
        <v>69.015782370566527</v>
      </c>
      <c r="CR10" s="152">
        <f t="shared" si="28"/>
        <v>76.573144827561705</v>
      </c>
      <c r="CS10" s="152">
        <f t="shared" si="29"/>
        <v>76.554727131115044</v>
      </c>
      <c r="CT10" s="152">
        <f t="shared" si="30"/>
        <v>71.013473932113598</v>
      </c>
      <c r="CU10" s="152">
        <f t="shared" si="31"/>
        <v>74.910270161438191</v>
      </c>
      <c r="CV10" s="152">
        <f t="shared" si="32"/>
        <v>68.846414253977571</v>
      </c>
      <c r="CW10" s="152">
        <f t="shared" si="33"/>
        <v>78.371829432353309</v>
      </c>
      <c r="CX10" s="152">
        <f t="shared" si="34"/>
        <v>87.160225706333748</v>
      </c>
      <c r="CY10" s="152">
        <f t="shared" si="35"/>
        <v>89.724937147529673</v>
      </c>
      <c r="CZ10" s="152">
        <f t="shared" si="36"/>
        <v>86.969455248478042</v>
      </c>
      <c r="DA10" s="152">
        <f t="shared" si="37"/>
        <v>70.980798147454152</v>
      </c>
      <c r="DB10" s="152">
        <f t="shared" si="38"/>
        <v>68.607810858186539</v>
      </c>
      <c r="DC10" s="152">
        <f t="shared" si="39"/>
        <v>91.772329130846785</v>
      </c>
      <c r="DD10" s="152">
        <f t="shared" si="40"/>
        <v>86.768299279075791</v>
      </c>
      <c r="DE10" s="152">
        <f t="shared" si="41"/>
        <v>74.479955614491573</v>
      </c>
      <c r="DF10" s="152">
        <f t="shared" si="42"/>
        <v>109.22996476290955</v>
      </c>
      <c r="DG10" s="152">
        <f t="shared" si="43"/>
        <v>93.312955839976254</v>
      </c>
      <c r="DH10" s="152">
        <f t="shared" si="44"/>
        <v>93.77665148744974</v>
      </c>
      <c r="DI10" s="233">
        <f t="shared" si="45"/>
        <v>95.192072621848524</v>
      </c>
      <c r="DJ10" s="234">
        <f t="shared" si="46"/>
        <v>96.632776325531779</v>
      </c>
      <c r="DK10" s="234">
        <f t="shared" si="47"/>
        <v>144.13315560920194</v>
      </c>
      <c r="DL10" s="234">
        <f t="shared" si="48"/>
        <v>77.939732169806447</v>
      </c>
      <c r="DM10" s="234">
        <f t="shared" si="49"/>
        <v>86.934351549449715</v>
      </c>
      <c r="DN10" s="234">
        <f t="shared" si="50"/>
        <v>106.78519047977134</v>
      </c>
      <c r="DO10" s="234">
        <f t="shared" si="51"/>
        <v>105.96969159714467</v>
      </c>
      <c r="DP10" s="234">
        <f t="shared" si="52"/>
        <v>103.93165752521628</v>
      </c>
      <c r="DQ10" s="281">
        <f t="shared" si="53"/>
        <v>85.568527435310671</v>
      </c>
      <c r="DR10" s="281">
        <f t="shared" si="54"/>
        <v>88.413549006500261</v>
      </c>
      <c r="DS10" s="281">
        <f t="shared" si="55"/>
        <v>105.88791685706501</v>
      </c>
      <c r="DT10" s="281">
        <f t="shared" si="56"/>
        <v>120.13000670112399</v>
      </c>
      <c r="DU10" s="281">
        <f t="shared" si="57"/>
        <v>99.871696971303848</v>
      </c>
      <c r="DV10" s="281">
        <f t="shared" si="58"/>
        <v>92.289530946834589</v>
      </c>
      <c r="DW10" s="18">
        <f t="shared" si="59"/>
        <v>132.4424338510895</v>
      </c>
      <c r="DX10" s="18">
        <f t="shared" si="60"/>
        <v>121.67697715371257</v>
      </c>
      <c r="DY10" s="281">
        <f t="shared" si="63"/>
        <v>96.85977101461053</v>
      </c>
      <c r="DZ10" s="281">
        <f t="shared" si="64"/>
        <v>104.95067456118048</v>
      </c>
      <c r="EA10" s="281">
        <f t="shared" si="65"/>
        <v>100.9052227878955</v>
      </c>
      <c r="EB10" s="281">
        <f t="shared" si="66"/>
        <v>86.991038220905466</v>
      </c>
      <c r="EC10" s="281">
        <f t="shared" si="67"/>
        <v>113.00896177909451</v>
      </c>
      <c r="ED10" s="281">
        <f t="shared" si="68"/>
        <v>99.999999999999986</v>
      </c>
      <c r="EE10" s="281">
        <f t="shared" si="69"/>
        <v>96.080613959069211</v>
      </c>
      <c r="EF10" s="281">
        <f t="shared" si="61"/>
        <v>127.05970550240104</v>
      </c>
      <c r="EG10" s="281">
        <f t="shared" si="70"/>
        <v>111.57015973073513</v>
      </c>
    </row>
    <row r="11" spans="1:137" s="245" customFormat="1" ht="16.5" customHeight="1">
      <c r="A11" s="151" t="s">
        <v>360</v>
      </c>
      <c r="B11" s="152">
        <v>24.69293276290222</v>
      </c>
      <c r="C11" s="152">
        <v>27.822918029534364</v>
      </c>
      <c r="D11" s="152">
        <v>34.358833754328636</v>
      </c>
      <c r="E11" s="152">
        <v>31.250036235492214</v>
      </c>
      <c r="F11" s="152">
        <v>31.364424850079828</v>
      </c>
      <c r="G11" s="152">
        <v>33.254296282930284</v>
      </c>
      <c r="H11" s="152">
        <v>36.738041267223132</v>
      </c>
      <c r="I11" s="152">
        <v>35.851308798462931</v>
      </c>
      <c r="J11" s="152">
        <v>29.983942187151488</v>
      </c>
      <c r="K11" s="152">
        <v>34.076961038117702</v>
      </c>
      <c r="L11" s="152">
        <v>38.64292068809555</v>
      </c>
      <c r="M11" s="152">
        <v>34.560369593480793</v>
      </c>
      <c r="N11" s="152">
        <v>34.359338224514254</v>
      </c>
      <c r="O11" s="152">
        <v>35.771350274043357</v>
      </c>
      <c r="P11" s="152">
        <v>40.333274162536306</v>
      </c>
      <c r="Q11" s="152">
        <v>40.877093022626475</v>
      </c>
      <c r="R11" s="152">
        <v>39.62197120082282</v>
      </c>
      <c r="S11" s="152">
        <v>42.257701803101206</v>
      </c>
      <c r="T11" s="152">
        <v>47.457528241301041</v>
      </c>
      <c r="U11" s="152">
        <v>45.793785569151339</v>
      </c>
      <c r="V11" s="152">
        <v>43.758122252658893</v>
      </c>
      <c r="W11" s="152">
        <v>45.4830319348141</v>
      </c>
      <c r="X11" s="152">
        <v>50.628375592967785</v>
      </c>
      <c r="Y11" s="152">
        <v>45.268758223475231</v>
      </c>
      <c r="Z11" s="152">
        <v>46.081838475653491</v>
      </c>
      <c r="AA11" s="152">
        <v>48.418299158293571</v>
      </c>
      <c r="AB11" s="152">
        <v>48.410918094969475</v>
      </c>
      <c r="AC11" s="152">
        <v>52.988590274483236</v>
      </c>
      <c r="AD11" s="152">
        <v>59.366435530014819</v>
      </c>
      <c r="AE11" s="152">
        <v>61.242029419941787</v>
      </c>
      <c r="AF11" s="152">
        <v>65.995348213555786</v>
      </c>
      <c r="AG11" s="152">
        <v>65.574459517951524</v>
      </c>
      <c r="AH11" s="152">
        <v>62.592334132420383</v>
      </c>
      <c r="AI11" s="152">
        <v>71.865199170433087</v>
      </c>
      <c r="AJ11" s="152">
        <v>70.027849802483061</v>
      </c>
      <c r="AK11" s="152">
        <v>69.984799320775309</v>
      </c>
      <c r="AL11" s="152">
        <v>61.577621408304417</v>
      </c>
      <c r="AM11" s="152">
        <v>56.694930236099594</v>
      </c>
      <c r="AN11" s="152">
        <v>77.594188368344973</v>
      </c>
      <c r="AO11" s="152">
        <v>77.421065805463812</v>
      </c>
      <c r="AP11" s="152">
        <v>64.676378545356002</v>
      </c>
      <c r="AQ11" s="152">
        <v>75.048421420062979</v>
      </c>
      <c r="AR11" s="152">
        <v>76.211866937495088</v>
      </c>
      <c r="AS11" s="152">
        <v>83.592009364145767</v>
      </c>
      <c r="AT11" s="233">
        <v>81.63221018108014</v>
      </c>
      <c r="AU11" s="234">
        <v>76.131530309218491</v>
      </c>
      <c r="AV11" s="234">
        <v>95.469484869231692</v>
      </c>
      <c r="AW11" s="234">
        <v>86.702351234419325</v>
      </c>
      <c r="AX11" s="234">
        <v>84.022208864190887</v>
      </c>
      <c r="AY11" s="234">
        <v>85.511408847260554</v>
      </c>
      <c r="AZ11" s="234">
        <v>97.29699235678396</v>
      </c>
      <c r="BA11" s="234">
        <v>85.22290365133928</v>
      </c>
      <c r="BB11" s="281">
        <v>90.934359383181786</v>
      </c>
      <c r="BC11" s="281">
        <v>113.5161918107036</v>
      </c>
      <c r="BD11" s="281">
        <v>97.580894376634774</v>
      </c>
      <c r="BE11" s="281">
        <v>97.968554429479994</v>
      </c>
      <c r="BF11" s="281">
        <v>93.657777378858498</v>
      </c>
      <c r="BG11" s="281">
        <v>116.91313977787108</v>
      </c>
      <c r="BH11" s="18">
        <v>102.58078794578944</v>
      </c>
      <c r="BI11" s="18">
        <v>102.06798261664467</v>
      </c>
      <c r="BJ11" s="281">
        <v>102.22527559694269</v>
      </c>
      <c r="BK11" s="281">
        <v>97.774724403057377</v>
      </c>
      <c r="BL11" s="280">
        <f t="shared" si="0"/>
        <v>100.00000000000003</v>
      </c>
      <c r="BM11" s="281">
        <v>105.2854585783648</v>
      </c>
      <c r="BN11" s="281">
        <v>102.32438528121705</v>
      </c>
      <c r="BO11" s="280">
        <f t="shared" si="62"/>
        <v>103.80492192979092</v>
      </c>
      <c r="BP11" s="151" t="s">
        <v>360</v>
      </c>
      <c r="BQ11" s="152">
        <f t="shared" si="1"/>
        <v>24.69293276290222</v>
      </c>
      <c r="BR11" s="152">
        <f t="shared" si="2"/>
        <v>27.822918029534364</v>
      </c>
      <c r="BS11" s="152">
        <f t="shared" si="3"/>
        <v>34.358833754328636</v>
      </c>
      <c r="BT11" s="152">
        <f t="shared" si="4"/>
        <v>31.250036235492214</v>
      </c>
      <c r="BU11" s="152">
        <f t="shared" si="5"/>
        <v>31.364424850079828</v>
      </c>
      <c r="BV11" s="152">
        <f t="shared" si="6"/>
        <v>33.254296282930284</v>
      </c>
      <c r="BW11" s="152">
        <f t="shared" si="7"/>
        <v>36.738041267223132</v>
      </c>
      <c r="BX11" s="152">
        <f t="shared" si="8"/>
        <v>35.851308798462931</v>
      </c>
      <c r="BY11" s="152">
        <f t="shared" si="9"/>
        <v>29.983942187151488</v>
      </c>
      <c r="BZ11" s="152">
        <f t="shared" si="10"/>
        <v>34.076961038117702</v>
      </c>
      <c r="CA11" s="152">
        <f t="shared" si="11"/>
        <v>38.64292068809555</v>
      </c>
      <c r="CB11" s="152">
        <f t="shared" si="12"/>
        <v>34.560369593480793</v>
      </c>
      <c r="CC11" s="152">
        <f t="shared" si="13"/>
        <v>34.359338224514254</v>
      </c>
      <c r="CD11" s="152">
        <f t="shared" si="14"/>
        <v>35.771350274043357</v>
      </c>
      <c r="CE11" s="152">
        <f t="shared" si="15"/>
        <v>40.333274162536306</v>
      </c>
      <c r="CF11" s="152">
        <f t="shared" si="16"/>
        <v>40.877093022626475</v>
      </c>
      <c r="CG11" s="152">
        <f t="shared" si="17"/>
        <v>39.62197120082282</v>
      </c>
      <c r="CH11" s="152">
        <f t="shared" si="18"/>
        <v>42.257701803101206</v>
      </c>
      <c r="CI11" s="152">
        <f t="shared" si="19"/>
        <v>47.457528241301041</v>
      </c>
      <c r="CJ11" s="152">
        <f t="shared" si="20"/>
        <v>45.793785569151339</v>
      </c>
      <c r="CK11" s="152">
        <f t="shared" si="21"/>
        <v>43.758122252658893</v>
      </c>
      <c r="CL11" s="152">
        <f t="shared" si="22"/>
        <v>45.4830319348141</v>
      </c>
      <c r="CM11" s="152">
        <f t="shared" si="23"/>
        <v>50.628375592967785</v>
      </c>
      <c r="CN11" s="152">
        <f t="shared" si="24"/>
        <v>45.268758223475231</v>
      </c>
      <c r="CO11" s="152">
        <f t="shared" si="25"/>
        <v>46.081838475653491</v>
      </c>
      <c r="CP11" s="152">
        <f t="shared" si="26"/>
        <v>48.418299158293571</v>
      </c>
      <c r="CQ11" s="152">
        <f t="shared" si="27"/>
        <v>48.410918094969475</v>
      </c>
      <c r="CR11" s="152">
        <f t="shared" si="28"/>
        <v>52.988590274483236</v>
      </c>
      <c r="CS11" s="152">
        <f t="shared" si="29"/>
        <v>59.366435530014819</v>
      </c>
      <c r="CT11" s="152">
        <f t="shared" si="30"/>
        <v>61.242029419941787</v>
      </c>
      <c r="CU11" s="152">
        <f t="shared" si="31"/>
        <v>65.995348213555786</v>
      </c>
      <c r="CV11" s="152">
        <f t="shared" si="32"/>
        <v>65.574459517951524</v>
      </c>
      <c r="CW11" s="152">
        <f t="shared" si="33"/>
        <v>62.592334132420383</v>
      </c>
      <c r="CX11" s="152">
        <f t="shared" si="34"/>
        <v>71.865199170433087</v>
      </c>
      <c r="CY11" s="152">
        <f t="shared" si="35"/>
        <v>70.027849802483061</v>
      </c>
      <c r="CZ11" s="152">
        <f t="shared" si="36"/>
        <v>69.984799320775309</v>
      </c>
      <c r="DA11" s="152">
        <f t="shared" si="37"/>
        <v>61.577621408304417</v>
      </c>
      <c r="DB11" s="152">
        <f t="shared" si="38"/>
        <v>56.694930236099594</v>
      </c>
      <c r="DC11" s="152">
        <f t="shared" si="39"/>
        <v>77.594188368344973</v>
      </c>
      <c r="DD11" s="152">
        <f t="shared" si="40"/>
        <v>77.421065805463812</v>
      </c>
      <c r="DE11" s="152">
        <f t="shared" si="41"/>
        <v>64.676378545356002</v>
      </c>
      <c r="DF11" s="152">
        <f t="shared" si="42"/>
        <v>75.048421420062979</v>
      </c>
      <c r="DG11" s="152">
        <f t="shared" si="43"/>
        <v>76.211866937495088</v>
      </c>
      <c r="DH11" s="152">
        <f t="shared" si="44"/>
        <v>83.592009364145767</v>
      </c>
      <c r="DI11" s="233">
        <f t="shared" si="45"/>
        <v>81.63221018108014</v>
      </c>
      <c r="DJ11" s="234">
        <f t="shared" si="46"/>
        <v>76.131530309218491</v>
      </c>
      <c r="DK11" s="234">
        <f t="shared" si="47"/>
        <v>95.469484869231692</v>
      </c>
      <c r="DL11" s="234">
        <f t="shared" si="48"/>
        <v>86.702351234419325</v>
      </c>
      <c r="DM11" s="234">
        <f t="shared" si="49"/>
        <v>84.022208864190887</v>
      </c>
      <c r="DN11" s="234">
        <f t="shared" si="50"/>
        <v>85.511408847260554</v>
      </c>
      <c r="DO11" s="234">
        <f t="shared" si="51"/>
        <v>97.29699235678396</v>
      </c>
      <c r="DP11" s="234">
        <f t="shared" si="52"/>
        <v>85.22290365133928</v>
      </c>
      <c r="DQ11" s="281">
        <f t="shared" si="53"/>
        <v>90.934359383181786</v>
      </c>
      <c r="DR11" s="281">
        <f t="shared" si="54"/>
        <v>113.5161918107036</v>
      </c>
      <c r="DS11" s="281">
        <f t="shared" si="55"/>
        <v>97.580894376634774</v>
      </c>
      <c r="DT11" s="281">
        <f t="shared" si="56"/>
        <v>97.968554429479994</v>
      </c>
      <c r="DU11" s="281">
        <f t="shared" si="57"/>
        <v>93.657777378858498</v>
      </c>
      <c r="DV11" s="281">
        <f t="shared" si="58"/>
        <v>116.91313977787108</v>
      </c>
      <c r="DW11" s="18">
        <f t="shared" si="59"/>
        <v>102.58078794578944</v>
      </c>
      <c r="DX11" s="18">
        <f t="shared" si="60"/>
        <v>102.06798261664467</v>
      </c>
      <c r="DY11" s="281">
        <f t="shared" si="63"/>
        <v>84.766808855725714</v>
      </c>
      <c r="DZ11" s="281">
        <f t="shared" si="64"/>
        <v>91.259948004061613</v>
      </c>
      <c r="EA11" s="281">
        <f t="shared" si="65"/>
        <v>88.013378429893663</v>
      </c>
      <c r="EB11" s="281">
        <f t="shared" si="66"/>
        <v>102.22527559694269</v>
      </c>
      <c r="EC11" s="281">
        <f t="shared" si="67"/>
        <v>97.774724403057377</v>
      </c>
      <c r="ED11" s="281">
        <f t="shared" si="68"/>
        <v>100.00000000000003</v>
      </c>
      <c r="EE11" s="281">
        <f t="shared" si="69"/>
        <v>105.2854585783648</v>
      </c>
      <c r="EF11" s="281">
        <f t="shared" si="61"/>
        <v>102.32438528121705</v>
      </c>
      <c r="EG11" s="281">
        <f t="shared" si="70"/>
        <v>103.80492192979092</v>
      </c>
    </row>
    <row r="12" spans="1:137" ht="16.5" customHeight="1">
      <c r="A12" s="150" t="s">
        <v>50</v>
      </c>
      <c r="B12" s="152">
        <v>24.676895129580515</v>
      </c>
      <c r="C12" s="152">
        <v>28.400866513307545</v>
      </c>
      <c r="D12" s="152">
        <v>29.985025046912142</v>
      </c>
      <c r="E12" s="152">
        <v>31.913503208861204</v>
      </c>
      <c r="F12" s="152">
        <v>31.455589547877981</v>
      </c>
      <c r="G12" s="152">
        <v>33.499233978211663</v>
      </c>
      <c r="H12" s="152">
        <v>34.055412373311455</v>
      </c>
      <c r="I12" s="152">
        <v>35.084440668980172</v>
      </c>
      <c r="J12" s="152">
        <v>34.462228372554051</v>
      </c>
      <c r="K12" s="152">
        <v>35.833873041175877</v>
      </c>
      <c r="L12" s="152">
        <v>36.180026944557184</v>
      </c>
      <c r="M12" s="152">
        <v>38.20834207636868</v>
      </c>
      <c r="N12" s="152">
        <v>37.442663268132371</v>
      </c>
      <c r="O12" s="152">
        <v>39.197671419454309</v>
      </c>
      <c r="P12" s="152">
        <v>39.126134693017448</v>
      </c>
      <c r="Q12" s="152">
        <v>41.456974186262492</v>
      </c>
      <c r="R12" s="152">
        <v>40.250938349538451</v>
      </c>
      <c r="S12" s="152">
        <v>42.812110379552735</v>
      </c>
      <c r="T12" s="152">
        <v>42.397302181935316</v>
      </c>
      <c r="U12" s="152">
        <v>44.340978622761078</v>
      </c>
      <c r="V12" s="152">
        <v>46.799824309648635</v>
      </c>
      <c r="W12" s="152">
        <v>48.241040410024993</v>
      </c>
      <c r="X12" s="152">
        <v>48.224269895402436</v>
      </c>
      <c r="Y12" s="152">
        <v>49.723789738021289</v>
      </c>
      <c r="Z12" s="152">
        <v>49.120000741723182</v>
      </c>
      <c r="AA12" s="152">
        <v>51.262246733981385</v>
      </c>
      <c r="AB12" s="152">
        <v>53.778393584161655</v>
      </c>
      <c r="AC12" s="152">
        <v>54.107794350130312</v>
      </c>
      <c r="AD12" s="152">
        <v>54.527033692677342</v>
      </c>
      <c r="AE12" s="152">
        <v>56.019577007738569</v>
      </c>
      <c r="AF12" s="152">
        <v>59.552445451185669</v>
      </c>
      <c r="AG12" s="152">
        <v>58.652800076187191</v>
      </c>
      <c r="AH12" s="152">
        <v>58.691963873170558</v>
      </c>
      <c r="AI12" s="152">
        <v>60.942264977076697</v>
      </c>
      <c r="AJ12" s="152">
        <v>63.418466529318231</v>
      </c>
      <c r="AK12" s="152">
        <v>62.234700897390155</v>
      </c>
      <c r="AL12" s="152">
        <v>61.327678444820982</v>
      </c>
      <c r="AM12" s="152">
        <v>57.027824397772442</v>
      </c>
      <c r="AN12" s="152">
        <v>64.812996773114563</v>
      </c>
      <c r="AO12" s="152">
        <v>67.149938317173081</v>
      </c>
      <c r="AP12" s="152">
        <v>65.426436331170336</v>
      </c>
      <c r="AQ12" s="152">
        <v>71.01588976522801</v>
      </c>
      <c r="AR12" s="152">
        <v>73.031146030820551</v>
      </c>
      <c r="AS12" s="152">
        <v>74.436362074933655</v>
      </c>
      <c r="AT12" s="233">
        <v>75.305722624404623</v>
      </c>
      <c r="AU12" s="234">
        <v>78.549877865776352</v>
      </c>
      <c r="AV12" s="234">
        <v>81.661303906411817</v>
      </c>
      <c r="AW12" s="234">
        <v>81.621384146205159</v>
      </c>
      <c r="AX12" s="234">
        <v>85.56077199598991</v>
      </c>
      <c r="AY12" s="234">
        <v>82.172822199360766</v>
      </c>
      <c r="AZ12" s="234">
        <v>71.092327962531826</v>
      </c>
      <c r="BA12" s="234">
        <v>89.839732373999354</v>
      </c>
      <c r="BB12" s="281">
        <v>91.263266815219666</v>
      </c>
      <c r="BC12" s="281">
        <v>96.755496265649754</v>
      </c>
      <c r="BD12" s="281">
        <v>106.21345564677249</v>
      </c>
      <c r="BE12" s="281">
        <v>105.76778127235805</v>
      </c>
      <c r="BF12" s="281">
        <v>105.54218598573993</v>
      </c>
      <c r="BG12" s="281">
        <v>101.94378942347784</v>
      </c>
      <c r="BH12" s="18">
        <v>116.76130563913644</v>
      </c>
      <c r="BI12" s="18">
        <v>118.72507056426561</v>
      </c>
      <c r="BJ12" s="281">
        <v>94.009381540434703</v>
      </c>
      <c r="BK12" s="281">
        <v>105.99061845956527</v>
      </c>
      <c r="BL12" s="280">
        <f t="shared" si="0"/>
        <v>99.999999999999986</v>
      </c>
      <c r="BM12" s="281">
        <v>103.74298770460888</v>
      </c>
      <c r="BN12" s="281">
        <v>117.74318810170102</v>
      </c>
      <c r="BO12" s="280">
        <f t="shared" si="62"/>
        <v>110.74308790315496</v>
      </c>
      <c r="BP12" s="150" t="s">
        <v>50</v>
      </c>
      <c r="BQ12" s="152">
        <f t="shared" si="1"/>
        <v>24.676895129580515</v>
      </c>
      <c r="BR12" s="152">
        <f t="shared" si="2"/>
        <v>28.400866513307545</v>
      </c>
      <c r="BS12" s="152">
        <f t="shared" si="3"/>
        <v>29.985025046912142</v>
      </c>
      <c r="BT12" s="152">
        <f t="shared" si="4"/>
        <v>31.913503208861204</v>
      </c>
      <c r="BU12" s="152">
        <f t="shared" si="5"/>
        <v>31.455589547877981</v>
      </c>
      <c r="BV12" s="152">
        <f t="shared" si="6"/>
        <v>33.499233978211663</v>
      </c>
      <c r="BW12" s="152">
        <f t="shared" si="7"/>
        <v>34.055412373311455</v>
      </c>
      <c r="BX12" s="152">
        <f t="shared" si="8"/>
        <v>35.084440668980172</v>
      </c>
      <c r="BY12" s="152">
        <f t="shared" si="9"/>
        <v>34.462228372554051</v>
      </c>
      <c r="BZ12" s="152">
        <f t="shared" si="10"/>
        <v>35.833873041175877</v>
      </c>
      <c r="CA12" s="152">
        <f t="shared" si="11"/>
        <v>36.180026944557184</v>
      </c>
      <c r="CB12" s="152">
        <f t="shared" si="12"/>
        <v>38.20834207636868</v>
      </c>
      <c r="CC12" s="152">
        <f t="shared" si="13"/>
        <v>37.442663268132371</v>
      </c>
      <c r="CD12" s="152">
        <f t="shared" si="14"/>
        <v>39.197671419454309</v>
      </c>
      <c r="CE12" s="152">
        <f t="shared" si="15"/>
        <v>39.126134693017448</v>
      </c>
      <c r="CF12" s="152">
        <f t="shared" si="16"/>
        <v>41.456974186262492</v>
      </c>
      <c r="CG12" s="152">
        <f t="shared" si="17"/>
        <v>40.250938349538451</v>
      </c>
      <c r="CH12" s="152">
        <f t="shared" si="18"/>
        <v>42.812110379552735</v>
      </c>
      <c r="CI12" s="152">
        <f t="shared" si="19"/>
        <v>42.397302181935316</v>
      </c>
      <c r="CJ12" s="152">
        <f t="shared" si="20"/>
        <v>44.340978622761078</v>
      </c>
      <c r="CK12" s="152">
        <f t="shared" si="21"/>
        <v>46.799824309648635</v>
      </c>
      <c r="CL12" s="152">
        <f t="shared" si="22"/>
        <v>48.241040410024993</v>
      </c>
      <c r="CM12" s="152">
        <f t="shared" si="23"/>
        <v>48.224269895402436</v>
      </c>
      <c r="CN12" s="152">
        <f t="shared" si="24"/>
        <v>49.723789738021289</v>
      </c>
      <c r="CO12" s="152">
        <f t="shared" si="25"/>
        <v>49.120000741723182</v>
      </c>
      <c r="CP12" s="152">
        <f t="shared" si="26"/>
        <v>51.262246733981385</v>
      </c>
      <c r="CQ12" s="152">
        <f t="shared" si="27"/>
        <v>53.778393584161655</v>
      </c>
      <c r="CR12" s="152">
        <f t="shared" si="28"/>
        <v>54.107794350130312</v>
      </c>
      <c r="CS12" s="152">
        <f t="shared" si="29"/>
        <v>54.527033692677342</v>
      </c>
      <c r="CT12" s="152">
        <f t="shared" si="30"/>
        <v>56.019577007738569</v>
      </c>
      <c r="CU12" s="152">
        <f t="shared" si="31"/>
        <v>59.552445451185669</v>
      </c>
      <c r="CV12" s="152">
        <f t="shared" si="32"/>
        <v>58.652800076187191</v>
      </c>
      <c r="CW12" s="152">
        <f t="shared" si="33"/>
        <v>58.691963873170558</v>
      </c>
      <c r="CX12" s="152">
        <f t="shared" si="34"/>
        <v>60.942264977076697</v>
      </c>
      <c r="CY12" s="152">
        <f t="shared" si="35"/>
        <v>63.418466529318231</v>
      </c>
      <c r="CZ12" s="152">
        <f t="shared" si="36"/>
        <v>62.234700897390155</v>
      </c>
      <c r="DA12" s="152">
        <f t="shared" si="37"/>
        <v>61.327678444820982</v>
      </c>
      <c r="DB12" s="152">
        <f t="shared" si="38"/>
        <v>57.027824397772442</v>
      </c>
      <c r="DC12" s="152">
        <f t="shared" si="39"/>
        <v>64.812996773114563</v>
      </c>
      <c r="DD12" s="152">
        <f t="shared" si="40"/>
        <v>67.149938317173081</v>
      </c>
      <c r="DE12" s="152">
        <f t="shared" si="41"/>
        <v>65.426436331170336</v>
      </c>
      <c r="DF12" s="152">
        <f t="shared" si="42"/>
        <v>71.01588976522801</v>
      </c>
      <c r="DG12" s="152">
        <f t="shared" si="43"/>
        <v>73.031146030820551</v>
      </c>
      <c r="DH12" s="152">
        <f t="shared" si="44"/>
        <v>74.436362074933655</v>
      </c>
      <c r="DI12" s="233">
        <f t="shared" si="45"/>
        <v>75.305722624404623</v>
      </c>
      <c r="DJ12" s="234">
        <f t="shared" si="46"/>
        <v>78.549877865776352</v>
      </c>
      <c r="DK12" s="234">
        <f t="shared" si="47"/>
        <v>81.661303906411817</v>
      </c>
      <c r="DL12" s="234">
        <f t="shared" si="48"/>
        <v>81.621384146205159</v>
      </c>
      <c r="DM12" s="234">
        <f t="shared" si="49"/>
        <v>85.56077199598991</v>
      </c>
      <c r="DN12" s="234">
        <f t="shared" si="50"/>
        <v>82.172822199360766</v>
      </c>
      <c r="DO12" s="234">
        <f t="shared" si="51"/>
        <v>71.092327962531826</v>
      </c>
      <c r="DP12" s="234">
        <f t="shared" si="52"/>
        <v>89.839732373999354</v>
      </c>
      <c r="DQ12" s="281">
        <f t="shared" si="53"/>
        <v>91.263266815219666</v>
      </c>
      <c r="DR12" s="281">
        <f t="shared" si="54"/>
        <v>96.755496265649754</v>
      </c>
      <c r="DS12" s="281">
        <f t="shared" si="55"/>
        <v>106.21345564677249</v>
      </c>
      <c r="DT12" s="281">
        <f t="shared" si="56"/>
        <v>105.76778127235805</v>
      </c>
      <c r="DU12" s="281">
        <f t="shared" si="57"/>
        <v>105.54218598573993</v>
      </c>
      <c r="DV12" s="281">
        <f t="shared" si="58"/>
        <v>101.94378942347784</v>
      </c>
      <c r="DW12" s="18">
        <f t="shared" si="59"/>
        <v>116.76130563913644</v>
      </c>
      <c r="DX12" s="18">
        <f t="shared" si="60"/>
        <v>118.72507056426561</v>
      </c>
      <c r="DY12" s="281">
        <f t="shared" si="63"/>
        <v>83.866797097675345</v>
      </c>
      <c r="DZ12" s="281">
        <f t="shared" si="64"/>
        <v>80.46603016826559</v>
      </c>
      <c r="EA12" s="281">
        <f t="shared" si="65"/>
        <v>82.16641363297046</v>
      </c>
      <c r="EB12" s="281">
        <f t="shared" si="66"/>
        <v>94.009381540434703</v>
      </c>
      <c r="EC12" s="281">
        <f t="shared" si="67"/>
        <v>105.99061845956527</v>
      </c>
      <c r="ED12" s="281">
        <f t="shared" si="68"/>
        <v>99.999999999999986</v>
      </c>
      <c r="EE12" s="281">
        <f t="shared" si="69"/>
        <v>103.74298770460888</v>
      </c>
      <c r="EF12" s="281">
        <f t="shared" si="61"/>
        <v>117.74318810170102</v>
      </c>
      <c r="EG12" s="281">
        <f t="shared" si="70"/>
        <v>110.74308790315496</v>
      </c>
    </row>
    <row r="13" spans="1:137" ht="16.5" customHeight="1">
      <c r="A13" s="150" t="s">
        <v>52</v>
      </c>
      <c r="B13" s="152">
        <v>34.327041028933245</v>
      </c>
      <c r="C13" s="152">
        <v>36.524571903144341</v>
      </c>
      <c r="D13" s="152">
        <v>40.037680896067627</v>
      </c>
      <c r="E13" s="152">
        <v>41.110760029506601</v>
      </c>
      <c r="F13" s="152">
        <v>43.071706527841393</v>
      </c>
      <c r="G13" s="152">
        <v>41.471889180397795</v>
      </c>
      <c r="H13" s="152">
        <v>46.555749440299877</v>
      </c>
      <c r="I13" s="152">
        <v>46.491702669973357</v>
      </c>
      <c r="J13" s="152">
        <v>46.36665092843873</v>
      </c>
      <c r="K13" s="152">
        <v>47.336984847211433</v>
      </c>
      <c r="L13" s="152">
        <v>50.375066211143071</v>
      </c>
      <c r="M13" s="152">
        <v>48.699879841098884</v>
      </c>
      <c r="N13" s="152">
        <v>49.664975105834323</v>
      </c>
      <c r="O13" s="152">
        <v>51.304842808336964</v>
      </c>
      <c r="P13" s="152">
        <v>51.781898303407559</v>
      </c>
      <c r="Q13" s="152">
        <v>50.035060665240827</v>
      </c>
      <c r="R13" s="152">
        <v>50.733660529435589</v>
      </c>
      <c r="S13" s="152">
        <v>49.939581970690746</v>
      </c>
      <c r="T13" s="152">
        <v>50.818999893590963</v>
      </c>
      <c r="U13" s="152">
        <v>50.216554679305936</v>
      </c>
      <c r="V13" s="152">
        <v>52.803097862993646</v>
      </c>
      <c r="W13" s="152">
        <v>55.845910914442818</v>
      </c>
      <c r="X13" s="152">
        <v>59.033716390536178</v>
      </c>
      <c r="Y13" s="152">
        <v>56.683419605044953</v>
      </c>
      <c r="Z13" s="152">
        <v>54.886967641426715</v>
      </c>
      <c r="AA13" s="152">
        <v>58.006992835984306</v>
      </c>
      <c r="AB13" s="152">
        <v>59.995700741909722</v>
      </c>
      <c r="AC13" s="152">
        <v>57.467813883924485</v>
      </c>
      <c r="AD13" s="152">
        <v>56.46579802372235</v>
      </c>
      <c r="AE13" s="152">
        <v>57.137629015387226</v>
      </c>
      <c r="AF13" s="152">
        <v>63.968342143881493</v>
      </c>
      <c r="AG13" s="152">
        <v>62.736079497931932</v>
      </c>
      <c r="AH13" s="152">
        <v>61.334498401699371</v>
      </c>
      <c r="AI13" s="152">
        <v>62.283174512664381</v>
      </c>
      <c r="AJ13" s="152">
        <v>65.741783396167406</v>
      </c>
      <c r="AK13" s="152">
        <v>61.649488593776283</v>
      </c>
      <c r="AL13" s="152">
        <v>61.719610890052138</v>
      </c>
      <c r="AM13" s="152">
        <v>61.898659508280502</v>
      </c>
      <c r="AN13" s="152">
        <v>70.886289827457645</v>
      </c>
      <c r="AO13" s="152">
        <v>68.517473630079181</v>
      </c>
      <c r="AP13" s="152">
        <v>67.931015154544767</v>
      </c>
      <c r="AQ13" s="152">
        <v>75.790552545995709</v>
      </c>
      <c r="AR13" s="152">
        <v>79.944086359230639</v>
      </c>
      <c r="AS13" s="152">
        <v>82.481213889095045</v>
      </c>
      <c r="AT13" s="233">
        <v>82.648967866278056</v>
      </c>
      <c r="AU13" s="234">
        <v>84.454402745499678</v>
      </c>
      <c r="AV13" s="234">
        <v>89.735259516427035</v>
      </c>
      <c r="AW13" s="234">
        <v>87.018742152168514</v>
      </c>
      <c r="AX13" s="234">
        <v>87.797085165985848</v>
      </c>
      <c r="AY13" s="234">
        <v>87.911557219175336</v>
      </c>
      <c r="AZ13" s="234">
        <v>95.548172430761326</v>
      </c>
      <c r="BA13" s="234">
        <v>92.399528868331615</v>
      </c>
      <c r="BB13" s="281">
        <v>90.764466726943411</v>
      </c>
      <c r="BC13" s="281">
        <v>97.393106828148348</v>
      </c>
      <c r="BD13" s="281">
        <v>107.39501926240256</v>
      </c>
      <c r="BE13" s="281">
        <v>104.44740718250569</v>
      </c>
      <c r="BF13" s="281">
        <v>102.13745513896009</v>
      </c>
      <c r="BG13" s="281">
        <v>101.45225105575248</v>
      </c>
      <c r="BH13" s="18">
        <v>110.76404893599181</v>
      </c>
      <c r="BI13" s="18">
        <v>110.50325774418066</v>
      </c>
      <c r="BJ13" s="281">
        <v>94.078786777545872</v>
      </c>
      <c r="BK13" s="281">
        <v>105.92121322245413</v>
      </c>
      <c r="BL13" s="280">
        <f t="shared" si="0"/>
        <v>100</v>
      </c>
      <c r="BM13" s="281">
        <v>101.79485309735628</v>
      </c>
      <c r="BN13" s="281">
        <v>110.63365334008623</v>
      </c>
      <c r="BO13" s="280">
        <f t="shared" si="62"/>
        <v>106.21425321872125</v>
      </c>
      <c r="BP13" s="150" t="s">
        <v>52</v>
      </c>
      <c r="BQ13" s="152">
        <f t="shared" si="1"/>
        <v>34.327041028933245</v>
      </c>
      <c r="BR13" s="152">
        <f t="shared" si="2"/>
        <v>36.524571903144341</v>
      </c>
      <c r="BS13" s="152">
        <f t="shared" si="3"/>
        <v>40.037680896067627</v>
      </c>
      <c r="BT13" s="152">
        <f t="shared" si="4"/>
        <v>41.110760029506601</v>
      </c>
      <c r="BU13" s="152">
        <f t="shared" si="5"/>
        <v>43.071706527841393</v>
      </c>
      <c r="BV13" s="152">
        <f t="shared" si="6"/>
        <v>41.471889180397795</v>
      </c>
      <c r="BW13" s="152">
        <f t="shared" si="7"/>
        <v>46.555749440299877</v>
      </c>
      <c r="BX13" s="152">
        <f t="shared" si="8"/>
        <v>46.491702669973357</v>
      </c>
      <c r="BY13" s="152">
        <f t="shared" si="9"/>
        <v>46.36665092843873</v>
      </c>
      <c r="BZ13" s="152">
        <f t="shared" si="10"/>
        <v>47.336984847211433</v>
      </c>
      <c r="CA13" s="152">
        <f t="shared" si="11"/>
        <v>50.375066211143071</v>
      </c>
      <c r="CB13" s="152">
        <f t="shared" si="12"/>
        <v>48.699879841098884</v>
      </c>
      <c r="CC13" s="152">
        <f t="shared" si="13"/>
        <v>49.664975105834323</v>
      </c>
      <c r="CD13" s="152">
        <f t="shared" si="14"/>
        <v>51.304842808336964</v>
      </c>
      <c r="CE13" s="152">
        <f t="shared" si="15"/>
        <v>51.781898303407559</v>
      </c>
      <c r="CF13" s="152">
        <f t="shared" si="16"/>
        <v>50.035060665240827</v>
      </c>
      <c r="CG13" s="152">
        <f t="shared" si="17"/>
        <v>50.733660529435589</v>
      </c>
      <c r="CH13" s="152">
        <f t="shared" si="18"/>
        <v>49.939581970690746</v>
      </c>
      <c r="CI13" s="152">
        <f t="shared" si="19"/>
        <v>50.818999893590963</v>
      </c>
      <c r="CJ13" s="152">
        <f t="shared" si="20"/>
        <v>50.216554679305936</v>
      </c>
      <c r="CK13" s="152">
        <f t="shared" si="21"/>
        <v>52.803097862993646</v>
      </c>
      <c r="CL13" s="152">
        <f t="shared" si="22"/>
        <v>55.845910914442818</v>
      </c>
      <c r="CM13" s="152">
        <f t="shared" si="23"/>
        <v>59.033716390536178</v>
      </c>
      <c r="CN13" s="152">
        <f t="shared" si="24"/>
        <v>56.683419605044953</v>
      </c>
      <c r="CO13" s="152">
        <f t="shared" si="25"/>
        <v>54.886967641426715</v>
      </c>
      <c r="CP13" s="152">
        <f t="shared" si="26"/>
        <v>58.006992835984306</v>
      </c>
      <c r="CQ13" s="152">
        <f t="shared" si="27"/>
        <v>59.995700741909722</v>
      </c>
      <c r="CR13" s="152">
        <f t="shared" si="28"/>
        <v>57.467813883924485</v>
      </c>
      <c r="CS13" s="152">
        <f t="shared" si="29"/>
        <v>56.46579802372235</v>
      </c>
      <c r="CT13" s="152">
        <f t="shared" si="30"/>
        <v>57.137629015387226</v>
      </c>
      <c r="CU13" s="152">
        <f t="shared" si="31"/>
        <v>63.968342143881493</v>
      </c>
      <c r="CV13" s="152">
        <f t="shared" si="32"/>
        <v>62.736079497931932</v>
      </c>
      <c r="CW13" s="152">
        <f t="shared" si="33"/>
        <v>61.334498401699371</v>
      </c>
      <c r="CX13" s="152">
        <f t="shared" si="34"/>
        <v>62.283174512664381</v>
      </c>
      <c r="CY13" s="152">
        <f t="shared" si="35"/>
        <v>65.741783396167406</v>
      </c>
      <c r="CZ13" s="152">
        <f t="shared" si="36"/>
        <v>61.649488593776283</v>
      </c>
      <c r="DA13" s="152">
        <f t="shared" si="37"/>
        <v>61.719610890052138</v>
      </c>
      <c r="DB13" s="152">
        <f t="shared" si="38"/>
        <v>61.898659508280502</v>
      </c>
      <c r="DC13" s="152">
        <f t="shared" si="39"/>
        <v>70.886289827457645</v>
      </c>
      <c r="DD13" s="152">
        <f t="shared" si="40"/>
        <v>68.517473630079181</v>
      </c>
      <c r="DE13" s="152">
        <f t="shared" si="41"/>
        <v>67.931015154544767</v>
      </c>
      <c r="DF13" s="152">
        <f t="shared" si="42"/>
        <v>75.790552545995709</v>
      </c>
      <c r="DG13" s="152">
        <f t="shared" si="43"/>
        <v>79.944086359230639</v>
      </c>
      <c r="DH13" s="152">
        <f t="shared" si="44"/>
        <v>82.481213889095045</v>
      </c>
      <c r="DI13" s="233">
        <f t="shared" si="45"/>
        <v>82.648967866278056</v>
      </c>
      <c r="DJ13" s="234">
        <f t="shared" si="46"/>
        <v>84.454402745499678</v>
      </c>
      <c r="DK13" s="234">
        <f t="shared" si="47"/>
        <v>89.735259516427035</v>
      </c>
      <c r="DL13" s="234">
        <f t="shared" si="48"/>
        <v>87.018742152168514</v>
      </c>
      <c r="DM13" s="234">
        <f t="shared" si="49"/>
        <v>87.797085165985848</v>
      </c>
      <c r="DN13" s="234">
        <f t="shared" si="50"/>
        <v>87.911557219175336</v>
      </c>
      <c r="DO13" s="234">
        <f t="shared" si="51"/>
        <v>95.548172430761326</v>
      </c>
      <c r="DP13" s="234">
        <f t="shared" si="52"/>
        <v>92.399528868331615</v>
      </c>
      <c r="DQ13" s="281">
        <f t="shared" si="53"/>
        <v>90.764466726943411</v>
      </c>
      <c r="DR13" s="281">
        <f t="shared" si="54"/>
        <v>97.393106828148348</v>
      </c>
      <c r="DS13" s="281">
        <f t="shared" si="55"/>
        <v>107.39501926240256</v>
      </c>
      <c r="DT13" s="281">
        <f t="shared" si="56"/>
        <v>104.44740718250569</v>
      </c>
      <c r="DU13" s="281">
        <f t="shared" si="57"/>
        <v>102.13745513896009</v>
      </c>
      <c r="DV13" s="281">
        <f t="shared" si="58"/>
        <v>101.45225105575248</v>
      </c>
      <c r="DW13" s="18">
        <f t="shared" si="59"/>
        <v>110.76404893599181</v>
      </c>
      <c r="DX13" s="18">
        <f t="shared" si="60"/>
        <v>110.50325774418066</v>
      </c>
      <c r="DY13" s="281">
        <f t="shared" si="63"/>
        <v>87.854321192580585</v>
      </c>
      <c r="DZ13" s="281">
        <f t="shared" si="64"/>
        <v>93.973850649546478</v>
      </c>
      <c r="EA13" s="281">
        <f t="shared" si="65"/>
        <v>90.914085921063531</v>
      </c>
      <c r="EB13" s="281">
        <f t="shared" si="66"/>
        <v>94.078786777545872</v>
      </c>
      <c r="EC13" s="281">
        <f t="shared" si="67"/>
        <v>105.92121322245413</v>
      </c>
      <c r="ED13" s="281">
        <f t="shared" si="68"/>
        <v>100</v>
      </c>
      <c r="EE13" s="281">
        <f t="shared" si="69"/>
        <v>101.79485309735628</v>
      </c>
      <c r="EF13" s="281">
        <f t="shared" si="61"/>
        <v>110.63365334008623</v>
      </c>
      <c r="EG13" s="281">
        <f t="shared" si="70"/>
        <v>106.21425321872125</v>
      </c>
    </row>
    <row r="14" spans="1:137" s="245" customFormat="1" ht="16.5" customHeight="1">
      <c r="A14" s="153" t="s">
        <v>361</v>
      </c>
      <c r="B14" s="152">
        <v>29.516316739263107</v>
      </c>
      <c r="C14" s="152">
        <v>29.710064598060882</v>
      </c>
      <c r="D14" s="152">
        <v>35.269024613544246</v>
      </c>
      <c r="E14" s="152">
        <v>35.980021881250885</v>
      </c>
      <c r="F14" s="152">
        <v>33.64371987246767</v>
      </c>
      <c r="G14" s="152">
        <v>33.332428703738671</v>
      </c>
      <c r="H14" s="152">
        <v>37.004075674030936</v>
      </c>
      <c r="I14" s="152">
        <v>38.440340173228115</v>
      </c>
      <c r="J14" s="152">
        <v>34.907126562942466</v>
      </c>
      <c r="K14" s="152">
        <v>37.73125537489458</v>
      </c>
      <c r="L14" s="152">
        <v>40.610698685637843</v>
      </c>
      <c r="M14" s="152">
        <v>39.570462459700799</v>
      </c>
      <c r="N14" s="152">
        <v>39.85174257057502</v>
      </c>
      <c r="O14" s="152">
        <v>39.995619112643539</v>
      </c>
      <c r="P14" s="152">
        <v>52.231598161729544</v>
      </c>
      <c r="Q14" s="152">
        <v>44.456674594939493</v>
      </c>
      <c r="R14" s="152">
        <v>42.350457363042928</v>
      </c>
      <c r="S14" s="152">
        <v>44.025486307820067</v>
      </c>
      <c r="T14" s="152">
        <v>50.416370500601396</v>
      </c>
      <c r="U14" s="152">
        <v>49.741710150983629</v>
      </c>
      <c r="V14" s="152">
        <v>46.930674398585815</v>
      </c>
      <c r="W14" s="152">
        <v>48.852411892492682</v>
      </c>
      <c r="X14" s="152">
        <v>56.73516930931978</v>
      </c>
      <c r="Y14" s="152">
        <v>50.243365578850309</v>
      </c>
      <c r="Z14" s="152">
        <v>53.650001302888818</v>
      </c>
      <c r="AA14" s="152">
        <v>56.133410543989122</v>
      </c>
      <c r="AB14" s="152">
        <v>57.279079435117893</v>
      </c>
      <c r="AC14" s="152">
        <v>60.664652206712901</v>
      </c>
      <c r="AD14" s="152">
        <v>63.859546118645603</v>
      </c>
      <c r="AE14" s="152">
        <v>65.012061697631609</v>
      </c>
      <c r="AF14" s="152">
        <v>68.828666112957293</v>
      </c>
      <c r="AG14" s="152">
        <v>68.643937859524328</v>
      </c>
      <c r="AH14" s="152">
        <v>66.13666849221606</v>
      </c>
      <c r="AI14" s="152">
        <v>75.031479502480636</v>
      </c>
      <c r="AJ14" s="152">
        <v>74.35569288664486</v>
      </c>
      <c r="AK14" s="152">
        <v>78.666106187095053</v>
      </c>
      <c r="AL14" s="152">
        <v>68.958568796338497</v>
      </c>
      <c r="AM14" s="152">
        <v>56.740281521269765</v>
      </c>
      <c r="AN14" s="152">
        <v>73.264453534292215</v>
      </c>
      <c r="AO14" s="152">
        <v>78.52505580130277</v>
      </c>
      <c r="AP14" s="152">
        <v>69.357528852867631</v>
      </c>
      <c r="AQ14" s="152">
        <v>83.261491157257566</v>
      </c>
      <c r="AR14" s="152">
        <v>81.011201330871273</v>
      </c>
      <c r="AS14" s="152">
        <v>87.606512239967188</v>
      </c>
      <c r="AT14" s="233">
        <v>83.560963772032224</v>
      </c>
      <c r="AU14" s="234">
        <v>83.330332988474922</v>
      </c>
      <c r="AV14" s="234">
        <v>96.504068768836689</v>
      </c>
      <c r="AW14" s="234">
        <v>92.982890746396421</v>
      </c>
      <c r="AX14" s="234">
        <v>88.61760784767516</v>
      </c>
      <c r="AY14" s="234">
        <v>89.001090316700768</v>
      </c>
      <c r="AZ14" s="234">
        <v>96.437224608919522</v>
      </c>
      <c r="BA14" s="234">
        <v>92.542927002930966</v>
      </c>
      <c r="BB14" s="281">
        <v>93.380399684163464</v>
      </c>
      <c r="BC14" s="281">
        <v>103.4387857555772</v>
      </c>
      <c r="BD14" s="281">
        <v>102.4465423627979</v>
      </c>
      <c r="BE14" s="281">
        <v>100.73427219746132</v>
      </c>
      <c r="BF14" s="281">
        <v>99.565591421914064</v>
      </c>
      <c r="BG14" s="281">
        <v>107.71016473149184</v>
      </c>
      <c r="BH14" s="18">
        <v>110.23099391444386</v>
      </c>
      <c r="BI14" s="18">
        <v>108.66771244211117</v>
      </c>
      <c r="BJ14" s="281">
        <v>98.409592719870332</v>
      </c>
      <c r="BK14" s="281">
        <v>101.59040728012961</v>
      </c>
      <c r="BL14" s="280">
        <f t="shared" si="0"/>
        <v>99.999999999999972</v>
      </c>
      <c r="BM14" s="281">
        <v>103.63787807670295</v>
      </c>
      <c r="BN14" s="281">
        <v>109.44935317827751</v>
      </c>
      <c r="BO14" s="280">
        <f t="shared" si="62"/>
        <v>106.54361562749023</v>
      </c>
      <c r="BP14" s="153" t="s">
        <v>361</v>
      </c>
      <c r="BQ14" s="152">
        <f t="shared" si="1"/>
        <v>29.516316739263107</v>
      </c>
      <c r="BR14" s="152">
        <f t="shared" si="2"/>
        <v>29.710064598060882</v>
      </c>
      <c r="BS14" s="152">
        <f t="shared" si="3"/>
        <v>35.269024613544246</v>
      </c>
      <c r="BT14" s="152">
        <f t="shared" si="4"/>
        <v>35.980021881250885</v>
      </c>
      <c r="BU14" s="152">
        <f t="shared" si="5"/>
        <v>33.64371987246767</v>
      </c>
      <c r="BV14" s="152">
        <f t="shared" si="6"/>
        <v>33.332428703738671</v>
      </c>
      <c r="BW14" s="152">
        <f t="shared" si="7"/>
        <v>37.004075674030936</v>
      </c>
      <c r="BX14" s="152">
        <f t="shared" si="8"/>
        <v>38.440340173228115</v>
      </c>
      <c r="BY14" s="152">
        <f t="shared" si="9"/>
        <v>34.907126562942466</v>
      </c>
      <c r="BZ14" s="152">
        <f t="shared" si="10"/>
        <v>37.73125537489458</v>
      </c>
      <c r="CA14" s="152">
        <f t="shared" si="11"/>
        <v>40.610698685637843</v>
      </c>
      <c r="CB14" s="152">
        <f t="shared" si="12"/>
        <v>39.570462459700799</v>
      </c>
      <c r="CC14" s="152">
        <f t="shared" si="13"/>
        <v>39.85174257057502</v>
      </c>
      <c r="CD14" s="152">
        <f t="shared" si="14"/>
        <v>39.995619112643539</v>
      </c>
      <c r="CE14" s="152">
        <f t="shared" si="15"/>
        <v>52.231598161729544</v>
      </c>
      <c r="CF14" s="152">
        <f t="shared" si="16"/>
        <v>44.456674594939493</v>
      </c>
      <c r="CG14" s="152">
        <f t="shared" si="17"/>
        <v>42.350457363042928</v>
      </c>
      <c r="CH14" s="152">
        <f t="shared" si="18"/>
        <v>44.025486307820067</v>
      </c>
      <c r="CI14" s="152">
        <f t="shared" si="19"/>
        <v>50.416370500601396</v>
      </c>
      <c r="CJ14" s="152">
        <f t="shared" si="20"/>
        <v>49.741710150983629</v>
      </c>
      <c r="CK14" s="152">
        <f t="shared" si="21"/>
        <v>46.930674398585815</v>
      </c>
      <c r="CL14" s="152">
        <f t="shared" si="22"/>
        <v>48.852411892492682</v>
      </c>
      <c r="CM14" s="152">
        <f t="shared" si="23"/>
        <v>56.73516930931978</v>
      </c>
      <c r="CN14" s="152">
        <f t="shared" si="24"/>
        <v>50.243365578850309</v>
      </c>
      <c r="CO14" s="152">
        <f t="shared" si="25"/>
        <v>53.650001302888818</v>
      </c>
      <c r="CP14" s="152">
        <f t="shared" si="26"/>
        <v>56.133410543989122</v>
      </c>
      <c r="CQ14" s="152">
        <f t="shared" si="27"/>
        <v>57.279079435117893</v>
      </c>
      <c r="CR14" s="152">
        <f t="shared" si="28"/>
        <v>60.664652206712901</v>
      </c>
      <c r="CS14" s="152">
        <f t="shared" si="29"/>
        <v>63.859546118645603</v>
      </c>
      <c r="CT14" s="152">
        <f t="shared" si="30"/>
        <v>65.012061697631609</v>
      </c>
      <c r="CU14" s="152">
        <f t="shared" si="31"/>
        <v>68.828666112957293</v>
      </c>
      <c r="CV14" s="152">
        <f t="shared" si="32"/>
        <v>68.643937859524328</v>
      </c>
      <c r="CW14" s="152">
        <f t="shared" si="33"/>
        <v>66.13666849221606</v>
      </c>
      <c r="CX14" s="152">
        <f t="shared" si="34"/>
        <v>75.031479502480636</v>
      </c>
      <c r="CY14" s="152">
        <f t="shared" si="35"/>
        <v>74.35569288664486</v>
      </c>
      <c r="CZ14" s="152">
        <f t="shared" si="36"/>
        <v>78.666106187095053</v>
      </c>
      <c r="DA14" s="152">
        <f t="shared" si="37"/>
        <v>68.958568796338497</v>
      </c>
      <c r="DB14" s="152">
        <f t="shared" si="38"/>
        <v>56.740281521269765</v>
      </c>
      <c r="DC14" s="152">
        <f t="shared" si="39"/>
        <v>73.264453534292215</v>
      </c>
      <c r="DD14" s="152">
        <f t="shared" si="40"/>
        <v>78.52505580130277</v>
      </c>
      <c r="DE14" s="152">
        <f t="shared" si="41"/>
        <v>69.357528852867631</v>
      </c>
      <c r="DF14" s="152">
        <f t="shared" si="42"/>
        <v>83.261491157257566</v>
      </c>
      <c r="DG14" s="152">
        <f t="shared" si="43"/>
        <v>81.011201330871273</v>
      </c>
      <c r="DH14" s="152">
        <f t="shared" si="44"/>
        <v>87.606512239967188</v>
      </c>
      <c r="DI14" s="233">
        <f t="shared" si="45"/>
        <v>83.560963772032224</v>
      </c>
      <c r="DJ14" s="234">
        <f t="shared" si="46"/>
        <v>83.330332988474922</v>
      </c>
      <c r="DK14" s="234">
        <f t="shared" si="47"/>
        <v>96.504068768836689</v>
      </c>
      <c r="DL14" s="234">
        <f t="shared" si="48"/>
        <v>92.982890746396421</v>
      </c>
      <c r="DM14" s="234">
        <f t="shared" si="49"/>
        <v>88.61760784767516</v>
      </c>
      <c r="DN14" s="234">
        <f t="shared" si="50"/>
        <v>89.001090316700768</v>
      </c>
      <c r="DO14" s="234">
        <f t="shared" si="51"/>
        <v>96.437224608919522</v>
      </c>
      <c r="DP14" s="234">
        <f t="shared" si="52"/>
        <v>92.542927002930966</v>
      </c>
      <c r="DQ14" s="281">
        <f t="shared" si="53"/>
        <v>93.380399684163464</v>
      </c>
      <c r="DR14" s="281">
        <f t="shared" si="54"/>
        <v>103.4387857555772</v>
      </c>
      <c r="DS14" s="281">
        <f t="shared" si="55"/>
        <v>102.4465423627979</v>
      </c>
      <c r="DT14" s="281">
        <f t="shared" si="56"/>
        <v>100.73427219746132</v>
      </c>
      <c r="DU14" s="281">
        <f t="shared" si="57"/>
        <v>99.565591421914064</v>
      </c>
      <c r="DV14" s="281">
        <f t="shared" si="58"/>
        <v>107.71016473149184</v>
      </c>
      <c r="DW14" s="18">
        <f t="shared" si="59"/>
        <v>110.23099391444386</v>
      </c>
      <c r="DX14" s="18">
        <f t="shared" si="60"/>
        <v>108.66771244211117</v>
      </c>
      <c r="DY14" s="281">
        <f t="shared" si="63"/>
        <v>88.809349082187964</v>
      </c>
      <c r="DZ14" s="281">
        <f t="shared" si="64"/>
        <v>94.490075805925244</v>
      </c>
      <c r="EA14" s="281">
        <f t="shared" si="65"/>
        <v>91.649712444056604</v>
      </c>
      <c r="EB14" s="281">
        <f t="shared" si="66"/>
        <v>98.409592719870332</v>
      </c>
      <c r="EC14" s="281">
        <f t="shared" si="67"/>
        <v>101.59040728012961</v>
      </c>
      <c r="ED14" s="281">
        <f t="shared" si="68"/>
        <v>99.999999999999972</v>
      </c>
      <c r="EE14" s="281">
        <f t="shared" si="69"/>
        <v>103.63787807670295</v>
      </c>
      <c r="EF14" s="281">
        <f t="shared" si="61"/>
        <v>109.44935317827751</v>
      </c>
      <c r="EG14" s="281">
        <f t="shared" si="70"/>
        <v>106.54361562749023</v>
      </c>
    </row>
    <row r="15" spans="1:137" s="286" customFormat="1" ht="16.5" customHeight="1">
      <c r="A15" s="285" t="s">
        <v>476</v>
      </c>
      <c r="AU15" s="287"/>
      <c r="BE15" s="651"/>
      <c r="DU15" s="18" t="e">
        <f>AVERAGE(HY31:IA31)</f>
        <v>#DIV/0!</v>
      </c>
    </row>
    <row r="16" spans="1:137">
      <c r="A16" s="150" t="s">
        <v>30</v>
      </c>
      <c r="B16" s="288"/>
      <c r="C16" s="288"/>
      <c r="D16" s="288"/>
      <c r="E16" s="288"/>
      <c r="F16" s="288">
        <f>F2/B2-1</f>
        <v>-3.3733570227724496E-2</v>
      </c>
      <c r="G16" s="288">
        <f>G2/C2-1</f>
        <v>3.6245815615669752E-3</v>
      </c>
      <c r="H16" s="288">
        <f>H2/D2-1</f>
        <v>-1.8257502789406854E-2</v>
      </c>
      <c r="I16" s="288">
        <f>I2/E2-1</f>
        <v>-3.0106672625106579E-2</v>
      </c>
      <c r="J16" s="288">
        <f t="shared" ref="J16:J28" si="71">J2/F2-1</f>
        <v>0.11492093933657266</v>
      </c>
      <c r="K16" s="288">
        <f t="shared" ref="K16:K28" si="72">K2/G2-1</f>
        <v>0.32383415310244579</v>
      </c>
      <c r="L16" s="288">
        <f t="shared" ref="L16:L28" si="73">L2/H2-1</f>
        <v>0.17982155779943976</v>
      </c>
      <c r="M16" s="288">
        <f t="shared" ref="M16:M28" si="74">M2/I2-1</f>
        <v>8.7709792745671811E-2</v>
      </c>
      <c r="N16" s="288">
        <f t="shared" ref="N16:N28" si="75">N2/J2-1</f>
        <v>0.16454383032678233</v>
      </c>
      <c r="O16" s="288">
        <f t="shared" ref="O16:O28" si="76">O2/K2-1</f>
        <v>5.7357234663738321E-2</v>
      </c>
      <c r="P16" s="288">
        <f t="shared" ref="P16:P28" si="77">P2/L2-1</f>
        <v>0.70168823095954558</v>
      </c>
      <c r="Q16" s="288">
        <f t="shared" ref="Q16:Q28" si="78">Q2/M2-1</f>
        <v>8.060967143479103E-2</v>
      </c>
      <c r="R16" s="288">
        <f t="shared" ref="R16:R28" si="79">R2/N2-1</f>
        <v>-3.4605105871066466E-2</v>
      </c>
      <c r="S16" s="288">
        <f t="shared" ref="S16:S28" si="80">S2/O2-1</f>
        <v>2.1727317734852702E-2</v>
      </c>
      <c r="T16" s="288">
        <f t="shared" ref="T16:T28" si="81">T2/P2-1</f>
        <v>-0.23174209967365722</v>
      </c>
      <c r="U16" s="288">
        <f t="shared" ref="U16:U28" si="82">U2/Q2-1</f>
        <v>0.14535641303913827</v>
      </c>
      <c r="V16" s="288">
        <f t="shared" ref="V16:V28" si="83">V2/R2-1</f>
        <v>9.823020016720041E-2</v>
      </c>
      <c r="W16" s="288">
        <f t="shared" ref="W16:W28" si="84">W2/S2-1</f>
        <v>0.14719056417206033</v>
      </c>
      <c r="X16" s="288">
        <f t="shared" ref="X16:X28" si="85">X2/T2-1</f>
        <v>0.19011317047365339</v>
      </c>
      <c r="Y16" s="288">
        <f t="shared" ref="Y16:Y28" si="86">Y2/U2-1</f>
        <v>-1.1509842943883131E-2</v>
      </c>
      <c r="Z16" s="288">
        <f t="shared" ref="Z16:Z28" si="87">Z2/V2-1</f>
        <v>0.31268959572100741</v>
      </c>
      <c r="AA16" s="288">
        <f t="shared" ref="AA16:AA28" si="88">AA2/W2-1</f>
        <v>0.28867792948365345</v>
      </c>
      <c r="AB16" s="288">
        <f t="shared" ref="AB16:AB28" si="89">AB2/X2-1</f>
        <v>7.62904264085007E-2</v>
      </c>
      <c r="AC16" s="288">
        <f t="shared" ref="AC16:AC28" si="90">AC2/Y2-1</f>
        <v>0.27118950392681129</v>
      </c>
      <c r="AD16" s="288">
        <f t="shared" ref="AD16:AD28" si="91">AD2/Z2-1</f>
        <v>-0.17573474053832605</v>
      </c>
      <c r="AE16" s="288">
        <f t="shared" ref="AE16:AE28" si="92">AE2/AA2-1</f>
        <v>-0.28321833338534241</v>
      </c>
      <c r="AF16" s="288">
        <f t="shared" ref="AF16:AF28" si="93">AF2/AB2-1</f>
        <v>-0.42787042548351284</v>
      </c>
      <c r="AG16" s="288">
        <f t="shared" ref="AG16:AG28" si="94">AG2/AC2-1</f>
        <v>-0.36766160294438199</v>
      </c>
      <c r="AH16" s="288">
        <f t="shared" ref="AH16:AH28" si="95">AH2/AD2-1</f>
        <v>-0.19974462953696825</v>
      </c>
      <c r="AI16" s="288">
        <f t="shared" ref="AI16:AI28" si="96">AI2/AE2-1</f>
        <v>0.13458450043642323</v>
      </c>
      <c r="AJ16" s="288">
        <f t="shared" ref="AJ16:AJ28" si="97">AJ2/AF2-1</f>
        <v>0.35368044461177228</v>
      </c>
      <c r="AK16" s="288">
        <f t="shared" ref="AK16:AK28" si="98">AK2/AG2-1</f>
        <v>1.2238489453673975</v>
      </c>
      <c r="AL16" s="288">
        <f t="shared" ref="AL16:AL28" si="99">AL2/AH2-1</f>
        <v>0.7671619912423171</v>
      </c>
      <c r="AM16" s="288">
        <f t="shared" ref="AM16:AM28" si="100">AM2/AI2-1</f>
        <v>-0.44524538278540848</v>
      </c>
      <c r="AN16" s="288">
        <f t="shared" ref="AN16:AN28" si="101">AN2/AJ2-1</f>
        <v>-0.40902755175084315</v>
      </c>
      <c r="AO16" s="288">
        <f t="shared" ref="AO16:AO28" si="102">AO2/AK2-1</f>
        <v>-0.69558456647668487</v>
      </c>
      <c r="AP16" s="288">
        <f t="shared" ref="AP16:AP28" si="103">AP2/AL2-1</f>
        <v>-0.62325300458576582</v>
      </c>
      <c r="AQ16" s="288">
        <f t="shared" ref="AQ16:AQ28" si="104">AQ2/AM2-1</f>
        <v>0.47967993154941113</v>
      </c>
      <c r="AR16" s="288">
        <f t="shared" ref="AR16:AR28" si="105">AR2/AN2-1</f>
        <v>0.31915510802590408</v>
      </c>
      <c r="AS16" s="288">
        <f t="shared" ref="AS16:AS28" si="106">AS2/AO2-1</f>
        <v>0.20709735745230873</v>
      </c>
      <c r="AT16" s="288">
        <f t="shared" ref="AT16:AT28" si="107">AT2/AP2-1</f>
        <v>-8.856560754154652E-2</v>
      </c>
      <c r="AU16" s="288">
        <f t="shared" ref="AU16:AU28" si="108">AU2/AQ2-1</f>
        <v>-0.13070012742250825</v>
      </c>
      <c r="AV16" s="288">
        <f t="shared" ref="AV16:AV28" si="109">AV2/AR2-1</f>
        <v>0.22655661302766794</v>
      </c>
      <c r="AW16" s="288">
        <f>AW2/AS2-1</f>
        <v>0.86787602602021696</v>
      </c>
      <c r="AX16" s="289">
        <f>AX2/AT2-1</f>
        <v>0.59202172249748908</v>
      </c>
      <c r="AY16" s="289">
        <f t="shared" ref="AY16:AY28" si="110">AY2/AU2-1</f>
        <v>0.20440864102673295</v>
      </c>
      <c r="AZ16" s="289">
        <f t="shared" ref="AZ16:AZ28" si="111">AZ2/AV2-1</f>
        <v>-0.19613358759697053</v>
      </c>
      <c r="BA16" s="289">
        <f>BA2/AW2-1</f>
        <v>-0.32070473737086413</v>
      </c>
      <c r="BB16" s="289">
        <f t="shared" ref="BB16:BE16" si="112">BB2/AX2-1</f>
        <v>0.10621090895998853</v>
      </c>
      <c r="BC16" s="289">
        <f t="shared" si="112"/>
        <v>-0.22230238489325249</v>
      </c>
      <c r="BD16" s="289">
        <f t="shared" si="112"/>
        <v>2.2169042595284516E-2</v>
      </c>
      <c r="BE16" s="289">
        <f t="shared" si="112"/>
        <v>0.1290492831129566</v>
      </c>
      <c r="BF16" s="289">
        <f t="shared" ref="BF16" si="113">BF2/BB2-1</f>
        <v>7.0709237634562827E-2</v>
      </c>
      <c r="BG16" s="289">
        <f t="shared" ref="BG16" si="114">BG2/BC2-1</f>
        <v>0.10250989363743579</v>
      </c>
      <c r="BH16" s="289">
        <f t="shared" ref="BH16" si="115">BH2/BD2-1</f>
        <v>0.11768233804738726</v>
      </c>
      <c r="BI16" s="289">
        <f t="shared" ref="BI16" si="116">BI2/BE2-1</f>
        <v>-1.4790787624133661E-2</v>
      </c>
      <c r="DU16" s="18" t="e">
        <f>AVERAGE(HY32:IA32)</f>
        <v>#DIV/0!</v>
      </c>
      <c r="DZ16" s="18"/>
      <c r="EA16" s="18"/>
      <c r="EB16" s="18"/>
      <c r="EC16" s="18"/>
      <c r="ED16" s="18"/>
    </row>
    <row r="17" spans="1:242" s="147" customFormat="1">
      <c r="A17" s="150" t="s">
        <v>34</v>
      </c>
      <c r="B17" s="288"/>
      <c r="C17" s="288"/>
      <c r="D17" s="288"/>
      <c r="E17" s="288"/>
      <c r="F17" s="288">
        <f t="shared" ref="F17:F28" si="117">F3/B3-1</f>
        <v>0.39180258255133094</v>
      </c>
      <c r="G17" s="288">
        <f>G3/C3-1</f>
        <v>0.37407450032608303</v>
      </c>
      <c r="H17" s="288">
        <f>H3/D3-1</f>
        <v>4.4846002155658038E-2</v>
      </c>
      <c r="I17" s="288">
        <f>I3/E3-1</f>
        <v>0.16707883108685162</v>
      </c>
      <c r="J17" s="288">
        <f t="shared" si="71"/>
        <v>-1.0644240851195419E-2</v>
      </c>
      <c r="K17" s="288">
        <f t="shared" si="72"/>
        <v>7.9872051562262847E-2</v>
      </c>
      <c r="L17" s="288">
        <f t="shared" si="73"/>
        <v>0.10079838664203278</v>
      </c>
      <c r="M17" s="288">
        <f t="shared" si="74"/>
        <v>-6.4863540626014071E-2</v>
      </c>
      <c r="N17" s="288">
        <f t="shared" si="75"/>
        <v>0.14949767841863171</v>
      </c>
      <c r="O17" s="288">
        <f t="shared" si="76"/>
        <v>-9.2926368041601481E-3</v>
      </c>
      <c r="P17" s="288">
        <f t="shared" si="77"/>
        <v>-5.5220084851991147E-2</v>
      </c>
      <c r="Q17" s="288">
        <f t="shared" si="78"/>
        <v>0.2029402658555588</v>
      </c>
      <c r="R17" s="288">
        <f t="shared" si="79"/>
        <v>0.14877763083317586</v>
      </c>
      <c r="S17" s="288">
        <f t="shared" si="80"/>
        <v>0.29565755528713544</v>
      </c>
      <c r="T17" s="288">
        <f t="shared" si="81"/>
        <v>0.206476880585305</v>
      </c>
      <c r="U17" s="288">
        <f t="shared" si="82"/>
        <v>0.10978965797147344</v>
      </c>
      <c r="V17" s="288">
        <f t="shared" si="83"/>
        <v>0.16643093966265821</v>
      </c>
      <c r="W17" s="288">
        <f t="shared" si="84"/>
        <v>-3.0494156101996461E-2</v>
      </c>
      <c r="X17" s="288">
        <f t="shared" si="85"/>
        <v>5.3935382224031603E-2</v>
      </c>
      <c r="Y17" s="288">
        <f t="shared" si="86"/>
        <v>-0.11540961045911535</v>
      </c>
      <c r="Z17" s="288">
        <f t="shared" si="87"/>
        <v>-3.1548352986956352E-2</v>
      </c>
      <c r="AA17" s="288">
        <f t="shared" si="88"/>
        <v>7.9951367437918197E-3</v>
      </c>
      <c r="AB17" s="288">
        <f t="shared" si="89"/>
        <v>-5.2332091359517552E-2</v>
      </c>
      <c r="AC17" s="288">
        <f t="shared" si="90"/>
        <v>0.38435058311244075</v>
      </c>
      <c r="AD17" s="288">
        <f t="shared" si="91"/>
        <v>0.57422472953959414</v>
      </c>
      <c r="AE17" s="288">
        <f t="shared" si="92"/>
        <v>0.55744692544628727</v>
      </c>
      <c r="AF17" s="288">
        <f t="shared" si="93"/>
        <v>0.37197056810944695</v>
      </c>
      <c r="AG17" s="288">
        <f t="shared" si="94"/>
        <v>0.14340133337499128</v>
      </c>
      <c r="AH17" s="288">
        <f t="shared" si="95"/>
        <v>-0.10380313714099743</v>
      </c>
      <c r="AI17" s="288">
        <f t="shared" si="96"/>
        <v>-0.10215421443549155</v>
      </c>
      <c r="AJ17" s="288">
        <f t="shared" si="97"/>
        <v>-0.10858960382261762</v>
      </c>
      <c r="AK17" s="288">
        <f t="shared" si="98"/>
        <v>-9.2460309258317941E-2</v>
      </c>
      <c r="AL17" s="288">
        <f t="shared" si="99"/>
        <v>-0.16279760811946198</v>
      </c>
      <c r="AM17" s="288">
        <f t="shared" si="100"/>
        <v>-0.11057562946270538</v>
      </c>
      <c r="AN17" s="288">
        <f t="shared" si="101"/>
        <v>-3.0090129449919401E-2</v>
      </c>
      <c r="AO17" s="288">
        <f t="shared" si="102"/>
        <v>-0.11738441614324102</v>
      </c>
      <c r="AP17" s="288">
        <f t="shared" si="103"/>
        <v>-2.188718597399042E-2</v>
      </c>
      <c r="AQ17" s="288">
        <f t="shared" si="104"/>
        <v>1.5598311823072919E-3</v>
      </c>
      <c r="AR17" s="288">
        <f t="shared" si="105"/>
        <v>0.25485497335067087</v>
      </c>
      <c r="AS17" s="288">
        <f t="shared" si="106"/>
        <v>0.46221141946486433</v>
      </c>
      <c r="AT17" s="288">
        <f t="shared" si="107"/>
        <v>0.41537090904262963</v>
      </c>
      <c r="AU17" s="288">
        <f t="shared" si="108"/>
        <v>0.23056334410051216</v>
      </c>
      <c r="AV17" s="288">
        <f t="shared" si="109"/>
        <v>0.20323271290247891</v>
      </c>
      <c r="AW17" s="288">
        <f t="shared" ref="AW17:AW28" si="118">AW3/AS3-1</f>
        <v>-5.0819877115416023E-2</v>
      </c>
      <c r="AX17" s="289">
        <f t="shared" ref="AX17:AX28" si="119">AX3/AT3-1</f>
        <v>-0.11388961141724929</v>
      </c>
      <c r="AY17" s="289">
        <f t="shared" si="110"/>
        <v>-1.9068740892499658E-2</v>
      </c>
      <c r="AZ17" s="289">
        <f t="shared" si="111"/>
        <v>-0.15852081834073284</v>
      </c>
      <c r="BA17" s="289">
        <f t="shared" ref="BA17:BA28" si="120">BA3/AW3-1</f>
        <v>-0.12940193243898346</v>
      </c>
      <c r="BB17" s="289">
        <f t="shared" ref="BB17:BB28" si="121">BB3/AX3-1</f>
        <v>3.1174574711721359E-2</v>
      </c>
      <c r="BC17" s="289">
        <f t="shared" ref="BC17:BC28" si="122">BC3/AY3-1</f>
        <v>0.24265401932862818</v>
      </c>
      <c r="BD17" s="289">
        <f t="shared" ref="BD17:BD28" si="123">BD3/AZ3-1</f>
        <v>5.0632366928654138E-2</v>
      </c>
      <c r="BE17" s="289">
        <f t="shared" ref="BE17:BE28" si="124">BE3/BA3-1</f>
        <v>0.17499022401304321</v>
      </c>
      <c r="BF17" s="289">
        <f t="shared" ref="BF17:BF28" si="125">BF3/BB3-1</f>
        <v>9.5952502251402949E-2</v>
      </c>
      <c r="BG17" s="289">
        <f t="shared" ref="BG17:BG28" si="126">BG3/BC3-1</f>
        <v>0.11269195325600267</v>
      </c>
      <c r="BH17" s="289">
        <f t="shared" ref="BH17:BH28" si="127">BH3/BD3-1</f>
        <v>2.1398893794266627E-2</v>
      </c>
      <c r="BI17" s="289">
        <f t="shared" ref="BI17:BI28" si="128">BI3/BE3-1</f>
        <v>3.0020035133453415E-2</v>
      </c>
      <c r="BJ17" s="488"/>
      <c r="BK17" s="488" t="s">
        <v>585</v>
      </c>
      <c r="BL17" s="488" t="s">
        <v>586</v>
      </c>
      <c r="BM17" s="488" t="s">
        <v>587</v>
      </c>
      <c r="BN17" s="488" t="s">
        <v>588</v>
      </c>
      <c r="BO17" s="488" t="s">
        <v>589</v>
      </c>
      <c r="BP17" s="488" t="s">
        <v>590</v>
      </c>
      <c r="BQ17" s="488" t="s">
        <v>591</v>
      </c>
      <c r="BR17" s="488" t="s">
        <v>592</v>
      </c>
      <c r="BS17" s="488" t="s">
        <v>593</v>
      </c>
      <c r="BT17" s="488" t="s">
        <v>594</v>
      </c>
      <c r="BU17" s="488" t="s">
        <v>595</v>
      </c>
      <c r="BV17" s="488" t="s">
        <v>596</v>
      </c>
      <c r="BW17" s="488" t="s">
        <v>597</v>
      </c>
      <c r="BX17" s="488" t="s">
        <v>598</v>
      </c>
      <c r="BY17" s="488" t="s">
        <v>599</v>
      </c>
      <c r="BZ17" s="488" t="s">
        <v>600</v>
      </c>
      <c r="CA17" s="488" t="s">
        <v>601</v>
      </c>
      <c r="CB17" s="488" t="s">
        <v>602</v>
      </c>
      <c r="CC17" s="488" t="s">
        <v>603</v>
      </c>
      <c r="CD17" s="488" t="s">
        <v>604</v>
      </c>
      <c r="CE17" s="488" t="s">
        <v>605</v>
      </c>
      <c r="CF17" s="488" t="s">
        <v>606</v>
      </c>
      <c r="CG17" s="488" t="s">
        <v>607</v>
      </c>
      <c r="CH17" s="488" t="s">
        <v>608</v>
      </c>
      <c r="CI17" s="488" t="s">
        <v>609</v>
      </c>
      <c r="CJ17" s="488" t="s">
        <v>610</v>
      </c>
      <c r="CK17" s="488" t="s">
        <v>611</v>
      </c>
      <c r="CL17" s="488" t="s">
        <v>612</v>
      </c>
      <c r="CM17" s="488" t="s">
        <v>613</v>
      </c>
      <c r="CN17" s="488" t="s">
        <v>614</v>
      </c>
      <c r="CO17" s="488" t="s">
        <v>615</v>
      </c>
      <c r="CP17" s="488" t="s">
        <v>616</v>
      </c>
      <c r="CQ17" s="488" t="s">
        <v>617</v>
      </c>
      <c r="CR17" s="488" t="s">
        <v>618</v>
      </c>
      <c r="CS17" s="488" t="s">
        <v>619</v>
      </c>
      <c r="CT17" s="488" t="s">
        <v>620</v>
      </c>
      <c r="CU17" s="488" t="s">
        <v>621</v>
      </c>
      <c r="CV17" s="488" t="s">
        <v>622</v>
      </c>
      <c r="CW17" s="488" t="s">
        <v>623</v>
      </c>
      <c r="CX17" s="488" t="s">
        <v>624</v>
      </c>
      <c r="CY17" s="488" t="s">
        <v>625</v>
      </c>
      <c r="CZ17" s="488" t="s">
        <v>626</v>
      </c>
      <c r="DA17" s="488" t="s">
        <v>627</v>
      </c>
      <c r="DB17" s="488" t="s">
        <v>628</v>
      </c>
      <c r="DC17" s="488" t="s">
        <v>629</v>
      </c>
      <c r="DD17" s="488" t="s">
        <v>630</v>
      </c>
      <c r="DE17" s="488" t="s">
        <v>631</v>
      </c>
      <c r="DF17" s="488" t="s">
        <v>632</v>
      </c>
      <c r="DG17" s="488" t="s">
        <v>633</v>
      </c>
      <c r="DH17" s="488" t="s">
        <v>634</v>
      </c>
      <c r="DI17" s="488" t="s">
        <v>635</v>
      </c>
      <c r="DJ17" s="488" t="s">
        <v>636</v>
      </c>
      <c r="DK17" s="488" t="s">
        <v>637</v>
      </c>
      <c r="DL17" s="488" t="s">
        <v>638</v>
      </c>
      <c r="DM17" s="488" t="s">
        <v>639</v>
      </c>
      <c r="DN17" s="488" t="s">
        <v>640</v>
      </c>
      <c r="DO17" s="488" t="s">
        <v>641</v>
      </c>
      <c r="DP17" s="488" t="s">
        <v>642</v>
      </c>
      <c r="DQ17" s="488" t="s">
        <v>643</v>
      </c>
      <c r="DR17" s="488" t="s">
        <v>644</v>
      </c>
      <c r="DS17" s="488" t="s">
        <v>645</v>
      </c>
      <c r="DT17" s="488" t="s">
        <v>646</v>
      </c>
      <c r="DU17" s="488" t="s">
        <v>647</v>
      </c>
      <c r="DV17" s="488" t="s">
        <v>648</v>
      </c>
      <c r="DW17" s="488" t="s">
        <v>649</v>
      </c>
      <c r="DX17" s="488" t="s">
        <v>650</v>
      </c>
      <c r="DY17" s="488" t="s">
        <v>651</v>
      </c>
      <c r="DZ17" s="488" t="s">
        <v>652</v>
      </c>
      <c r="EA17" s="488" t="s">
        <v>653</v>
      </c>
      <c r="EB17" s="488" t="s">
        <v>654</v>
      </c>
      <c r="EC17" s="488" t="s">
        <v>655</v>
      </c>
      <c r="ED17" s="488" t="s">
        <v>656</v>
      </c>
      <c r="EE17" s="488" t="s">
        <v>657</v>
      </c>
      <c r="EF17" s="488" t="s">
        <v>658</v>
      </c>
      <c r="EG17" s="488" t="s">
        <v>659</v>
      </c>
      <c r="EH17" s="488" t="s">
        <v>660</v>
      </c>
      <c r="EI17" s="488" t="s">
        <v>661</v>
      </c>
      <c r="EJ17" s="488" t="s">
        <v>662</v>
      </c>
      <c r="EK17" s="488" t="s">
        <v>663</v>
      </c>
      <c r="EL17" s="488" t="s">
        <v>664</v>
      </c>
      <c r="EM17" s="488" t="s">
        <v>665</v>
      </c>
      <c r="EN17" s="488" t="s">
        <v>666</v>
      </c>
      <c r="EO17" s="488" t="s">
        <v>667</v>
      </c>
      <c r="EP17" s="488" t="s">
        <v>668</v>
      </c>
      <c r="EQ17" s="488" t="s">
        <v>669</v>
      </c>
      <c r="ER17" s="488" t="s">
        <v>670</v>
      </c>
      <c r="ES17" s="488" t="s">
        <v>671</v>
      </c>
      <c r="ET17" s="488" t="s">
        <v>672</v>
      </c>
      <c r="EU17" s="488" t="s">
        <v>673</v>
      </c>
      <c r="EV17" s="488" t="s">
        <v>674</v>
      </c>
      <c r="EW17" s="488" t="s">
        <v>675</v>
      </c>
      <c r="EX17" s="488" t="s">
        <v>676</v>
      </c>
      <c r="EY17" s="488" t="s">
        <v>677</v>
      </c>
      <c r="EZ17" s="488" t="s">
        <v>678</v>
      </c>
      <c r="FA17" s="488" t="s">
        <v>679</v>
      </c>
      <c r="FB17" s="488" t="s">
        <v>680</v>
      </c>
      <c r="FC17" s="488" t="s">
        <v>681</v>
      </c>
      <c r="FD17" s="488" t="s">
        <v>682</v>
      </c>
      <c r="FE17" s="488" t="s">
        <v>683</v>
      </c>
      <c r="FF17" s="488" t="s">
        <v>684</v>
      </c>
      <c r="FG17" s="488" t="s">
        <v>685</v>
      </c>
      <c r="FH17" s="488" t="s">
        <v>686</v>
      </c>
      <c r="FI17" s="488" t="s">
        <v>687</v>
      </c>
      <c r="FJ17" s="488" t="s">
        <v>688</v>
      </c>
      <c r="FK17" s="488" t="s">
        <v>689</v>
      </c>
      <c r="FL17" s="488" t="s">
        <v>690</v>
      </c>
      <c r="FM17" s="488" t="s">
        <v>691</v>
      </c>
      <c r="FN17" s="488" t="s">
        <v>692</v>
      </c>
      <c r="FO17" s="488" t="s">
        <v>693</v>
      </c>
      <c r="FP17" s="488" t="s">
        <v>694</v>
      </c>
      <c r="FQ17" s="488" t="s">
        <v>695</v>
      </c>
      <c r="FR17" s="488" t="s">
        <v>696</v>
      </c>
      <c r="FS17" s="488" t="s">
        <v>697</v>
      </c>
      <c r="FT17" s="488" t="s">
        <v>698</v>
      </c>
      <c r="FU17" s="488" t="s">
        <v>699</v>
      </c>
      <c r="FV17" s="488" t="s">
        <v>700</v>
      </c>
      <c r="FW17" s="488" t="s">
        <v>701</v>
      </c>
      <c r="FX17" s="488" t="s">
        <v>702</v>
      </c>
      <c r="FY17" s="488" t="s">
        <v>703</v>
      </c>
      <c r="FZ17" s="488" t="s">
        <v>704</v>
      </c>
      <c r="GA17" s="488" t="s">
        <v>705</v>
      </c>
      <c r="GB17" s="488" t="s">
        <v>706</v>
      </c>
      <c r="GC17" s="488" t="s">
        <v>707</v>
      </c>
      <c r="GD17" s="488" t="s">
        <v>708</v>
      </c>
      <c r="GE17" s="488" t="s">
        <v>709</v>
      </c>
      <c r="GF17" s="488" t="s">
        <v>710</v>
      </c>
      <c r="GG17" s="488" t="s">
        <v>711</v>
      </c>
      <c r="GH17" s="488" t="s">
        <v>712</v>
      </c>
      <c r="GI17" s="488" t="s">
        <v>713</v>
      </c>
      <c r="GJ17" s="488" t="s">
        <v>714</v>
      </c>
      <c r="GK17" s="488" t="s">
        <v>715</v>
      </c>
      <c r="GL17" s="488" t="s">
        <v>716</v>
      </c>
      <c r="GM17" s="488" t="s">
        <v>717</v>
      </c>
      <c r="GN17" s="488" t="s">
        <v>718</v>
      </c>
      <c r="GO17" s="488" t="s">
        <v>719</v>
      </c>
      <c r="GP17" s="488" t="s">
        <v>720</v>
      </c>
      <c r="GQ17" s="735" t="s">
        <v>709</v>
      </c>
      <c r="GR17" s="488" t="s">
        <v>721</v>
      </c>
      <c r="GS17" s="488" t="s">
        <v>722</v>
      </c>
      <c r="GT17" s="488" t="s">
        <v>723</v>
      </c>
      <c r="GU17" s="488" t="s">
        <v>724</v>
      </c>
      <c r="GV17" s="488" t="s">
        <v>725</v>
      </c>
      <c r="GW17" s="488" t="s">
        <v>726</v>
      </c>
      <c r="GX17" s="488" t="s">
        <v>727</v>
      </c>
      <c r="GY17" s="488" t="s">
        <v>728</v>
      </c>
      <c r="GZ17" s="488" t="s">
        <v>729</v>
      </c>
      <c r="HA17" s="488" t="s">
        <v>730</v>
      </c>
      <c r="HB17" s="488" t="s">
        <v>731</v>
      </c>
      <c r="HC17" s="488" t="s">
        <v>732</v>
      </c>
      <c r="HD17" s="488" t="s">
        <v>733</v>
      </c>
      <c r="HE17" s="488" t="s">
        <v>734</v>
      </c>
      <c r="HF17" s="736" t="s">
        <v>762</v>
      </c>
      <c r="HG17" s="736" t="s">
        <v>763</v>
      </c>
      <c r="HH17" s="488" t="s">
        <v>735</v>
      </c>
      <c r="HI17" s="488" t="s">
        <v>736</v>
      </c>
      <c r="HJ17" s="488" t="s">
        <v>737</v>
      </c>
      <c r="HK17" s="488" t="s">
        <v>764</v>
      </c>
      <c r="HL17" s="488" t="s">
        <v>765</v>
      </c>
      <c r="HM17" s="488" t="s">
        <v>766</v>
      </c>
      <c r="HN17" s="488" t="s">
        <v>767</v>
      </c>
      <c r="HO17" s="488" t="s">
        <v>768</v>
      </c>
      <c r="HP17" s="735" t="s">
        <v>769</v>
      </c>
      <c r="HQ17" s="735" t="s">
        <v>770</v>
      </c>
      <c r="HR17" s="735" t="s">
        <v>771</v>
      </c>
      <c r="HS17" s="735" t="s">
        <v>772</v>
      </c>
      <c r="HT17" s="735" t="s">
        <v>773</v>
      </c>
      <c r="HU17" s="735" t="s">
        <v>774</v>
      </c>
      <c r="HV17" s="735" t="s">
        <v>775</v>
      </c>
      <c r="HW17" s="735" t="s">
        <v>776</v>
      </c>
      <c r="HX17" s="735" t="s">
        <v>777</v>
      </c>
      <c r="HY17" s="735" t="s">
        <v>778</v>
      </c>
      <c r="HZ17" s="735" t="s">
        <v>779</v>
      </c>
      <c r="IA17" s="735" t="s">
        <v>780</v>
      </c>
      <c r="IB17" s="735" t="s">
        <v>781</v>
      </c>
      <c r="IC17" s="735" t="s">
        <v>782</v>
      </c>
      <c r="ID17" s="735" t="s">
        <v>783</v>
      </c>
      <c r="IE17" s="735" t="s">
        <v>784</v>
      </c>
      <c r="IF17" s="735" t="s">
        <v>785</v>
      </c>
      <c r="IG17" s="735" t="s">
        <v>786</v>
      </c>
      <c r="IH17" s="735" t="s">
        <v>787</v>
      </c>
    </row>
    <row r="18" spans="1:242" ht="58.5" customHeight="1">
      <c r="A18" s="150" t="s">
        <v>36</v>
      </c>
      <c r="B18" s="288"/>
      <c r="C18" s="288"/>
      <c r="D18" s="288"/>
      <c r="E18" s="288"/>
      <c r="F18" s="288">
        <f t="shared" si="117"/>
        <v>0.11475738082051734</v>
      </c>
      <c r="G18" s="288">
        <f>G4/C4-1</f>
        <v>-7.2756291725868394E-3</v>
      </c>
      <c r="H18" s="288">
        <f t="shared" ref="H18:H28" si="129">H4/D4-1</f>
        <v>9.3788745350558145E-2</v>
      </c>
      <c r="I18" s="288">
        <f t="shared" ref="I18:I28" si="130">I4/E4-1</f>
        <v>0.17666504913259717</v>
      </c>
      <c r="J18" s="288">
        <f t="shared" si="71"/>
        <v>-5.0762992658608397E-2</v>
      </c>
      <c r="K18" s="288">
        <f t="shared" si="72"/>
        <v>8.0504752642971411E-2</v>
      </c>
      <c r="L18" s="288">
        <f t="shared" si="73"/>
        <v>3.4833858550400887E-2</v>
      </c>
      <c r="M18" s="288">
        <f t="shared" si="74"/>
        <v>-9.9418585383981295E-5</v>
      </c>
      <c r="N18" s="288">
        <f t="shared" si="75"/>
        <v>0.15761884823499117</v>
      </c>
      <c r="O18" s="288">
        <f t="shared" si="76"/>
        <v>-9.6317856183721906E-3</v>
      </c>
      <c r="P18" s="288">
        <f t="shared" si="77"/>
        <v>3.7567417372561307E-2</v>
      </c>
      <c r="Q18" s="288">
        <f t="shared" si="78"/>
        <v>0.16578408555267488</v>
      </c>
      <c r="R18" s="288">
        <f t="shared" si="79"/>
        <v>0.10242267001467642</v>
      </c>
      <c r="S18" s="288">
        <f t="shared" si="80"/>
        <v>0.14467628219222251</v>
      </c>
      <c r="T18" s="288">
        <f t="shared" si="81"/>
        <v>9.9767184104123219E-2</v>
      </c>
      <c r="U18" s="288">
        <f t="shared" si="82"/>
        <v>-2.6755451383733808E-2</v>
      </c>
      <c r="V18" s="288">
        <f t="shared" si="83"/>
        <v>-1.3297201120561097E-2</v>
      </c>
      <c r="W18" s="288">
        <f t="shared" si="84"/>
        <v>2.9762495478162343E-2</v>
      </c>
      <c r="X18" s="288">
        <f t="shared" si="85"/>
        <v>1.5331041840851212E-2</v>
      </c>
      <c r="Y18" s="288">
        <f t="shared" si="86"/>
        <v>-4.4186808871116923E-2</v>
      </c>
      <c r="Z18" s="288">
        <f t="shared" si="87"/>
        <v>5.7180089590942229E-2</v>
      </c>
      <c r="AA18" s="288">
        <f t="shared" si="88"/>
        <v>-1.9361054384796739E-2</v>
      </c>
      <c r="AB18" s="288">
        <f t="shared" si="89"/>
        <v>-0.19120756185458576</v>
      </c>
      <c r="AC18" s="288">
        <f t="shared" si="90"/>
        <v>-0.10873785301399774</v>
      </c>
      <c r="AD18" s="288">
        <f t="shared" si="91"/>
        <v>-0.12076151029075011</v>
      </c>
      <c r="AE18" s="288">
        <f t="shared" si="92"/>
        <v>-2.8520080680422E-2</v>
      </c>
      <c r="AF18" s="288">
        <f t="shared" si="93"/>
        <v>0.23233821598516657</v>
      </c>
      <c r="AG18" s="288">
        <f t="shared" si="94"/>
        <v>0.229239173729616</v>
      </c>
      <c r="AH18" s="288">
        <f t="shared" si="95"/>
        <v>0.13180706154004262</v>
      </c>
      <c r="AI18" s="288">
        <f t="shared" si="96"/>
        <v>0.35922411447861169</v>
      </c>
      <c r="AJ18" s="288">
        <f t="shared" si="97"/>
        <v>0.1431174233618886</v>
      </c>
      <c r="AK18" s="288">
        <f t="shared" si="98"/>
        <v>0.1631552545445667</v>
      </c>
      <c r="AL18" s="288">
        <f t="shared" si="99"/>
        <v>6.4971920816285333E-2</v>
      </c>
      <c r="AM18" s="288">
        <f t="shared" si="100"/>
        <v>-0.27420902967996741</v>
      </c>
      <c r="AN18" s="288">
        <f t="shared" si="101"/>
        <v>2.999702373047497E-2</v>
      </c>
      <c r="AO18" s="288">
        <f t="shared" si="102"/>
        <v>0.10193053397653218</v>
      </c>
      <c r="AP18" s="288">
        <f t="shared" si="103"/>
        <v>0.17278185667586077</v>
      </c>
      <c r="AQ18" s="288">
        <f t="shared" si="104"/>
        <v>0.5695112352228342</v>
      </c>
      <c r="AR18" s="288">
        <f t="shared" si="105"/>
        <v>-7.6325763656431289E-2</v>
      </c>
      <c r="AS18" s="288">
        <f t="shared" si="106"/>
        <v>2.9278047425186138E-2</v>
      </c>
      <c r="AT18" s="288">
        <f t="shared" si="107"/>
        <v>9.7031409483182562E-2</v>
      </c>
      <c r="AU18" s="288">
        <f t="shared" si="108"/>
        <v>-7.8261131007745788E-2</v>
      </c>
      <c r="AV18" s="288">
        <f t="shared" si="109"/>
        <v>9.4304438835138837E-2</v>
      </c>
      <c r="AW18" s="288">
        <f t="shared" si="118"/>
        <v>1.608012908891121E-2</v>
      </c>
      <c r="AX18" s="289">
        <f t="shared" si="119"/>
        <v>1.9069026425868163E-2</v>
      </c>
      <c r="AY18" s="289">
        <f t="shared" si="110"/>
        <v>-3.6647851483103899E-2</v>
      </c>
      <c r="AZ18" s="289">
        <f t="shared" si="111"/>
        <v>0.16117863838814062</v>
      </c>
      <c r="BA18" s="289">
        <f t="shared" si="120"/>
        <v>6.6989055462467695E-2</v>
      </c>
      <c r="BB18" s="289">
        <f t="shared" si="121"/>
        <v>-1.1843505053374392E-2</v>
      </c>
      <c r="BC18" s="289">
        <f t="shared" si="122"/>
        <v>3.2141216098030778E-2</v>
      </c>
      <c r="BD18" s="289">
        <f t="shared" si="123"/>
        <v>3.123455429245392E-2</v>
      </c>
      <c r="BE18" s="289">
        <f t="shared" si="124"/>
        <v>8.5124655102034597E-2</v>
      </c>
      <c r="BF18" s="289">
        <f t="shared" si="125"/>
        <v>3.693134724070668E-2</v>
      </c>
      <c r="BG18" s="289">
        <f t="shared" si="126"/>
        <v>3.5657356989947209E-2</v>
      </c>
      <c r="BH18" s="289">
        <f t="shared" si="127"/>
        <v>9.0934385770271575E-3</v>
      </c>
      <c r="BI18" s="289">
        <f t="shared" si="128"/>
        <v>7.2828665845386276E-2</v>
      </c>
      <c r="BJ18" s="489" t="s">
        <v>30</v>
      </c>
      <c r="BK18" s="230">
        <v>72.605252375191284</v>
      </c>
      <c r="BL18" s="230">
        <v>75.774177845596853</v>
      </c>
      <c r="BM18" s="230">
        <v>102.18587917937752</v>
      </c>
      <c r="BN18" s="230">
        <v>57.837676731382793</v>
      </c>
      <c r="BO18" s="230">
        <v>70.430804648708303</v>
      </c>
      <c r="BP18" s="230">
        <v>83.36978583678426</v>
      </c>
      <c r="BQ18" s="230">
        <v>81.678814654879758</v>
      </c>
      <c r="BR18" s="230">
        <v>80.890173459639101</v>
      </c>
      <c r="BS18" s="230">
        <v>88.410387831251128</v>
      </c>
      <c r="BT18" s="230">
        <v>93.312169827769736</v>
      </c>
      <c r="BU18" s="230">
        <v>98.443722855375142</v>
      </c>
      <c r="BV18" s="230">
        <v>97.461212352654982</v>
      </c>
      <c r="BW18" s="230">
        <v>77.034328344213577</v>
      </c>
      <c r="BX18" s="230">
        <v>85.373102014072373</v>
      </c>
      <c r="BY18" s="230">
        <v>79.705416580597728</v>
      </c>
      <c r="BZ18" s="230">
        <v>68.145061579042647</v>
      </c>
      <c r="CA18" s="230">
        <v>71.868070317121109</v>
      </c>
      <c r="CB18" s="230">
        <v>72.392235481787878</v>
      </c>
      <c r="CC18" s="230">
        <v>71.981759108544253</v>
      </c>
      <c r="CD18" s="230">
        <v>85.596889424557958</v>
      </c>
      <c r="CE18" s="230">
        <v>88.818470756254271</v>
      </c>
      <c r="CF18" s="230">
        <v>95.5380766914232</v>
      </c>
      <c r="CG18" s="230">
        <v>95.12640359405934</v>
      </c>
      <c r="CH18" s="230">
        <v>89.845260051423438</v>
      </c>
      <c r="CI18" s="230">
        <v>94.742255151461094</v>
      </c>
      <c r="CJ18" s="230">
        <v>76.486228697141911</v>
      </c>
      <c r="CK18" s="230">
        <v>98.708198885949031</v>
      </c>
      <c r="CL18" s="230">
        <v>104.31844156165197</v>
      </c>
      <c r="CM18" s="230">
        <v>94.360500157103317</v>
      </c>
      <c r="CN18" s="230">
        <v>82.510537918449216</v>
      </c>
      <c r="CO18" s="230">
        <v>96.451177195169223</v>
      </c>
      <c r="CP18" s="230">
        <v>95.223338247799063</v>
      </c>
      <c r="CQ18" s="230">
        <v>99.030117674294615</v>
      </c>
      <c r="CR18" s="230">
        <v>99.100724397388973</v>
      </c>
      <c r="CS18" s="230">
        <v>100.08084145186866</v>
      </c>
      <c r="CT18" s="230">
        <v>105.93162567574058</v>
      </c>
      <c r="CU18" s="230">
        <v>105.55346085374357</v>
      </c>
      <c r="CV18" s="230">
        <v>102.40846986574284</v>
      </c>
      <c r="CW18" s="230">
        <v>106.39116773791422</v>
      </c>
      <c r="CX18" s="230">
        <v>93.73820361457652</v>
      </c>
      <c r="CY18" s="230">
        <v>102.59874900086163</v>
      </c>
      <c r="CZ18" s="230">
        <v>100.98077799029201</v>
      </c>
      <c r="DA18" s="230">
        <v>184.93695864599573</v>
      </c>
      <c r="DB18" s="230">
        <v>205.9514341974768</v>
      </c>
      <c r="DC18" s="230">
        <v>103.80026001758638</v>
      </c>
      <c r="DD18" s="230">
        <v>114.79217106202567</v>
      </c>
      <c r="DE18" s="230">
        <v>112.20844368641933</v>
      </c>
      <c r="DF18" s="230">
        <v>102.70765089580378</v>
      </c>
      <c r="DG18" s="230">
        <v>102.33666641852822</v>
      </c>
      <c r="DH18" s="230">
        <v>100.69595764967397</v>
      </c>
      <c r="DI18" s="230">
        <v>100.44225213618229</v>
      </c>
      <c r="DJ18" s="230">
        <v>98.702215265347803</v>
      </c>
      <c r="DK18" s="230">
        <v>96.779079604116021</v>
      </c>
      <c r="DL18" s="230">
        <v>108.29635253734233</v>
      </c>
      <c r="DM18" s="230">
        <v>123.90043834120122</v>
      </c>
      <c r="DN18" s="230">
        <v>131.65999753686199</v>
      </c>
      <c r="DO18" s="230">
        <v>124.48802988424093</v>
      </c>
      <c r="DP18" s="230">
        <v>139.20773656323965</v>
      </c>
      <c r="DQ18" s="230">
        <v>110.48635767738848</v>
      </c>
      <c r="DR18" s="230">
        <v>127.93938224702404</v>
      </c>
      <c r="DS18" s="230">
        <v>107.66567892597386</v>
      </c>
      <c r="DT18" s="230">
        <v>108.82650132261034</v>
      </c>
      <c r="DU18" s="230">
        <v>116.7930937910733</v>
      </c>
      <c r="DV18" s="230">
        <v>93.652039477918976</v>
      </c>
      <c r="DW18" s="230">
        <v>112.20724696229908</v>
      </c>
      <c r="DX18" s="230">
        <v>142.63156427125716</v>
      </c>
      <c r="DY18" s="230">
        <v>161.82582243584747</v>
      </c>
      <c r="DZ18" s="230">
        <v>158.20932214447072</v>
      </c>
      <c r="EA18" s="230">
        <v>132.26553994170536</v>
      </c>
      <c r="EB18" s="230">
        <v>100.4290881708596</v>
      </c>
      <c r="EC18" s="230">
        <v>136.73650125493623</v>
      </c>
      <c r="ED18" s="230">
        <v>136.12138505713091</v>
      </c>
      <c r="EE18" s="230">
        <v>146.82575601371599</v>
      </c>
      <c r="EF18" s="230">
        <v>115.47960953639664</v>
      </c>
      <c r="EG18" s="230">
        <v>175.1947460887705</v>
      </c>
      <c r="EH18" s="230">
        <v>109.10326766465477</v>
      </c>
      <c r="EI18" s="230">
        <v>215.61461158274216</v>
      </c>
      <c r="EJ18" s="230">
        <v>124.37458869146393</v>
      </c>
      <c r="EK18" s="230">
        <v>183.20347718143472</v>
      </c>
      <c r="EL18" s="230">
        <v>167.87882365293493</v>
      </c>
      <c r="EM18" s="230">
        <v>135.72459577469573</v>
      </c>
      <c r="EN18" s="230">
        <v>185.38802626306645</v>
      </c>
      <c r="EO18" s="230">
        <v>153.00789826002278</v>
      </c>
      <c r="EP18" s="230">
        <v>136.12255939220265</v>
      </c>
      <c r="EQ18" s="230">
        <v>130.78695344087927</v>
      </c>
      <c r="ER18" s="230">
        <v>124.32497302993664</v>
      </c>
      <c r="ES18" s="230">
        <v>105.50421656371945</v>
      </c>
      <c r="ET18" s="230">
        <v>105.9289848479701</v>
      </c>
      <c r="EU18" s="230">
        <v>123.1508370103457</v>
      </c>
      <c r="EV18" s="230">
        <v>92.821425774990544</v>
      </c>
      <c r="EW18" s="230">
        <v>83.728363970627527</v>
      </c>
      <c r="EX18" s="230">
        <v>91.284230529263297</v>
      </c>
      <c r="EY18" s="230">
        <v>103.50402812874526</v>
      </c>
      <c r="EZ18" s="230">
        <v>93.601273700332555</v>
      </c>
      <c r="FA18" s="230">
        <v>97.381560446425567</v>
      </c>
      <c r="FB18" s="230">
        <v>109.07342334549961</v>
      </c>
      <c r="FC18" s="230">
        <v>108.43160594196743</v>
      </c>
      <c r="FD18" s="230">
        <v>97.110156636327247</v>
      </c>
      <c r="FE18" s="230">
        <v>83.043242560757065</v>
      </c>
      <c r="FF18" s="230">
        <v>126.22678206757438</v>
      </c>
      <c r="FG18" s="230">
        <v>158.56997276863834</v>
      </c>
      <c r="FH18" s="230">
        <v>80.427411399683521</v>
      </c>
      <c r="FI18" s="230">
        <v>100.37804573111923</v>
      </c>
      <c r="FJ18" s="230">
        <v>125.41103832991203</v>
      </c>
      <c r="FK18" s="230">
        <v>151.23342149067011</v>
      </c>
      <c r="FL18" s="230">
        <v>187.46375144250052</v>
      </c>
      <c r="FM18" s="230">
        <v>276.72889348496454</v>
      </c>
      <c r="FN18" s="230">
        <v>203.08714684758056</v>
      </c>
      <c r="FO18" s="230">
        <v>218.4691442757383</v>
      </c>
      <c r="FP18" s="230">
        <v>192.89679324827699</v>
      </c>
      <c r="FQ18" s="230">
        <v>98.610514800185697</v>
      </c>
      <c r="FR18" s="230">
        <v>51.186123670224994</v>
      </c>
      <c r="FS18" s="230">
        <v>43.264335131083371</v>
      </c>
      <c r="FT18" s="230">
        <v>108.15933373640462</v>
      </c>
      <c r="FU18" s="230">
        <v>82.019467786542947</v>
      </c>
      <c r="FV18" s="230">
        <v>64.145675008110231</v>
      </c>
      <c r="FW18" s="230">
        <v>76.644770356267074</v>
      </c>
      <c r="FX18" s="230">
        <v>71.324897781113037</v>
      </c>
      <c r="FY18" s="230">
        <v>76.850185057749002</v>
      </c>
      <c r="FZ18" s="230">
        <v>54.955184255685985</v>
      </c>
      <c r="GA18" s="230">
        <v>65.66840929594926</v>
      </c>
      <c r="GB18" s="230">
        <v>59.38389528528171</v>
      </c>
      <c r="GC18" s="230">
        <v>67.079791563922228</v>
      </c>
      <c r="GD18" s="230">
        <v>86.842786715499869</v>
      </c>
      <c r="GE18" s="230">
        <v>72.691544080687464</v>
      </c>
      <c r="GF18" s="230">
        <v>140.26331315725616</v>
      </c>
      <c r="GG18" s="230">
        <v>30.299424979448112</v>
      </c>
      <c r="GH18" s="230">
        <v>103.59181800382883</v>
      </c>
      <c r="GI18" s="230">
        <v>160.02959206856755</v>
      </c>
      <c r="GJ18" s="230">
        <v>107.4223188728589</v>
      </c>
      <c r="GK18" s="230">
        <v>68.754102531469314</v>
      </c>
      <c r="GL18" s="230">
        <v>69.021587224082324</v>
      </c>
      <c r="GM18" s="230">
        <v>68.35611976266884</v>
      </c>
      <c r="GN18" s="230">
        <v>59.382786185225761</v>
      </c>
      <c r="GO18" s="230">
        <v>47.376894373932267</v>
      </c>
      <c r="GP18" s="230">
        <v>42.765356306861314</v>
      </c>
      <c r="GQ18" s="230">
        <v>104.39736569955697</v>
      </c>
      <c r="GR18" s="230">
        <v>113.45133168134245</v>
      </c>
      <c r="GS18" s="230">
        <v>144.57763074808889</v>
      </c>
      <c r="GT18" s="230">
        <v>140.02038347694435</v>
      </c>
      <c r="GU18" s="230">
        <v>75.912529714420998</v>
      </c>
      <c r="GV18" s="230">
        <v>132.81498787247148</v>
      </c>
      <c r="GW18" s="230">
        <v>145.43911129609057</v>
      </c>
      <c r="GX18" s="230">
        <v>179.74538277634429</v>
      </c>
      <c r="GY18" s="230">
        <v>77.232251180824619</v>
      </c>
      <c r="GZ18" s="230">
        <v>99.80405030706838</v>
      </c>
      <c r="HA18" s="230">
        <v>101.75185657698813</v>
      </c>
      <c r="HB18" s="230">
        <v>99.991710253152561</v>
      </c>
      <c r="HC18" s="230">
        <v>120.48811045153312</v>
      </c>
      <c r="HD18" s="230">
        <v>93.405997529858212</v>
      </c>
      <c r="HE18" s="230">
        <v>90.75055987037544</v>
      </c>
      <c r="HF18" s="230">
        <v>93.593012728630981</v>
      </c>
      <c r="HG18" s="230">
        <v>105.45874499106738</v>
      </c>
      <c r="HH18" s="230">
        <v>121.6512125213746</v>
      </c>
      <c r="HI18" s="230">
        <v>94.414666720130668</v>
      </c>
      <c r="HJ18" s="230">
        <v>95.050999130268053</v>
      </c>
      <c r="HK18" s="230">
        <v>102.88583128647895</v>
      </c>
      <c r="HL18" s="230">
        <v>89.999669343967426</v>
      </c>
      <c r="HM18" s="230">
        <v>115.51300110978677</v>
      </c>
      <c r="HN18" s="230">
        <v>83.81877594542955</v>
      </c>
      <c r="HO18" s="230">
        <v>79.26539710127723</v>
      </c>
      <c r="HP18" s="230">
        <v>81.024079210128008</v>
      </c>
      <c r="HQ18" s="230">
        <v>115.1381114865728</v>
      </c>
      <c r="HR18" s="230">
        <v>74.266755652254602</v>
      </c>
      <c r="HS18" s="230">
        <v>106.8220903741129</v>
      </c>
      <c r="HT18" s="230">
        <v>116.7561153138284</v>
      </c>
      <c r="HU18" s="230">
        <v>137.05356058440941</v>
      </c>
      <c r="HV18" s="230">
        <v>97.45661259175381</v>
      </c>
      <c r="HW18" s="230">
        <v>107.32996789243981</v>
      </c>
      <c r="HX18" s="230">
        <v>102.60291344061156</v>
      </c>
      <c r="HY18" s="230">
        <v>120.27224335287511</v>
      </c>
      <c r="HZ18" s="230">
        <v>86.822135926742604</v>
      </c>
      <c r="IA18" s="230">
        <v>86.932663235131969</v>
      </c>
      <c r="IB18" s="230">
        <v>95.376964069828645</v>
      </c>
      <c r="IC18" s="230">
        <v>119.51940263476166</v>
      </c>
      <c r="ID18" s="230">
        <v>94.967755562506269</v>
      </c>
      <c r="IE18" s="230">
        <v>116.60048026845926</v>
      </c>
      <c r="IF18" s="737">
        <v>101.2683796970832</v>
      </c>
      <c r="IG18" s="737">
        <v>142.67872055391067</v>
      </c>
      <c r="IH18" s="737">
        <v>102.12368316642466</v>
      </c>
    </row>
    <row r="19" spans="1:242" ht="42.75">
      <c r="A19" s="150" t="s">
        <v>38</v>
      </c>
      <c r="B19" s="288"/>
      <c r="C19" s="288"/>
      <c r="D19" s="288"/>
      <c r="E19" s="288"/>
      <c r="F19" s="288">
        <f t="shared" si="117"/>
        <v>-0.31092262974480778</v>
      </c>
      <c r="G19" s="288">
        <f t="shared" ref="G19:G28" si="131">G5/C5-1</f>
        <v>0.36508982384062305</v>
      </c>
      <c r="H19" s="288">
        <f t="shared" si="129"/>
        <v>-0.53644282640096685</v>
      </c>
      <c r="I19" s="288">
        <f t="shared" si="130"/>
        <v>6.242385150146923E-2</v>
      </c>
      <c r="J19" s="288">
        <f t="shared" si="71"/>
        <v>-7.4940894324154184E-2</v>
      </c>
      <c r="K19" s="288">
        <f t="shared" si="72"/>
        <v>-0.15243327654741612</v>
      </c>
      <c r="L19" s="288">
        <f t="shared" si="73"/>
        <v>1.2090984245083538</v>
      </c>
      <c r="M19" s="288">
        <f t="shared" si="74"/>
        <v>0.53105774419859708</v>
      </c>
      <c r="N19" s="288">
        <f t="shared" si="75"/>
        <v>0.45423232267514879</v>
      </c>
      <c r="O19" s="288">
        <f t="shared" si="76"/>
        <v>0.20957546237517288</v>
      </c>
      <c r="P19" s="288">
        <f t="shared" si="77"/>
        <v>0.14284172157073005</v>
      </c>
      <c r="Q19" s="288">
        <f t="shared" si="78"/>
        <v>-0.16566797671290012</v>
      </c>
      <c r="R19" s="288">
        <f t="shared" si="79"/>
        <v>6.0179370685368161E-2</v>
      </c>
      <c r="S19" s="288">
        <f t="shared" si="80"/>
        <v>-8.7369902014545531E-2</v>
      </c>
      <c r="T19" s="288">
        <f t="shared" si="81"/>
        <v>-0.33696151835922494</v>
      </c>
      <c r="U19" s="288">
        <f t="shared" si="82"/>
        <v>-3.9525427309053396E-2</v>
      </c>
      <c r="V19" s="288">
        <f t="shared" si="83"/>
        <v>0.37924413543070434</v>
      </c>
      <c r="W19" s="288">
        <f t="shared" si="84"/>
        <v>-0.13613452008484872</v>
      </c>
      <c r="X19" s="288">
        <f t="shared" si="85"/>
        <v>-4.0838616235727709E-4</v>
      </c>
      <c r="Y19" s="288">
        <f t="shared" si="86"/>
        <v>0.811958888343145</v>
      </c>
      <c r="Z19" s="288">
        <f t="shared" si="87"/>
        <v>0.7625900991799075</v>
      </c>
      <c r="AA19" s="288">
        <f t="shared" si="88"/>
        <v>1.8550991758864535</v>
      </c>
      <c r="AB19" s="288">
        <f t="shared" si="89"/>
        <v>1.9962868862812195</v>
      </c>
      <c r="AC19" s="288">
        <f t="shared" si="90"/>
        <v>0.29473568924282878</v>
      </c>
      <c r="AD19" s="288">
        <f t="shared" si="91"/>
        <v>1.0850828904924601</v>
      </c>
      <c r="AE19" s="288">
        <f t="shared" si="92"/>
        <v>0.74347844076108593</v>
      </c>
      <c r="AF19" s="288">
        <f t="shared" si="93"/>
        <v>1.3168570299849458</v>
      </c>
      <c r="AG19" s="288">
        <f t="shared" si="94"/>
        <v>1.3901551536070191</v>
      </c>
      <c r="AH19" s="288">
        <f t="shared" si="95"/>
        <v>0.14086629874517609</v>
      </c>
      <c r="AI19" s="288">
        <f t="shared" si="96"/>
        <v>0.14328055501542614</v>
      </c>
      <c r="AJ19" s="288">
        <f t="shared" si="97"/>
        <v>0.26803432934304761</v>
      </c>
      <c r="AK19" s="288">
        <f t="shared" si="98"/>
        <v>0.38401702016990735</v>
      </c>
      <c r="AL19" s="288">
        <f t="shared" si="99"/>
        <v>0.11822690136175096</v>
      </c>
      <c r="AM19" s="288">
        <f t="shared" si="100"/>
        <v>-0.52726087956673884</v>
      </c>
      <c r="AN19" s="288">
        <f t="shared" si="101"/>
        <v>-0.30858682301261608</v>
      </c>
      <c r="AO19" s="288">
        <f t="shared" si="102"/>
        <v>0.18976583442746842</v>
      </c>
      <c r="AP19" s="288">
        <f t="shared" si="103"/>
        <v>0.11954462240558872</v>
      </c>
      <c r="AQ19" s="288">
        <f t="shared" si="104"/>
        <v>2.3792904008993538</v>
      </c>
      <c r="AR19" s="288">
        <f t="shared" si="105"/>
        <v>0.71280205097654292</v>
      </c>
      <c r="AS19" s="288">
        <f t="shared" si="106"/>
        <v>8.5134419552810314E-3</v>
      </c>
      <c r="AT19" s="288">
        <f t="shared" si="107"/>
        <v>0.38570279865004942</v>
      </c>
      <c r="AU19" s="288">
        <f t="shared" si="108"/>
        <v>-0.15451827589590972</v>
      </c>
      <c r="AV19" s="288">
        <f t="shared" si="109"/>
        <v>0.10301616034510519</v>
      </c>
      <c r="AW19" s="288">
        <f t="shared" si="118"/>
        <v>4.8982082785084868E-2</v>
      </c>
      <c r="AX19" s="289">
        <f t="shared" si="119"/>
        <v>8.8881054595899789E-2</v>
      </c>
      <c r="AY19" s="289">
        <f t="shared" si="110"/>
        <v>0.14443227832627525</v>
      </c>
      <c r="AZ19" s="289">
        <f t="shared" si="111"/>
        <v>-1.7454456048602851E-2</v>
      </c>
      <c r="BA19" s="289">
        <f t="shared" si="120"/>
        <v>2.2178403604621755E-2</v>
      </c>
      <c r="BB19" s="289">
        <f t="shared" si="121"/>
        <v>1.5179971951919669E-2</v>
      </c>
      <c r="BC19" s="289">
        <f t="shared" si="122"/>
        <v>-5.335840555988125E-3</v>
      </c>
      <c r="BD19" s="289">
        <f t="shared" si="123"/>
        <v>-7.4004708450363887E-2</v>
      </c>
      <c r="BE19" s="289">
        <f t="shared" si="124"/>
        <v>-0.24320178752239408</v>
      </c>
      <c r="BF19" s="289">
        <f t="shared" si="125"/>
        <v>-0.11647038877797666</v>
      </c>
      <c r="BG19" s="289">
        <f t="shared" si="126"/>
        <v>-1.5621784002253225E-3</v>
      </c>
      <c r="BH19" s="289">
        <f t="shared" si="127"/>
        <v>-3.8139868757912976E-2</v>
      </c>
      <c r="BI19" s="289">
        <f t="shared" si="128"/>
        <v>2.6071720717917746E-2</v>
      </c>
      <c r="BJ19" s="489" t="s">
        <v>34</v>
      </c>
      <c r="BK19" s="230">
        <v>27.615503036228468</v>
      </c>
      <c r="BL19" s="230">
        <v>27.217156276032867</v>
      </c>
      <c r="BM19" s="230">
        <v>29.796540126041489</v>
      </c>
      <c r="BN19" s="230">
        <v>23.244318003129088</v>
      </c>
      <c r="BO19" s="230">
        <v>30.747105838426926</v>
      </c>
      <c r="BP19" s="230">
        <v>38.366816293299323</v>
      </c>
      <c r="BQ19" s="230">
        <v>41.430087694447714</v>
      </c>
      <c r="BR19" s="230">
        <v>54.42672017417128</v>
      </c>
      <c r="BS19" s="230">
        <v>50.191691784645755</v>
      </c>
      <c r="BT19" s="230">
        <v>44.884113477897237</v>
      </c>
      <c r="BU19" s="230">
        <v>48.02533329209534</v>
      </c>
      <c r="BV19" s="230">
        <v>43.40410594700532</v>
      </c>
      <c r="BW19" s="230">
        <v>34.591886004177603</v>
      </c>
      <c r="BX19" s="230">
        <v>37.888496485948821</v>
      </c>
      <c r="BY19" s="230">
        <v>45.306755847355092</v>
      </c>
      <c r="BZ19" s="230">
        <v>38.221042637725837</v>
      </c>
      <c r="CA19" s="230">
        <v>37.045742539664616</v>
      </c>
      <c r="CB19" s="230">
        <v>51.640317486907257</v>
      </c>
      <c r="CC19" s="230">
        <v>46.976066667082016</v>
      </c>
      <c r="CD19" s="230">
        <v>50.5515704968428</v>
      </c>
      <c r="CE19" s="230">
        <v>55.070553819620841</v>
      </c>
      <c r="CF19" s="230">
        <v>55.415753934555276</v>
      </c>
      <c r="CG19" s="230">
        <v>54.018250243449735</v>
      </c>
      <c r="CH19" s="230">
        <v>49.654657588244817</v>
      </c>
      <c r="CI19" s="230">
        <v>42.111377070843226</v>
      </c>
      <c r="CJ19" s="230">
        <v>35.906379696970454</v>
      </c>
      <c r="CK19" s="230">
        <v>38.51562690003059</v>
      </c>
      <c r="CL19" s="230">
        <v>41.889173477798927</v>
      </c>
      <c r="CM19" s="230">
        <v>46.400564422682521</v>
      </c>
      <c r="CN19" s="230">
        <v>48.753695411436468</v>
      </c>
      <c r="CO19" s="230">
        <v>48.667142303439711</v>
      </c>
      <c r="CP19" s="230">
        <v>49.851553254974284</v>
      </c>
      <c r="CQ19" s="230">
        <v>69.461146880765867</v>
      </c>
      <c r="CR19" s="230">
        <v>49.190004061104332</v>
      </c>
      <c r="CS19" s="230">
        <v>46.223408938478649</v>
      </c>
      <c r="CT19" s="230">
        <v>53.356194891053498</v>
      </c>
      <c r="CU19" s="230">
        <v>45.222227373463518</v>
      </c>
      <c r="CV19" s="230">
        <v>44.434644706545654</v>
      </c>
      <c r="CW19" s="230">
        <v>44.297981904445514</v>
      </c>
      <c r="CX19" s="230">
        <v>45.530477915978295</v>
      </c>
      <c r="CY19" s="230">
        <v>46.585312284780876</v>
      </c>
      <c r="CZ19" s="230">
        <v>43.654148258995953</v>
      </c>
      <c r="DA19" s="230">
        <v>49.181399366157287</v>
      </c>
      <c r="DB19" s="230">
        <v>51.706118095325849</v>
      </c>
      <c r="DC19" s="230">
        <v>57.816463824781117</v>
      </c>
      <c r="DD19" s="230">
        <v>64.037152112969096</v>
      </c>
      <c r="DE19" s="230">
        <v>46.966449655082378</v>
      </c>
      <c r="DF19" s="230">
        <v>67.957349899138009</v>
      </c>
      <c r="DG19" s="230">
        <v>46.306418936791324</v>
      </c>
      <c r="DH19" s="230">
        <v>52.87939355928188</v>
      </c>
      <c r="DI19" s="230">
        <v>54.698527302792677</v>
      </c>
      <c r="DJ19" s="230">
        <v>53.344047086422378</v>
      </c>
      <c r="DK19" s="230">
        <v>54.470755965959107</v>
      </c>
      <c r="DL19" s="230">
        <v>68.096543493869632</v>
      </c>
      <c r="DM19" s="230">
        <v>64.378809118219451</v>
      </c>
      <c r="DN19" s="230">
        <v>64.389944605797979</v>
      </c>
      <c r="DO19" s="230">
        <v>62.703930554703263</v>
      </c>
      <c r="DP19" s="230">
        <v>70.79689923166319</v>
      </c>
      <c r="DQ19" s="230">
        <v>56.18309026042126</v>
      </c>
      <c r="DR19" s="230">
        <v>71.629023848895159</v>
      </c>
      <c r="DS19" s="230">
        <v>56.845651771343817</v>
      </c>
      <c r="DT19" s="230">
        <v>58.170268634662598</v>
      </c>
      <c r="DU19" s="230">
        <v>64.479534664952524</v>
      </c>
      <c r="DV19" s="230">
        <v>48.335102310188987</v>
      </c>
      <c r="DW19" s="230">
        <v>63.132140667950374</v>
      </c>
      <c r="DX19" s="230">
        <v>59.079835506417986</v>
      </c>
      <c r="DY19" s="230">
        <v>61.031582783818557</v>
      </c>
      <c r="DZ19" s="230">
        <v>71.426560438376441</v>
      </c>
      <c r="EA19" s="230">
        <v>69.341693468559825</v>
      </c>
      <c r="EB19" s="230">
        <v>58.46738368959884</v>
      </c>
      <c r="EC19" s="230">
        <v>56.904872318920539</v>
      </c>
      <c r="ED19" s="230">
        <v>60.315368469108542</v>
      </c>
      <c r="EE19" s="230">
        <v>61.167911077684153</v>
      </c>
      <c r="EF19" s="230">
        <v>52.087461720084193</v>
      </c>
      <c r="EG19" s="230">
        <v>60.577296297057607</v>
      </c>
      <c r="EH19" s="230">
        <v>55.769877223527928</v>
      </c>
      <c r="EI19" s="230">
        <v>59.963410057408474</v>
      </c>
      <c r="EJ19" s="230">
        <v>56.177338417359174</v>
      </c>
      <c r="EK19" s="230">
        <v>61.855427332724098</v>
      </c>
      <c r="EL19" s="230">
        <v>62.115923762712747</v>
      </c>
      <c r="EM19" s="230">
        <v>67.267878105281653</v>
      </c>
      <c r="EN19" s="230">
        <v>77.817902774765059</v>
      </c>
      <c r="EO19" s="230">
        <v>77.057175804284526</v>
      </c>
      <c r="EP19" s="230">
        <v>88.338186812194095</v>
      </c>
      <c r="EQ19" s="230">
        <v>88.952795502822383</v>
      </c>
      <c r="ER19" s="230">
        <v>91.560978858206354</v>
      </c>
      <c r="ES19" s="230">
        <v>93.1379121299194</v>
      </c>
      <c r="ET19" s="230">
        <v>93.370169468224958</v>
      </c>
      <c r="EU19" s="230">
        <v>94.214384678588047</v>
      </c>
      <c r="EV19" s="230">
        <v>80.157121298544922</v>
      </c>
      <c r="EW19" s="230">
        <v>85.604535038432203</v>
      </c>
      <c r="EX19" s="230">
        <v>92.491324615103466</v>
      </c>
      <c r="EY19" s="230">
        <v>84.278734277786853</v>
      </c>
      <c r="EZ19" s="230">
        <v>87.89999056222284</v>
      </c>
      <c r="FA19" s="230">
        <v>98.395056082809219</v>
      </c>
      <c r="FB19" s="230">
        <v>91.795325297801597</v>
      </c>
      <c r="FC19" s="230">
        <v>83.985446894460182</v>
      </c>
      <c r="FD19" s="230">
        <v>77.540358087772191</v>
      </c>
      <c r="FE19" s="230">
        <v>83.71997796703063</v>
      </c>
      <c r="FF19" s="230">
        <v>87.322148306200006</v>
      </c>
      <c r="FG19" s="230">
        <v>81.883742638751698</v>
      </c>
      <c r="FH19" s="230">
        <v>71.184843973643339</v>
      </c>
      <c r="FI19" s="230">
        <v>73.803660370795512</v>
      </c>
      <c r="FJ19" s="230">
        <v>85.276943072287608</v>
      </c>
      <c r="FK19" s="230">
        <v>74.802837280116876</v>
      </c>
      <c r="FL19" s="230">
        <v>85.832794025378433</v>
      </c>
      <c r="FM19" s="230">
        <v>88.719101148623992</v>
      </c>
      <c r="FN19" s="230">
        <v>77.826154977236172</v>
      </c>
      <c r="FO19" s="230">
        <v>75.825000516748062</v>
      </c>
      <c r="FP19" s="230">
        <v>63.932277549511646</v>
      </c>
      <c r="FQ19" s="230">
        <v>65.563078017478546</v>
      </c>
      <c r="FR19" s="230">
        <v>54.640347278423896</v>
      </c>
      <c r="FS19" s="230">
        <v>72.173603798171527</v>
      </c>
      <c r="FT19" s="230">
        <v>86.995427011373621</v>
      </c>
      <c r="FU19" s="230">
        <v>81.054465099267532</v>
      </c>
      <c r="FV19" s="230">
        <v>65.788243830459749</v>
      </c>
      <c r="FW19" s="230">
        <v>80.00314878591908</v>
      </c>
      <c r="FX19" s="230">
        <v>78.340928356558678</v>
      </c>
      <c r="FY19" s="230">
        <v>66.847093569070395</v>
      </c>
      <c r="FZ19" s="230">
        <v>77.564778161236788</v>
      </c>
      <c r="GA19" s="230">
        <v>58.388690892306236</v>
      </c>
      <c r="GB19" s="230">
        <v>58.225779953505679</v>
      </c>
      <c r="GC19" s="230">
        <v>84.212000420075654</v>
      </c>
      <c r="GD19" s="230">
        <v>75.994380152469134</v>
      </c>
      <c r="GE19" s="230">
        <v>66.252612008379955</v>
      </c>
      <c r="GF19" s="230">
        <v>71.895892462131314</v>
      </c>
      <c r="GG19" s="230">
        <v>76.294731125547045</v>
      </c>
      <c r="GH19" s="230">
        <v>102.14032170609404</v>
      </c>
      <c r="GI19" s="230">
        <v>106.22359990683641</v>
      </c>
      <c r="GJ19" s="230">
        <v>103.24991213192186</v>
      </c>
      <c r="GK19" s="230">
        <v>109.80101146161213</v>
      </c>
      <c r="GL19" s="230">
        <v>112.6607644112553</v>
      </c>
      <c r="GM19" s="230">
        <v>87.120946772694992</v>
      </c>
      <c r="GN19" s="230">
        <v>95.519358157589977</v>
      </c>
      <c r="GO19" s="230">
        <v>101.60364026513783</v>
      </c>
      <c r="GP19" s="230">
        <v>87.254960935153576</v>
      </c>
      <c r="GQ19" s="230">
        <v>85.856284767830829</v>
      </c>
      <c r="GR19" s="230">
        <v>90.405138514000456</v>
      </c>
      <c r="GS19" s="230">
        <v>113.48221887020961</v>
      </c>
      <c r="GT19" s="230">
        <v>115.99163730205831</v>
      </c>
      <c r="GU19" s="230">
        <v>113.03674681341501</v>
      </c>
      <c r="GV19" s="230">
        <v>112.02765744898049</v>
      </c>
      <c r="GW19" s="230">
        <v>100.7658018183908</v>
      </c>
      <c r="GX19" s="230">
        <v>96.36560077795987</v>
      </c>
      <c r="GY19" s="230">
        <v>84.931110023342953</v>
      </c>
      <c r="GZ19" s="230">
        <v>80.243649104623131</v>
      </c>
      <c r="HA19" s="230">
        <v>86.696753601444115</v>
      </c>
      <c r="HB19" s="230">
        <v>77.400335916866055</v>
      </c>
      <c r="HC19" s="230">
        <v>87.968085943982004</v>
      </c>
      <c r="HD19" s="230">
        <v>93.123036704574773</v>
      </c>
      <c r="HE19" s="230">
        <v>95.239734487184847</v>
      </c>
      <c r="HF19" s="230">
        <v>101.2822694605055</v>
      </c>
      <c r="HG19" s="230">
        <v>91.693537962324299</v>
      </c>
      <c r="HH19" s="230">
        <v>80.651725571138698</v>
      </c>
      <c r="HI19" s="230">
        <v>87.616043583116976</v>
      </c>
      <c r="HJ19" s="230">
        <v>100.88551109018994</v>
      </c>
      <c r="HK19" s="230">
        <v>78.760987783890272</v>
      </c>
      <c r="HL19" s="230">
        <v>91.070815954153147</v>
      </c>
      <c r="HM19" s="230">
        <v>89.891696282704004</v>
      </c>
      <c r="HN19" s="230">
        <v>113.30635994698514</v>
      </c>
      <c r="HO19" s="230">
        <v>112.88969201544037</v>
      </c>
      <c r="HP19" s="230">
        <v>95.01939798601677</v>
      </c>
      <c r="HQ19" s="230">
        <v>86.871904301185609</v>
      </c>
      <c r="HR19" s="230">
        <v>111.32989800653665</v>
      </c>
      <c r="HS19" s="230">
        <v>104.60677467482114</v>
      </c>
      <c r="HT19" s="230">
        <v>94.049966234690757</v>
      </c>
      <c r="HU19" s="230">
        <v>110.69331263353192</v>
      </c>
      <c r="HV19" s="230">
        <v>111.50919418004388</v>
      </c>
      <c r="HW19" s="230">
        <v>91.89476655234219</v>
      </c>
      <c r="HX19" s="230">
        <v>95.839931029045601</v>
      </c>
      <c r="HY19" s="230">
        <v>96.909922159842637</v>
      </c>
      <c r="HZ19" s="230">
        <v>118.421260961415</v>
      </c>
      <c r="IA19" s="230">
        <v>120.61873385301479</v>
      </c>
      <c r="IB19" s="230">
        <v>118.37385160470819</v>
      </c>
      <c r="IC19" s="230">
        <v>99.616506492907021</v>
      </c>
      <c r="ID19" s="230">
        <v>104.45298646545156</v>
      </c>
      <c r="IE19" s="230">
        <v>105.21885260302726</v>
      </c>
      <c r="IF19" s="737">
        <v>105.32595076588967</v>
      </c>
      <c r="IG19" s="737">
        <v>111.09105738167003</v>
      </c>
      <c r="IH19" s="737">
        <v>109.32937525265736</v>
      </c>
    </row>
    <row r="20" spans="1:242" ht="70.75">
      <c r="A20" s="150" t="s">
        <v>40</v>
      </c>
      <c r="B20" s="288"/>
      <c r="C20" s="288"/>
      <c r="D20" s="288"/>
      <c r="E20" s="288"/>
      <c r="F20" s="288">
        <f t="shared" si="117"/>
        <v>-5.3948656966983921E-2</v>
      </c>
      <c r="G20" s="288">
        <f t="shared" si="131"/>
        <v>0.41118399764671265</v>
      </c>
      <c r="H20" s="288">
        <f t="shared" si="129"/>
        <v>0.56965226949114434</v>
      </c>
      <c r="I20" s="288">
        <f t="shared" si="130"/>
        <v>0.3380688646988701</v>
      </c>
      <c r="J20" s="288">
        <f t="shared" si="71"/>
        <v>0.45156102700604461</v>
      </c>
      <c r="K20" s="288">
        <f t="shared" si="72"/>
        <v>-0.10114814104541703</v>
      </c>
      <c r="L20" s="288">
        <f t="shared" si="73"/>
        <v>0.46769900413385868</v>
      </c>
      <c r="M20" s="288">
        <f t="shared" si="74"/>
        <v>-1.7414321538032795E-2</v>
      </c>
      <c r="N20" s="288">
        <f t="shared" si="75"/>
        <v>0.24272870823145909</v>
      </c>
      <c r="O20" s="288">
        <f t="shared" si="76"/>
        <v>0.42156453498079816</v>
      </c>
      <c r="P20" s="288">
        <f t="shared" si="77"/>
        <v>-0.20068855214291503</v>
      </c>
      <c r="Q20" s="288">
        <f t="shared" si="78"/>
        <v>0.1412836642861941</v>
      </c>
      <c r="R20" s="288">
        <f t="shared" si="79"/>
        <v>-4.2187131746405981E-2</v>
      </c>
      <c r="S20" s="288">
        <f t="shared" si="80"/>
        <v>1.32563337085434E-2</v>
      </c>
      <c r="T20" s="288">
        <f t="shared" si="81"/>
        <v>-1.0923902352997117E-2</v>
      </c>
      <c r="U20" s="288">
        <f t="shared" si="82"/>
        <v>0.2013469334379494</v>
      </c>
      <c r="V20" s="288">
        <f t="shared" si="83"/>
        <v>5.6598054319297209E-2</v>
      </c>
      <c r="W20" s="288">
        <f t="shared" si="84"/>
        <v>-2.4607319727715793E-2</v>
      </c>
      <c r="X20" s="288">
        <f t="shared" si="85"/>
        <v>0.74308129626899211</v>
      </c>
      <c r="Y20" s="288">
        <f t="shared" si="86"/>
        <v>4.9617925914637429E-2</v>
      </c>
      <c r="Z20" s="288">
        <f t="shared" si="87"/>
        <v>5.4681581059420781E-2</v>
      </c>
      <c r="AA20" s="288">
        <f t="shared" si="88"/>
        <v>0.23049921804994411</v>
      </c>
      <c r="AB20" s="288">
        <f t="shared" si="89"/>
        <v>-0.37043856849278889</v>
      </c>
      <c r="AC20" s="288">
        <f t="shared" si="90"/>
        <v>5.8060498249768777E-2</v>
      </c>
      <c r="AD20" s="288">
        <f t="shared" si="91"/>
        <v>0.34583863851254959</v>
      </c>
      <c r="AE20" s="288">
        <f t="shared" si="92"/>
        <v>0.11284219609013801</v>
      </c>
      <c r="AF20" s="288">
        <f t="shared" si="93"/>
        <v>0.29368729080456069</v>
      </c>
      <c r="AG20" s="288">
        <f t="shared" si="94"/>
        <v>0.19013575115713999</v>
      </c>
      <c r="AH20" s="288">
        <f t="shared" si="95"/>
        <v>0.19581744433044856</v>
      </c>
      <c r="AI20" s="288">
        <f t="shared" si="96"/>
        <v>0.58838556775207818</v>
      </c>
      <c r="AJ20" s="288">
        <f t="shared" si="97"/>
        <v>0.19650085645949678</v>
      </c>
      <c r="AK20" s="288">
        <f t="shared" si="98"/>
        <v>-9.2440709718705882E-2</v>
      </c>
      <c r="AL20" s="288">
        <f t="shared" si="99"/>
        <v>-0.27040106221205251</v>
      </c>
      <c r="AM20" s="288">
        <f t="shared" si="100"/>
        <v>-0.5029922623669898</v>
      </c>
      <c r="AN20" s="288">
        <f t="shared" si="101"/>
        <v>-5.0354554865766898E-3</v>
      </c>
      <c r="AO20" s="288">
        <f t="shared" si="102"/>
        <v>0.30639232216066681</v>
      </c>
      <c r="AP20" s="288">
        <f t="shared" si="103"/>
        <v>0.42827199137956073</v>
      </c>
      <c r="AQ20" s="288">
        <f t="shared" si="104"/>
        <v>1.1535163750691604</v>
      </c>
      <c r="AR20" s="288">
        <f t="shared" si="105"/>
        <v>0.23590044288411249</v>
      </c>
      <c r="AS20" s="288">
        <f t="shared" si="106"/>
        <v>5.0265233026030476E-2</v>
      </c>
      <c r="AT20" s="288">
        <f t="shared" si="107"/>
        <v>0.31043629041076137</v>
      </c>
      <c r="AU20" s="288">
        <f t="shared" si="108"/>
        <v>-6.6230682050393619E-2</v>
      </c>
      <c r="AV20" s="288">
        <f t="shared" si="109"/>
        <v>0.45352316254647018</v>
      </c>
      <c r="AW20" s="288">
        <f t="shared" si="118"/>
        <v>0.31024416480935368</v>
      </c>
      <c r="AX20" s="289">
        <f t="shared" si="119"/>
        <v>0.43601278290174839</v>
      </c>
      <c r="AY20" s="289">
        <f t="shared" si="110"/>
        <v>0.5956333116425081</v>
      </c>
      <c r="AZ20" s="289">
        <f t="shared" si="111"/>
        <v>0.21202537842976721</v>
      </c>
      <c r="BA20" s="289">
        <f t="shared" si="120"/>
        <v>0.14414443786721298</v>
      </c>
      <c r="BB20" s="289">
        <f t="shared" si="121"/>
        <v>-2.7310911236756552E-2</v>
      </c>
      <c r="BC20" s="289">
        <f t="shared" si="122"/>
        <v>0.29245194892434934</v>
      </c>
      <c r="BD20" s="289">
        <f t="shared" si="123"/>
        <v>-0.14403529353634703</v>
      </c>
      <c r="BE20" s="289">
        <f t="shared" si="124"/>
        <v>7.6890958456781178E-3</v>
      </c>
      <c r="BF20" s="289">
        <f t="shared" si="125"/>
        <v>-1.8432301943955176E-2</v>
      </c>
      <c r="BG20" s="289">
        <f t="shared" si="126"/>
        <v>1.8851668392904752E-2</v>
      </c>
      <c r="BH20" s="289">
        <f t="shared" si="127"/>
        <v>0.14156901176716086</v>
      </c>
      <c r="BI20" s="289">
        <f t="shared" si="128"/>
        <v>-2.4502374549825179E-2</v>
      </c>
      <c r="BJ20" s="489" t="s">
        <v>36</v>
      </c>
      <c r="BK20" s="230">
        <v>50.374657805902899</v>
      </c>
      <c r="BL20" s="230">
        <v>46.573165887409871</v>
      </c>
      <c r="BM20" s="230">
        <v>51.155777639113587</v>
      </c>
      <c r="BN20" s="230">
        <v>47.498143008158557</v>
      </c>
      <c r="BO20" s="230">
        <v>54.328840354151161</v>
      </c>
      <c r="BP20" s="230">
        <v>60.255382028907192</v>
      </c>
      <c r="BQ20" s="230">
        <v>59.659131429243139</v>
      </c>
      <c r="BR20" s="230">
        <v>62.148241075459737</v>
      </c>
      <c r="BS20" s="230">
        <v>51.725528212125909</v>
      </c>
      <c r="BT20" s="230">
        <v>45.337128930011062</v>
      </c>
      <c r="BU20" s="230">
        <v>45.694248336793976</v>
      </c>
      <c r="BV20" s="230">
        <v>54.595102526699577</v>
      </c>
      <c r="BW20" s="230">
        <v>53.389351314045591</v>
      </c>
      <c r="BX20" s="230">
        <v>52.706029198240138</v>
      </c>
      <c r="BY20" s="230">
        <v>59.00420219913596</v>
      </c>
      <c r="BZ20" s="230">
        <v>49.792919125595759</v>
      </c>
      <c r="CA20" s="230">
        <v>54.625388271444393</v>
      </c>
      <c r="CB20" s="230">
        <v>56.484806808174518</v>
      </c>
      <c r="CC20" s="230">
        <v>64.773636573028114</v>
      </c>
      <c r="CD20" s="230">
        <v>67.737222886913898</v>
      </c>
      <c r="CE20" s="230">
        <v>57.297474292161084</v>
      </c>
      <c r="CF20" s="230">
        <v>52.297802597200302</v>
      </c>
      <c r="CG20" s="230">
        <v>53.320577435354181</v>
      </c>
      <c r="CH20" s="230">
        <v>65.735208968676815</v>
      </c>
      <c r="CI20" s="230">
        <v>50.880682124347956</v>
      </c>
      <c r="CJ20" s="230">
        <v>50.19294333743386</v>
      </c>
      <c r="CK20" s="230">
        <v>55.645008344520697</v>
      </c>
      <c r="CL20" s="230">
        <v>55.635544049287951</v>
      </c>
      <c r="CM20" s="230">
        <v>60.36327499456069</v>
      </c>
      <c r="CN20" s="230">
        <v>57.857760569940638</v>
      </c>
      <c r="CO20" s="230">
        <v>66.826757685522125</v>
      </c>
      <c r="CP20" s="230">
        <v>71.35826224296892</v>
      </c>
      <c r="CQ20" s="230">
        <v>58.235070473220105</v>
      </c>
      <c r="CR20" s="230">
        <v>52.811398351831542</v>
      </c>
      <c r="CS20" s="230">
        <v>51.092682337561847</v>
      </c>
      <c r="CT20" s="230">
        <v>67.432472580418931</v>
      </c>
      <c r="CU20" s="230">
        <v>59.006095058182524</v>
      </c>
      <c r="CV20" s="230">
        <v>58.771380536410007</v>
      </c>
      <c r="CW20" s="230">
        <v>63.64296876922073</v>
      </c>
      <c r="CX20" s="230">
        <v>53.754042157014723</v>
      </c>
      <c r="CY20" s="230">
        <v>56.80722379910398</v>
      </c>
      <c r="CZ20" s="230">
        <v>61.6207643544871</v>
      </c>
      <c r="DA20" s="230">
        <v>69.284950633978355</v>
      </c>
      <c r="DB20" s="230">
        <v>73.240395088257657</v>
      </c>
      <c r="DC20" s="230">
        <v>61.273740195952456</v>
      </c>
      <c r="DD20" s="230">
        <v>57.956820193376878</v>
      </c>
      <c r="DE20" s="230">
        <v>62.054229076147628</v>
      </c>
      <c r="DF20" s="230">
        <v>79.73037780587083</v>
      </c>
      <c r="DG20" s="230">
        <v>67.543520311150019</v>
      </c>
      <c r="DH20" s="230">
        <v>64.00324294108124</v>
      </c>
      <c r="DI20" s="230">
        <v>68.455247418572824</v>
      </c>
      <c r="DJ20" s="230">
        <v>59.4092740350982</v>
      </c>
      <c r="DK20" s="230">
        <v>66.727698062085864</v>
      </c>
      <c r="DL20" s="230">
        <v>70.955714219068739</v>
      </c>
      <c r="DM20" s="230">
        <v>77.086053717836919</v>
      </c>
      <c r="DN20" s="230">
        <v>78.429983640889219</v>
      </c>
      <c r="DO20" s="230">
        <v>68.615509484514277</v>
      </c>
      <c r="DP20" s="230">
        <v>58.707654281842728</v>
      </c>
      <c r="DQ20" s="230">
        <v>57.968177347656201</v>
      </c>
      <c r="DR20" s="230">
        <v>77.721423404463053</v>
      </c>
      <c r="DS20" s="230">
        <v>62.534384320956462</v>
      </c>
      <c r="DT20" s="230">
        <v>65.174291737881745</v>
      </c>
      <c r="DU20" s="230">
        <v>69.633867651559541</v>
      </c>
      <c r="DV20" s="230">
        <v>58.538558873684046</v>
      </c>
      <c r="DW20" s="230">
        <v>70.09824907098043</v>
      </c>
      <c r="DX20" s="230">
        <v>74.32184855685469</v>
      </c>
      <c r="DY20" s="230">
        <v>80.938652830586861</v>
      </c>
      <c r="DZ20" s="230">
        <v>84.82469245315923</v>
      </c>
      <c r="EA20" s="230">
        <v>61.804371682002689</v>
      </c>
      <c r="EB20" s="230">
        <v>57.954296381314819</v>
      </c>
      <c r="EC20" s="230">
        <v>51.315408752039524</v>
      </c>
      <c r="ED20" s="230">
        <v>76.537755547352205</v>
      </c>
      <c r="EE20" s="230">
        <v>72.230881615428373</v>
      </c>
      <c r="EF20" s="230">
        <v>62.707045228966528</v>
      </c>
      <c r="EG20" s="230">
        <v>73.688681195467893</v>
      </c>
      <c r="EH20" s="230">
        <v>64.353560253028363</v>
      </c>
      <c r="EI20" s="230">
        <v>67.076686936879469</v>
      </c>
      <c r="EJ20" s="230">
        <v>67.598915725220152</v>
      </c>
      <c r="EK20" s="230">
        <v>66.746953329333152</v>
      </c>
      <c r="EL20" s="230">
        <v>65.811137842786167</v>
      </c>
      <c r="EM20" s="230">
        <v>51.496957475794197</v>
      </c>
      <c r="EN20" s="230">
        <v>50.752562730877301</v>
      </c>
      <c r="EO20" s="230">
        <v>48.105758234777326</v>
      </c>
      <c r="EP20" s="230">
        <v>66.744835366649042</v>
      </c>
      <c r="EQ20" s="230">
        <v>60.157134133259063</v>
      </c>
      <c r="ER20" s="230">
        <v>58.686189083318055</v>
      </c>
      <c r="ES20" s="230">
        <v>64.589220549555492</v>
      </c>
      <c r="ET20" s="230">
        <v>58.19251586395351</v>
      </c>
      <c r="EU20" s="230">
        <v>66.103907904850828</v>
      </c>
      <c r="EV20" s="230">
        <v>69.056411362227323</v>
      </c>
      <c r="EW20" s="230">
        <v>77.794468724208215</v>
      </c>
      <c r="EX20" s="230">
        <v>79.531541382490943</v>
      </c>
      <c r="EY20" s="230">
        <v>69.492060187133589</v>
      </c>
      <c r="EZ20" s="230">
        <v>67.623742743628952</v>
      </c>
      <c r="FA20" s="230">
        <v>62.831627674289599</v>
      </c>
      <c r="FB20" s="230">
        <v>73.110516639018854</v>
      </c>
      <c r="FC20" s="230">
        <v>74.844399529488143</v>
      </c>
      <c r="FD20" s="230">
        <v>68.393666067099659</v>
      </c>
      <c r="FE20" s="230">
        <v>64.372182754173963</v>
      </c>
      <c r="FF20" s="230">
        <v>80.385545064400745</v>
      </c>
      <c r="FG20" s="230">
        <v>90.654830802463891</v>
      </c>
      <c r="FH20" s="230">
        <v>91.769460246040936</v>
      </c>
      <c r="FI20" s="230">
        <v>94.749521542154625</v>
      </c>
      <c r="FJ20" s="230">
        <v>89.517343067734984</v>
      </c>
      <c r="FK20" s="230">
        <v>75.012823476312278</v>
      </c>
      <c r="FL20" s="230">
        <v>75.353749745321693</v>
      </c>
      <c r="FM20" s="230">
        <v>70.082875677544735</v>
      </c>
      <c r="FN20" s="230">
        <v>91.342105753436115</v>
      </c>
      <c r="FO20" s="230">
        <v>82.656465580513455</v>
      </c>
      <c r="FP20" s="230">
        <v>77.841298909442258</v>
      </c>
      <c r="FQ20" s="230">
        <v>60.601320477301066</v>
      </c>
      <c r="FR20" s="230">
        <v>49.32510820698959</v>
      </c>
      <c r="FS20" s="230">
        <v>65.174410167729491</v>
      </c>
      <c r="FT20" s="230">
        <v>76.245487587315367</v>
      </c>
      <c r="FU20" s="230">
        <v>90.285690342475789</v>
      </c>
      <c r="FV20" s="230">
        <v>92.014139276559945</v>
      </c>
      <c r="FW20" s="230">
        <v>84.757477423518111</v>
      </c>
      <c r="FX20" s="230">
        <v>82.995203169678689</v>
      </c>
      <c r="FY20" s="230">
        <v>80.911162806192777</v>
      </c>
      <c r="FZ20" s="230">
        <v>97.007347703517354</v>
      </c>
      <c r="GA20" s="230">
        <v>83.923240196394403</v>
      </c>
      <c r="GB20" s="230">
        <v>77.50408117099758</v>
      </c>
      <c r="GC20" s="230">
        <v>97.873674009841338</v>
      </c>
      <c r="GD20" s="230">
        <v>95.609944749061128</v>
      </c>
      <c r="GE20" s="230">
        <v>102.50707482153094</v>
      </c>
      <c r="GF20" s="230">
        <v>101.2594103494675</v>
      </c>
      <c r="GG20" s="230">
        <v>98.376416962541782</v>
      </c>
      <c r="GH20" s="230">
        <v>70.944634827419108</v>
      </c>
      <c r="GI20" s="230">
        <v>77.352902352539942</v>
      </c>
      <c r="GJ20" s="230">
        <v>76.784679346270849</v>
      </c>
      <c r="GK20" s="230">
        <v>93.55609169750781</v>
      </c>
      <c r="GL20" s="230">
        <v>98.211986718596734</v>
      </c>
      <c r="GM20" s="230">
        <v>97.772042525112241</v>
      </c>
      <c r="GN20" s="230">
        <v>88.349339058620245</v>
      </c>
      <c r="GO20" s="230">
        <v>98.339954855345965</v>
      </c>
      <c r="GP20" s="230">
        <v>87.166459921058021</v>
      </c>
      <c r="GQ20" s="230">
        <v>92.145502698449533</v>
      </c>
      <c r="GR20" s="230">
        <v>96.634929297947025</v>
      </c>
      <c r="GS20" s="230">
        <v>105.43485386824369</v>
      </c>
      <c r="GT20" s="230">
        <v>84.91891162414673</v>
      </c>
      <c r="GU20" s="230">
        <v>79.582637470763743</v>
      </c>
      <c r="GV20" s="230">
        <v>81.760221293512643</v>
      </c>
      <c r="GW20" s="230">
        <v>80.265115762559063</v>
      </c>
      <c r="GX20" s="230">
        <v>110.84578371830582</v>
      </c>
      <c r="GY20" s="230">
        <v>99.345642905774156</v>
      </c>
      <c r="GZ20" s="230">
        <v>89.590251701071949</v>
      </c>
      <c r="HA20" s="230">
        <v>100.94984257392696</v>
      </c>
      <c r="HB20" s="230">
        <v>87.403543162551074</v>
      </c>
      <c r="HC20" s="230">
        <v>85.271071183482448</v>
      </c>
      <c r="HD20" s="230">
        <v>93.159416859205962</v>
      </c>
      <c r="HE20" s="230">
        <v>102.42990094052631</v>
      </c>
      <c r="HF20" s="230">
        <v>112.30512894700527</v>
      </c>
      <c r="HG20" s="230">
        <v>98.70935495661621</v>
      </c>
      <c r="HH20" s="230">
        <v>114.25583369921749</v>
      </c>
      <c r="HI20" s="230">
        <v>82.220568321902178</v>
      </c>
      <c r="HJ20" s="230">
        <v>94.674097396918384</v>
      </c>
      <c r="HK20" s="230">
        <v>96.898809134955144</v>
      </c>
      <c r="HL20" s="230">
        <v>91.74092686187727</v>
      </c>
      <c r="HM20" s="230">
        <v>97.812737990738967</v>
      </c>
      <c r="HN20" s="230">
        <v>91.968655879570093</v>
      </c>
      <c r="HO20" s="230">
        <v>94.097359534424442</v>
      </c>
      <c r="HP20" s="230">
        <v>88.312244834423268</v>
      </c>
      <c r="HQ20" s="230">
        <v>92.384525408135644</v>
      </c>
      <c r="HR20" s="230">
        <v>119.30596991517582</v>
      </c>
      <c r="HS20" s="230">
        <v>111.5441851769157</v>
      </c>
      <c r="HT20" s="230">
        <v>104.82645756413422</v>
      </c>
      <c r="HU20" s="230">
        <v>95.850161631799139</v>
      </c>
      <c r="HV20" s="230">
        <v>115.25796606785032</v>
      </c>
      <c r="HW20" s="230">
        <v>110.38071207873681</v>
      </c>
      <c r="HX20" s="230">
        <v>88.293455077865431</v>
      </c>
      <c r="HY20" s="230">
        <v>98.357382615763655</v>
      </c>
      <c r="HZ20" s="230">
        <v>92.820474991337633</v>
      </c>
      <c r="IA20" s="230">
        <v>99.654338677460672</v>
      </c>
      <c r="IB20" s="230">
        <v>91.687050155577978</v>
      </c>
      <c r="IC20" s="230">
        <v>93.876295115732219</v>
      </c>
      <c r="ID20" s="230">
        <v>117.33817000035586</v>
      </c>
      <c r="IE20" s="230">
        <v>114.95953009723284</v>
      </c>
      <c r="IF20" s="737">
        <v>114.90531772041362</v>
      </c>
      <c r="IG20" s="737">
        <v>97.57404705455626</v>
      </c>
      <c r="IH20" s="737">
        <v>126.46431482799055</v>
      </c>
    </row>
    <row r="21" spans="1:242" ht="98.75">
      <c r="A21" s="150" t="s">
        <v>42</v>
      </c>
      <c r="B21" s="288"/>
      <c r="C21" s="288"/>
      <c r="D21" s="288"/>
      <c r="E21" s="288"/>
      <c r="F21" s="288">
        <f t="shared" si="117"/>
        <v>0.31855416030982253</v>
      </c>
      <c r="G21" s="288">
        <f t="shared" si="131"/>
        <v>0.20780576339519508</v>
      </c>
      <c r="H21" s="288">
        <f t="shared" si="129"/>
        <v>3.6941903757407246E-2</v>
      </c>
      <c r="I21" s="288">
        <f t="shared" si="130"/>
        <v>8.119776001595258E-2</v>
      </c>
      <c r="J21" s="288">
        <f t="shared" si="71"/>
        <v>-7.8558247444090457E-2</v>
      </c>
      <c r="K21" s="288">
        <f t="shared" si="72"/>
        <v>-5.9127666461753936E-2</v>
      </c>
      <c r="L21" s="288">
        <f t="shared" si="73"/>
        <v>-5.3860666889134157E-2</v>
      </c>
      <c r="M21" s="288">
        <f t="shared" si="74"/>
        <v>-0.13578645485926466</v>
      </c>
      <c r="N21" s="288">
        <f t="shared" si="75"/>
        <v>-0.12154238963497677</v>
      </c>
      <c r="O21" s="288">
        <f t="shared" si="76"/>
        <v>-9.828955965393682E-3</v>
      </c>
      <c r="P21" s="288">
        <f t="shared" si="77"/>
        <v>7.1241564079085773E-2</v>
      </c>
      <c r="Q21" s="288">
        <f t="shared" si="78"/>
        <v>5.8441697017983296E-2</v>
      </c>
      <c r="R21" s="288">
        <f t="shared" si="79"/>
        <v>0.21885468819868459</v>
      </c>
      <c r="S21" s="288">
        <f t="shared" si="80"/>
        <v>8.7961619993305762E-2</v>
      </c>
      <c r="T21" s="288">
        <f t="shared" si="81"/>
        <v>0.2104869933550082</v>
      </c>
      <c r="U21" s="288">
        <f t="shared" si="82"/>
        <v>0.25604621231723579</v>
      </c>
      <c r="V21" s="288">
        <f t="shared" si="83"/>
        <v>5.7135124569607454E-2</v>
      </c>
      <c r="W21" s="288">
        <f t="shared" si="84"/>
        <v>0.13236194656298439</v>
      </c>
      <c r="X21" s="288">
        <f t="shared" si="85"/>
        <v>0.15679520876649278</v>
      </c>
      <c r="Y21" s="288">
        <f t="shared" si="86"/>
        <v>9.407990839482272E-2</v>
      </c>
      <c r="Z21" s="288">
        <f t="shared" si="87"/>
        <v>0.16685150135719917</v>
      </c>
      <c r="AA21" s="288">
        <f t="shared" si="88"/>
        <v>0.31286984138275176</v>
      </c>
      <c r="AB21" s="288">
        <f t="shared" si="89"/>
        <v>0.11380466098615227</v>
      </c>
      <c r="AC21" s="288">
        <f t="shared" si="90"/>
        <v>0.30258319579685367</v>
      </c>
      <c r="AD21" s="288">
        <f t="shared" si="91"/>
        <v>0.26653694109478621</v>
      </c>
      <c r="AE21" s="288">
        <f t="shared" si="92"/>
        <v>0.11986893129588005</v>
      </c>
      <c r="AF21" s="288">
        <f t="shared" si="93"/>
        <v>0.15015178663867634</v>
      </c>
      <c r="AG21" s="288">
        <f t="shared" si="94"/>
        <v>0.20116366734294555</v>
      </c>
      <c r="AH21" s="288">
        <f t="shared" si="95"/>
        <v>0.24455959893766721</v>
      </c>
      <c r="AI21" s="288">
        <f t="shared" si="96"/>
        <v>0.48848709497161114</v>
      </c>
      <c r="AJ21" s="288">
        <f t="shared" si="97"/>
        <v>0.3166531485309918</v>
      </c>
      <c r="AK21" s="288">
        <f t="shared" si="98"/>
        <v>0.19466045359318618</v>
      </c>
      <c r="AL21" s="288">
        <f t="shared" si="99"/>
        <v>0.17457250658659906</v>
      </c>
      <c r="AM21" s="288">
        <f t="shared" si="100"/>
        <v>-0.34271550261035333</v>
      </c>
      <c r="AN21" s="288">
        <f t="shared" si="101"/>
        <v>4.9717550294246404E-2</v>
      </c>
      <c r="AO21" s="288">
        <f t="shared" si="102"/>
        <v>0.18254755599227912</v>
      </c>
      <c r="AP21" s="288">
        <f t="shared" si="103"/>
        <v>-1.7479966963457882E-2</v>
      </c>
      <c r="AQ21" s="288">
        <f t="shared" si="104"/>
        <v>0.69529615107571097</v>
      </c>
      <c r="AR21" s="288">
        <f t="shared" si="105"/>
        <v>6.2943778218719659E-2</v>
      </c>
      <c r="AS21" s="288">
        <f t="shared" si="106"/>
        <v>-2.3208026101387835E-2</v>
      </c>
      <c r="AT21" s="288">
        <f t="shared" si="107"/>
        <v>0.10557601946921547</v>
      </c>
      <c r="AU21" s="288">
        <f t="shared" si="108"/>
        <v>6.5400893040963304E-2</v>
      </c>
      <c r="AV21" s="288">
        <f t="shared" si="109"/>
        <v>0.38372677393923271</v>
      </c>
      <c r="AW21" s="288">
        <f t="shared" si="118"/>
        <v>-8.1719952899629633E-2</v>
      </c>
      <c r="AX21" s="289">
        <f t="shared" si="119"/>
        <v>2.0885623726911717E-2</v>
      </c>
      <c r="AY21" s="289">
        <f t="shared" si="110"/>
        <v>0.10710230871224624</v>
      </c>
      <c r="AZ21" s="289">
        <f t="shared" si="111"/>
        <v>0.31178876225837349</v>
      </c>
      <c r="BA21" s="289">
        <f t="shared" si="120"/>
        <v>0.27411225603375877</v>
      </c>
      <c r="BB21" s="289">
        <f t="shared" si="121"/>
        <v>0.39690646510802252</v>
      </c>
      <c r="BC21" s="289">
        <f t="shared" si="122"/>
        <v>0.40991960794179372</v>
      </c>
      <c r="BD21" s="289">
        <f t="shared" si="123"/>
        <v>-4.1174897625051887E-2</v>
      </c>
      <c r="BE21" s="289">
        <f t="shared" si="124"/>
        <v>9.9646968344616393E-2</v>
      </c>
      <c r="BF21" s="289">
        <f t="shared" si="125"/>
        <v>2.0250602043681676E-2</v>
      </c>
      <c r="BG21" s="289">
        <f t="shared" si="126"/>
        <v>-5.1796674494488326E-2</v>
      </c>
      <c r="BH21" s="289">
        <f t="shared" si="127"/>
        <v>3.8479622203806407E-2</v>
      </c>
      <c r="BI21" s="289">
        <f t="shared" si="128"/>
        <v>3.4917628448676297E-2</v>
      </c>
      <c r="BJ21" s="489" t="s">
        <v>38</v>
      </c>
      <c r="BK21" s="230">
        <v>14.473192512966083</v>
      </c>
      <c r="BL21" s="230">
        <v>8.0601369035044446</v>
      </c>
      <c r="BM21" s="230">
        <v>9.6493817551610164</v>
      </c>
      <c r="BN21" s="230">
        <v>17.141212746522445</v>
      </c>
      <c r="BO21" s="230">
        <v>7.0076393834714423</v>
      </c>
      <c r="BP21" s="230">
        <v>8.2904768218774549</v>
      </c>
      <c r="BQ21" s="230">
        <v>6.8702149671058867</v>
      </c>
      <c r="BR21" s="230">
        <v>12.830889011989964</v>
      </c>
      <c r="BS21" s="230">
        <v>14.420385326439519</v>
      </c>
      <c r="BT21" s="230">
        <v>6.0109666034808056</v>
      </c>
      <c r="BU21" s="230">
        <v>7.2593536392480598</v>
      </c>
      <c r="BV21" s="230">
        <v>13.044632386026054</v>
      </c>
      <c r="BW21" s="230">
        <v>6.7342993274982321</v>
      </c>
      <c r="BX21" s="230">
        <v>6.9803556704327177</v>
      </c>
      <c r="BY21" s="230">
        <v>8.4617229838993104</v>
      </c>
      <c r="BZ21" s="230">
        <v>9.6985427311893169</v>
      </c>
      <c r="CA21" s="230">
        <v>11.189717093582273</v>
      </c>
      <c r="CB21" s="230">
        <v>23.394338019646494</v>
      </c>
      <c r="CC21" s="230">
        <v>3.6775176159891672</v>
      </c>
      <c r="CD21" s="230">
        <v>6.1408471360568537</v>
      </c>
      <c r="CE21" s="230">
        <v>5.9988963894175917</v>
      </c>
      <c r="CF21" s="230">
        <v>3.3149082685067657</v>
      </c>
      <c r="CG21" s="230">
        <v>11.876336249824085</v>
      </c>
      <c r="CH21" s="230">
        <v>12.766388805589663</v>
      </c>
      <c r="CI21" s="230">
        <v>7.9898530528655192</v>
      </c>
      <c r="CJ21" s="230">
        <v>5.7439131173321849</v>
      </c>
      <c r="CK21" s="230">
        <v>6.780694212803712</v>
      </c>
      <c r="CL21" s="230">
        <v>16.382298037297836</v>
      </c>
      <c r="CM21" s="230">
        <v>11.248182192950969</v>
      </c>
      <c r="CN21" s="230">
        <v>9.9019761307130789</v>
      </c>
      <c r="CO21" s="230">
        <v>8.7702678308902318</v>
      </c>
      <c r="CP21" s="230">
        <v>12.837301313211047</v>
      </c>
      <c r="CQ21" s="230">
        <v>13.3343175235432</v>
      </c>
      <c r="CR21" s="230">
        <v>4.1293962549807581</v>
      </c>
      <c r="CS21" s="230">
        <v>6.6915506526910127</v>
      </c>
      <c r="CT21" s="230">
        <v>31.983804102381495</v>
      </c>
      <c r="CU21" s="230">
        <v>10.276278498069219</v>
      </c>
      <c r="CV21" s="230">
        <v>12.782608155737107</v>
      </c>
      <c r="CW21" s="230">
        <v>6.7739047173931528</v>
      </c>
      <c r="CX21" s="230">
        <v>8.7002354430442885</v>
      </c>
      <c r="CY21" s="230">
        <v>30.076836011790096</v>
      </c>
      <c r="CZ21" s="230">
        <v>6.6212668020520873</v>
      </c>
      <c r="DA21" s="230">
        <v>11.173497743434826</v>
      </c>
      <c r="DB21" s="230">
        <v>17.6090592728685</v>
      </c>
      <c r="DC21" s="230">
        <v>11.150488897876825</v>
      </c>
      <c r="DD21" s="230">
        <v>9.5213871935323464</v>
      </c>
      <c r="DE21" s="230">
        <v>13.317092322223822</v>
      </c>
      <c r="DF21" s="230">
        <v>12.8748950007621</v>
      </c>
      <c r="DG21" s="230">
        <v>13.144337383444066</v>
      </c>
      <c r="DH21" s="230">
        <v>8.3623951806707755</v>
      </c>
      <c r="DI21" s="230">
        <v>10.121377417591301</v>
      </c>
      <c r="DJ21" s="230">
        <v>5.7715740245603859</v>
      </c>
      <c r="DK21" s="230">
        <v>16.157741763163454</v>
      </c>
      <c r="DL21" s="230">
        <v>19.502574104035268</v>
      </c>
      <c r="DM21" s="230">
        <v>6.8869372428392968</v>
      </c>
      <c r="DN21" s="230">
        <v>7.6847029535798788</v>
      </c>
      <c r="DO21" s="230">
        <v>11.905505933810188</v>
      </c>
      <c r="DP21" s="230">
        <v>10.835783212457807</v>
      </c>
      <c r="DQ21" s="230">
        <v>5.5831026612191517</v>
      </c>
      <c r="DR21" s="230">
        <v>17.882902254427677</v>
      </c>
      <c r="DS21" s="230">
        <v>11.101327921848524</v>
      </c>
      <c r="DT21" s="230">
        <v>10.078125817198114</v>
      </c>
      <c r="DU21" s="230">
        <v>22.443431467978879</v>
      </c>
      <c r="DV21" s="230">
        <v>11.267544828010708</v>
      </c>
      <c r="DW21" s="230">
        <v>12.733447179708808</v>
      </c>
      <c r="DX21" s="230">
        <v>11.790587437416669</v>
      </c>
      <c r="DY21" s="230">
        <v>9.471220366332112</v>
      </c>
      <c r="DZ21" s="230">
        <v>10.584823345060139</v>
      </c>
      <c r="EA21" s="230">
        <v>6.4102895187388187</v>
      </c>
      <c r="EB21" s="230">
        <v>10.119365715247429</v>
      </c>
      <c r="EC21" s="230">
        <v>15.450754120689965</v>
      </c>
      <c r="ED21" s="230">
        <v>36.583310048845156</v>
      </c>
      <c r="EE21" s="230">
        <v>27.329928920373263</v>
      </c>
      <c r="EF21" s="230">
        <v>16.459091557515816</v>
      </c>
      <c r="EG21" s="230">
        <v>33.100245085675752</v>
      </c>
      <c r="EH21" s="230">
        <v>9.7032697798882399</v>
      </c>
      <c r="EI21" s="230">
        <v>63.772727609509779</v>
      </c>
      <c r="EJ21" s="230">
        <v>28.71251158808484</v>
      </c>
      <c r="EK21" s="230">
        <v>36.548171558344826</v>
      </c>
      <c r="EL21" s="230">
        <v>33.040951854287172</v>
      </c>
      <c r="EM21" s="230">
        <v>9.7116037727585791</v>
      </c>
      <c r="EN21" s="230">
        <v>14.664159716043654</v>
      </c>
      <c r="EO21" s="230">
        <v>21.827337439000004</v>
      </c>
      <c r="EP21" s="230">
        <v>43.980766725636109</v>
      </c>
      <c r="EQ21" s="230">
        <v>52.177299510497022</v>
      </c>
      <c r="ER21" s="230">
        <v>64.470915398339514</v>
      </c>
      <c r="ES21" s="230">
        <v>43.672277180283594</v>
      </c>
      <c r="ET21" s="230">
        <v>61.86970200127341</v>
      </c>
      <c r="EU21" s="230">
        <v>69.381694061222717</v>
      </c>
      <c r="EV21" s="230">
        <v>46.91206623326589</v>
      </c>
      <c r="EW21" s="230">
        <v>52.918513665594396</v>
      </c>
      <c r="EX21" s="230">
        <v>51.363413716968786</v>
      </c>
      <c r="EY21" s="230">
        <v>79.446519879827292</v>
      </c>
      <c r="EZ21" s="230">
        <v>73.019396048316182</v>
      </c>
      <c r="FA21" s="230">
        <v>60.842887675732257</v>
      </c>
      <c r="FB21" s="230">
        <v>58.478912512782301</v>
      </c>
      <c r="FC21" s="230">
        <v>56.55584782975162</v>
      </c>
      <c r="FD21" s="230">
        <v>53.83942734860306</v>
      </c>
      <c r="FE21" s="230">
        <v>72.508971244365085</v>
      </c>
      <c r="FF21" s="230">
        <v>56.100939280091232</v>
      </c>
      <c r="FG21" s="230">
        <v>78.441222874266003</v>
      </c>
      <c r="FH21" s="230">
        <v>69.148659902611541</v>
      </c>
      <c r="FI21" s="230">
        <v>71.304179469269314</v>
      </c>
      <c r="FJ21" s="230">
        <v>83.357622638535219</v>
      </c>
      <c r="FK21" s="230">
        <v>78.312176297800278</v>
      </c>
      <c r="FL21" s="230">
        <v>76.436038599140872</v>
      </c>
      <c r="FM21" s="230">
        <v>84.02591275169091</v>
      </c>
      <c r="FN21" s="230">
        <v>105.74153792078215</v>
      </c>
      <c r="FO21" s="230">
        <v>72.390205005101734</v>
      </c>
      <c r="FP21" s="230">
        <v>85.415379005449722</v>
      </c>
      <c r="FQ21" s="230">
        <v>46.722864712632607</v>
      </c>
      <c r="FR21" s="230">
        <v>28.276475918056775</v>
      </c>
      <c r="FS21" s="230">
        <v>33.05752180190364</v>
      </c>
      <c r="FT21" s="230">
        <v>34.958622339578902</v>
      </c>
      <c r="FU21" s="230">
        <v>29.713457142793544</v>
      </c>
      <c r="FV21" s="230">
        <v>76.573561007151497</v>
      </c>
      <c r="FW21" s="230">
        <v>54.794260414864361</v>
      </c>
      <c r="FX21" s="230">
        <v>104.54132533125615</v>
      </c>
      <c r="FY21" s="230">
        <v>101.29920330135108</v>
      </c>
      <c r="FZ21" s="230">
        <v>110.87928790813814</v>
      </c>
      <c r="GA21" s="230">
        <v>66.495790423194151</v>
      </c>
      <c r="GB21" s="230">
        <v>70.195802992281529</v>
      </c>
      <c r="GC21" s="230">
        <v>92.287131481522266</v>
      </c>
      <c r="GD21" s="230">
        <v>105.96685204659309</v>
      </c>
      <c r="GE21" s="230">
        <v>129.51780291294972</v>
      </c>
      <c r="GF21" s="230">
        <v>89.916071685107028</v>
      </c>
      <c r="GG21" s="230">
        <v>84.889880126124879</v>
      </c>
      <c r="GH21" s="230">
        <v>92.03987818812945</v>
      </c>
      <c r="GI21" s="230">
        <v>98.970585985475068</v>
      </c>
      <c r="GJ21" s="230">
        <v>110.4596452828621</v>
      </c>
      <c r="GK21" s="230">
        <v>105.60293282231824</v>
      </c>
      <c r="GL21" s="230">
        <v>103.35361420977189</v>
      </c>
      <c r="GM21" s="230">
        <v>103.4781449316435</v>
      </c>
      <c r="GN21" s="230">
        <v>110.140204185993</v>
      </c>
      <c r="GO21" s="230">
        <v>103.67811080345325</v>
      </c>
      <c r="GP21" s="230">
        <v>105.63653062789552</v>
      </c>
      <c r="GQ21" s="230">
        <v>76.130381167022705</v>
      </c>
      <c r="GR21" s="230">
        <v>93.353455593324071</v>
      </c>
      <c r="GS21" s="230">
        <v>91.003454018188791</v>
      </c>
      <c r="GT21" s="230">
        <v>101.28201485833775</v>
      </c>
      <c r="GU21" s="230">
        <v>112.03706953085349</v>
      </c>
      <c r="GV21" s="230">
        <v>105.09189430638702</v>
      </c>
      <c r="GW21" s="230">
        <v>112.14688738584741</v>
      </c>
      <c r="GX21" s="230">
        <v>117.82308099758541</v>
      </c>
      <c r="GY21" s="230">
        <v>120.85668691222742</v>
      </c>
      <c r="GZ21" s="230">
        <v>112.42849889539487</v>
      </c>
      <c r="HA21" s="230">
        <v>112.21291809079958</v>
      </c>
      <c r="HB21" s="230">
        <v>120.65369142838288</v>
      </c>
      <c r="HC21" s="230">
        <v>91.695111531427287</v>
      </c>
      <c r="HD21" s="230">
        <v>102.50782590427785</v>
      </c>
      <c r="HE21" s="230">
        <v>106.34784925408239</v>
      </c>
      <c r="HF21" s="230">
        <v>74.466135471118605</v>
      </c>
      <c r="HG21" s="230">
        <v>118.19676931094811</v>
      </c>
      <c r="HH21" s="230">
        <v>84.612088955307186</v>
      </c>
      <c r="HI21" s="230">
        <v>112.27286839423213</v>
      </c>
      <c r="HJ21" s="230">
        <v>145.60804256353168</v>
      </c>
      <c r="HK21" s="230">
        <v>130.52697206319169</v>
      </c>
      <c r="HL21" s="230">
        <v>108.27781350133927</v>
      </c>
      <c r="HM21" s="230">
        <v>111.93796986051041</v>
      </c>
      <c r="HN21" s="230">
        <v>105.60965439354732</v>
      </c>
      <c r="HO21" s="230">
        <v>104.18837667961472</v>
      </c>
      <c r="HP21" s="230">
        <v>103.37857302131124</v>
      </c>
      <c r="HQ21" s="230">
        <v>109.89753956812196</v>
      </c>
      <c r="HR21" s="230">
        <v>72.102334154000317</v>
      </c>
      <c r="HS21" s="230">
        <v>94.882676638058172</v>
      </c>
      <c r="HT21" s="230">
        <v>107.02371571840614</v>
      </c>
      <c r="HU21" s="230">
        <v>67.886405776809482</v>
      </c>
      <c r="HV21" s="230">
        <v>84.287968625089349</v>
      </c>
      <c r="HW21" s="230">
        <v>119.35478343191348</v>
      </c>
      <c r="HX21" s="230">
        <v>91.166591339240597</v>
      </c>
      <c r="HY21" s="230">
        <v>99.370235568473944</v>
      </c>
      <c r="HZ21" s="230">
        <v>108.52043568200031</v>
      </c>
      <c r="IA21" s="230">
        <v>100.07568873440755</v>
      </c>
      <c r="IB21" s="230">
        <v>104.09124195169312</v>
      </c>
      <c r="IC21" s="230">
        <v>112.06438128439061</v>
      </c>
      <c r="ID21" s="230">
        <v>67.483272929436652</v>
      </c>
      <c r="IE21" s="230">
        <v>86.774632014259694</v>
      </c>
      <c r="IF21" s="737">
        <v>111.28525032940395</v>
      </c>
      <c r="IG21" s="737">
        <v>62.825122993025175</v>
      </c>
      <c r="IH21" s="737">
        <v>91.845457014110096</v>
      </c>
    </row>
    <row r="22" spans="1:242" ht="70.75">
      <c r="A22" s="150" t="s">
        <v>359</v>
      </c>
      <c r="B22" s="288"/>
      <c r="C22" s="288"/>
      <c r="D22" s="288"/>
      <c r="E22" s="288"/>
      <c r="F22" s="288">
        <f t="shared" si="117"/>
        <v>0.25326762497763888</v>
      </c>
      <c r="G22" s="288">
        <f t="shared" si="131"/>
        <v>0.14769506464059079</v>
      </c>
      <c r="H22" s="288">
        <f t="shared" si="129"/>
        <v>4.7528843840345614E-2</v>
      </c>
      <c r="I22" s="288">
        <f t="shared" si="130"/>
        <v>-2.4723318879036338E-3</v>
      </c>
      <c r="J22" s="288">
        <f t="shared" si="71"/>
        <v>7.9468643521502624E-2</v>
      </c>
      <c r="K22" s="288">
        <f t="shared" si="72"/>
        <v>-6.9594034797017312E-2</v>
      </c>
      <c r="L22" s="288">
        <f t="shared" si="73"/>
        <v>-0.13800558541084851</v>
      </c>
      <c r="M22" s="288">
        <f t="shared" si="74"/>
        <v>9.8182463061005532E-2</v>
      </c>
      <c r="N22" s="288">
        <f t="shared" si="75"/>
        <v>7.992697460746756E-2</v>
      </c>
      <c r="O22" s="288">
        <f t="shared" si="76"/>
        <v>0.33714209877388868</v>
      </c>
      <c r="P22" s="288">
        <f t="shared" si="77"/>
        <v>0.35548337161056209</v>
      </c>
      <c r="Q22" s="288">
        <f t="shared" si="78"/>
        <v>0.23677877514366386</v>
      </c>
      <c r="R22" s="288">
        <f t="shared" si="79"/>
        <v>0.11375440897079891</v>
      </c>
      <c r="S22" s="288">
        <f t="shared" si="80"/>
        <v>-0.15020090607840952</v>
      </c>
      <c r="T22" s="288">
        <f t="shared" si="81"/>
        <v>0.36802805782558101</v>
      </c>
      <c r="U22" s="288">
        <f t="shared" si="82"/>
        <v>0.55837927179967362</v>
      </c>
      <c r="V22" s="288">
        <f t="shared" si="83"/>
        <v>0.55619075314653332</v>
      </c>
      <c r="W22" s="288">
        <f t="shared" si="84"/>
        <v>0.92837067010270413</v>
      </c>
      <c r="X22" s="288">
        <f t="shared" si="85"/>
        <v>0.12281634114687257</v>
      </c>
      <c r="Y22" s="288">
        <f t="shared" si="86"/>
        <v>0.16833829918543652</v>
      </c>
      <c r="Z22" s="288">
        <f t="shared" si="87"/>
        <v>0.17515360461202656</v>
      </c>
      <c r="AA22" s="288">
        <f t="shared" si="88"/>
        <v>0.11835874321080775</v>
      </c>
      <c r="AB22" s="288">
        <f t="shared" si="89"/>
        <v>0.27320698087291539</v>
      </c>
      <c r="AC22" s="288">
        <f t="shared" si="90"/>
        <v>0.1002779948993473</v>
      </c>
      <c r="AD22" s="288">
        <f t="shared" si="91"/>
        <v>2.9987681165245972E-2</v>
      </c>
      <c r="AE22" s="288">
        <f t="shared" si="92"/>
        <v>-0.20277615797682336</v>
      </c>
      <c r="AF22" s="288">
        <f t="shared" si="93"/>
        <v>0.37755732552420218</v>
      </c>
      <c r="AG22" s="288">
        <f t="shared" si="94"/>
        <v>0.26392855352848432</v>
      </c>
      <c r="AH22" s="288">
        <f t="shared" si="95"/>
        <v>0.33282029112602984</v>
      </c>
      <c r="AI22" s="288">
        <f t="shared" si="96"/>
        <v>0.66923737818797235</v>
      </c>
      <c r="AJ22" s="288">
        <f t="shared" si="97"/>
        <v>-6.4182603634122759E-2</v>
      </c>
      <c r="AK22" s="288">
        <f t="shared" si="98"/>
        <v>-0.13375985944396573</v>
      </c>
      <c r="AL22" s="288">
        <f t="shared" si="99"/>
        <v>-4.1891216921300489E-2</v>
      </c>
      <c r="AM22" s="288">
        <f t="shared" si="100"/>
        <v>-0.13085437131559163</v>
      </c>
      <c r="AN22" s="288">
        <f t="shared" si="101"/>
        <v>0.36296367833715748</v>
      </c>
      <c r="AO22" s="288">
        <f t="shared" si="102"/>
        <v>0.52968423758306526</v>
      </c>
      <c r="AP22" s="288">
        <f t="shared" si="103"/>
        <v>0.25634603099464792</v>
      </c>
      <c r="AQ22" s="288">
        <f t="shared" si="104"/>
        <v>0.72071747029993749</v>
      </c>
      <c r="AR22" s="288">
        <f t="shared" si="105"/>
        <v>-0.29244535538372252</v>
      </c>
      <c r="AS22" s="288">
        <f t="shared" si="106"/>
        <v>1.5859603801923194E-2</v>
      </c>
      <c r="AT22" s="288">
        <f t="shared" si="107"/>
        <v>7.4930850915726488E-2</v>
      </c>
      <c r="AU22" s="288">
        <f t="shared" si="108"/>
        <v>-0.2223082368569036</v>
      </c>
      <c r="AV22" s="288">
        <f t="shared" si="109"/>
        <v>0.22457673048940086</v>
      </c>
      <c r="AW22" s="288">
        <f t="shared" si="118"/>
        <v>0.12647006136869154</v>
      </c>
      <c r="AX22" s="289">
        <f t="shared" si="119"/>
        <v>9.622271985161146E-2</v>
      </c>
      <c r="AY22" s="289">
        <f t="shared" si="110"/>
        <v>2.7988445975449583E-2</v>
      </c>
      <c r="AZ22" s="289">
        <f t="shared" si="111"/>
        <v>0.48619692181789653</v>
      </c>
      <c r="BA22" s="289">
        <f t="shared" si="120"/>
        <v>-0.16225934104471496</v>
      </c>
      <c r="BB22" s="289">
        <f t="shared" si="121"/>
        <v>5.5151703528808493E-3</v>
      </c>
      <c r="BC22" s="289">
        <f t="shared" si="122"/>
        <v>0.4722013755873542</v>
      </c>
      <c r="BD22" s="289">
        <f t="shared" si="123"/>
        <v>-0.24953397640652553</v>
      </c>
      <c r="BE22" s="289">
        <f t="shared" si="124"/>
        <v>-2.3093261227152717E-2</v>
      </c>
      <c r="BF22" s="289">
        <f t="shared" si="125"/>
        <v>0.10360915106000435</v>
      </c>
      <c r="BG22" s="289">
        <f t="shared" si="126"/>
        <v>1.9090048212553778E-2</v>
      </c>
      <c r="BH22" s="289">
        <f t="shared" si="127"/>
        <v>0.25819550606456909</v>
      </c>
      <c r="BI22" s="289">
        <f t="shared" si="128"/>
        <v>3.4227398045260538E-2</v>
      </c>
      <c r="BJ22" s="489" t="s">
        <v>40</v>
      </c>
      <c r="BK22" s="230">
        <v>16.704520609136814</v>
      </c>
      <c r="BL22" s="230">
        <v>12.224301204047871</v>
      </c>
      <c r="BM22" s="230">
        <v>20.683274712881566</v>
      </c>
      <c r="BN22" s="230">
        <v>13.732456651862151</v>
      </c>
      <c r="BO22" s="230">
        <v>16.564260706511707</v>
      </c>
      <c r="BP22" s="230">
        <v>18.859317587404156</v>
      </c>
      <c r="BQ22" s="230">
        <v>14.742906342113942</v>
      </c>
      <c r="BR22" s="230">
        <v>16.931828410092141</v>
      </c>
      <c r="BS22" s="230">
        <v>14.632433594066953</v>
      </c>
      <c r="BT22" s="230">
        <v>18.27051519205423</v>
      </c>
      <c r="BU22" s="230">
        <v>19.938017457077652</v>
      </c>
      <c r="BV22" s="230">
        <v>20.743716609064343</v>
      </c>
      <c r="BW22" s="230">
        <v>15.660813416200718</v>
      </c>
      <c r="BX22" s="230">
        <v>13.409425082311135</v>
      </c>
      <c r="BY22" s="230">
        <v>17.86535205065676</v>
      </c>
      <c r="BZ22" s="230">
        <v>20.838283594957968</v>
      </c>
      <c r="CA22" s="230">
        <v>23.190312023927007</v>
      </c>
      <c r="CB22" s="230">
        <v>25.339614284359559</v>
      </c>
      <c r="CC22" s="230">
        <v>23.317847316829425</v>
      </c>
      <c r="CD22" s="230">
        <v>23.611959318828877</v>
      </c>
      <c r="CE22" s="230">
        <v>25.756345252777653</v>
      </c>
      <c r="CF22" s="230">
        <v>25.20340312119167</v>
      </c>
      <c r="CG22" s="230">
        <v>25.494912362111478</v>
      </c>
      <c r="CH22" s="230">
        <v>28.18385375305629</v>
      </c>
      <c r="CI22" s="230">
        <v>24.24211669577754</v>
      </c>
      <c r="CJ22" s="230">
        <v>22.278767254701584</v>
      </c>
      <c r="CK22" s="230">
        <v>21.608990070207263</v>
      </c>
      <c r="CL22" s="230">
        <v>18.031350368402762</v>
      </c>
      <c r="CM22" s="230">
        <v>26.903873693223883</v>
      </c>
      <c r="CN22" s="230">
        <v>17.416520362256421</v>
      </c>
      <c r="CO22" s="230">
        <v>53.211715099209933</v>
      </c>
      <c r="CP22" s="230">
        <v>24.571221374514391</v>
      </c>
      <c r="CQ22" s="230">
        <v>28.89845626725554</v>
      </c>
      <c r="CR22" s="230">
        <v>23.862113578149941</v>
      </c>
      <c r="CS22" s="230">
        <v>24.024641547789752</v>
      </c>
      <c r="CT22" s="230">
        <v>29.621734651720256</v>
      </c>
      <c r="CU22" s="230">
        <v>29.521383752316321</v>
      </c>
      <c r="CV22" s="230">
        <v>27.940640189947601</v>
      </c>
      <c r="CW22" s="230">
        <v>27.204926391435706</v>
      </c>
      <c r="CX22" s="230">
        <v>30.653874017635726</v>
      </c>
      <c r="CY22" s="230">
        <v>33.030484079023601</v>
      </c>
      <c r="CZ22" s="230">
        <v>24.952670470519575</v>
      </c>
      <c r="DA22" s="230">
        <v>25.451243815108612</v>
      </c>
      <c r="DB22" s="230">
        <v>30.254205594073053</v>
      </c>
      <c r="DC22" s="230">
        <v>29.566209082021249</v>
      </c>
      <c r="DD22" s="230">
        <v>29.211365988163504</v>
      </c>
      <c r="DE22" s="230">
        <v>25.929284266736033</v>
      </c>
      <c r="DF22" s="230">
        <v>33.318522971837218</v>
      </c>
      <c r="DG22" s="230">
        <v>31.64610438033003</v>
      </c>
      <c r="DH22" s="230">
        <v>22.610185498842554</v>
      </c>
      <c r="DI22" s="230">
        <v>26.83880466623285</v>
      </c>
      <c r="DJ22" s="230">
        <v>29.466436573968341</v>
      </c>
      <c r="DK22" s="230">
        <v>29.758235010563659</v>
      </c>
      <c r="DL22" s="230">
        <v>30.587359012267118</v>
      </c>
      <c r="DM22" s="230">
        <v>26.74539446304129</v>
      </c>
      <c r="DN22" s="230">
        <v>30.108450973613152</v>
      </c>
      <c r="DO22" s="230">
        <v>27.486313783712461</v>
      </c>
      <c r="DP22" s="230">
        <v>37.944786193061582</v>
      </c>
      <c r="DQ22" s="230">
        <v>31.260895740543145</v>
      </c>
      <c r="DR22" s="230">
        <v>37.064474556791843</v>
      </c>
      <c r="DS22" s="230">
        <v>29.970793832067688</v>
      </c>
      <c r="DT22" s="230">
        <v>27.720273085204646</v>
      </c>
      <c r="DU22" s="230">
        <v>27.993852194242489</v>
      </c>
      <c r="DV22" s="230">
        <v>32.932157549348268</v>
      </c>
      <c r="DW22" s="230">
        <v>26.932793260775451</v>
      </c>
      <c r="DX22" s="230">
        <v>27.737046434384563</v>
      </c>
      <c r="DY22" s="230">
        <v>87.757584517935712</v>
      </c>
      <c r="DZ22" s="230">
        <v>29.046524453119563</v>
      </c>
      <c r="EA22" s="230">
        <v>30.207645090315026</v>
      </c>
      <c r="EB22" s="230">
        <v>42.212157580970981</v>
      </c>
      <c r="EC22" s="230">
        <v>32.946906528799566</v>
      </c>
      <c r="ED22" s="230">
        <v>36.383997132303449</v>
      </c>
      <c r="EE22" s="230">
        <v>32.069178724679723</v>
      </c>
      <c r="EF22" s="230">
        <v>25.443672975632822</v>
      </c>
      <c r="EG22" s="230">
        <v>32.857454261168499</v>
      </c>
      <c r="EH22" s="230">
        <v>25.818001410655718</v>
      </c>
      <c r="EI22" s="230">
        <v>54.993974718388195</v>
      </c>
      <c r="EJ22" s="230">
        <v>26.982212979936907</v>
      </c>
      <c r="EK22" s="230">
        <v>32.361076015236243</v>
      </c>
      <c r="EL22" s="230">
        <v>27.454674570052955</v>
      </c>
      <c r="EM22" s="230">
        <v>32.737179749973151</v>
      </c>
      <c r="EN22" s="230">
        <v>37.182781241359997</v>
      </c>
      <c r="EO22" s="230">
        <v>47.385912765721791</v>
      </c>
      <c r="EP22" s="230">
        <v>33.450612947011507</v>
      </c>
      <c r="EQ22" s="230">
        <v>55.39369302871097</v>
      </c>
      <c r="ER22" s="230">
        <v>36.200465401472826</v>
      </c>
      <c r="ES22" s="230">
        <v>30.029691106978419</v>
      </c>
      <c r="ET22" s="230">
        <v>31.253601734745978</v>
      </c>
      <c r="EU22" s="230">
        <v>42.761630158657127</v>
      </c>
      <c r="EV22" s="230">
        <v>45.942690240390739</v>
      </c>
      <c r="EW22" s="230">
        <v>37.37969846123687</v>
      </c>
      <c r="EX22" s="230">
        <v>41.050443830869789</v>
      </c>
      <c r="EY22" s="230">
        <v>41.304407409342119</v>
      </c>
      <c r="EZ22" s="230">
        <v>51.283772720802361</v>
      </c>
      <c r="FA22" s="230">
        <v>45.695460811744404</v>
      </c>
      <c r="FB22" s="230">
        <v>43.479763000308125</v>
      </c>
      <c r="FC22" s="230">
        <v>42.193717812424651</v>
      </c>
      <c r="FD22" s="230">
        <v>47.853687417356895</v>
      </c>
      <c r="FE22" s="230">
        <v>55.392515693378776</v>
      </c>
      <c r="FF22" s="230">
        <v>61.303152727766431</v>
      </c>
      <c r="FG22" s="230">
        <v>70.066516133707594</v>
      </c>
      <c r="FH22" s="230">
        <v>59.169763393371674</v>
      </c>
      <c r="FI22" s="230">
        <v>52.983120685248821</v>
      </c>
      <c r="FJ22" s="230">
        <v>46.708150943283172</v>
      </c>
      <c r="FK22" s="230">
        <v>43.571219637043676</v>
      </c>
      <c r="FL22" s="230">
        <v>47.105666727874116</v>
      </c>
      <c r="FM22" s="230">
        <v>34.733298608428868</v>
      </c>
      <c r="FN22" s="230">
        <v>45.635901870677571</v>
      </c>
      <c r="FO22" s="230">
        <v>43.824535399316865</v>
      </c>
      <c r="FP22" s="230">
        <v>40.046001819296102</v>
      </c>
      <c r="FQ22" s="230">
        <v>22.242274598887892</v>
      </c>
      <c r="FR22" s="230">
        <v>25.3481093166553</v>
      </c>
      <c r="FS22" s="230">
        <v>22.46063174967005</v>
      </c>
      <c r="FT22" s="230">
        <v>46.890831088533737</v>
      </c>
      <c r="FU22" s="230">
        <v>23.046847728518202</v>
      </c>
      <c r="FV22" s="230">
        <v>48.895956488612761</v>
      </c>
      <c r="FW22" s="230">
        <v>70.598295150780828</v>
      </c>
      <c r="FX22" s="230">
        <v>51.600158526445234</v>
      </c>
      <c r="FY22" s="230">
        <v>48.389847794252603</v>
      </c>
      <c r="FZ22" s="230">
        <v>66.542181466952115</v>
      </c>
      <c r="GA22" s="230">
        <v>41.42837921841501</v>
      </c>
      <c r="GB22" s="230">
        <v>47.040267894065032</v>
      </c>
      <c r="GC22" s="230">
        <v>63.089309932986488</v>
      </c>
      <c r="GD22" s="230">
        <v>73.476172906226211</v>
      </c>
      <c r="GE22" s="230">
        <v>67.863730723688292</v>
      </c>
      <c r="GF22" s="230">
        <v>62.597175717618015</v>
      </c>
      <c r="GG22" s="230">
        <v>50.036515257146029</v>
      </c>
      <c r="GH22" s="230">
        <v>61.758493951146406</v>
      </c>
      <c r="GI22" s="230">
        <v>64.371598629698028</v>
      </c>
      <c r="GJ22" s="230">
        <v>58.665600134551624</v>
      </c>
      <c r="GK22" s="230">
        <v>58.398526774855675</v>
      </c>
      <c r="GL22" s="230">
        <v>57.838840103723541</v>
      </c>
      <c r="GM22" s="230">
        <v>51.729524897239173</v>
      </c>
      <c r="GN22" s="230">
        <v>72.581958691467477</v>
      </c>
      <c r="GO22" s="230">
        <v>74.295563424188032</v>
      </c>
      <c r="GP22" s="230">
        <v>80.981021241735149</v>
      </c>
      <c r="GQ22" s="230">
        <v>53.116785155267067</v>
      </c>
      <c r="GR22" s="230">
        <v>56.332381089977986</v>
      </c>
      <c r="GS22" s="230">
        <v>74.010026688054282</v>
      </c>
      <c r="GT22" s="230">
        <v>88.264251194360682</v>
      </c>
      <c r="GU22" s="230">
        <v>93.787967077344746</v>
      </c>
      <c r="GV22" s="230">
        <v>77.114849934476496</v>
      </c>
      <c r="GW22" s="230">
        <v>70.925420267616886</v>
      </c>
      <c r="GX22" s="230">
        <v>81.125321734704116</v>
      </c>
      <c r="GY22" s="230">
        <v>81.730844248497078</v>
      </c>
      <c r="GZ22" s="230">
        <v>94.788532205566753</v>
      </c>
      <c r="HA22" s="230">
        <v>108.68288183082142</v>
      </c>
      <c r="HB22" s="230">
        <v>102.98483269085526</v>
      </c>
      <c r="HC22" s="230">
        <v>114.76042377027657</v>
      </c>
      <c r="HD22" s="230">
        <v>86.1114942354221</v>
      </c>
      <c r="HE22" s="230">
        <v>81.993602649623654</v>
      </c>
      <c r="HF22" s="230">
        <v>120.19281282487222</v>
      </c>
      <c r="HG22" s="230">
        <v>108.16752387443265</v>
      </c>
      <c r="HH22" s="230">
        <v>129.97304981792084</v>
      </c>
      <c r="HI22" s="230">
        <v>63.025487827111611</v>
      </c>
      <c r="HJ22" s="230">
        <v>69.199999720001884</v>
      </c>
      <c r="HK22" s="230">
        <v>67.269440925868707</v>
      </c>
      <c r="HL22" s="230">
        <v>104.20140331127043</v>
      </c>
      <c r="HM22" s="230">
        <v>105.94228048720507</v>
      </c>
      <c r="HN22" s="230">
        <v>173.94948201544756</v>
      </c>
      <c r="HO22" s="230">
        <v>110.6200650429452</v>
      </c>
      <c r="HP22" s="230">
        <v>108.15070257318852</v>
      </c>
      <c r="HQ22" s="230">
        <v>125.62596509302594</v>
      </c>
      <c r="HR22" s="230">
        <v>50.306419528033906</v>
      </c>
      <c r="HS22" s="230">
        <v>89.719633973584109</v>
      </c>
      <c r="HT22" s="230">
        <v>113.77976805495582</v>
      </c>
      <c r="HU22" s="230">
        <v>67.991641203898098</v>
      </c>
      <c r="HV22" s="230">
        <v>82.443197790576761</v>
      </c>
      <c r="HW22" s="230">
        <v>77.92691751511542</v>
      </c>
      <c r="HX22" s="230">
        <v>97.10496453139622</v>
      </c>
      <c r="HY22" s="230">
        <v>97.267880199697387</v>
      </c>
      <c r="HZ22" s="230">
        <v>175.4814671559682</v>
      </c>
      <c r="IA22" s="230">
        <v>111.6362279330245</v>
      </c>
      <c r="IB22" s="230">
        <v>113.00598645982191</v>
      </c>
      <c r="IC22" s="230">
        <v>123.80385994739447</v>
      </c>
      <c r="ID22" s="230">
        <v>92.338232208068234</v>
      </c>
      <c r="IE22" s="230">
        <v>87.118020185576412</v>
      </c>
      <c r="IF22" s="737">
        <v>111.90604220023836</v>
      </c>
      <c r="IG22" s="737">
        <v>63.899030433905956</v>
      </c>
      <c r="IH22" s="737">
        <v>81.935649151826368</v>
      </c>
    </row>
    <row r="23" spans="1:242" ht="84.75">
      <c r="A23" s="150" t="s">
        <v>46</v>
      </c>
      <c r="B23" s="288"/>
      <c r="C23" s="288"/>
      <c r="D23" s="288"/>
      <c r="E23" s="288"/>
      <c r="F23" s="288">
        <f t="shared" si="117"/>
        <v>1.3165843115802316</v>
      </c>
      <c r="G23" s="288">
        <f t="shared" si="131"/>
        <v>0.28019754789116624</v>
      </c>
      <c r="H23" s="288">
        <f t="shared" si="129"/>
        <v>5.9382125141415054E-2</v>
      </c>
      <c r="I23" s="288">
        <f t="shared" si="130"/>
        <v>0.17795832011001811</v>
      </c>
      <c r="J23" s="288">
        <f t="shared" si="71"/>
        <v>-0.29647723753484057</v>
      </c>
      <c r="K23" s="288">
        <f t="shared" si="72"/>
        <v>-6.7348442240511952E-2</v>
      </c>
      <c r="L23" s="288">
        <f t="shared" si="73"/>
        <v>-0.13414537974725171</v>
      </c>
      <c r="M23" s="288">
        <f t="shared" si="74"/>
        <v>-0.23762397577420868</v>
      </c>
      <c r="N23" s="288">
        <f t="shared" si="75"/>
        <v>0.35342863745914399</v>
      </c>
      <c r="O23" s="288">
        <f t="shared" si="76"/>
        <v>0.26494220168681037</v>
      </c>
      <c r="P23" s="288">
        <f t="shared" si="77"/>
        <v>0.3096326880675806</v>
      </c>
      <c r="Q23" s="288">
        <f t="shared" si="78"/>
        <v>0.46573780456200997</v>
      </c>
      <c r="R23" s="288">
        <f t="shared" si="79"/>
        <v>0.4848555073100127</v>
      </c>
      <c r="S23" s="288">
        <f t="shared" si="80"/>
        <v>0.39948835194939925</v>
      </c>
      <c r="T23" s="288">
        <f t="shared" si="81"/>
        <v>0.50289191538684475</v>
      </c>
      <c r="U23" s="288">
        <f t="shared" si="82"/>
        <v>0.35199549947761777</v>
      </c>
      <c r="V23" s="288">
        <f t="shared" si="83"/>
        <v>0.23640206888431936</v>
      </c>
      <c r="W23" s="288">
        <f t="shared" si="84"/>
        <v>0.34741263706870273</v>
      </c>
      <c r="X23" s="288">
        <f t="shared" si="85"/>
        <v>1.9390800697197008E-2</v>
      </c>
      <c r="Y23" s="288">
        <f t="shared" si="86"/>
        <v>0.1610259361060653</v>
      </c>
      <c r="Z23" s="288">
        <f t="shared" si="87"/>
        <v>2.9929761798141108E-2</v>
      </c>
      <c r="AA23" s="288">
        <f t="shared" si="88"/>
        <v>-6.2726295862109205E-2</v>
      </c>
      <c r="AB23" s="288">
        <f t="shared" si="89"/>
        <v>-1.8459567509042651E-2</v>
      </c>
      <c r="AC23" s="288">
        <f t="shared" si="90"/>
        <v>4.8254127480433118E-2</v>
      </c>
      <c r="AD23" s="288">
        <f t="shared" si="91"/>
        <v>0.10510313628559831</v>
      </c>
      <c r="AE23" s="288">
        <f t="shared" si="92"/>
        <v>0.36884917454095523</v>
      </c>
      <c r="AF23" s="288">
        <f t="shared" si="93"/>
        <v>0.41502559311816389</v>
      </c>
      <c r="AG23" s="288">
        <f t="shared" si="94"/>
        <v>0.14206229600293185</v>
      </c>
      <c r="AH23" s="288">
        <f t="shared" si="95"/>
        <v>0.17331462772899897</v>
      </c>
      <c r="AI23" s="288">
        <f t="shared" si="96"/>
        <v>0.26736525566926228</v>
      </c>
      <c r="AJ23" s="288">
        <f t="shared" si="97"/>
        <v>7.3901283264892648E-2</v>
      </c>
      <c r="AK23" s="288">
        <f t="shared" si="98"/>
        <v>0.21408445122310327</v>
      </c>
      <c r="AL23" s="288">
        <f t="shared" si="99"/>
        <v>0.11562126169426068</v>
      </c>
      <c r="AM23" s="288">
        <f t="shared" si="100"/>
        <v>-0.37441907841758304</v>
      </c>
      <c r="AN23" s="288">
        <f t="shared" si="101"/>
        <v>0.38388795532853681</v>
      </c>
      <c r="AO23" s="288">
        <f t="shared" si="102"/>
        <v>0.60869880130548748</v>
      </c>
      <c r="AP23" s="288">
        <f t="shared" si="103"/>
        <v>0.18731884879665883</v>
      </c>
      <c r="AQ23" s="288">
        <f t="shared" si="104"/>
        <v>0.57959274948527684</v>
      </c>
      <c r="AR23" s="288">
        <f t="shared" si="105"/>
        <v>-0.17078504480936507</v>
      </c>
      <c r="AS23" s="288">
        <f t="shared" si="106"/>
        <v>-0.21070773914566177</v>
      </c>
      <c r="AT23" s="288">
        <f t="shared" si="107"/>
        <v>7.9105084274576853E-2</v>
      </c>
      <c r="AU23" s="288">
        <f t="shared" si="108"/>
        <v>-6.6327330078272184E-2</v>
      </c>
      <c r="AV23" s="288">
        <f t="shared" si="109"/>
        <v>0.1725143865074612</v>
      </c>
      <c r="AW23" s="288">
        <f t="shared" si="118"/>
        <v>8.1689375259898833E-2</v>
      </c>
      <c r="AX23" s="289">
        <f t="shared" si="119"/>
        <v>0.17754138718964718</v>
      </c>
      <c r="AY23" s="289">
        <f t="shared" si="110"/>
        <v>0.21430110432131388</v>
      </c>
      <c r="AZ23" s="289">
        <f t="shared" si="111"/>
        <v>0.10356639877749552</v>
      </c>
      <c r="BA23" s="289">
        <f t="shared" si="120"/>
        <v>4.9333005153953113E-3</v>
      </c>
      <c r="BB23" s="289">
        <f t="shared" si="121"/>
        <v>8.6861962827308181E-2</v>
      </c>
      <c r="BC23" s="289">
        <f t="shared" si="122"/>
        <v>0.33727691849838837</v>
      </c>
      <c r="BD23" s="289">
        <f t="shared" si="123"/>
        <v>7.2998178957262683E-2</v>
      </c>
      <c r="BE23" s="289">
        <f t="shared" si="124"/>
        <v>0.19596186524418058</v>
      </c>
      <c r="BF23" s="289">
        <f t="shared" si="125"/>
        <v>0.11748127017541021</v>
      </c>
      <c r="BG23" s="289">
        <f t="shared" si="126"/>
        <v>-1.1678927748149159E-2</v>
      </c>
      <c r="BH23" s="289">
        <f t="shared" si="127"/>
        <v>0.11337171240404031</v>
      </c>
      <c r="BI23" s="289">
        <f t="shared" si="128"/>
        <v>2.0463446667025487E-2</v>
      </c>
      <c r="BJ23" s="489" t="s">
        <v>42</v>
      </c>
      <c r="BK23" s="230">
        <v>19.755421338241071</v>
      </c>
      <c r="BL23" s="230">
        <v>16.762032370377455</v>
      </c>
      <c r="BM23" s="230">
        <v>21.051010168523909</v>
      </c>
      <c r="BN23" s="230">
        <v>20.840220815987013</v>
      </c>
      <c r="BO23" s="230">
        <v>20.464132975456451</v>
      </c>
      <c r="BP23" s="230">
        <v>21.48069615638757</v>
      </c>
      <c r="BQ23" s="230">
        <v>24.812338978428976</v>
      </c>
      <c r="BR23" s="230">
        <v>22.223413340860503</v>
      </c>
      <c r="BS23" s="230">
        <v>20.649474468125106</v>
      </c>
      <c r="BT23" s="230">
        <v>18.790879888545025</v>
      </c>
      <c r="BU23" s="230">
        <v>22.956446826445518</v>
      </c>
      <c r="BV23" s="230">
        <v>26.0149192589279</v>
      </c>
      <c r="BW23" s="230">
        <v>24.537817375071633</v>
      </c>
      <c r="BX23" s="230">
        <v>25.871690596306685</v>
      </c>
      <c r="BY23" s="230">
        <v>25.497629576473589</v>
      </c>
      <c r="BZ23" s="230">
        <v>24.331306866229404</v>
      </c>
      <c r="CA23" s="230">
        <v>24.229740629056177</v>
      </c>
      <c r="CB23" s="230">
        <v>27.271097686759926</v>
      </c>
      <c r="CC23" s="230">
        <v>22.604230429685163</v>
      </c>
      <c r="CD23" s="230">
        <v>25.160276531494677</v>
      </c>
      <c r="CE23" s="230">
        <v>22.421140960013695</v>
      </c>
      <c r="CF23" s="230">
        <v>26.897036666926837</v>
      </c>
      <c r="CG23" s="230">
        <v>23.494905525073413</v>
      </c>
      <c r="CH23" s="230">
        <v>22.872446368650369</v>
      </c>
      <c r="CI23" s="230">
        <v>24.449763275881544</v>
      </c>
      <c r="CJ23" s="230">
        <v>21.098527853764594</v>
      </c>
      <c r="CK23" s="230">
        <v>24.395714723949013</v>
      </c>
      <c r="CL23" s="230">
        <v>25.062538733416677</v>
      </c>
      <c r="CM23" s="230">
        <v>22.354255876997183</v>
      </c>
      <c r="CN23" s="230">
        <v>23.931572784228358</v>
      </c>
      <c r="CO23" s="230">
        <v>23.970757984379446</v>
      </c>
      <c r="CP23" s="230">
        <v>22.228592993754035</v>
      </c>
      <c r="CQ23" s="230">
        <v>20.206051139978591</v>
      </c>
      <c r="CR23" s="230">
        <v>23.719882622492591</v>
      </c>
      <c r="CS23" s="230">
        <v>18.096581198511654</v>
      </c>
      <c r="CT23" s="230">
        <v>21.499613149563956</v>
      </c>
      <c r="CU23" s="230">
        <v>22.953068791949732</v>
      </c>
      <c r="CV23" s="230">
        <v>19.380459509209111</v>
      </c>
      <c r="CW23" s="230">
        <v>19.10931594034755</v>
      </c>
      <c r="CX23" s="230">
        <v>20.837293186090672</v>
      </c>
      <c r="CY23" s="230">
        <v>25.736118811875901</v>
      </c>
      <c r="CZ23" s="230">
        <v>24.073675435350982</v>
      </c>
      <c r="DA23" s="230">
        <v>24.187402596709031</v>
      </c>
      <c r="DB23" s="230">
        <v>25.813813605278927</v>
      </c>
      <c r="DC23" s="230">
        <v>21.135010626319058</v>
      </c>
      <c r="DD23" s="230">
        <v>22.965680120733992</v>
      </c>
      <c r="DE23" s="230">
        <v>20.50557019860473</v>
      </c>
      <c r="DF23" s="230">
        <v>23.545125637910726</v>
      </c>
      <c r="DG23" s="230">
        <v>24.03268861680214</v>
      </c>
      <c r="DH23" s="230">
        <v>22.696338170270188</v>
      </c>
      <c r="DI23" s="230">
        <v>28.160871972949298</v>
      </c>
      <c r="DJ23" s="230">
        <v>21.228694783002119</v>
      </c>
      <c r="DK23" s="230">
        <v>25.511592119056161</v>
      </c>
      <c r="DL23" s="230">
        <v>30.12103278970261</v>
      </c>
      <c r="DM23" s="230">
        <v>28.077547122053314</v>
      </c>
      <c r="DN23" s="230">
        <v>30.048517649193123</v>
      </c>
      <c r="DO23" s="230">
        <v>27.983412560770805</v>
      </c>
      <c r="DP23" s="230">
        <v>25.274904502051598</v>
      </c>
      <c r="DQ23" s="230">
        <v>30.988962452819244</v>
      </c>
      <c r="DR23" s="230">
        <v>27.911798229460199</v>
      </c>
      <c r="DS23" s="230">
        <v>23.29852911971853</v>
      </c>
      <c r="DT23" s="230">
        <v>23.699164010918452</v>
      </c>
      <c r="DU23" s="230">
        <v>32.171049324043757</v>
      </c>
      <c r="DV23" s="230">
        <v>24.940704289268755</v>
      </c>
      <c r="DW23" s="230">
        <v>27.976881694078958</v>
      </c>
      <c r="DX23" s="230">
        <v>34.11724759821449</v>
      </c>
      <c r="DY23" s="230">
        <v>29.364127860347381</v>
      </c>
      <c r="DZ23" s="230">
        <v>35.175473204593601</v>
      </c>
      <c r="EA23" s="230">
        <v>35.07142974212347</v>
      </c>
      <c r="EB23" s="230">
        <v>29.996721120257781</v>
      </c>
      <c r="EC23" s="230">
        <v>33.739808543885609</v>
      </c>
      <c r="ED23" s="230">
        <v>28.358374389802783</v>
      </c>
      <c r="EE23" s="230">
        <v>32.067228888550005</v>
      </c>
      <c r="EF23" s="230">
        <v>27.632540393801566</v>
      </c>
      <c r="EG23" s="230">
        <v>32.678396711454099</v>
      </c>
      <c r="EH23" s="230">
        <v>32.349547444298189</v>
      </c>
      <c r="EI23" s="230">
        <v>38.46523971187073</v>
      </c>
      <c r="EJ23" s="230">
        <v>43.450621002830822</v>
      </c>
      <c r="EK23" s="230">
        <v>40.869100889121015</v>
      </c>
      <c r="EL23" s="230">
        <v>39.095758983920383</v>
      </c>
      <c r="EM23" s="230">
        <v>30.982370525502176</v>
      </c>
      <c r="EN23" s="230">
        <v>34.495593253411755</v>
      </c>
      <c r="EO23" s="230">
        <v>44.031577888932198</v>
      </c>
      <c r="EP23" s="230">
        <v>41.434103296849877</v>
      </c>
      <c r="EQ23" s="230">
        <v>43.747444789577095</v>
      </c>
      <c r="ER23" s="230">
        <v>32.447458963681335</v>
      </c>
      <c r="ES23" s="230">
        <v>40.805456028482588</v>
      </c>
      <c r="ET23" s="230">
        <v>37.424550431897714</v>
      </c>
      <c r="EU23" s="230">
        <v>49.594702980702053</v>
      </c>
      <c r="EV23" s="230">
        <v>40.943027106506797</v>
      </c>
      <c r="EW23" s="230">
        <v>40.874144073521663</v>
      </c>
      <c r="EX23" s="230">
        <v>47.523994759036867</v>
      </c>
      <c r="EY23" s="230">
        <v>39.208016432939225</v>
      </c>
      <c r="EZ23" s="230">
        <v>44.982553989350272</v>
      </c>
      <c r="FA23" s="230">
        <v>52.994679379642832</v>
      </c>
      <c r="FB23" s="230">
        <v>46.115890975522532</v>
      </c>
      <c r="FC23" s="230">
        <v>53.148635901544459</v>
      </c>
      <c r="FD23" s="230">
        <v>43.584353445510359</v>
      </c>
      <c r="FE23" s="230">
        <v>48.880931498471526</v>
      </c>
      <c r="FF23" s="230">
        <v>63.5384857482481</v>
      </c>
      <c r="FG23" s="230">
        <v>71.126576986162618</v>
      </c>
      <c r="FH23" s="230">
        <v>55.80514046141662</v>
      </c>
      <c r="FI23" s="230">
        <v>57.981232272255468</v>
      </c>
      <c r="FJ23" s="230">
        <v>58.470387842470906</v>
      </c>
      <c r="FK23" s="230">
        <v>51.56142598752583</v>
      </c>
      <c r="FL23" s="230">
        <v>53.427551045587172</v>
      </c>
      <c r="FM23" s="230">
        <v>60.152169966435089</v>
      </c>
      <c r="FN23" s="230">
        <v>58.562636277056129</v>
      </c>
      <c r="FO23" s="230">
        <v>58.789494846938119</v>
      </c>
      <c r="FP23" s="230">
        <v>58.144496950309666</v>
      </c>
      <c r="FQ23" s="230">
        <v>54.100116204184744</v>
      </c>
      <c r="FR23" s="230">
        <v>37.962398130114245</v>
      </c>
      <c r="FS23" s="230">
        <v>36.670808395433305</v>
      </c>
      <c r="FT23" s="230">
        <v>50.559905249725702</v>
      </c>
      <c r="FU23" s="230">
        <v>48.36045443692791</v>
      </c>
      <c r="FV23" s="230">
        <v>67.971950736601016</v>
      </c>
      <c r="FW23" s="230">
        <v>60.033837998401573</v>
      </c>
      <c r="FX23" s="230">
        <v>62.899644181129503</v>
      </c>
      <c r="FY23" s="230">
        <v>69.609790211045095</v>
      </c>
      <c r="FZ23" s="230">
        <v>71.057089502774744</v>
      </c>
      <c r="GA23" s="230">
        <v>48.882004403540037</v>
      </c>
      <c r="GB23" s="230">
        <v>58.457618305557709</v>
      </c>
      <c r="GC23" s="230">
        <v>60.704814734845264</v>
      </c>
      <c r="GD23" s="230">
        <v>63.71832479109451</v>
      </c>
      <c r="GE23" s="230">
        <v>66.743866877120539</v>
      </c>
      <c r="GF23" s="230">
        <v>81.777208865596961</v>
      </c>
      <c r="GG23" s="230">
        <v>49.567954613343439</v>
      </c>
      <c r="GH23" s="230">
        <v>71.383207575848772</v>
      </c>
      <c r="GI23" s="230">
        <v>66.516238678221043</v>
      </c>
      <c r="GJ23" s="230">
        <v>72.68434088202909</v>
      </c>
      <c r="GK23" s="230">
        <v>60.050168529570144</v>
      </c>
      <c r="GL23" s="230">
        <v>66.10763728342738</v>
      </c>
      <c r="GM23" s="230">
        <v>49.301058160544876</v>
      </c>
      <c r="GN23" s="230">
        <v>58.662436270562104</v>
      </c>
      <c r="GO23" s="230">
        <v>77.8224058121111</v>
      </c>
      <c r="GP23" s="230">
        <v>68.827962899811041</v>
      </c>
      <c r="GQ23" s="230">
        <v>71.57681756161071</v>
      </c>
      <c r="GR23" s="230">
        <v>85.715266405780255</v>
      </c>
      <c r="GS23" s="230">
        <v>106.49196148560554</v>
      </c>
      <c r="GT23" s="230">
        <v>83.319827458776942</v>
      </c>
      <c r="GU23" s="230">
        <v>69.591872876656169</v>
      </c>
      <c r="GV23" s="230">
        <v>75.650141897142291</v>
      </c>
      <c r="GW23" s="230">
        <v>54.954801313015281</v>
      </c>
      <c r="GX23" s="230">
        <v>51.987832622490195</v>
      </c>
      <c r="GY23" s="230">
        <v>52.766003639179779</v>
      </c>
      <c r="GZ23" s="230">
        <v>58.781578577167203</v>
      </c>
      <c r="HA23" s="230">
        <v>78.118572433116483</v>
      </c>
      <c r="HB23" s="230">
        <v>63.118437096516303</v>
      </c>
      <c r="HC23" s="230">
        <v>80.296595535224654</v>
      </c>
      <c r="HD23" s="230">
        <v>106.92299330105968</v>
      </c>
      <c r="HE23" s="230">
        <v>101.67400059713438</v>
      </c>
      <c r="HF23" s="230">
        <v>123.27317424883947</v>
      </c>
      <c r="HG23" s="230">
        <v>115.33563361953617</v>
      </c>
      <c r="HH23" s="230">
        <v>117.77921240128943</v>
      </c>
      <c r="HI23" s="230">
        <v>58.129649013087402</v>
      </c>
      <c r="HJ23" s="230">
        <v>56.734832137224394</v>
      </c>
      <c r="HK23" s="230">
        <v>61.415252964726605</v>
      </c>
      <c r="HL23" s="230">
        <v>107.83623127931702</v>
      </c>
      <c r="HM23" s="230">
        <v>95.694393397969904</v>
      </c>
      <c r="HN23" s="230">
        <v>122.21914103957333</v>
      </c>
      <c r="HO23" s="230">
        <v>118.0809967450941</v>
      </c>
      <c r="HP23" s="230">
        <v>112.65635359142946</v>
      </c>
      <c r="HQ23" s="230">
        <v>119.52728020865797</v>
      </c>
      <c r="HR23" s="230">
        <v>108.86044136282177</v>
      </c>
      <c r="HS23" s="230">
        <v>97.883977091897719</v>
      </c>
      <c r="HT23" s="230">
        <v>118.86126016439559</v>
      </c>
      <c r="HU23" s="230">
        <v>78.256290359177783</v>
      </c>
      <c r="HV23" s="230">
        <v>58.70838179493893</v>
      </c>
      <c r="HW23" s="230">
        <v>62.334161038598765</v>
      </c>
      <c r="HX23" s="230">
        <v>109.88535186563887</v>
      </c>
      <c r="HY23" s="230">
        <v>98.091678269018331</v>
      </c>
      <c r="HZ23" s="230">
        <v>119.36777922352489</v>
      </c>
      <c r="IA23" s="230">
        <v>118.32976338670349</v>
      </c>
      <c r="IB23" s="230">
        <v>96.976976271344142</v>
      </c>
      <c r="IC23" s="230">
        <v>120.8734781518535</v>
      </c>
      <c r="ID23" s="230">
        <v>115.52889856376676</v>
      </c>
      <c r="IE23" s="230">
        <v>102.42413364811812</v>
      </c>
      <c r="IF23" s="737">
        <v>125.48726362703316</v>
      </c>
      <c r="IG23" s="737">
        <v>80.268871710330956</v>
      </c>
      <c r="IH23" s="737">
        <v>59.002631833382196</v>
      </c>
    </row>
    <row r="24" spans="1:242" ht="84.75">
      <c r="A24" s="150" t="s">
        <v>48</v>
      </c>
      <c r="B24" s="288"/>
      <c r="C24" s="288"/>
      <c r="D24" s="288"/>
      <c r="E24" s="288"/>
      <c r="F24" s="288">
        <f t="shared" si="117"/>
        <v>0.55110785711533272</v>
      </c>
      <c r="G24" s="288">
        <f t="shared" si="131"/>
        <v>0.83851152501530746</v>
      </c>
      <c r="H24" s="288">
        <f t="shared" si="129"/>
        <v>0.2194858220933178</v>
      </c>
      <c r="I24" s="288">
        <f t="shared" si="130"/>
        <v>-2.4287531688473529E-2</v>
      </c>
      <c r="J24" s="288">
        <f t="shared" si="71"/>
        <v>-7.0265919389458809E-2</v>
      </c>
      <c r="K24" s="288">
        <f t="shared" si="72"/>
        <v>-6.2500447633985767E-2</v>
      </c>
      <c r="L24" s="288">
        <f t="shared" si="73"/>
        <v>0.11686170556669051</v>
      </c>
      <c r="M24" s="288">
        <f t="shared" si="74"/>
        <v>0.17881768476352278</v>
      </c>
      <c r="N24" s="288">
        <f t="shared" si="75"/>
        <v>0.45280084650655716</v>
      </c>
      <c r="O24" s="288">
        <f t="shared" si="76"/>
        <v>0.13659265144598964</v>
      </c>
      <c r="P24" s="288">
        <f t="shared" si="77"/>
        <v>0.34438458007881145</v>
      </c>
      <c r="Q24" s="288">
        <f t="shared" si="78"/>
        <v>0.23309314764355649</v>
      </c>
      <c r="R24" s="288">
        <f t="shared" si="79"/>
        <v>0.21802384394392549</v>
      </c>
      <c r="S24" s="288">
        <f t="shared" si="80"/>
        <v>0.28232712265419169</v>
      </c>
      <c r="T24" s="288">
        <f t="shared" si="81"/>
        <v>7.7270630209454572E-2</v>
      </c>
      <c r="U24" s="288">
        <f t="shared" si="82"/>
        <v>0.16636439823483951</v>
      </c>
      <c r="V24" s="288">
        <f t="shared" si="83"/>
        <v>-4.749019240700536E-2</v>
      </c>
      <c r="W24" s="288">
        <f t="shared" si="84"/>
        <v>-0.10146792501290747</v>
      </c>
      <c r="X24" s="288">
        <f t="shared" si="85"/>
        <v>-4.6888963120944038E-2</v>
      </c>
      <c r="Y24" s="288">
        <f t="shared" si="86"/>
        <v>-0.17018583333099446</v>
      </c>
      <c r="Z24" s="288">
        <f t="shared" si="87"/>
        <v>-2.9790968732874568E-3</v>
      </c>
      <c r="AA24" s="288">
        <f t="shared" si="88"/>
        <v>2.0376389961658026E-2</v>
      </c>
      <c r="AB24" s="288">
        <f t="shared" si="89"/>
        <v>0.15721995781461695</v>
      </c>
      <c r="AC24" s="288">
        <f t="shared" si="90"/>
        <v>0.4497346679764358</v>
      </c>
      <c r="AD24" s="288">
        <f t="shared" si="91"/>
        <v>0.3627130972851742</v>
      </c>
      <c r="AE24" s="288">
        <f t="shared" si="92"/>
        <v>0.13626056072236992</v>
      </c>
      <c r="AF24" s="288">
        <f t="shared" si="93"/>
        <v>8.5407823955720552E-2</v>
      </c>
      <c r="AG24" s="288">
        <f t="shared" si="94"/>
        <v>-0.10090653310614683</v>
      </c>
      <c r="AH24" s="288">
        <f t="shared" si="95"/>
        <v>2.3735990830796361E-2</v>
      </c>
      <c r="AI24" s="288">
        <f t="shared" si="96"/>
        <v>0.22737588911163376</v>
      </c>
      <c r="AJ24" s="288">
        <f t="shared" si="97"/>
        <v>0.19776549936563548</v>
      </c>
      <c r="AK24" s="288">
        <f t="shared" si="98"/>
        <v>0.26323870590621823</v>
      </c>
      <c r="AL24" s="288">
        <f t="shared" si="99"/>
        <v>-9.4307244560097092E-2</v>
      </c>
      <c r="AM24" s="288">
        <f t="shared" si="100"/>
        <v>-0.21285413957801447</v>
      </c>
      <c r="AN24" s="288">
        <f t="shared" si="101"/>
        <v>2.2818539064014098E-2</v>
      </c>
      <c r="AO24" s="288">
        <f t="shared" si="102"/>
        <v>-2.3129496307356945E-3</v>
      </c>
      <c r="AP24" s="288">
        <f t="shared" si="103"/>
        <v>4.9297240357432104E-2</v>
      </c>
      <c r="AQ24" s="288">
        <f t="shared" si="104"/>
        <v>0.59209226174975416</v>
      </c>
      <c r="AR24" s="288">
        <f t="shared" si="105"/>
        <v>1.6787486203307278E-2</v>
      </c>
      <c r="AS24" s="288">
        <f t="shared" si="106"/>
        <v>8.0770883682216077E-2</v>
      </c>
      <c r="AT24" s="288">
        <f t="shared" si="107"/>
        <v>0.27808981405094979</v>
      </c>
      <c r="AU24" s="288">
        <f t="shared" si="108"/>
        <v>-0.11532722238554916</v>
      </c>
      <c r="AV24" s="288">
        <f t="shared" si="109"/>
        <v>0.54462104765363972</v>
      </c>
      <c r="AW24" s="288">
        <f t="shared" si="118"/>
        <v>-0.16887913000138177</v>
      </c>
      <c r="AX24" s="289">
        <f t="shared" si="119"/>
        <v>-8.6747991140004754E-2</v>
      </c>
      <c r="AY24" s="289">
        <f t="shared" si="110"/>
        <v>0.10506180760075234</v>
      </c>
      <c r="AZ24" s="289">
        <f t="shared" si="111"/>
        <v>-0.26477921648737412</v>
      </c>
      <c r="BA24" s="289">
        <f t="shared" si="120"/>
        <v>0.33348748618716706</v>
      </c>
      <c r="BB24" s="289">
        <f t="shared" si="121"/>
        <v>-1.571098294052542E-2</v>
      </c>
      <c r="BC24" s="289">
        <f t="shared" si="122"/>
        <v>-0.17204297141513536</v>
      </c>
      <c r="BD24" s="289">
        <f t="shared" si="123"/>
        <v>-7.7168045737585622E-4</v>
      </c>
      <c r="BE24" s="289">
        <f t="shared" si="124"/>
        <v>0.15585577639784698</v>
      </c>
      <c r="BF24" s="289">
        <f t="shared" si="125"/>
        <v>0.16715455979777483</v>
      </c>
      <c r="BG24" s="289">
        <f t="shared" si="126"/>
        <v>4.3839230342957558E-2</v>
      </c>
      <c r="BH24" s="289">
        <f t="shared" si="127"/>
        <v>0.25077948251517368</v>
      </c>
      <c r="BI24" s="289">
        <f t="shared" si="128"/>
        <v>1.2877469127570595E-2</v>
      </c>
      <c r="BJ24" s="489" t="s">
        <v>359</v>
      </c>
      <c r="BK24" s="230">
        <v>13.241716584369497</v>
      </c>
      <c r="BL24" s="230">
        <v>13.992029630823639</v>
      </c>
      <c r="BM24" s="230">
        <v>20.012801071538341</v>
      </c>
      <c r="BN24" s="230">
        <v>15.914434169540272</v>
      </c>
      <c r="BO24" s="230">
        <v>22.574825670931361</v>
      </c>
      <c r="BP24" s="230">
        <v>21.150812211036737</v>
      </c>
      <c r="BQ24" s="230">
        <v>24.345913443375444</v>
      </c>
      <c r="BR24" s="230">
        <v>28.330588288552519</v>
      </c>
      <c r="BS24" s="230">
        <v>18.712567452882883</v>
      </c>
      <c r="BT24" s="230">
        <v>16.663384001883852</v>
      </c>
      <c r="BU24" s="230">
        <v>21.430816389346479</v>
      </c>
      <c r="BV24" s="230">
        <v>25.094863275719025</v>
      </c>
      <c r="BW24" s="230">
        <v>14.360370083497894</v>
      </c>
      <c r="BX24" s="230">
        <v>21.900307329024546</v>
      </c>
      <c r="BY24" s="230">
        <v>22.951890693913221</v>
      </c>
      <c r="BZ24" s="230">
        <v>19.092904189730096</v>
      </c>
      <c r="CA24" s="230">
        <v>24.690806613348006</v>
      </c>
      <c r="CB24" s="230">
        <v>24.664905545247294</v>
      </c>
      <c r="CC24" s="230">
        <v>24.830399738269701</v>
      </c>
      <c r="CD24" s="230">
        <v>24.257031883366704</v>
      </c>
      <c r="CE24" s="230">
        <v>25.694677484366956</v>
      </c>
      <c r="CF24" s="230">
        <v>23.262430868299582</v>
      </c>
      <c r="CG24" s="230">
        <v>15.573630641899399</v>
      </c>
      <c r="CH24" s="230">
        <v>24.196777819679795</v>
      </c>
      <c r="CI24" s="230">
        <v>24.477599926455873</v>
      </c>
      <c r="CJ24" s="230">
        <v>21.624120150224382</v>
      </c>
      <c r="CK24" s="230">
        <v>17.816390496598448</v>
      </c>
      <c r="CL24" s="230">
        <v>21.661744859675935</v>
      </c>
      <c r="CM24" s="230">
        <v>23.562883258267778</v>
      </c>
      <c r="CN24" s="230">
        <v>18.460372842428644</v>
      </c>
      <c r="CO24" s="230">
        <v>23.206266446944369</v>
      </c>
      <c r="CP24" s="230">
        <v>20.101682631547078</v>
      </c>
      <c r="CQ24" s="230">
        <v>21.153811282079978</v>
      </c>
      <c r="CR24" s="230">
        <v>21.063839150782787</v>
      </c>
      <c r="CS24" s="230">
        <v>20.476021226307815</v>
      </c>
      <c r="CT24" s="230">
        <v>27.681698371924298</v>
      </c>
      <c r="CU24" s="230">
        <v>22.418873976682896</v>
      </c>
      <c r="CV24" s="230">
        <v>22.204576718502313</v>
      </c>
      <c r="CW24" s="230">
        <v>24.403441078841222</v>
      </c>
      <c r="CX24" s="230">
        <v>25.950689094330784</v>
      </c>
      <c r="CY24" s="230">
        <v>29.807494455937004</v>
      </c>
      <c r="CZ24" s="230">
        <v>29.397712294301616</v>
      </c>
      <c r="DA24" s="230">
        <v>30.355233885561411</v>
      </c>
      <c r="DB24" s="230">
        <v>31.244594771293027</v>
      </c>
      <c r="DC24" s="230">
        <v>25.777015616644992</v>
      </c>
      <c r="DD24" s="230">
        <v>26.364833541119964</v>
      </c>
      <c r="DE24" s="230">
        <v>27.054347238242979</v>
      </c>
      <c r="DF24" s="230">
        <v>32.192573863778875</v>
      </c>
      <c r="DG24" s="230">
        <v>29.026645413406236</v>
      </c>
      <c r="DH24" s="230">
        <v>23.577060685017639</v>
      </c>
      <c r="DI24" s="230">
        <v>24.275298952448253</v>
      </c>
      <c r="DJ24" s="230">
        <v>27.207845147092431</v>
      </c>
      <c r="DK24" s="230">
        <v>22.65907230296418</v>
      </c>
      <c r="DL24" s="230">
        <v>22.498485680739805</v>
      </c>
      <c r="DM24" s="230">
        <v>31.562223659054322</v>
      </c>
      <c r="DN24" s="230">
        <v>29.556117773949094</v>
      </c>
      <c r="DO24" s="230">
        <v>58.415633137400249</v>
      </c>
      <c r="DP24" s="230">
        <v>50.215082333894529</v>
      </c>
      <c r="DQ24" s="230">
        <v>37.708138155118753</v>
      </c>
      <c r="DR24" s="230">
        <v>45.492363369258378</v>
      </c>
      <c r="DS24" s="230">
        <v>38.084112606812162</v>
      </c>
      <c r="DT24" s="230">
        <v>37.377967697540271</v>
      </c>
      <c r="DU24" s="230">
        <v>44.17631646692039</v>
      </c>
      <c r="DV24" s="230">
        <v>42.344429345145173</v>
      </c>
      <c r="DW24" s="230">
        <v>49.268739098341349</v>
      </c>
      <c r="DX24" s="230">
        <v>47.934152484099698</v>
      </c>
      <c r="DY24" s="230">
        <v>46.76315156312566</v>
      </c>
      <c r="DZ24" s="230">
        <v>42.440672261350947</v>
      </c>
      <c r="EA24" s="230">
        <v>45.010876145407359</v>
      </c>
      <c r="EB24" s="230">
        <v>51.834580697243958</v>
      </c>
      <c r="EC24" s="230">
        <v>49.510300638733199</v>
      </c>
      <c r="ED24" s="230">
        <v>54.529654993827954</v>
      </c>
      <c r="EE24" s="230">
        <v>47.498185967732709</v>
      </c>
      <c r="EF24" s="230">
        <v>46.404921748845823</v>
      </c>
      <c r="EG24" s="230">
        <v>46.690385499186533</v>
      </c>
      <c r="EH24" s="230">
        <v>46.67417582730554</v>
      </c>
      <c r="EI24" s="230">
        <v>52.905559908003013</v>
      </c>
      <c r="EJ24" s="230">
        <v>56.484230715702012</v>
      </c>
      <c r="EK24" s="230">
        <v>49.558091288679243</v>
      </c>
      <c r="EL24" s="230">
        <v>59.755846304389884</v>
      </c>
      <c r="EM24" s="230">
        <v>61.569155344351017</v>
      </c>
      <c r="EN24" s="230">
        <v>52.974172716249214</v>
      </c>
      <c r="EO24" s="230">
        <v>60.409384992506816</v>
      </c>
      <c r="EP24" s="230">
        <v>58.121764580067399</v>
      </c>
      <c r="EQ24" s="230">
        <v>53.635139299182498</v>
      </c>
      <c r="ER24" s="230">
        <v>42.239181448415387</v>
      </c>
      <c r="ES24" s="230">
        <v>48.935245316629718</v>
      </c>
      <c r="ET24" s="230">
        <v>15.853813452859814</v>
      </c>
      <c r="EU24" s="230">
        <v>42.863764397016105</v>
      </c>
      <c r="EV24" s="230">
        <v>65.700337085574873</v>
      </c>
      <c r="EW24" s="230">
        <v>75.470528143859028</v>
      </c>
      <c r="EX24" s="230">
        <v>74.991649169377609</v>
      </c>
      <c r="EY24" s="230">
        <v>84.939079170939593</v>
      </c>
      <c r="EZ24" s="230">
        <v>77.118500810250225</v>
      </c>
      <c r="FA24" s="230">
        <v>73.972974173395073</v>
      </c>
      <c r="FB24" s="230">
        <v>65.678998939303824</v>
      </c>
      <c r="FC24" s="230">
        <v>53.212323094191106</v>
      </c>
      <c r="FD24" s="230">
        <v>51.343684494147332</v>
      </c>
      <c r="FE24" s="230">
        <v>88.449120411219468</v>
      </c>
      <c r="FF24" s="230">
        <v>60.456892358912711</v>
      </c>
      <c r="FG24" s="230">
        <v>65.167675367249601</v>
      </c>
      <c r="FH24" s="230">
        <v>82.058466400303757</v>
      </c>
      <c r="FI24" s="230">
        <v>78.991762739245956</v>
      </c>
      <c r="FJ24" s="230">
        <v>66.670581449364278</v>
      </c>
      <c r="FK24" s="230">
        <v>74.630246755667613</v>
      </c>
      <c r="FL24" s="230">
        <v>61.496287047104722</v>
      </c>
      <c r="FM24" s="230">
        <v>71.952510128450086</v>
      </c>
      <c r="FN24" s="230">
        <v>54.326488623858822</v>
      </c>
      <c r="FO24" s="230">
        <v>70.249575406584896</v>
      </c>
      <c r="FP24" s="230">
        <v>66.582771058661905</v>
      </c>
      <c r="FQ24" s="230">
        <v>48.087561850358234</v>
      </c>
      <c r="FR24" s="230">
        <v>30.412746004233455</v>
      </c>
      <c r="FS24" s="230">
        <v>81.86659060021428</v>
      </c>
      <c r="FT24" s="230">
        <v>68.227464658485005</v>
      </c>
      <c r="FU24" s="230">
        <v>94.032730507393651</v>
      </c>
      <c r="FV24" s="230">
        <v>82.286256062895106</v>
      </c>
      <c r="FW24" s="230">
        <v>123.93181349354693</v>
      </c>
      <c r="FX24" s="230">
        <v>95.975227962153852</v>
      </c>
      <c r="FY24" s="230">
        <v>96.654445664895292</v>
      </c>
      <c r="FZ24" s="230">
        <v>94.607221267968995</v>
      </c>
      <c r="GA24" s="230">
        <v>66.146402984125785</v>
      </c>
      <c r="GB24" s="230">
        <v>71.051079458996284</v>
      </c>
      <c r="GC24" s="230">
        <v>95.125910421082565</v>
      </c>
      <c r="GD24" s="230">
        <v>97.506659507197824</v>
      </c>
      <c r="GE24" s="230">
        <v>99.439349675622339</v>
      </c>
      <c r="GF24" s="230">
        <v>113.65519725826711</v>
      </c>
      <c r="GG24" s="230">
        <v>98.984508255912502</v>
      </c>
      <c r="GH24" s="230">
        <v>56.082259936207656</v>
      </c>
      <c r="GI24" s="230">
        <v>57.377079942800087</v>
      </c>
      <c r="GJ24" s="230">
        <v>51.263029106276832</v>
      </c>
      <c r="GK24" s="230">
        <v>123.47413316018732</v>
      </c>
      <c r="GL24" s="230">
        <v>117.05519597888369</v>
      </c>
      <c r="GM24" s="230">
        <v>111.883255619704</v>
      </c>
      <c r="GN24" s="230">
        <v>69.207363302241788</v>
      </c>
      <c r="GO24" s="230">
        <v>68.640963457202318</v>
      </c>
      <c r="GP24" s="230">
        <v>57.651203127016217</v>
      </c>
      <c r="GQ24" s="230">
        <v>89.349251251793433</v>
      </c>
      <c r="GR24" s="230">
        <v>94.551545492732387</v>
      </c>
      <c r="GS24" s="230">
        <v>83.748091543946941</v>
      </c>
      <c r="GT24" s="230">
        <v>96.826678997413566</v>
      </c>
      <c r="GU24" s="230">
        <v>79.579022420286933</v>
      </c>
      <c r="GV24" s="230">
        <v>91.600707138821235</v>
      </c>
      <c r="GW24" s="230">
        <v>117.23366692450973</v>
      </c>
      <c r="GX24" s="230">
        <v>119.86098163622121</v>
      </c>
      <c r="GY24" s="230">
        <v>112.95333196137668</v>
      </c>
      <c r="GZ24" s="230">
        <v>81.520686725724701</v>
      </c>
      <c r="HA24" s="230">
        <v>79.287415781415106</v>
      </c>
      <c r="HB24" s="230">
        <v>68.306270241224382</v>
      </c>
      <c r="HC24" s="230">
        <v>71.912585046312529</v>
      </c>
      <c r="HD24" s="230">
        <v>108.09380968267155</v>
      </c>
      <c r="HE24" s="230">
        <v>166.74655171471164</v>
      </c>
      <c r="HF24" s="230">
        <v>125.51503253339465</v>
      </c>
      <c r="HG24" s="230">
        <v>94.378182050744584</v>
      </c>
      <c r="HH24" s="230">
        <v>124.61926770360813</v>
      </c>
      <c r="HI24" s="230">
        <v>71.060641433975292</v>
      </c>
      <c r="HJ24" s="230">
        <v>79.681554741701206</v>
      </c>
      <c r="HK24" s="230">
        <v>73.188839075845124</v>
      </c>
      <c r="HL24" s="230">
        <v>90.084643596698697</v>
      </c>
      <c r="HM24" s="230">
        <v>111.99779274311558</v>
      </c>
      <c r="HN24" s="230">
        <v>223.19238676480481</v>
      </c>
      <c r="HO24" s="230">
        <v>88.284879990506241</v>
      </c>
      <c r="HP24" s="230">
        <v>54.088980189591616</v>
      </c>
      <c r="HQ24" s="230">
        <v>102.04284209131195</v>
      </c>
      <c r="HR24" s="230">
        <v>98.404631494139991</v>
      </c>
      <c r="HS24" s="230">
        <v>89.712534391956908</v>
      </c>
      <c r="HT24" s="230">
        <v>80.061894006791746</v>
      </c>
      <c r="HU24" s="230">
        <v>94.798088975983589</v>
      </c>
      <c r="HV24" s="230">
        <v>94.142486679253821</v>
      </c>
      <c r="HW24" s="230">
        <v>79.061112936202889</v>
      </c>
      <c r="HX24" s="230">
        <v>115.51648146194734</v>
      </c>
      <c r="HY24" s="230">
        <v>109.21430417453023</v>
      </c>
      <c r="HZ24" s="230">
        <v>209.50305694560024</v>
      </c>
      <c r="IA24" s="230">
        <v>93.325755491762379</v>
      </c>
      <c r="IB24" s="230">
        <v>69.716111786600564</v>
      </c>
      <c r="IC24" s="230">
        <v>95.931076292471417</v>
      </c>
      <c r="ID24" s="230">
        <v>147.17923074232814</v>
      </c>
      <c r="IE24" s="230">
        <v>121.96771104203579</v>
      </c>
      <c r="IF24" s="737">
        <v>84.063134925557591</v>
      </c>
      <c r="IG24" s="737">
        <v>94.631195489528594</v>
      </c>
      <c r="IH24" s="737">
        <v>99.515393851223365</v>
      </c>
    </row>
    <row r="25" spans="1:242" s="292" customFormat="1" ht="126.75">
      <c r="A25" s="151" t="s">
        <v>360</v>
      </c>
      <c r="B25" s="290"/>
      <c r="C25" s="290"/>
      <c r="D25" s="290"/>
      <c r="E25" s="290"/>
      <c r="F25" s="290">
        <f t="shared" si="117"/>
        <v>0.27017819840341595</v>
      </c>
      <c r="G25" s="290">
        <f t="shared" si="131"/>
        <v>0.19521238741495206</v>
      </c>
      <c r="H25" s="290">
        <f t="shared" si="129"/>
        <v>6.9245875162883053E-2</v>
      </c>
      <c r="I25" s="290">
        <f t="shared" si="130"/>
        <v>0.14724055128437974</v>
      </c>
      <c r="J25" s="290">
        <f t="shared" si="71"/>
        <v>-4.4014282727228959E-2</v>
      </c>
      <c r="K25" s="290">
        <f t="shared" si="72"/>
        <v>2.4738600636384556E-2</v>
      </c>
      <c r="L25" s="290">
        <f t="shared" si="73"/>
        <v>5.1850326124270207E-2</v>
      </c>
      <c r="M25" s="290">
        <f t="shared" si="74"/>
        <v>-3.6008147212675423E-2</v>
      </c>
      <c r="N25" s="290">
        <f t="shared" si="75"/>
        <v>0.14592464226527491</v>
      </c>
      <c r="O25" s="290">
        <f t="shared" si="76"/>
        <v>4.972242783123626E-2</v>
      </c>
      <c r="P25" s="290">
        <f t="shared" si="77"/>
        <v>4.3742901528700751E-2</v>
      </c>
      <c r="Q25" s="290">
        <f t="shared" si="78"/>
        <v>0.18277360755821381</v>
      </c>
      <c r="R25" s="290">
        <f t="shared" si="79"/>
        <v>0.1531645616082864</v>
      </c>
      <c r="S25" s="290">
        <f t="shared" si="80"/>
        <v>0.18132811535952897</v>
      </c>
      <c r="T25" s="290">
        <f t="shared" si="81"/>
        <v>0.17663465777797227</v>
      </c>
      <c r="U25" s="290">
        <f t="shared" si="82"/>
        <v>0.12027989719825127</v>
      </c>
      <c r="V25" s="290">
        <f t="shared" si="83"/>
        <v>0.10439034016940019</v>
      </c>
      <c r="W25" s="290">
        <f t="shared" si="84"/>
        <v>7.632526129180528E-2</v>
      </c>
      <c r="X25" s="290">
        <f t="shared" si="85"/>
        <v>6.6814422688521669E-2</v>
      </c>
      <c r="Y25" s="290">
        <f t="shared" si="86"/>
        <v>-1.1465034810963282E-2</v>
      </c>
      <c r="Z25" s="290">
        <f t="shared" si="87"/>
        <v>5.3103654895826802E-2</v>
      </c>
      <c r="AA25" s="290">
        <f t="shared" si="88"/>
        <v>6.4535434394221269E-2</v>
      </c>
      <c r="AB25" s="290">
        <f t="shared" si="89"/>
        <v>-4.3798709163134109E-2</v>
      </c>
      <c r="AC25" s="290">
        <f t="shared" si="90"/>
        <v>0.17053332925321318</v>
      </c>
      <c r="AD25" s="290">
        <f t="shared" si="91"/>
        <v>0.28828270515682664</v>
      </c>
      <c r="AE25" s="290">
        <f t="shared" si="92"/>
        <v>0.26485296849696627</v>
      </c>
      <c r="AF25" s="290">
        <f t="shared" si="93"/>
        <v>0.36323273365917763</v>
      </c>
      <c r="AG25" s="290">
        <f t="shared" si="94"/>
        <v>0.2375203638797132</v>
      </c>
      <c r="AH25" s="290">
        <f t="shared" si="95"/>
        <v>5.4338761854324069E-2</v>
      </c>
      <c r="AI25" s="290">
        <f t="shared" si="96"/>
        <v>0.17346207908375022</v>
      </c>
      <c r="AJ25" s="290">
        <f t="shared" si="97"/>
        <v>6.1102815548126355E-2</v>
      </c>
      <c r="AK25" s="290">
        <f t="shared" si="98"/>
        <v>6.7256975280389764E-2</v>
      </c>
      <c r="AL25" s="290">
        <f t="shared" si="99"/>
        <v>-1.6211453657715369E-2</v>
      </c>
      <c r="AM25" s="290">
        <f t="shared" si="100"/>
        <v>-0.21109339582231157</v>
      </c>
      <c r="AN25" s="290">
        <f t="shared" si="101"/>
        <v>0.10804756375075253</v>
      </c>
      <c r="AO25" s="290">
        <f t="shared" si="102"/>
        <v>0.10625545199614539</v>
      </c>
      <c r="AP25" s="290">
        <f t="shared" si="103"/>
        <v>5.032278068203655E-2</v>
      </c>
      <c r="AQ25" s="290">
        <f t="shared" si="104"/>
        <v>0.32372367524807522</v>
      </c>
      <c r="AR25" s="290">
        <f t="shared" si="105"/>
        <v>-1.7814754686110157E-2</v>
      </c>
      <c r="AS25" s="290">
        <f t="shared" si="106"/>
        <v>7.9706259458991457E-2</v>
      </c>
      <c r="AT25" s="290">
        <f t="shared" si="107"/>
        <v>0.26216420920712835</v>
      </c>
      <c r="AU25" s="290">
        <f t="shared" si="108"/>
        <v>1.4432134196309176E-2</v>
      </c>
      <c r="AV25" s="290">
        <f t="shared" si="109"/>
        <v>0.25268529305981535</v>
      </c>
      <c r="AW25" s="290">
        <f t="shared" si="118"/>
        <v>3.7208602759196685E-2</v>
      </c>
      <c r="AX25" s="291">
        <f t="shared" si="119"/>
        <v>2.927764270756783E-2</v>
      </c>
      <c r="AY25" s="291">
        <f t="shared" si="110"/>
        <v>0.12320622611872412</v>
      </c>
      <c r="AZ25" s="291">
        <f t="shared" si="111"/>
        <v>1.914232060700316E-2</v>
      </c>
      <c r="BA25" s="291">
        <f t="shared" si="120"/>
        <v>-1.7063523214959075E-2</v>
      </c>
      <c r="BB25" s="289">
        <f t="shared" si="121"/>
        <v>8.2265755833238474E-2</v>
      </c>
      <c r="BC25" s="289">
        <f t="shared" si="122"/>
        <v>0.32749762097201374</v>
      </c>
      <c r="BD25" s="289">
        <f t="shared" si="123"/>
        <v>2.9178910156828497E-3</v>
      </c>
      <c r="BE25" s="289">
        <f t="shared" si="124"/>
        <v>0.14955663597529179</v>
      </c>
      <c r="BF25" s="289">
        <f t="shared" si="125"/>
        <v>2.9949273455599945E-2</v>
      </c>
      <c r="BG25" s="289">
        <f t="shared" si="126"/>
        <v>2.9924787935382113E-2</v>
      </c>
      <c r="BH25" s="289">
        <f t="shared" si="127"/>
        <v>5.1238447865178172E-2</v>
      </c>
      <c r="BI25" s="289">
        <f t="shared" si="128"/>
        <v>4.1844326590687153E-2</v>
      </c>
      <c r="BJ25" s="489" t="s">
        <v>46</v>
      </c>
      <c r="BK25" s="230">
        <v>8.830125565858431</v>
      </c>
      <c r="BL25" s="230">
        <v>7.5373983180885213</v>
      </c>
      <c r="BM25" s="230">
        <v>10.944094659360154</v>
      </c>
      <c r="BN25" s="230">
        <v>22.225699388335112</v>
      </c>
      <c r="BO25" s="230">
        <v>12.374716079258608</v>
      </c>
      <c r="BP25" s="230">
        <v>13.703692594302098</v>
      </c>
      <c r="BQ25" s="230">
        <v>28.734402283795056</v>
      </c>
      <c r="BR25" s="230">
        <v>18.906932012950065</v>
      </c>
      <c r="BS25" s="230">
        <v>22.720207973641568</v>
      </c>
      <c r="BT25" s="230">
        <v>16.329315196820748</v>
      </c>
      <c r="BU25" s="230">
        <v>19.27309859790952</v>
      </c>
      <c r="BV25" s="230">
        <v>22.280073289245479</v>
      </c>
      <c r="BW25" s="230">
        <v>19.434260880787999</v>
      </c>
      <c r="BX25" s="230">
        <v>20.331920100772223</v>
      </c>
      <c r="BY25" s="230">
        <v>23.50348605972875</v>
      </c>
      <c r="BZ25" s="230">
        <v>21.631505318026321</v>
      </c>
      <c r="CA25" s="230">
        <v>20.058336103849335</v>
      </c>
      <c r="CB25" s="230">
        <v>20.148959272033281</v>
      </c>
      <c r="CC25" s="230">
        <v>24.037183042087719</v>
      </c>
      <c r="CD25" s="230">
        <v>27.462004016996143</v>
      </c>
      <c r="CE25" s="230">
        <v>23.040573119545893</v>
      </c>
      <c r="CF25" s="230">
        <v>27.668967738929748</v>
      </c>
      <c r="CG25" s="230">
        <v>20.281465039567106</v>
      </c>
      <c r="CH25" s="230">
        <v>20.232724470733039</v>
      </c>
      <c r="CI25" s="230">
        <v>16.859828121919197</v>
      </c>
      <c r="CJ25" s="230">
        <v>13.967234564480277</v>
      </c>
      <c r="CK25" s="230">
        <v>13.684588250738994</v>
      </c>
      <c r="CL25" s="230">
        <v>17.113083137871094</v>
      </c>
      <c r="CM25" s="230">
        <v>15.958250062229727</v>
      </c>
      <c r="CN25" s="230">
        <v>24.602720597051857</v>
      </c>
      <c r="CO25" s="230">
        <v>24.372243836886739</v>
      </c>
      <c r="CP25" s="230">
        <v>19.663268076063648</v>
      </c>
      <c r="CQ25" s="230">
        <v>20.505083830248029</v>
      </c>
      <c r="CR25" s="230">
        <v>18.688701626863857</v>
      </c>
      <c r="CS25" s="230">
        <v>15.498766106788963</v>
      </c>
      <c r="CT25" s="230">
        <v>17.793736609177</v>
      </c>
      <c r="CU25" s="230">
        <v>17.218157027468155</v>
      </c>
      <c r="CV25" s="230">
        <v>21.337102485169289</v>
      </c>
      <c r="CW25" s="230">
        <v>21.688083566270894</v>
      </c>
      <c r="CX25" s="230">
        <v>20.097524500901851</v>
      </c>
      <c r="CY25" s="230">
        <v>28.921037024757673</v>
      </c>
      <c r="CZ25" s="230">
        <v>23.935783064714332</v>
      </c>
      <c r="DA25" s="230">
        <v>24.730327814954119</v>
      </c>
      <c r="DB25" s="230">
        <v>28.224218339667598</v>
      </c>
      <c r="DC25" s="230">
        <v>31.569927738026255</v>
      </c>
      <c r="DD25" s="230">
        <v>30.429545383798004</v>
      </c>
      <c r="DE25" s="230">
        <v>20.252073741777718</v>
      </c>
      <c r="DF25" s="230">
        <v>25.509197206372896</v>
      </c>
      <c r="DG25" s="230">
        <v>27.989577812315659</v>
      </c>
      <c r="DH25" s="230">
        <v>29.47971661023762</v>
      </c>
      <c r="DI25" s="230">
        <v>31.983365326930308</v>
      </c>
      <c r="DJ25" s="230">
        <v>31.956668231438282</v>
      </c>
      <c r="DK25" s="230">
        <v>32.792115871101636</v>
      </c>
      <c r="DL25" s="230">
        <v>37.349971375790957</v>
      </c>
      <c r="DM25" s="230">
        <v>39.177865170809305</v>
      </c>
      <c r="DN25" s="230">
        <v>43.164059933495039</v>
      </c>
      <c r="DO25" s="230">
        <v>44.689223361282693</v>
      </c>
      <c r="DP25" s="230">
        <v>31.610095845005084</v>
      </c>
      <c r="DQ25" s="230">
        <v>40.051766425080437</v>
      </c>
      <c r="DR25" s="230">
        <v>31.347778512234797</v>
      </c>
      <c r="DS25" s="230">
        <v>33.211186792081989</v>
      </c>
      <c r="DT25" s="230">
        <v>36.597554152382628</v>
      </c>
      <c r="DU25" s="230">
        <v>40.790712637001967</v>
      </c>
      <c r="DV25" s="230">
        <v>34.248209749084232</v>
      </c>
      <c r="DW25" s="230">
        <v>37.896159659710413</v>
      </c>
      <c r="DX25" s="230">
        <v>65.424783951695844</v>
      </c>
      <c r="DY25" s="230">
        <v>39.788224454902263</v>
      </c>
      <c r="DZ25" s="230">
        <v>47.240388009401556</v>
      </c>
      <c r="EA25" s="230">
        <v>42.465771683515491</v>
      </c>
      <c r="EB25" s="230">
        <v>34.168118462608142</v>
      </c>
      <c r="EC25" s="230">
        <v>45.938108589850096</v>
      </c>
      <c r="ED25" s="230">
        <v>39.490637564784713</v>
      </c>
      <c r="EE25" s="230">
        <v>39.26528004631556</v>
      </c>
      <c r="EF25" s="230">
        <v>36.631706152298406</v>
      </c>
      <c r="EG25" s="230">
        <v>38.012682683550473</v>
      </c>
      <c r="EH25" s="230">
        <v>28.409226906284726</v>
      </c>
      <c r="EI25" s="230">
        <v>41.409143941152387</v>
      </c>
      <c r="EJ25" s="230">
        <v>59.121579097863354</v>
      </c>
      <c r="EK25" s="230">
        <v>40.997680261314976</v>
      </c>
      <c r="EL25" s="230">
        <v>45.30896663959669</v>
      </c>
      <c r="EM25" s="230">
        <v>40.797326920689066</v>
      </c>
      <c r="EN25" s="230">
        <v>40.164991780357077</v>
      </c>
      <c r="EO25" s="230">
        <v>40.739892351350612</v>
      </c>
      <c r="EP25" s="230">
        <v>44.463022837035808</v>
      </c>
      <c r="EQ25" s="230">
        <v>42.062719096427003</v>
      </c>
      <c r="ER25" s="230">
        <v>40.810606922448493</v>
      </c>
      <c r="ES25" s="230">
        <v>43.008606316058454</v>
      </c>
      <c r="ET25" s="230">
        <v>45.004490159804547</v>
      </c>
      <c r="EU25" s="230">
        <v>55.594469651169192</v>
      </c>
      <c r="EV25" s="230">
        <v>75.90038423700291</v>
      </c>
      <c r="EW25" s="230">
        <v>62.898383472907788</v>
      </c>
      <c r="EX25" s="230">
        <v>63.671412832919074</v>
      </c>
      <c r="EY25" s="230">
        <v>53.285579638759316</v>
      </c>
      <c r="EZ25" s="230">
        <v>51.61421712817809</v>
      </c>
      <c r="FA25" s="230">
        <v>45.252084845678887</v>
      </c>
      <c r="FB25" s="230">
        <v>46.311657703948164</v>
      </c>
      <c r="FC25" s="230">
        <v>45.864804198653538</v>
      </c>
      <c r="FD25" s="230">
        <v>47.149387801678849</v>
      </c>
      <c r="FE25" s="230">
        <v>54.684920575037715</v>
      </c>
      <c r="FF25" s="230">
        <v>51.378687672232196</v>
      </c>
      <c r="FG25" s="230">
        <v>67.410246516173416</v>
      </c>
      <c r="FH25" s="230">
        <v>104.90020210641536</v>
      </c>
      <c r="FI25" s="230">
        <v>62.095753199679621</v>
      </c>
      <c r="FJ25" s="230">
        <v>63.478635745605359</v>
      </c>
      <c r="FK25" s="230">
        <v>67.572530083695796</v>
      </c>
      <c r="FL25" s="230">
        <v>62.86653063006991</v>
      </c>
      <c r="FM25" s="230">
        <v>56.252932484426488</v>
      </c>
      <c r="FN25" s="230">
        <v>54.710671488175272</v>
      </c>
      <c r="FO25" s="230">
        <v>57.368105206414619</v>
      </c>
      <c r="FP25" s="230">
        <v>54.312167155426259</v>
      </c>
      <c r="FQ25" s="230">
        <v>53.095997960616153</v>
      </c>
      <c r="FR25" s="230">
        <v>14.55739665967654</v>
      </c>
      <c r="FS25" s="230">
        <v>58.9010821673427</v>
      </c>
      <c r="FT25" s="230">
        <v>66.477177204269765</v>
      </c>
      <c r="FU25" s="230">
        <v>75.474735507336504</v>
      </c>
      <c r="FV25" s="230">
        <v>90.299373196482165</v>
      </c>
      <c r="FW25" s="230">
        <v>101.51958614920403</v>
      </c>
      <c r="FX25" s="230">
        <v>121.51856300292232</v>
      </c>
      <c r="FY25" s="230">
        <v>75.207182022396282</v>
      </c>
      <c r="FZ25" s="230">
        <v>82.914584140770927</v>
      </c>
      <c r="GA25" s="230">
        <v>47.377437876372177</v>
      </c>
      <c r="GB25" s="230">
        <v>63.23097421896243</v>
      </c>
      <c r="GC25" s="230">
        <v>85.033559492932142</v>
      </c>
      <c r="GD25" s="230">
        <v>75.356387474975051</v>
      </c>
      <c r="GE25" s="230">
        <v>73.608227406878598</v>
      </c>
      <c r="GF25" s="230">
        <v>72.076732779636103</v>
      </c>
      <c r="GG25" s="230">
        <v>57.780456843491272</v>
      </c>
      <c r="GH25" s="230">
        <v>87.174320095453879</v>
      </c>
      <c r="GI25" s="230">
        <v>76.689152261343338</v>
      </c>
      <c r="GJ25" s="230">
        <v>80.720372591454989</v>
      </c>
      <c r="GK25" s="230">
        <v>68.320966050317253</v>
      </c>
      <c r="GL25" s="230">
        <v>71.676608991781848</v>
      </c>
      <c r="GM25" s="230">
        <v>63.123373589751282</v>
      </c>
      <c r="GN25" s="230">
        <v>74.306009898237392</v>
      </c>
      <c r="GO25" s="230">
        <v>73.688862750412298</v>
      </c>
      <c r="GP25" s="230">
        <v>80.764023967432109</v>
      </c>
      <c r="GQ25" s="230">
        <v>63.185013738292383</v>
      </c>
      <c r="GR25" s="230">
        <v>62.431227528475517</v>
      </c>
      <c r="GS25" s="230">
        <v>83.838147920140969</v>
      </c>
      <c r="GT25" s="230">
        <v>94.395113199936745</v>
      </c>
      <c r="GU25" s="230">
        <v>81.647434549301693</v>
      </c>
      <c r="GV25" s="230">
        <v>78.918492732190629</v>
      </c>
      <c r="GW25" s="230">
        <v>81.562914476586755</v>
      </c>
      <c r="GX25" s="230">
        <v>78.266851675608777</v>
      </c>
      <c r="GY25" s="230">
        <v>71.103231767565262</v>
      </c>
      <c r="GZ25" s="230">
        <v>89.775503854686832</v>
      </c>
      <c r="HA25" s="230">
        <v>87.721736914360079</v>
      </c>
      <c r="HB25" s="230">
        <v>78.310553479818765</v>
      </c>
      <c r="HC25" s="230">
        <v>79.654716977983966</v>
      </c>
      <c r="HD25" s="230">
        <v>92.642513526212028</v>
      </c>
      <c r="HE25" s="230">
        <v>93.332356061390485</v>
      </c>
      <c r="HF25" s="230">
        <v>98.606243570591118</v>
      </c>
      <c r="HG25" s="230">
        <v>94.857003799665677</v>
      </c>
      <c r="HH25" s="230">
        <v>87.64241484876699</v>
      </c>
      <c r="HI25" s="230">
        <v>65.039242981809522</v>
      </c>
      <c r="HJ25" s="230">
        <v>87.244417962413777</v>
      </c>
      <c r="HK25" s="230">
        <v>77.882795958712848</v>
      </c>
      <c r="HL25" s="230">
        <v>88.909522835021178</v>
      </c>
      <c r="HM25" s="230">
        <v>103.40207874720464</v>
      </c>
      <c r="HN25" s="230">
        <v>123.28398788013043</v>
      </c>
      <c r="HO25" s="230">
        <v>106.86560422367307</v>
      </c>
      <c r="HP25" s="230">
        <v>104.9824130140495</v>
      </c>
      <c r="HQ25" s="230">
        <v>107.12646907237702</v>
      </c>
      <c r="HR25" s="230">
        <v>104.58418499935343</v>
      </c>
      <c r="HS25" s="230">
        <v>96.020506143376394</v>
      </c>
      <c r="HT25" s="230">
        <v>94.311232381579103</v>
      </c>
      <c r="HU25" s="230">
        <v>88.534568673578391</v>
      </c>
      <c r="HV25" s="230">
        <v>104.09663607094383</v>
      </c>
      <c r="HW25" s="230">
        <v>90.31351851901978</v>
      </c>
      <c r="HX25" s="230">
        <v>112.01312177930517</v>
      </c>
      <c r="HY25" s="230">
        <v>99.610538260002883</v>
      </c>
      <c r="HZ25" s="230">
        <v>124.18135219390881</v>
      </c>
      <c r="IA25" s="230">
        <v>109.01234327183745</v>
      </c>
      <c r="IB25" s="230">
        <v>98.024327178242984</v>
      </c>
      <c r="IC25" s="230">
        <v>112.00515270243498</v>
      </c>
      <c r="ID25" s="230">
        <v>123.57707044467612</v>
      </c>
      <c r="IE25" s="230">
        <v>107.03694566166452</v>
      </c>
      <c r="IF25" s="737">
        <v>100.22903844267516</v>
      </c>
      <c r="IG25" s="737">
        <v>89.755720759821216</v>
      </c>
      <c r="IH25" s="737">
        <v>102.82950918224121</v>
      </c>
    </row>
    <row r="26" spans="1:242" ht="70.75">
      <c r="A26" s="150" t="s">
        <v>50</v>
      </c>
      <c r="B26" s="288"/>
      <c r="C26" s="288"/>
      <c r="D26" s="288"/>
      <c r="E26" s="288"/>
      <c r="F26" s="288">
        <f t="shared" si="117"/>
        <v>0.27469802755581507</v>
      </c>
      <c r="G26" s="288">
        <f t="shared" si="131"/>
        <v>0.17951450398582813</v>
      </c>
      <c r="H26" s="288">
        <f t="shared" si="129"/>
        <v>0.13574733788052917</v>
      </c>
      <c r="I26" s="288">
        <f t="shared" si="130"/>
        <v>9.9360369163060458E-2</v>
      </c>
      <c r="J26" s="288">
        <f t="shared" si="71"/>
        <v>9.5583610667977492E-2</v>
      </c>
      <c r="K26" s="288">
        <f t="shared" si="72"/>
        <v>6.969231190428693E-2</v>
      </c>
      <c r="L26" s="288">
        <f t="shared" si="73"/>
        <v>6.2386987065549349E-2</v>
      </c>
      <c r="M26" s="288">
        <f t="shared" si="74"/>
        <v>8.9039510045559878E-2</v>
      </c>
      <c r="N26" s="288">
        <f t="shared" si="75"/>
        <v>8.6484102634290405E-2</v>
      </c>
      <c r="O26" s="288">
        <f t="shared" si="76"/>
        <v>9.3872029250457123E-2</v>
      </c>
      <c r="P26" s="288">
        <f t="shared" si="77"/>
        <v>8.1429119800682459E-2</v>
      </c>
      <c r="Q26" s="288">
        <f t="shared" si="78"/>
        <v>8.502415790249751E-2</v>
      </c>
      <c r="R26" s="288">
        <f t="shared" si="79"/>
        <v>7.5002012044271815E-2</v>
      </c>
      <c r="S26" s="288">
        <f t="shared" si="80"/>
        <v>9.2210553056081057E-2</v>
      </c>
      <c r="T26" s="288">
        <f t="shared" si="81"/>
        <v>8.3605690022368728E-2</v>
      </c>
      <c r="U26" s="288">
        <f t="shared" si="82"/>
        <v>6.9566206726545232E-2</v>
      </c>
      <c r="V26" s="288">
        <f t="shared" si="83"/>
        <v>0.16270144818090371</v>
      </c>
      <c r="W26" s="288">
        <f t="shared" si="84"/>
        <v>0.12680827883376522</v>
      </c>
      <c r="X26" s="288">
        <f t="shared" si="85"/>
        <v>0.13743722863455865</v>
      </c>
      <c r="Y26" s="288">
        <f t="shared" si="86"/>
        <v>0.12139585734125213</v>
      </c>
      <c r="Z26" s="288">
        <f t="shared" si="87"/>
        <v>4.9576605602688062E-2</v>
      </c>
      <c r="AA26" s="288">
        <f t="shared" si="88"/>
        <v>6.2627304433686248E-2</v>
      </c>
      <c r="AB26" s="288">
        <f t="shared" si="89"/>
        <v>0.11517278956853083</v>
      </c>
      <c r="AC26" s="288">
        <f t="shared" si="90"/>
        <v>8.8167145650139389E-2</v>
      </c>
      <c r="AD26" s="288">
        <f t="shared" si="91"/>
        <v>0.11007803072692868</v>
      </c>
      <c r="AE26" s="288">
        <f t="shared" si="92"/>
        <v>9.2803780108287492E-2</v>
      </c>
      <c r="AF26" s="288">
        <f t="shared" si="93"/>
        <v>0.10736750360510094</v>
      </c>
      <c r="AG26" s="288">
        <f t="shared" si="94"/>
        <v>8.3999094412281039E-2</v>
      </c>
      <c r="AH26" s="288">
        <f t="shared" si="95"/>
        <v>7.6382848991335184E-2</v>
      </c>
      <c r="AI26" s="288">
        <f t="shared" si="96"/>
        <v>8.7874422340927349E-2</v>
      </c>
      <c r="AJ26" s="288">
        <f t="shared" si="97"/>
        <v>6.4917923165749514E-2</v>
      </c>
      <c r="AK26" s="288">
        <f t="shared" si="98"/>
        <v>6.1069562178621473E-2</v>
      </c>
      <c r="AL26" s="288">
        <f t="shared" si="99"/>
        <v>4.4907588666585285E-2</v>
      </c>
      <c r="AM26" s="288">
        <f t="shared" si="100"/>
        <v>-6.4231951024082634E-2</v>
      </c>
      <c r="AN26" s="288">
        <f t="shared" si="101"/>
        <v>2.1989340331205254E-2</v>
      </c>
      <c r="AO26" s="288">
        <f t="shared" si="102"/>
        <v>7.897904784481824E-2</v>
      </c>
      <c r="AP26" s="288">
        <f t="shared" si="103"/>
        <v>6.6833736255599074E-2</v>
      </c>
      <c r="AQ26" s="288">
        <f t="shared" si="104"/>
        <v>0.24528492039057959</v>
      </c>
      <c r="AR26" s="288">
        <f t="shared" si="105"/>
        <v>0.12679785948603151</v>
      </c>
      <c r="AS26" s="288">
        <f t="shared" si="106"/>
        <v>0.10850976099701226</v>
      </c>
      <c r="AT26" s="288">
        <f t="shared" si="107"/>
        <v>0.15099838608399985</v>
      </c>
      <c r="AU26" s="288">
        <f t="shared" si="108"/>
        <v>0.10608876584458793</v>
      </c>
      <c r="AV26" s="288">
        <f t="shared" si="109"/>
        <v>0.11817092219734815</v>
      </c>
      <c r="AW26" s="288">
        <f t="shared" si="118"/>
        <v>9.6525701565566502E-2</v>
      </c>
      <c r="AX26" s="289">
        <f t="shared" si="119"/>
        <v>0.13617888540467837</v>
      </c>
      <c r="AY26" s="289">
        <f t="shared" si="110"/>
        <v>4.6122851263692421E-2</v>
      </c>
      <c r="AZ26" s="289">
        <f t="shared" si="111"/>
        <v>-0.12942453081563088</v>
      </c>
      <c r="BA26" s="289">
        <f t="shared" si="120"/>
        <v>0.1006886652776311</v>
      </c>
      <c r="BB26" s="289">
        <f t="shared" si="121"/>
        <v>6.6648473198640978E-2</v>
      </c>
      <c r="BC26" s="289">
        <f t="shared" si="122"/>
        <v>0.17746346877206842</v>
      </c>
      <c r="BD26" s="289">
        <f t="shared" si="123"/>
        <v>0.49402134788370899</v>
      </c>
      <c r="BE26" s="289">
        <f t="shared" si="124"/>
        <v>0.17729403769871932</v>
      </c>
      <c r="BF26" s="289">
        <f t="shared" si="125"/>
        <v>0.15645855850668511</v>
      </c>
      <c r="BG26" s="289">
        <f t="shared" si="126"/>
        <v>5.36227228227244E-2</v>
      </c>
      <c r="BH26" s="289">
        <f t="shared" si="127"/>
        <v>9.9308038968643375E-2</v>
      </c>
      <c r="BI26" s="289">
        <f t="shared" si="128"/>
        <v>0.12250695945433332</v>
      </c>
      <c r="BJ26" s="489" t="s">
        <v>48</v>
      </c>
      <c r="BK26" s="230">
        <v>19.353873942908496</v>
      </c>
      <c r="BL26" s="230">
        <v>23.15325951465335</v>
      </c>
      <c r="BM26" s="230">
        <v>27.03571812400865</v>
      </c>
      <c r="BN26" s="230">
        <v>19.244003151230164</v>
      </c>
      <c r="BO26" s="230">
        <v>36.658255654705087</v>
      </c>
      <c r="BP26" s="230">
        <v>25.50235063624422</v>
      </c>
      <c r="BQ26" s="230">
        <v>28.21589121315834</v>
      </c>
      <c r="BR26" s="230">
        <v>30.921928418933447</v>
      </c>
      <c r="BS26" s="230">
        <v>36.029044389191128</v>
      </c>
      <c r="BT26" s="230">
        <v>29.349436210229911</v>
      </c>
      <c r="BU26" s="230">
        <v>40.772782814288277</v>
      </c>
      <c r="BV26" s="230">
        <v>45.310714488144065</v>
      </c>
      <c r="BW26" s="230">
        <v>38.985372617960287</v>
      </c>
      <c r="BX26" s="230">
        <v>34.873525233783894</v>
      </c>
      <c r="BY26" s="230">
        <v>34.009565642635252</v>
      </c>
      <c r="BZ26" s="230">
        <v>31.025367749635489</v>
      </c>
      <c r="CA26" s="230">
        <v>58.929333105443639</v>
      </c>
      <c r="CB26" s="230">
        <v>59.708611793737759</v>
      </c>
      <c r="CC26" s="230">
        <v>38.64182541081</v>
      </c>
      <c r="CD26" s="230">
        <v>40.62593112199626</v>
      </c>
      <c r="CE26" s="230">
        <v>36.786884874230942</v>
      </c>
      <c r="CF26" s="230">
        <v>30.516210422345658</v>
      </c>
      <c r="CG26" s="230">
        <v>36.91497813867543</v>
      </c>
      <c r="CH26" s="230">
        <v>45.198163921058935</v>
      </c>
      <c r="CI26" s="230">
        <v>36.709707342515422</v>
      </c>
      <c r="CJ26" s="230">
        <v>32.313267810138079</v>
      </c>
      <c r="CK26" s="230">
        <v>31.266011581165106</v>
      </c>
      <c r="CL26" s="230">
        <v>32.680932995949469</v>
      </c>
      <c r="CM26" s="230">
        <v>71.888726972673211</v>
      </c>
      <c r="CN26" s="230">
        <v>35.739628645257959</v>
      </c>
      <c r="CO26" s="230">
        <v>49.645519186165274</v>
      </c>
      <c r="CP26" s="230">
        <v>37.307833213310637</v>
      </c>
      <c r="CQ26" s="230">
        <v>42.663632341318298</v>
      </c>
      <c r="CR26" s="230">
        <v>32.343281294694108</v>
      </c>
      <c r="CS26" s="230">
        <v>52.302248524455479</v>
      </c>
      <c r="CT26" s="230">
        <v>48.123942710190718</v>
      </c>
      <c r="CU26" s="230">
        <v>45.906696538613836</v>
      </c>
      <c r="CV26" s="230">
        <v>47.12599434870264</v>
      </c>
      <c r="CW26" s="230">
        <v>52.667233934860072</v>
      </c>
      <c r="CX26" s="230">
        <v>46.448011170785136</v>
      </c>
      <c r="CY26" s="230">
        <v>56.26349253077035</v>
      </c>
      <c r="CZ26" s="230">
        <v>56.763002666595739</v>
      </c>
      <c r="DA26" s="230">
        <v>58.29422633403474</v>
      </c>
      <c r="DB26" s="230">
        <v>63.927114239104348</v>
      </c>
      <c r="DC26" s="230">
        <v>52.033735028695254</v>
      </c>
      <c r="DD26" s="230">
        <v>59.901019667945178</v>
      </c>
      <c r="DE26" s="230">
        <v>46.553594321812611</v>
      </c>
      <c r="DF26" s="230">
        <v>57.262512802421142</v>
      </c>
      <c r="DG26" s="230">
        <v>62.946852395301072</v>
      </c>
      <c r="DH26" s="230">
        <v>53.311451942652049</v>
      </c>
      <c r="DI26" s="230">
        <v>61.207678156295295</v>
      </c>
      <c r="DJ26" s="230">
        <v>72.588684308926389</v>
      </c>
      <c r="DK26" s="230">
        <v>52.911093496877832</v>
      </c>
      <c r="DL26" s="230">
        <v>78.998707081964682</v>
      </c>
      <c r="DM26" s="230">
        <v>68.316586355424036</v>
      </c>
      <c r="DN26" s="230">
        <v>62.766235532883528</v>
      </c>
      <c r="DO26" s="230">
        <v>56.637053222476688</v>
      </c>
      <c r="DP26" s="230">
        <v>57.417403820933522</v>
      </c>
      <c r="DQ26" s="230">
        <v>56.032495890705171</v>
      </c>
      <c r="DR26" s="230">
        <v>77.503928360058026</v>
      </c>
      <c r="DS26" s="230">
        <v>56.29672174581453</v>
      </c>
      <c r="DT26" s="230">
        <v>58.821070179009375</v>
      </c>
      <c r="DU26" s="230">
        <v>53.92029691507441</v>
      </c>
      <c r="DV26" s="230">
        <v>55.118692476990276</v>
      </c>
      <c r="DW26" s="230">
        <v>62.634926537950889</v>
      </c>
      <c r="DX26" s="230">
        <v>65.994828942982409</v>
      </c>
      <c r="DY26" s="230">
        <v>57.142458864197003</v>
      </c>
      <c r="DZ26" s="230">
        <v>66.539895260723213</v>
      </c>
      <c r="EA26" s="230">
        <v>55.23553068472625</v>
      </c>
      <c r="EB26" s="230">
        <v>44.788694238901641</v>
      </c>
      <c r="EC26" s="230">
        <v>47.479188747317373</v>
      </c>
      <c r="ED26" s="230">
        <v>66.188308727352549</v>
      </c>
      <c r="EE26" s="230">
        <v>61.526855072836383</v>
      </c>
      <c r="EF26" s="230">
        <v>43.512443165002502</v>
      </c>
      <c r="EG26" s="230">
        <v>63.49520976013001</v>
      </c>
      <c r="EH26" s="230">
        <v>53.153983057299165</v>
      </c>
      <c r="EI26" s="230">
        <v>71.286324035503199</v>
      </c>
      <c r="EJ26" s="230">
        <v>63.052270895561314</v>
      </c>
      <c r="EK26" s="230">
        <v>85.107723660353841</v>
      </c>
      <c r="EL26" s="230">
        <v>63.790179370359162</v>
      </c>
      <c r="EM26" s="230">
        <v>58.149444080986598</v>
      </c>
      <c r="EN26" s="230">
        <v>85.637232704703351</v>
      </c>
      <c r="EO26" s="230">
        <v>58.727088610852356</v>
      </c>
      <c r="EP26" s="230">
        <v>85.355113167129431</v>
      </c>
      <c r="EQ26" s="230">
        <v>80.285484577261116</v>
      </c>
      <c r="ER26" s="230">
        <v>83.056373875773616</v>
      </c>
      <c r="ES26" s="230">
        <v>66.3223229403104</v>
      </c>
      <c r="ET26" s="230">
        <v>74.176879602109423</v>
      </c>
      <c r="EU26" s="230">
        <v>68.180404817479456</v>
      </c>
      <c r="EV26" s="230">
        <v>70.683137376751915</v>
      </c>
      <c r="EW26" s="230">
        <v>79.685283258412966</v>
      </c>
      <c r="EX26" s="230">
        <v>78.17500149104535</v>
      </c>
      <c r="EY26" s="230">
        <v>66.870525734856287</v>
      </c>
      <c r="EZ26" s="230">
        <v>70.779437217742583</v>
      </c>
      <c r="FA26" s="230">
        <v>71.972029647292288</v>
      </c>
      <c r="FB26" s="230">
        <v>63.787775896897855</v>
      </c>
      <c r="FC26" s="230">
        <v>63.83749942107773</v>
      </c>
      <c r="FD26" s="230">
        <v>98.2676899471426</v>
      </c>
      <c r="FE26" s="230">
        <v>73.010298928839603</v>
      </c>
      <c r="FF26" s="230">
        <v>82.715959827103049</v>
      </c>
      <c r="FG26" s="230">
        <v>85.061007016597017</v>
      </c>
      <c r="FH26" s="230">
        <v>93.703710275301191</v>
      </c>
      <c r="FI26" s="230">
        <v>105.32732910021399</v>
      </c>
      <c r="FJ26" s="230">
        <v>84.094701535832542</v>
      </c>
      <c r="FK26" s="230">
        <v>79.752780806542503</v>
      </c>
      <c r="FL26" s="230">
        <v>91.782879060668691</v>
      </c>
      <c r="FM26" s="230">
        <v>81.44659029381495</v>
      </c>
      <c r="FN26" s="230">
        <v>87.678896390950527</v>
      </c>
      <c r="FO26" s="230">
        <v>91.081327615804199</v>
      </c>
      <c r="FP26" s="230">
        <v>64.533113742179367</v>
      </c>
      <c r="FQ26" s="230">
        <v>57.327953084378876</v>
      </c>
      <c r="FR26" s="230">
        <v>9.7525329306647937</v>
      </c>
      <c r="FS26" s="230">
        <v>94.264620091651423</v>
      </c>
      <c r="FT26" s="230">
        <v>101.80627955224337</v>
      </c>
      <c r="FU26" s="230">
        <v>92.880540223779548</v>
      </c>
      <c r="FV26" s="230">
        <v>89.101545196255515</v>
      </c>
      <c r="FW26" s="230">
        <v>93.334901972505307</v>
      </c>
      <c r="FX26" s="230">
        <v>85.665446287708775</v>
      </c>
      <c r="FY26" s="230">
        <v>71.230410944785007</v>
      </c>
      <c r="FZ26" s="230">
        <v>103.40904060473363</v>
      </c>
      <c r="GA26" s="230">
        <v>50.461370702668724</v>
      </c>
      <c r="GB26" s="230">
        <v>79.417254549106829</v>
      </c>
      <c r="GC26" s="230">
        <v>93.561241591699172</v>
      </c>
      <c r="GD26" s="230">
        <v>92.035851029794458</v>
      </c>
      <c r="GE26" s="230">
        <v>100.99783680457141</v>
      </c>
      <c r="GF26" s="230">
        <v>134.65620645436277</v>
      </c>
      <c r="GG26" s="230">
        <v>68.259187400346235</v>
      </c>
      <c r="GH26" s="230">
        <v>114.71015712137867</v>
      </c>
      <c r="GI26" s="230">
        <v>96.969522998203871</v>
      </c>
      <c r="GJ26" s="230">
        <v>106.3897972379737</v>
      </c>
      <c r="GK26" s="230">
        <v>79.819715819336878</v>
      </c>
      <c r="GL26" s="230">
        <v>95.120441405038662</v>
      </c>
      <c r="GM26" s="230">
        <v>104.37532148885821</v>
      </c>
      <c r="GN26" s="230">
        <v>79.409975909491223</v>
      </c>
      <c r="GO26" s="230">
        <v>101.79092046719617</v>
      </c>
      <c r="GP26" s="230">
        <v>87.919728872636114</v>
      </c>
      <c r="GQ26" s="230">
        <v>91.943310487975666</v>
      </c>
      <c r="GR26" s="230">
        <v>110.03528961598359</v>
      </c>
      <c r="GS26" s="230">
        <v>113.74631342950099</v>
      </c>
      <c r="GT26" s="230">
        <v>161.18809279314434</v>
      </c>
      <c r="GU26" s="230">
        <v>157.46506060496051</v>
      </c>
      <c r="GV26" s="230">
        <v>106.80595135148691</v>
      </c>
      <c r="GW26" s="230">
        <v>61.645441058032489</v>
      </c>
      <c r="GX26" s="230">
        <v>65.367804099899928</v>
      </c>
      <c r="GY26" s="230">
        <v>53.357935921482834</v>
      </c>
      <c r="GZ26" s="230">
        <v>98.987493931124092</v>
      </c>
      <c r="HA26" s="230">
        <v>108.45762479574221</v>
      </c>
      <c r="HB26" s="230">
        <v>100.70373571771272</v>
      </c>
      <c r="HC26" s="230">
        <v>116.66109482441594</v>
      </c>
      <c r="HD26" s="230">
        <v>102.99074089718538</v>
      </c>
      <c r="HE26" s="230">
        <v>96.198042197403709</v>
      </c>
      <c r="HF26" s="230">
        <v>110.28915424528829</v>
      </c>
      <c r="HG26" s="230">
        <v>111.42187834874203</v>
      </c>
      <c r="HH26" s="230">
        <v>113.56487894015791</v>
      </c>
      <c r="HI26" s="230">
        <v>79.315839672517654</v>
      </c>
      <c r="HJ26" s="230">
        <v>118.91425396297328</v>
      </c>
      <c r="HK26" s="230">
        <v>92.511610923026723</v>
      </c>
      <c r="HL26" s="230">
        <v>76.244140782656856</v>
      </c>
      <c r="HM26" s="230">
        <v>87.949830600248418</v>
      </c>
      <c r="HN26" s="230">
        <v>88.35147841886652</v>
      </c>
      <c r="HO26" s="230">
        <v>72.771902091879568</v>
      </c>
      <c r="HP26" s="230">
        <v>104.11726650875474</v>
      </c>
      <c r="HQ26" s="230">
        <v>74.492595226643374</v>
      </c>
      <c r="HR26" s="230">
        <v>100.83290672083362</v>
      </c>
      <c r="HS26" s="230">
        <v>142.33824862371804</v>
      </c>
      <c r="HT26" s="230">
        <v>123.67928868916216</v>
      </c>
      <c r="HU26" s="230">
        <v>103.49464076885729</v>
      </c>
      <c r="HV26" s="230">
        <v>133.21609064535252</v>
      </c>
      <c r="HW26" s="230">
        <v>103.98673288918266</v>
      </c>
      <c r="HX26" s="230">
        <v>90.715674779346799</v>
      </c>
      <c r="HY26" s="230">
        <v>104.9126832453821</v>
      </c>
      <c r="HZ26" s="230">
        <v>89.618923508938678</v>
      </c>
      <c r="IA26" s="230">
        <v>77.39362159425302</v>
      </c>
      <c r="IB26" s="230">
        <v>109.85604773731202</v>
      </c>
      <c r="IC26" s="230">
        <v>78.310340373108218</v>
      </c>
      <c r="ID26" s="230">
        <v>148.15111490493956</v>
      </c>
      <c r="IE26" s="230">
        <v>170.86584627522078</v>
      </c>
      <c r="IF26" s="737">
        <v>120.1243732800932</v>
      </c>
      <c r="IG26" s="737">
        <v>105.15509559396763</v>
      </c>
      <c r="IH26" s="737">
        <v>139.7514625870769</v>
      </c>
    </row>
    <row r="27" spans="1:242" ht="42.75">
      <c r="A27" s="150" t="s">
        <v>52</v>
      </c>
      <c r="B27" s="288"/>
      <c r="C27" s="288"/>
      <c r="D27" s="288"/>
      <c r="E27" s="288"/>
      <c r="F27" s="288">
        <f t="shared" si="117"/>
        <v>0.25474568261032249</v>
      </c>
      <c r="G27" s="288">
        <f t="shared" si="131"/>
        <v>0.13545175260021458</v>
      </c>
      <c r="H27" s="288">
        <f t="shared" si="129"/>
        <v>0.16279835390946507</v>
      </c>
      <c r="I27" s="288">
        <f t="shared" si="130"/>
        <v>0.13088891172541373</v>
      </c>
      <c r="J27" s="288">
        <f t="shared" si="71"/>
        <v>7.6499044644713576E-2</v>
      </c>
      <c r="K27" s="288">
        <f t="shared" si="72"/>
        <v>0.14142340227861738</v>
      </c>
      <c r="L27" s="288">
        <f t="shared" si="73"/>
        <v>8.2037488747567888E-2</v>
      </c>
      <c r="M27" s="288">
        <f t="shared" si="74"/>
        <v>4.7496156180824922E-2</v>
      </c>
      <c r="N27" s="288">
        <f t="shared" si="75"/>
        <v>7.113570014979409E-2</v>
      </c>
      <c r="O27" s="288">
        <f t="shared" si="76"/>
        <v>8.3821518711690191E-2</v>
      </c>
      <c r="P27" s="288">
        <f t="shared" si="77"/>
        <v>2.7927151229298008E-2</v>
      </c>
      <c r="Q27" s="288">
        <f t="shared" si="78"/>
        <v>2.7416511673097776E-2</v>
      </c>
      <c r="R27" s="288">
        <f t="shared" si="79"/>
        <v>2.151788904200469E-2</v>
      </c>
      <c r="S27" s="288">
        <f t="shared" si="80"/>
        <v>-2.6610759587482158E-2</v>
      </c>
      <c r="T27" s="288">
        <f t="shared" si="81"/>
        <v>-1.8595270574567446E-2</v>
      </c>
      <c r="U27" s="288">
        <f t="shared" si="82"/>
        <v>3.6273367445158744E-3</v>
      </c>
      <c r="V27" s="288">
        <f t="shared" si="83"/>
        <v>4.0790223137109782E-2</v>
      </c>
      <c r="W27" s="288">
        <f t="shared" si="84"/>
        <v>0.11826949106659446</v>
      </c>
      <c r="X27" s="288">
        <f t="shared" si="85"/>
        <v>0.16164655963607832</v>
      </c>
      <c r="Y27" s="288">
        <f t="shared" si="86"/>
        <v>0.12877954226525201</v>
      </c>
      <c r="Z27" s="288">
        <f t="shared" si="87"/>
        <v>3.9464915180545068E-2</v>
      </c>
      <c r="AA27" s="288">
        <f t="shared" si="88"/>
        <v>3.8697227534748579E-2</v>
      </c>
      <c r="AB27" s="288">
        <f t="shared" si="89"/>
        <v>1.6295507215055904E-2</v>
      </c>
      <c r="AC27" s="288">
        <f t="shared" si="90"/>
        <v>1.38381608651168E-2</v>
      </c>
      <c r="AD27" s="288">
        <f t="shared" si="91"/>
        <v>2.8765123127406866E-2</v>
      </c>
      <c r="AE27" s="288">
        <f t="shared" si="92"/>
        <v>-1.4987224437840063E-2</v>
      </c>
      <c r="AF27" s="288">
        <f t="shared" si="93"/>
        <v>6.6215434653581706E-2</v>
      </c>
      <c r="AG27" s="288">
        <f t="shared" si="94"/>
        <v>9.1673325605328815E-2</v>
      </c>
      <c r="AH27" s="288">
        <f t="shared" si="95"/>
        <v>8.6223883277654068E-2</v>
      </c>
      <c r="AI27" s="288">
        <f t="shared" si="96"/>
        <v>9.0055285561314591E-2</v>
      </c>
      <c r="AJ27" s="288">
        <f t="shared" si="97"/>
        <v>2.7723733222552172E-2</v>
      </c>
      <c r="AK27" s="288">
        <f t="shared" si="98"/>
        <v>-1.7320031995169072E-2</v>
      </c>
      <c r="AL27" s="288">
        <f t="shared" si="99"/>
        <v>6.2788886905138508E-3</v>
      </c>
      <c r="AM27" s="288">
        <f t="shared" si="100"/>
        <v>-6.1736577718223273E-3</v>
      </c>
      <c r="AN27" s="288">
        <f t="shared" si="101"/>
        <v>7.8253222920480647E-2</v>
      </c>
      <c r="AO27" s="288">
        <f t="shared" si="102"/>
        <v>0.11140376332328961</v>
      </c>
      <c r="AP27" s="288">
        <f t="shared" si="103"/>
        <v>0.1006390703849005</v>
      </c>
      <c r="AQ27" s="288">
        <f t="shared" si="104"/>
        <v>0.2244296265552701</v>
      </c>
      <c r="AR27" s="288">
        <f t="shared" si="105"/>
        <v>0.1277792441079979</v>
      </c>
      <c r="AS27" s="288">
        <f t="shared" si="106"/>
        <v>0.2037982359712367</v>
      </c>
      <c r="AT27" s="288">
        <f t="shared" si="107"/>
        <v>0.21666027922959152</v>
      </c>
      <c r="AU27" s="288">
        <f t="shared" si="108"/>
        <v>0.11431306288796428</v>
      </c>
      <c r="AV27" s="288">
        <f t="shared" si="109"/>
        <v>0.12247526493954197</v>
      </c>
      <c r="AW27" s="288">
        <f t="shared" si="118"/>
        <v>5.5012869587184543E-2</v>
      </c>
      <c r="AX27" s="289">
        <f t="shared" si="119"/>
        <v>6.2288948460157423E-2</v>
      </c>
      <c r="AY27" s="289">
        <f t="shared" si="110"/>
        <v>4.0935159817465872E-2</v>
      </c>
      <c r="AZ27" s="289">
        <f t="shared" si="111"/>
        <v>6.4778471089952827E-2</v>
      </c>
      <c r="BA27" s="289">
        <f t="shared" si="120"/>
        <v>6.18348022860844E-2</v>
      </c>
      <c r="BB27" s="289">
        <f t="shared" si="121"/>
        <v>3.3798178553963831E-2</v>
      </c>
      <c r="BC27" s="289">
        <f t="shared" si="122"/>
        <v>0.10785327787260357</v>
      </c>
      <c r="BD27" s="289">
        <f t="shared" si="123"/>
        <v>0.1239882096146423</v>
      </c>
      <c r="BE27" s="289">
        <f t="shared" si="124"/>
        <v>0.13038895827425878</v>
      </c>
      <c r="BF27" s="289">
        <f t="shared" si="125"/>
        <v>0.12530221156073429</v>
      </c>
      <c r="BG27" s="289">
        <f t="shared" si="126"/>
        <v>4.1677941692183307E-2</v>
      </c>
      <c r="BH27" s="289">
        <f t="shared" si="127"/>
        <v>3.137044619692797E-2</v>
      </c>
      <c r="BI27" s="289">
        <f t="shared" si="128"/>
        <v>5.7979903235829688E-2</v>
      </c>
      <c r="BJ27" s="490" t="s">
        <v>360</v>
      </c>
      <c r="BK27" s="230">
        <v>24.727615088163073</v>
      </c>
      <c r="BL27" s="230">
        <v>22.628514645829874</v>
      </c>
      <c r="BM27" s="230">
        <v>26.722668554713721</v>
      </c>
      <c r="BN27" s="230">
        <v>27.368138157204783</v>
      </c>
      <c r="BO27" s="230">
        <v>26.81347318812395</v>
      </c>
      <c r="BP27" s="230">
        <v>29.287142743274359</v>
      </c>
      <c r="BQ27" s="230">
        <v>34.313557555169922</v>
      </c>
      <c r="BR27" s="230">
        <v>35.522394237443642</v>
      </c>
      <c r="BS27" s="230">
        <v>33.240549470372343</v>
      </c>
      <c r="BT27" s="230">
        <v>28.601946113666319</v>
      </c>
      <c r="BU27" s="230">
        <v>31.573527742016168</v>
      </c>
      <c r="BV27" s="230">
        <v>33.574634850794155</v>
      </c>
      <c r="BW27" s="230">
        <v>28.611404929646547</v>
      </c>
      <c r="BX27" s="230">
        <v>30.610241922589285</v>
      </c>
      <c r="BY27" s="230">
        <v>34.87162769800365</v>
      </c>
      <c r="BZ27" s="230">
        <v>30.48160202525812</v>
      </c>
      <c r="CA27" s="230">
        <v>32.183053843782353</v>
      </c>
      <c r="CB27" s="230">
        <v>37.098232979750385</v>
      </c>
      <c r="CC27" s="230">
        <v>35.817887648666115</v>
      </c>
      <c r="CD27" s="230">
        <v>38.280206624640236</v>
      </c>
      <c r="CE27" s="230">
        <v>36.116029528363036</v>
      </c>
      <c r="CF27" s="230">
        <v>36.340770996053358</v>
      </c>
      <c r="CG27" s="230">
        <v>34.494410116711968</v>
      </c>
      <c r="CH27" s="230">
        <v>36.718745282623459</v>
      </c>
      <c r="CI27" s="230">
        <v>31.463048771367045</v>
      </c>
      <c r="CJ27" s="230">
        <v>28.431309073382923</v>
      </c>
      <c r="CK27" s="230">
        <v>30.057468716704498</v>
      </c>
      <c r="CL27" s="230">
        <v>32.168298090853192</v>
      </c>
      <c r="CM27" s="230">
        <v>34.543974312448384</v>
      </c>
      <c r="CN27" s="230">
        <v>35.518610711051544</v>
      </c>
      <c r="CO27" s="230">
        <v>39.275274065760698</v>
      </c>
      <c r="CP27" s="230">
        <v>36.834899542860704</v>
      </c>
      <c r="CQ27" s="230">
        <v>39.81858845566525</v>
      </c>
      <c r="CR27" s="230">
        <v>33.356325377970393</v>
      </c>
      <c r="CS27" s="230">
        <v>31.561798810200674</v>
      </c>
      <c r="CT27" s="230">
        <v>38.762984592271302</v>
      </c>
      <c r="CU27" s="230">
        <v>33.817915597805744</v>
      </c>
      <c r="CV27" s="230">
        <v>34.314692613087551</v>
      </c>
      <c r="CW27" s="230">
        <v>34.945406462649451</v>
      </c>
      <c r="CX27" s="230">
        <v>33.567067798009973</v>
      </c>
      <c r="CY27" s="230">
        <v>38.066059030847768</v>
      </c>
      <c r="CZ27" s="230">
        <v>35.680923993272337</v>
      </c>
      <c r="DA27" s="230">
        <v>38.727419444185635</v>
      </c>
      <c r="DB27" s="230">
        <v>41.569604469925899</v>
      </c>
      <c r="DC27" s="230">
        <v>40.70279857349739</v>
      </c>
      <c r="DD27" s="230">
        <v>42.112918859830458</v>
      </c>
      <c r="DE27" s="230">
        <v>34.578782755255638</v>
      </c>
      <c r="DF27" s="230">
        <v>45.93957745279333</v>
      </c>
      <c r="DG27" s="230">
        <v>38.250316766142696</v>
      </c>
      <c r="DH27" s="230">
        <v>38.686557359151024</v>
      </c>
      <c r="DI27" s="230">
        <v>41.929039477174733</v>
      </c>
      <c r="DJ27" s="230">
        <v>39.218521169879303</v>
      </c>
      <c r="DK27" s="230">
        <v>40.584752550064081</v>
      </c>
      <c r="DL27" s="230">
        <v>46.969831689360248</v>
      </c>
      <c r="DM27" s="230">
        <v>46.867298124134528</v>
      </c>
      <c r="DN27" s="230">
        <v>48.003112747040852</v>
      </c>
      <c r="DO27" s="230">
        <v>47.502173852727736</v>
      </c>
      <c r="DP27" s="230">
        <v>45.37280519925779</v>
      </c>
      <c r="DQ27" s="230">
        <v>42.167401639876594</v>
      </c>
      <c r="DR27" s="230">
        <v>49.841149868319633</v>
      </c>
      <c r="DS27" s="230">
        <v>41.200332294057624</v>
      </c>
      <c r="DT27" s="230">
        <v>42.523053120733337</v>
      </c>
      <c r="DU27" s="230">
        <v>47.55098134318574</v>
      </c>
      <c r="DV27" s="230">
        <v>38.947242327566229</v>
      </c>
      <c r="DW27" s="230">
        <v>46.125726951284307</v>
      </c>
      <c r="DX27" s="230">
        <v>51.376126525591758</v>
      </c>
      <c r="DY27" s="230">
        <v>50.589909741314848</v>
      </c>
      <c r="DZ27" s="230">
        <v>53.323885912241252</v>
      </c>
      <c r="EA27" s="230">
        <v>47.97133112534727</v>
      </c>
      <c r="EB27" s="230">
        <v>43.31835036835129</v>
      </c>
      <c r="EC27" s="230">
        <v>43.485960587521006</v>
      </c>
      <c r="ED27" s="230">
        <v>49.001963714553412</v>
      </c>
      <c r="EE27" s="230">
        <v>47.652533836932719</v>
      </c>
      <c r="EF27" s="230">
        <v>42.004661090465589</v>
      </c>
      <c r="EG27" s="230">
        <v>48.588320499562187</v>
      </c>
      <c r="EH27" s="230">
        <v>42.27754076268473</v>
      </c>
      <c r="EI27" s="230">
        <v>51.157443978339963</v>
      </c>
      <c r="EJ27" s="230">
        <v>51.819912733856022</v>
      </c>
      <c r="EK27" s="230">
        <v>49.062886943730668</v>
      </c>
      <c r="EL27" s="230">
        <v>49.894218199136382</v>
      </c>
      <c r="EM27" s="230">
        <v>46.27564914204136</v>
      </c>
      <c r="EN27" s="230">
        <v>49.246142647786847</v>
      </c>
      <c r="EO27" s="230">
        <v>50.499325645394599</v>
      </c>
      <c r="EP27" s="230">
        <v>59.220302530268242</v>
      </c>
      <c r="EQ27" s="230">
        <v>59.975125913987725</v>
      </c>
      <c r="ER27" s="230">
        <v>57.93363854037414</v>
      </c>
      <c r="ES27" s="230">
        <v>60.190542135682591</v>
      </c>
      <c r="ET27" s="230">
        <v>55.623360350612749</v>
      </c>
      <c r="EU27" s="230">
        <v>62.787722533733181</v>
      </c>
      <c r="EV27" s="230">
        <v>65.31500537547943</v>
      </c>
      <c r="EW27" s="230">
        <v>65.633249043285076</v>
      </c>
      <c r="EX27" s="230">
        <v>69.084331155117695</v>
      </c>
      <c r="EY27" s="230">
        <v>63.268464442264595</v>
      </c>
      <c r="EZ27" s="230">
        <v>65.214245116092314</v>
      </c>
      <c r="FA27" s="230">
        <v>65.953967511748544</v>
      </c>
      <c r="FB27" s="230">
        <v>65.555165926013686</v>
      </c>
      <c r="FC27" s="230">
        <v>63.132153980332177</v>
      </c>
      <c r="FD27" s="230">
        <v>59.734645011730102</v>
      </c>
      <c r="FE27" s="230">
        <v>64.910203405198871</v>
      </c>
      <c r="FF27" s="230">
        <v>65.610055086735429</v>
      </c>
      <c r="FG27" s="230">
        <v>71.547032677934396</v>
      </c>
      <c r="FH27" s="230">
        <v>78.438509746629464</v>
      </c>
      <c r="FI27" s="230">
        <v>69.187522019025238</v>
      </c>
      <c r="FJ27" s="230">
        <v>72.52366287621399</v>
      </c>
      <c r="FK27" s="230">
        <v>68.372364512209941</v>
      </c>
      <c r="FL27" s="230">
        <v>70.389605622249931</v>
      </c>
      <c r="FM27" s="230">
        <v>69.634776528160657</v>
      </c>
      <c r="FN27" s="230">
        <v>69.930015811915339</v>
      </c>
      <c r="FO27" s="230">
        <v>67.974801432038575</v>
      </c>
      <c r="FP27" s="230">
        <v>61.558307341984623</v>
      </c>
      <c r="FQ27" s="230">
        <v>55.199755450890045</v>
      </c>
      <c r="FR27" s="230">
        <v>37.072692213868386</v>
      </c>
      <c r="FS27" s="230">
        <v>61.079269330212291</v>
      </c>
      <c r="FT27" s="230">
        <v>71.932829164218106</v>
      </c>
      <c r="FU27" s="230">
        <v>74.786576028427334</v>
      </c>
      <c r="FV27" s="230">
        <v>74.95547344884541</v>
      </c>
      <c r="FW27" s="230">
        <v>83.040515627762147</v>
      </c>
      <c r="FX27" s="230">
        <v>84.531132174490409</v>
      </c>
      <c r="FY27" s="230">
        <v>69.388741960186891</v>
      </c>
      <c r="FZ27" s="230">
        <v>78.343323281714163</v>
      </c>
      <c r="GA27" s="230">
        <v>55.562640577724089</v>
      </c>
      <c r="GB27" s="230">
        <v>59.538675091982462</v>
      </c>
      <c r="GC27" s="230">
        <v>78.927819966361483</v>
      </c>
      <c r="GD27" s="230">
        <v>75.059323774993388</v>
      </c>
      <c r="GE27" s="230">
        <v>74.008109306321458</v>
      </c>
      <c r="GF27" s="230">
        <v>76.077831178874106</v>
      </c>
      <c r="GG27" s="230">
        <v>68.57485691977584</v>
      </c>
      <c r="GH27" s="230">
        <v>80.108133058365297</v>
      </c>
      <c r="GI27" s="230">
        <v>79.952610834344156</v>
      </c>
      <c r="GJ27" s="230">
        <v>78.624347228572702</v>
      </c>
      <c r="GK27" s="230">
        <v>84.588180947360442</v>
      </c>
      <c r="GL27" s="230">
        <v>87.563499916504156</v>
      </c>
      <c r="GM27" s="230">
        <v>75.989965960931428</v>
      </c>
      <c r="GN27" s="230">
        <v>82.525540408652532</v>
      </c>
      <c r="GO27" s="230">
        <v>86.381124173656445</v>
      </c>
      <c r="GP27" s="230">
        <v>80.125277753117587</v>
      </c>
      <c r="GQ27" s="230">
        <v>68.612537641224819</v>
      </c>
      <c r="GR27" s="230">
        <v>79.65677553331308</v>
      </c>
      <c r="GS27" s="230">
        <v>96.201478739212135</v>
      </c>
      <c r="GT27" s="230">
        <v>98.894876519382365</v>
      </c>
      <c r="GU27" s="230">
        <v>91.312099349100606</v>
      </c>
      <c r="GV27" s="230">
        <v>90.178908792255982</v>
      </c>
      <c r="GW27" s="230">
        <v>83.748976995709143</v>
      </c>
      <c r="GX27" s="230">
        <v>86.179167915292837</v>
      </c>
      <c r="GY27" s="230">
        <v>77.890472388782271</v>
      </c>
      <c r="GZ27" s="230">
        <v>83.967129610254261</v>
      </c>
      <c r="HA27" s="230">
        <v>90.209024593536142</v>
      </c>
      <c r="HB27" s="230">
        <v>79.720274812291734</v>
      </c>
      <c r="HC27" s="230">
        <v>84.630298674907195</v>
      </c>
      <c r="HD27" s="230">
        <v>92.18365305458272</v>
      </c>
      <c r="HE27" s="230">
        <v>98.539432656710687</v>
      </c>
      <c r="HF27" s="230">
        <v>101.87541901581253</v>
      </c>
      <c r="HG27" s="230">
        <v>91.476125397828653</v>
      </c>
      <c r="HH27" s="230">
        <v>90.549724828610536</v>
      </c>
      <c r="HI27" s="230">
        <v>73.6350854276278</v>
      </c>
      <c r="HJ27" s="230">
        <v>91.483900697779532</v>
      </c>
      <c r="HK27" s="230">
        <v>82.986029567762657</v>
      </c>
      <c r="HL27" s="230">
        <v>91.859797625371399</v>
      </c>
      <c r="HM27" s="230">
        <v>97.957250956411272</v>
      </c>
      <c r="HN27" s="230">
        <v>130.52656818573581</v>
      </c>
      <c r="HO27" s="230">
        <v>105.16031911647214</v>
      </c>
      <c r="HP27" s="230">
        <v>104.86168812990287</v>
      </c>
      <c r="HQ27" s="230">
        <v>88.87569654152685</v>
      </c>
      <c r="HR27" s="230">
        <v>98.808955510363987</v>
      </c>
      <c r="HS27" s="230">
        <v>105.05803107801349</v>
      </c>
      <c r="HT27" s="230">
        <v>102.7116835424882</v>
      </c>
      <c r="HU27" s="230">
        <v>87.218621608708901</v>
      </c>
      <c r="HV27" s="230">
        <v>103.97535813724291</v>
      </c>
      <c r="HW27" s="230">
        <v>88.842795339597672</v>
      </c>
      <c r="HX27" s="230">
        <v>92.511731390141136</v>
      </c>
      <c r="HY27" s="230">
        <v>99.618805406836699</v>
      </c>
      <c r="HZ27" s="230">
        <v>136.4743888932183</v>
      </c>
      <c r="IA27" s="230">
        <v>107.04259615316506</v>
      </c>
      <c r="IB27" s="230">
        <v>107.2224342872299</v>
      </c>
      <c r="IC27" s="230">
        <v>92.485252265969734</v>
      </c>
      <c r="ID27" s="230">
        <v>109.83883179165383</v>
      </c>
      <c r="IE27" s="233">
        <v>105.41827977974475</v>
      </c>
      <c r="IF27" s="737">
        <v>105.00336946880118</v>
      </c>
      <c r="IG27" s="737">
        <v>91.513704305487565</v>
      </c>
      <c r="IH27" s="737">
        <v>109.68687407564525</v>
      </c>
    </row>
    <row r="28" spans="1:242" s="245" customFormat="1" ht="28.75">
      <c r="A28" s="153" t="s">
        <v>361</v>
      </c>
      <c r="B28" s="290"/>
      <c r="C28" s="290"/>
      <c r="D28" s="290"/>
      <c r="E28" s="290"/>
      <c r="F28" s="290">
        <f t="shared" si="117"/>
        <v>0.13983462671391589</v>
      </c>
      <c r="G28" s="290">
        <f t="shared" si="131"/>
        <v>0.12192380443071182</v>
      </c>
      <c r="H28" s="290">
        <f t="shared" si="129"/>
        <v>4.9194756007524543E-2</v>
      </c>
      <c r="I28" s="290">
        <f t="shared" si="130"/>
        <v>6.8380122171612712E-2</v>
      </c>
      <c r="J28" s="290">
        <f t="shared" si="71"/>
        <v>3.7552526749834891E-2</v>
      </c>
      <c r="K28" s="290">
        <f t="shared" si="72"/>
        <v>0.1319683816097843</v>
      </c>
      <c r="L28" s="290">
        <f t="shared" si="73"/>
        <v>9.7465561452680705E-2</v>
      </c>
      <c r="M28" s="290">
        <f t="shared" si="74"/>
        <v>2.9399383079855346E-2</v>
      </c>
      <c r="N28" s="290">
        <f t="shared" si="75"/>
        <v>0.14165061677926172</v>
      </c>
      <c r="O28" s="290">
        <f t="shared" si="76"/>
        <v>6.0012944580041916E-2</v>
      </c>
      <c r="P28" s="290">
        <f t="shared" si="77"/>
        <v>0.28615364552202305</v>
      </c>
      <c r="Q28" s="290">
        <f t="shared" si="78"/>
        <v>0.12348129972488664</v>
      </c>
      <c r="R28" s="290">
        <f t="shared" si="79"/>
        <v>6.2700264311976728E-2</v>
      </c>
      <c r="S28" s="290">
        <f t="shared" si="80"/>
        <v>0.10075771508441522</v>
      </c>
      <c r="T28" s="290">
        <f t="shared" si="81"/>
        <v>-3.4753439010376197E-2</v>
      </c>
      <c r="U28" s="290">
        <f t="shared" si="82"/>
        <v>0.11888058664301737</v>
      </c>
      <c r="V28" s="290">
        <f t="shared" si="83"/>
        <v>0.10815035588115762</v>
      </c>
      <c r="W28" s="290">
        <f t="shared" si="84"/>
        <v>0.10963934732994041</v>
      </c>
      <c r="X28" s="290">
        <f t="shared" si="85"/>
        <v>0.12533228286718923</v>
      </c>
      <c r="Y28" s="290">
        <f t="shared" si="86"/>
        <v>1.0085206687586279E-2</v>
      </c>
      <c r="Z28" s="290">
        <f t="shared" si="87"/>
        <v>0.14317558804365871</v>
      </c>
      <c r="AA28" s="290">
        <f t="shared" si="88"/>
        <v>0.14904072019042602</v>
      </c>
      <c r="AB28" s="290">
        <f t="shared" si="89"/>
        <v>9.5868247582504562E-3</v>
      </c>
      <c r="AC28" s="290">
        <f t="shared" si="90"/>
        <v>0.20741617341513008</v>
      </c>
      <c r="AD28" s="290">
        <f t="shared" si="91"/>
        <v>0.19029905997797325</v>
      </c>
      <c r="AE28" s="290">
        <f t="shared" si="92"/>
        <v>0.15817052745592042</v>
      </c>
      <c r="AF28" s="290">
        <f t="shared" si="93"/>
        <v>0.20163708620565446</v>
      </c>
      <c r="AG28" s="290">
        <f t="shared" si="94"/>
        <v>0.1315310541239445</v>
      </c>
      <c r="AH28" s="290">
        <f t="shared" si="95"/>
        <v>3.5658292486760779E-2</v>
      </c>
      <c r="AI28" s="290">
        <f t="shared" si="96"/>
        <v>0.15411629078076183</v>
      </c>
      <c r="AJ28" s="290">
        <f t="shared" si="97"/>
        <v>8.0301233277090711E-2</v>
      </c>
      <c r="AK28" s="290">
        <f t="shared" si="98"/>
        <v>0.14600223472144735</v>
      </c>
      <c r="AL28" s="290">
        <f t="shared" si="99"/>
        <v>4.2667711701483091E-2</v>
      </c>
      <c r="AM28" s="290">
        <f t="shared" si="100"/>
        <v>-0.24378031864087313</v>
      </c>
      <c r="AN28" s="290">
        <f t="shared" si="101"/>
        <v>-1.4675935493146941E-2</v>
      </c>
      <c r="AO28" s="290">
        <f t="shared" si="102"/>
        <v>-1.7930261535611391E-3</v>
      </c>
      <c r="AP28" s="290">
        <f t="shared" si="103"/>
        <v>5.7855037233649487E-3</v>
      </c>
      <c r="AQ28" s="290">
        <f t="shared" si="104"/>
        <v>0.46741413551228184</v>
      </c>
      <c r="AR28" s="290">
        <f t="shared" si="105"/>
        <v>0.10573678534233677</v>
      </c>
      <c r="AS28" s="290">
        <f t="shared" si="106"/>
        <v>0.11565042961120375</v>
      </c>
      <c r="AT28" s="290">
        <f t="shared" si="107"/>
        <v>0.20478576953477123</v>
      </c>
      <c r="AU28" s="290">
        <f t="shared" si="108"/>
        <v>8.2681477668145043E-4</v>
      </c>
      <c r="AV28" s="290">
        <f t="shared" si="109"/>
        <v>0.19124352167903824</v>
      </c>
      <c r="AW28" s="290">
        <f t="shared" si="118"/>
        <v>6.1369621606468527E-2</v>
      </c>
      <c r="AX28" s="291">
        <f t="shared" si="119"/>
        <v>6.0514429793297797E-2</v>
      </c>
      <c r="AY28" s="291">
        <f t="shared" si="110"/>
        <v>6.8051538075698526E-2</v>
      </c>
      <c r="AZ28" s="291">
        <f t="shared" si="111"/>
        <v>-6.9265639024285175E-4</v>
      </c>
      <c r="BA28" s="291">
        <f t="shared" si="120"/>
        <v>-4.7316634268278479E-3</v>
      </c>
      <c r="BB28" s="289">
        <f t="shared" si="121"/>
        <v>5.374543448154312E-2</v>
      </c>
      <c r="BC28" s="289">
        <f t="shared" si="122"/>
        <v>0.1622193097579081</v>
      </c>
      <c r="BD28" s="289">
        <f t="shared" si="123"/>
        <v>6.2313258995661425E-2</v>
      </c>
      <c r="BE28" s="289">
        <f t="shared" si="124"/>
        <v>8.8514005984173361E-2</v>
      </c>
      <c r="BF28" s="289">
        <f t="shared" si="125"/>
        <v>6.6236509574498559E-2</v>
      </c>
      <c r="BG28" s="289">
        <f t="shared" si="126"/>
        <v>4.129378496387015E-2</v>
      </c>
      <c r="BH28" s="289">
        <f t="shared" si="127"/>
        <v>7.5985498115481276E-2</v>
      </c>
      <c r="BI28" s="289">
        <f t="shared" si="128"/>
        <v>7.8756118166998457E-2</v>
      </c>
      <c r="BJ28" s="489" t="s">
        <v>50</v>
      </c>
      <c r="BK28" s="230">
        <v>25.074408733993415</v>
      </c>
      <c r="BL28" s="230">
        <v>22.945208475155571</v>
      </c>
      <c r="BM28" s="230">
        <v>26.011068179592563</v>
      </c>
      <c r="BN28" s="230">
        <v>26.591616228753256</v>
      </c>
      <c r="BO28" s="230">
        <v>29.55017084353495</v>
      </c>
      <c r="BP28" s="230">
        <v>29.060812467634427</v>
      </c>
      <c r="BQ28" s="230">
        <v>29.330843956986765</v>
      </c>
      <c r="BR28" s="230">
        <v>30.371664020749474</v>
      </c>
      <c r="BS28" s="230">
        <v>30.25256716300019</v>
      </c>
      <c r="BT28" s="230">
        <v>30.901114408169555</v>
      </c>
      <c r="BU28" s="230">
        <v>30.363016724147215</v>
      </c>
      <c r="BV28" s="230">
        <v>34.476378494266839</v>
      </c>
      <c r="BW28" s="230">
        <v>30.146048191217826</v>
      </c>
      <c r="BX28" s="230">
        <v>30.938848066070314</v>
      </c>
      <c r="BY28" s="230">
        <v>33.281872386345817</v>
      </c>
      <c r="BZ28" s="230">
        <v>32.077539805013124</v>
      </c>
      <c r="CA28" s="230">
        <v>34.710248561464283</v>
      </c>
      <c r="CB28" s="230">
        <v>33.709913568157596</v>
      </c>
      <c r="CC28" s="230">
        <v>34.315617389252132</v>
      </c>
      <c r="CD28" s="230">
        <v>33.926489042150514</v>
      </c>
      <c r="CE28" s="230">
        <v>33.924130688531719</v>
      </c>
      <c r="CF28" s="230">
        <v>35.41578935242125</v>
      </c>
      <c r="CG28" s="230">
        <v>34.863148487749662</v>
      </c>
      <c r="CH28" s="230">
        <v>34.97438416676961</v>
      </c>
      <c r="CI28" s="230">
        <v>35.736918503514197</v>
      </c>
      <c r="CJ28" s="230">
        <v>32.342854587127867</v>
      </c>
      <c r="CK28" s="230">
        <v>35.306912027020083</v>
      </c>
      <c r="CL28" s="230">
        <v>34.652075838867262</v>
      </c>
      <c r="CM28" s="230">
        <v>37.395234156465435</v>
      </c>
      <c r="CN28" s="230">
        <v>35.454309128194936</v>
      </c>
      <c r="CO28" s="230">
        <v>37.175121152044319</v>
      </c>
      <c r="CP28" s="230">
        <v>36.447569060645229</v>
      </c>
      <c r="CQ28" s="230">
        <v>34.917390620982005</v>
      </c>
      <c r="CR28" s="230">
        <v>36.885043656932197</v>
      </c>
      <c r="CS28" s="230">
        <v>40.915863050393909</v>
      </c>
      <c r="CT28" s="230">
        <v>36.824119521779934</v>
      </c>
      <c r="CU28" s="230">
        <v>39.308645059183291</v>
      </c>
      <c r="CV28" s="230">
        <v>34.613556063093569</v>
      </c>
      <c r="CW28" s="230">
        <v>38.405788682120246</v>
      </c>
      <c r="CX28" s="230">
        <v>38.524099421996588</v>
      </c>
      <c r="CY28" s="230">
        <v>39.916314174960156</v>
      </c>
      <c r="CZ28" s="230">
        <v>39.152600661406176</v>
      </c>
      <c r="DA28" s="230">
        <v>39.376251196255488</v>
      </c>
      <c r="DB28" s="230">
        <v>39.617982442182253</v>
      </c>
      <c r="DC28" s="230">
        <v>38.384170440614596</v>
      </c>
      <c r="DD28" s="230">
        <v>41.183929245063915</v>
      </c>
      <c r="DE28" s="230">
        <v>42.240864725221741</v>
      </c>
      <c r="DF28" s="230">
        <v>40.946128588501807</v>
      </c>
      <c r="DG28" s="230">
        <v>42.031757371021676</v>
      </c>
      <c r="DH28" s="230">
        <v>38.145976725116036</v>
      </c>
      <c r="DI28" s="230">
        <v>40.575080952477641</v>
      </c>
      <c r="DJ28" s="230">
        <v>41.61590101624035</v>
      </c>
      <c r="DK28" s="230">
        <v>47.140344368273922</v>
      </c>
      <c r="DL28" s="230">
        <v>39.680085754143924</v>
      </c>
      <c r="DM28" s="230">
        <v>43.445983424427347</v>
      </c>
      <c r="DN28" s="230">
        <v>42.472769497736849</v>
      </c>
      <c r="DO28" s="230">
        <v>41.273153623641754</v>
      </c>
      <c r="DP28" s="230">
        <v>45.100368488013928</v>
      </c>
      <c r="DQ28" s="230">
        <v>44.245858360136232</v>
      </c>
      <c r="DR28" s="230">
        <v>43.67670902013306</v>
      </c>
      <c r="DS28" s="230">
        <v>48.014900501911391</v>
      </c>
      <c r="DT28" s="230">
        <v>43.881885784968453</v>
      </c>
      <c r="DU28" s="230">
        <v>48.502686642066038</v>
      </c>
      <c r="DV28" s="230">
        <v>47.440641395734161</v>
      </c>
      <c r="DW28" s="230">
        <v>50.052124969616123</v>
      </c>
      <c r="DX28" s="230">
        <v>47.230354864724703</v>
      </c>
      <c r="DY28" s="230">
        <v>47.366746315678498</v>
      </c>
      <c r="DZ28" s="230">
        <v>50.065488973455977</v>
      </c>
      <c r="EA28" s="230">
        <v>47.24057439707282</v>
      </c>
      <c r="EB28" s="230">
        <v>49.856774678192387</v>
      </c>
      <c r="EC28" s="230">
        <v>48.812417084001481</v>
      </c>
      <c r="ED28" s="230">
        <v>50.502177451870025</v>
      </c>
      <c r="EE28" s="230">
        <v>49.3160515198037</v>
      </c>
      <c r="EF28" s="230">
        <v>45.910924042987538</v>
      </c>
      <c r="EG28" s="230">
        <v>52.133026662378313</v>
      </c>
      <c r="EH28" s="230">
        <v>50.009347820280198</v>
      </c>
      <c r="EI28" s="230">
        <v>53.262880922494773</v>
      </c>
      <c r="EJ28" s="230">
        <v>50.514511459169178</v>
      </c>
      <c r="EK28" s="230">
        <v>53.493342113705694</v>
      </c>
      <c r="EL28" s="230">
        <v>54.886782788034587</v>
      </c>
      <c r="EM28" s="230">
        <v>52.955055850744678</v>
      </c>
      <c r="EN28" s="230">
        <v>55.073728342785451</v>
      </c>
      <c r="EO28" s="230">
        <v>52.916617467853513</v>
      </c>
      <c r="EP28" s="230">
        <v>54.333037239751967</v>
      </c>
      <c r="EQ28" s="230">
        <v>54.875751339520157</v>
      </c>
      <c r="ER28" s="230">
        <v>51.754059064721325</v>
      </c>
      <c r="ES28" s="230">
        <v>56.951290673790524</v>
      </c>
      <c r="ET28" s="230">
        <v>52.315430354361041</v>
      </c>
      <c r="EU28" s="230">
        <v>58.358653456162962</v>
      </c>
      <c r="EV28" s="230">
        <v>57.384647212691696</v>
      </c>
      <c r="EW28" s="230">
        <v>60.051727861548336</v>
      </c>
      <c r="EX28" s="230">
        <v>60.407602022306691</v>
      </c>
      <c r="EY28" s="230">
        <v>58.19800646970198</v>
      </c>
      <c r="EZ28" s="230">
        <v>60.648584281485647</v>
      </c>
      <c r="FA28" s="230">
        <v>57.148976427991414</v>
      </c>
      <c r="FB28" s="230">
        <v>58.16083951908449</v>
      </c>
      <c r="FC28" s="230">
        <v>59.999656617125524</v>
      </c>
      <c r="FD28" s="230">
        <v>55.512678862750541</v>
      </c>
      <c r="FE28" s="230">
        <v>60.563556139635601</v>
      </c>
      <c r="FF28" s="230">
        <v>59.402955418793717</v>
      </c>
      <c r="FG28" s="230">
        <v>63.318793851490788</v>
      </c>
      <c r="FH28" s="230">
        <v>60.105045660945578</v>
      </c>
      <c r="FI28" s="230">
        <v>63.726822123781901</v>
      </c>
      <c r="FJ28" s="230">
        <v>64.086418494250196</v>
      </c>
      <c r="FK28" s="230">
        <v>62.442158969922573</v>
      </c>
      <c r="FL28" s="230">
        <v>63.226739796018748</v>
      </c>
      <c r="FM28" s="230">
        <v>60.714608310583841</v>
      </c>
      <c r="FN28" s="230">
        <v>62.762754585567876</v>
      </c>
      <c r="FO28" s="230">
        <v>61.922016812693322</v>
      </c>
      <c r="FP28" s="230">
        <v>60.497105324569404</v>
      </c>
      <c r="FQ28" s="230">
        <v>61.56391319720025</v>
      </c>
      <c r="FR28" s="230">
        <v>51.13333982979632</v>
      </c>
      <c r="FS28" s="230">
        <v>59.744080659474271</v>
      </c>
      <c r="FT28" s="230">
        <v>60.206052704046733</v>
      </c>
      <c r="FU28" s="230">
        <v>64.721814722155614</v>
      </c>
      <c r="FV28" s="230">
        <v>65.630665080543551</v>
      </c>
      <c r="FW28" s="230">
        <v>64.086510516644495</v>
      </c>
      <c r="FX28" s="230">
        <v>67.170504938834711</v>
      </c>
      <c r="FY28" s="230">
        <v>66.343798154100298</v>
      </c>
      <c r="FZ28" s="230">
        <v>67.935511858584249</v>
      </c>
      <c r="GA28" s="230">
        <v>66.072302573305592</v>
      </c>
      <c r="GB28" s="230">
        <v>60.557522748748198</v>
      </c>
      <c r="GC28" s="230">
        <v>69.649483671457233</v>
      </c>
      <c r="GD28" s="230">
        <v>69.009307962847544</v>
      </c>
      <c r="GE28" s="230">
        <v>70.829778655856657</v>
      </c>
      <c r="GF28" s="230">
        <v>73.20858267697983</v>
      </c>
      <c r="GG28" s="230">
        <v>72.5413413933763</v>
      </c>
      <c r="GH28" s="230">
        <v>72.59887376957623</v>
      </c>
      <c r="GI28" s="230">
        <v>73.953222929509124</v>
      </c>
      <c r="GJ28" s="230">
        <v>77.660165328688507</v>
      </c>
      <c r="GK28" s="230">
        <v>71.973469079228522</v>
      </c>
      <c r="GL28" s="230">
        <v>73.675451816883921</v>
      </c>
      <c r="GM28" s="230">
        <v>74.647819953364746</v>
      </c>
      <c r="GN28" s="230">
        <v>70.605774002510543</v>
      </c>
      <c r="GO28" s="230">
        <v>80.66357391733861</v>
      </c>
      <c r="GP28" s="230">
        <v>77.892843460836019</v>
      </c>
      <c r="GQ28" s="230">
        <v>79.719055340721056</v>
      </c>
      <c r="GR28" s="230">
        <v>78.03773479577201</v>
      </c>
      <c r="GS28" s="230">
        <v>79.852929210976257</v>
      </c>
      <c r="GT28" s="230">
        <v>83.588619688537833</v>
      </c>
      <c r="GU28" s="230">
        <v>81.542362819721362</v>
      </c>
      <c r="GV28" s="230">
        <v>84.310086043976739</v>
      </c>
      <c r="GW28" s="230">
        <v>81.267406383148099</v>
      </c>
      <c r="GX28" s="230">
        <v>79.286660011490625</v>
      </c>
      <c r="GY28" s="230">
        <v>85.813204916671339</v>
      </c>
      <c r="GZ28" s="230">
        <v>80.724820761527425</v>
      </c>
      <c r="HA28" s="230">
        <v>90.144290309770938</v>
      </c>
      <c r="HB28" s="230">
        <v>83.116369741875545</v>
      </c>
      <c r="HC28" s="230">
        <v>91.89234313509391</v>
      </c>
      <c r="HD28" s="230">
        <v>71.509753721112801</v>
      </c>
      <c r="HE28" s="230">
        <v>71.270079111315539</v>
      </c>
      <c r="HF28" s="230">
        <v>71.588450224485925</v>
      </c>
      <c r="HG28" s="230">
        <v>70.418454551794042</v>
      </c>
      <c r="HH28" s="230">
        <v>81.564266863877918</v>
      </c>
      <c r="HI28" s="230">
        <v>92.757152306730177</v>
      </c>
      <c r="HJ28" s="230">
        <v>95.197777951389952</v>
      </c>
      <c r="HK28" s="230">
        <v>101.44983281139305</v>
      </c>
      <c r="HL28" s="230">
        <v>82.324564161095239</v>
      </c>
      <c r="HM28" s="230">
        <v>90.01540347317075</v>
      </c>
      <c r="HN28" s="230">
        <v>89.982713698429606</v>
      </c>
      <c r="HO28" s="230">
        <v>102.11318876048659</v>
      </c>
      <c r="HP28" s="230">
        <v>98.170586338033019</v>
      </c>
      <c r="HQ28" s="230">
        <v>101.75963405263518</v>
      </c>
      <c r="HR28" s="230">
        <v>111.22260423429643</v>
      </c>
      <c r="HS28" s="230">
        <v>105.65812865338583</v>
      </c>
      <c r="HT28" s="230">
        <v>108.82498492294066</v>
      </c>
      <c r="HU28" s="230">
        <v>101.70736400449017</v>
      </c>
      <c r="HV28" s="230">
        <v>106.77099488964333</v>
      </c>
      <c r="HW28" s="230">
        <v>105.75219559523065</v>
      </c>
      <c r="HX28" s="230">
        <v>100.01671902095487</v>
      </c>
      <c r="HY28" s="230">
        <v>110.85764334103428</v>
      </c>
      <c r="HZ28" s="230">
        <v>90.37634316228322</v>
      </c>
      <c r="IA28" s="230">
        <v>105.00416894470317</v>
      </c>
      <c r="IB28" s="230">
        <v>110.45085616344716</v>
      </c>
      <c r="IC28" s="230">
        <v>115.54966776234438</v>
      </c>
      <c r="ID28" s="230">
        <v>118.9784395634869</v>
      </c>
      <c r="IE28" s="230">
        <v>115.75580959157806</v>
      </c>
      <c r="IF28" s="737">
        <v>119.15672437554299</v>
      </c>
      <c r="IG28" s="737">
        <v>116.0200314488861</v>
      </c>
      <c r="IH28" s="737">
        <v>120.99845586836773</v>
      </c>
    </row>
    <row r="29" spans="1:242" ht="15.75" customHeight="1">
      <c r="A29" s="285" t="s">
        <v>483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U29" s="284"/>
      <c r="AV29" s="278"/>
      <c r="AW29" s="278"/>
      <c r="AX29" s="278"/>
      <c r="AY29" s="278"/>
      <c r="BJ29" s="489" t="s">
        <v>52</v>
      </c>
      <c r="BK29" s="230">
        <v>36.578648331916064</v>
      </c>
      <c r="BL29" s="230">
        <v>31.429896357487927</v>
      </c>
      <c r="BM29" s="230">
        <v>34.972578397395743</v>
      </c>
      <c r="BN29" s="230">
        <v>34.460035245943715</v>
      </c>
      <c r="BO29" s="230">
        <v>36.339867101120909</v>
      </c>
      <c r="BP29" s="230">
        <v>38.773813362368394</v>
      </c>
      <c r="BQ29" s="230">
        <v>40.363660368257193</v>
      </c>
      <c r="BR29" s="230">
        <v>41.073413495886129</v>
      </c>
      <c r="BS29" s="230">
        <v>38.675968824059559</v>
      </c>
      <c r="BT29" s="230">
        <v>40.741857391979472</v>
      </c>
      <c r="BU29" s="230">
        <v>40.29521988809298</v>
      </c>
      <c r="BV29" s="230">
        <v>42.295202808447357</v>
      </c>
      <c r="BW29" s="230">
        <v>44.810770679372169</v>
      </c>
      <c r="BX29" s="230">
        <v>41.990515930086652</v>
      </c>
      <c r="BY29" s="230">
        <v>42.413832974065343</v>
      </c>
      <c r="BZ29" s="230">
        <v>40.072154619409602</v>
      </c>
      <c r="CA29" s="230">
        <v>40.989257053610132</v>
      </c>
      <c r="CB29" s="230">
        <v>43.354255868173659</v>
      </c>
      <c r="CC29" s="230">
        <v>46.195803211288066</v>
      </c>
      <c r="CD29" s="230">
        <v>48.141033747511059</v>
      </c>
      <c r="CE29" s="230">
        <v>45.330411362100499</v>
      </c>
      <c r="CF29" s="230">
        <v>46.973489852561471</v>
      </c>
      <c r="CG29" s="230">
        <v>44.769706391273644</v>
      </c>
      <c r="CH29" s="230">
        <v>47.731911766084956</v>
      </c>
      <c r="CI29" s="230">
        <v>48.582094619680461</v>
      </c>
      <c r="CJ29" s="230">
        <v>43.740564356211699</v>
      </c>
      <c r="CK29" s="230">
        <v>46.777293809424052</v>
      </c>
      <c r="CL29" s="230">
        <v>42.944119953708089</v>
      </c>
      <c r="CM29" s="230">
        <v>49.188426577283465</v>
      </c>
      <c r="CN29" s="230">
        <v>49.878408010642737</v>
      </c>
      <c r="CO29" s="230">
        <v>52.042648083391228</v>
      </c>
      <c r="CP29" s="230">
        <v>51.308053596295288</v>
      </c>
      <c r="CQ29" s="230">
        <v>47.774496953742691</v>
      </c>
      <c r="CR29" s="230">
        <v>50.257618967404468</v>
      </c>
      <c r="CS29" s="230">
        <v>46.824948662279127</v>
      </c>
      <c r="CT29" s="230">
        <v>49.017071893613043</v>
      </c>
      <c r="CU29" s="230">
        <v>52.260136720357522</v>
      </c>
      <c r="CV29" s="230">
        <v>45.420651402613331</v>
      </c>
      <c r="CW29" s="230">
        <v>51.314137194532108</v>
      </c>
      <c r="CX29" s="230">
        <v>49.807939664399576</v>
      </c>
      <c r="CY29" s="230">
        <v>51.904246223503591</v>
      </c>
      <c r="CZ29" s="230">
        <v>52.202342537107732</v>
      </c>
      <c r="DA29" s="230">
        <v>53.593965633780172</v>
      </c>
      <c r="DB29" s="230">
        <v>51.716668611201655</v>
      </c>
      <c r="DC29" s="230">
        <v>50.035060665240835</v>
      </c>
      <c r="DD29" s="230">
        <v>50.035060665240835</v>
      </c>
      <c r="DE29" s="230">
        <v>50.035060665240835</v>
      </c>
      <c r="DF29" s="230">
        <v>50.035060665240835</v>
      </c>
      <c r="DG29" s="230">
        <v>53.649224984431285</v>
      </c>
      <c r="DH29" s="230">
        <v>47.259418969691986</v>
      </c>
      <c r="DI29" s="230">
        <v>51.292337634183504</v>
      </c>
      <c r="DJ29" s="230">
        <v>48.713905914811548</v>
      </c>
      <c r="DK29" s="230">
        <v>50.827956302106287</v>
      </c>
      <c r="DL29" s="230">
        <v>50.276883695154396</v>
      </c>
      <c r="DM29" s="230">
        <v>51.904246223503591</v>
      </c>
      <c r="DN29" s="230">
        <v>51.272058973394103</v>
      </c>
      <c r="DO29" s="230">
        <v>49.280694483875216</v>
      </c>
      <c r="DP29" s="230">
        <v>50.282967293391216</v>
      </c>
      <c r="DQ29" s="230">
        <v>50.164844094292967</v>
      </c>
      <c r="DR29" s="230">
        <v>50.201852650233626</v>
      </c>
      <c r="DS29" s="230">
        <v>52.126804525667225</v>
      </c>
      <c r="DT29" s="230">
        <v>49.429742640677304</v>
      </c>
      <c r="DU29" s="230">
        <v>56.852746422636422</v>
      </c>
      <c r="DV29" s="230">
        <v>54.19928365834371</v>
      </c>
      <c r="DW29" s="230">
        <v>56.036530325863161</v>
      </c>
      <c r="DX29" s="230">
        <v>57.301918759121591</v>
      </c>
      <c r="DY29" s="230">
        <v>60.139917336597833</v>
      </c>
      <c r="DZ29" s="230">
        <v>60.509495929484615</v>
      </c>
      <c r="EA29" s="230">
        <v>56.451735905526085</v>
      </c>
      <c r="EB29" s="230">
        <v>57.67403218460705</v>
      </c>
      <c r="EC29" s="230">
        <v>54.445669386934888</v>
      </c>
      <c r="ED29" s="230">
        <v>57.930557243592936</v>
      </c>
      <c r="EE29" s="230">
        <v>57.513869421692497</v>
      </c>
      <c r="EF29" s="230">
        <v>51.394579814235556</v>
      </c>
      <c r="EG29" s="230">
        <v>55.752453688352098</v>
      </c>
      <c r="EH29" s="230">
        <v>55.058651714881471</v>
      </c>
      <c r="EI29" s="230">
        <v>58.435565802048956</v>
      </c>
      <c r="EJ29" s="230">
        <v>60.526760991022478</v>
      </c>
      <c r="EK29" s="230">
        <v>61.710521981316106</v>
      </c>
      <c r="EL29" s="230">
        <v>60.759982697908548</v>
      </c>
      <c r="EM29" s="230">
        <v>57.516597546504507</v>
      </c>
      <c r="EN29" s="230">
        <v>55.551659095677756</v>
      </c>
      <c r="EO29" s="230">
        <v>57.122858778025993</v>
      </c>
      <c r="EP29" s="230">
        <v>59.728923778069714</v>
      </c>
      <c r="EQ29" s="230">
        <v>59.720264029667717</v>
      </c>
      <c r="ER29" s="230">
        <v>52.436059614936987</v>
      </c>
      <c r="ES29" s="230">
        <v>57.241070426562352</v>
      </c>
      <c r="ET29" s="230">
        <v>53.787603929088341</v>
      </c>
      <c r="EU29" s="230">
        <v>58.05017356115129</v>
      </c>
      <c r="EV29" s="230">
        <v>59.57510955592204</v>
      </c>
      <c r="EW29" s="230">
        <v>65.183769682735132</v>
      </c>
      <c r="EX29" s="230">
        <v>64.075544357904874</v>
      </c>
      <c r="EY29" s="230">
        <v>62.645712391004487</v>
      </c>
      <c r="EZ29" s="230">
        <v>63.221560756758052</v>
      </c>
      <c r="FA29" s="230">
        <v>61.37754771414528</v>
      </c>
      <c r="FB29" s="230">
        <v>63.609130022892465</v>
      </c>
      <c r="FC29" s="230">
        <v>63.297451663853927</v>
      </c>
      <c r="FD29" s="230">
        <v>58.035723066047041</v>
      </c>
      <c r="FE29" s="230">
        <v>62.670320475197144</v>
      </c>
      <c r="FF29" s="230">
        <v>60.434757272309945</v>
      </c>
      <c r="FG29" s="230">
        <v>63.337023526588318</v>
      </c>
      <c r="FH29" s="230">
        <v>63.077742739094873</v>
      </c>
      <c r="FI29" s="230">
        <v>68.18840322233828</v>
      </c>
      <c r="FJ29" s="230">
        <v>67.874988961757523</v>
      </c>
      <c r="FK29" s="230">
        <v>61.161958004406408</v>
      </c>
      <c r="FL29" s="230">
        <v>63.584670758855083</v>
      </c>
      <c r="FM29" s="230">
        <v>60.806104180283633</v>
      </c>
      <c r="FN29" s="230">
        <v>60.557690842190134</v>
      </c>
      <c r="FO29" s="230">
        <v>64.456027329399049</v>
      </c>
      <c r="FP29" s="230">
        <v>58.510004133813588</v>
      </c>
      <c r="FQ29" s="230">
        <v>62.192801206943798</v>
      </c>
      <c r="FR29" s="230">
        <v>58.078413269808891</v>
      </c>
      <c r="FS29" s="230">
        <v>61.733543545312628</v>
      </c>
      <c r="FT29" s="230">
        <v>65.884021709719988</v>
      </c>
      <c r="FU29" s="230">
        <v>71.683931701238066</v>
      </c>
      <c r="FV29" s="230">
        <v>72.309967726207418</v>
      </c>
      <c r="FW29" s="230">
        <v>68.664970054927466</v>
      </c>
      <c r="FX29" s="230">
        <v>68.281787023924792</v>
      </c>
      <c r="FY29" s="230">
        <v>65.911391950217578</v>
      </c>
      <c r="FZ29" s="230">
        <v>71.359241916095172</v>
      </c>
      <c r="GA29" s="230">
        <v>71.127796604933494</v>
      </c>
      <c r="GB29" s="230">
        <v>63.529020609633086</v>
      </c>
      <c r="GC29" s="230">
        <v>69.136228249067742</v>
      </c>
      <c r="GD29" s="230">
        <v>71.596410100043485</v>
      </c>
      <c r="GE29" s="230">
        <v>73.611139520888187</v>
      </c>
      <c r="GF29" s="230">
        <v>82.164108017055469</v>
      </c>
      <c r="GG29" s="230">
        <v>89.519216252303309</v>
      </c>
      <c r="GH29" s="230">
        <v>78.68042349738657</v>
      </c>
      <c r="GI29" s="230">
        <v>71.632619328002008</v>
      </c>
      <c r="GJ29" s="230">
        <v>75.339719581964118</v>
      </c>
      <c r="GK29" s="230">
        <v>85.501780532756811</v>
      </c>
      <c r="GL29" s="230">
        <v>86.602141552564206</v>
      </c>
      <c r="GM29" s="230">
        <v>85.901560820336215</v>
      </c>
      <c r="GN29" s="230">
        <v>75.964166597948164</v>
      </c>
      <c r="GO29" s="230">
        <v>86.081176180549804</v>
      </c>
      <c r="GP29" s="230">
        <v>82.619110035555281</v>
      </c>
      <c r="GQ29" s="230">
        <v>84.306848588882701</v>
      </c>
      <c r="GR29" s="230">
        <v>86.437249612061024</v>
      </c>
      <c r="GS29" s="230">
        <v>93.013061872855872</v>
      </c>
      <c r="GT29" s="230">
        <v>90.242546664397622</v>
      </c>
      <c r="GU29" s="230">
        <v>85.950170012027598</v>
      </c>
      <c r="GV29" s="230">
        <v>89.384728026162549</v>
      </c>
      <c r="GW29" s="230">
        <v>84.655526202024845</v>
      </c>
      <c r="GX29" s="230">
        <v>87.015972228318162</v>
      </c>
      <c r="GY29" s="230">
        <v>92.18642845820132</v>
      </c>
      <c r="GZ29" s="230">
        <v>82.665108590249744</v>
      </c>
      <c r="HA29" s="230">
        <v>88.539718449506466</v>
      </c>
      <c r="HB29" s="230">
        <v>85.751762632390964</v>
      </c>
      <c r="HC29" s="230">
        <v>89.094587883929336</v>
      </c>
      <c r="HD29" s="230">
        <v>88.888321141205708</v>
      </c>
      <c r="HE29" s="230">
        <v>95.974012431536238</v>
      </c>
      <c r="HF29" s="230">
        <v>98.631584142665815</v>
      </c>
      <c r="HG29" s="230">
        <v>92.038920718081911</v>
      </c>
      <c r="HH29" s="230">
        <v>94.651455675993347</v>
      </c>
      <c r="HI29" s="230">
        <v>90.228813904562173</v>
      </c>
      <c r="HJ29" s="230">
        <v>92.318317024439295</v>
      </c>
      <c r="HK29" s="230">
        <v>90.007799684876971</v>
      </c>
      <c r="HL29" s="230">
        <v>86.635378492239042</v>
      </c>
      <c r="HM29" s="230">
        <v>95.650222003714262</v>
      </c>
      <c r="HN29" s="230">
        <v>91.468685777825087</v>
      </c>
      <c r="HO29" s="230">
        <v>98.145975868497601</v>
      </c>
      <c r="HP29" s="230">
        <v>102.56465883812237</v>
      </c>
      <c r="HQ29" s="230">
        <v>107.66549319949134</v>
      </c>
      <c r="HR29" s="230">
        <v>109.91735078356871</v>
      </c>
      <c r="HS29" s="230">
        <v>104.60221380414758</v>
      </c>
      <c r="HT29" s="230">
        <v>107.74240169822654</v>
      </c>
      <c r="HU29" s="230">
        <v>101.74765911056832</v>
      </c>
      <c r="HV29" s="230">
        <v>103.85216073872223</v>
      </c>
      <c r="HW29" s="230">
        <v>108.01996903955107</v>
      </c>
      <c r="HX29" s="230">
        <v>101.37419286276307</v>
      </c>
      <c r="HY29" s="230">
        <v>97.018203514566153</v>
      </c>
      <c r="HZ29" s="230">
        <v>92.043920834843135</v>
      </c>
      <c r="IA29" s="230">
        <v>106.7018822915489</v>
      </c>
      <c r="IB29" s="230">
        <v>105.61095004086543</v>
      </c>
      <c r="IC29" s="230">
        <v>109.81436184584287</v>
      </c>
      <c r="ID29" s="230">
        <v>111.77823096576908</v>
      </c>
      <c r="IE29" s="230">
        <v>110.69955399636351</v>
      </c>
      <c r="IF29" s="737">
        <v>110.98184021096537</v>
      </c>
      <c r="IG29" s="737">
        <v>108.41607446706342</v>
      </c>
      <c r="IH29" s="737">
        <v>112.11185855451316</v>
      </c>
    </row>
    <row r="30" spans="1:242" ht="13.5" customHeight="1">
      <c r="A30" s="150" t="s">
        <v>30</v>
      </c>
      <c r="B30" s="384">
        <v>1.18</v>
      </c>
      <c r="C30" s="384">
        <v>0.14000000000000001</v>
      </c>
      <c r="D30" s="384">
        <v>0.37</v>
      </c>
      <c r="E30" s="384">
        <v>0.57999999999999996</v>
      </c>
      <c r="F30" s="384">
        <v>-0.03</v>
      </c>
      <c r="G30" s="384">
        <v>-0.02</v>
      </c>
      <c r="H30" s="384">
        <v>-0.1</v>
      </c>
      <c r="I30" s="384">
        <v>-0.12</v>
      </c>
      <c r="J30" s="384">
        <v>0.11</v>
      </c>
      <c r="K30" s="384">
        <v>0.32</v>
      </c>
      <c r="L30" s="384">
        <v>0.2</v>
      </c>
      <c r="M30" s="384">
        <v>0.17</v>
      </c>
      <c r="N30" s="384">
        <v>0.16</v>
      </c>
      <c r="O30" s="384">
        <v>0.06</v>
      </c>
      <c r="P30" s="384">
        <v>0.7</v>
      </c>
      <c r="Q30" s="384">
        <v>0.08</v>
      </c>
      <c r="R30" s="384">
        <v>-0.03</v>
      </c>
      <c r="S30" s="384">
        <v>0.02</v>
      </c>
      <c r="T30" s="384">
        <v>-0.23</v>
      </c>
      <c r="U30" s="384">
        <v>0.15</v>
      </c>
      <c r="V30" s="384">
        <v>0.12</v>
      </c>
      <c r="W30" s="384">
        <v>0.27</v>
      </c>
      <c r="X30" s="384">
        <v>0.02</v>
      </c>
      <c r="Y30" s="384">
        <v>0.04</v>
      </c>
      <c r="Z30" s="384">
        <v>0.17</v>
      </c>
      <c r="AA30" s="384">
        <v>0.06</v>
      </c>
      <c r="AB30" s="384">
        <v>0.24</v>
      </c>
      <c r="AC30" s="384">
        <v>0.33</v>
      </c>
      <c r="AD30" s="384">
        <v>-0.03</v>
      </c>
      <c r="AE30" s="384">
        <v>0.08</v>
      </c>
      <c r="AF30" s="384">
        <v>0.06</v>
      </c>
      <c r="AG30" s="384">
        <v>0.02</v>
      </c>
      <c r="AH30" s="384">
        <v>0.16</v>
      </c>
      <c r="AI30" s="384">
        <v>0.15</v>
      </c>
      <c r="AJ30" s="384">
        <v>-0.13</v>
      </c>
      <c r="AK30" s="384">
        <v>-0.12</v>
      </c>
      <c r="AL30" s="384">
        <v>-0.26</v>
      </c>
      <c r="AM30" s="384">
        <v>-0.53</v>
      </c>
      <c r="AN30" s="384">
        <v>-0.24</v>
      </c>
      <c r="AO30" s="384">
        <v>-0.19</v>
      </c>
      <c r="AP30" s="384">
        <v>0.03</v>
      </c>
      <c r="AQ30" s="384">
        <v>0.87</v>
      </c>
      <c r="AR30" s="384">
        <v>0.3</v>
      </c>
      <c r="AS30" s="384">
        <v>0.06</v>
      </c>
      <c r="AT30" s="384">
        <v>0.16</v>
      </c>
      <c r="AU30" s="384">
        <v>0.09</v>
      </c>
      <c r="AV30" s="384">
        <v>0.05</v>
      </c>
      <c r="AW30" s="384">
        <v>0.28000000000000003</v>
      </c>
      <c r="AX30" s="384">
        <v>0.15</v>
      </c>
      <c r="AY30" s="283">
        <v>0.20440864102673273</v>
      </c>
      <c r="AZ30" s="17">
        <v>-0.11746327036791182</v>
      </c>
      <c r="BA30" s="17">
        <v>-0.30022798108944804</v>
      </c>
      <c r="BJ30" s="492" t="s">
        <v>361</v>
      </c>
      <c r="BK30" s="230">
        <v>27.998551622166172</v>
      </c>
      <c r="BL30" s="230">
        <v>27.062471420548672</v>
      </c>
      <c r="BM30" s="230">
        <v>33.487927175074475</v>
      </c>
      <c r="BN30" s="230">
        <v>26.0619557123606</v>
      </c>
      <c r="BO30" s="230">
        <v>29.806276518830622</v>
      </c>
      <c r="BP30" s="230">
        <v>33.261961562991424</v>
      </c>
      <c r="BQ30" s="230">
        <v>34.526839383753213</v>
      </c>
      <c r="BR30" s="230">
        <v>36.002677287670672</v>
      </c>
      <c r="BS30" s="230">
        <v>35.277557169208841</v>
      </c>
      <c r="BT30" s="230">
        <v>34.035187641838121</v>
      </c>
      <c r="BU30" s="230">
        <v>36.08344234042692</v>
      </c>
      <c r="BV30" s="230">
        <v>37.821435661487612</v>
      </c>
      <c r="BW30" s="230">
        <v>31.910139942267975</v>
      </c>
      <c r="BX30" s="230">
        <v>33.840115765782052</v>
      </c>
      <c r="BY30" s="230">
        <v>35.180903909352999</v>
      </c>
      <c r="BZ30" s="230">
        <v>31.106020127394288</v>
      </c>
      <c r="CA30" s="230">
        <v>33.175459102115873</v>
      </c>
      <c r="CB30" s="230">
        <v>35.715806881705859</v>
      </c>
      <c r="CC30" s="230">
        <v>35.021139160184902</v>
      </c>
      <c r="CD30" s="230">
        <v>38.297199196303119</v>
      </c>
      <c r="CE30" s="230">
        <v>37.693888665604796</v>
      </c>
      <c r="CF30" s="230">
        <v>38.819744674245172</v>
      </c>
      <c r="CG30" s="230">
        <v>37.941921231992836</v>
      </c>
      <c r="CH30" s="230">
        <v>38.559354613446338</v>
      </c>
      <c r="CI30" s="230">
        <v>36.570680691481009</v>
      </c>
      <c r="CJ30" s="230">
        <v>31.642247117005446</v>
      </c>
      <c r="CK30" s="230">
        <v>36.508451880340949</v>
      </c>
      <c r="CL30" s="230">
        <v>38.143613194340418</v>
      </c>
      <c r="CM30" s="230">
        <v>38.802532449887295</v>
      </c>
      <c r="CN30" s="230">
        <v>36.247620480456021</v>
      </c>
      <c r="CO30" s="230">
        <v>40.874619459125469</v>
      </c>
      <c r="CP30" s="230">
        <v>39.841885997652135</v>
      </c>
      <c r="CQ30" s="230">
        <v>41.115590600135917</v>
      </c>
      <c r="CR30" s="230">
        <v>38.186423085692077</v>
      </c>
      <c r="CS30" s="230">
        <v>38.091093843094548</v>
      </c>
      <c r="CT30" s="230">
        <v>42.433870450315773</v>
      </c>
      <c r="CU30" s="230">
        <v>40.237767157883574</v>
      </c>
      <c r="CV30" s="230">
        <v>38.747365064124828</v>
      </c>
      <c r="CW30" s="230">
        <v>40.570095489716664</v>
      </c>
      <c r="CX30" s="230">
        <v>37.863804213753198</v>
      </c>
      <c r="CY30" s="230">
        <v>41.795694131815594</v>
      </c>
      <c r="CZ30" s="230">
        <v>40.327358992361816</v>
      </c>
      <c r="DA30" s="230">
        <v>54.833292074287378</v>
      </c>
      <c r="DB30" s="230">
        <v>59.470883191023233</v>
      </c>
      <c r="DC30" s="230">
        <v>42.390619219878005</v>
      </c>
      <c r="DD30" s="230">
        <v>45.030709632926524</v>
      </c>
      <c r="DE30" s="230">
        <v>42.298820689969261</v>
      </c>
      <c r="DF30" s="230">
        <v>46.040493461922686</v>
      </c>
      <c r="DG30" s="230">
        <v>42.600255285775368</v>
      </c>
      <c r="DH30" s="230">
        <v>41.217981268111046</v>
      </c>
      <c r="DI30" s="230">
        <v>43.233135535242369</v>
      </c>
      <c r="DJ30" s="230">
        <v>41.642990808025075</v>
      </c>
      <c r="DK30" s="230">
        <v>43.292274972779737</v>
      </c>
      <c r="DL30" s="230">
        <v>47.141193142655375</v>
      </c>
      <c r="DM30" s="230">
        <v>49.96488061552138</v>
      </c>
      <c r="DN30" s="230">
        <v>51.433657094061246</v>
      </c>
      <c r="DO30" s="230">
        <v>49.85057379222156</v>
      </c>
      <c r="DP30" s="230">
        <v>51.541343831069582</v>
      </c>
      <c r="DQ30" s="230">
        <v>45.414233298747185</v>
      </c>
      <c r="DR30" s="230">
        <v>52.269553323134119</v>
      </c>
      <c r="DS30" s="230">
        <v>45.298602458189052</v>
      </c>
      <c r="DT30" s="230">
        <v>45.374071441912108</v>
      </c>
      <c r="DU30" s="230">
        <v>50.119349295656278</v>
      </c>
      <c r="DV30" s="230">
        <v>42.156268165159055</v>
      </c>
      <c r="DW30" s="230">
        <v>49.071168966169445</v>
      </c>
      <c r="DX30" s="230">
        <v>55.329798546149561</v>
      </c>
      <c r="DY30" s="230">
        <v>58.633221605605968</v>
      </c>
      <c r="DZ30" s="230">
        <v>59.586514031581359</v>
      </c>
      <c r="EA30" s="230">
        <v>51.985772290771997</v>
      </c>
      <c r="EB30" s="230">
        <v>45.517947983980619</v>
      </c>
      <c r="EC30" s="230">
        <v>50.747374815176187</v>
      </c>
      <c r="ED30" s="230">
        <v>54.464773937394114</v>
      </c>
      <c r="EE30" s="230">
        <v>55.48616090655392</v>
      </c>
      <c r="EF30" s="230">
        <v>47.41049896500806</v>
      </c>
      <c r="EG30" s="230">
        <v>58.053344037104466</v>
      </c>
      <c r="EH30" s="230">
        <v>48.630997880342818</v>
      </c>
      <c r="EI30" s="230">
        <v>64.148520595655711</v>
      </c>
      <c r="EJ30" s="230">
        <v>55.620713155968843</v>
      </c>
      <c r="EK30" s="230">
        <v>59.991938613033405</v>
      </c>
      <c r="EL30" s="230">
        <v>58.9524940602615</v>
      </c>
      <c r="EM30" s="230">
        <v>52.892805632058774</v>
      </c>
      <c r="EN30" s="230">
        <v>59.035008515724797</v>
      </c>
      <c r="EO30" s="230">
        <v>58.073955821299066</v>
      </c>
      <c r="EP30" s="230">
        <v>64.88499228311484</v>
      </c>
      <c r="EQ30" s="230">
        <v>65.213177799964427</v>
      </c>
      <c r="ER30" s="230">
        <v>63.148119052014756</v>
      </c>
      <c r="ES30" s="230">
        <v>63.217341503957648</v>
      </c>
      <c r="ET30" s="230">
        <v>61.261406766814048</v>
      </c>
      <c r="EU30" s="230">
        <v>68.993439942425013</v>
      </c>
      <c r="EV30" s="230">
        <v>64.781338383655736</v>
      </c>
      <c r="EW30" s="230">
        <v>67.609196322468378</v>
      </c>
      <c r="EX30" s="230">
        <v>70.322566484833686</v>
      </c>
      <c r="EY30" s="230">
        <v>68.554235531569816</v>
      </c>
      <c r="EZ30" s="230">
        <v>69.009479553269088</v>
      </c>
      <c r="FA30" s="230">
        <v>68.73247996092978</v>
      </c>
      <c r="FB30" s="230">
        <v>68.189854064374117</v>
      </c>
      <c r="FC30" s="230">
        <v>66.852273620885867</v>
      </c>
      <c r="FD30" s="230">
        <v>63.108561646794683</v>
      </c>
      <c r="FE30" s="230">
        <v>68.449170208967629</v>
      </c>
      <c r="FF30" s="230">
        <v>72.087140080555258</v>
      </c>
      <c r="FG30" s="230">
        <v>79.327833342870392</v>
      </c>
      <c r="FH30" s="230">
        <v>73.679465084016286</v>
      </c>
      <c r="FI30" s="230">
        <v>74.087743762783546</v>
      </c>
      <c r="FJ30" s="230">
        <v>76.61962527662925</v>
      </c>
      <c r="FK30" s="230">
        <v>72.359709620521741</v>
      </c>
      <c r="FL30" s="230">
        <v>76.15229263214232</v>
      </c>
      <c r="FM30" s="230">
        <v>80.273113448438394</v>
      </c>
      <c r="FN30" s="230">
        <v>79.572912480704417</v>
      </c>
      <c r="FO30" s="230">
        <v>76.48443132763208</v>
      </c>
      <c r="FP30" s="230">
        <v>71.440849410593813</v>
      </c>
      <c r="FQ30" s="230">
        <v>58.95042565078959</v>
      </c>
      <c r="FR30" s="230">
        <v>42.719705279035416</v>
      </c>
      <c r="FS30" s="230">
        <v>58.50808858864638</v>
      </c>
      <c r="FT30" s="230">
        <v>68.993050696127497</v>
      </c>
      <c r="FU30" s="230">
        <v>69.662934331626403</v>
      </c>
      <c r="FV30" s="230">
        <v>73.34457879112928</v>
      </c>
      <c r="FW30" s="230">
        <v>76.78584748012095</v>
      </c>
      <c r="FX30" s="230">
        <v>79.990896226664191</v>
      </c>
      <c r="FY30" s="230">
        <v>74.208326565188287</v>
      </c>
      <c r="FZ30" s="230">
        <v>81.375944612055818</v>
      </c>
      <c r="GA30" s="230">
        <v>63.09202431349636</v>
      </c>
      <c r="GB30" s="230">
        <v>64.050683317220262</v>
      </c>
      <c r="GC30" s="230">
        <v>80.929878927886278</v>
      </c>
      <c r="GD30" s="230">
        <v>81.148497603782729</v>
      </c>
      <c r="GE30" s="230">
        <v>82.310642103753054</v>
      </c>
      <c r="GF30" s="230">
        <v>86.32533376423693</v>
      </c>
      <c r="GG30" s="230">
        <v>74.013687087703062</v>
      </c>
      <c r="GH30" s="230">
        <v>82.539588851939641</v>
      </c>
      <c r="GI30" s="230">
        <v>86.480328052971117</v>
      </c>
      <c r="GJ30" s="230">
        <v>85.596653579419282</v>
      </c>
      <c r="GK30" s="230">
        <v>87.456424309334409</v>
      </c>
      <c r="GL30" s="230">
        <v>89.766458831147872</v>
      </c>
      <c r="GM30" s="230">
        <v>82.228305407927152</v>
      </c>
      <c r="GN30" s="230">
        <v>81.118025286338181</v>
      </c>
      <c r="GO30" s="230">
        <v>87.336560621831325</v>
      </c>
      <c r="GP30" s="230">
        <v>80.88299878153731</v>
      </c>
      <c r="GQ30" s="230">
        <v>81.817052707696405</v>
      </c>
      <c r="GR30" s="230">
        <v>87.290947476191022</v>
      </c>
      <c r="GS30" s="230">
        <v>98.682466596701516</v>
      </c>
      <c r="GT30" s="230">
        <v>98.833331040565554</v>
      </c>
      <c r="GU30" s="230">
        <v>91.996408669242953</v>
      </c>
      <c r="GV30" s="230">
        <v>93.652454388545763</v>
      </c>
      <c r="GW30" s="230">
        <v>89.753521456686755</v>
      </c>
      <c r="GX30" s="230">
        <v>95.542696393956703</v>
      </c>
      <c r="GY30" s="230">
        <v>87.075117818613393</v>
      </c>
      <c r="GZ30" s="230">
        <v>85.620654542533501</v>
      </c>
      <c r="HA30" s="230">
        <v>93.157051181878543</v>
      </c>
      <c r="HB30" s="230">
        <v>85.336816134318326</v>
      </c>
      <c r="HC30" s="230">
        <v>90.214021726919313</v>
      </c>
      <c r="HD30" s="230">
        <v>91.452433088864638</v>
      </c>
      <c r="HE30" s="230">
        <v>95.976286684343009</v>
      </c>
      <c r="HF30" s="230">
        <v>98.171501046917754</v>
      </c>
      <c r="HG30" s="230">
        <v>95.163886095497816</v>
      </c>
      <c r="HH30" s="230">
        <v>97.725396757038794</v>
      </c>
      <c r="HI30" s="230">
        <v>84.232371765717417</v>
      </c>
      <c r="HJ30" s="230">
        <v>95.671012486036645</v>
      </c>
      <c r="HK30" s="230">
        <v>90.265816969378037</v>
      </c>
      <c r="HL30" s="230">
        <v>92.238354488601217</v>
      </c>
      <c r="HM30" s="230">
        <v>97.637027594511139</v>
      </c>
      <c r="HN30" s="230">
        <v>112.05534252405894</v>
      </c>
      <c r="HO30" s="230">
        <v>102.63841622809714</v>
      </c>
      <c r="HP30" s="230">
        <v>95.6225985145755</v>
      </c>
      <c r="HQ30" s="230">
        <v>100.8149500492882</v>
      </c>
      <c r="HR30" s="230">
        <v>102.88631898116188</v>
      </c>
      <c r="HS30" s="230">
        <v>103.63835805794362</v>
      </c>
      <c r="HT30" s="230">
        <v>104.38641210051993</v>
      </c>
      <c r="HU30" s="230">
        <v>96.646867971368181</v>
      </c>
      <c r="HV30" s="230">
        <v>101.16953652049585</v>
      </c>
      <c r="HW30" s="230">
        <v>97.402446943989645</v>
      </c>
      <c r="HX30" s="230">
        <v>98.742080424693484</v>
      </c>
      <c r="HY30" s="230">
        <v>102.55224689705904</v>
      </c>
      <c r="HZ30" s="230">
        <v>112.92033339660794</v>
      </c>
      <c r="IA30" s="230">
        <v>106.43241268402441</v>
      </c>
      <c r="IB30" s="230">
        <v>103.77774811384316</v>
      </c>
      <c r="IC30" s="230">
        <v>107.12580856218339</v>
      </c>
      <c r="ID30" s="230">
        <v>111.43377095356402</v>
      </c>
      <c r="IE30" s="491">
        <v>112.13340222758417</v>
      </c>
      <c r="IF30" s="737">
        <v>109.89613713966199</v>
      </c>
      <c r="IG30" s="491">
        <v>106.64721903791391</v>
      </c>
      <c r="IH30" s="491">
        <v>109.4597811487576</v>
      </c>
    </row>
    <row r="31" spans="1:242">
      <c r="A31" s="150" t="s">
        <v>34</v>
      </c>
      <c r="B31" s="386">
        <v>-0.09</v>
      </c>
      <c r="C31" s="386">
        <v>-0.11</v>
      </c>
      <c r="D31" s="386">
        <v>0.1</v>
      </c>
      <c r="E31" s="386">
        <v>0.24</v>
      </c>
      <c r="F31" s="386">
        <v>0.04</v>
      </c>
      <c r="G31" s="386">
        <v>0.05</v>
      </c>
      <c r="H31" s="386">
        <v>-0.03</v>
      </c>
      <c r="I31" s="386">
        <v>0</v>
      </c>
      <c r="J31" s="386">
        <v>0.35</v>
      </c>
      <c r="K31" s="386">
        <v>0.24</v>
      </c>
      <c r="L31" s="386">
        <v>-0.05</v>
      </c>
      <c r="M31" s="386">
        <v>-0.09</v>
      </c>
      <c r="N31" s="386">
        <v>-0.01</v>
      </c>
      <c r="O31" s="386">
        <v>0.05</v>
      </c>
      <c r="P31" s="386">
        <v>0.09</v>
      </c>
      <c r="Q31" s="386">
        <v>0.1</v>
      </c>
      <c r="R31" s="386">
        <v>0.06</v>
      </c>
      <c r="S31" s="386">
        <v>0.02</v>
      </c>
      <c r="T31" s="386">
        <v>-0.06</v>
      </c>
      <c r="U31" s="386">
        <v>0.02</v>
      </c>
      <c r="V31" s="386">
        <v>0.17</v>
      </c>
      <c r="W31" s="386">
        <v>0.17</v>
      </c>
      <c r="X31" s="386">
        <v>-0.02</v>
      </c>
      <c r="Y31" s="386">
        <v>0.01</v>
      </c>
      <c r="Z31" s="386">
        <v>0.03</v>
      </c>
      <c r="AA31" s="386">
        <v>0.06</v>
      </c>
      <c r="AB31" s="386">
        <v>0.22</v>
      </c>
      <c r="AC31" s="386">
        <v>0.19</v>
      </c>
      <c r="AD31" s="386">
        <v>0.17</v>
      </c>
      <c r="AE31" s="386">
        <v>0.24</v>
      </c>
      <c r="AF31" s="386">
        <v>0.01</v>
      </c>
      <c r="AG31" s="386">
        <v>0.09</v>
      </c>
      <c r="AH31" s="386">
        <v>-0.01</v>
      </c>
      <c r="AI31" s="386">
        <v>0.04</v>
      </c>
      <c r="AJ31" s="386">
        <v>0.15</v>
      </c>
      <c r="AK31" s="386">
        <v>0.02</v>
      </c>
      <c r="AL31" s="386">
        <v>0.11</v>
      </c>
      <c r="AM31" s="386">
        <v>0</v>
      </c>
      <c r="AN31" s="386">
        <v>0.08</v>
      </c>
      <c r="AO31" s="386">
        <v>0.1</v>
      </c>
      <c r="AP31" s="386">
        <v>7.0000000000000007E-2</v>
      </c>
      <c r="AQ31" s="386">
        <v>0.11</v>
      </c>
      <c r="AR31" s="386">
        <v>0.06</v>
      </c>
      <c r="AS31" s="386">
        <v>0.05</v>
      </c>
      <c r="AT31" s="386">
        <v>0.06</v>
      </c>
      <c r="AU31" s="386">
        <v>0.08</v>
      </c>
      <c r="AV31" s="386">
        <v>0.11</v>
      </c>
      <c r="AW31" s="386">
        <v>0.28000000000000003</v>
      </c>
      <c r="AX31" s="386">
        <v>0.22</v>
      </c>
      <c r="AY31" s="283">
        <v>-3.6647851483107563E-2</v>
      </c>
      <c r="AZ31" s="17">
        <v>-2.0809915673199342E-2</v>
      </c>
      <c r="BA31" s="17">
        <v>7.088077592360742E-2</v>
      </c>
    </row>
    <row r="32" spans="1:242">
      <c r="A32" s="150" t="s">
        <v>36</v>
      </c>
      <c r="B32" s="386">
        <v>0.1</v>
      </c>
      <c r="C32" s="386">
        <v>0.15</v>
      </c>
      <c r="D32" s="386">
        <v>0.05</v>
      </c>
      <c r="E32" s="386">
        <v>0.01</v>
      </c>
      <c r="F32" s="386">
        <v>0.09</v>
      </c>
      <c r="G32" s="386">
        <v>0.03</v>
      </c>
      <c r="H32" s="386">
        <v>0.01</v>
      </c>
      <c r="I32" s="386">
        <v>0.05</v>
      </c>
      <c r="J32" s="386">
        <v>0.01</v>
      </c>
      <c r="K32" s="386">
        <v>0.1</v>
      </c>
      <c r="L32" s="386">
        <v>0.04</v>
      </c>
      <c r="M32" s="386">
        <v>0</v>
      </c>
      <c r="N32" s="386">
        <v>0.11</v>
      </c>
      <c r="O32" s="386">
        <v>0.02</v>
      </c>
      <c r="P32" s="386">
        <v>0.05</v>
      </c>
      <c r="Q32" s="386">
        <v>0.12</v>
      </c>
      <c r="R32" s="386">
        <v>7.0000000000000007E-2</v>
      </c>
      <c r="S32" s="386">
        <v>0.09</v>
      </c>
      <c r="T32" s="386">
        <v>0.08</v>
      </c>
      <c r="U32" s="386">
        <v>0</v>
      </c>
      <c r="V32" s="386">
        <v>0.05</v>
      </c>
      <c r="W32" s="386">
        <v>7.0000000000000007E-2</v>
      </c>
      <c r="X32" s="386">
        <v>0.02</v>
      </c>
      <c r="Y32" s="386">
        <v>0</v>
      </c>
      <c r="Z32" s="386">
        <v>-0.03</v>
      </c>
      <c r="AA32" s="386">
        <v>-0.06</v>
      </c>
      <c r="AB32" s="386">
        <v>-0.14000000000000001</v>
      </c>
      <c r="AC32" s="386">
        <v>-0.1</v>
      </c>
      <c r="AD32" s="386">
        <v>-7.0000000000000007E-2</v>
      </c>
      <c r="AE32" s="386">
        <v>-0.02</v>
      </c>
      <c r="AF32" s="386">
        <v>0.13</v>
      </c>
      <c r="AG32" s="386">
        <v>0.13</v>
      </c>
      <c r="AH32" s="386">
        <v>0.08</v>
      </c>
      <c r="AI32" s="386">
        <v>0.19</v>
      </c>
      <c r="AJ32" s="386">
        <v>0.08</v>
      </c>
      <c r="AK32" s="386">
        <v>0.09</v>
      </c>
      <c r="AL32" s="386">
        <v>0.06</v>
      </c>
      <c r="AM32" s="386">
        <v>-0.13</v>
      </c>
      <c r="AN32" s="386">
        <v>0.04</v>
      </c>
      <c r="AO32" s="386">
        <v>0.08</v>
      </c>
      <c r="AP32" s="386">
        <v>0.04</v>
      </c>
      <c r="AQ32" s="386">
        <v>0.09</v>
      </c>
      <c r="AR32" s="386">
        <v>0.03</v>
      </c>
      <c r="AS32" s="386">
        <v>0.08</v>
      </c>
      <c r="AT32" s="386">
        <v>0.12</v>
      </c>
      <c r="AU32" s="386">
        <v>0.14000000000000001</v>
      </c>
      <c r="AV32" s="386">
        <v>0.09</v>
      </c>
      <c r="AW32" s="386">
        <v>0.02</v>
      </c>
      <c r="AX32" s="386">
        <v>0.03</v>
      </c>
      <c r="AY32" s="283">
        <v>0.14443227832627503</v>
      </c>
      <c r="AZ32" s="17">
        <v>0.17303941105445331</v>
      </c>
      <c r="BA32" s="17">
        <v>0.11955469314213363</v>
      </c>
    </row>
    <row r="33" spans="1:53">
      <c r="A33" s="150" t="s">
        <v>38</v>
      </c>
      <c r="B33" s="386">
        <v>0.08</v>
      </c>
      <c r="C33" s="386">
        <v>-7.0000000000000007E-2</v>
      </c>
      <c r="D33" s="386">
        <v>-0.06</v>
      </c>
      <c r="E33" s="386">
        <v>0</v>
      </c>
      <c r="F33" s="386">
        <v>0.02</v>
      </c>
      <c r="G33" s="386">
        <v>0.24</v>
      </c>
      <c r="H33" s="386">
        <v>0.09</v>
      </c>
      <c r="I33" s="386">
        <v>0</v>
      </c>
      <c r="J33" s="386">
        <v>-0.8</v>
      </c>
      <c r="K33" s="386">
        <v>-0.79</v>
      </c>
      <c r="L33" s="386">
        <v>-0.77</v>
      </c>
      <c r="M33" s="386">
        <v>-0.76</v>
      </c>
      <c r="N33" s="386">
        <v>0.11</v>
      </c>
      <c r="O33" s="386">
        <v>0.09</v>
      </c>
      <c r="P33" s="386">
        <v>0.08</v>
      </c>
      <c r="Q33" s="386">
        <v>0.03</v>
      </c>
      <c r="R33" s="386">
        <v>0.06</v>
      </c>
      <c r="S33" s="386">
        <v>0.03</v>
      </c>
      <c r="T33" s="386">
        <v>-0.01</v>
      </c>
      <c r="U33" s="386">
        <v>0.04</v>
      </c>
      <c r="V33" s="386">
        <v>0.12</v>
      </c>
      <c r="W33" s="386">
        <v>0.06</v>
      </c>
      <c r="X33" s="386">
        <v>0.06</v>
      </c>
      <c r="Y33" s="386">
        <v>0.15</v>
      </c>
      <c r="Z33" s="386">
        <v>0.31</v>
      </c>
      <c r="AA33" s="386">
        <v>0.57999999999999996</v>
      </c>
      <c r="AB33" s="386">
        <v>0.43</v>
      </c>
      <c r="AC33" s="386">
        <v>0.28000000000000003</v>
      </c>
      <c r="AD33" s="386">
        <v>0.56000000000000005</v>
      </c>
      <c r="AE33" s="386">
        <v>0.42</v>
      </c>
      <c r="AF33" s="386">
        <v>0.68</v>
      </c>
      <c r="AG33" s="386">
        <v>0.74</v>
      </c>
      <c r="AH33" s="386">
        <v>0.09</v>
      </c>
      <c r="AI33" s="386">
        <v>0.12</v>
      </c>
      <c r="AJ33" s="386">
        <v>0.21</v>
      </c>
      <c r="AK33" s="386">
        <v>0.3</v>
      </c>
      <c r="AL33" s="386">
        <v>0.11</v>
      </c>
      <c r="AM33" s="386">
        <v>-0.13</v>
      </c>
      <c r="AN33" s="386">
        <v>-0.05</v>
      </c>
      <c r="AO33" s="386">
        <v>-0.08</v>
      </c>
      <c r="AP33" s="386">
        <v>-0.02</v>
      </c>
      <c r="AQ33" s="386">
        <v>0.38</v>
      </c>
      <c r="AR33" s="386">
        <v>0.12</v>
      </c>
      <c r="AS33" s="386">
        <v>0.18</v>
      </c>
      <c r="AT33" s="386">
        <v>0.22</v>
      </c>
      <c r="AU33" s="386">
        <v>0.18</v>
      </c>
      <c r="AV33" s="386">
        <v>0.24</v>
      </c>
      <c r="AW33" s="386">
        <v>0.2</v>
      </c>
      <c r="AX33" s="386">
        <v>0.28999999999999998</v>
      </c>
      <c r="AY33" s="283">
        <v>0.5956333116425081</v>
      </c>
      <c r="AZ33" s="17">
        <v>1.6433192170320021E-2</v>
      </c>
      <c r="BA33" s="17">
        <v>9.9972333970268723E-2</v>
      </c>
    </row>
    <row r="34" spans="1:53">
      <c r="A34" s="150" t="s">
        <v>40</v>
      </c>
      <c r="B34" s="386">
        <v>-0.04</v>
      </c>
      <c r="C34" s="386">
        <v>-0.18</v>
      </c>
      <c r="D34" s="386">
        <v>-0.18</v>
      </c>
      <c r="E34" s="386">
        <v>-0.03</v>
      </c>
      <c r="F34" s="386">
        <v>-0.02</v>
      </c>
      <c r="G34" s="386">
        <v>0.19</v>
      </c>
      <c r="H34" s="386">
        <v>0.24</v>
      </c>
      <c r="I34" s="386">
        <v>0.19</v>
      </c>
      <c r="J34" s="386">
        <v>0.18</v>
      </c>
      <c r="K34" s="386">
        <v>0.08</v>
      </c>
      <c r="L34" s="386">
        <v>0.28000000000000003</v>
      </c>
      <c r="M34" s="386">
        <v>-0.02</v>
      </c>
      <c r="N34" s="386">
        <v>0.14000000000000001</v>
      </c>
      <c r="O34" s="386">
        <v>0.23</v>
      </c>
      <c r="P34" s="386">
        <v>-0.04</v>
      </c>
      <c r="Q34" s="386">
        <v>0.11</v>
      </c>
      <c r="R34" s="386">
        <v>0.02</v>
      </c>
      <c r="S34" s="386">
        <v>0.08</v>
      </c>
      <c r="T34" s="386">
        <v>0.1</v>
      </c>
      <c r="U34" s="386">
        <v>0.22</v>
      </c>
      <c r="V34" s="386">
        <v>0.12</v>
      </c>
      <c r="W34" s="386">
        <v>0.12</v>
      </c>
      <c r="X34" s="386">
        <v>0.33</v>
      </c>
      <c r="Y34" s="386">
        <v>-0.11</v>
      </c>
      <c r="Z34" s="386">
        <v>-0.05</v>
      </c>
      <c r="AA34" s="386">
        <v>-0.06</v>
      </c>
      <c r="AB34" s="386">
        <v>-0.25</v>
      </c>
      <c r="AC34" s="386">
        <v>0.09</v>
      </c>
      <c r="AD34" s="386">
        <v>0.12</v>
      </c>
      <c r="AE34" s="386">
        <v>0.06</v>
      </c>
      <c r="AF34" s="386">
        <v>0.16</v>
      </c>
      <c r="AG34" s="386">
        <v>0.17</v>
      </c>
      <c r="AH34" s="386">
        <v>0.24</v>
      </c>
      <c r="AI34" s="386">
        <v>0.47</v>
      </c>
      <c r="AJ34" s="386">
        <v>0.27</v>
      </c>
      <c r="AK34" s="386">
        <v>0.12</v>
      </c>
      <c r="AL34" s="386">
        <v>-0.11</v>
      </c>
      <c r="AM34" s="386">
        <v>-0.27</v>
      </c>
      <c r="AN34" s="386">
        <v>-0.01</v>
      </c>
      <c r="AO34" s="386">
        <v>0.05</v>
      </c>
      <c r="AP34" s="386">
        <v>0.17</v>
      </c>
      <c r="AQ34" s="386">
        <v>0.33</v>
      </c>
      <c r="AR34" s="386">
        <v>0.17</v>
      </c>
      <c r="AS34" s="386">
        <v>0.11</v>
      </c>
      <c r="AT34" s="386">
        <v>0.2</v>
      </c>
      <c r="AU34" s="386">
        <v>0.1</v>
      </c>
      <c r="AV34" s="386">
        <v>0.08</v>
      </c>
      <c r="AW34" s="386">
        <v>0.26</v>
      </c>
      <c r="AX34" s="386">
        <v>0.18</v>
      </c>
      <c r="AY34" s="283">
        <v>0.10710230871224602</v>
      </c>
      <c r="AZ34" s="17">
        <v>-9.4781793600495878E-2</v>
      </c>
      <c r="BA34" s="17">
        <v>0.22846288391833114</v>
      </c>
    </row>
    <row r="35" spans="1:53">
      <c r="A35" s="150" t="s">
        <v>42</v>
      </c>
      <c r="B35" s="386">
        <v>0.11</v>
      </c>
      <c r="C35" s="386">
        <v>0.33</v>
      </c>
      <c r="D35" s="386">
        <v>0.19</v>
      </c>
      <c r="E35" s="386">
        <v>-0.03</v>
      </c>
      <c r="F35" s="386">
        <v>0.18</v>
      </c>
      <c r="G35" s="386">
        <v>-0.02</v>
      </c>
      <c r="H35" s="386">
        <v>-7.0000000000000007E-2</v>
      </c>
      <c r="I35" s="386">
        <v>-0.01</v>
      </c>
      <c r="J35" s="386">
        <v>-0.08</v>
      </c>
      <c r="K35" s="386">
        <v>-0.02</v>
      </c>
      <c r="L35" s="386">
        <v>0.03</v>
      </c>
      <c r="M35" s="386">
        <v>-0.05</v>
      </c>
      <c r="N35" s="386">
        <v>-0.13</v>
      </c>
      <c r="O35" s="386">
        <v>0.01</v>
      </c>
      <c r="P35" s="386">
        <v>0</v>
      </c>
      <c r="Q35" s="386">
        <v>7.0000000000000007E-2</v>
      </c>
      <c r="R35" s="386">
        <v>0.21</v>
      </c>
      <c r="S35" s="386">
        <v>0.09</v>
      </c>
      <c r="T35" s="386">
        <v>0.11</v>
      </c>
      <c r="U35" s="386">
        <v>0.13</v>
      </c>
      <c r="V35" s="386">
        <v>0.03</v>
      </c>
      <c r="W35" s="386">
        <v>-0.03</v>
      </c>
      <c r="X35" s="386">
        <v>0.1</v>
      </c>
      <c r="Y35" s="386">
        <v>0.11</v>
      </c>
      <c r="Z35" s="386">
        <v>0.22</v>
      </c>
      <c r="AA35" s="386">
        <v>0.5</v>
      </c>
      <c r="AB35" s="386">
        <v>0.24</v>
      </c>
      <c r="AC35" s="386">
        <v>0.36</v>
      </c>
      <c r="AD35" s="386">
        <v>0.25</v>
      </c>
      <c r="AE35" s="386">
        <v>0.14000000000000001</v>
      </c>
      <c r="AF35" s="386">
        <v>0.17</v>
      </c>
      <c r="AG35" s="386">
        <v>0.2</v>
      </c>
      <c r="AH35" s="386">
        <v>0.24</v>
      </c>
      <c r="AI35" s="386">
        <v>0.44</v>
      </c>
      <c r="AJ35" s="386">
        <v>0.34</v>
      </c>
      <c r="AK35" s="386">
        <v>0.24</v>
      </c>
      <c r="AL35" s="386">
        <v>0.05</v>
      </c>
      <c r="AM35" s="386">
        <v>-0.09</v>
      </c>
      <c r="AN35" s="386">
        <v>-0.03</v>
      </c>
      <c r="AO35" s="386">
        <v>0.13</v>
      </c>
      <c r="AP35" s="386">
        <v>0.2</v>
      </c>
      <c r="AQ35" s="386">
        <v>0.39</v>
      </c>
      <c r="AR35" s="386">
        <v>0.17</v>
      </c>
      <c r="AS35" s="386">
        <v>0.17</v>
      </c>
      <c r="AT35" s="386">
        <v>0.19</v>
      </c>
      <c r="AU35" s="386">
        <v>7.0000000000000007E-2</v>
      </c>
      <c r="AV35" s="386">
        <v>0.21</v>
      </c>
      <c r="AW35" s="386">
        <v>0.12</v>
      </c>
      <c r="AX35" s="386">
        <v>0.37</v>
      </c>
      <c r="AY35" s="283">
        <v>2.7988445975449361E-2</v>
      </c>
      <c r="AZ35" s="17">
        <v>0.14782044216330137</v>
      </c>
      <c r="BA35" s="17">
        <v>-7.110249238116928E-2</v>
      </c>
    </row>
    <row r="36" spans="1:53">
      <c r="A36" s="150" t="s">
        <v>359</v>
      </c>
      <c r="B36" s="386">
        <v>0.23</v>
      </c>
      <c r="C36" s="386">
        <v>0.06</v>
      </c>
      <c r="D36" s="386">
        <v>0.6</v>
      </c>
      <c r="E36" s="386">
        <v>-0.01</v>
      </c>
      <c r="F36" s="386">
        <v>0.11</v>
      </c>
      <c r="G36" s="386">
        <v>0.19</v>
      </c>
      <c r="H36" s="386">
        <v>0.18</v>
      </c>
      <c r="I36" s="386">
        <v>0.09</v>
      </c>
      <c r="J36" s="386">
        <v>0.19</v>
      </c>
      <c r="K36" s="386">
        <v>0.08</v>
      </c>
      <c r="L36" s="386">
        <v>-0.03</v>
      </c>
      <c r="M36" s="386">
        <v>7.0000000000000007E-2</v>
      </c>
      <c r="N36" s="386">
        <v>0.08</v>
      </c>
      <c r="O36" s="386">
        <v>0.21</v>
      </c>
      <c r="P36" s="386">
        <v>0.22</v>
      </c>
      <c r="Q36" s="386">
        <v>0.15</v>
      </c>
      <c r="R36" s="386">
        <v>0.09</v>
      </c>
      <c r="S36" s="386">
        <v>0</v>
      </c>
      <c r="T36" s="386">
        <v>0.28000000000000003</v>
      </c>
      <c r="U36" s="386">
        <v>0.4</v>
      </c>
      <c r="V36" s="386">
        <v>0.33</v>
      </c>
      <c r="W36" s="386">
        <v>0.45</v>
      </c>
      <c r="X36" s="386">
        <v>0.06</v>
      </c>
      <c r="Y36" s="386">
        <v>0.11</v>
      </c>
      <c r="Z36" s="386">
        <v>0.09</v>
      </c>
      <c r="AA36" s="386">
        <v>0.05</v>
      </c>
      <c r="AB36" s="386">
        <v>0.18</v>
      </c>
      <c r="AC36" s="386">
        <v>0.03</v>
      </c>
      <c r="AD36" s="386">
        <v>0</v>
      </c>
      <c r="AE36" s="386">
        <v>-0.13</v>
      </c>
      <c r="AF36" s="386">
        <v>0.28000000000000003</v>
      </c>
      <c r="AG36" s="386">
        <v>0.22</v>
      </c>
      <c r="AH36" s="386">
        <v>0.31</v>
      </c>
      <c r="AI36" s="386">
        <v>0.55000000000000004</v>
      </c>
      <c r="AJ36" s="386">
        <v>0.05</v>
      </c>
      <c r="AK36" s="386">
        <v>0.01</v>
      </c>
      <c r="AL36" s="386">
        <v>-0.06</v>
      </c>
      <c r="AM36" s="386">
        <v>-0.14000000000000001</v>
      </c>
      <c r="AN36" s="386">
        <v>0.06</v>
      </c>
      <c r="AO36" s="386">
        <v>0.11</v>
      </c>
      <c r="AP36" s="386">
        <v>-0.03</v>
      </c>
      <c r="AQ36" s="386">
        <v>0.04</v>
      </c>
      <c r="AR36" s="386">
        <v>0.32</v>
      </c>
      <c r="AS36" s="386">
        <v>0.09</v>
      </c>
      <c r="AT36" s="386">
        <v>0.36</v>
      </c>
      <c r="AU36" s="386">
        <v>0.21</v>
      </c>
      <c r="AV36" s="386">
        <v>-0.08</v>
      </c>
      <c r="AW36" s="386">
        <v>-0.06</v>
      </c>
      <c r="AX36" s="386">
        <v>7.0000000000000007E-2</v>
      </c>
      <c r="AY36" s="283">
        <v>0.21430110432131411</v>
      </c>
      <c r="AZ36" s="17">
        <v>-6.2294280171864003E-2</v>
      </c>
      <c r="BA36" s="17">
        <v>9.1884303241522858E-2</v>
      </c>
    </row>
    <row r="37" spans="1:53">
      <c r="A37" s="150" t="s">
        <v>46</v>
      </c>
      <c r="B37" s="386">
        <v>-0.38</v>
      </c>
      <c r="C37" s="386">
        <v>0.59</v>
      </c>
      <c r="D37" s="386">
        <v>1.02</v>
      </c>
      <c r="E37" s="386">
        <v>0.56000000000000005</v>
      </c>
      <c r="F37" s="386">
        <v>0.81</v>
      </c>
      <c r="G37" s="386">
        <v>0.28000000000000003</v>
      </c>
      <c r="H37" s="386">
        <v>0.15</v>
      </c>
      <c r="I37" s="386">
        <v>0.06</v>
      </c>
      <c r="J37" s="386">
        <v>-0.2</v>
      </c>
      <c r="K37" s="386">
        <v>-0.04</v>
      </c>
      <c r="L37" s="386">
        <v>-0.14000000000000001</v>
      </c>
      <c r="M37" s="386">
        <v>-0.17</v>
      </c>
      <c r="N37" s="386">
        <v>0.28999999999999998</v>
      </c>
      <c r="O37" s="386">
        <v>0.24</v>
      </c>
      <c r="P37" s="386">
        <v>0.28000000000000003</v>
      </c>
      <c r="Q37" s="386">
        <v>0.38</v>
      </c>
      <c r="R37" s="386">
        <v>0.4</v>
      </c>
      <c r="S37" s="386">
        <v>0.35</v>
      </c>
      <c r="T37" s="386">
        <v>0.45</v>
      </c>
      <c r="U37" s="386">
        <v>0.33</v>
      </c>
      <c r="V37" s="386">
        <v>0.19</v>
      </c>
      <c r="W37" s="386">
        <v>0.25</v>
      </c>
      <c r="X37" s="386">
        <v>0.04</v>
      </c>
      <c r="Y37" s="386">
        <v>0.19</v>
      </c>
      <c r="Z37" s="386">
        <v>0.18</v>
      </c>
      <c r="AA37" s="386">
        <v>0.1</v>
      </c>
      <c r="AB37" s="386">
        <v>0.08</v>
      </c>
      <c r="AC37" s="386">
        <v>0.1</v>
      </c>
      <c r="AD37" s="386">
        <v>0.08</v>
      </c>
      <c r="AE37" s="386">
        <v>0.31</v>
      </c>
      <c r="AF37" s="386">
        <v>0.36</v>
      </c>
      <c r="AG37" s="386">
        <v>0.14000000000000001</v>
      </c>
      <c r="AH37" s="386">
        <v>0.19</v>
      </c>
      <c r="AI37" s="386">
        <v>0.28000000000000003</v>
      </c>
      <c r="AJ37" s="386">
        <v>0.11</v>
      </c>
      <c r="AK37" s="386">
        <v>0.23</v>
      </c>
      <c r="AL37" s="386">
        <v>-0.02</v>
      </c>
      <c r="AM37" s="386">
        <v>-0.31</v>
      </c>
      <c r="AN37" s="386">
        <v>0.31</v>
      </c>
      <c r="AO37" s="386">
        <v>0.39</v>
      </c>
      <c r="AP37" s="386">
        <v>0.28999999999999998</v>
      </c>
      <c r="AQ37" s="386">
        <v>0.47</v>
      </c>
      <c r="AR37" s="386">
        <v>-0.11</v>
      </c>
      <c r="AS37" s="386">
        <v>-0.22</v>
      </c>
      <c r="AT37" s="386">
        <v>0.02</v>
      </c>
      <c r="AU37" s="386">
        <v>0.06</v>
      </c>
      <c r="AV37" s="386">
        <v>0.06</v>
      </c>
      <c r="AW37" s="386">
        <v>0.16</v>
      </c>
      <c r="AX37" s="386">
        <v>0.26</v>
      </c>
      <c r="AY37" s="283">
        <v>0.10506180760075212</v>
      </c>
      <c r="AZ37" s="17">
        <v>-0.26071972364540974</v>
      </c>
      <c r="BA37" s="17">
        <v>0.40362581878674053</v>
      </c>
    </row>
    <row r="38" spans="1:53">
      <c r="A38" s="150" t="s">
        <v>48</v>
      </c>
      <c r="B38" s="386">
        <v>-7.0000000000000007E-2</v>
      </c>
      <c r="C38" s="386">
        <v>0.77</v>
      </c>
      <c r="D38" s="386">
        <v>0.66</v>
      </c>
      <c r="E38" s="386">
        <v>0.28999999999999998</v>
      </c>
      <c r="F38" s="386">
        <v>0.05</v>
      </c>
      <c r="G38" s="386">
        <v>0.18</v>
      </c>
      <c r="H38" s="386">
        <v>0.06</v>
      </c>
      <c r="I38" s="386">
        <v>0.1</v>
      </c>
      <c r="J38" s="386">
        <v>0.11</v>
      </c>
      <c r="K38" s="386">
        <v>0.05</v>
      </c>
      <c r="L38" s="386">
        <v>0.16</v>
      </c>
      <c r="M38" s="386">
        <v>0.16</v>
      </c>
      <c r="N38" s="386">
        <v>0.16</v>
      </c>
      <c r="O38" s="386">
        <v>0.09</v>
      </c>
      <c r="P38" s="386">
        <v>0.13</v>
      </c>
      <c r="Q38" s="386">
        <v>0.15</v>
      </c>
      <c r="R38" s="386">
        <v>0.15</v>
      </c>
      <c r="S38" s="386">
        <v>0.19</v>
      </c>
      <c r="T38" s="386">
        <v>0.19</v>
      </c>
      <c r="U38" s="386">
        <v>0.13</v>
      </c>
      <c r="V38" s="386">
        <v>0</v>
      </c>
      <c r="W38" s="386">
        <v>-7.0000000000000007E-2</v>
      </c>
      <c r="X38" s="386">
        <v>-0.18</v>
      </c>
      <c r="Y38" s="386">
        <v>-0.14000000000000001</v>
      </c>
      <c r="Z38" s="386">
        <v>-0.04</v>
      </c>
      <c r="AA38" s="386">
        <v>0.06</v>
      </c>
      <c r="AB38" s="386">
        <v>0.2</v>
      </c>
      <c r="AC38" s="386">
        <v>0.25</v>
      </c>
      <c r="AD38" s="386">
        <v>0.23</v>
      </c>
      <c r="AE38" s="386">
        <v>0.12</v>
      </c>
      <c r="AF38" s="386">
        <v>0.09</v>
      </c>
      <c r="AG38" s="386">
        <v>0.01</v>
      </c>
      <c r="AH38" s="386">
        <v>0.01</v>
      </c>
      <c r="AI38" s="386">
        <v>0.02</v>
      </c>
      <c r="AJ38" s="386">
        <v>0.02</v>
      </c>
      <c r="AK38" s="386">
        <v>0.06</v>
      </c>
      <c r="AL38" s="386">
        <v>0</v>
      </c>
      <c r="AM38" s="386">
        <v>-0.42</v>
      </c>
      <c r="AN38" s="386">
        <v>0.14000000000000001</v>
      </c>
      <c r="AO38" s="386">
        <v>0.13</v>
      </c>
      <c r="AP38" s="386">
        <v>0.16</v>
      </c>
      <c r="AQ38" s="386">
        <v>1.1100000000000001</v>
      </c>
      <c r="AR38" s="386">
        <v>0.05</v>
      </c>
      <c r="AS38" s="386">
        <v>0.05</v>
      </c>
      <c r="AT38" s="386">
        <v>0.02</v>
      </c>
      <c r="AU38" s="386">
        <v>-0.01</v>
      </c>
      <c r="AV38" s="386">
        <v>0.01</v>
      </c>
      <c r="AW38" s="386">
        <v>-0.05</v>
      </c>
      <c r="AX38" s="386">
        <v>-0.06</v>
      </c>
      <c r="AY38" s="283">
        <v>0.12320622611872412</v>
      </c>
      <c r="AZ38" s="17">
        <v>-0.13171327628957596</v>
      </c>
      <c r="BA38" s="17">
        <v>0.12554625355622484</v>
      </c>
    </row>
    <row r="39" spans="1:53">
      <c r="A39" s="151" t="s">
        <v>360</v>
      </c>
      <c r="B39" s="385">
        <v>0.01</v>
      </c>
      <c r="C39" s="385">
        <v>7.0000000000000007E-2</v>
      </c>
      <c r="D39" s="385">
        <v>0.15</v>
      </c>
      <c r="E39" s="385">
        <v>0.1</v>
      </c>
      <c r="F39" s="385">
        <v>0.09</v>
      </c>
      <c r="G39" s="385">
        <v>7.0000000000000007E-2</v>
      </c>
      <c r="H39" s="385">
        <v>0.03</v>
      </c>
      <c r="I39" s="385">
        <v>0.05</v>
      </c>
      <c r="J39" s="385">
        <v>0.09</v>
      </c>
      <c r="K39" s="385">
        <v>0.11</v>
      </c>
      <c r="L39" s="385">
        <v>0.02</v>
      </c>
      <c r="M39" s="385">
        <v>-0.03</v>
      </c>
      <c r="N39" s="385">
        <v>-0.14000000000000001</v>
      </c>
      <c r="O39" s="385">
        <v>-0.14000000000000001</v>
      </c>
      <c r="P39" s="385">
        <v>-0.13</v>
      </c>
      <c r="Q39" s="385">
        <v>-0.09</v>
      </c>
      <c r="R39" s="385">
        <v>0.1</v>
      </c>
      <c r="S39" s="385">
        <v>0.08</v>
      </c>
      <c r="T39" s="385">
        <v>7.0000000000000007E-2</v>
      </c>
      <c r="U39" s="385">
        <v>0.08</v>
      </c>
      <c r="V39" s="385">
        <v>0.13</v>
      </c>
      <c r="W39" s="385">
        <v>0.12</v>
      </c>
      <c r="X39" s="385">
        <v>0.01</v>
      </c>
      <c r="Y39" s="385">
        <v>0.02</v>
      </c>
      <c r="Z39" s="385">
        <v>0.03</v>
      </c>
      <c r="AA39" s="385">
        <v>0.06</v>
      </c>
      <c r="AB39" s="385">
        <v>7.0000000000000007E-2</v>
      </c>
      <c r="AC39" s="385">
        <v>0.1</v>
      </c>
      <c r="AD39" s="385">
        <v>0.12</v>
      </c>
      <c r="AE39" s="385">
        <v>0.14000000000000001</v>
      </c>
      <c r="AF39" s="385">
        <v>0.14000000000000001</v>
      </c>
      <c r="AG39" s="385">
        <v>0.15</v>
      </c>
      <c r="AH39" s="385">
        <v>7.0000000000000007E-2</v>
      </c>
      <c r="AI39" s="385">
        <v>0.16</v>
      </c>
      <c r="AJ39" s="385">
        <v>0.13</v>
      </c>
      <c r="AK39" s="385">
        <v>0.09</v>
      </c>
      <c r="AL39" s="385">
        <v>0.06</v>
      </c>
      <c r="AM39" s="385">
        <v>-0.13</v>
      </c>
      <c r="AN39" s="385">
        <v>0.06</v>
      </c>
      <c r="AO39" s="385">
        <v>0.1</v>
      </c>
      <c r="AP39" s="385">
        <v>0.08</v>
      </c>
      <c r="AQ39" s="385">
        <v>0.23</v>
      </c>
      <c r="AR39" s="385">
        <v>7.0000000000000007E-2</v>
      </c>
      <c r="AS39" s="385">
        <v>0.06</v>
      </c>
      <c r="AT39" s="385">
        <v>0.11</v>
      </c>
      <c r="AU39" s="385">
        <v>0.1</v>
      </c>
      <c r="AV39" s="385">
        <v>0.09</v>
      </c>
      <c r="AW39" s="385">
        <v>0.14000000000000001</v>
      </c>
      <c r="AX39" s="385">
        <v>0.16</v>
      </c>
      <c r="AY39" s="283">
        <v>-1.9068740892499547E-2</v>
      </c>
      <c r="AZ39" s="17">
        <v>-0.11056333195515988</v>
      </c>
      <c r="BA39" s="17">
        <v>-9.1292817163955986E-3</v>
      </c>
    </row>
    <row r="40" spans="1:53">
      <c r="A40" s="150" t="s">
        <v>50</v>
      </c>
      <c r="B40" s="384">
        <v>0.05</v>
      </c>
      <c r="C40" s="384">
        <v>0.14000000000000001</v>
      </c>
      <c r="D40" s="384">
        <v>0.2</v>
      </c>
      <c r="E40" s="384">
        <v>0.21</v>
      </c>
      <c r="F40" s="384">
        <v>0.27</v>
      </c>
      <c r="G40" s="384">
        <v>0.18</v>
      </c>
      <c r="H40" s="384">
        <v>0.14000000000000001</v>
      </c>
      <c r="I40" s="384">
        <v>0.1</v>
      </c>
      <c r="J40" s="384">
        <v>0.1</v>
      </c>
      <c r="K40" s="384">
        <v>7.0000000000000007E-2</v>
      </c>
      <c r="L40" s="384">
        <v>0.06</v>
      </c>
      <c r="M40" s="384">
        <v>0.09</v>
      </c>
      <c r="N40" s="384">
        <v>0.09</v>
      </c>
      <c r="O40" s="384">
        <v>0.09</v>
      </c>
      <c r="P40" s="384">
        <v>0.08</v>
      </c>
      <c r="Q40" s="384">
        <v>0.09</v>
      </c>
      <c r="R40" s="384">
        <v>0.08</v>
      </c>
      <c r="S40" s="384">
        <v>0.09</v>
      </c>
      <c r="T40" s="384">
        <v>0.08</v>
      </c>
      <c r="U40" s="384">
        <v>7.0000000000000007E-2</v>
      </c>
      <c r="V40" s="384">
        <v>0.16</v>
      </c>
      <c r="W40" s="384">
        <v>0.13</v>
      </c>
      <c r="X40" s="384">
        <v>0.14000000000000001</v>
      </c>
      <c r="Y40" s="384">
        <v>0.12</v>
      </c>
      <c r="Z40" s="384">
        <v>0.05</v>
      </c>
      <c r="AA40" s="384">
        <v>0.06</v>
      </c>
      <c r="AB40" s="384">
        <v>0.12</v>
      </c>
      <c r="AC40" s="384">
        <v>0.09</v>
      </c>
      <c r="AD40" s="384">
        <v>0.11</v>
      </c>
      <c r="AE40" s="384">
        <v>0.09</v>
      </c>
      <c r="AF40" s="384">
        <v>0.11</v>
      </c>
      <c r="AG40" s="384">
        <v>0.08</v>
      </c>
      <c r="AH40" s="384">
        <v>0.08</v>
      </c>
      <c r="AI40" s="384">
        <v>0.09</v>
      </c>
      <c r="AJ40" s="384">
        <v>0.06</v>
      </c>
      <c r="AK40" s="384">
        <v>0.06</v>
      </c>
      <c r="AL40" s="384">
        <v>0.04</v>
      </c>
      <c r="AM40" s="384">
        <v>-0.06</v>
      </c>
      <c r="AN40" s="384">
        <v>0.02</v>
      </c>
      <c r="AO40" s="384">
        <v>0.08</v>
      </c>
      <c r="AP40" s="384">
        <v>0.02</v>
      </c>
      <c r="AQ40" s="384">
        <v>0.23</v>
      </c>
      <c r="AR40" s="384">
        <v>0.12</v>
      </c>
      <c r="AS40" s="384">
        <v>0.11</v>
      </c>
      <c r="AT40" s="384">
        <v>0.21</v>
      </c>
      <c r="AU40" s="384">
        <v>0.12</v>
      </c>
      <c r="AV40" s="384">
        <v>0.13</v>
      </c>
      <c r="AW40" s="384">
        <v>0.11</v>
      </c>
      <c r="AX40" s="384">
        <v>0.02</v>
      </c>
      <c r="AY40" s="283">
        <v>4.6122851263691977E-2</v>
      </c>
      <c r="AZ40" s="17">
        <v>3.7931613908808837E-2</v>
      </c>
      <c r="BA40" s="17">
        <v>5.2888552908634257E-2</v>
      </c>
    </row>
    <row r="41" spans="1:53">
      <c r="A41" s="150" t="s">
        <v>52</v>
      </c>
      <c r="B41" s="384">
        <v>0.16</v>
      </c>
      <c r="C41" s="384">
        <v>0.13</v>
      </c>
      <c r="D41" s="384">
        <v>0.18</v>
      </c>
      <c r="E41" s="384">
        <v>0.14000000000000001</v>
      </c>
      <c r="F41" s="384">
        <v>0.12</v>
      </c>
      <c r="G41" s="384">
        <v>7.0000000000000007E-2</v>
      </c>
      <c r="H41" s="384">
        <v>0.08</v>
      </c>
      <c r="I41" s="384">
        <v>7.0000000000000007E-2</v>
      </c>
      <c r="J41" s="384">
        <v>0.05</v>
      </c>
      <c r="K41" s="384">
        <v>7.0000000000000007E-2</v>
      </c>
      <c r="L41" s="384">
        <v>0.04</v>
      </c>
      <c r="M41" s="384">
        <v>0.03</v>
      </c>
      <c r="N41" s="384">
        <v>0.04</v>
      </c>
      <c r="O41" s="384">
        <v>0.04</v>
      </c>
      <c r="P41" s="384">
        <v>0.02</v>
      </c>
      <c r="Q41" s="384">
        <v>0.02</v>
      </c>
      <c r="R41" s="384">
        <v>0.02</v>
      </c>
      <c r="S41" s="384">
        <v>0</v>
      </c>
      <c r="T41" s="384">
        <v>0</v>
      </c>
      <c r="U41" s="384">
        <v>0.01</v>
      </c>
      <c r="V41" s="384">
        <v>0.04</v>
      </c>
      <c r="W41" s="384">
        <v>0.06</v>
      </c>
      <c r="X41" s="384">
        <v>0.06</v>
      </c>
      <c r="Y41" s="384">
        <v>0.06</v>
      </c>
      <c r="Z41" s="384">
        <v>0.02</v>
      </c>
      <c r="AA41" s="384">
        <v>0.02</v>
      </c>
      <c r="AB41" s="384">
        <v>0.02</v>
      </c>
      <c r="AC41" s="384">
        <v>0.01</v>
      </c>
      <c r="AD41" s="384">
        <v>0.02</v>
      </c>
      <c r="AE41" s="384">
        <v>0.01</v>
      </c>
      <c r="AF41" s="384">
        <v>0.03</v>
      </c>
      <c r="AG41" s="384">
        <v>0.03</v>
      </c>
      <c r="AH41" s="384">
        <v>0.03</v>
      </c>
      <c r="AI41" s="384">
        <v>0.03</v>
      </c>
      <c r="AJ41" s="384">
        <v>0.02</v>
      </c>
      <c r="AK41" s="384">
        <v>0.01</v>
      </c>
      <c r="AL41" s="384">
        <v>0.02</v>
      </c>
      <c r="AM41" s="384">
        <v>0.01</v>
      </c>
      <c r="AN41" s="384">
        <v>0.03</v>
      </c>
      <c r="AO41" s="384">
        <v>0.03</v>
      </c>
      <c r="AP41" s="384">
        <v>0.03</v>
      </c>
      <c r="AQ41" s="384">
        <v>0.04</v>
      </c>
      <c r="AR41" s="384">
        <v>0.05</v>
      </c>
      <c r="AS41" s="384">
        <v>0.06</v>
      </c>
      <c r="AT41" s="384">
        <v>0.05</v>
      </c>
      <c r="AU41" s="384">
        <v>0.05</v>
      </c>
      <c r="AV41" s="384">
        <v>0.03</v>
      </c>
      <c r="AW41" s="384">
        <v>0.02</v>
      </c>
      <c r="AX41" s="384">
        <v>0.03</v>
      </c>
      <c r="AY41" s="283">
        <v>4.0935159817465872E-2</v>
      </c>
      <c r="AZ41" s="17">
        <v>2.5958681079086388E-2</v>
      </c>
      <c r="BA41" s="17">
        <v>4.7293229310513052E-2</v>
      </c>
    </row>
    <row r="42" spans="1:53">
      <c r="A42" s="153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282"/>
      <c r="AV42" s="283"/>
      <c r="AW42" s="283"/>
      <c r="AX42" s="283"/>
      <c r="AY42" s="283"/>
      <c r="AZ42" s="17"/>
      <c r="BA42" s="17"/>
    </row>
    <row r="43" spans="1:53">
      <c r="AU43" s="284"/>
      <c r="AV43" s="278"/>
      <c r="AW43" s="278"/>
      <c r="AX43" s="278"/>
      <c r="AY43" s="278"/>
    </row>
    <row r="44" spans="1:53">
      <c r="A44" s="387"/>
    </row>
    <row r="45" spans="1:53">
      <c r="A45" s="389"/>
    </row>
    <row r="46" spans="1:53">
      <c r="A46" s="389"/>
    </row>
    <row r="47" spans="1:53">
      <c r="A47" s="389"/>
    </row>
    <row r="48" spans="1:53">
      <c r="A48" s="389"/>
    </row>
    <row r="49" spans="1:1">
      <c r="A49" s="389"/>
    </row>
    <row r="50" spans="1:1">
      <c r="A50" s="389"/>
    </row>
    <row r="51" spans="1:1">
      <c r="A51" s="389"/>
    </row>
    <row r="52" spans="1:1">
      <c r="A52" s="389"/>
    </row>
    <row r="53" spans="1:1">
      <c r="A53" s="388"/>
    </row>
    <row r="54" spans="1:1">
      <c r="A54" s="387"/>
    </row>
    <row r="55" spans="1:1">
      <c r="A55" s="387"/>
    </row>
  </sheetData>
  <phoneticPr fontId="66" type="noConversion"/>
  <conditionalFormatting sqref="B30:D41">
    <cfRule type="cellIs" dxfId="0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576"/>
  <sheetViews>
    <sheetView workbookViewId="0">
      <pane xSplit="6315" ySplit="605" topLeftCell="P7" activePane="bottomRight"/>
      <selection pane="topRight" activeCell="S9" sqref="S9"/>
      <selection pane="bottomLeft" activeCell="A5" sqref="A5"/>
      <selection pane="bottomRight" activeCell="P4" sqref="P4"/>
    </sheetView>
  </sheetViews>
  <sheetFormatPr defaultColWidth="9.08984375" defaultRowHeight="14.75"/>
  <cols>
    <col min="1" max="1" width="53.7265625" bestFit="1" customWidth="1"/>
    <col min="2" max="2" width="13.08984375" style="22" customWidth="1"/>
    <col min="3" max="4" width="11.08984375" customWidth="1"/>
    <col min="5" max="5" width="11.08984375" style="35" customWidth="1"/>
    <col min="6" max="6" width="11.08984375" bestFit="1" customWidth="1"/>
    <col min="7" max="7" width="13" customWidth="1"/>
    <col min="8" max="8" width="12.7265625" style="35" customWidth="1"/>
    <col min="9" max="9" width="11.453125" customWidth="1"/>
    <col min="10" max="10" width="12.26953125" customWidth="1"/>
    <col min="11" max="11" width="12.08984375" customWidth="1"/>
    <col min="12" max="12" width="11.453125" customWidth="1"/>
    <col min="13" max="13" width="11.26953125" customWidth="1"/>
    <col min="14" max="14" width="10.6328125" customWidth="1"/>
    <col min="15" max="15" width="11.453125" customWidth="1"/>
    <col min="16" max="16" width="11.26953125" customWidth="1"/>
    <col min="17" max="18" width="14.1796875" customWidth="1"/>
    <col min="19" max="21" width="9.36328125" customWidth="1"/>
    <col min="22" max="22" width="53.7265625" bestFit="1" customWidth="1"/>
    <col min="25" max="25" width="14.453125" bestFit="1" customWidth="1"/>
  </cols>
  <sheetData>
    <row r="1" spans="1:29" ht="15.5" thickBot="1">
      <c r="B1" s="771" t="s">
        <v>362</v>
      </c>
      <c r="C1" s="772"/>
      <c r="D1" s="772"/>
      <c r="E1" s="773"/>
      <c r="F1" s="771" t="s">
        <v>363</v>
      </c>
      <c r="G1" s="772"/>
      <c r="H1" s="773"/>
      <c r="I1" s="771" t="s">
        <v>453</v>
      </c>
      <c r="J1" s="772"/>
      <c r="K1" s="773"/>
      <c r="L1" s="771" t="s">
        <v>468</v>
      </c>
      <c r="M1" s="772"/>
      <c r="N1" s="773"/>
      <c r="O1" s="771" t="s">
        <v>745</v>
      </c>
      <c r="P1" s="772"/>
      <c r="Q1" s="773"/>
      <c r="R1" s="163">
        <v>2025</v>
      </c>
      <c r="S1" s="161"/>
      <c r="T1" s="658"/>
      <c r="U1" s="658"/>
      <c r="W1" s="771"/>
      <c r="X1" s="772"/>
      <c r="Y1" s="772"/>
      <c r="Z1" s="773"/>
      <c r="AA1" s="771"/>
      <c r="AB1" s="772"/>
      <c r="AC1" s="773"/>
    </row>
    <row r="2" spans="1:29" ht="30.25" thickBot="1">
      <c r="B2" s="189" t="s">
        <v>185</v>
      </c>
      <c r="C2" s="163" t="s">
        <v>186</v>
      </c>
      <c r="D2" s="21" t="s">
        <v>187</v>
      </c>
      <c r="E2" s="34" t="s">
        <v>188</v>
      </c>
      <c r="F2" s="21" t="s">
        <v>186</v>
      </c>
      <c r="G2" s="161" t="s">
        <v>187</v>
      </c>
      <c r="H2" s="34" t="s">
        <v>188</v>
      </c>
      <c r="I2" s="163" t="s">
        <v>186</v>
      </c>
      <c r="J2" s="161" t="s">
        <v>187</v>
      </c>
      <c r="K2" s="34" t="s">
        <v>188</v>
      </c>
      <c r="L2" s="163" t="s">
        <v>186</v>
      </c>
      <c r="M2" s="161" t="s">
        <v>187</v>
      </c>
      <c r="N2" s="34" t="s">
        <v>188</v>
      </c>
      <c r="O2" s="751" t="s">
        <v>186</v>
      </c>
      <c r="P2" s="752" t="s">
        <v>187</v>
      </c>
      <c r="Q2" s="753" t="s">
        <v>188</v>
      </c>
      <c r="R2" s="751" t="s">
        <v>186</v>
      </c>
      <c r="S2" s="752" t="s">
        <v>187</v>
      </c>
      <c r="T2" s="658"/>
      <c r="U2" s="658"/>
      <c r="W2" s="189"/>
      <c r="X2" s="163"/>
      <c r="Y2" s="21"/>
      <c r="Z2" s="34"/>
      <c r="AA2" s="21"/>
      <c r="AB2" s="161"/>
      <c r="AC2" s="34"/>
    </row>
    <row r="3" spans="1:29" s="245" customFormat="1" ht="15.5" thickBot="1">
      <c r="A3" s="20" t="s">
        <v>32</v>
      </c>
      <c r="B3" s="465">
        <f>I3/J3</f>
        <v>0.86601608604600766</v>
      </c>
      <c r="C3" s="298">
        <f>AVERAGE('Quarterly IIP_Manu'!AL11:AM11)</f>
        <v>59.136275822202009</v>
      </c>
      <c r="D3" s="298">
        <f>AVERAGE('Quarterly IIP_Manu'!AN11:AO11)</f>
        <v>77.507627086904392</v>
      </c>
      <c r="E3" s="299">
        <f>AVERAGE(C3:D3)</f>
        <v>68.321951454553201</v>
      </c>
      <c r="F3" s="300">
        <f>AVERAGE('Quarterly IIP_Manu'!AP11:AQ11)</f>
        <v>69.862399982709491</v>
      </c>
      <c r="G3" s="300">
        <f>AVERAGE('Quarterly IIP_Manu'!AR11:AS11)</f>
        <v>79.901938150820428</v>
      </c>
      <c r="H3" s="299">
        <f>AVERAGE(F3:G3)</f>
        <v>74.882169066764959</v>
      </c>
      <c r="I3" s="301">
        <f>AVERAGE('Quarterly IIP_Manu'!AT11:AU11)</f>
        <v>78.881870245149315</v>
      </c>
      <c r="J3" s="301">
        <f>AVERAGE('Quarterly IIP_Manu'!AV11:AW11)</f>
        <v>91.085918051825502</v>
      </c>
      <c r="K3" s="299">
        <f>AVERAGE(I3:J3)</f>
        <v>84.983894148487408</v>
      </c>
      <c r="L3" s="301">
        <f>AVERAGE('Quarterly IIP_Manu'!AX11:AY11)</f>
        <v>84.766808855725714</v>
      </c>
      <c r="M3" s="301">
        <f>AVERAGE('Quarterly IIP_Manu'!AZ11:BA11)</f>
        <v>91.259948004061613</v>
      </c>
      <c r="N3" s="299">
        <f>AVERAGE(L3:M3)</f>
        <v>88.013378429893663</v>
      </c>
      <c r="O3" s="263">
        <f>AVERAGE('Quarterly IIP_Manu'!BB11:BC11)</f>
        <v>102.22527559694269</v>
      </c>
      <c r="P3" s="263">
        <f>AVERAGE('Quarterly IIP_Manu'!BD11:BE11)</f>
        <v>97.774724403057377</v>
      </c>
      <c r="Q3" s="159">
        <f>AVERAGE(O3:P3)</f>
        <v>100.00000000000003</v>
      </c>
      <c r="R3" s="714">
        <f>AVERAGE('Quarterly IIP_Manu'!BF11:BG11)</f>
        <v>105.2854585783648</v>
      </c>
      <c r="S3" s="245">
        <f>AVERAGE('Quarterly IIP_Manu'!BH11:BI11)</f>
        <v>102.32438528121705</v>
      </c>
      <c r="V3" s="36" t="s">
        <v>32</v>
      </c>
      <c r="W3" s="154" t="s">
        <v>31</v>
      </c>
      <c r="X3" s="294"/>
      <c r="Y3" s="295"/>
      <c r="Z3" s="296"/>
      <c r="AA3" s="297"/>
      <c r="AB3" s="295"/>
      <c r="AC3" s="296"/>
    </row>
    <row r="4" spans="1:29" s="303" customFormat="1" ht="15.5" thickBot="1">
      <c r="A4" s="302" t="s">
        <v>30</v>
      </c>
      <c r="B4" s="465">
        <f t="shared" ref="B4:B14" si="0">I4/J4</f>
        <v>0.5323451640544079</v>
      </c>
      <c r="C4" s="39">
        <f>AVERAGE('Quarterly IIP_Manu'!AL2:AM2)</f>
        <v>118.76437414365233</v>
      </c>
      <c r="D4" s="39">
        <f>AVERAGE('Quarterly IIP_Manu'!AN2:AO2)</f>
        <v>70.990030040911378</v>
      </c>
      <c r="E4" s="645">
        <f t="shared" ref="E4:E14" si="1">AVERAGE(C4:D4)</f>
        <v>94.877202092281863</v>
      </c>
      <c r="F4" s="155">
        <f>AVERAGE('Quarterly IIP_Manu'!AP2:AQ2)</f>
        <v>81.988290016432785</v>
      </c>
      <c r="G4" s="39">
        <f>AVERAGE('Quarterly IIP_Manu'!AR2:AS2)</f>
        <v>89.853140613375842</v>
      </c>
      <c r="H4" s="645">
        <f t="shared" ref="H4:H14" si="2">AVERAGE(F4:G4)</f>
        <v>85.920715314904314</v>
      </c>
      <c r="I4" s="262">
        <f>AVERAGE('Quarterly IIP_Manu'!AT2:AU2)</f>
        <v>72.621642334931266</v>
      </c>
      <c r="J4" s="262">
        <f>AVERAGE('Quarterly IIP_Manu'!AV2:AW2)</f>
        <v>136.41833764739343</v>
      </c>
      <c r="K4" s="646">
        <f>AVERAGE(I4:J4)</f>
        <v>104.51998999116235</v>
      </c>
      <c r="L4" s="262">
        <f>AVERAGE('Quarterly IIP_Manu'!AX2:AY2)</f>
        <v>98.77899604990418</v>
      </c>
      <c r="M4" s="262">
        <f>AVERAGE('Quarterly IIP_Manu'!AZ2:BA2)</f>
        <v>100.15319932697452</v>
      </c>
      <c r="N4" s="645">
        <f t="shared" ref="N4:N14" si="3">AVERAGE(L4:M4)</f>
        <v>99.466097688439348</v>
      </c>
      <c r="O4" s="262">
        <f>AVERAGE('Quarterly IIP_Manu'!BB2:BC2)</f>
        <v>92.084458999511327</v>
      </c>
      <c r="P4" s="262">
        <f>AVERAGE('Quarterly IIP_Manu'!BD2:BE2)</f>
        <v>107.91554100048866</v>
      </c>
      <c r="Q4" s="299">
        <f>AVERAGE(O4:P4)</f>
        <v>100</v>
      </c>
      <c r="R4" s="262">
        <f>AVERAGE('Quarterly IIP_Manu'!BF2:BG2)</f>
        <v>99.889481319604954</v>
      </c>
      <c r="S4" s="262" cm="1">
        <f t="array" ref="S4:T4">'Quarterly IIP_Manu'!BH2:BI2</f>
        <v>110.3625461552424</v>
      </c>
      <c r="T4" s="262">
        <v>115.35692780580617</v>
      </c>
      <c r="U4" s="262"/>
      <c r="V4" s="304"/>
      <c r="W4" s="305"/>
      <c r="X4" s="306"/>
      <c r="Y4" s="307"/>
      <c r="Z4" s="308"/>
      <c r="AA4" s="309"/>
      <c r="AB4" s="307"/>
      <c r="AC4" s="308"/>
    </row>
    <row r="5" spans="1:29">
      <c r="A5" s="146" t="s">
        <v>34</v>
      </c>
      <c r="B5" s="465">
        <f t="shared" si="0"/>
        <v>0.84054907031377157</v>
      </c>
      <c r="C5" s="39">
        <f>AVERAGE('Quarterly IIP_Manu'!AL3:AM3)</f>
        <v>69.854955695284559</v>
      </c>
      <c r="D5" s="39">
        <f>AVERAGE('Quarterly IIP_Manu'!AN3:AO3)</f>
        <v>74.933109633752039</v>
      </c>
      <c r="E5" s="645">
        <f t="shared" si="1"/>
        <v>72.394032664518306</v>
      </c>
      <c r="F5" s="155">
        <f>AVERAGE('Quarterly IIP_Manu'!AP3:AQ3)</f>
        <v>69.161559314811328</v>
      </c>
      <c r="G5" s="39">
        <f>AVERAGE('Quarterly IIP_Manu'!AR3:AS3)</f>
        <v>101.7283901238778</v>
      </c>
      <c r="H5" s="645">
        <f t="shared" si="2"/>
        <v>85.444974719344572</v>
      </c>
      <c r="I5" s="262">
        <f>AVERAGE('Quarterly IIP_Manu'!AT3:AU3)</f>
        <v>91.293388235401281</v>
      </c>
      <c r="J5" s="262">
        <f>AVERAGE('Quarterly IIP_Manu'!AV3:AW3)</f>
        <v>108.61161050516901</v>
      </c>
      <c r="K5" s="646">
        <f t="shared" ref="K5:K14" si="4">AVERAGE(I5:J5)</f>
        <v>99.952499370285153</v>
      </c>
      <c r="L5" s="262">
        <f>AVERAGE('Quarterly IIP_Manu'!AX3:AY3)</f>
        <v>85.060495215805503</v>
      </c>
      <c r="M5" s="262">
        <f>AVERAGE('Quarterly IIP_Manu'!AZ3:BA3)</f>
        <v>92.894803692410036</v>
      </c>
      <c r="N5" s="645">
        <f t="shared" si="3"/>
        <v>88.977649454107762</v>
      </c>
      <c r="O5" s="262">
        <f>AVERAGE('Quarterly IIP_Manu'!BB3:BC3)</f>
        <v>96.823158328198275</v>
      </c>
      <c r="P5" s="262">
        <f>AVERAGE('Quarterly IIP_Manu'!BD3:BE3)</f>
        <v>103.17684167180165</v>
      </c>
      <c r="Q5" s="645">
        <f t="shared" ref="Q5:Q14" si="5">AVERAGE(O5:P5)</f>
        <v>99.999999999999972</v>
      </c>
      <c r="R5" s="262">
        <f>AVERAGE('Quarterly IIP_Manu'!BF3:BG3)</f>
        <v>107.0097443600614</v>
      </c>
      <c r="S5" s="262">
        <f>AVERAGE('Quarterly IIP_Manu'!BH3:BI3)</f>
        <v>105.83912149360047</v>
      </c>
      <c r="T5" s="262"/>
      <c r="U5" s="262"/>
      <c r="V5" s="37" t="s">
        <v>34</v>
      </c>
      <c r="W5" s="148"/>
      <c r="X5" s="168"/>
      <c r="Y5" s="169">
        <v>40806.460646031337</v>
      </c>
      <c r="Z5" s="170"/>
      <c r="AA5" s="182"/>
      <c r="AB5" s="169"/>
      <c r="AC5" s="170"/>
    </row>
    <row r="6" spans="1:29">
      <c r="A6" s="146" t="s">
        <v>36</v>
      </c>
      <c r="B6" s="465">
        <f t="shared" si="0"/>
        <v>1.0324253144057596</v>
      </c>
      <c r="C6" s="39">
        <f>AVERAGE('Quarterly IIP_Manu'!AL4:AM4)</f>
        <v>68.64068182154854</v>
      </c>
      <c r="D6" s="39">
        <f>AVERAGE('Quarterly IIP_Manu'!AN4:AO4)</f>
        <v>87.995170120323777</v>
      </c>
      <c r="E6" s="645">
        <f t="shared" si="1"/>
        <v>78.317925970936159</v>
      </c>
      <c r="F6" s="155">
        <f>AVERAGE('Quarterly IIP_Manu'!AP4:AQ4)</f>
        <v>93.112904216215469</v>
      </c>
      <c r="G6" s="39">
        <f>AVERAGE('Quarterly IIP_Manu'!AR4:AS4)</f>
        <v>85.871118650812718</v>
      </c>
      <c r="H6" s="645">
        <f t="shared" si="2"/>
        <v>89.492011433514094</v>
      </c>
      <c r="I6" s="262">
        <f>AVERAGE('Quarterly IIP_Manu'!AT4:AU4)</f>
        <v>93.401371392755493</v>
      </c>
      <c r="J6" s="262">
        <f>AVERAGE('Quarterly IIP_Manu'!AV4:AW4)</f>
        <v>90.467920622921952</v>
      </c>
      <c r="K6" s="646">
        <f t="shared" si="4"/>
        <v>91.934646007838722</v>
      </c>
      <c r="L6" s="262">
        <f>AVERAGE('Quarterly IIP_Manu'!AX4:AY4)</f>
        <v>92.61996139766876</v>
      </c>
      <c r="M6" s="262">
        <f>AVERAGE('Quarterly IIP_Manu'!AZ4:BA4)</f>
        <v>100.76581404369765</v>
      </c>
      <c r="N6" s="645">
        <f t="shared" si="3"/>
        <v>96.692887720683203</v>
      </c>
      <c r="O6" s="262">
        <f>AVERAGE('Quarterly IIP_Manu'!BB4:BC4)</f>
        <v>93.471789039331526</v>
      </c>
      <c r="P6" s="262">
        <f>AVERAGE('Quarterly IIP_Manu'!BD4:BE4)</f>
        <v>106.52821096066847</v>
      </c>
      <c r="Q6" s="645">
        <f t="shared" si="5"/>
        <v>100</v>
      </c>
      <c r="R6" s="262">
        <f>AVERAGE('Quarterly IIP_Manu'!BF4:BG4)</f>
        <v>96.865568932790367</v>
      </c>
      <c r="S6" s="262">
        <f>AVERAGE('Quarterly IIP_Manu'!BH4:BI4)</f>
        <v>110.85294580271358</v>
      </c>
      <c r="T6" s="262"/>
      <c r="U6" s="262"/>
      <c r="V6" s="37" t="s">
        <v>36</v>
      </c>
      <c r="W6" s="148"/>
      <c r="X6" s="164"/>
      <c r="Y6" s="39"/>
      <c r="Z6" s="49"/>
      <c r="AA6" s="155"/>
      <c r="AB6" s="39"/>
      <c r="AC6" s="49"/>
    </row>
    <row r="7" spans="1:29">
      <c r="A7" s="146" t="s">
        <v>38</v>
      </c>
      <c r="B7" s="465">
        <f t="shared" si="0"/>
        <v>0.92654250915838698</v>
      </c>
      <c r="C7" s="39">
        <f>AVERAGE('Quarterly IIP_Manu'!AL5:AM5)</f>
        <v>50.13684479712056</v>
      </c>
      <c r="D7" s="39">
        <f>AVERAGE('Quarterly IIP_Manu'!AN5:AO5)</f>
        <v>79.633515850925789</v>
      </c>
      <c r="E7" s="645">
        <f t="shared" si="1"/>
        <v>64.885180324023167</v>
      </c>
      <c r="F7" s="155">
        <f>AVERAGE('Quarterly IIP_Manu'!AP5:AQ5)</f>
        <v>92.39657525694129</v>
      </c>
      <c r="G7" s="39">
        <f>AVERAGE('Quarterly IIP_Manu'!AR5:AS5)</f>
        <v>99.219422769113606</v>
      </c>
      <c r="H7" s="645">
        <f t="shared" si="2"/>
        <v>95.807999013027455</v>
      </c>
      <c r="I7" s="262">
        <f>AVERAGE('Quarterly IIP_Manu'!AT5:AU5)</f>
        <v>98.736137884888677</v>
      </c>
      <c r="J7" s="262">
        <f>AVERAGE('Quarterly IIP_Manu'!AV5:AW5)</f>
        <v>106.5640668495333</v>
      </c>
      <c r="K7" s="646">
        <f t="shared" si="4"/>
        <v>102.65010236721099</v>
      </c>
      <c r="L7" s="262">
        <f>AVERAGE('Quarterly IIP_Manu'!AX5:AY5)</f>
        <v>110.05912212708498</v>
      </c>
      <c r="M7" s="262">
        <f>AVERAGE('Quarterly IIP_Manu'!AZ5:BA5)</f>
        <v>106.91729232487003</v>
      </c>
      <c r="N7" s="645">
        <f t="shared" si="3"/>
        <v>108.4882072259775</v>
      </c>
      <c r="O7" s="262">
        <f>AVERAGE('Quarterly IIP_Manu'!BB5:BC5)</f>
        <v>110.65322658658577</v>
      </c>
      <c r="P7" s="262">
        <f>AVERAGE('Quarterly IIP_Manu'!BD5:BE5)</f>
        <v>89.34677341341424</v>
      </c>
      <c r="Q7" s="645">
        <f t="shared" si="5"/>
        <v>100</v>
      </c>
      <c r="R7" s="262">
        <f>AVERAGE('Quarterly IIP_Manu'!BF5:BG5)</f>
        <v>103.7631627846215</v>
      </c>
      <c r="S7" s="262">
        <f>AVERAGE('Quarterly IIP_Manu'!BH5:BI5)</f>
        <v>88.7130194274377</v>
      </c>
      <c r="T7" s="262"/>
      <c r="U7" s="262"/>
      <c r="V7" s="37" t="s">
        <v>38</v>
      </c>
      <c r="W7" s="148">
        <v>740.25599999999997</v>
      </c>
      <c r="X7" s="165">
        <v>571.07099999999991</v>
      </c>
      <c r="Y7" s="162">
        <v>1311.3269999999998</v>
      </c>
      <c r="Z7" s="49"/>
      <c r="AA7" s="158"/>
      <c r="AB7" s="162"/>
      <c r="AC7" s="49"/>
    </row>
    <row r="8" spans="1:29">
      <c r="A8" s="146" t="s">
        <v>40</v>
      </c>
      <c r="B8" s="465">
        <f t="shared" si="0"/>
        <v>0.80176198667433696</v>
      </c>
      <c r="C8" s="39">
        <f>AVERAGE('Quarterly IIP_Manu'!AL6:AM6)</f>
        <v>33.46873066205999</v>
      </c>
      <c r="D8" s="39">
        <f>AVERAGE('Quarterly IIP_Manu'!AN6:AO6)</f>
        <v>51.51221452592695</v>
      </c>
      <c r="E8" s="645">
        <f t="shared" si="1"/>
        <v>42.490472593993474</v>
      </c>
      <c r="F8" s="155">
        <f>AVERAGE('Quarterly IIP_Manu'!AP6:AQ6)</f>
        <v>59.249172732166514</v>
      </c>
      <c r="G8" s="39">
        <f>AVERAGE('Quarterly IIP_Manu'!AR6:AS6)</f>
        <v>58.511595808520212</v>
      </c>
      <c r="H8" s="645">
        <f t="shared" si="2"/>
        <v>58.880384270343363</v>
      </c>
      <c r="I8" s="262">
        <f>AVERAGE('Quarterly IIP_Manu'!AT6:AU6)</f>
        <v>64.839539083312474</v>
      </c>
      <c r="J8" s="262">
        <f>AVERAGE('Quarterly IIP_Manu'!AV6:AW6)</f>
        <v>80.871306149426204</v>
      </c>
      <c r="K8" s="646">
        <f t="shared" si="4"/>
        <v>72.855422616369339</v>
      </c>
      <c r="L8" s="262">
        <f>AVERAGE('Quarterly IIP_Manu'!AX6:AY6)</f>
        <v>98.176501496906525</v>
      </c>
      <c r="M8" s="262">
        <f>AVERAGE('Quarterly IIP_Manu'!AZ6:BA6)</f>
        <v>95.425412785660484</v>
      </c>
      <c r="N8" s="645">
        <f t="shared" si="3"/>
        <v>96.800957141283504</v>
      </c>
      <c r="O8" s="262">
        <f>AVERAGE('Quarterly IIP_Manu'!BB6:BC6)</f>
        <v>111.68889572598758</v>
      </c>
      <c r="P8" s="262">
        <f>AVERAGE('Quarterly IIP_Manu'!BD6:BE6)</f>
        <v>88.31110427401245</v>
      </c>
      <c r="Q8" s="645">
        <f t="shared" si="5"/>
        <v>100.00000000000001</v>
      </c>
      <c r="R8" s="262">
        <f>AVERAGE('Quarterly IIP_Manu'!BF6:BG6)</f>
        <v>112.07057396583727</v>
      </c>
      <c r="S8" s="262">
        <f>AVERAGE('Quarterly IIP_Manu'!BH6:BI6)</f>
        <v>93.500139021168309</v>
      </c>
      <c r="T8" s="262"/>
      <c r="U8" s="262"/>
      <c r="V8" s="37" t="s">
        <v>40</v>
      </c>
      <c r="W8" s="148"/>
      <c r="X8" s="164"/>
      <c r="Y8" s="39">
        <v>3501.7447551169221</v>
      </c>
      <c r="Z8" s="49"/>
      <c r="AA8" s="155"/>
      <c r="AB8" s="39"/>
      <c r="AC8" s="49"/>
    </row>
    <row r="9" spans="1:29">
      <c r="A9" s="146" t="s">
        <v>42</v>
      </c>
      <c r="B9" s="465">
        <f t="shared" si="0"/>
        <v>0.93192141841006682</v>
      </c>
      <c r="C9" s="39">
        <f>AVERAGE('Quarterly IIP_Manu'!AL7:AM7)</f>
        <v>49.371203296117628</v>
      </c>
      <c r="D9" s="39">
        <f>AVERAGE('Quarterly IIP_Manu'!AN7:AO7)</f>
        <v>63.322127844479979</v>
      </c>
      <c r="E9" s="645">
        <f t="shared" si="1"/>
        <v>56.346665570298804</v>
      </c>
      <c r="F9" s="155">
        <f>AVERAGE('Quarterly IIP_Manu'!AP7:AQ7)</f>
        <v>63.380639662959169</v>
      </c>
      <c r="G9" s="39">
        <f>AVERAGE('Quarterly IIP_Manu'!AR7:AS7)</f>
        <v>64.384924593739981</v>
      </c>
      <c r="H9" s="645">
        <f t="shared" si="2"/>
        <v>63.882782128349575</v>
      </c>
      <c r="I9" s="262">
        <f>AVERAGE('Quarterly IIP_Manu'!AT7:AU7)</f>
        <v>68.650991185070012</v>
      </c>
      <c r="J9" s="262">
        <f>AVERAGE('Quarterly IIP_Manu'!AV7:AW7)</f>
        <v>73.666072942281062</v>
      </c>
      <c r="K9" s="646">
        <f t="shared" si="4"/>
        <v>71.158532063675537</v>
      </c>
      <c r="L9" s="262">
        <f>AVERAGE('Quarterly IIP_Manu'!AX7:AY7)</f>
        <v>73.334030097044021</v>
      </c>
      <c r="M9" s="262">
        <f>AVERAGE('Quarterly IIP_Manu'!AZ7:BA7)</f>
        <v>95.487750336185201</v>
      </c>
      <c r="N9" s="645">
        <f t="shared" si="3"/>
        <v>84.410890216614604</v>
      </c>
      <c r="O9" s="262">
        <f>AVERAGE('Quarterly IIP_Manu'!BB7:BC7)</f>
        <v>102.98372816968507</v>
      </c>
      <c r="P9" s="262">
        <f>AVERAGE('Quarterly IIP_Manu'!BD7:BE7)</f>
        <v>97.016271830314963</v>
      </c>
      <c r="Q9" s="645">
        <f t="shared" si="5"/>
        <v>100.00000000000001</v>
      </c>
      <c r="R9" s="262">
        <f>AVERAGE('Quarterly IIP_Manu'!BF7:BG7)</f>
        <v>100.83095167580476</v>
      </c>
      <c r="S9" s="262"/>
      <c r="T9" s="262"/>
      <c r="U9" s="262"/>
      <c r="V9" s="37" t="s">
        <v>42</v>
      </c>
      <c r="W9" s="148"/>
      <c r="X9" s="164"/>
      <c r="Y9" s="39">
        <v>2404.3975107004162</v>
      </c>
      <c r="Z9" s="49"/>
      <c r="AA9" s="155"/>
      <c r="AB9" s="39"/>
      <c r="AC9" s="49"/>
    </row>
    <row r="10" spans="1:29">
      <c r="A10" s="146" t="s">
        <v>44</v>
      </c>
      <c r="B10" s="465">
        <f t="shared" si="0"/>
        <v>0.83431144184833506</v>
      </c>
      <c r="C10" s="39">
        <f>AVERAGE('Quarterly IIP_Manu'!AL8:AM8)</f>
        <v>60.904451596422973</v>
      </c>
      <c r="D10" s="39">
        <f>AVERAGE('Quarterly IIP_Manu'!AN8:AO8)</f>
        <v>97.914615826475654</v>
      </c>
      <c r="E10" s="645">
        <f t="shared" si="1"/>
        <v>79.409533711449313</v>
      </c>
      <c r="F10" s="155">
        <f>AVERAGE('Quarterly IIP_Manu'!AP8:AQ8)</f>
        <v>90.487433217548642</v>
      </c>
      <c r="G10" s="39">
        <f>AVERAGE('Quarterly IIP_Manu'!AR8:AS8)</f>
        <v>84.039367730044688</v>
      </c>
      <c r="H10" s="645">
        <f t="shared" si="2"/>
        <v>87.263400473796665</v>
      </c>
      <c r="I10" s="262">
        <f>AVERAGE('Quarterly IIP_Manu'!AT8:AU8)</f>
        <v>81.880597041781684</v>
      </c>
      <c r="J10" s="262">
        <f>AVERAGE('Quarterly IIP_Manu'!AV8:AW8)</f>
        <v>98.141524776866618</v>
      </c>
      <c r="K10" s="646">
        <f t="shared" si="4"/>
        <v>90.011060909324158</v>
      </c>
      <c r="L10" s="262">
        <f>AVERAGE('Quarterly IIP_Manu'!AX8:AY8)</f>
        <v>87.012349906454148</v>
      </c>
      <c r="M10" s="262">
        <f>AVERAGE('Quarterly IIP_Manu'!AZ8:BA8)</f>
        <v>110.33353836302258</v>
      </c>
      <c r="N10" s="645">
        <f t="shared" si="3"/>
        <v>98.672944134738373</v>
      </c>
      <c r="O10" s="262">
        <f>AVERAGE('Quarterly IIP_Manu'!BB8:BC8)</f>
        <v>106.80625372676033</v>
      </c>
      <c r="P10" s="262">
        <f>AVERAGE('Quarterly IIP_Manu'!BD8:BE8)</f>
        <v>93.193746273239668</v>
      </c>
      <c r="Q10" s="645">
        <f t="shared" si="5"/>
        <v>100</v>
      </c>
      <c r="R10" s="262">
        <f>AVERAGE('Quarterly IIP_Manu'!BF8:BG8)</f>
        <v>112.72280379944061</v>
      </c>
      <c r="S10" s="262"/>
      <c r="T10" s="262"/>
      <c r="U10" s="262"/>
      <c r="V10" s="37" t="s">
        <v>44</v>
      </c>
      <c r="W10" s="148"/>
      <c r="X10" s="164"/>
      <c r="Y10" s="39"/>
      <c r="Z10" s="49"/>
      <c r="AA10" s="155"/>
      <c r="AB10" s="39"/>
      <c r="AC10" s="49"/>
    </row>
    <row r="11" spans="1:29">
      <c r="A11" s="146" t="s">
        <v>46</v>
      </c>
      <c r="B11" s="465">
        <f t="shared" si="0"/>
        <v>0.83729295633509659</v>
      </c>
      <c r="C11" s="39">
        <f>AVERAGE('Quarterly IIP_Manu'!AL9:AM9)</f>
        <v>50.78532105895767</v>
      </c>
      <c r="D11" s="39">
        <f>AVERAGE('Quarterly IIP_Manu'!AN9:AO9)</f>
        <v>91.155670669852029</v>
      </c>
      <c r="E11" s="645">
        <f t="shared" si="1"/>
        <v>70.970495864404853</v>
      </c>
      <c r="F11" s="155">
        <f>AVERAGE('Quarterly IIP_Manu'!AP9:AQ9)</f>
        <v>69.447219874959416</v>
      </c>
      <c r="G11" s="39">
        <f>AVERAGE('Quarterly IIP_Manu'!AR9:AS9)</f>
        <v>73.726979472307093</v>
      </c>
      <c r="H11" s="645">
        <f t="shared" si="2"/>
        <v>71.587099673633247</v>
      </c>
      <c r="I11" s="262">
        <f>AVERAGE('Quarterly IIP_Manu'!AT9:AU9)</f>
        <v>69.583085245433494</v>
      </c>
      <c r="J11" s="262">
        <f>AVERAGE('Quarterly IIP_Manu'!AV9:AW9)</f>
        <v>83.104825758960942</v>
      </c>
      <c r="K11" s="646">
        <f t="shared" si="4"/>
        <v>76.343955502197218</v>
      </c>
      <c r="L11" s="262">
        <f>AVERAGE('Quarterly IIP_Manu'!AX9:AY9)</f>
        <v>83.201376086771148</v>
      </c>
      <c r="M11" s="262">
        <f>AVERAGE('Quarterly IIP_Manu'!AZ9:BA9)</f>
        <v>87.786946537439604</v>
      </c>
      <c r="N11" s="645">
        <f t="shared" si="3"/>
        <v>85.494161312105376</v>
      </c>
      <c r="O11" s="262">
        <f>AVERAGE('Quarterly IIP_Manu'!BB9:BC9)</f>
        <v>100.88773377646527</v>
      </c>
      <c r="P11" s="262">
        <f>AVERAGE('Quarterly IIP_Manu'!BD9:BE9)</f>
        <v>99.112266223534689</v>
      </c>
      <c r="Q11" s="645">
        <f t="shared" si="5"/>
        <v>99.999999999999972</v>
      </c>
      <c r="R11" s="262">
        <f>AVERAGE('Quarterly IIP_Manu'!BF9:BG9)</f>
        <v>105.52586686705286</v>
      </c>
      <c r="S11" s="262"/>
      <c r="T11" s="262"/>
      <c r="U11" s="262"/>
      <c r="V11" s="37" t="s">
        <v>46</v>
      </c>
      <c r="W11" s="148"/>
      <c r="X11" s="164"/>
      <c r="Y11" s="39"/>
      <c r="Z11" s="49"/>
      <c r="AA11" s="155"/>
      <c r="AB11" s="39"/>
      <c r="AC11" s="49"/>
    </row>
    <row r="12" spans="1:29" ht="13" customHeight="1">
      <c r="A12" s="146" t="s">
        <v>48</v>
      </c>
      <c r="B12" s="465">
        <f t="shared" si="0"/>
        <v>0.86379229299828419</v>
      </c>
      <c r="C12" s="39">
        <f>AVERAGE('Quarterly IIP_Manu'!AL10:AM10)</f>
        <v>69.794304502820353</v>
      </c>
      <c r="D12" s="39">
        <f>AVERAGE('Quarterly IIP_Manu'!AN10:AO10)</f>
        <v>89.270314204961295</v>
      </c>
      <c r="E12" s="645">
        <f t="shared" si="1"/>
        <v>79.532309353890824</v>
      </c>
      <c r="F12" s="155">
        <f>AVERAGE('Quarterly IIP_Manu'!AP10:AQ10)</f>
        <v>91.854960188700559</v>
      </c>
      <c r="G12" s="39">
        <f>AVERAGE('Quarterly IIP_Manu'!AR10:AS10)</f>
        <v>93.544803663712997</v>
      </c>
      <c r="H12" s="645">
        <f t="shared" si="2"/>
        <v>92.699881926206785</v>
      </c>
      <c r="I12" s="262">
        <f>AVERAGE('Quarterly IIP_Manu'!AT10:AU10)</f>
        <v>95.912424473690152</v>
      </c>
      <c r="J12" s="262">
        <f>AVERAGE('Quarterly IIP_Manu'!AV10:AW10)</f>
        <v>111.0364438895042</v>
      </c>
      <c r="K12" s="646">
        <f t="shared" si="4"/>
        <v>103.47443418159718</v>
      </c>
      <c r="L12" s="262">
        <f>AVERAGE('Quarterly IIP_Manu'!AX10:AY10)</f>
        <v>96.85977101461053</v>
      </c>
      <c r="M12" s="262">
        <f>AVERAGE('Quarterly IIP_Manu'!AZ10:BA10)</f>
        <v>104.95067456118048</v>
      </c>
      <c r="N12" s="645">
        <f t="shared" si="3"/>
        <v>100.9052227878955</v>
      </c>
      <c r="O12" s="262">
        <f>AVERAGE('Quarterly IIP_Manu'!BB10:BC10)</f>
        <v>86.991038220905466</v>
      </c>
      <c r="P12" s="262">
        <f>AVERAGE('Quarterly IIP_Manu'!BD10:BE10)</f>
        <v>113.00896177909451</v>
      </c>
      <c r="Q12" s="645">
        <f t="shared" si="5"/>
        <v>99.999999999999986</v>
      </c>
      <c r="R12" s="262">
        <f>AVERAGE('Quarterly IIP_Manu'!BF10:BG10)</f>
        <v>96.080613959069211</v>
      </c>
      <c r="S12" s="262"/>
      <c r="T12" s="262"/>
      <c r="U12" s="262"/>
      <c r="V12" s="37" t="s">
        <v>48</v>
      </c>
      <c r="W12" s="148"/>
      <c r="X12" s="164"/>
      <c r="Y12" s="39"/>
      <c r="Z12" s="49"/>
      <c r="AA12" s="155"/>
      <c r="AB12" s="39"/>
      <c r="AC12" s="49"/>
    </row>
    <row r="13" spans="1:29" s="245" customFormat="1">
      <c r="A13" s="20" t="s">
        <v>50</v>
      </c>
      <c r="B13" s="465">
        <f t="shared" si="0"/>
        <v>0.94226523537266738</v>
      </c>
      <c r="C13" s="39">
        <f>AVERAGE('Quarterly IIP_Manu'!AL12:AM12)</f>
        <v>59.177751421296712</v>
      </c>
      <c r="D13" s="39">
        <f>AVERAGE('Quarterly IIP_Manu'!AN12:AO12)</f>
        <v>65.981467545143829</v>
      </c>
      <c r="E13" s="159">
        <f t="shared" si="1"/>
        <v>62.579609483220267</v>
      </c>
      <c r="F13" s="155">
        <f>AVERAGE('Quarterly IIP_Manu'!AP12:AQ12)</f>
        <v>68.221163048199173</v>
      </c>
      <c r="G13" s="39">
        <f>AVERAGE('Quarterly IIP_Manu'!AR12:AS12)</f>
        <v>73.733754052877103</v>
      </c>
      <c r="H13" s="159">
        <f t="shared" si="2"/>
        <v>70.977458550538131</v>
      </c>
      <c r="I13" s="262">
        <f>AVERAGE('Quarterly IIP_Manu'!AT12:AU12)</f>
        <v>76.927800245090481</v>
      </c>
      <c r="J13" s="262">
        <f>AVERAGE('Quarterly IIP_Manu'!AV12:AW12)</f>
        <v>81.641344026308488</v>
      </c>
      <c r="K13" s="646">
        <f t="shared" si="4"/>
        <v>79.284572135699477</v>
      </c>
      <c r="L13" s="262">
        <f>AVERAGE('Quarterly IIP_Manu'!AX12:AX12)</f>
        <v>85.56077199598991</v>
      </c>
      <c r="M13" s="262">
        <f>AVERAGE('Quarterly IIP_Manu'!AZ12:BA12)</f>
        <v>80.46603016826559</v>
      </c>
      <c r="N13" s="270">
        <f t="shared" si="3"/>
        <v>83.013401082127757</v>
      </c>
      <c r="O13" s="262">
        <f>AVERAGE('Quarterly IIP_Manu'!BB12:BC12)</f>
        <v>94.009381540434703</v>
      </c>
      <c r="P13" s="262">
        <f>AVERAGE('Quarterly IIP_Manu'!BD12:BE12)</f>
        <v>105.99061845956527</v>
      </c>
      <c r="Q13" s="270">
        <f t="shared" si="5"/>
        <v>99.999999999999986</v>
      </c>
      <c r="R13" s="262">
        <f>AVERAGE('Quarterly IIP_Manu'!BF12:BG12)</f>
        <v>103.74298770460888</v>
      </c>
      <c r="S13" s="262"/>
      <c r="T13" s="262"/>
      <c r="U13" s="262"/>
      <c r="V13" s="36" t="s">
        <v>50</v>
      </c>
      <c r="W13" s="293"/>
      <c r="X13" s="166"/>
      <c r="Y13" s="43"/>
      <c r="Z13" s="159"/>
      <c r="AA13" s="187"/>
      <c r="AB13" s="188"/>
      <c r="AC13" s="159"/>
    </row>
    <row r="14" spans="1:29">
      <c r="A14" s="20" t="s">
        <v>52</v>
      </c>
      <c r="B14" s="465">
        <f t="shared" si="0"/>
        <v>0.9454007775455503</v>
      </c>
      <c r="C14" s="39">
        <f>AVERAGE('Quarterly IIP_Manu'!AL13:AM13)</f>
        <v>61.80913519916632</v>
      </c>
      <c r="D14" s="39">
        <f>AVERAGE('Quarterly IIP_Manu'!AN13:AO13)</f>
        <v>69.701881728768413</v>
      </c>
      <c r="E14" s="159">
        <f t="shared" si="1"/>
        <v>65.755508463967374</v>
      </c>
      <c r="F14" s="155">
        <f>AVERAGE('Quarterly IIP_Manu'!AP13:AQ13)</f>
        <v>71.860783850270238</v>
      </c>
      <c r="G14" s="39">
        <f>AVERAGE('Quarterly IIP_Manu'!AR13:AS13)</f>
        <v>81.212650124162849</v>
      </c>
      <c r="H14" s="159">
        <f t="shared" si="2"/>
        <v>76.53671698721655</v>
      </c>
      <c r="I14" s="262">
        <f>AVERAGE('Quarterly IIP_Manu'!AT13:AU13)</f>
        <v>83.551685305888867</v>
      </c>
      <c r="J14" s="262">
        <f>AVERAGE('Quarterly IIP_Manu'!AV13:AW13)</f>
        <v>88.377000834297775</v>
      </c>
      <c r="K14" s="646">
        <f t="shared" si="4"/>
        <v>85.964343070093321</v>
      </c>
      <c r="L14" s="262">
        <f>AVERAGE('Quarterly IIP_Manu'!AX13:AX13)</f>
        <v>87.797085165985848</v>
      </c>
      <c r="M14" s="262">
        <f>AVERAGE('Quarterly IIP_Manu'!AZ13:BA13)</f>
        <v>93.973850649546478</v>
      </c>
      <c r="N14" s="270">
        <f t="shared" si="3"/>
        <v>90.885467907766156</v>
      </c>
      <c r="O14" s="262">
        <f>AVERAGE('Quarterly IIP_Manu'!BB13:BC13)</f>
        <v>94.078786777545872</v>
      </c>
      <c r="P14" s="262">
        <f>AVERAGE('Quarterly IIP_Manu'!BD13:BE13)</f>
        <v>105.92121322245413</v>
      </c>
      <c r="Q14" s="270">
        <f t="shared" si="5"/>
        <v>100</v>
      </c>
      <c r="R14" s="714">
        <f>AVERAGE('Quarterly IIP_Manu'!BF13:BG13)</f>
        <v>101.79485309735628</v>
      </c>
      <c r="V14" s="36" t="s">
        <v>52</v>
      </c>
      <c r="W14" s="148"/>
      <c r="X14" s="166"/>
      <c r="Y14" s="43"/>
      <c r="Z14" s="159"/>
      <c r="AA14" s="187"/>
      <c r="AB14" s="188"/>
      <c r="AC14" s="159"/>
    </row>
    <row r="15" spans="1:29">
      <c r="A15" s="20" t="s">
        <v>54</v>
      </c>
      <c r="B15" s="465"/>
      <c r="C15" s="166"/>
      <c r="D15" s="43"/>
      <c r="E15" s="159"/>
      <c r="F15" s="156"/>
      <c r="G15" s="43"/>
      <c r="H15" s="160"/>
      <c r="I15" s="263"/>
      <c r="J15" s="263"/>
      <c r="K15" s="268"/>
      <c r="L15" s="263"/>
      <c r="M15" s="159"/>
      <c r="N15" s="160"/>
      <c r="O15" s="263"/>
      <c r="P15" s="159"/>
      <c r="Q15" s="160"/>
      <c r="R15" s="268"/>
      <c r="V15" s="36" t="s">
        <v>54</v>
      </c>
      <c r="W15" s="148"/>
      <c r="X15" s="166"/>
      <c r="Y15" s="43">
        <v>242421317928.26602</v>
      </c>
      <c r="Z15" s="159"/>
      <c r="AA15" s="156"/>
      <c r="AB15" s="43"/>
      <c r="AC15" s="160"/>
    </row>
    <row r="16" spans="1:29" ht="15.5" thickBot="1">
      <c r="A16" s="267" t="s">
        <v>748</v>
      </c>
      <c r="B16" s="148"/>
      <c r="C16" s="164"/>
      <c r="D16" s="39"/>
      <c r="E16" s="48"/>
      <c r="F16" s="155"/>
      <c r="G16" s="39"/>
      <c r="H16" s="48"/>
      <c r="I16" s="264"/>
      <c r="J16" s="264"/>
      <c r="K16" s="269"/>
      <c r="L16" s="264"/>
      <c r="M16" s="171"/>
      <c r="N16" s="247"/>
      <c r="O16" s="264"/>
      <c r="P16" s="171"/>
      <c r="Q16" s="247"/>
      <c r="R16" s="715"/>
      <c r="V16" s="37" t="s">
        <v>177</v>
      </c>
      <c r="W16" s="148"/>
      <c r="X16" s="164"/>
      <c r="Y16" s="39">
        <v>185575618606.04456</v>
      </c>
      <c r="Z16" s="48"/>
      <c r="AA16" s="155"/>
      <c r="AB16" s="39"/>
      <c r="AC16" s="48"/>
    </row>
    <row r="17" spans="1:29">
      <c r="A17" s="146" t="s">
        <v>178</v>
      </c>
      <c r="B17" s="383">
        <v>0.37636477220596848</v>
      </c>
      <c r="C17" s="172"/>
      <c r="D17" s="173"/>
      <c r="E17" s="174"/>
      <c r="F17" s="555">
        <v>164297834</v>
      </c>
      <c r="G17" s="556">
        <v>272240987.19999999</v>
      </c>
      <c r="H17" s="557">
        <v>436538821.19999999</v>
      </c>
      <c r="I17" s="558">
        <v>206195183</v>
      </c>
      <c r="J17" s="555">
        <v>328296990.5</v>
      </c>
      <c r="K17" s="557">
        <v>534492173.5</v>
      </c>
      <c r="L17" s="557">
        <f>SUM('Cement import'!AL42:AQ42)</f>
        <v>292067955.72000003</v>
      </c>
      <c r="M17" s="557">
        <f>SUM('Cement import'!AR42:AW42)</f>
        <v>271215260.85000002</v>
      </c>
      <c r="N17" s="557">
        <f>L17+M17</f>
        <v>563283216.57000005</v>
      </c>
      <c r="O17" s="557">
        <f>SUM('Cement import'!AX42:BD42)</f>
        <v>281433635</v>
      </c>
      <c r="P17" s="557">
        <f>SUM('Cement import'!BD42:BI42)</f>
        <v>482972815</v>
      </c>
      <c r="Q17" s="557">
        <f>O17+P17</f>
        <v>764406450</v>
      </c>
      <c r="R17" s="557"/>
      <c r="V17" s="37" t="s">
        <v>178</v>
      </c>
      <c r="W17" s="148">
        <v>296123.81800000003</v>
      </c>
      <c r="X17" s="172">
        <v>129728.25499999995</v>
      </c>
      <c r="Y17" s="173">
        <v>425852.07299999997</v>
      </c>
      <c r="Z17" s="174"/>
      <c r="AA17" s="183"/>
      <c r="AB17" s="173"/>
      <c r="AC17" s="174"/>
    </row>
    <row r="18" spans="1:29">
      <c r="A18" s="146" t="s">
        <v>179</v>
      </c>
      <c r="B18" s="383">
        <v>0.48983040951677359</v>
      </c>
      <c r="C18" s="46"/>
      <c r="D18" s="47"/>
      <c r="E18" s="167"/>
      <c r="F18" s="559">
        <v>36079341.359999999</v>
      </c>
      <c r="G18" s="560">
        <v>37577460.379999995</v>
      </c>
      <c r="H18" s="561">
        <v>73656801.739999995</v>
      </c>
      <c r="I18" s="562">
        <v>35765205.870000005</v>
      </c>
      <c r="J18" s="559">
        <v>39522699.57</v>
      </c>
      <c r="K18" s="561">
        <v>75287905.439999998</v>
      </c>
      <c r="L18" s="561">
        <f>SUM('Cement import'!AL43:AQ43)</f>
        <v>39918043.829999998</v>
      </c>
      <c r="M18" s="561">
        <f>SUM('Cement import'!AR43:AW43)</f>
        <v>51984574.790000007</v>
      </c>
      <c r="N18" s="561">
        <f>L18+M18</f>
        <v>91902618.620000005</v>
      </c>
      <c r="O18" s="561">
        <f>SUM('Cement import'!AX43:BD43)</f>
        <v>49049036.030000001</v>
      </c>
      <c r="P18" s="561">
        <f>SUM('Cement import'!BD43:BI43)</f>
        <v>48457991.240000002</v>
      </c>
      <c r="Q18" s="561">
        <f>O18+P18</f>
        <v>97507027.270000011</v>
      </c>
      <c r="R18" s="561"/>
      <c r="V18" s="37" t="s">
        <v>179</v>
      </c>
      <c r="W18" s="148">
        <v>46450.367569999995</v>
      </c>
      <c r="X18" s="46">
        <v>22958.608789999991</v>
      </c>
      <c r="Y18" s="47">
        <v>69408.976359999986</v>
      </c>
      <c r="Z18" s="167"/>
      <c r="AA18" s="157"/>
      <c r="AB18" s="47"/>
      <c r="AC18" s="167"/>
    </row>
    <row r="19" spans="1:29" ht="15.5" thickBot="1">
      <c r="A19" s="146" t="s">
        <v>180</v>
      </c>
      <c r="B19" s="383">
        <v>0.40051507638346884</v>
      </c>
      <c r="C19" s="175"/>
      <c r="D19" s="176"/>
      <c r="E19" s="177"/>
      <c r="F19" s="563">
        <v>54564223.449999996</v>
      </c>
      <c r="G19" s="564">
        <v>81670906.430000007</v>
      </c>
      <c r="H19" s="565">
        <v>136235129.88</v>
      </c>
      <c r="I19" s="566">
        <v>64718526.789999999</v>
      </c>
      <c r="J19" s="563">
        <v>77924974.730000004</v>
      </c>
      <c r="K19" s="565">
        <v>142643501.52000001</v>
      </c>
      <c r="L19" s="565">
        <f>SUM('Cement import'!AL44:AQ44)</f>
        <v>64952850.399999999</v>
      </c>
      <c r="M19" s="565">
        <f>SUM('Cement import'!AR44:AW44)</f>
        <v>77508635.150000006</v>
      </c>
      <c r="N19" s="565">
        <f>L19+M19</f>
        <v>142461485.55000001</v>
      </c>
      <c r="O19" s="565">
        <f>SUM('Cement import'!AX44:BD44)</f>
        <v>105787189.2</v>
      </c>
      <c r="P19" s="565">
        <f>SUM('Cement import'!BD44:BI44)</f>
        <v>92133181.969999999</v>
      </c>
      <c r="Q19" s="565">
        <f>O19+P19</f>
        <v>197920371.17000002</v>
      </c>
      <c r="R19" s="565"/>
      <c r="V19" s="37" t="s">
        <v>180</v>
      </c>
      <c r="W19" s="148">
        <v>42857.720100000006</v>
      </c>
      <c r="X19" s="175">
        <v>29932.473230000003</v>
      </c>
      <c r="Y19" s="176">
        <v>72790.193330000009</v>
      </c>
      <c r="Z19" s="177"/>
      <c r="AA19" s="184"/>
      <c r="AB19" s="176"/>
      <c r="AC19" s="177"/>
    </row>
    <row r="20" spans="1:29" ht="15.5" thickBot="1">
      <c r="A20" s="267" t="s">
        <v>749</v>
      </c>
      <c r="B20" s="383"/>
      <c r="C20" s="164"/>
      <c r="D20" s="39"/>
      <c r="E20" s="48"/>
      <c r="F20" s="567"/>
      <c r="G20" s="568"/>
      <c r="H20" s="569"/>
      <c r="I20" s="570"/>
      <c r="J20" s="567"/>
      <c r="K20" s="569"/>
      <c r="L20" s="570"/>
      <c r="M20" s="567"/>
      <c r="N20" s="569"/>
      <c r="O20" s="570"/>
      <c r="P20" s="567"/>
      <c r="Q20" s="569"/>
      <c r="R20" s="716"/>
      <c r="V20" s="11" t="s">
        <v>181</v>
      </c>
      <c r="W20" s="148"/>
      <c r="X20" s="164"/>
      <c r="Y20" s="39">
        <v>56845699322.221497</v>
      </c>
      <c r="Z20" s="48"/>
      <c r="AA20" s="155"/>
      <c r="AB20" s="39"/>
      <c r="AC20" s="48"/>
    </row>
    <row r="21" spans="1:29">
      <c r="A21" s="146" t="s">
        <v>182</v>
      </c>
      <c r="B21" s="383">
        <v>0.42695704556564912</v>
      </c>
      <c r="C21" s="178"/>
      <c r="D21" s="179"/>
      <c r="E21" s="170"/>
      <c r="F21" s="571">
        <v>269661.53000000003</v>
      </c>
      <c r="G21" s="572">
        <v>361927.83666039095</v>
      </c>
      <c r="H21" s="573">
        <v>631589.36666039098</v>
      </c>
      <c r="I21" s="571">
        <v>410691.728</v>
      </c>
      <c r="J21" s="572">
        <v>551212.36110081302</v>
      </c>
      <c r="K21" s="573">
        <v>961904.08910081291</v>
      </c>
      <c r="L21" s="571">
        <v>388733.74</v>
      </c>
      <c r="M21" s="572">
        <f>N21-L21</f>
        <v>521741.31606797187</v>
      </c>
      <c r="N21" s="573">
        <f>L21/B21</f>
        <v>910475.05606797186</v>
      </c>
      <c r="O21" s="571">
        <f>'Large Ind Prod'!CD7</f>
        <v>380677.7</v>
      </c>
      <c r="P21" s="571">
        <f>'Large Ind Prod'!CE7</f>
        <v>452355.24</v>
      </c>
      <c r="Q21" s="571">
        <f>O21+P21</f>
        <v>833032.94</v>
      </c>
      <c r="R21" s="717"/>
      <c r="V21" s="11" t="s">
        <v>182</v>
      </c>
      <c r="W21" s="148">
        <v>56377.1</v>
      </c>
      <c r="X21" s="178">
        <v>124673.34999999999</v>
      </c>
      <c r="Y21" s="179">
        <v>181050.44999999998</v>
      </c>
      <c r="Z21" s="170"/>
      <c r="AA21" s="185"/>
      <c r="AB21" s="179"/>
      <c r="AC21" s="170"/>
    </row>
    <row r="22" spans="1:29">
      <c r="A22" s="146" t="s">
        <v>183</v>
      </c>
      <c r="B22" s="383">
        <v>0.4663318911421428</v>
      </c>
      <c r="C22" s="165"/>
      <c r="D22" s="162"/>
      <c r="E22" s="49"/>
      <c r="F22" s="574">
        <v>368894</v>
      </c>
      <c r="G22" s="575">
        <v>422160.626559</v>
      </c>
      <c r="H22" s="576">
        <v>791054.626559</v>
      </c>
      <c r="I22" s="574">
        <v>238302.36299999998</v>
      </c>
      <c r="J22" s="575">
        <v>0</v>
      </c>
      <c r="K22" s="576">
        <v>238302.36299999998</v>
      </c>
      <c r="L22" s="574">
        <v>0</v>
      </c>
      <c r="M22" s="575">
        <v>0</v>
      </c>
      <c r="N22" s="576">
        <v>0</v>
      </c>
      <c r="O22" s="574">
        <f>'Large Ind Prod'!CD40</f>
        <v>0</v>
      </c>
      <c r="P22" s="574">
        <f>'Large Ind Prod'!CE40</f>
        <v>0</v>
      </c>
      <c r="Q22" s="574">
        <f>O22+P22</f>
        <v>0</v>
      </c>
      <c r="R22" s="717"/>
      <c r="V22" s="11" t="s">
        <v>183</v>
      </c>
      <c r="W22" s="148">
        <v>770.60366520000002</v>
      </c>
      <c r="X22" s="165">
        <v>1283.5080910000001</v>
      </c>
      <c r="Y22" s="162">
        <v>2054.1117561999999</v>
      </c>
      <c r="Z22" s="49"/>
      <c r="AA22" s="158"/>
      <c r="AB22" s="162"/>
      <c r="AC22" s="49"/>
    </row>
    <row r="23" spans="1:29" ht="15.5" thickBot="1">
      <c r="A23" s="146" t="s">
        <v>184</v>
      </c>
      <c r="B23" s="149"/>
      <c r="C23" s="180"/>
      <c r="D23" s="181"/>
      <c r="E23" s="171"/>
      <c r="F23" s="577">
        <v>12868.915500000001</v>
      </c>
      <c r="G23" s="578">
        <v>51680.080999999998</v>
      </c>
      <c r="H23" s="579">
        <v>64548.996500000001</v>
      </c>
      <c r="I23" s="577">
        <v>1796.1409160000001</v>
      </c>
      <c r="J23" s="578">
        <v>1762.2179609999998</v>
      </c>
      <c r="K23" s="579">
        <v>3558.3588769999997</v>
      </c>
      <c r="L23" s="577">
        <v>0</v>
      </c>
      <c r="M23" s="578">
        <v>0</v>
      </c>
      <c r="N23" s="579">
        <v>0</v>
      </c>
      <c r="O23" s="577">
        <f>'Large Ind Prod'!CD8</f>
        <v>0</v>
      </c>
      <c r="P23" s="577">
        <f>'Large Ind Prod'!CE8</f>
        <v>0</v>
      </c>
      <c r="Q23" s="577">
        <f>O23+P23</f>
        <v>0</v>
      </c>
      <c r="R23" s="717"/>
      <c r="V23" s="11" t="s">
        <v>184</v>
      </c>
      <c r="W23" s="149">
        <v>17629.878661877734</v>
      </c>
      <c r="X23" s="180">
        <v>21974.599565276832</v>
      </c>
      <c r="Y23" s="181">
        <v>39604.47822715457</v>
      </c>
      <c r="Z23" s="171"/>
      <c r="AA23" s="186"/>
      <c r="AB23" s="181"/>
      <c r="AC23" s="171"/>
    </row>
    <row r="24" spans="1:29">
      <c r="B24"/>
      <c r="E24"/>
      <c r="H24"/>
    </row>
    <row r="25" spans="1:29">
      <c r="B25" s="774"/>
      <c r="C25" s="774"/>
      <c r="D25" s="774"/>
      <c r="E25" s="774"/>
      <c r="F25" s="774"/>
      <c r="G25" s="774"/>
      <c r="H25" s="775"/>
      <c r="I25" s="775"/>
      <c r="J25" s="775"/>
    </row>
    <row r="26" spans="1:29">
      <c r="B26"/>
      <c r="E26"/>
      <c r="H26"/>
      <c r="J26" s="17"/>
    </row>
    <row r="27" spans="1:29">
      <c r="B27"/>
      <c r="E27"/>
      <c r="H27"/>
      <c r="J27" s="17"/>
    </row>
    <row r="28" spans="1:29">
      <c r="B28"/>
      <c r="E28"/>
      <c r="H28"/>
      <c r="J28" s="17"/>
    </row>
    <row r="29" spans="1:29">
      <c r="B29"/>
      <c r="E29"/>
      <c r="H29"/>
      <c r="J29" s="17"/>
    </row>
    <row r="30" spans="1:29">
      <c r="B30"/>
      <c r="E30"/>
      <c r="H30"/>
      <c r="J30" s="17"/>
    </row>
    <row r="31" spans="1:29">
      <c r="B31"/>
      <c r="E31"/>
      <c r="H31"/>
      <c r="I31" s="17"/>
      <c r="J31" s="17"/>
    </row>
    <row r="32" spans="1:29" s="245" customFormat="1">
      <c r="A32"/>
      <c r="B32"/>
      <c r="C32"/>
      <c r="D32"/>
      <c r="E32"/>
      <c r="F32"/>
      <c r="G32"/>
      <c r="H32"/>
      <c r="I32"/>
      <c r="J32"/>
      <c r="K32"/>
      <c r="L32"/>
      <c r="O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</sheetData>
  <mergeCells count="10">
    <mergeCell ref="W1:Z1"/>
    <mergeCell ref="AA1:AC1"/>
    <mergeCell ref="I1:K1"/>
    <mergeCell ref="L1:N1"/>
    <mergeCell ref="B25:D25"/>
    <mergeCell ref="E25:G25"/>
    <mergeCell ref="H25:J25"/>
    <mergeCell ref="B1:E1"/>
    <mergeCell ref="F1:H1"/>
    <mergeCell ref="O1:Q1"/>
  </mergeCells>
  <pageMargins left="0.7" right="0.7" top="0.75" bottom="0.75" header="0.3" footer="0.3"/>
  <pageSetup paperSize="9" orientation="portrait" r:id="rId1"/>
  <ignoredErrors>
    <ignoredError sqref="E13:E14 E5 H5 E6:E7 E8:E12 H13:H14 H6:H7 H8:H12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C272-BD5F-447A-99FC-17B925AD3FCD}">
  <dimension ref="A1:AK121"/>
  <sheetViews>
    <sheetView topLeftCell="J1" zoomScale="98" zoomScaleNormal="98" workbookViewId="0">
      <pane xSplit="13" ySplit="2" topLeftCell="X3" activePane="bottomRight" state="frozen"/>
      <selection activeCell="J1" sqref="J1"/>
      <selection pane="topRight" activeCell="W1" sqref="W1"/>
      <selection pane="bottomLeft" activeCell="J3" sqref="J3"/>
      <selection pane="bottomRight" activeCell="AG16" sqref="AG16"/>
    </sheetView>
  </sheetViews>
  <sheetFormatPr defaultRowHeight="14.75"/>
  <cols>
    <col min="1" max="1" width="47.7265625" customWidth="1"/>
    <col min="2" max="2" width="12.08984375" customWidth="1"/>
    <col min="3" max="9" width="12.7265625" bestFit="1" customWidth="1"/>
    <col min="10" max="10" width="11.453125" bestFit="1" customWidth="1"/>
    <col min="12" max="12" width="36.90625" customWidth="1"/>
    <col min="13" max="13" width="13.08984375" hidden="1" customWidth="1"/>
    <col min="14" max="14" width="13.90625" hidden="1" customWidth="1"/>
    <col min="15" max="15" width="15.453125" hidden="1" customWidth="1"/>
    <col min="16" max="16" width="12.36328125" hidden="1" customWidth="1"/>
    <col min="17" max="17" width="15.36328125" hidden="1" customWidth="1"/>
    <col min="18" max="18" width="13.6328125" hidden="1" customWidth="1"/>
    <col min="19" max="19" width="15.90625" hidden="1" customWidth="1"/>
    <col min="20" max="20" width="13.7265625" hidden="1" customWidth="1"/>
    <col min="21" max="21" width="11.90625" hidden="1" customWidth="1"/>
    <col min="22" max="22" width="11.6328125" hidden="1" customWidth="1"/>
    <col min="23" max="23" width="10.6328125" customWidth="1"/>
    <col min="24" max="24" width="12.6328125" customWidth="1"/>
    <col min="25" max="25" width="11.26953125" customWidth="1"/>
    <col min="26" max="26" width="12.7265625" customWidth="1"/>
    <col min="27" max="28" width="13.453125" customWidth="1"/>
    <col min="29" max="29" width="12.26953125" customWidth="1"/>
    <col min="30" max="30" width="11.08984375" customWidth="1"/>
    <col min="31" max="31" width="11.453125" customWidth="1"/>
    <col min="32" max="33" width="8.7265625" customWidth="1"/>
    <col min="34" max="35" width="13.36328125" bestFit="1" customWidth="1"/>
    <col min="36" max="36" width="12.08984375" bestFit="1" customWidth="1"/>
  </cols>
  <sheetData>
    <row r="1" spans="1:37">
      <c r="A1" s="451"/>
      <c r="M1" s="776">
        <v>2015</v>
      </c>
      <c r="N1" s="776"/>
      <c r="O1" s="776">
        <v>2016</v>
      </c>
      <c r="P1" s="776"/>
      <c r="Q1" s="776">
        <v>2017</v>
      </c>
      <c r="R1" s="776"/>
      <c r="S1" s="776">
        <v>2018</v>
      </c>
      <c r="T1" s="776"/>
      <c r="U1" s="776">
        <v>2019</v>
      </c>
      <c r="V1" s="776"/>
      <c r="W1" s="776">
        <v>2020</v>
      </c>
      <c r="X1" s="776"/>
      <c r="Y1" s="776">
        <v>2021</v>
      </c>
      <c r="Z1" s="776"/>
      <c r="AA1" s="776">
        <v>2022</v>
      </c>
      <c r="AB1" s="776"/>
      <c r="AC1" s="776">
        <v>2023</v>
      </c>
      <c r="AD1" s="776"/>
      <c r="AE1" s="774"/>
      <c r="AF1" s="774"/>
    </row>
    <row r="2" spans="1:37">
      <c r="A2" s="452" t="s">
        <v>493</v>
      </c>
      <c r="B2" s="457">
        <v>2015</v>
      </c>
      <c r="C2" s="457">
        <f>B2+1</f>
        <v>2016</v>
      </c>
      <c r="D2" s="457">
        <f t="shared" ref="D2:J2" si="0">C2+1</f>
        <v>2017</v>
      </c>
      <c r="E2" s="457">
        <f t="shared" si="0"/>
        <v>2018</v>
      </c>
      <c r="F2" s="457">
        <f t="shared" si="0"/>
        <v>2019</v>
      </c>
      <c r="G2" s="457">
        <f t="shared" si="0"/>
        <v>2020</v>
      </c>
      <c r="H2" s="457">
        <f t="shared" si="0"/>
        <v>2021</v>
      </c>
      <c r="I2" s="457">
        <f t="shared" si="0"/>
        <v>2022</v>
      </c>
      <c r="J2" s="457">
        <f t="shared" si="0"/>
        <v>2023</v>
      </c>
      <c r="K2" s="451"/>
      <c r="L2" s="452" t="s">
        <v>493</v>
      </c>
      <c r="M2" s="457" t="s">
        <v>375</v>
      </c>
      <c r="N2" s="457" t="s">
        <v>581</v>
      </c>
      <c r="O2" s="457" t="s">
        <v>375</v>
      </c>
      <c r="P2" s="457" t="s">
        <v>376</v>
      </c>
      <c r="Q2" s="457" t="s">
        <v>375</v>
      </c>
      <c r="R2" s="457" t="s">
        <v>376</v>
      </c>
      <c r="S2" s="457" t="s">
        <v>375</v>
      </c>
      <c r="T2" s="457" t="s">
        <v>376</v>
      </c>
      <c r="U2" s="457" t="s">
        <v>375</v>
      </c>
      <c r="V2" s="457" t="s">
        <v>376</v>
      </c>
      <c r="W2" s="457" t="s">
        <v>375</v>
      </c>
      <c r="X2" s="457" t="s">
        <v>376</v>
      </c>
      <c r="Y2" s="457" t="s">
        <v>375</v>
      </c>
      <c r="Z2" s="457" t="s">
        <v>376</v>
      </c>
      <c r="AA2" s="457" t="s">
        <v>375</v>
      </c>
      <c r="AB2" s="457" t="s">
        <v>376</v>
      </c>
      <c r="AC2" s="457" t="s">
        <v>375</v>
      </c>
      <c r="AD2" s="457" t="s">
        <v>376</v>
      </c>
      <c r="AH2" s="457" t="s">
        <v>582</v>
      </c>
      <c r="AI2" s="457" t="s">
        <v>583</v>
      </c>
      <c r="AJ2" s="457" t="s">
        <v>584</v>
      </c>
      <c r="AK2" s="457"/>
    </row>
    <row r="3" spans="1:37">
      <c r="A3" s="453" t="s">
        <v>139</v>
      </c>
      <c r="B3" s="33">
        <f>SUM('[1]GDP KP'!AN3:AQ3)</f>
        <v>6986.2343714558265</v>
      </c>
      <c r="C3" s="33">
        <f>SUM('[1]GDP KP'!AR3:AU3)</f>
        <v>7403.3646286588228</v>
      </c>
      <c r="D3" s="33">
        <f>SUM('[1]GDP KP'!AV3:AY3)</f>
        <v>7694.2341796927758</v>
      </c>
      <c r="E3" s="33">
        <f>SUM('[1]GDP KP'!AZ3:BC3)</f>
        <v>8351.0262413877354</v>
      </c>
      <c r="F3" s="33">
        <f>SUM('[1]GDP KP'!BD3:BG3)</f>
        <v>9141.2240675113226</v>
      </c>
      <c r="G3" s="33">
        <f>SUM('[1]GDP KP'!BH3:BK3)</f>
        <v>8832.5692251448272</v>
      </c>
      <c r="H3" s="33">
        <f>SUM('[1]GDP KP'!BL3:BO3)</f>
        <v>9793.178702049423</v>
      </c>
      <c r="I3" s="33">
        <f>SUM('[1]GDP KP'!BP3:BS3)</f>
        <v>10592.340125493538</v>
      </c>
      <c r="J3" s="33" t="e">
        <f>SUM('[1]GDP KP'!BT3:BW3)</f>
        <v>#REF!</v>
      </c>
      <c r="L3" s="453" t="s">
        <v>139</v>
      </c>
      <c r="M3" s="453">
        <f>SUM('[1]GDP KP'!AN3:AO3)</f>
        <v>3402.2108099866427</v>
      </c>
      <c r="N3" s="453">
        <f>SUM('[1]GDP KP'!AP3:AQ3)</f>
        <v>3584.0235614691837</v>
      </c>
      <c r="O3" s="453">
        <f>SUM('[1]GDP KP'!AR3:AS3)</f>
        <v>3729.4947900786169</v>
      </c>
      <c r="P3" s="453">
        <f>SUM('[1]GDP KP'!AT3:AU3)</f>
        <v>3673.8698385802059</v>
      </c>
      <c r="Q3" s="453">
        <f>SUM('[1]GDP KP'!AV3:AW3)</f>
        <v>3766.2117320804068</v>
      </c>
      <c r="R3" s="453">
        <f>SUM('[1]GDP KP'!AX3:AY3)</f>
        <v>3928.0224476123685</v>
      </c>
      <c r="S3" s="453">
        <f>SUM('[1]GDP KP'!AZ3:BA3)</f>
        <v>4095.415051971393</v>
      </c>
      <c r="T3" s="453">
        <f>SUM('[1]GDP KP'!BB3:BC3)</f>
        <v>4255.6111894163423</v>
      </c>
      <c r="U3" s="453">
        <f>SUM('[1]GDP KP'!BD3:BE3)</f>
        <v>4474.3999725498743</v>
      </c>
      <c r="V3" s="453">
        <f>SUM('[1]GDP KP'!BF3:BG3)</f>
        <v>4666.8240949614483</v>
      </c>
      <c r="W3" s="453">
        <f>SUM('[1]GDP KP'!BH3:BI3)</f>
        <v>4266.3474503216448</v>
      </c>
      <c r="X3" s="453">
        <f>SUM('[1]GDP KP'!BJ3:BK3)</f>
        <v>4566.2217748231815</v>
      </c>
      <c r="Y3" s="453">
        <f>SUM('[1]GDP KP'!BL3:BM3)</f>
        <v>4761.9512987824937</v>
      </c>
      <c r="Z3" s="453">
        <f>SUM('[1]GDP KP'!BN3:BO3)</f>
        <v>5031.2274032669302</v>
      </c>
      <c r="AA3" s="453">
        <f>SUM('[1]GDP KP'!BP3:BQ3)</f>
        <v>5127.2806270419733</v>
      </c>
      <c r="AB3" s="453">
        <f>SUM('[1]GDP KP'!BR3:BS3)</f>
        <v>5465.0594984515647</v>
      </c>
      <c r="AC3" s="453">
        <f>SUM('[1]GDP KP'!BT3:BU3)</f>
        <v>5521.330010167565</v>
      </c>
      <c r="AD3" s="453" t="e">
        <f>SUM('[1]GDP KP'!BV3:BW3)</f>
        <v>#REF!</v>
      </c>
      <c r="AE3" s="453"/>
      <c r="AF3" s="453"/>
      <c r="AG3" s="453"/>
      <c r="AH3" s="453">
        <f t="shared" ref="AH3:AH11" si="1">AVERAGE(M3,O3,Q3,S3,U3,W3,Y3,AA3)</f>
        <v>4202.9139666016308</v>
      </c>
      <c r="AI3" s="453">
        <f>AVERAGE(SUM(M3:N3),SUM(O3:P3),SUM(Q3:R3),SUM(S3:T3),SUM(U3:V3),SUM(W3:X3), SUM(Y3:Z3),SUM(AA3:AB3))</f>
        <v>8599.2714426742841</v>
      </c>
      <c r="AJ3" s="477">
        <f>AH3/AI3</f>
        <v>0.48875233147595215</v>
      </c>
    </row>
    <row r="4" spans="1:37">
      <c r="A4" s="451"/>
      <c r="B4" s="33" t="e">
        <f>SUM('[1]GDP KP'!AN4:AQ4)</f>
        <v>#REF!</v>
      </c>
      <c r="C4" s="33" t="e">
        <f>SUM('[1]GDP KP'!AR4:AU4)</f>
        <v>#REF!</v>
      </c>
      <c r="D4" s="33" t="e">
        <f>SUM('[1]GDP KP'!AV4:AY4)</f>
        <v>#REF!</v>
      </c>
      <c r="E4" s="33" t="e">
        <f>SUM('[1]GDP KP'!AZ4:BC4)</f>
        <v>#REF!</v>
      </c>
      <c r="F4" s="33" t="e">
        <f>SUM('[1]GDP KP'!BD4:BG4)</f>
        <v>#REF!</v>
      </c>
      <c r="G4" s="33" t="e">
        <f>SUM('[1]GDP KP'!BH4:BK4)</f>
        <v>#REF!</v>
      </c>
      <c r="H4" s="33" t="e">
        <f>SUM('[1]GDP KP'!BL4:BO4)</f>
        <v>#REF!</v>
      </c>
      <c r="I4" s="33" t="e">
        <f>SUM('[1]GDP KP'!BP4:BS4)</f>
        <v>#REF!</v>
      </c>
      <c r="J4" s="33" t="e">
        <f>SUM('[1]GDP KP'!BT4:BW4)</f>
        <v>#REF!</v>
      </c>
      <c r="L4" s="451"/>
      <c r="M4" s="485"/>
      <c r="N4" s="485"/>
      <c r="O4" s="485"/>
      <c r="P4" s="485"/>
      <c r="Q4" s="485"/>
      <c r="R4" s="485"/>
      <c r="S4" s="485"/>
      <c r="T4" s="485"/>
      <c r="U4" s="485"/>
      <c r="V4" s="485"/>
      <c r="W4" s="485"/>
      <c r="X4" s="485"/>
      <c r="Y4" s="485"/>
      <c r="Z4" s="485"/>
      <c r="AA4" s="485"/>
      <c r="AB4" s="485"/>
      <c r="AC4" s="485"/>
      <c r="AD4" s="485"/>
      <c r="AE4" s="485"/>
      <c r="AF4" s="485"/>
      <c r="AG4" s="485"/>
      <c r="AH4" s="485"/>
      <c r="AI4" s="485"/>
      <c r="AJ4" s="484"/>
    </row>
    <row r="5" spans="1:37">
      <c r="A5" s="453" t="s">
        <v>140</v>
      </c>
      <c r="B5" s="453">
        <f>SUM('[1]GDP KP'!AN5:AQ5)</f>
        <v>1863.0725984234948</v>
      </c>
      <c r="C5" s="453">
        <f>SUM('[1]GDP KP'!AR5:AU5)</f>
        <v>1935.3633877855418</v>
      </c>
      <c r="D5" s="453">
        <f>SUM('[1]GDP KP'!AV5:AY5)</f>
        <v>2027.0796695326587</v>
      </c>
      <c r="E5" s="453">
        <f>SUM('[1]GDP KP'!AZ5:BC5)</f>
        <v>2150.992156334401</v>
      </c>
      <c r="F5" s="453">
        <f>SUM('[1]GDP KP'!BD5:BG5)</f>
        <v>2259.1083971196304</v>
      </c>
      <c r="G5" s="453">
        <f>SUM('[1]GDP KP'!BH5:BK5)</f>
        <v>2278.4972432355985</v>
      </c>
      <c r="H5" s="453">
        <f>SUM('[1]GDP KP'!BL5:BO5)</f>
        <v>2423.5911201613526</v>
      </c>
      <c r="I5" s="453">
        <f>SUM('[1]GDP KP'!BP5:BS5)</f>
        <v>2461.2400144656349</v>
      </c>
      <c r="J5" s="453" t="e">
        <f>SUM('[1]GDP KP'!BT5:BW5)</f>
        <v>#REF!</v>
      </c>
      <c r="L5" s="453" t="s">
        <v>140</v>
      </c>
      <c r="M5" s="453">
        <f>SUM('[1]GDP KP'!AN5:AO5)</f>
        <v>920.75805981032318</v>
      </c>
      <c r="N5" s="453">
        <f>SUM('[1]GDP KP'!AP5:AQ5)</f>
        <v>942.31453861317186</v>
      </c>
      <c r="O5" s="453">
        <f>SUM('[1]GDP KP'!AR5:AS5)</f>
        <v>989.59746330054236</v>
      </c>
      <c r="P5" s="453">
        <f>SUM('[1]GDP KP'!AT5:AU5)</f>
        <v>945.76592448499935</v>
      </c>
      <c r="Q5" s="453">
        <f>SUM('[1]GDP KP'!AV5:AW5)</f>
        <v>1007.7799432436528</v>
      </c>
      <c r="R5" s="453">
        <f>SUM('[1]GDP KP'!AX5:AY5)</f>
        <v>1019.2997262890059</v>
      </c>
      <c r="S5" s="453">
        <f>SUM('[1]GDP KP'!AZ5:BA5)</f>
        <v>1088.5924723250303</v>
      </c>
      <c r="T5" s="453">
        <f>SUM('[1]GDP KP'!BB5:BC5)</f>
        <v>1062.3996840093705</v>
      </c>
      <c r="U5" s="453">
        <f>SUM('[1]GDP KP'!BD5:BE5)</f>
        <v>1138.0530941043444</v>
      </c>
      <c r="V5" s="453">
        <f>SUM('[1]GDP KP'!BF5:BG5)</f>
        <v>1121.0553030152862</v>
      </c>
      <c r="W5" s="453">
        <f>SUM('[1]GDP KP'!BH5:BI5)</f>
        <v>1126.1851146596184</v>
      </c>
      <c r="X5" s="453">
        <f>SUM('[1]GDP KP'!BJ5:BK5)</f>
        <v>1152.3121285759801</v>
      </c>
      <c r="Y5" s="453">
        <f>SUM('[1]GDP KP'!BL5:BM5)</f>
        <v>1205.3856323882637</v>
      </c>
      <c r="Z5" s="453">
        <f>SUM('[1]GDP KP'!BN5:BO5)</f>
        <v>1218.2054877730889</v>
      </c>
      <c r="AA5" s="453">
        <f>SUM('[1]GDP KP'!BP5:BQ5)</f>
        <v>1220.8325464553807</v>
      </c>
      <c r="AB5" s="453">
        <f>SUM('[1]GDP KP'!BR5:BS5)</f>
        <v>1240.4074680102544</v>
      </c>
      <c r="AC5" s="453">
        <f>SUM('[1]GDP KP'!BT5:BU5)</f>
        <v>1224.7283573977647</v>
      </c>
      <c r="AD5" s="453" t="e">
        <f>SUM('[1]GDP KP'!BV5:BW5)</f>
        <v>#REF!</v>
      </c>
      <c r="AE5" s="453"/>
      <c r="AF5" s="453"/>
      <c r="AG5" s="453"/>
      <c r="AH5" s="453">
        <f t="shared" si="1"/>
        <v>1087.1480407858944</v>
      </c>
      <c r="AI5" s="453">
        <f t="shared" ref="AI5:AI67" si="2">AVERAGE(SUM(M5:N5),SUM(O5:P5),SUM(Q5:R5),SUM(S5:T5),SUM(U5:V5),SUM(W5:X5), SUM(Y5:Z5),SUM(AA5:AB5))</f>
        <v>2174.8680733822894</v>
      </c>
      <c r="AJ5" s="477">
        <f>AH5/AI5</f>
        <v>0.499868499653496</v>
      </c>
    </row>
    <row r="6" spans="1:37">
      <c r="A6" s="454" t="s">
        <v>19</v>
      </c>
      <c r="B6" s="458">
        <f>SUM('[1]GDP KP'!AN6:AQ6)</f>
        <v>1198.8765282129884</v>
      </c>
      <c r="C6" s="458">
        <f>SUM('[1]GDP KP'!AR6:AU6)</f>
        <v>1235.32041534371</v>
      </c>
      <c r="D6" s="458">
        <f>SUM('[1]GDP KP'!AV6:AY6)</f>
        <v>1296.5725284404691</v>
      </c>
      <c r="E6" s="458">
        <f>SUM('[1]GDP KP'!AZ6:BC6)</f>
        <v>1373.1628414913973</v>
      </c>
      <c r="F6" s="458">
        <f>SUM('[1]GDP KP'!BD6:BG6)</f>
        <v>1428.2951872682122</v>
      </c>
      <c r="G6" s="458">
        <f>SUM('[1]GDP KP'!BH6:BK6)</f>
        <v>1432.9044701406488</v>
      </c>
      <c r="H6" s="458">
        <f>SUM('[1]GDP KP'!BL6:BO6)</f>
        <v>1529.0987837883129</v>
      </c>
      <c r="I6" s="458">
        <f>SUM('[1]GDP KP'!BP6:BS6)</f>
        <v>1515.7696369003152</v>
      </c>
      <c r="J6" s="458" t="e">
        <f>SUM('[1]GDP KP'!BT6:BW6)</f>
        <v>#REF!</v>
      </c>
      <c r="L6" s="454" t="s">
        <v>19</v>
      </c>
      <c r="M6" s="458">
        <f>SUM('[1]GDP KP'!AN6:AO6)</f>
        <v>613.43999262317368</v>
      </c>
      <c r="N6" s="458">
        <f>SUM('[1]GDP KP'!AP6:AQ6)</f>
        <v>585.43653558981464</v>
      </c>
      <c r="O6" s="458">
        <f>SUM('[1]GDP KP'!AR6:AS6)</f>
        <v>656.16592247021765</v>
      </c>
      <c r="P6" s="458">
        <f>SUM('[1]GDP KP'!AT6:AU6)</f>
        <v>579.15449287349225</v>
      </c>
      <c r="Q6" s="458">
        <f>SUM('[1]GDP KP'!AV6:AW6)</f>
        <v>663.18446926464128</v>
      </c>
      <c r="R6" s="458">
        <f>SUM('[1]GDP KP'!AX6:AY6)</f>
        <v>633.38805917582783</v>
      </c>
      <c r="S6" s="458">
        <f>SUM('[1]GDP KP'!AZ6:BA6)</f>
        <v>717.10992369652161</v>
      </c>
      <c r="T6" s="458">
        <f>SUM('[1]GDP KP'!BB6:BC6)</f>
        <v>656.05291779487573</v>
      </c>
      <c r="U6" s="458">
        <f>SUM('[1]GDP KP'!BD6:BE6)</f>
        <v>743.50702016133323</v>
      </c>
      <c r="V6" s="458">
        <f>SUM('[1]GDP KP'!BF6:BG6)</f>
        <v>684.78816710687886</v>
      </c>
      <c r="W6" s="458">
        <f>SUM('[1]GDP KP'!BH6:BI6)</f>
        <v>730.22023415150557</v>
      </c>
      <c r="X6" s="458">
        <f>SUM('[1]GDP KP'!BJ6:BK6)</f>
        <v>702.68423598914319</v>
      </c>
      <c r="Y6" s="458">
        <f>SUM('[1]GDP KP'!BL6:BM6)</f>
        <v>781.41835566168379</v>
      </c>
      <c r="Z6" s="458">
        <f>SUM('[1]GDP KP'!BN6:BO6)</f>
        <v>747.68042812662895</v>
      </c>
      <c r="AA6" s="458">
        <f>SUM('[1]GDP KP'!BP6:BQ6)</f>
        <v>772.22079702236556</v>
      </c>
      <c r="AB6" s="458">
        <f>SUM('[1]GDP KP'!BR6:BS6)</f>
        <v>743.5488398779496</v>
      </c>
      <c r="AC6" s="485">
        <f>SUM('[1]GDP KP'!BT6:BU6)</f>
        <v>747.33393473384365</v>
      </c>
      <c r="AD6" s="458" t="e">
        <f>SUM('[1]GDP KP'!BV6:BW6)</f>
        <v>#REF!</v>
      </c>
      <c r="AE6" s="458"/>
      <c r="AF6" s="458"/>
      <c r="AG6" s="458"/>
      <c r="AH6" s="458">
        <f t="shared" si="1"/>
        <v>709.65833938143021</v>
      </c>
      <c r="AI6" s="458">
        <f t="shared" si="2"/>
        <v>1376.2500489482568</v>
      </c>
      <c r="AJ6" s="479">
        <f t="shared" ref="AJ6:AJ20" si="3">AH6/AI6</f>
        <v>0.51564636813183606</v>
      </c>
    </row>
    <row r="7" spans="1:37">
      <c r="A7" s="451" t="s">
        <v>444</v>
      </c>
      <c r="B7" s="33">
        <f>SUM('[1]GDP KP'!AN7:AQ7)</f>
        <v>173.65156531320923</v>
      </c>
      <c r="C7" s="33">
        <f>SUM('[1]GDP KP'!AR7:AU7)</f>
        <v>187.60510168870181</v>
      </c>
      <c r="D7" s="33">
        <f>SUM('[1]GDP KP'!AV7:AY7)</f>
        <v>192.8490777951975</v>
      </c>
      <c r="E7" s="33">
        <f>SUM('[1]GDP KP'!AZ7:BC7)</f>
        <v>204.53101203988621</v>
      </c>
      <c r="F7" s="33">
        <f>SUM('[1]GDP KP'!BD7:BG7)</f>
        <v>213.17315030803454</v>
      </c>
      <c r="G7" s="33">
        <f>SUM('[1]GDP KP'!BH7:BK7)</f>
        <v>215.84025871620636</v>
      </c>
      <c r="H7" s="33">
        <f>SUM('[1]GDP KP'!BL7:BO7)</f>
        <v>233.54488174942458</v>
      </c>
      <c r="I7" s="33">
        <f>SUM('[1]GDP KP'!BP7:BS7)</f>
        <v>234.77479528065894</v>
      </c>
      <c r="J7" s="33" t="e">
        <f>SUM('[1]GDP KP'!BT7:BW7)</f>
        <v>#REF!</v>
      </c>
      <c r="L7" s="451" t="s">
        <v>444</v>
      </c>
      <c r="M7" s="485">
        <f>SUM('[1]GDP KP'!AN7:AO7)</f>
        <v>101.54931567253054</v>
      </c>
      <c r="N7" s="485">
        <f>SUM('[1]GDP KP'!AP7:AQ7)</f>
        <v>72.102249640678679</v>
      </c>
      <c r="O7" s="485">
        <f>SUM('[1]GDP KP'!AR7:AS7)</f>
        <v>112.44838680070301</v>
      </c>
      <c r="P7" s="485">
        <f>SUM('[1]GDP KP'!AT7:AU7)</f>
        <v>75.156714887998803</v>
      </c>
      <c r="Q7" s="485">
        <f>SUM('[1]GDP KP'!AV7:AW7)</f>
        <v>110.70165464828285</v>
      </c>
      <c r="R7" s="485">
        <f>SUM('[1]GDP KP'!BO7:BR7)</f>
        <v>231.51686123430025</v>
      </c>
      <c r="S7" s="485">
        <f>SUM('[1]GDP KP'!AZ7:BA7)</f>
        <v>122.14080112474808</v>
      </c>
      <c r="T7" s="485">
        <f>SUM('[1]GDP KP'!BB7:BC7)</f>
        <v>82.390210915138127</v>
      </c>
      <c r="U7" s="485">
        <f>SUM('[1]GDP KP'!BD7:BE7)</f>
        <v>122.71385146890802</v>
      </c>
      <c r="V7" s="485">
        <f>SUM('[1]GDP KP'!BF7:BG7)</f>
        <v>90.459298839126532</v>
      </c>
      <c r="W7" s="485">
        <f>SUM('[1]GDP KP'!BH7:BI7)</f>
        <v>125.91288586294029</v>
      </c>
      <c r="X7" s="485">
        <f>SUM('[1]GDP KP'!BJ7:BK7)</f>
        <v>89.927372853266078</v>
      </c>
      <c r="Y7" s="485">
        <f>SUM('[1]GDP KP'!BL7:BM7)</f>
        <v>137.87310138038333</v>
      </c>
      <c r="Z7" s="485">
        <f>SUM('[1]GDP KP'!BN7:BO7)</f>
        <v>95.671780369041215</v>
      </c>
      <c r="AA7" s="485">
        <f>SUM('[1]GDP KP'!BP7:BQ7)</f>
        <v>132.58714681890038</v>
      </c>
      <c r="AB7" s="485">
        <f>SUM('[1]GDP KP'!BR7:BS7)</f>
        <v>102.18764846175854</v>
      </c>
      <c r="AC7" s="485">
        <f>SUM('[1]GDP KP'!BT7:BU7)</f>
        <v>141.5247829573843</v>
      </c>
      <c r="AD7" s="485" t="e">
        <f>SUM('[1]GDP KP'!BV7:BW7)</f>
        <v>#REF!</v>
      </c>
      <c r="AE7" s="485"/>
      <c r="AF7" s="485"/>
      <c r="AG7" s="485"/>
      <c r="AH7" s="485">
        <f t="shared" si="1"/>
        <v>120.74089297217455</v>
      </c>
      <c r="AI7" s="485">
        <f t="shared" si="2"/>
        <v>225.66741012233811</v>
      </c>
      <c r="AJ7" s="484">
        <f t="shared" si="3"/>
        <v>0.53503912198362569</v>
      </c>
    </row>
    <row r="8" spans="1:37">
      <c r="A8" s="451" t="s">
        <v>494</v>
      </c>
      <c r="B8" s="33">
        <f>SUM('[1]GDP KP'!AN8:AQ8)</f>
        <v>370.73951756714399</v>
      </c>
      <c r="C8" s="33">
        <f>SUM('[1]GDP KP'!AR8:AU8)</f>
        <v>371.18144903937309</v>
      </c>
      <c r="D8" s="33">
        <f>SUM('[1]GDP KP'!AV8:AY8)</f>
        <v>437.85254042065907</v>
      </c>
      <c r="E8" s="33">
        <f>SUM('[1]GDP KP'!AZ8:BC8)</f>
        <v>469.70888417146836</v>
      </c>
      <c r="F8" s="33">
        <f>SUM('[1]GDP KP'!BD8:BG8)</f>
        <v>494.96056061815312</v>
      </c>
      <c r="G8" s="33">
        <f>SUM('[1]GDP KP'!BH8:BK8)</f>
        <v>489.49211963212247</v>
      </c>
      <c r="H8" s="33">
        <f>SUM('[1]GDP KP'!BL8:BO8)</f>
        <v>516.96342661790413</v>
      </c>
      <c r="I8" s="33">
        <f>SUM('[1]GDP KP'!BP8:BS8)</f>
        <v>523.61466192217188</v>
      </c>
      <c r="J8" s="33" t="e">
        <f>SUM('[1]GDP KP'!BT8:BW8)</f>
        <v>#REF!</v>
      </c>
      <c r="L8" s="451" t="s">
        <v>494</v>
      </c>
      <c r="M8" s="485">
        <f>SUM('[1]GDP KP'!AN8:AO8)</f>
        <v>181.28527909885432</v>
      </c>
      <c r="N8" s="485">
        <f>SUM('[1]GDP KP'!AP8:AQ8)</f>
        <v>189.45423846828967</v>
      </c>
      <c r="O8" s="485">
        <f>SUM('[1]GDP KP'!AR8:AS8)</f>
        <v>188.59284623267297</v>
      </c>
      <c r="P8" s="485">
        <f>SUM('[1]GDP KP'!AT8:AU8)</f>
        <v>182.5886028067001</v>
      </c>
      <c r="Q8" s="485">
        <f>SUM('[1]GDP KP'!AV8:AW8)</f>
        <v>208.44396195556152</v>
      </c>
      <c r="R8" s="485">
        <f>SUM('[1]GDP KP'!BO8:BR8)</f>
        <v>525.85153965080724</v>
      </c>
      <c r="S8" s="485">
        <f>SUM('[1]GDP KP'!AZ8:BA8)</f>
        <v>230.45443225760283</v>
      </c>
      <c r="T8" s="485">
        <f>SUM('[1]GDP KP'!BB8:BC8)</f>
        <v>239.25445191386549</v>
      </c>
      <c r="U8" s="485">
        <f>SUM('[1]GDP KP'!BD8:BE8)</f>
        <v>241.81549915110358</v>
      </c>
      <c r="V8" s="485">
        <f>SUM('[1]GDP KP'!BF8:BG8)</f>
        <v>253.14506146704954</v>
      </c>
      <c r="W8" s="485">
        <f>SUM('[1]GDP KP'!BH8:BI8)</f>
        <v>236.38338049617903</v>
      </c>
      <c r="X8" s="485">
        <f>SUM('[1]GDP KP'!BJ8:BK8)</f>
        <v>253.10873913594344</v>
      </c>
      <c r="Y8" s="485">
        <f>SUM('[1]GDP KP'!BL8:BM8)</f>
        <v>250.71750562851565</v>
      </c>
      <c r="Z8" s="485">
        <f>SUM('[1]GDP KP'!BN8:BO8)</f>
        <v>266.24592098938842</v>
      </c>
      <c r="AA8" s="485">
        <f>SUM('[1]GDP KP'!BP8:BQ8)</f>
        <v>261.84249639005418</v>
      </c>
      <c r="AB8" s="485">
        <f>SUM('[1]GDP KP'!BR8:BS8)</f>
        <v>261.7721655321177</v>
      </c>
      <c r="AC8" s="485">
        <f>SUM('[1]GDP KP'!BT8:BU8)</f>
        <v>249.09304305358924</v>
      </c>
      <c r="AD8" s="485" t="e">
        <f>SUM('[1]GDP KP'!BV8:BW8)</f>
        <v>#REF!</v>
      </c>
      <c r="AE8" s="485"/>
      <c r="AF8" s="485"/>
      <c r="AG8" s="485"/>
      <c r="AH8" s="485">
        <f t="shared" si="1"/>
        <v>224.941925151318</v>
      </c>
      <c r="AI8" s="485">
        <f t="shared" si="2"/>
        <v>496.36951514683824</v>
      </c>
      <c r="AJ8" s="484">
        <f t="shared" si="3"/>
        <v>0.45317433542383173</v>
      </c>
    </row>
    <row r="9" spans="1:37">
      <c r="A9" s="451" t="s">
        <v>495</v>
      </c>
      <c r="B9" s="33">
        <f>SUM('[1]GDP KP'!AN9:AQ9)</f>
        <v>370.87674661476393</v>
      </c>
      <c r="C9" s="33">
        <f>SUM('[1]GDP KP'!AR9:AU9)</f>
        <v>385.5126982824097</v>
      </c>
      <c r="D9" s="33">
        <f>SUM('[1]GDP KP'!AV9:AY9)</f>
        <v>377.22941978819273</v>
      </c>
      <c r="E9" s="33">
        <f>SUM('[1]GDP KP'!AZ9:BC9)</f>
        <v>408.34648882638396</v>
      </c>
      <c r="F9" s="33">
        <f>SUM('[1]GDP KP'!BD9:BG9)</f>
        <v>411.22364402098736</v>
      </c>
      <c r="G9" s="33">
        <f>SUM('[1]GDP KP'!BH9:BK9)</f>
        <v>398.34989645315102</v>
      </c>
      <c r="H9" s="33">
        <f>SUM('[1]GDP KP'!BL9:BO9)</f>
        <v>431.59864252633975</v>
      </c>
      <c r="I9" s="33">
        <f>SUM('[1]GDP KP'!BP9:BS9)</f>
        <v>400.99345824029149</v>
      </c>
      <c r="J9" s="33" t="e">
        <f>SUM('[1]GDP KP'!BT9:BW9)</f>
        <v>#REF!</v>
      </c>
      <c r="L9" s="451" t="s">
        <v>495</v>
      </c>
      <c r="M9" s="485">
        <f>SUM('[1]GDP KP'!AN9:AO9)</f>
        <v>193.91311295245913</v>
      </c>
      <c r="N9" s="485">
        <f>SUM('[1]GDP KP'!AP9:AQ9)</f>
        <v>176.96363366230483</v>
      </c>
      <c r="O9" s="485">
        <f>SUM('[1]GDP KP'!AR9:AS9)</f>
        <v>197.26091233798866</v>
      </c>
      <c r="P9" s="485">
        <f>SUM('[1]GDP KP'!AT9:AU9)</f>
        <v>188.25178594442104</v>
      </c>
      <c r="Q9" s="485">
        <f>SUM('[1]GDP KP'!AV9:AW9)</f>
        <v>176.77622203232724</v>
      </c>
      <c r="R9" s="485">
        <f>SUM('[1]GDP KP'!BO9:BR9)</f>
        <v>406.61836275344382</v>
      </c>
      <c r="S9" s="485">
        <f>SUM('[1]GDP KP'!AZ9:BA9)</f>
        <v>205.99806583376414</v>
      </c>
      <c r="T9" s="485">
        <f>SUM('[1]GDP KP'!BB9:BC9)</f>
        <v>202.34842299261987</v>
      </c>
      <c r="U9" s="485">
        <f>SUM('[1]GDP KP'!BD9:BE9)</f>
        <v>206.54291158604616</v>
      </c>
      <c r="V9" s="485">
        <f>SUM('[1]GDP KP'!BF9:BG9)</f>
        <v>204.68073243494123</v>
      </c>
      <c r="W9" s="485">
        <f>SUM('[1]GDP KP'!BH9:BI9)</f>
        <v>191.1232536113811</v>
      </c>
      <c r="X9" s="485">
        <f>SUM('[1]GDP KP'!BJ9:BK9)</f>
        <v>207.22664284176994</v>
      </c>
      <c r="Y9" s="485">
        <f>SUM('[1]GDP KP'!BL9:BM9)</f>
        <v>207.6455693935506</v>
      </c>
      <c r="Z9" s="485">
        <f>SUM('[1]GDP KP'!BN9:BO9)</f>
        <v>223.95307313278914</v>
      </c>
      <c r="AA9" s="485">
        <f>SUM('[1]GDP KP'!BP9:BQ9)</f>
        <v>188.29019413380706</v>
      </c>
      <c r="AB9" s="485">
        <f>SUM('[1]GDP KP'!BR9:BS9)</f>
        <v>212.70326410648443</v>
      </c>
      <c r="AC9" s="485">
        <f>SUM('[1]GDP KP'!BT9:BU9)</f>
        <v>163.55263063645043</v>
      </c>
      <c r="AD9" s="485" t="e">
        <f>SUM('[1]GDP KP'!BV9:BW9)</f>
        <v>#REF!</v>
      </c>
      <c r="AE9" s="485"/>
      <c r="AF9" s="485"/>
      <c r="AG9" s="485"/>
      <c r="AH9" s="485">
        <f t="shared" si="1"/>
        <v>195.94378023516552</v>
      </c>
      <c r="AI9" s="485">
        <f t="shared" si="2"/>
        <v>423.78701996876231</v>
      </c>
      <c r="AJ9" s="484">
        <f t="shared" si="3"/>
        <v>0.4623638077674222</v>
      </c>
    </row>
    <row r="10" spans="1:37">
      <c r="A10" s="451" t="s">
        <v>496</v>
      </c>
      <c r="B10" s="33">
        <f>SUM('[1]GDP KP'!AN10:AQ10)</f>
        <v>285.95618431384946</v>
      </c>
      <c r="C10" s="33">
        <f>SUM('[1]GDP KP'!AR10:AU10)</f>
        <v>283.82626299369633</v>
      </c>
      <c r="D10" s="33">
        <f>SUM('[1]GDP KP'!AV10:AY10)</f>
        <v>277.32895534725083</v>
      </c>
      <c r="E10" s="33">
        <f>SUM('[1]GDP KP'!AZ10:BC10)</f>
        <v>278.74697979042031</v>
      </c>
      <c r="F10" s="33">
        <f>SUM('[1]GDP KP'!BD10:BG10)</f>
        <v>298.02598602761844</v>
      </c>
      <c r="G10" s="33">
        <f>SUM('[1]GDP KP'!BH10:BK10)</f>
        <v>319.73336593649594</v>
      </c>
      <c r="H10" s="33">
        <f>SUM('[1]GDP KP'!BL10:BO10)</f>
        <v>336.82985514295706</v>
      </c>
      <c r="I10" s="33">
        <f>SUM('[1]GDP KP'!BP10:BS10)</f>
        <v>345.98425338873011</v>
      </c>
      <c r="J10" s="33" t="e">
        <f>SUM('[1]GDP KP'!BT10:BW10)</f>
        <v>#REF!</v>
      </c>
      <c r="L10" s="451" t="s">
        <v>496</v>
      </c>
      <c r="M10" s="485">
        <f>SUM('[1]GDP KP'!AN10:AO10)</f>
        <v>151.92334590579711</v>
      </c>
      <c r="N10" s="485">
        <f>SUM('[1]GDP KP'!AP10:AQ10)</f>
        <v>134.03283840805238</v>
      </c>
      <c r="O10" s="485">
        <f>SUM('[1]GDP KP'!AR10:AS10)</f>
        <v>153.93137683673953</v>
      </c>
      <c r="P10" s="485">
        <f>SUM('[1]GDP KP'!AT10:AU10)</f>
        <v>129.89488615695677</v>
      </c>
      <c r="Q10" s="485">
        <f>SUM('[1]GDP KP'!AV10:AW10)</f>
        <v>161.11624745267193</v>
      </c>
      <c r="R10" s="485">
        <f>SUM('[1]GDP KP'!BO10:BR10)</f>
        <v>343.77400059295422</v>
      </c>
      <c r="S10" s="485">
        <f>SUM('[1]GDP KP'!AZ10:BA10)</f>
        <v>151.93571279847887</v>
      </c>
      <c r="T10" s="485">
        <f>SUM('[1]GDP KP'!BB10:BC10)</f>
        <v>126.81126699194142</v>
      </c>
      <c r="U10" s="485">
        <f>SUM('[1]GDP KP'!BD10:BE10)</f>
        <v>166.99060533592115</v>
      </c>
      <c r="V10" s="485">
        <f>SUM('[1]GDP KP'!BF10:BG10)</f>
        <v>131.0353806916973</v>
      </c>
      <c r="W10" s="485">
        <f>SUM('[1]GDP KP'!BH10:BI10)</f>
        <v>172.99545030489796</v>
      </c>
      <c r="X10" s="485">
        <f>SUM('[1]GDP KP'!BJ10:BK10)</f>
        <v>146.73791563159799</v>
      </c>
      <c r="Y10" s="485">
        <f>SUM('[1]GDP KP'!BL10:BM10)</f>
        <v>180.92204513722027</v>
      </c>
      <c r="Z10" s="485">
        <f>SUM('[1]GDP KP'!BN10:BO10)</f>
        <v>155.90781000573685</v>
      </c>
      <c r="AA10" s="485">
        <f>SUM('[1]GDP KP'!BP10:BQ10)</f>
        <v>185.65593779144143</v>
      </c>
      <c r="AB10" s="485">
        <f>SUM('[1]GDP KP'!BR10:BS10)</f>
        <v>160.32831559728865</v>
      </c>
      <c r="AC10" s="485">
        <f>SUM('[1]GDP KP'!BT10:BU10)</f>
        <v>189.86049168126993</v>
      </c>
      <c r="AD10" s="485" t="e">
        <f>SUM('[1]GDP KP'!BV10:BW10)</f>
        <v>#REF!</v>
      </c>
      <c r="AE10" s="485"/>
      <c r="AF10" s="485"/>
      <c r="AG10" s="485"/>
      <c r="AH10" s="485">
        <f t="shared" si="1"/>
        <v>165.68384019539604</v>
      </c>
      <c r="AI10" s="485">
        <f t="shared" si="2"/>
        <v>331.7491419549242</v>
      </c>
      <c r="AJ10" s="484">
        <f t="shared" si="3"/>
        <v>0.4994250752814548</v>
      </c>
    </row>
    <row r="11" spans="1:37">
      <c r="A11" s="451" t="s">
        <v>497</v>
      </c>
      <c r="B11" s="33">
        <f>SUM('[1]GDP KP'!AN11:AQ11)</f>
        <v>7.4410988511546403</v>
      </c>
      <c r="C11" s="33">
        <f>SUM('[1]GDP KP'!AR11:AU11)</f>
        <v>7.194903339528933</v>
      </c>
      <c r="D11" s="33">
        <f>SUM('[1]GDP KP'!AV11:AY11)</f>
        <v>11.312535089168916</v>
      </c>
      <c r="E11" s="33">
        <f>SUM('[1]GDP KP'!AZ11:BC11)</f>
        <v>11.829476663238454</v>
      </c>
      <c r="F11" s="33">
        <f>SUM('[1]GDP KP'!BD11:BG11)</f>
        <v>10.911846293418527</v>
      </c>
      <c r="G11" s="33">
        <f>SUM('[1]GDP KP'!BH11:BK11)</f>
        <v>9.4888294026729305</v>
      </c>
      <c r="H11" s="33">
        <f>SUM('[1]GDP KP'!BL11:BO11)</f>
        <v>10.161977751687351</v>
      </c>
      <c r="I11" s="33">
        <f>SUM('[1]GDP KP'!BP11:BS11)</f>
        <v>10.40246806846276</v>
      </c>
      <c r="J11" s="33" t="e">
        <f>SUM('[1]GDP KP'!BT11:BW11)</f>
        <v>#REF!</v>
      </c>
      <c r="L11" s="451" t="s">
        <v>497</v>
      </c>
      <c r="M11" s="485">
        <f>SUM('[1]GDP KP'!AN11:AO11)</f>
        <v>3.8278442613693819</v>
      </c>
      <c r="N11" s="485">
        <f>SUM('[1]GDP KP'!AP11:AQ11)</f>
        <v>3.6132545897852584</v>
      </c>
      <c r="O11" s="485">
        <f>SUM('[1]GDP KP'!AR11:AS11)</f>
        <v>3.9324002621134455</v>
      </c>
      <c r="P11" s="485">
        <f>SUM('[1]GDP KP'!AT11:AU11)</f>
        <v>3.262503077415488</v>
      </c>
      <c r="Q11" s="485">
        <f>SUM('[1]GDP KP'!AV11:AW11)</f>
        <v>6.1463831757977392</v>
      </c>
      <c r="R11" s="485">
        <f>SUM('[1]GDP KP'!BO11:BR11)</f>
        <v>10.074666793149369</v>
      </c>
      <c r="S11" s="485">
        <f>SUM('[1]GDP KP'!AZ11:BA11)</f>
        <v>6.5809116819276223</v>
      </c>
      <c r="T11" s="485">
        <f>SUM('[1]GDP KP'!BB11:BC11)</f>
        <v>5.2485649813108317</v>
      </c>
      <c r="U11" s="485">
        <f>SUM('[1]GDP KP'!BD11:BE11)</f>
        <v>5.444152619354294</v>
      </c>
      <c r="V11" s="485">
        <f>SUM('[1]GDP KP'!BF11:BG11)</f>
        <v>5.4676936740642343</v>
      </c>
      <c r="W11" s="485">
        <f>SUM('[1]GDP KP'!BH11:BI11)</f>
        <v>3.8052638761071682</v>
      </c>
      <c r="X11" s="485">
        <f>SUM('[1]GDP KP'!BJ11:BK11)</f>
        <v>5.6835655265657632</v>
      </c>
      <c r="Y11" s="485">
        <f>SUM('[1]GDP KP'!BL11:BM11)</f>
        <v>4.2601341220139943</v>
      </c>
      <c r="Z11" s="485">
        <f>SUM('[1]GDP KP'!BN11:BO11)</f>
        <v>5.9018436296733565</v>
      </c>
      <c r="AA11" s="485">
        <f>SUM('[1]GDP KP'!BP11:BQ11)</f>
        <v>3.8450218881626212</v>
      </c>
      <c r="AB11" s="485">
        <f>SUM('[1]GDP KP'!BR11:BS11)</f>
        <v>6.5574461803001389</v>
      </c>
      <c r="AC11" s="485">
        <f>SUM('[1]GDP KP'!BT11:BU11)</f>
        <v>3.3029864051496696</v>
      </c>
      <c r="AD11" s="485" t="e">
        <f>SUM('[1]GDP KP'!BV11:BW11)</f>
        <v>#REF!</v>
      </c>
      <c r="AE11" s="485"/>
      <c r="AF11" s="485"/>
      <c r="AG11" s="485"/>
      <c r="AH11" s="485">
        <f t="shared" si="1"/>
        <v>4.7302639858557836</v>
      </c>
      <c r="AI11" s="485">
        <f t="shared" si="2"/>
        <v>10.456456292388836</v>
      </c>
      <c r="AJ11" s="484">
        <f t="shared" si="3"/>
        <v>0.4523773498005153</v>
      </c>
    </row>
    <row r="12" spans="1:37" s="245" customFormat="1">
      <c r="A12" s="454" t="s">
        <v>498</v>
      </c>
      <c r="B12" s="459">
        <f>SUM('[1]GDP KP'!AN12:AQ12)</f>
        <v>132.46821191952881</v>
      </c>
      <c r="C12" s="459">
        <f>SUM('[1]GDP KP'!AR12:AU12)</f>
        <v>135.70267328143294</v>
      </c>
      <c r="D12" s="459">
        <f>SUM('[1]GDP KP'!AV12:AY12)</f>
        <v>137.85157596147735</v>
      </c>
      <c r="E12" s="459">
        <f>SUM('[1]GDP KP'!AZ12:BC12)</f>
        <v>147.38285652763011</v>
      </c>
      <c r="F12" s="459">
        <f>SUM('[1]GDP KP'!BD12:BG12)</f>
        <v>154.0679379700407</v>
      </c>
      <c r="G12" s="459">
        <f>SUM('[1]GDP KP'!BH12:BK12)</f>
        <v>139.56030649933865</v>
      </c>
      <c r="H12" s="459">
        <f>SUM('[1]GDP KP'!BL12:BO12)</f>
        <v>138.79633950483279</v>
      </c>
      <c r="I12" s="459">
        <f>SUM('[1]GDP KP'!BP12:BS12)</f>
        <v>143.65522118322821</v>
      </c>
      <c r="J12" s="459" t="e">
        <f>SUM('[1]GDP KP'!BT12:BW12)</f>
        <v>#REF!</v>
      </c>
      <c r="L12" s="454" t="s">
        <v>498</v>
      </c>
      <c r="M12" s="458">
        <f>SUM('[1]GDP KP'!AN12:AO12)</f>
        <v>47.984047690299349</v>
      </c>
      <c r="N12" s="458">
        <f>SUM('[1]GDP KP'!AP12:AQ12)</f>
        <v>84.484164229229478</v>
      </c>
      <c r="O12" s="458">
        <f>SUM('[1]GDP KP'!AR12:AS12)</f>
        <v>54.85175562123996</v>
      </c>
      <c r="P12" s="458">
        <f>SUM('[1]GDP KP'!AT12:AU12)</f>
        <v>80.850917660192962</v>
      </c>
      <c r="Q12" s="458">
        <f>SUM('[1]GDP KP'!AV12:AW12)</f>
        <v>52.684751580703988</v>
      </c>
      <c r="R12" s="458">
        <f>SUM('[1]GDP KP'!BO12:BR12)</f>
        <v>138.61629816130431</v>
      </c>
      <c r="S12" s="458">
        <f>SUM('[1]GDP KP'!AZ12:BA12)</f>
        <v>61.91514253754891</v>
      </c>
      <c r="T12" s="458">
        <f>SUM('[1]GDP KP'!BB12:BC12)</f>
        <v>85.467713990081194</v>
      </c>
      <c r="U12" s="458">
        <f>SUM('[1]GDP KP'!BD12:BE12)</f>
        <v>61.849623295389961</v>
      </c>
      <c r="V12" s="458">
        <f>SUM('[1]GDP KP'!BF12:BG12)</f>
        <v>92.218314674650742</v>
      </c>
      <c r="W12" s="458">
        <f>SUM('[1]GDP KP'!BH12:BI12)</f>
        <v>51.211945216693891</v>
      </c>
      <c r="X12" s="458">
        <f>SUM('[1]GDP KP'!BJ12:BK12)</f>
        <v>88.348361282644788</v>
      </c>
      <c r="Y12" s="458">
        <f>SUM('[1]GDP KP'!BL12:BM12)</f>
        <v>52.551228852972997</v>
      </c>
      <c r="Z12" s="458">
        <f>SUM('[1]GDP KP'!BN12:BO12)</f>
        <v>86.245110651859775</v>
      </c>
      <c r="AA12" s="458">
        <f>SUM('[1]GDP KP'!BP12:BQ12)</f>
        <v>52.619557401937044</v>
      </c>
      <c r="AB12" s="458">
        <f>SUM('[1]GDP KP'!BR12:BS12)</f>
        <v>91.035663781291149</v>
      </c>
      <c r="AC12" s="458">
        <f>SUM('[1]GDP KP'!BT12:BU12)</f>
        <v>59.243219622195497</v>
      </c>
      <c r="AD12" s="458" t="e">
        <f>SUM('[1]GDP KP'!BV12:BW12)</f>
        <v>#REF!</v>
      </c>
      <c r="AE12" s="458"/>
      <c r="AF12" s="458"/>
      <c r="AG12" s="458"/>
      <c r="AH12" s="458">
        <f>AVERAGE(M12,O12,Q12,S12,U12,W12,Y12,AA12)</f>
        <v>54.458506524598263</v>
      </c>
      <c r="AI12" s="458">
        <f t="shared" si="2"/>
        <v>147.86682457850506</v>
      </c>
      <c r="AJ12" s="479">
        <f t="shared" si="3"/>
        <v>0.36829428561702354</v>
      </c>
    </row>
    <row r="13" spans="1:37">
      <c r="A13" s="455" t="s">
        <v>436</v>
      </c>
      <c r="B13" s="33">
        <f>SUM('[1]GDP KP'!AN13:AQ13)</f>
        <v>69.302463448512924</v>
      </c>
      <c r="C13" s="33">
        <f>SUM('[1]GDP KP'!AR13:AU13)</f>
        <v>70.468232463525297</v>
      </c>
      <c r="D13" s="33">
        <f>SUM('[1]GDP KP'!AV13:AY13)</f>
        <v>70.98793044397506</v>
      </c>
      <c r="E13" s="33">
        <f>SUM('[1]GDP KP'!AZ13:BC13)</f>
        <v>79.268497868526396</v>
      </c>
      <c r="F13" s="33">
        <f>SUM('[1]GDP KP'!BD13:BG13)</f>
        <v>84.591197151633054</v>
      </c>
      <c r="G13" s="33">
        <f>SUM('[1]GDP KP'!BH13:BK13)</f>
        <v>72.609833849590132</v>
      </c>
      <c r="H13" s="33">
        <f>SUM('[1]GDP KP'!BL13:BO13)</f>
        <v>71.612059489674067</v>
      </c>
      <c r="I13" s="33">
        <f>SUM('[1]GDP KP'!BP13:BS13)</f>
        <v>69.693681728104096</v>
      </c>
      <c r="J13" s="33" t="e">
        <f>SUM('[1]GDP KP'!BT13:BW13)</f>
        <v>#REF!</v>
      </c>
      <c r="L13" s="455" t="s">
        <v>436</v>
      </c>
      <c r="M13" s="462">
        <f>SUM('[1]GDP KP'!AN13:AO13)</f>
        <v>17.442862157377132</v>
      </c>
      <c r="N13" s="462">
        <f>SUM('[1]GDP KP'!AP13:AQ13)</f>
        <v>51.859601291135796</v>
      </c>
      <c r="O13" s="462">
        <f>SUM('[1]GDP KP'!AR13:AS13)</f>
        <v>21.807159793232412</v>
      </c>
      <c r="P13" s="462">
        <f>SUM('[1]GDP KP'!AT13:AU13)</f>
        <v>48.661072670292896</v>
      </c>
      <c r="Q13" s="462">
        <f>SUM('[1]GDP KP'!AV13:AW13)</f>
        <v>19.170173925945949</v>
      </c>
      <c r="R13" s="462">
        <f>SUM('[1]GDP KP'!BO13:BR13)</f>
        <v>66.152227067941396</v>
      </c>
      <c r="S13" s="462">
        <f>SUM('[1]GDP KP'!AZ13:BA13)</f>
        <v>27.411129524843428</v>
      </c>
      <c r="T13" s="462">
        <f>SUM('[1]GDP KP'!BB13:BC13)</f>
        <v>51.857368343682978</v>
      </c>
      <c r="U13" s="462">
        <f>SUM('[1]GDP KP'!BD13:BE13)</f>
        <v>30.286691296750625</v>
      </c>
      <c r="V13" s="462">
        <f>SUM('[1]GDP KP'!BF13:BG13)</f>
        <v>54.304505854882422</v>
      </c>
      <c r="W13" s="462">
        <f>SUM('[1]GDP KP'!BH13:BI13)</f>
        <v>19.766521720963489</v>
      </c>
      <c r="X13" s="462">
        <f>SUM('[1]GDP KP'!BJ13:BK13)</f>
        <v>52.843312128626636</v>
      </c>
      <c r="Y13" s="462">
        <f>SUM('[1]GDP KP'!BL13:BM13)</f>
        <v>21.09904690841028</v>
      </c>
      <c r="Z13" s="462">
        <f>SUM('[1]GDP KP'!BN13:BO13)</f>
        <v>50.513012581263794</v>
      </c>
      <c r="AA13" s="462">
        <f>SUM('[1]GDP KP'!BP13:BQ13)</f>
        <v>17.778356074505005</v>
      </c>
      <c r="AB13" s="462">
        <f>SUM('[1]GDP KP'!BR13:BS13)</f>
        <v>51.915325653599098</v>
      </c>
      <c r="AC13" s="462">
        <f>SUM('[1]GDP KP'!BT13:BU13)</f>
        <v>20.455732172191656</v>
      </c>
      <c r="AD13" s="462" t="e">
        <f>SUM('[1]GDP KP'!BV13:BW13)</f>
        <v>#REF!</v>
      </c>
      <c r="AH13" s="213">
        <f t="shared" ref="AH13:AH76" si="4">AVERAGE(M13,O13,Q13,S13,U13,W13,Y13,AA13)</f>
        <v>21.845242675253541</v>
      </c>
      <c r="AI13" s="213">
        <f t="shared" si="2"/>
        <v>75.358545874181672</v>
      </c>
      <c r="AJ13" s="17">
        <f t="shared" si="3"/>
        <v>0.28988407912921077</v>
      </c>
    </row>
    <row r="14" spans="1:37">
      <c r="A14" s="455" t="s">
        <v>499</v>
      </c>
      <c r="B14" s="33">
        <f>SUM('[1]GDP KP'!AN14:AQ14)</f>
        <v>20.514384728550443</v>
      </c>
      <c r="C14" s="33">
        <f>SUM('[1]GDP KP'!AR14:AU14)</f>
        <v>20.872585288556152</v>
      </c>
      <c r="D14" s="33">
        <f>SUM('[1]GDP KP'!AV14:AY14)</f>
        <v>22.53226637141784</v>
      </c>
      <c r="E14" s="33">
        <f>SUM('[1]GDP KP'!AZ14:BC14)</f>
        <v>25.223694433630506</v>
      </c>
      <c r="F14" s="33">
        <f>SUM('[1]GDP KP'!BD14:BG14)</f>
        <v>25.913730535748577</v>
      </c>
      <c r="G14" s="33">
        <f>SUM('[1]GDP KP'!BH14:BK14)</f>
        <v>26.917648346857909</v>
      </c>
      <c r="H14" s="33">
        <f>SUM('[1]GDP KP'!BL14:BO14)</f>
        <v>28.834242813357761</v>
      </c>
      <c r="I14" s="33">
        <f>SUM('[1]GDP KP'!BP14:BS14)</f>
        <v>30.930974198143623</v>
      </c>
      <c r="J14" s="33" t="e">
        <f>SUM('[1]GDP KP'!BT14:BW14)</f>
        <v>#REF!</v>
      </c>
      <c r="L14" s="463" t="s">
        <v>499</v>
      </c>
      <c r="M14" s="462">
        <f>SUM('[1]GDP KP'!AN14:AO14)</f>
        <v>11.572481819524612</v>
      </c>
      <c r="N14" s="462">
        <f>SUM('[1]GDP KP'!AP14:AQ14)</f>
        <v>8.9419029090258331</v>
      </c>
      <c r="O14" s="462">
        <f>SUM('[1]GDP KP'!AR14:AS14)</f>
        <v>12.452263006038255</v>
      </c>
      <c r="P14" s="462">
        <f>SUM('[1]GDP KP'!AT14:AU14)</f>
        <v>8.4203222825178976</v>
      </c>
      <c r="Q14" s="462">
        <f>SUM('[1]GDP KP'!AV14:AW14)</f>
        <v>12.182681753728392</v>
      </c>
      <c r="R14" s="462">
        <f>SUM('[1]GDP KP'!BO14:BR14)</f>
        <v>30.246359372582383</v>
      </c>
      <c r="S14" s="462">
        <f>SUM('[1]GDP KP'!AZ14:BA14)</f>
        <v>14.554713813682799</v>
      </c>
      <c r="T14" s="462">
        <f>SUM('[1]GDP KP'!BB14:BC14)</f>
        <v>10.668980619947707</v>
      </c>
      <c r="U14" s="462">
        <f>SUM('[1]GDP KP'!BD14:BE14)</f>
        <v>13.822994456119853</v>
      </c>
      <c r="V14" s="462">
        <f>SUM('[1]GDP KP'!BF14:BG14)</f>
        <v>12.090736079628723</v>
      </c>
      <c r="W14" s="462">
        <f>SUM('[1]GDP KP'!BH14:BI14)</f>
        <v>15.289285642557621</v>
      </c>
      <c r="X14" s="462">
        <f>SUM('[1]GDP KP'!BJ14:BK14)</f>
        <v>11.628362704300287</v>
      </c>
      <c r="Y14" s="462">
        <f>SUM('[1]GDP KP'!BL14:BM14)</f>
        <v>16.394660154830145</v>
      </c>
      <c r="Z14" s="462">
        <f>SUM('[1]GDP KP'!BN14:BO14)</f>
        <v>12.439582658527613</v>
      </c>
      <c r="AA14" s="462">
        <f>SUM('[1]GDP KP'!BP14:BQ14)</f>
        <v>16.835496716190704</v>
      </c>
      <c r="AB14" s="462">
        <f>SUM('[1]GDP KP'!BR14:BS14)</f>
        <v>14.095477481952919</v>
      </c>
      <c r="AC14" s="462">
        <f>SUM('[1]GDP KP'!BT14:BU14)</f>
        <v>18.587617490178999</v>
      </c>
      <c r="AD14" s="462" t="e">
        <f>SUM('[1]GDP KP'!BV14:BW14)</f>
        <v>#REF!</v>
      </c>
      <c r="AH14" s="213">
        <f t="shared" si="4"/>
        <v>14.138072170334048</v>
      </c>
      <c r="AI14" s="213">
        <f t="shared" si="2"/>
        <v>27.704537683894465</v>
      </c>
      <c r="AJ14" s="17">
        <f t="shared" si="3"/>
        <v>0.51031611975077151</v>
      </c>
    </row>
    <row r="15" spans="1:37">
      <c r="A15" s="455" t="s">
        <v>500</v>
      </c>
      <c r="B15" s="33">
        <f>SUM('[1]GDP KP'!AN15:AQ15)</f>
        <v>6.5252999116468828</v>
      </c>
      <c r="C15" s="33">
        <f>SUM('[1]GDP KP'!AR15:AU15)</f>
        <v>6.0560110760951336</v>
      </c>
      <c r="D15" s="33">
        <f>SUM('[1]GDP KP'!AV15:AY15)</f>
        <v>3.8562720501449808</v>
      </c>
      <c r="E15" s="33">
        <f>SUM('[1]GDP KP'!AZ15:BC15)</f>
        <v>0</v>
      </c>
      <c r="F15" s="33">
        <f>SUM('[1]GDP KP'!BD15:BG15)</f>
        <v>0</v>
      </c>
      <c r="G15" s="33">
        <f>SUM('[1]GDP KP'!BH15:BK15)</f>
        <v>0</v>
      </c>
      <c r="H15" s="33">
        <f>SUM('[1]GDP KP'!BL15:BO15)</f>
        <v>0</v>
      </c>
      <c r="I15" s="33">
        <f>SUM('[1]GDP KP'!BP15:BS15)</f>
        <v>0</v>
      </c>
      <c r="J15" s="33" t="e">
        <f>SUM('[1]GDP KP'!BT15:BW15)</f>
        <v>#REF!</v>
      </c>
      <c r="L15" s="455" t="s">
        <v>500</v>
      </c>
      <c r="M15" s="462">
        <f>SUM('[1]GDP KP'!AN15:AO15)</f>
        <v>3.5872152124811771</v>
      </c>
      <c r="N15" s="462">
        <f>SUM('[1]GDP KP'!AP15:AQ15)</f>
        <v>2.9380846991657057</v>
      </c>
      <c r="O15" s="462">
        <f>SUM('[1]GDP KP'!AR15:AS15)</f>
        <v>3.9308026554864819</v>
      </c>
      <c r="P15" s="462">
        <f>SUM('[1]GDP KP'!AT15:AU15)</f>
        <v>2.1252084206086512</v>
      </c>
      <c r="Q15" s="462">
        <f>SUM('[1]GDP KP'!AV15:AW15)</f>
        <v>3.8562720501449808</v>
      </c>
      <c r="R15" s="462">
        <f>SUM('[1]GDP KP'!BO15:BR15)</f>
        <v>0</v>
      </c>
      <c r="S15" s="462">
        <f>SUM('[1]GDP KP'!AZ15:BA15)</f>
        <v>0</v>
      </c>
      <c r="T15" s="462">
        <f>SUM('[1]GDP KP'!BB15:BC15)</f>
        <v>0</v>
      </c>
      <c r="U15" s="462">
        <f>SUM('[1]GDP KP'!BD15:BE15)</f>
        <v>0</v>
      </c>
      <c r="V15" s="462">
        <f>SUM('[1]GDP KP'!BF15:BG15)</f>
        <v>0</v>
      </c>
      <c r="W15" s="462">
        <f>SUM('[1]GDP KP'!BH15:BI15)</f>
        <v>0</v>
      </c>
      <c r="X15" s="462">
        <f>SUM('[1]GDP KP'!BJ15:BK15)</f>
        <v>0</v>
      </c>
      <c r="Y15" s="462">
        <f>SUM('[1]GDP KP'!BL15:BM15)</f>
        <v>0</v>
      </c>
      <c r="Z15" s="462">
        <f>SUM('[1]GDP KP'!BN15:BO15)</f>
        <v>0</v>
      </c>
      <c r="AA15" s="462">
        <f>SUM('[1]GDP KP'!BP15:BQ15)</f>
        <v>0</v>
      </c>
      <c r="AB15" s="462">
        <f>SUM('[1]GDP KP'!BR15:BS15)</f>
        <v>0</v>
      </c>
      <c r="AC15" s="462">
        <f>SUM('[1]GDP KP'!BT15:BU15)</f>
        <v>0</v>
      </c>
      <c r="AD15" s="462" t="e">
        <f>SUM('[1]GDP KP'!BV15:BW15)</f>
        <v>#REF!</v>
      </c>
      <c r="AH15" s="213">
        <f t="shared" si="4"/>
        <v>1.4217862397640799</v>
      </c>
      <c r="AI15" s="213">
        <f t="shared" si="2"/>
        <v>2.0546978797358748</v>
      </c>
      <c r="AJ15" s="17">
        <f t="shared" si="3"/>
        <v>0.69196851458611819</v>
      </c>
    </row>
    <row r="16" spans="1:37">
      <c r="A16" s="455" t="s">
        <v>501</v>
      </c>
      <c r="B16" s="33">
        <f>SUM('[1]GDP KP'!AN16:AQ16)</f>
        <v>11.866680107420363</v>
      </c>
      <c r="C16" s="33">
        <f>SUM('[1]GDP KP'!AR16:AU16)</f>
        <v>12.039869062107609</v>
      </c>
      <c r="D16" s="33">
        <f>SUM('[1]GDP KP'!AV16:AY16)</f>
        <v>8.8309934355979003</v>
      </c>
      <c r="E16" s="33">
        <f>SUM('[1]GDP KP'!AZ16:BC16)</f>
        <v>11.01160072498838</v>
      </c>
      <c r="F16" s="33">
        <f>SUM('[1]GDP KP'!BD16:BG16)</f>
        <v>8.6133768830463779</v>
      </c>
      <c r="G16" s="33">
        <f>SUM('[1]GDP KP'!BH16:BK16)</f>
        <v>9.7085306152018056</v>
      </c>
      <c r="H16" s="33">
        <f>SUM('[1]GDP KP'!BL16:BO16)</f>
        <v>6.9741070761734294</v>
      </c>
      <c r="I16" s="33">
        <f>SUM('[1]GDP KP'!BP16:BS16)</f>
        <v>12.009344384355082</v>
      </c>
      <c r="J16" s="33" t="e">
        <f>SUM('[1]GDP KP'!BT16:BW16)</f>
        <v>#REF!</v>
      </c>
      <c r="L16" s="455" t="s">
        <v>501</v>
      </c>
      <c r="M16" s="462">
        <f>SUM('[1]GDP KP'!AN16:AO16)</f>
        <v>4.4457475199762069</v>
      </c>
      <c r="N16" s="462">
        <f>SUM('[1]GDP KP'!AP16:AQ16)</f>
        <v>7.4209325874441561</v>
      </c>
      <c r="O16" s="462">
        <f>SUM('[1]GDP KP'!AR16:AS16)</f>
        <v>4.3295744805037106</v>
      </c>
      <c r="P16" s="462">
        <f>SUM('[1]GDP KP'!AT16:AU16)</f>
        <v>7.7102945816038986</v>
      </c>
      <c r="Q16" s="462">
        <f>SUM('[1]GDP KP'!AV16:AW16)</f>
        <v>2.3466157244498071</v>
      </c>
      <c r="R16" s="462">
        <f>SUM('[1]GDP KP'!BO16:BR16)</f>
        <v>12.372244460252064</v>
      </c>
      <c r="S16" s="462">
        <f>SUM('[1]GDP KP'!AZ16:BA16)</f>
        <v>4.6657443002546</v>
      </c>
      <c r="T16" s="462">
        <f>SUM('[1]GDP KP'!BB16:BC16)</f>
        <v>6.3458564247337801</v>
      </c>
      <c r="U16" s="462">
        <f>SUM('[1]GDP KP'!BD16:BE16)</f>
        <v>2.3153441133101897</v>
      </c>
      <c r="V16" s="462">
        <f>SUM('[1]GDP KP'!BF16:BG16)</f>
        <v>6.2980327697361878</v>
      </c>
      <c r="W16" s="462">
        <f>SUM('[1]GDP KP'!BH16:BI16)</f>
        <v>3.8651213412975944</v>
      </c>
      <c r="X16" s="462">
        <f>SUM('[1]GDP KP'!BJ16:BK16)</f>
        <v>5.8434092739042107</v>
      </c>
      <c r="Y16" s="462">
        <f>SUM('[1]GDP KP'!BL16:BM16)</f>
        <v>0.65550874051262087</v>
      </c>
      <c r="Z16" s="462">
        <f>SUM('[1]GDP KP'!BN16:BO16)</f>
        <v>6.3185983356608091</v>
      </c>
      <c r="AA16" s="462">
        <f>SUM('[1]GDP KP'!BP16:BQ16)</f>
        <v>5.6775900619696138</v>
      </c>
      <c r="AB16" s="462">
        <f>SUM('[1]GDP KP'!BR16:BS16)</f>
        <v>6.3317543223854695</v>
      </c>
      <c r="AC16" s="462">
        <f>SUM('[1]GDP KP'!BT16:BU16)</f>
        <v>4.6035994424484805</v>
      </c>
      <c r="AD16" s="462" t="e">
        <f>SUM('[1]GDP KP'!BV16:BW16)</f>
        <v>#REF!</v>
      </c>
      <c r="AH16" s="213">
        <f t="shared" si="4"/>
        <v>3.5376557852842927</v>
      </c>
      <c r="AI16" s="213">
        <f t="shared" si="2"/>
        <v>10.867796129749365</v>
      </c>
      <c r="AJ16" s="17">
        <f t="shared" si="3"/>
        <v>0.32551731216233981</v>
      </c>
    </row>
    <row r="17" spans="1:36">
      <c r="A17" s="455" t="s">
        <v>437</v>
      </c>
      <c r="B17" s="33">
        <f>SUM('[1]GDP KP'!AN17:AQ17)</f>
        <v>0.82282465573808272</v>
      </c>
      <c r="C17" s="33">
        <f>SUM('[1]GDP KP'!AR17:AU17)</f>
        <v>1.160015338041378</v>
      </c>
      <c r="D17" s="33">
        <f>SUM('[1]GDP KP'!AV17:AY17)</f>
        <v>5.1359510013280554</v>
      </c>
      <c r="E17" s="33">
        <f>SUM('[1]GDP KP'!AZ17:BC17)</f>
        <v>1.7054454032492479</v>
      </c>
      <c r="F17" s="33">
        <f>SUM('[1]GDP KP'!BD17:BG17)</f>
        <v>3.0247305909504814</v>
      </c>
      <c r="G17" s="33">
        <f>SUM('[1]GDP KP'!BH17:BK17)</f>
        <v>1.2965219190826276</v>
      </c>
      <c r="H17" s="33">
        <f>SUM('[1]GDP KP'!BL17:BO17)</f>
        <v>1.5099068214184954</v>
      </c>
      <c r="I17" s="33">
        <f>SUM('[1]GDP KP'!BP17:BS17)</f>
        <v>0.40241196095394383</v>
      </c>
      <c r="J17" s="33" t="e">
        <f>SUM('[1]GDP KP'!BT17:BW17)</f>
        <v>#REF!</v>
      </c>
      <c r="L17" s="455" t="s">
        <v>437</v>
      </c>
      <c r="M17" s="462">
        <f>SUM('[1]GDP KP'!AN17:AO17)</f>
        <v>0.52969706187523613</v>
      </c>
      <c r="N17" s="462">
        <f>SUM('[1]GDP KP'!AP17:AQ17)</f>
        <v>0.2931275938628467</v>
      </c>
      <c r="O17" s="462">
        <f>SUM('[1]GDP KP'!AR17:AS17)</f>
        <v>0.88731081638340925</v>
      </c>
      <c r="P17" s="462">
        <f>SUM('[1]GDP KP'!AT17:AU17)</f>
        <v>0.27270452165796882</v>
      </c>
      <c r="Q17" s="462">
        <f>SUM('[1]GDP KP'!AV17:AW17)</f>
        <v>4.5145440011685016</v>
      </c>
      <c r="R17" s="462">
        <f>SUM('[1]GDP KP'!BO17:BR17)</f>
        <v>0.36845798819120879</v>
      </c>
      <c r="S17" s="462">
        <f>SUM('[1]GDP KP'!AZ17:BA17)</f>
        <v>1.3921997122948526</v>
      </c>
      <c r="T17" s="462">
        <f>SUM('[1]GDP KP'!BB17:BC17)</f>
        <v>0.31324569095439536</v>
      </c>
      <c r="U17" s="462">
        <f>SUM('[1]GDP KP'!BD17:BE17)</f>
        <v>1.1818854917550132</v>
      </c>
      <c r="V17" s="462">
        <f>SUM('[1]GDP KP'!BF17:BG17)</f>
        <v>1.8428450991954684</v>
      </c>
      <c r="W17" s="462">
        <f>SUM('[1]GDP KP'!BH17:BI17)</f>
        <v>0.20728822502006375</v>
      </c>
      <c r="X17" s="462">
        <f>SUM('[1]GDP KP'!BJ17:BK17)</f>
        <v>1.089233694062564</v>
      </c>
      <c r="Y17" s="462">
        <f>SUM('[1]GDP KP'!BL17:BM17)</f>
        <v>1.506605863772104</v>
      </c>
      <c r="Z17" s="462">
        <f>SUM('[1]GDP KP'!BN17:BO17)</f>
        <v>3.3009576463914835E-3</v>
      </c>
      <c r="AA17" s="462">
        <f>SUM('[1]GDP KP'!BP17:BQ17)</f>
        <v>0.33120305778208226</v>
      </c>
      <c r="AB17" s="462">
        <f>SUM('[1]GDP KP'!BR17:BS17)</f>
        <v>7.1208903171861584E-2</v>
      </c>
      <c r="AC17" s="462">
        <f>SUM('[1]GDP KP'!BT17:BU17)</f>
        <v>2.0510871414129297</v>
      </c>
      <c r="AD17" s="462" t="e">
        <f>SUM('[1]GDP KP'!BV17:BW17)</f>
        <v>#REF!</v>
      </c>
      <c r="AH17" s="213">
        <f t="shared" si="4"/>
        <v>1.3188417787564075</v>
      </c>
      <c r="AI17" s="213">
        <f t="shared" si="2"/>
        <v>1.8506073348492458</v>
      </c>
      <c r="AJ17" s="17">
        <f t="shared" si="3"/>
        <v>0.71265349159758029</v>
      </c>
    </row>
    <row r="18" spans="1:36">
      <c r="A18" s="455" t="s">
        <v>502</v>
      </c>
      <c r="B18" s="33">
        <f>SUM('[1]GDP KP'!AN18:AQ18)</f>
        <v>23.985768793662928</v>
      </c>
      <c r="C18" s="33">
        <f>SUM('[1]GDP KP'!AR18:AU18)</f>
        <v>25.10596005310736</v>
      </c>
      <c r="D18" s="33">
        <f>SUM('[1]GDP KP'!AV18:AY18)</f>
        <v>26.508162659013493</v>
      </c>
      <c r="E18" s="33">
        <f>SUM('[1]GDP KP'!AZ18:BC18)</f>
        <v>30.173618097235554</v>
      </c>
      <c r="F18" s="33">
        <f>SUM('[1]GDP KP'!BD18:BG18)</f>
        <v>31.924902808662189</v>
      </c>
      <c r="G18" s="33">
        <f>SUM('[1]GDP KP'!BH18:BK18)</f>
        <v>29.027771768606186</v>
      </c>
      <c r="H18" s="33">
        <f>SUM('[1]GDP KP'!BL18:BO18)</f>
        <v>29.866023304209016</v>
      </c>
      <c r="I18" s="33">
        <f>SUM('[1]GDP KP'!BP18:BS18)</f>
        <v>30.618808911671422</v>
      </c>
      <c r="J18" s="33" t="e">
        <f>SUM('[1]GDP KP'!BT18:BW18)</f>
        <v>#REF!</v>
      </c>
      <c r="L18" s="455" t="s">
        <v>502</v>
      </c>
      <c r="M18" s="462">
        <f>SUM('[1]GDP KP'!AN18:AO18)</f>
        <v>9.3685203914961761</v>
      </c>
      <c r="N18" s="462">
        <f>SUM('[1]GDP KP'!AP18:AQ18)</f>
        <v>14.617248402166751</v>
      </c>
      <c r="O18" s="462">
        <f>SUM('[1]GDP KP'!AR18:AS18)</f>
        <v>11.444644869595692</v>
      </c>
      <c r="P18" s="462">
        <f>SUM('[1]GDP KP'!AT18:AU18)</f>
        <v>13.661315183511666</v>
      </c>
      <c r="Q18" s="462">
        <f>SUM('[1]GDP KP'!AV18:AW18)</f>
        <v>10.614464125266352</v>
      </c>
      <c r="R18" s="462">
        <f>SUM('[1]GDP KP'!BO18:BR18)</f>
        <v>29.477009272337234</v>
      </c>
      <c r="S18" s="462">
        <f>SUM('[1]GDP KP'!AZ18:BA18)</f>
        <v>13.89135518647322</v>
      </c>
      <c r="T18" s="462">
        <f>SUM('[1]GDP KP'!BB18:BC18)</f>
        <v>16.282262910762334</v>
      </c>
      <c r="U18" s="462">
        <f>SUM('[1]GDP KP'!BD18:BE18)</f>
        <v>14.24270793745427</v>
      </c>
      <c r="V18" s="462">
        <f>SUM('[1]GDP KP'!BF18:BG18)</f>
        <v>17.682194871207923</v>
      </c>
      <c r="W18" s="462">
        <f>SUM('[1]GDP KP'!BH18:BI18)</f>
        <v>12.083728286855127</v>
      </c>
      <c r="X18" s="462">
        <f>SUM('[1]GDP KP'!BJ18:BK18)</f>
        <v>16.944043481751059</v>
      </c>
      <c r="Y18" s="462">
        <f>SUM('[1]GDP KP'!BL18:BM18)</f>
        <v>12.895407185447851</v>
      </c>
      <c r="Z18" s="462">
        <f>SUM('[1]GDP KP'!BN18:BO18)</f>
        <v>16.970616118761164</v>
      </c>
      <c r="AA18" s="462">
        <f>SUM('[1]GDP KP'!BP18:BQ18)</f>
        <v>11.99691149148963</v>
      </c>
      <c r="AB18" s="462">
        <f>SUM('[1]GDP KP'!BR18:BS18)</f>
        <v>18.621897420181792</v>
      </c>
      <c r="AC18" s="462">
        <f>SUM('[1]GDP KP'!BT18:BU18)</f>
        <v>13.545183375963434</v>
      </c>
      <c r="AD18" s="462" t="e">
        <f>SUM('[1]GDP KP'!BV18:BW18)</f>
        <v>#REF!</v>
      </c>
      <c r="AH18" s="213">
        <f t="shared" si="4"/>
        <v>12.06721743425979</v>
      </c>
      <c r="AI18" s="213">
        <f t="shared" si="2"/>
        <v>30.099290891844781</v>
      </c>
      <c r="AJ18" s="17">
        <f t="shared" si="3"/>
        <v>0.40091367858534266</v>
      </c>
    </row>
    <row r="19" spans="1:36" s="245" customFormat="1">
      <c r="A19" s="454" t="s">
        <v>23</v>
      </c>
      <c r="B19" s="459">
        <f>SUM('[1]GDP KP'!AN19:AQ19)</f>
        <v>155.45360099123036</v>
      </c>
      <c r="C19" s="459">
        <f>SUM('[1]GDP KP'!AR19:AU19)</f>
        <v>170.43473048055534</v>
      </c>
      <c r="D19" s="459">
        <f>SUM('[1]GDP KP'!AV19:AY19)</f>
        <v>185.68856692748136</v>
      </c>
      <c r="E19" s="459">
        <f>SUM('[1]GDP KP'!AZ19:BC19)</f>
        <v>205.58725950558019</v>
      </c>
      <c r="F19" s="459">
        <f>SUM('[1]GDP KP'!BD19:BG19)</f>
        <v>228.53573156520659</v>
      </c>
      <c r="G19" s="459">
        <f>SUM('[1]GDP KP'!BH19:BK19)</f>
        <v>247.38754410495284</v>
      </c>
      <c r="H19" s="459">
        <f>SUM('[1]GDP KP'!BL19:BO19)</f>
        <v>267.54120966016018</v>
      </c>
      <c r="I19" s="459">
        <f>SUM('[1]GDP KP'!BP19:BS19)</f>
        <v>290.74156995205226</v>
      </c>
      <c r="J19" s="459" t="e">
        <f>SUM('[1]GDP KP'!BT19:BW19)</f>
        <v>#REF!</v>
      </c>
      <c r="L19" s="454" t="s">
        <v>23</v>
      </c>
      <c r="M19" s="459">
        <f>SUM('[1]GDP KP'!AN19:AO19)</f>
        <v>75.997419950911706</v>
      </c>
      <c r="N19" s="459">
        <f>SUM('[1]GDP KP'!AP19:AQ19)</f>
        <v>79.456181040318654</v>
      </c>
      <c r="O19" s="459">
        <f>SUM('[1]GDP KP'!AR19:AS19)</f>
        <v>83.483271348515245</v>
      </c>
      <c r="P19" s="459">
        <f>SUM('[1]GDP KP'!AT19:AU19)</f>
        <v>86.951459132040085</v>
      </c>
      <c r="Q19" s="459">
        <f>SUM('[1]GDP KP'!AV19:AW19)</f>
        <v>90.667647169335595</v>
      </c>
      <c r="R19" s="459">
        <f>SUM('[1]GDP KP'!BO19:BR19)</f>
        <v>286.05698692676191</v>
      </c>
      <c r="S19" s="459">
        <f>SUM('[1]GDP KP'!AZ19:BA19)</f>
        <v>99.80519863980939</v>
      </c>
      <c r="T19" s="459">
        <f>SUM('[1]GDP KP'!BB19:BC19)</f>
        <v>105.7820608657708</v>
      </c>
      <c r="U19" s="459">
        <f>SUM('[1]GDP KP'!BD19:BE19)</f>
        <v>111.37051769117578</v>
      </c>
      <c r="V19" s="459">
        <f>SUM('[1]GDP KP'!BF19:BG19)</f>
        <v>117.1652138740308</v>
      </c>
      <c r="W19" s="459">
        <f>SUM('[1]GDP KP'!BH19:BI19)</f>
        <v>120.18064591823534</v>
      </c>
      <c r="X19" s="459">
        <f>SUM('[1]GDP KP'!BJ19:BK19)</f>
        <v>127.20689818671751</v>
      </c>
      <c r="Y19" s="459">
        <f>SUM('[1]GDP KP'!BL19:BM19)</f>
        <v>130.65756019826995</v>
      </c>
      <c r="Z19" s="459">
        <f>SUM('[1]GDP KP'!BN19:BO19)</f>
        <v>136.88364946189023</v>
      </c>
      <c r="AA19" s="459">
        <f>SUM('[1]GDP KP'!BP19:BQ19)</f>
        <v>143.52125071406209</v>
      </c>
      <c r="AB19" s="459">
        <f>SUM('[1]GDP KP'!BR19:BS19)</f>
        <v>147.22031923799014</v>
      </c>
      <c r="AC19" s="459">
        <f>SUM('[1]GDP KP'!BT19:BU19)</f>
        <v>152.06926278995724</v>
      </c>
      <c r="AD19" s="459" t="e">
        <f>SUM('[1]GDP KP'!BV19:BW19)</f>
        <v>#REF!</v>
      </c>
      <c r="AE19" s="459"/>
      <c r="AF19" s="459"/>
      <c r="AG19" s="459"/>
      <c r="AH19" s="459">
        <f t="shared" si="4"/>
        <v>106.96043895378938</v>
      </c>
      <c r="AI19" s="459">
        <f t="shared" si="2"/>
        <v>242.8007850444794</v>
      </c>
      <c r="AJ19" s="479">
        <f t="shared" si="3"/>
        <v>0.44052756639232027</v>
      </c>
    </row>
    <row r="20" spans="1:36" s="245" customFormat="1">
      <c r="A20" s="456" t="s">
        <v>503</v>
      </c>
      <c r="B20" s="203">
        <f>SUM('[1]GDP KP'!AN20:AQ20)</f>
        <v>111.60017739319237</v>
      </c>
      <c r="C20" s="203">
        <f>SUM('[1]GDP KP'!AR20:AU20)</f>
        <v>120.48021639178036</v>
      </c>
      <c r="D20" s="203">
        <f>SUM('[1]GDP KP'!AV20:AY20)</f>
        <v>132.02156533355202</v>
      </c>
      <c r="E20" s="203">
        <f>SUM('[1]GDP KP'!AZ20:BC20)</f>
        <v>147.1044899446988</v>
      </c>
      <c r="F20" s="203">
        <f>SUM('[1]GDP KP'!BD20:BG20)</f>
        <v>164.85391602838592</v>
      </c>
      <c r="G20" s="203">
        <f>SUM('[1]GDP KP'!BH20:BK20)</f>
        <v>179.50430027890667</v>
      </c>
      <c r="H20" s="203">
        <f>SUM('[1]GDP KP'!BL20:BO20)</f>
        <v>194.54728095085869</v>
      </c>
      <c r="I20" s="203">
        <f>SUM('[1]GDP KP'!BP20:BS20)</f>
        <v>212.81915253781108</v>
      </c>
      <c r="J20" s="203" t="e">
        <f>SUM('[1]GDP KP'!BT20:BW20)</f>
        <v>#REF!</v>
      </c>
      <c r="L20" s="456" t="s">
        <v>503</v>
      </c>
      <c r="M20" s="461">
        <f>SUM('[1]GDP KP'!AN20:AO20)</f>
        <v>54.757779351217962</v>
      </c>
      <c r="N20" s="461">
        <f>SUM('[1]GDP KP'!AP20:AQ20)</f>
        <v>56.842398041974405</v>
      </c>
      <c r="O20" s="461">
        <f>SUM('[1]GDP KP'!AR20:AS20)</f>
        <v>58.931331161239029</v>
      </c>
      <c r="P20" s="461">
        <f>SUM('[1]GDP KP'!AT20:AU20)</f>
        <v>61.54888523054133</v>
      </c>
      <c r="Q20" s="461">
        <f>SUM('[1]GDP KP'!AV20:AW20)</f>
        <v>64.388103362670634</v>
      </c>
      <c r="R20" s="461">
        <f>SUM('[1]GDP KP'!BO20:BR20)</f>
        <v>209.34251799644304</v>
      </c>
      <c r="S20" s="461">
        <f>SUM('[1]GDP KP'!AZ20:BA20)</f>
        <v>71.299312004448538</v>
      </c>
      <c r="T20" s="461">
        <f>SUM('[1]GDP KP'!BB20:BC20)</f>
        <v>75.805177940250246</v>
      </c>
      <c r="U20" s="461">
        <f>SUM('[1]GDP KP'!BD20:BE20)</f>
        <v>80.118263298961637</v>
      </c>
      <c r="V20" s="461">
        <f>SUM('[1]GDP KP'!BF20:BG20)</f>
        <v>84.735652729424274</v>
      </c>
      <c r="W20" s="461">
        <f>SUM('[1]GDP KP'!BH20:BI20)</f>
        <v>86.977431977649914</v>
      </c>
      <c r="X20" s="461">
        <f>SUM('[1]GDP KP'!BJ20:BK20)</f>
        <v>92.526868301256769</v>
      </c>
      <c r="Y20" s="461">
        <f>SUM('[1]GDP KP'!BL20:BM20)</f>
        <v>94.805725415732013</v>
      </c>
      <c r="Z20" s="461">
        <f>SUM('[1]GDP KP'!BN20:BO20)</f>
        <v>99.741555535126679</v>
      </c>
      <c r="AA20" s="461">
        <f>SUM('[1]GDP KP'!BP20:BQ20)</f>
        <v>105.15893994353087</v>
      </c>
      <c r="AB20" s="461">
        <f>SUM('[1]GDP KP'!BR20:BS20)</f>
        <v>107.66021259428021</v>
      </c>
      <c r="AC20" s="461">
        <f>SUM('[1]GDP KP'!BT20:BU20)</f>
        <v>111.35694457152644</v>
      </c>
      <c r="AD20" s="461" t="e">
        <f>SUM('[1]GDP KP'!BV20:BW20)</f>
        <v>#REF!</v>
      </c>
      <c r="AE20" s="461"/>
      <c r="AF20" s="461"/>
      <c r="AG20" s="461"/>
      <c r="AH20" s="461">
        <f t="shared" si="4"/>
        <v>77.054610814431328</v>
      </c>
      <c r="AI20" s="461">
        <f t="shared" si="2"/>
        <v>175.58001936059347</v>
      </c>
      <c r="AJ20" s="487">
        <f t="shared" si="3"/>
        <v>0.43885751405564077</v>
      </c>
    </row>
    <row r="21" spans="1:36">
      <c r="A21" s="455" t="s">
        <v>504</v>
      </c>
      <c r="B21" s="33">
        <f>SUM('[1]GDP KP'!AN21:AQ21)</f>
        <v>76.544056690649754</v>
      </c>
      <c r="C21" s="33">
        <f>SUM('[1]GDP KP'!AR21:AU21)</f>
        <v>80.481104233530402</v>
      </c>
      <c r="D21" s="33">
        <f>SUM('[1]GDP KP'!AV21:AY21)</f>
        <v>85.110994064637467</v>
      </c>
      <c r="E21" s="33">
        <f>SUM('[1]GDP KP'!AZ21:BC21)</f>
        <v>91.338186617014543</v>
      </c>
      <c r="F21" s="33">
        <f>SUM('[1]GDP KP'!BD21:BG21)</f>
        <v>97.279713337060031</v>
      </c>
      <c r="G21" s="33">
        <f>SUM('[1]GDP KP'!BH21:BK21)</f>
        <v>103.18125120303688</v>
      </c>
      <c r="H21" s="33">
        <f>SUM('[1]GDP KP'!BL21:BO21)</f>
        <v>110.02166061975153</v>
      </c>
      <c r="I21" s="33">
        <f>SUM('[1]GDP KP'!BP21:BS21)</f>
        <v>117.41609094108117</v>
      </c>
      <c r="J21" s="33" t="e">
        <f>SUM('[1]GDP KP'!BT21:BW21)</f>
        <v>#REF!</v>
      </c>
      <c r="L21" s="455" t="s">
        <v>504</v>
      </c>
      <c r="M21" s="462">
        <f>SUM('[1]GDP KP'!AN21:AO21)</f>
        <v>37.758387010290377</v>
      </c>
      <c r="N21" s="462">
        <f>SUM('[1]GDP KP'!AP21:AQ21)</f>
        <v>38.785669680359376</v>
      </c>
      <c r="O21" s="462">
        <f>SUM('[1]GDP KP'!AR21:AS21)</f>
        <v>39.725040954816464</v>
      </c>
      <c r="P21" s="462">
        <f>SUM('[1]GDP KP'!AT21:AU21)</f>
        <v>40.756063278713931</v>
      </c>
      <c r="Q21" s="462">
        <f>SUM('[1]GDP KP'!AV21:AW21)</f>
        <v>41.941560714782142</v>
      </c>
      <c r="R21" s="462">
        <f>SUM('[1]GDP KP'!BO21:BR21)</f>
        <v>115.46386011050178</v>
      </c>
      <c r="S21" s="462">
        <f>SUM('[1]GDP KP'!AZ21:BA21)</f>
        <v>44.724321622532742</v>
      </c>
      <c r="T21" s="462">
        <f>SUM('[1]GDP KP'!BB21:BC21)</f>
        <v>46.613864994481801</v>
      </c>
      <c r="U21" s="462">
        <f>SUM('[1]GDP KP'!BD21:BE21)</f>
        <v>47.950398659494219</v>
      </c>
      <c r="V21" s="462">
        <f>SUM('[1]GDP KP'!BF21:BG21)</f>
        <v>49.329314677565819</v>
      </c>
      <c r="W21" s="462">
        <f>SUM('[1]GDP KP'!BH21:BI21)</f>
        <v>50.752460429702623</v>
      </c>
      <c r="X21" s="462">
        <f>SUM('[1]GDP KP'!BJ21:BK21)</f>
        <v>52.428790773334256</v>
      </c>
      <c r="Y21" s="462">
        <f>SUM('[1]GDP KP'!BL21:BM21)</f>
        <v>54.149826891169205</v>
      </c>
      <c r="Z21" s="462">
        <f>SUM('[1]GDP KP'!BN21:BO21)</f>
        <v>55.871833728582324</v>
      </c>
      <c r="AA21" s="462">
        <f>SUM('[1]GDP KP'!BP21:BQ21)</f>
        <v>57.716391412608708</v>
      </c>
      <c r="AB21" s="462">
        <f>SUM('[1]GDP KP'!BR21:BS21)</f>
        <v>59.699699528472465</v>
      </c>
      <c r="AC21" s="462">
        <f>SUM('[1]GDP KP'!BT21:BU21)</f>
        <v>61.689446791460128</v>
      </c>
      <c r="AD21" s="462" t="e">
        <f>SUM('[1]GDP KP'!BV21:BW21)</f>
        <v>#REF!</v>
      </c>
      <c r="AE21" s="462"/>
      <c r="AF21" s="462"/>
      <c r="AG21" s="462"/>
      <c r="AH21" s="462">
        <f t="shared" si="4"/>
        <v>46.839798461924559</v>
      </c>
      <c r="AI21" s="462">
        <f t="shared" si="2"/>
        <v>104.20843555842602</v>
      </c>
      <c r="AJ21" s="484">
        <f>AH21/AI21</f>
        <v>0.44948183139802655</v>
      </c>
    </row>
    <row r="22" spans="1:36">
      <c r="A22" s="455" t="s">
        <v>505</v>
      </c>
      <c r="B22" s="33">
        <f>SUM('[1]GDP KP'!AN22:AQ22)</f>
        <v>13.789263064564182</v>
      </c>
      <c r="C22" s="33">
        <f>SUM('[1]GDP KP'!AR22:AU22)</f>
        <v>18.112255747115583</v>
      </c>
      <c r="D22" s="33">
        <f>SUM('[1]GDP KP'!AV22:AY22)</f>
        <v>23.894587272723758</v>
      </c>
      <c r="E22" s="33">
        <f>SUM('[1]GDP KP'!AZ22:BC22)</f>
        <v>31.596529906603259</v>
      </c>
      <c r="F22" s="33">
        <f>SUM('[1]GDP KP'!BD22:BG22)</f>
        <v>41.939988455017208</v>
      </c>
      <c r="G22" s="33">
        <f>SUM('[1]GDP KP'!BH22:BK22)</f>
        <v>49.794173236161832</v>
      </c>
      <c r="H22" s="33">
        <f>SUM('[1]GDP KP'!BL22:BO22)</f>
        <v>56.39926683685524</v>
      </c>
      <c r="I22" s="33">
        <f>SUM('[1]GDP KP'!BP22:BS22)</f>
        <v>66.189473707488048</v>
      </c>
      <c r="J22" s="33" t="e">
        <f>SUM('[1]GDP KP'!BT22:BW22)</f>
        <v>#REF!</v>
      </c>
      <c r="L22" s="455" t="s">
        <v>505</v>
      </c>
      <c r="M22" s="462">
        <f>SUM('[1]GDP KP'!AN22:AO22)</f>
        <v>6.4191914607292686</v>
      </c>
      <c r="N22" s="462">
        <f>SUM('[1]GDP KP'!AP22:AQ22)</f>
        <v>7.3700716038349121</v>
      </c>
      <c r="O22" s="462">
        <f>SUM('[1]GDP KP'!AR22:AS22)</f>
        <v>8.4344515240836664</v>
      </c>
      <c r="P22" s="462">
        <f>SUM('[1]GDP KP'!AT22:AU22)</f>
        <v>9.6778042230319166</v>
      </c>
      <c r="Q22" s="462">
        <f>SUM('[1]GDP KP'!AV22:AW22)</f>
        <v>11.115300935087689</v>
      </c>
      <c r="R22" s="462">
        <f>SUM('[1]GDP KP'!BO22:BR22)</f>
        <v>65.117851480309056</v>
      </c>
      <c r="S22" s="462">
        <f>SUM('[1]GDP KP'!AZ22:BA22)</f>
        <v>14.693261283584061</v>
      </c>
      <c r="T22" s="462">
        <f>SUM('[1]GDP KP'!BB22:BC22)</f>
        <v>16.903268623019198</v>
      </c>
      <c r="U22" s="462">
        <f>SUM('[1]GDP KP'!BD22:BE22)</f>
        <v>19.470215340283055</v>
      </c>
      <c r="V22" s="462">
        <f>SUM('[1]GDP KP'!BF22:BG22)</f>
        <v>22.469773114734153</v>
      </c>
      <c r="W22" s="462">
        <f>SUM('[1]GDP KP'!BH22:BI22)</f>
        <v>23.229890332879641</v>
      </c>
      <c r="X22" s="462">
        <f>SUM('[1]GDP KP'!BJ22:BK22)</f>
        <v>26.564282903282194</v>
      </c>
      <c r="Y22" s="462">
        <f>SUM('[1]GDP KP'!BL22:BM22)</f>
        <v>26.702412224787707</v>
      </c>
      <c r="Z22" s="462">
        <f>SUM('[1]GDP KP'!BN22:BO22)</f>
        <v>29.696854612067533</v>
      </c>
      <c r="AA22" s="462">
        <f>SUM('[1]GDP KP'!BP22:BQ22)</f>
        <v>33.10950460658146</v>
      </c>
      <c r="AB22" s="462">
        <f>SUM('[1]GDP KP'!BR22:BS22)</f>
        <v>33.079969100906595</v>
      </c>
      <c r="AC22" s="462">
        <f>SUM('[1]GDP KP'!BT22:BU22)</f>
        <v>34.554249158119681</v>
      </c>
      <c r="AD22" s="462" t="e">
        <f>SUM('[1]GDP KP'!BV22:BW22)</f>
        <v>#REF!</v>
      </c>
      <c r="AE22" s="462"/>
      <c r="AF22" s="462"/>
      <c r="AG22" s="462"/>
      <c r="AH22" s="462">
        <f t="shared" si="4"/>
        <v>17.89677846350207</v>
      </c>
      <c r="AI22" s="462">
        <f t="shared" si="2"/>
        <v>44.256762921150262</v>
      </c>
      <c r="AJ22" s="484">
        <f t="shared" ref="AJ22:AJ85" si="5">AH22/AI22</f>
        <v>0.40438516697183058</v>
      </c>
    </row>
    <row r="23" spans="1:36">
      <c r="A23" s="455" t="s">
        <v>506</v>
      </c>
      <c r="B23" s="33">
        <f>SUM('[1]GDP KP'!AN23:AQ23)</f>
        <v>7.3242309195637798</v>
      </c>
      <c r="C23" s="33">
        <f>SUM('[1]GDP KP'!AR23:AU23)</f>
        <v>7.3392847119377507</v>
      </c>
      <c r="D23" s="33">
        <f>SUM('[1]GDP KP'!AV23:AY23)</f>
        <v>7.1181356190267788</v>
      </c>
      <c r="E23" s="33">
        <f>SUM('[1]GDP KP'!AZ23:BC23)</f>
        <v>6.7383365563045672</v>
      </c>
      <c r="F23" s="33">
        <f>SUM('[1]GDP KP'!BD23:BG23)</f>
        <v>6.4185500290410236</v>
      </c>
      <c r="G23" s="33">
        <f>SUM('[1]GDP KP'!BH23:BK23)</f>
        <v>6.1706635255588234</v>
      </c>
      <c r="H23" s="33">
        <f>SUM('[1]GDP KP'!BL23:BO23)</f>
        <v>6.0195711201344135</v>
      </c>
      <c r="I23" s="33">
        <f>SUM('[1]GDP KP'!BP23:BS23)</f>
        <v>5.9659082830254757</v>
      </c>
      <c r="J23" s="33" t="e">
        <f>SUM('[1]GDP KP'!BT23:BW23)</f>
        <v>#REF!</v>
      </c>
      <c r="L23" s="455" t="s">
        <v>506</v>
      </c>
      <c r="M23" s="462">
        <f>SUM('[1]GDP KP'!AN23:AO23)</f>
        <v>3.6338400021752468</v>
      </c>
      <c r="N23" s="462">
        <f>SUM('[1]GDP KP'!AP23:AQ23)</f>
        <v>3.6903909173885321</v>
      </c>
      <c r="O23" s="462">
        <f>SUM('[1]GDP KP'!AR23:AS23)</f>
        <v>3.6920890721212887</v>
      </c>
      <c r="P23" s="462">
        <f>SUM('[1]GDP KP'!AT23:AU23)</f>
        <v>3.647195639816462</v>
      </c>
      <c r="Q23" s="462">
        <f>SUM('[1]GDP KP'!AV23:AW23)</f>
        <v>3.6020309469620235</v>
      </c>
      <c r="R23" s="462">
        <f>SUM('[1]GDP KP'!BO23:BR23)</f>
        <v>5.8636071744166323</v>
      </c>
      <c r="S23" s="462">
        <f>SUM('[1]GDP KP'!AZ23:BA23)</f>
        <v>3.4052310123768605</v>
      </c>
      <c r="T23" s="462">
        <f>SUM('[1]GDP KP'!BB23:BC23)</f>
        <v>3.3331055439277066</v>
      </c>
      <c r="U23" s="462">
        <f>SUM('[1]GDP KP'!BD23:BE23)</f>
        <v>3.2613011312081714</v>
      </c>
      <c r="V23" s="462">
        <f>SUM('[1]GDP KP'!BF23:BG23)</f>
        <v>3.1572488978328517</v>
      </c>
      <c r="W23" s="462">
        <f>SUM('[1]GDP KP'!BH23:BI23)</f>
        <v>3.0568642950306346</v>
      </c>
      <c r="X23" s="462">
        <f>SUM('[1]GDP KP'!BJ23:BK23)</f>
        <v>3.1137992305281887</v>
      </c>
      <c r="Y23" s="462">
        <f>SUM('[1]GDP KP'!BL23:BM23)</f>
        <v>3.0648651655781203</v>
      </c>
      <c r="Z23" s="462">
        <f>SUM('[1]GDP KP'!BN23:BO23)</f>
        <v>2.9547059545562933</v>
      </c>
      <c r="AA23" s="462">
        <f>SUM('[1]GDP KP'!BP23:BQ23)</f>
        <v>2.9226396374030355</v>
      </c>
      <c r="AB23" s="462">
        <f>SUM('[1]GDP KP'!BR23:BS23)</f>
        <v>3.0432686456224403</v>
      </c>
      <c r="AC23" s="462">
        <f>SUM('[1]GDP KP'!BT23:BU23)</f>
        <v>3.0187382304278607</v>
      </c>
      <c r="AD23" s="462" t="e">
        <f>SUM('[1]GDP KP'!BV23:BW23)</f>
        <v>#REF!</v>
      </c>
      <c r="AE23" s="462"/>
      <c r="AF23" s="462"/>
      <c r="AG23" s="462"/>
      <c r="AH23" s="462">
        <f t="shared" si="4"/>
        <v>3.3298576578569232</v>
      </c>
      <c r="AI23" s="462">
        <f t="shared" si="2"/>
        <v>6.9302729083680612</v>
      </c>
      <c r="AJ23" s="484">
        <f t="shared" si="5"/>
        <v>0.48048001888009878</v>
      </c>
    </row>
    <row r="24" spans="1:36">
      <c r="A24" s="455" t="s">
        <v>507</v>
      </c>
      <c r="B24" s="33">
        <f>SUM('[1]GDP KP'!AN24:AQ24)</f>
        <v>12.353112632299787</v>
      </c>
      <c r="C24" s="33">
        <f>SUM('[1]GDP KP'!AR24:AU24)</f>
        <v>12.612428581968466</v>
      </c>
      <c r="D24" s="33">
        <f>SUM('[1]GDP KP'!AV24:AY24)</f>
        <v>13.491421500539822</v>
      </c>
      <c r="E24" s="33">
        <f>SUM('[1]GDP KP'!AZ24:BC24)</f>
        <v>14.668106769829091</v>
      </c>
      <c r="F24" s="33">
        <f>SUM('[1]GDP KP'!BD24:BG24)</f>
        <v>16.035747060811353</v>
      </c>
      <c r="G24" s="33">
        <f>SUM('[1]GDP KP'!BH24:BK24)</f>
        <v>16.701641637766411</v>
      </c>
      <c r="H24" s="33">
        <f>SUM('[1]GDP KP'!BL24:BO24)</f>
        <v>17.918588920318243</v>
      </c>
      <c r="I24" s="33">
        <f>SUM('[1]GDP KP'!BP24:BS24)</f>
        <v>18.445249961852603</v>
      </c>
      <c r="J24" s="33" t="e">
        <f>SUM('[1]GDP KP'!BT24:BW24)</f>
        <v>#REF!</v>
      </c>
      <c r="L24" s="455" t="s">
        <v>507</v>
      </c>
      <c r="M24" s="462">
        <f>SUM('[1]GDP KP'!AN24:AO24)</f>
        <v>6.1743765148189738</v>
      </c>
      <c r="N24" s="462">
        <f>SUM('[1]GDP KP'!AP24:AQ24)</f>
        <v>6.1787361174808133</v>
      </c>
      <c r="O24" s="462">
        <f>SUM('[1]GDP KP'!AR24:AS24)</f>
        <v>6.231249126696758</v>
      </c>
      <c r="P24" s="462">
        <f>SUM('[1]GDP KP'!AT24:AU24)</f>
        <v>6.3811794552717087</v>
      </c>
      <c r="Q24" s="462">
        <f>SUM('[1]GDP KP'!AV24:AW24)</f>
        <v>6.5684287765788749</v>
      </c>
      <c r="R24" s="462">
        <f>SUM('[1]GDP KP'!BO24:BR24)</f>
        <v>18.261734721911409</v>
      </c>
      <c r="S24" s="462">
        <f>SUM('[1]GDP KP'!AZ24:BA24)</f>
        <v>7.1417885313146323</v>
      </c>
      <c r="T24" s="462">
        <f>SUM('[1]GDP KP'!BB24:BC24)</f>
        <v>7.5263182385144605</v>
      </c>
      <c r="U24" s="462">
        <f>SUM('[1]GDP KP'!BD24:BE24)</f>
        <v>7.9025212943173369</v>
      </c>
      <c r="V24" s="462">
        <f>SUM('[1]GDP KP'!BF24:BG24)</f>
        <v>8.1332257664940162</v>
      </c>
      <c r="W24" s="462">
        <f>SUM('[1]GDP KP'!BH24:BI24)</f>
        <v>8.1745656895163989</v>
      </c>
      <c r="X24" s="462">
        <f>SUM('[1]GDP KP'!BJ24:BK24)</f>
        <v>8.52707594825001</v>
      </c>
      <c r="Y24" s="462">
        <f>SUM('[1]GDP KP'!BL24:BM24)</f>
        <v>8.8630166848912264</v>
      </c>
      <c r="Z24" s="462">
        <f>SUM('[1]GDP KP'!BN24:BO24)</f>
        <v>9.0555722354270163</v>
      </c>
      <c r="AA24" s="462">
        <f>SUM('[1]GDP KP'!BP24:BQ24)</f>
        <v>9.0944148135336</v>
      </c>
      <c r="AB24" s="462">
        <f>SUM('[1]GDP KP'!BR24:BS24)</f>
        <v>9.3508351483190051</v>
      </c>
      <c r="AC24" s="462">
        <f>SUM('[1]GDP KP'!BT24:BU24)</f>
        <v>9.4284663898002918</v>
      </c>
      <c r="AD24" s="462" t="e">
        <f>SUM('[1]GDP KP'!BV24:BW24)</f>
        <v>#REF!</v>
      </c>
      <c r="AE24" s="462"/>
      <c r="AF24" s="462"/>
      <c r="AG24" s="462"/>
      <c r="AH24" s="462">
        <f t="shared" si="4"/>
        <v>7.5187951789584755</v>
      </c>
      <c r="AI24" s="462">
        <f t="shared" si="2"/>
        <v>16.695629882917032</v>
      </c>
      <c r="AJ24" s="484">
        <f t="shared" si="5"/>
        <v>0.45034510417913054</v>
      </c>
    </row>
    <row r="25" spans="1:36">
      <c r="A25" s="455" t="s">
        <v>508</v>
      </c>
      <c r="B25" s="33">
        <f>SUM('[1]GDP KP'!AN25:AQ25)</f>
        <v>1.5895140861148667</v>
      </c>
      <c r="C25" s="33">
        <f>SUM('[1]GDP KP'!AR25:AU25)</f>
        <v>1.9351431172281732</v>
      </c>
      <c r="D25" s="33">
        <f>SUM('[1]GDP KP'!AV25:AY25)</f>
        <v>2.4064268766241872</v>
      </c>
      <c r="E25" s="33">
        <f>SUM('[1]GDP KP'!AZ25:BC25)</f>
        <v>2.763330094947325</v>
      </c>
      <c r="F25" s="33">
        <f>SUM('[1]GDP KP'!BD25:BG25)</f>
        <v>3.1799171464562739</v>
      </c>
      <c r="G25" s="33">
        <f>SUM('[1]GDP KP'!BH25:BK25)</f>
        <v>3.6565706763827333</v>
      </c>
      <c r="H25" s="33">
        <f>SUM('[1]GDP KP'!BL25:BO25)</f>
        <v>4.1881934537992791</v>
      </c>
      <c r="I25" s="33">
        <f>SUM('[1]GDP KP'!BP25:BS25)</f>
        <v>4.8024296443637642</v>
      </c>
      <c r="J25" s="33" t="e">
        <f>SUM('[1]GDP KP'!BT25:BW25)</f>
        <v>#REF!</v>
      </c>
      <c r="L25" s="455" t="s">
        <v>508</v>
      </c>
      <c r="M25" s="462">
        <f>SUM('[1]GDP KP'!AN25:AO25)</f>
        <v>0.77198436320409147</v>
      </c>
      <c r="N25" s="462">
        <f>SUM('[1]GDP KP'!AP25:AQ25)</f>
        <v>0.81752972291077519</v>
      </c>
      <c r="O25" s="462">
        <f>SUM('[1]GDP KP'!AR25:AS25)</f>
        <v>0.84850048352085938</v>
      </c>
      <c r="P25" s="462">
        <f>SUM('[1]GDP KP'!AT25:AU25)</f>
        <v>1.0866426337073136</v>
      </c>
      <c r="Q25" s="462">
        <f>SUM('[1]GDP KP'!AV25:AW25)</f>
        <v>1.1607819892599061</v>
      </c>
      <c r="R25" s="462">
        <f>SUM('[1]GDP KP'!BO25:BR25)</f>
        <v>4.6354645093041702</v>
      </c>
      <c r="S25" s="462">
        <f>SUM('[1]GDP KP'!AZ25:BA25)</f>
        <v>1.334709554640257</v>
      </c>
      <c r="T25" s="462">
        <f>SUM('[1]GDP KP'!BB25:BC25)</f>
        <v>1.428620540307068</v>
      </c>
      <c r="U25" s="462">
        <f>SUM('[1]GDP KP'!BD25:BE25)</f>
        <v>1.5338268736588456</v>
      </c>
      <c r="V25" s="462">
        <f>SUM('[1]GDP KP'!BF25:BG25)</f>
        <v>1.6460902727974283</v>
      </c>
      <c r="W25" s="462">
        <f>SUM('[1]GDP KP'!BH25:BI25)</f>
        <v>1.7636512305206193</v>
      </c>
      <c r="X25" s="462">
        <f>SUM('[1]GDP KP'!BJ25:BK25)</f>
        <v>1.8929194458621141</v>
      </c>
      <c r="Y25" s="462">
        <f>SUM('[1]GDP KP'!BL25:BM25)</f>
        <v>2.0256044493057574</v>
      </c>
      <c r="Z25" s="462">
        <f>SUM('[1]GDP KP'!BN25:BO25)</f>
        <v>2.1625890044935216</v>
      </c>
      <c r="AA25" s="462">
        <f>SUM('[1]GDP KP'!BP25:BQ25)</f>
        <v>2.315989473404076</v>
      </c>
      <c r="AB25" s="462">
        <f>SUM('[1]GDP KP'!BR25:BS25)</f>
        <v>2.4864401709596882</v>
      </c>
      <c r="AC25" s="462">
        <f>SUM('[1]GDP KP'!BT25:BU25)</f>
        <v>2.666044001718471</v>
      </c>
      <c r="AD25" s="462" t="e">
        <f>SUM('[1]GDP KP'!BV25:BW25)</f>
        <v>#REF!</v>
      </c>
      <c r="AE25" s="462"/>
      <c r="AF25" s="462"/>
      <c r="AG25" s="462"/>
      <c r="AH25" s="462">
        <f t="shared" si="4"/>
        <v>1.4693810521893016</v>
      </c>
      <c r="AI25" s="462">
        <f t="shared" si="2"/>
        <v>3.4889180897320617</v>
      </c>
      <c r="AJ25" s="484">
        <f t="shared" si="5"/>
        <v>0.42115664925287644</v>
      </c>
    </row>
    <row r="26" spans="1:36" s="245" customFormat="1">
      <c r="A26" s="456" t="s">
        <v>509</v>
      </c>
      <c r="B26" s="203">
        <f>SUM('[1]GDP KP'!AN26:AQ26)</f>
        <v>47.428246662332796</v>
      </c>
      <c r="C26" s="203">
        <f>SUM('[1]GDP KP'!AR26:AU26)</f>
        <v>49.954514088774971</v>
      </c>
      <c r="D26" s="203">
        <f>SUM('[1]GDP KP'!AV26:AY26)</f>
        <v>53.667001593929356</v>
      </c>
      <c r="E26" s="203">
        <f>SUM('[1]GDP KP'!AZ26:BC26)</f>
        <v>58.482769560881394</v>
      </c>
      <c r="F26" s="203">
        <f>SUM('[1]GDP KP'!BD26:BG26)</f>
        <v>63.681815536820665</v>
      </c>
      <c r="G26" s="203">
        <f>SUM('[1]GDP KP'!BH26:BK26)</f>
        <v>67.883243826046183</v>
      </c>
      <c r="H26" s="203">
        <f>SUM('[1]GDP KP'!BL26:BO26)</f>
        <v>72.993928709301457</v>
      </c>
      <c r="I26" s="203">
        <f>SUM('[1]GDP KP'!BP26:BS26)</f>
        <v>77.922417414241153</v>
      </c>
      <c r="J26" s="203" t="e">
        <f>SUM('[1]GDP KP'!BT26:BW26)</f>
        <v>#REF!</v>
      </c>
      <c r="L26" s="456" t="s">
        <v>509</v>
      </c>
      <c r="M26" s="461">
        <f>SUM('[1]GDP KP'!AN26:AO26)</f>
        <v>23.441344741191244</v>
      </c>
      <c r="N26" s="461">
        <f>SUM('[1]GDP KP'!AP26:AQ26)</f>
        <v>23.986901921141552</v>
      </c>
      <c r="O26" s="461">
        <f>SUM('[1]GDP KP'!AR26:AS26)</f>
        <v>24.551940187276216</v>
      </c>
      <c r="P26" s="461">
        <f>SUM('[1]GDP KP'!AT26:AU26)</f>
        <v>25.402573901498755</v>
      </c>
      <c r="Q26" s="461">
        <f>SUM('[1]GDP KP'!AV26:AW26)</f>
        <v>26.279543806664961</v>
      </c>
      <c r="R26" s="461">
        <f>SUM('[1]GDP KP'!BO26:BR26)</f>
        <v>76.714468930318844</v>
      </c>
      <c r="S26" s="461">
        <f>SUM('[1]GDP KP'!AZ26:BA26)</f>
        <v>28.505886635360849</v>
      </c>
      <c r="T26" s="461">
        <f>SUM('[1]GDP KP'!BB26:BC26)</f>
        <v>29.976882925520549</v>
      </c>
      <c r="U26" s="461">
        <f>SUM('[1]GDP KP'!BD26:BE26)</f>
        <v>31.252254392214144</v>
      </c>
      <c r="V26" s="461">
        <f>SUM('[1]GDP KP'!BF26:BG26)</f>
        <v>32.429561144606524</v>
      </c>
      <c r="W26" s="461">
        <f>SUM('[1]GDP KP'!BH26:BI26)</f>
        <v>33.203213940585428</v>
      </c>
      <c r="X26" s="461">
        <f>SUM('[1]GDP KP'!BJ26:BK26)</f>
        <v>34.680029885460755</v>
      </c>
      <c r="Y26" s="461">
        <f>SUM('[1]GDP KP'!BL26:BM26)</f>
        <v>35.851834782537921</v>
      </c>
      <c r="Z26" s="461">
        <f>SUM('[1]GDP KP'!BN26:BO26)</f>
        <v>37.142093926763536</v>
      </c>
      <c r="AA26" s="461">
        <f>SUM('[1]GDP KP'!BP26:BQ26)</f>
        <v>38.362310770531209</v>
      </c>
      <c r="AB26" s="461">
        <f>SUM('[1]GDP KP'!BR26:BS26)</f>
        <v>39.560106643709936</v>
      </c>
      <c r="AC26" s="461">
        <f>SUM('[1]GDP KP'!BT26:BU26)</f>
        <v>40.712318218430809</v>
      </c>
      <c r="AD26" s="461" t="e">
        <f>SUM('[1]GDP KP'!BV26:BW26)</f>
        <v>#REF!</v>
      </c>
      <c r="AE26" s="461"/>
      <c r="AF26" s="461"/>
      <c r="AG26" s="461"/>
      <c r="AH26" s="461">
        <f t="shared" si="4"/>
        <v>30.18104115704525</v>
      </c>
      <c r="AI26" s="461">
        <f t="shared" si="2"/>
        <v>67.667618566922812</v>
      </c>
      <c r="AJ26" s="487">
        <f t="shared" si="5"/>
        <v>0.44601896440609046</v>
      </c>
    </row>
    <row r="27" spans="1:36">
      <c r="A27" s="455" t="s">
        <v>510</v>
      </c>
      <c r="B27" s="33">
        <f>SUM('[1]GDP KP'!AN27:AQ27)</f>
        <v>31.053046945869013</v>
      </c>
      <c r="C27" s="33">
        <f>SUM('[1]GDP KP'!AR27:AU27)</f>
        <v>32.650262033008822</v>
      </c>
      <c r="D27" s="33">
        <f>SUM('[1]GDP KP'!AV27:AY27)</f>
        <v>34.528555299599333</v>
      </c>
      <c r="E27" s="33">
        <f>SUM('[1]GDP KP'!AZ27:BC27)</f>
        <v>37.05485598224336</v>
      </c>
      <c r="F27" s="33">
        <f>SUM('[1]GDP KP'!BD27:BG27)</f>
        <v>39.465265309166917</v>
      </c>
      <c r="G27" s="33">
        <f>SUM('[1]GDP KP'!BH27:BK27)</f>
        <v>41.859451616088769</v>
      </c>
      <c r="H27" s="33">
        <f>SUM('[1]GDP KP'!BL27:BO27)</f>
        <v>44.63452735586403</v>
      </c>
      <c r="I27" s="33">
        <f>SUM('[1]GDP KP'!BP27:BS27)</f>
        <v>47.634363030032787</v>
      </c>
      <c r="J27" s="33" t="e">
        <f>SUM('[1]GDP KP'!BT27:BW27)</f>
        <v>#REF!</v>
      </c>
      <c r="L27" s="455" t="s">
        <v>510</v>
      </c>
      <c r="M27" s="462">
        <f>SUM('[1]GDP KP'!AN27:AO27)</f>
        <v>15.318145067350034</v>
      </c>
      <c r="N27" s="462">
        <f>SUM('[1]GDP KP'!AP27:AQ27)</f>
        <v>15.734901878518977</v>
      </c>
      <c r="O27" s="462">
        <f>SUM('[1]GDP KP'!AR27:AS27)</f>
        <v>16.115994043560711</v>
      </c>
      <c r="P27" s="462">
        <f>SUM('[1]GDP KP'!AT27:AU27)</f>
        <v>16.534267989448111</v>
      </c>
      <c r="Q27" s="462">
        <f>SUM('[1]GDP KP'!AV27:AW27)</f>
        <v>17.015210718747305</v>
      </c>
      <c r="R27" s="462">
        <f>SUM('[1]GDP KP'!BO27:BR27)</f>
        <v>46.842365345925728</v>
      </c>
      <c r="S27" s="462">
        <f>SUM('[1]GDP KP'!AZ27:BA27)</f>
        <v>18.14414494099195</v>
      </c>
      <c r="T27" s="462">
        <f>SUM('[1]GDP KP'!BB27:BC27)</f>
        <v>18.91071104125141</v>
      </c>
      <c r="U27" s="462">
        <f>SUM('[1]GDP KP'!BD27:BE27)</f>
        <v>19.452927438431651</v>
      </c>
      <c r="V27" s="462">
        <f>SUM('[1]GDP KP'!BF27:BG27)</f>
        <v>20.012337870735266</v>
      </c>
      <c r="W27" s="462">
        <f>SUM('[1]GDP KP'!BH27:BI27)</f>
        <v>20.589691799473627</v>
      </c>
      <c r="X27" s="462">
        <f>SUM('[1]GDP KP'!BJ27:BK27)</f>
        <v>21.269759816615142</v>
      </c>
      <c r="Y27" s="462">
        <f>SUM('[1]GDP KP'!BL27:BM27)</f>
        <v>21.967964454222145</v>
      </c>
      <c r="Z27" s="462">
        <f>SUM('[1]GDP KP'!BN27:BO27)</f>
        <v>22.666562901641889</v>
      </c>
      <c r="AA27" s="462">
        <f>SUM('[1]GDP KP'!BP27:BQ27)</f>
        <v>23.414878823646475</v>
      </c>
      <c r="AB27" s="462">
        <f>SUM('[1]GDP KP'!BR27:BS27)</f>
        <v>24.219484206386316</v>
      </c>
      <c r="AC27" s="462">
        <f>SUM('[1]GDP KP'!BT27:BU27)</f>
        <v>25.026701877350419</v>
      </c>
      <c r="AD27" s="462" t="e">
        <f>SUM('[1]GDP KP'!BV27:BW27)</f>
        <v>#REF!</v>
      </c>
      <c r="AE27" s="462"/>
      <c r="AF27" s="462"/>
      <c r="AG27" s="462"/>
      <c r="AH27" s="462">
        <f t="shared" si="4"/>
        <v>19.002369660802984</v>
      </c>
      <c r="AI27" s="462">
        <f t="shared" si="2"/>
        <v>42.276168542118342</v>
      </c>
      <c r="AJ27" s="484">
        <f t="shared" si="5"/>
        <v>0.44948183139802639</v>
      </c>
    </row>
    <row r="28" spans="1:36">
      <c r="A28" s="455" t="s">
        <v>511</v>
      </c>
      <c r="B28" s="33">
        <f>SUM('[1]GDP KP'!AN28:AQ28)</f>
        <v>13.688971100914884</v>
      </c>
      <c r="C28" s="33">
        <f>SUM('[1]GDP KP'!AR28:AU28)</f>
        <v>13.976329327677851</v>
      </c>
      <c r="D28" s="33">
        <f>SUM('[1]GDP KP'!AV28:AY28)</f>
        <v>14.950376033021625</v>
      </c>
      <c r="E28" s="33">
        <f>SUM('[1]GDP KP'!AZ28:BC28)</f>
        <v>16.254307368032396</v>
      </c>
      <c r="F28" s="33">
        <f>SUM('[1]GDP KP'!BD28:BG28)</f>
        <v>17.76984349054386</v>
      </c>
      <c r="G28" s="33">
        <f>SUM('[1]GDP KP'!BH28:BK28)</f>
        <v>18.507747522630439</v>
      </c>
      <c r="H28" s="33">
        <f>SUM('[1]GDP KP'!BL28:BO28)</f>
        <v>19.856294781774757</v>
      </c>
      <c r="I28" s="33">
        <f>SUM('[1]GDP KP'!BP28:BS28)</f>
        <v>20.43990864429966</v>
      </c>
      <c r="J28" s="33" t="e">
        <f>SUM('[1]GDP KP'!BT28:BW28)</f>
        <v>#REF!</v>
      </c>
      <c r="L28" s="455" t="s">
        <v>511</v>
      </c>
      <c r="M28" s="462">
        <f>SUM('[1]GDP KP'!AN28:AO28)</f>
        <v>6.8420700266689938</v>
      </c>
      <c r="N28" s="462">
        <f>SUM('[1]GDP KP'!AP28:AQ28)</f>
        <v>6.8469010742458902</v>
      </c>
      <c r="O28" s="462">
        <f>SUM('[1]GDP KP'!AR28:AS28)</f>
        <v>6.9050928099627313</v>
      </c>
      <c r="P28" s="462">
        <f>SUM('[1]GDP KP'!AT28:AU28)</f>
        <v>7.0712365177151213</v>
      </c>
      <c r="Q28" s="462">
        <f>SUM('[1]GDP KP'!AV28:AW28)</f>
        <v>7.2787348725295651</v>
      </c>
      <c r="R28" s="462">
        <f>SUM('[1]GDP KP'!BO28:BR28)</f>
        <v>20.23654817225442</v>
      </c>
      <c r="S28" s="462">
        <f>SUM('[1]GDP KP'!AZ28:BA28)</f>
        <v>7.9140974201423315</v>
      </c>
      <c r="T28" s="462">
        <f>SUM('[1]GDP KP'!BB28:BC28)</f>
        <v>8.3402099478900631</v>
      </c>
      <c r="U28" s="462">
        <f>SUM('[1]GDP KP'!BD28:BE28)</f>
        <v>8.7570953849657478</v>
      </c>
      <c r="V28" s="462">
        <f>SUM('[1]GDP KP'!BF28:BG28)</f>
        <v>9.01274810557811</v>
      </c>
      <c r="W28" s="462">
        <f>SUM('[1]GDP KP'!BH28:BI28)</f>
        <v>9.0585585040106302</v>
      </c>
      <c r="X28" s="462">
        <f>SUM('[1]GDP KP'!BJ28:BK28)</f>
        <v>9.4491890186198084</v>
      </c>
      <c r="Y28" s="462">
        <f>SUM('[1]GDP KP'!BL28:BM28)</f>
        <v>9.8214581925830959</v>
      </c>
      <c r="Z28" s="462">
        <f>SUM('[1]GDP KP'!BN28:BO28)</f>
        <v>10.034836589191659</v>
      </c>
      <c r="AA28" s="462">
        <f>SUM('[1]GDP KP'!BP28:BQ28)</f>
        <v>10.077879581270906</v>
      </c>
      <c r="AB28" s="462">
        <f>SUM('[1]GDP KP'!BR28:BS28)</f>
        <v>10.362029063028755</v>
      </c>
      <c r="AC28" s="462">
        <f>SUM('[1]GDP KP'!BT28:BU28)</f>
        <v>10.448055302147374</v>
      </c>
      <c r="AD28" s="462" t="e">
        <f>SUM('[1]GDP KP'!BV28:BW28)</f>
        <v>#REF!</v>
      </c>
      <c r="AE28" s="462"/>
      <c r="AF28" s="462"/>
      <c r="AG28" s="462"/>
      <c r="AH28" s="462">
        <f t="shared" si="4"/>
        <v>8.3318733490167514</v>
      </c>
      <c r="AI28" s="462">
        <f t="shared" si="2"/>
        <v>18.501085660082229</v>
      </c>
      <c r="AJ28" s="484">
        <f t="shared" si="5"/>
        <v>0.45034510417913065</v>
      </c>
    </row>
    <row r="29" spans="1:36">
      <c r="A29" s="455" t="s">
        <v>456</v>
      </c>
      <c r="B29" s="33">
        <f>SUM('[1]GDP KP'!AN29:AQ29)</f>
        <v>0.355899813624242</v>
      </c>
      <c r="C29" s="33">
        <f>SUM('[1]GDP KP'!AR29:AU29)</f>
        <v>0.43328780837741576</v>
      </c>
      <c r="D29" s="33">
        <f>SUM('[1]GDP KP'!AV29:AY29)</f>
        <v>0.53881049836070694</v>
      </c>
      <c r="E29" s="33">
        <f>SUM('[1]GDP KP'!AZ29:BC29)</f>
        <v>0.61872283760493918</v>
      </c>
      <c r="F29" s="33">
        <f>SUM('[1]GDP KP'!BD29:BG29)</f>
        <v>0.71199867283373952</v>
      </c>
      <c r="G29" s="33">
        <f>SUM('[1]GDP KP'!BH29:BK29)</f>
        <v>0.81872368014638586</v>
      </c>
      <c r="H29" s="33">
        <f>SUM('[1]GDP KP'!BL29:BO29)</f>
        <v>0.93775656513541383</v>
      </c>
      <c r="I29" s="33">
        <f>SUM('[1]GDP KP'!BP29:BS29)</f>
        <v>1.0752869888370926</v>
      </c>
      <c r="J29" s="33" t="e">
        <f>SUM('[1]GDP KP'!BT29:BW29)</f>
        <v>#REF!</v>
      </c>
      <c r="L29" s="455" t="s">
        <v>456</v>
      </c>
      <c r="M29" s="462">
        <f>SUM('[1]GDP KP'!AN29:AO29)</f>
        <v>0.17285099476954902</v>
      </c>
      <c r="N29" s="462">
        <f>SUM('[1]GDP KP'!AP29:AQ29)</f>
        <v>0.18304881885469296</v>
      </c>
      <c r="O29" s="462">
        <f>SUM('[1]GDP KP'!AR29:AS29)</f>
        <v>0.18998332042672464</v>
      </c>
      <c r="P29" s="462">
        <f>SUM('[1]GDP KP'!AT29:AU29)</f>
        <v>0.24330448795069115</v>
      </c>
      <c r="Q29" s="462">
        <f>SUM('[1]GDP KP'!AV29:AW29)</f>
        <v>0.25990464459848966</v>
      </c>
      <c r="R29" s="462">
        <f>SUM('[1]GDP KP'!BO29:BR29)</f>
        <v>1.0379026957575022</v>
      </c>
      <c r="S29" s="462">
        <f>SUM('[1]GDP KP'!AZ29:BA29)</f>
        <v>0.29884785915928958</v>
      </c>
      <c r="T29" s="462">
        <f>SUM('[1]GDP KP'!BB29:BC29)</f>
        <v>0.31987497844564949</v>
      </c>
      <c r="U29" s="462">
        <f>SUM('[1]GDP KP'!BD29:BE29)</f>
        <v>0.34343118015475593</v>
      </c>
      <c r="V29" s="462">
        <f>SUM('[1]GDP KP'!BF29:BG29)</f>
        <v>0.36856749267898359</v>
      </c>
      <c r="W29" s="462">
        <f>SUM('[1]GDP KP'!BH29:BI29)</f>
        <v>0.39488995393218151</v>
      </c>
      <c r="X29" s="462">
        <f>SUM('[1]GDP KP'!BJ29:BK29)</f>
        <v>0.4238337262142044</v>
      </c>
      <c r="Y29" s="462">
        <f>SUM('[1]GDP KP'!BL29:BM29)</f>
        <v>0.45354253371005204</v>
      </c>
      <c r="Z29" s="462">
        <f>SUM('[1]GDP KP'!BN29:BO29)</f>
        <v>0.48421403142536179</v>
      </c>
      <c r="AA29" s="462">
        <f>SUM('[1]GDP KP'!BP29:BQ29)</f>
        <v>0.51856113081381738</v>
      </c>
      <c r="AB29" s="462">
        <f>SUM('[1]GDP KP'!BR29:BS29)</f>
        <v>0.55672585802327523</v>
      </c>
      <c r="AC29" s="462">
        <f>SUM('[1]GDP KP'!BT29:BU29)</f>
        <v>0.59694001557722842</v>
      </c>
      <c r="AD29" s="462" t="e">
        <f>SUM('[1]GDP KP'!BV29:BW29)</f>
        <v>#REF!</v>
      </c>
      <c r="AE29" s="462"/>
      <c r="AF29" s="462"/>
      <c r="AG29" s="462"/>
      <c r="AH29" s="462">
        <f t="shared" si="4"/>
        <v>0.3290014521956075</v>
      </c>
      <c r="AI29" s="462">
        <f t="shared" si="2"/>
        <v>0.78118546336440242</v>
      </c>
      <c r="AJ29" s="484">
        <f t="shared" si="5"/>
        <v>0.4211566492528766</v>
      </c>
    </row>
    <row r="30" spans="1:36">
      <c r="A30" s="455" t="s">
        <v>512</v>
      </c>
      <c r="B30" s="33">
        <f>SUM('[1]GDP KP'!AN30:AQ30)</f>
        <v>1.7443126535651952</v>
      </c>
      <c r="C30" s="33">
        <f>SUM('[1]GDP KP'!AR30:AU30)</f>
        <v>2.1811935441429653</v>
      </c>
      <c r="D30" s="33">
        <f>SUM('[1]GDP KP'!AV30:AY30)</f>
        <v>2.7620672417446528</v>
      </c>
      <c r="E30" s="33">
        <f>SUM('[1]GDP KP'!AZ30:BC30)</f>
        <v>3.5361090991313322</v>
      </c>
      <c r="F30" s="33">
        <f>SUM('[1]GDP KP'!BD30:BG30)</f>
        <v>4.5623480238418592</v>
      </c>
      <c r="G30" s="33">
        <f>SUM('[1]GDP KP'!BH30:BK30)</f>
        <v>5.3492301140602407</v>
      </c>
      <c r="H30" s="33">
        <f>SUM('[1]GDP KP'!BL30:BO30)</f>
        <v>6.0212624027622956</v>
      </c>
      <c r="I30" s="33">
        <f>SUM('[1]GDP KP'!BP30:BS30)</f>
        <v>7.0023168304044274</v>
      </c>
      <c r="J30" s="33" t="e">
        <f>SUM('[1]GDP KP'!BT30:BW30)</f>
        <v>#REF!</v>
      </c>
      <c r="L30" s="455" t="s">
        <v>512</v>
      </c>
      <c r="M30" s="462">
        <f>SUM('[1]GDP KP'!AN30:AO30)</f>
        <v>0.82366632523270011</v>
      </c>
      <c r="N30" s="462">
        <f>SUM('[1]GDP KP'!AP30:AQ30)</f>
        <v>0.92064632833249493</v>
      </c>
      <c r="O30" s="462">
        <f>SUM('[1]GDP KP'!AR30:AS30)</f>
        <v>1.0280480071685625</v>
      </c>
      <c r="P30" s="462">
        <f>SUM('[1]GDP KP'!AT30:AU30)</f>
        <v>1.1531455369744028</v>
      </c>
      <c r="Q30" s="462">
        <f>SUM('[1]GDP KP'!AV30:AW30)</f>
        <v>1.2977407791954232</v>
      </c>
      <c r="R30" s="462">
        <f>SUM('[1]GDP KP'!BO30:BR30)</f>
        <v>6.888666881446551</v>
      </c>
      <c r="S30" s="462">
        <f>SUM('[1]GDP KP'!AZ30:BA30)</f>
        <v>1.6567206547947606</v>
      </c>
      <c r="T30" s="462">
        <f>SUM('[1]GDP KP'!BB30:BC30)</f>
        <v>1.8793884443365716</v>
      </c>
      <c r="U30" s="462">
        <f>SUM('[1]GDP KP'!BD30:BE30)</f>
        <v>2.1333147949175659</v>
      </c>
      <c r="V30" s="462">
        <f>SUM('[1]GDP KP'!BF30:BG30)</f>
        <v>2.4290332289242933</v>
      </c>
      <c r="W30" s="462">
        <f>SUM('[1]GDP KP'!BH30:BI30)</f>
        <v>2.5098572993146657</v>
      </c>
      <c r="X30" s="462">
        <f>SUM('[1]GDP KP'!BJ30:BK30)</f>
        <v>2.839372814745575</v>
      </c>
      <c r="Y30" s="462">
        <f>SUM('[1]GDP KP'!BL30:BM30)</f>
        <v>2.8620772786004878</v>
      </c>
      <c r="Z30" s="462">
        <f>SUM('[1]GDP KP'!BN30:BO30)</f>
        <v>3.1591851241618079</v>
      </c>
      <c r="AA30" s="462">
        <f>SUM('[1]GDP KP'!BP30:BQ30)</f>
        <v>3.4971408394489174</v>
      </c>
      <c r="AB30" s="462">
        <f>SUM('[1]GDP KP'!BR30:BS30)</f>
        <v>3.50517599095551</v>
      </c>
      <c r="AC30" s="462">
        <f>SUM('[1]GDP KP'!BT30:BU30)</f>
        <v>3.6577138249284822</v>
      </c>
      <c r="AD30" s="462" t="e">
        <f>SUM('[1]GDP KP'!BV30:BW30)</f>
        <v>#REF!</v>
      </c>
      <c r="AE30" s="462"/>
      <c r="AF30" s="462"/>
      <c r="AG30" s="462"/>
      <c r="AH30" s="462">
        <f t="shared" si="4"/>
        <v>1.9760707473341355</v>
      </c>
      <c r="AI30" s="462">
        <f t="shared" si="2"/>
        <v>4.8228975410687864</v>
      </c>
      <c r="AJ30" s="484">
        <f t="shared" si="5"/>
        <v>0.40972687694630661</v>
      </c>
    </row>
    <row r="31" spans="1:36">
      <c r="A31" s="455" t="s">
        <v>513</v>
      </c>
      <c r="B31" s="33">
        <f>SUM('[1]GDP KP'!AN31:AQ31)</f>
        <v>0.58601614835946036</v>
      </c>
      <c r="C31" s="33">
        <f>SUM('[1]GDP KP'!AR31:AU31)</f>
        <v>0.71344137556791876</v>
      </c>
      <c r="D31" s="33">
        <f>SUM('[1]GDP KP'!AV31:AY31)</f>
        <v>0.8871925212030386</v>
      </c>
      <c r="E31" s="33">
        <f>SUM('[1]GDP KP'!AZ31:BC31)</f>
        <v>1.0187742738693732</v>
      </c>
      <c r="F31" s="33">
        <f>SUM('[1]GDP KP'!BD31:BG31)</f>
        <v>1.1723600404342982</v>
      </c>
      <c r="G31" s="33">
        <f>SUM('[1]GDP KP'!BH31:BK31)</f>
        <v>1.3480908931203432</v>
      </c>
      <c r="H31" s="33">
        <f>SUM('[1]GDP KP'!BL31:BO31)</f>
        <v>1.5440876037649631</v>
      </c>
      <c r="I31" s="33">
        <f>SUM('[1]GDP KP'!BP31:BS31)</f>
        <v>1.770541920667176</v>
      </c>
      <c r="J31" s="33" t="e">
        <f>SUM('[1]GDP KP'!BT31:BW31)</f>
        <v>#REF!</v>
      </c>
      <c r="L31" s="455" t="s">
        <v>513</v>
      </c>
      <c r="M31" s="462">
        <f>SUM('[1]GDP KP'!AN31:AO31)</f>
        <v>0.28461232716996504</v>
      </c>
      <c r="N31" s="462">
        <f>SUM('[1]GDP KP'!AP31:AQ31)</f>
        <v>0.30140382118949527</v>
      </c>
      <c r="O31" s="462">
        <f>SUM('[1]GDP KP'!AR31:AS31)</f>
        <v>0.3128220061574849</v>
      </c>
      <c r="P31" s="462">
        <f>SUM('[1]GDP KP'!AT31:AU31)</f>
        <v>0.40061936941043386</v>
      </c>
      <c r="Q31" s="462">
        <f>SUM('[1]GDP KP'!AV31:AW31)</f>
        <v>0.42795279159417599</v>
      </c>
      <c r="R31" s="462">
        <f>SUM('[1]GDP KP'!BO31:BR31)</f>
        <v>1.7089858349346523</v>
      </c>
      <c r="S31" s="462">
        <f>SUM('[1]GDP KP'!AZ31:BA31)</f>
        <v>0.49207576027252092</v>
      </c>
      <c r="T31" s="462">
        <f>SUM('[1]GDP KP'!BB31:BC31)</f>
        <v>0.52669851359685227</v>
      </c>
      <c r="U31" s="462">
        <f>SUM('[1]GDP KP'!BD31:BE31)</f>
        <v>0.56548559374442298</v>
      </c>
      <c r="V31" s="462">
        <f>SUM('[1]GDP KP'!BF31:BG31)</f>
        <v>0.60687444668987522</v>
      </c>
      <c r="W31" s="462">
        <f>SUM('[1]GDP KP'!BH31:BI31)</f>
        <v>0.65021638385432223</v>
      </c>
      <c r="X31" s="462">
        <f>SUM('[1]GDP KP'!BJ31:BK31)</f>
        <v>0.6978745092660209</v>
      </c>
      <c r="Y31" s="462">
        <f>SUM('[1]GDP KP'!BL31:BM31)</f>
        <v>0.7467923234221433</v>
      </c>
      <c r="Z31" s="462">
        <f>SUM('[1]GDP KP'!BN31:BO31)</f>
        <v>0.79729528034281971</v>
      </c>
      <c r="AA31" s="462">
        <f>SUM('[1]GDP KP'!BP31:BQ31)</f>
        <v>0.85385039535109386</v>
      </c>
      <c r="AB31" s="462">
        <f>SUM('[1]GDP KP'!BR31:BS31)</f>
        <v>0.91669152531608189</v>
      </c>
      <c r="AC31" s="462">
        <f>SUM('[1]GDP KP'!BT31:BU31)</f>
        <v>0.98290719842730512</v>
      </c>
      <c r="AD31" s="462" t="e">
        <f>SUM('[1]GDP KP'!BV31:BW31)</f>
        <v>#REF!</v>
      </c>
      <c r="AE31" s="462"/>
      <c r="AF31" s="462"/>
      <c r="AG31" s="462"/>
      <c r="AH31" s="462">
        <f t="shared" si="4"/>
        <v>0.5417259476957661</v>
      </c>
      <c r="AI31" s="462">
        <f t="shared" si="2"/>
        <v>1.2862813602890451</v>
      </c>
      <c r="AJ31" s="484">
        <f t="shared" si="5"/>
        <v>0.42115664925287644</v>
      </c>
    </row>
    <row r="32" spans="1:36" s="245" customFormat="1">
      <c r="A32" s="454" t="s">
        <v>514</v>
      </c>
      <c r="B32" s="459">
        <f>SUM('[1]GDP KP'!AN32:AQ32)</f>
        <v>353.80705468257236</v>
      </c>
      <c r="C32" s="459">
        <f>SUM('[1]GDP KP'!AR32:AU32)</f>
        <v>366.77901575860682</v>
      </c>
      <c r="D32" s="459">
        <f>SUM('[1]GDP KP'!AV32:AY32)</f>
        <v>378.43696346549939</v>
      </c>
      <c r="E32" s="459">
        <f>SUM('[1]GDP KP'!AZ32:BC32)</f>
        <v>394.79294381596458</v>
      </c>
      <c r="F32" s="459">
        <f>SUM('[1]GDP KP'!BD32:BG32)</f>
        <v>417.03766492174242</v>
      </c>
      <c r="G32" s="459">
        <f>SUM('[1]GDP KP'!BH32:BK32)</f>
        <v>432.31096112347308</v>
      </c>
      <c r="H32" s="459">
        <f>SUM('[1]GDP KP'!BL32:BO32)</f>
        <v>455.48830375144092</v>
      </c>
      <c r="I32" s="459">
        <f>SUM('[1]GDP KP'!BP32:BS32)</f>
        <v>477.34485334811677</v>
      </c>
      <c r="J32" s="459" t="e">
        <f>SUM('[1]GDP KP'!BT32:BW32)</f>
        <v>#REF!</v>
      </c>
      <c r="L32" s="454" t="s">
        <v>514</v>
      </c>
      <c r="M32" s="459">
        <f>SUM('[1]GDP KP'!AN32:AO32)</f>
        <v>175.01740235969515</v>
      </c>
      <c r="N32" s="459">
        <f>SUM('[1]GDP KP'!AP32:AQ32)</f>
        <v>178.7896523228772</v>
      </c>
      <c r="O32" s="459">
        <f>SUM('[1]GDP KP'!AR32:AS32)</f>
        <v>181.64794977120954</v>
      </c>
      <c r="P32" s="459">
        <f>SUM('[1]GDP KP'!AT32:AU32)</f>
        <v>185.13106598739725</v>
      </c>
      <c r="Q32" s="459">
        <f>SUM('[1]GDP KP'!AV32:AW32)</f>
        <v>187.26894840814947</v>
      </c>
      <c r="R32" s="459">
        <f>SUM('[1]GDP KP'!BO32:BR32)</f>
        <v>471.52491424378013</v>
      </c>
      <c r="S32" s="459">
        <f>SUM('[1]GDP KP'!AZ32:BA32)</f>
        <v>194.77596982221326</v>
      </c>
      <c r="T32" s="459">
        <f>SUM('[1]GDP KP'!BB32:BC32)</f>
        <v>200.01697399375132</v>
      </c>
      <c r="U32" s="459">
        <f>SUM('[1]GDP KP'!BD32:BE32)</f>
        <v>205.94118888759584</v>
      </c>
      <c r="V32" s="459">
        <f>SUM('[1]GDP KP'!BF32:BG32)</f>
        <v>211.09647603414658</v>
      </c>
      <c r="W32" s="459">
        <f>SUM('[1]GDP KP'!BH32:BI32)</f>
        <v>212.54226732026098</v>
      </c>
      <c r="X32" s="459">
        <f>SUM('[1]GDP KP'!BJ32:BK32)</f>
        <v>219.7686938032121</v>
      </c>
      <c r="Y32" s="459">
        <f>SUM('[1]GDP KP'!BL32:BM32)</f>
        <v>224.50313184920344</v>
      </c>
      <c r="Z32" s="459">
        <f>SUM('[1]GDP KP'!BN32:BO32)</f>
        <v>230.98517190223748</v>
      </c>
      <c r="AA32" s="459">
        <f>SUM('[1]GDP KP'!BP32:BQ32)</f>
        <v>235.78687538197869</v>
      </c>
      <c r="AB32" s="459">
        <f>SUM('[1]GDP KP'!BR32:BS32)</f>
        <v>241.55797796613808</v>
      </c>
      <c r="AC32" s="459">
        <f>SUM('[1]GDP KP'!BT32:BU32)</f>
        <v>248.76713680325182</v>
      </c>
      <c r="AD32" s="459" t="e">
        <f>SUM('[1]GDP KP'!BV32:BW32)</f>
        <v>#REF!</v>
      </c>
      <c r="AE32" s="459"/>
      <c r="AF32" s="459"/>
      <c r="AG32" s="459"/>
      <c r="AH32" s="459">
        <f t="shared" si="4"/>
        <v>202.18546672503831</v>
      </c>
      <c r="AI32" s="459">
        <f t="shared" si="2"/>
        <v>444.54433250673083</v>
      </c>
      <c r="AJ32" s="479">
        <f t="shared" si="5"/>
        <v>0.4548150812877072</v>
      </c>
    </row>
    <row r="33" spans="1:36">
      <c r="A33" s="451" t="s">
        <v>515</v>
      </c>
      <c r="B33" s="33">
        <f>SUM('[1]GDP KP'!AN33:AQ33)</f>
        <v>19.132481771896487</v>
      </c>
      <c r="C33" s="33">
        <f>SUM('[1]GDP KP'!AR33:AU33)</f>
        <v>21.410155120029348</v>
      </c>
      <c r="D33" s="33">
        <f>SUM('[1]GDP KP'!AV33:AY33)</f>
        <v>19.553879589410876</v>
      </c>
      <c r="E33" s="33">
        <f>SUM('[1]GDP KP'!AZ33:BC33)</f>
        <v>21.253237581887031</v>
      </c>
      <c r="F33" s="33">
        <f>SUM('[1]GDP KP'!BD33:BG33)</f>
        <v>27.582421477886253</v>
      </c>
      <c r="G33" s="33">
        <f>SUM('[1]GDP KP'!BH33:BK33)</f>
        <v>25.548669510419508</v>
      </c>
      <c r="H33" s="33">
        <f>SUM('[1]GDP KP'!BL33:BO33)</f>
        <v>29.876639726833339</v>
      </c>
      <c r="I33" s="33">
        <f>SUM('[1]GDP KP'!BP33:BS33)</f>
        <v>31.170025381816899</v>
      </c>
      <c r="J33" s="33" t="e">
        <f>SUM('[1]GDP KP'!BT33:BW33)</f>
        <v>#REF!</v>
      </c>
      <c r="L33" s="451" t="s">
        <v>515</v>
      </c>
      <c r="M33" s="462">
        <f>SUM('[1]GDP KP'!AN33:AO33)</f>
        <v>8.8415842961865714</v>
      </c>
      <c r="N33" s="462">
        <f>SUM('[1]GDP KP'!AP33:AQ33)</f>
        <v>10.290897475709915</v>
      </c>
      <c r="O33" s="462">
        <f>SUM('[1]GDP KP'!AR33:AS33)</f>
        <v>10.585548582963458</v>
      </c>
      <c r="P33" s="462">
        <f>SUM('[1]GDP KP'!AT33:AU33)</f>
        <v>10.824606537065891</v>
      </c>
      <c r="Q33" s="462">
        <f>SUM('[1]GDP KP'!AV33:AW33)</f>
        <v>9.5855285218048589</v>
      </c>
      <c r="R33" s="462">
        <f>SUM('[1]GDP KP'!BO33:BR33)</f>
        <v>30.661775035654578</v>
      </c>
      <c r="S33" s="462">
        <f>SUM('[1]GDP KP'!AZ33:BA33)</f>
        <v>9.9139671524303097</v>
      </c>
      <c r="T33" s="462">
        <f>SUM('[1]GDP KP'!BB33:BC33)</f>
        <v>11.339270429456722</v>
      </c>
      <c r="U33" s="462">
        <f>SUM('[1]GDP KP'!BD33:BE33)</f>
        <v>13.28666867268214</v>
      </c>
      <c r="V33" s="462">
        <f>SUM('[1]GDP KP'!BF33:BG33)</f>
        <v>14.295752805204115</v>
      </c>
      <c r="W33" s="462">
        <f>SUM('[1]GDP KP'!BH33:BI33)</f>
        <v>11.417133759765441</v>
      </c>
      <c r="X33" s="462">
        <f>SUM('[1]GDP KP'!BJ33:BK33)</f>
        <v>14.131535750654065</v>
      </c>
      <c r="Y33" s="462">
        <f>SUM('[1]GDP KP'!BL33:BM33)</f>
        <v>14.156304458007908</v>
      </c>
      <c r="Z33" s="462">
        <f>SUM('[1]GDP KP'!BN33:BO33)</f>
        <v>15.720335268825428</v>
      </c>
      <c r="AA33" s="462">
        <f>SUM('[1]GDP KP'!BP33:BQ33)</f>
        <v>15.384286900880181</v>
      </c>
      <c r="AB33" s="462">
        <f>SUM('[1]GDP KP'!BR33:BS33)</f>
        <v>15.785738480936718</v>
      </c>
      <c r="AC33" s="462">
        <f>SUM('[1]GDP KP'!BT33:BU33)</f>
        <v>17.38038742653228</v>
      </c>
      <c r="AD33" s="462" t="e">
        <f>SUM('[1]GDP KP'!BV33:BW33)</f>
        <v>#REF!</v>
      </c>
      <c r="AH33" s="213">
        <f t="shared" si="4"/>
        <v>11.646377793090108</v>
      </c>
      <c r="AI33" s="213">
        <f t="shared" si="2"/>
        <v>27.027616766028537</v>
      </c>
      <c r="AJ33" s="17">
        <f t="shared" si="5"/>
        <v>0.43090657581502473</v>
      </c>
    </row>
    <row r="34" spans="1:36">
      <c r="A34" s="451" t="s">
        <v>516</v>
      </c>
      <c r="B34" s="33">
        <f>SUM('[1]GDP KP'!AN34:AQ34)</f>
        <v>288.70644895821647</v>
      </c>
      <c r="C34" s="33">
        <f>SUM('[1]GDP KP'!AR34:AU34)</f>
        <v>293.88187504348139</v>
      </c>
      <c r="D34" s="33">
        <f>SUM('[1]GDP KP'!AV34:AY34)</f>
        <v>300.88378700001113</v>
      </c>
      <c r="E34" s="33">
        <f>SUM('[1]GDP KP'!AZ34:BC34)</f>
        <v>308.17534423973933</v>
      </c>
      <c r="F34" s="33">
        <f>SUM('[1]GDP KP'!BD34:BG34)</f>
        <v>315.75863922179894</v>
      </c>
      <c r="G34" s="33">
        <f>SUM('[1]GDP KP'!BH34:BK34)</f>
        <v>323.63623813190344</v>
      </c>
      <c r="H34" s="33">
        <f>SUM('[1]GDP KP'!BL34:BO34)</f>
        <v>331.81116634972403</v>
      </c>
      <c r="I34" s="33">
        <f>SUM('[1]GDP KP'!BP34:BS34)</f>
        <v>340.28689539401392</v>
      </c>
      <c r="J34" s="33" t="e">
        <f>SUM('[1]GDP KP'!BT34:BW34)</f>
        <v>#REF!</v>
      </c>
      <c r="L34" s="451" t="s">
        <v>516</v>
      </c>
      <c r="M34" s="462">
        <f>SUM('[1]GDP KP'!AN34:AO34)</f>
        <v>143.8247940644938</v>
      </c>
      <c r="N34" s="462">
        <f>SUM('[1]GDP KP'!AP34:AQ34)</f>
        <v>144.88165489372267</v>
      </c>
      <c r="O34" s="462">
        <f>SUM('[1]GDP KP'!AR34:AS34)</f>
        <v>146.08373289718833</v>
      </c>
      <c r="P34" s="462">
        <f>SUM('[1]GDP KP'!AT34:AU34)</f>
        <v>147.79814214629306</v>
      </c>
      <c r="Q34" s="462">
        <f>SUM('[1]GDP KP'!AV34:AW34)</f>
        <v>149.54859505965567</v>
      </c>
      <c r="R34" s="462">
        <f>SUM('[1]GDP KP'!BO34:BR34)</f>
        <v>338.1395567697204</v>
      </c>
      <c r="S34" s="462">
        <f>SUM('[1]GDP KP'!AZ34:BA34)</f>
        <v>153.15804852419328</v>
      </c>
      <c r="T34" s="462">
        <f>SUM('[1]GDP KP'!BB34:BC34)</f>
        <v>155.01729571554603</v>
      </c>
      <c r="U34" s="462">
        <f>SUM('[1]GDP KP'!BD34:BE34)</f>
        <v>156.91307933605333</v>
      </c>
      <c r="V34" s="462">
        <f>SUM('[1]GDP KP'!BF34:BG34)</f>
        <v>158.84555988574562</v>
      </c>
      <c r="W34" s="462">
        <f>SUM('[1]GDP KP'!BH34:BI34)</f>
        <v>160.8149123162427</v>
      </c>
      <c r="X34" s="462">
        <f>SUM('[1]GDP KP'!BJ34:BK34)</f>
        <v>162.82132581566074</v>
      </c>
      <c r="Y34" s="462">
        <f>SUM('[1]GDP KP'!BL34:BM34)</f>
        <v>164.8650036048806</v>
      </c>
      <c r="Z34" s="462">
        <f>SUM('[1]GDP KP'!BN34:BO34)</f>
        <v>166.94616274484343</v>
      </c>
      <c r="AA34" s="462">
        <f>SUM('[1]GDP KP'!BP34:BQ34)</f>
        <v>169.06503395455138</v>
      </c>
      <c r="AB34" s="462">
        <f>SUM('[1]GDP KP'!BR34:BS34)</f>
        <v>171.22186143946254</v>
      </c>
      <c r="AC34" s="462">
        <f>SUM('[1]GDP KP'!BT34:BU34)</f>
        <v>173.41690272998255</v>
      </c>
      <c r="AD34" s="462" t="e">
        <f>SUM('[1]GDP KP'!BV34:BW34)</f>
        <v>#REF!</v>
      </c>
      <c r="AH34" s="213">
        <f t="shared" si="4"/>
        <v>155.53414996965739</v>
      </c>
      <c r="AI34" s="213">
        <f t="shared" si="2"/>
        <v>336.24309489603166</v>
      </c>
      <c r="AJ34" s="17">
        <f t="shared" si="5"/>
        <v>0.46256459189964766</v>
      </c>
    </row>
    <row r="35" spans="1:36">
      <c r="A35" s="451" t="s">
        <v>517</v>
      </c>
      <c r="B35" s="33">
        <f>SUM('[1]GDP KP'!AN35:AQ35)</f>
        <v>45.968123952459429</v>
      </c>
      <c r="C35" s="33">
        <f>SUM('[1]GDP KP'!AR35:AU35)</f>
        <v>51.48698559509608</v>
      </c>
      <c r="D35" s="33">
        <f>SUM('[1]GDP KP'!AV35:AY35)</f>
        <v>57.999296876077317</v>
      </c>
      <c r="E35" s="33">
        <f>SUM('[1]GDP KP'!AZ35:BC35)</f>
        <v>65.364361994338225</v>
      </c>
      <c r="F35" s="33">
        <f>SUM('[1]GDP KP'!BD35:BG35)</f>
        <v>73.69660422205726</v>
      </c>
      <c r="G35" s="33">
        <f>SUM('[1]GDP KP'!BH35:BK35)</f>
        <v>83.126053481150151</v>
      </c>
      <c r="H35" s="33">
        <f>SUM('[1]GDP KP'!BL35:BO35)</f>
        <v>93.800497674883502</v>
      </c>
      <c r="I35" s="33">
        <f>SUM('[1]GDP KP'!BP35:BS35)</f>
        <v>105.88793257228592</v>
      </c>
      <c r="J35" s="33" t="e">
        <f>SUM('[1]GDP KP'!BT35:BW35)</f>
        <v>#REF!</v>
      </c>
      <c r="L35" s="451" t="s">
        <v>517</v>
      </c>
      <c r="M35" s="462">
        <f>SUM('[1]GDP KP'!AN35:AO35)</f>
        <v>22.351023999014785</v>
      </c>
      <c r="N35" s="462">
        <f>SUM('[1]GDP KP'!AP35:AQ35)</f>
        <v>23.617099953444644</v>
      </c>
      <c r="O35" s="462">
        <f>SUM('[1]GDP KP'!AR35:AS35)</f>
        <v>24.978668291057776</v>
      </c>
      <c r="P35" s="462">
        <f>SUM('[1]GDP KP'!AT35:AU35)</f>
        <v>26.5083173040383</v>
      </c>
      <c r="Q35" s="462">
        <f>SUM('[1]GDP KP'!AV35:AW35)</f>
        <v>28.134824826688909</v>
      </c>
      <c r="R35" s="462">
        <f>SUM('[1]GDP KP'!BO35:BR35)</f>
        <v>102.72358243840509</v>
      </c>
      <c r="S35" s="462">
        <f>SUM('[1]GDP KP'!AZ35:BA35)</f>
        <v>31.703954145589655</v>
      </c>
      <c r="T35" s="462">
        <f>SUM('[1]GDP KP'!BB35:BC35)</f>
        <v>33.660407848748569</v>
      </c>
      <c r="U35" s="462">
        <f>SUM('[1]GDP KP'!BD35:BE35)</f>
        <v>35.741440878860409</v>
      </c>
      <c r="V35" s="462">
        <f>SUM('[1]GDP KP'!BF35:BG35)</f>
        <v>37.955163343196858</v>
      </c>
      <c r="W35" s="462">
        <f>SUM('[1]GDP KP'!BH35:BI35)</f>
        <v>40.310221244252844</v>
      </c>
      <c r="X35" s="462">
        <f>SUM('[1]GDP KP'!BJ35:BK35)</f>
        <v>42.815832236897307</v>
      </c>
      <c r="Y35" s="462">
        <f>SUM('[1]GDP KP'!BL35:BM35)</f>
        <v>45.481823786314926</v>
      </c>
      <c r="Z35" s="462">
        <f>SUM('[1]GDP KP'!BN35:BO35)</f>
        <v>48.318673888568583</v>
      </c>
      <c r="AA35" s="462">
        <f>SUM('[1]GDP KP'!BP35:BQ35)</f>
        <v>51.337554526547095</v>
      </c>
      <c r="AB35" s="462">
        <f>SUM('[1]GDP KP'!BR35:BS35)</f>
        <v>54.550378045738832</v>
      </c>
      <c r="AC35" s="462">
        <f>SUM('[1]GDP KP'!BT35:BU35)</f>
        <v>57.969846646736983</v>
      </c>
      <c r="AD35" s="462" t="e">
        <f>SUM('[1]GDP KP'!BV35:BW35)</f>
        <v>#REF!</v>
      </c>
      <c r="AH35" s="213">
        <f t="shared" si="4"/>
        <v>35.004938962290794</v>
      </c>
      <c r="AI35" s="213">
        <f t="shared" si="2"/>
        <v>81.273620844670575</v>
      </c>
      <c r="AJ35" s="17">
        <f t="shared" si="5"/>
        <v>0.43070480432011171</v>
      </c>
    </row>
    <row r="36" spans="1:36">
      <c r="A36" s="454" t="s">
        <v>27</v>
      </c>
      <c r="B36" s="459">
        <f>SUM('[1]GDP KP'!AN36:AQ36)</f>
        <v>26.445900689596975</v>
      </c>
      <c r="C36" s="459">
        <f>SUM('[1]GDP KP'!AR36:AU36)</f>
        <v>27.12655292123673</v>
      </c>
      <c r="D36" s="459">
        <f>SUM('[1]GDP KP'!AV36:AY36)</f>
        <v>28.53003473773153</v>
      </c>
      <c r="E36" s="459">
        <f>SUM('[1]GDP KP'!AZ36:BC36)</f>
        <v>30.06625499382849</v>
      </c>
      <c r="F36" s="459">
        <f>SUM('[1]GDP KP'!BD36:BG36)</f>
        <v>31.171875394428874</v>
      </c>
      <c r="G36" s="459">
        <f>SUM('[1]GDP KP'!BH36:BK36)</f>
        <v>26.333961367184948</v>
      </c>
      <c r="H36" s="459">
        <f>SUM('[1]GDP KP'!BL36:BO36)</f>
        <v>32.666483456605953</v>
      </c>
      <c r="I36" s="459">
        <f>SUM('[1]GDP KP'!BP36:BS36)</f>
        <v>33.728733081922627</v>
      </c>
      <c r="J36" s="459" t="e">
        <f>SUM('[1]GDP KP'!BT36:BW36)</f>
        <v>#REF!</v>
      </c>
      <c r="L36" s="454" t="s">
        <v>27</v>
      </c>
      <c r="M36" s="459">
        <f>SUM('[1]GDP KP'!AN36:AO36)</f>
        <v>13.130252908232233</v>
      </c>
      <c r="N36" s="459">
        <f>SUM('[1]GDP KP'!AP36:AQ36)</f>
        <v>13.315647781364742</v>
      </c>
      <c r="O36" s="459">
        <f>SUM('[1]GDP KP'!AR36:AS36)</f>
        <v>13.448564089359852</v>
      </c>
      <c r="P36" s="459">
        <f>SUM('[1]GDP KP'!AT36:AU36)</f>
        <v>13.677988831876881</v>
      </c>
      <c r="Q36" s="459">
        <f>SUM('[1]GDP KP'!AV36:AW36)</f>
        <v>13.97412682082261</v>
      </c>
      <c r="R36" s="459">
        <f>SUM('[1]GDP KP'!BO36:BR36)</f>
        <v>33.411019185572002</v>
      </c>
      <c r="S36" s="459">
        <f>SUM('[1]GDP KP'!AZ36:BA36)</f>
        <v>14.986237628936973</v>
      </c>
      <c r="T36" s="459">
        <f>SUM('[1]GDP KP'!BB36:BC36)</f>
        <v>15.080017364891518</v>
      </c>
      <c r="U36" s="459">
        <f>SUM('[1]GDP KP'!BD36:BE36)</f>
        <v>15.384744068849555</v>
      </c>
      <c r="V36" s="459">
        <f>SUM('[1]GDP KP'!BF36:BG36)</f>
        <v>15.787131325579317</v>
      </c>
      <c r="W36" s="459">
        <f>SUM('[1]GDP KP'!BH36:BI36)</f>
        <v>12.030022052922595</v>
      </c>
      <c r="X36" s="459">
        <f>SUM('[1]GDP KP'!BJ36:BK36)</f>
        <v>14.303939314262355</v>
      </c>
      <c r="Y36" s="459">
        <f>SUM('[1]GDP KP'!BL36:BM36)</f>
        <v>16.255355826133606</v>
      </c>
      <c r="Z36" s="459">
        <f>SUM('[1]GDP KP'!BN36:BO36)</f>
        <v>16.411127630472347</v>
      </c>
      <c r="AA36" s="459">
        <f>SUM('[1]GDP KP'!BP36:BQ36)</f>
        <v>16.684065935037381</v>
      </c>
      <c r="AB36" s="459">
        <f>SUM('[1]GDP KP'!BR36:BS36)</f>
        <v>17.044667146885246</v>
      </c>
      <c r="AC36" s="459">
        <f>SUM('[1]GDP KP'!BT36:BU36)</f>
        <v>17.314803448516493</v>
      </c>
      <c r="AD36" s="459" t="e">
        <f>SUM('[1]GDP KP'!BV36:BW36)</f>
        <v>#REF!</v>
      </c>
      <c r="AE36" s="459"/>
      <c r="AF36" s="459"/>
      <c r="AG36" s="459"/>
      <c r="AH36" s="459">
        <f t="shared" si="4"/>
        <v>14.48667116628685</v>
      </c>
      <c r="AI36" s="459">
        <f t="shared" si="2"/>
        <v>31.8656134888999</v>
      </c>
      <c r="AJ36" s="479">
        <f t="shared" si="5"/>
        <v>0.45461767655385488</v>
      </c>
    </row>
    <row r="37" spans="1:36">
      <c r="A37" s="453" t="s">
        <v>28</v>
      </c>
      <c r="B37" s="460">
        <f>SUM('[1]GDP KP'!AN37:AQ37)</f>
        <v>1227.5478431508502</v>
      </c>
      <c r="C37" s="460">
        <f>SUM('[1]GDP KP'!AR37:AU37)</f>
        <v>1309.6524654979116</v>
      </c>
      <c r="D37" s="460">
        <f>SUM('[1]GDP KP'!AV37:AY37)</f>
        <v>1329.8886128927036</v>
      </c>
      <c r="E37" s="460">
        <f>SUM('[1]GDP KP'!AZ37:BC37)</f>
        <v>1445.9649264130858</v>
      </c>
      <c r="F37" s="460">
        <f>SUM('[1]GDP KP'!BD37:BG37)</f>
        <v>1685.8509846420397</v>
      </c>
      <c r="G37" s="460">
        <f>SUM('[1]GDP KP'!BH37:BK37)</f>
        <v>1614.3975080457908</v>
      </c>
      <c r="H37" s="460">
        <f>SUM('[1]GDP KP'!BL37:BO37)</f>
        <v>1830.7233892142565</v>
      </c>
      <c r="I37" s="460">
        <f>SUM('[1]GDP KP'!BP37:BS37)</f>
        <v>1921.683642816861</v>
      </c>
      <c r="J37" s="460" t="e">
        <f>SUM('[1]GDP KP'!BT37:BW37)</f>
        <v>#REF!</v>
      </c>
      <c r="L37" s="453" t="s">
        <v>28</v>
      </c>
      <c r="M37" s="460">
        <f>SUM('[1]GDP KP'!AN37:AO37)</f>
        <v>579.69120852868025</v>
      </c>
      <c r="N37" s="460">
        <f>SUM('[1]GDP KP'!AP37:AQ37)</f>
        <v>647.85663462216985</v>
      </c>
      <c r="O37" s="460">
        <f>SUM('[1]GDP KP'!AR37:AS37)</f>
        <v>661.84600355255952</v>
      </c>
      <c r="P37" s="460">
        <f>SUM('[1]GDP KP'!AT37:AU37)</f>
        <v>647.80646194535223</v>
      </c>
      <c r="Q37" s="460">
        <f>SUM('[1]GDP KP'!AV37:AW37)</f>
        <v>649.97726905466516</v>
      </c>
      <c r="R37" s="460">
        <f>SUM('[1]GDP KP'!BO37:BR37)</f>
        <v>1896.5678659461089</v>
      </c>
      <c r="S37" s="460">
        <f>SUM('[1]GDP KP'!AZ37:BA37)</f>
        <v>689.65823211406178</v>
      </c>
      <c r="T37" s="460">
        <f>SUM('[1]GDP KP'!BB37:BC37)</f>
        <v>756.30669429902377</v>
      </c>
      <c r="U37" s="460">
        <f>SUM('[1]GDP KP'!BD37:BE37)</f>
        <v>814.80337881642913</v>
      </c>
      <c r="V37" s="460">
        <f>SUM('[1]GDP KP'!BF37:BG37)</f>
        <v>871.04760582561062</v>
      </c>
      <c r="W37" s="460">
        <f>SUM('[1]GDP KP'!BH37:BI37)</f>
        <v>741.36054985106409</v>
      </c>
      <c r="X37" s="460">
        <f>SUM('[1]GDP KP'!BJ37:BK37)</f>
        <v>873.03695819472682</v>
      </c>
      <c r="Y37" s="460">
        <f>SUM('[1]GDP KP'!BL37:BM37)</f>
        <v>883.58919093781947</v>
      </c>
      <c r="Z37" s="460">
        <f>SUM('[1]GDP KP'!BN37:BO37)</f>
        <v>947.13419827643702</v>
      </c>
      <c r="AA37" s="460">
        <f>SUM('[1]GDP KP'!BP37:BQ37)</f>
        <v>955.05116572144652</v>
      </c>
      <c r="AB37" s="460">
        <f>SUM('[1]GDP KP'!BR37:BS37)</f>
        <v>966.63247709541452</v>
      </c>
      <c r="AC37" s="460">
        <f>SUM('[1]GDP KP'!BT37:BU37)</f>
        <v>1026.2398769669287</v>
      </c>
      <c r="AD37" s="460" t="e">
        <f>SUM('[1]GDP KP'!BV37:BW37)</f>
        <v>#REF!</v>
      </c>
      <c r="AE37" s="460"/>
      <c r="AF37" s="460"/>
      <c r="AG37" s="460"/>
      <c r="AH37" s="460">
        <f t="shared" si="4"/>
        <v>746.99712482209077</v>
      </c>
      <c r="AI37" s="460">
        <f t="shared" si="2"/>
        <v>1697.7957368476962</v>
      </c>
      <c r="AJ37" s="477">
        <f t="shared" si="5"/>
        <v>0.43998056339159103</v>
      </c>
    </row>
    <row r="38" spans="1:36" s="245" customFormat="1">
      <c r="A38" s="454" t="s">
        <v>518</v>
      </c>
      <c r="B38" s="459">
        <f>SUM('[1]GDP KP'!AN38:AQ38)</f>
        <v>124.49848455617894</v>
      </c>
      <c r="C38" s="459">
        <f>SUM('[1]GDP KP'!AR38:AU38)</f>
        <v>137.48997694415993</v>
      </c>
      <c r="D38" s="459">
        <f>SUM('[1]GDP KP'!AV38:AY38)</f>
        <v>165.02747146632979</v>
      </c>
      <c r="E38" s="459">
        <f>SUM('[1]GDP KP'!AZ38:BC38)</f>
        <v>170.13855002386452</v>
      </c>
      <c r="F38" s="459">
        <f>SUM('[1]GDP KP'!BD38:BG38)</f>
        <v>169.62638159955355</v>
      </c>
      <c r="G38" s="459">
        <f>SUM('[1]GDP KP'!BH38:BK38)</f>
        <v>116.77863152992373</v>
      </c>
      <c r="H38" s="459">
        <f>SUM('[1]GDP KP'!BL38:BO38)</f>
        <v>147.92933884782195</v>
      </c>
      <c r="I38" s="459">
        <f>SUM('[1]GDP KP'!BP38:BS38)</f>
        <v>168.75430601212278</v>
      </c>
      <c r="J38" s="459" t="e">
        <f>SUM('[1]GDP KP'!BT38:BW38)</f>
        <v>#REF!</v>
      </c>
      <c r="L38" s="454" t="s">
        <v>518</v>
      </c>
      <c r="M38" s="459">
        <f>SUM('[1]GDP KP'!AN38:AO38)</f>
        <v>55.388798962586165</v>
      </c>
      <c r="N38" s="459">
        <f>SUM('[1]GDP KP'!AP38:AQ38)</f>
        <v>69.109685593592786</v>
      </c>
      <c r="O38" s="459">
        <f>SUM('[1]GDP KP'!AR38:AS38)</f>
        <v>66.311330605110783</v>
      </c>
      <c r="P38" s="459">
        <f>SUM('[1]GDP KP'!AT38:AU38)</f>
        <v>71.178646339049152</v>
      </c>
      <c r="Q38" s="459">
        <f>SUM('[1]GDP KP'!AV38:AW38)</f>
        <v>73.555207950126487</v>
      </c>
      <c r="R38" s="459">
        <f>SUM('[1]GDP KP'!BO38:BR38)</f>
        <v>158.548899313123</v>
      </c>
      <c r="S38" s="459">
        <f>SUM('[1]GDP KP'!AZ38:BA38)</f>
        <v>75.295552285899618</v>
      </c>
      <c r="T38" s="459">
        <f>SUM('[1]GDP KP'!BB38:BC38)</f>
        <v>94.842997737964907</v>
      </c>
      <c r="U38" s="459">
        <f>SUM('[1]GDP KP'!BD38:BE38)</f>
        <v>86.727417476535223</v>
      </c>
      <c r="V38" s="459">
        <f>SUM('[1]GDP KP'!BF38:BG38)</f>
        <v>82.898964123018345</v>
      </c>
      <c r="W38" s="459">
        <f>SUM('[1]GDP KP'!BH38:BI38)</f>
        <v>51.768306565705601</v>
      </c>
      <c r="X38" s="459">
        <f>SUM('[1]GDP KP'!BJ38:BK38)</f>
        <v>65.010324964218142</v>
      </c>
      <c r="Y38" s="459">
        <f>SUM('[1]GDP KP'!BL38:BM38)</f>
        <v>71.705875451541445</v>
      </c>
      <c r="Z38" s="459">
        <f>SUM('[1]GDP KP'!BN38:BO38)</f>
        <v>76.223463396280522</v>
      </c>
      <c r="AA38" s="459">
        <f>SUM('[1]GDP KP'!BP38:BQ38)</f>
        <v>80.401587903508869</v>
      </c>
      <c r="AB38" s="459">
        <f>SUM('[1]GDP KP'!BR38:BS38)</f>
        <v>88.352718108613914</v>
      </c>
      <c r="AC38" s="459">
        <f>SUM('[1]GDP KP'!BT38:BU38)</f>
        <v>88.873807241439394</v>
      </c>
      <c r="AD38" s="459" t="e">
        <f>SUM('[1]GDP KP'!BV38:BW38)</f>
        <v>#REF!</v>
      </c>
      <c r="AE38" s="459"/>
      <c r="AF38" s="459"/>
      <c r="AG38" s="459"/>
      <c r="AH38" s="459">
        <f t="shared" si="4"/>
        <v>70.14425965012677</v>
      </c>
      <c r="AI38" s="459">
        <f t="shared" si="2"/>
        <v>158.41497209710934</v>
      </c>
      <c r="AJ38" s="479">
        <f t="shared" si="5"/>
        <v>0.44278806934440462</v>
      </c>
    </row>
    <row r="39" spans="1:36" s="245" customFormat="1">
      <c r="A39" s="457" t="s">
        <v>519</v>
      </c>
      <c r="B39" s="461">
        <f>SUM('[1]GDP KP'!AN39:AQ39)</f>
        <v>132.86943871705782</v>
      </c>
      <c r="C39" s="461">
        <f>SUM('[1]GDP KP'!AR39:AU39)</f>
        <v>118.93098356210021</v>
      </c>
      <c r="D39" s="461">
        <f>SUM('[1]GDP KP'!AV39:AY39)</f>
        <v>148.29643120922316</v>
      </c>
      <c r="E39" s="461">
        <f>SUM('[1]GDP KP'!AZ39:BC39)</f>
        <v>152.60847453271862</v>
      </c>
      <c r="F39" s="461">
        <f>SUM('[1]GDP KP'!BD39:BG39)</f>
        <v>146.34638811331291</v>
      </c>
      <c r="G39" s="461">
        <f>SUM('[1]GDP KP'!BH39:BK39)</f>
        <v>94.822967917927258</v>
      </c>
      <c r="H39" s="461">
        <f>SUM('[1]GDP KP'!BL39:BO39)</f>
        <v>122.64365781904125</v>
      </c>
      <c r="I39" s="461">
        <f>SUM('[1]GDP KP'!BP39:BS39)</f>
        <v>144.9077658554628</v>
      </c>
      <c r="J39" s="461" t="e">
        <f>SUM('[1]GDP KP'!BT39:BW39)</f>
        <v>#REF!</v>
      </c>
      <c r="L39" s="457" t="s">
        <v>519</v>
      </c>
      <c r="M39" s="461">
        <f>SUM('[1]GDP KP'!AN39:AO39)</f>
        <v>67.837478885522643</v>
      </c>
      <c r="N39" s="461">
        <f>SUM('[1]GDP KP'!AP39:AQ39)</f>
        <v>65.03195983153519</v>
      </c>
      <c r="O39" s="461">
        <f>SUM('[1]GDP KP'!AR39:AS39)</f>
        <v>56.823395949493175</v>
      </c>
      <c r="P39" s="461">
        <f>SUM('[1]GDP KP'!AT39:AU39)</f>
        <v>62.107587612607034</v>
      </c>
      <c r="Q39" s="461">
        <f>SUM('[1]GDP KP'!AV39:AW39)</f>
        <v>65.328283420372458</v>
      </c>
      <c r="R39" s="461">
        <f>SUM('[1]GDP KP'!BO39:BR39)</f>
        <v>134.0243173332446</v>
      </c>
      <c r="S39" s="461">
        <f>SUM('[1]GDP KP'!AZ39:BA39)</f>
        <v>67.201426826014199</v>
      </c>
      <c r="T39" s="461">
        <f>SUM('[1]GDP KP'!BB39:BC39)</f>
        <v>85.407047706704418</v>
      </c>
      <c r="U39" s="461">
        <f>SUM('[1]GDP KP'!BD39:BE39)</f>
        <v>76.007438279687307</v>
      </c>
      <c r="V39" s="461">
        <f>SUM('[1]GDP KP'!BF39:BG39)</f>
        <v>70.338949833625605</v>
      </c>
      <c r="W39" s="461">
        <f>SUM('[1]GDP KP'!BH39:BI39)</f>
        <v>41.883845678470244</v>
      </c>
      <c r="X39" s="461">
        <f>SUM('[1]GDP KP'!BJ39:BK39)</f>
        <v>52.939122239457006</v>
      </c>
      <c r="Y39" s="461">
        <f>SUM('[1]GDP KP'!BL39:BM39)</f>
        <v>59.572821740958673</v>
      </c>
      <c r="Z39" s="461">
        <f>SUM('[1]GDP KP'!BN39:BO39)</f>
        <v>63.070836078082571</v>
      </c>
      <c r="AA39" s="461">
        <f>SUM('[1]GDP KP'!BP39:BQ39)</f>
        <v>67.878911845109087</v>
      </c>
      <c r="AB39" s="461">
        <f>SUM('[1]GDP KP'!BR39:BS39)</f>
        <v>77.028854010353712</v>
      </c>
      <c r="AC39" s="461">
        <f>SUM('[1]GDP KP'!BT39:BU39)</f>
        <v>76.076108040663712</v>
      </c>
      <c r="AD39" s="461" t="e">
        <f>SUM('[1]GDP KP'!BV39:BW39)</f>
        <v>#REF!</v>
      </c>
      <c r="AH39" s="213">
        <f t="shared" si="4"/>
        <v>62.816700328203474</v>
      </c>
      <c r="AI39" s="213">
        <f t="shared" si="2"/>
        <v>139.06028465890475</v>
      </c>
      <c r="AJ39" s="17">
        <f t="shared" si="5"/>
        <v>0.45172279405499544</v>
      </c>
    </row>
    <row r="40" spans="1:36">
      <c r="A40" s="451" t="s">
        <v>520</v>
      </c>
      <c r="B40" s="33">
        <f>SUM('[1]GDP KP'!AN40:AQ40)</f>
        <v>65.678933605131519</v>
      </c>
      <c r="C40" s="33">
        <f>SUM('[1]GDP KP'!AR40:AU40)</f>
        <v>61.466149971639808</v>
      </c>
      <c r="D40" s="33">
        <f>SUM('[1]GDP KP'!AV40:AY40)</f>
        <v>82.379635298929941</v>
      </c>
      <c r="E40" s="33">
        <f>SUM('[1]GDP KP'!AZ40:BC40)</f>
        <v>81.371904490326017</v>
      </c>
      <c r="F40" s="33">
        <f>SUM('[1]GDP KP'!BD40:BG40)</f>
        <v>62.026408024765715</v>
      </c>
      <c r="G40" s="33">
        <f>SUM('[1]GDP KP'!BH40:BK40)</f>
        <v>39.500158503895406</v>
      </c>
      <c r="H40" s="33">
        <f>SUM('[1]GDP KP'!BL40:BO40)</f>
        <v>52.826625272409125</v>
      </c>
      <c r="I40" s="33">
        <f>SUM('[1]GDP KP'!BP40:BS40)</f>
        <v>64.79098538102474</v>
      </c>
      <c r="J40" s="33" t="e">
        <f>SUM('[1]GDP KP'!BT40:BW40)</f>
        <v>#REF!</v>
      </c>
      <c r="L40" s="451" t="s">
        <v>520</v>
      </c>
      <c r="M40" s="462">
        <f>SUM('[1]GDP KP'!AN40:AO40)</f>
        <v>34.260338521766769</v>
      </c>
      <c r="N40" s="462">
        <f>SUM('[1]GDP KP'!AP40:AQ40)</f>
        <v>31.41859508336475</v>
      </c>
      <c r="O40" s="462">
        <f>SUM('[1]GDP KP'!AR40:AS40)</f>
        <v>28.614428224595908</v>
      </c>
      <c r="P40" s="462">
        <f>SUM('[1]GDP KP'!AT40:AU40)</f>
        <v>32.851721747043896</v>
      </c>
      <c r="Q40" s="462">
        <f>SUM('[1]GDP KP'!AV40:AW40)</f>
        <v>38.802823345233634</v>
      </c>
      <c r="R40" s="462">
        <f>SUM('[1]GDP KP'!BO40:BR40)</f>
        <v>61.08393607197447</v>
      </c>
      <c r="S40" s="462">
        <f>SUM('[1]GDP KP'!AZ40:BA40)</f>
        <v>36.893119622867339</v>
      </c>
      <c r="T40" s="462">
        <f>SUM('[1]GDP KP'!BB40:BC40)</f>
        <v>44.478784867458685</v>
      </c>
      <c r="U40" s="462">
        <f>SUM('[1]GDP KP'!BD40:BE40)</f>
        <v>35.175519186579578</v>
      </c>
      <c r="V40" s="462">
        <f>SUM('[1]GDP KP'!BF40:BG40)</f>
        <v>26.850888838186137</v>
      </c>
      <c r="W40" s="462">
        <f>SUM('[1]GDP KP'!BH40:BI40)</f>
        <v>17.373445615803838</v>
      </c>
      <c r="X40" s="462">
        <f>SUM('[1]GDP KP'!BJ40:BK40)</f>
        <v>22.126712888091568</v>
      </c>
      <c r="Y40" s="462">
        <f>SUM('[1]GDP KP'!BL40:BM40)</f>
        <v>28.876945041389288</v>
      </c>
      <c r="Z40" s="462">
        <f>SUM('[1]GDP KP'!BN40:BO40)</f>
        <v>23.949680231019837</v>
      </c>
      <c r="AA40" s="462">
        <f>SUM('[1]GDP KP'!BP40:BQ40)</f>
        <v>33.122429584915281</v>
      </c>
      <c r="AB40" s="462">
        <f>SUM('[1]GDP KP'!BR40:BS40)</f>
        <v>31.668555796109452</v>
      </c>
      <c r="AC40" s="462">
        <f>SUM('[1]GDP KP'!BT40:BU40)</f>
        <v>30.704204773598796</v>
      </c>
      <c r="AD40" s="462" t="e">
        <f>SUM('[1]GDP KP'!BV40:BW40)</f>
        <v>#REF!</v>
      </c>
      <c r="AH40" s="213">
        <f t="shared" si="4"/>
        <v>31.639881142893955</v>
      </c>
      <c r="AI40" s="213">
        <f t="shared" si="2"/>
        <v>65.943490583300047</v>
      </c>
      <c r="AJ40" s="17">
        <f t="shared" si="5"/>
        <v>0.47980294738760221</v>
      </c>
    </row>
    <row r="41" spans="1:36">
      <c r="A41" s="451" t="s">
        <v>521</v>
      </c>
      <c r="B41" s="33">
        <f>SUM('[1]GDP KP'!AN41:AQ41)</f>
        <v>42.59775883480026</v>
      </c>
      <c r="C41" s="33">
        <f>SUM('[1]GDP KP'!AR41:AU41)</f>
        <v>34.447263349901299</v>
      </c>
      <c r="D41" s="33">
        <f>SUM('[1]GDP KP'!AV41:AY41)</f>
        <v>45.176050621903585</v>
      </c>
      <c r="E41" s="33">
        <f>SUM('[1]GDP KP'!AZ41:BC41)</f>
        <v>46.057442794907814</v>
      </c>
      <c r="F41" s="33">
        <f>SUM('[1]GDP KP'!BD41:BG41)</f>
        <v>60.823287757972636</v>
      </c>
      <c r="G41" s="33">
        <f>SUM('[1]GDP KP'!BH41:BK41)</f>
        <v>28.085509300729242</v>
      </c>
      <c r="H41" s="33">
        <f>SUM('[1]GDP KP'!BL41:BO41)</f>
        <v>28.024815243882699</v>
      </c>
      <c r="I41" s="33">
        <f>SUM('[1]GDP KP'!BP41:BS41)</f>
        <v>38.407012831090846</v>
      </c>
      <c r="J41" s="33" t="e">
        <f>SUM('[1]GDP KP'!BT41:BW41)</f>
        <v>#REF!</v>
      </c>
      <c r="L41" s="451" t="s">
        <v>521</v>
      </c>
      <c r="M41" s="462">
        <f>SUM('[1]GDP KP'!AN41:AO41)</f>
        <v>19.732620166205361</v>
      </c>
      <c r="N41" s="462">
        <f>SUM('[1]GDP KP'!AP41:AQ41)</f>
        <v>22.865138668594899</v>
      </c>
      <c r="O41" s="462">
        <f>SUM('[1]GDP KP'!AR41:AS41)</f>
        <v>16.560416002900293</v>
      </c>
      <c r="P41" s="462">
        <f>SUM('[1]GDP KP'!AT41:AU41)</f>
        <v>17.886847347001009</v>
      </c>
      <c r="Q41" s="462">
        <f>SUM('[1]GDP KP'!AV41:AW41)</f>
        <v>17.36536294576748</v>
      </c>
      <c r="R41" s="462">
        <f>SUM('[1]GDP KP'!BO41:BR41)</f>
        <v>30.748833727676594</v>
      </c>
      <c r="S41" s="462">
        <f>SUM('[1]GDP KP'!AZ41:BA41)</f>
        <v>18.263483251954227</v>
      </c>
      <c r="T41" s="462">
        <f>SUM('[1]GDP KP'!BB41:BC41)</f>
        <v>27.793959542953587</v>
      </c>
      <c r="U41" s="462">
        <f>SUM('[1]GDP KP'!BD41:BE41)</f>
        <v>26.564192702588041</v>
      </c>
      <c r="V41" s="462">
        <f>SUM('[1]GDP KP'!BF41:BG41)</f>
        <v>34.259095055384591</v>
      </c>
      <c r="W41" s="462">
        <f>SUM('[1]GDP KP'!BH41:BI41)</f>
        <v>14.39426108616734</v>
      </c>
      <c r="X41" s="462">
        <f>SUM('[1]GDP KP'!BJ41:BK41)</f>
        <v>13.691248214561904</v>
      </c>
      <c r="Y41" s="462">
        <f>SUM('[1]GDP KP'!BL41:BM41)</f>
        <v>16.436509618252082</v>
      </c>
      <c r="Z41" s="462">
        <f>SUM('[1]GDP KP'!BN41:BO41)</f>
        <v>11.588305625630618</v>
      </c>
      <c r="AA41" s="462">
        <f>SUM('[1]GDP KP'!BP41:BQ41)</f>
        <v>18.306339112531973</v>
      </c>
      <c r="AB41" s="462">
        <f>SUM('[1]GDP KP'!BR41:BS41)</f>
        <v>20.100673718558873</v>
      </c>
      <c r="AC41" s="462">
        <f>SUM('[1]GDP KP'!BT41:BU41)</f>
        <v>28.864629325196205</v>
      </c>
      <c r="AD41" s="462" t="e">
        <f>SUM('[1]GDP KP'!BV41:BW41)</f>
        <v>#REF!</v>
      </c>
      <c r="AH41" s="213">
        <f t="shared" si="4"/>
        <v>18.45289811079585</v>
      </c>
      <c r="AI41" s="213">
        <f t="shared" si="2"/>
        <v>40.819660848341115</v>
      </c>
      <c r="AJ41" s="17">
        <f t="shared" si="5"/>
        <v>0.45205907465411399</v>
      </c>
    </row>
    <row r="42" spans="1:36">
      <c r="A42" s="451" t="s">
        <v>522</v>
      </c>
      <c r="B42" s="33">
        <f>SUM('[1]GDP KP'!AN42:AQ42)</f>
        <v>24.592746277126057</v>
      </c>
      <c r="C42" s="33">
        <f>SUM('[1]GDP KP'!AR42:AU42)</f>
        <v>23.017570240559106</v>
      </c>
      <c r="D42" s="33">
        <f>SUM('[1]GDP KP'!AV42:AY42)</f>
        <v>20.740745288389636</v>
      </c>
      <c r="E42" s="33">
        <f>SUM('[1]GDP KP'!AZ42:BC42)</f>
        <v>25.179127247484786</v>
      </c>
      <c r="F42" s="33">
        <f>SUM('[1]GDP KP'!BD42:BG42)</f>
        <v>23.496692330574568</v>
      </c>
      <c r="G42" s="33">
        <f>SUM('[1]GDP KP'!BH42:BK42)</f>
        <v>27.237300113302606</v>
      </c>
      <c r="H42" s="33">
        <f>SUM('[1]GDP KP'!BL42:BO42)</f>
        <v>41.792217302749421</v>
      </c>
      <c r="I42" s="33">
        <f>SUM('[1]GDP KP'!BP42:BS42)</f>
        <v>41.70976764334722</v>
      </c>
      <c r="J42" s="33" t="e">
        <f>SUM('[1]GDP KP'!BT42:BW42)</f>
        <v>#REF!</v>
      </c>
      <c r="L42" s="451" t="s">
        <v>522</v>
      </c>
      <c r="M42" s="462">
        <f>SUM('[1]GDP KP'!AN42:AO42)</f>
        <v>13.844520197550521</v>
      </c>
      <c r="N42" s="462">
        <f>SUM('[1]GDP KP'!AP42:AQ42)</f>
        <v>10.748226079575538</v>
      </c>
      <c r="O42" s="462">
        <f>SUM('[1]GDP KP'!AR42:AS42)</f>
        <v>11.648551721996979</v>
      </c>
      <c r="P42" s="462">
        <f>SUM('[1]GDP KP'!AT42:AU42)</f>
        <v>11.369018518562129</v>
      </c>
      <c r="Q42" s="462">
        <f>SUM('[1]GDP KP'!AV42:AW42)</f>
        <v>9.1600971293713478</v>
      </c>
      <c r="R42" s="462">
        <f>SUM('[1]GDP KP'!BO42:BR42)</f>
        <v>42.191547533593535</v>
      </c>
      <c r="S42" s="462">
        <f>SUM('[1]GDP KP'!AZ42:BA42)</f>
        <v>12.044823951192642</v>
      </c>
      <c r="T42" s="462">
        <f>SUM('[1]GDP KP'!BB42:BC42)</f>
        <v>13.134303296292147</v>
      </c>
      <c r="U42" s="462">
        <f>SUM('[1]GDP KP'!BD42:BE42)</f>
        <v>14.267726390519693</v>
      </c>
      <c r="V42" s="462">
        <f>SUM('[1]GDP KP'!BF42:BG42)</f>
        <v>9.2289659400548736</v>
      </c>
      <c r="W42" s="462">
        <f>SUM('[1]GDP KP'!BH42:BI42)</f>
        <v>10.116138976499069</v>
      </c>
      <c r="X42" s="462">
        <f>SUM('[1]GDP KP'!BJ42:BK42)</f>
        <v>17.121161136803536</v>
      </c>
      <c r="Y42" s="462">
        <f>SUM('[1]GDP KP'!BL42:BM42)</f>
        <v>14.259367081317304</v>
      </c>
      <c r="Z42" s="462">
        <f>SUM('[1]GDP KP'!BN42:BO42)</f>
        <v>27.532850221432117</v>
      </c>
      <c r="AA42" s="462">
        <f>SUM('[1]GDP KP'!BP42:BQ42)</f>
        <v>16.450143147661834</v>
      </c>
      <c r="AB42" s="462">
        <f>SUM('[1]GDP KP'!BR42:BS42)</f>
        <v>25.25962449568539</v>
      </c>
      <c r="AC42" s="462">
        <f>SUM('[1]GDP KP'!BT42:BU42)</f>
        <v>16.507273941868707</v>
      </c>
      <c r="AD42" s="462" t="e">
        <f>SUM('[1]GDP KP'!BV42:BW42)</f>
        <v>#REF!</v>
      </c>
      <c r="AH42" s="213">
        <f t="shared" si="4"/>
        <v>12.723921074513674</v>
      </c>
      <c r="AI42" s="213">
        <f t="shared" si="2"/>
        <v>32.297133227263586</v>
      </c>
      <c r="AJ42" s="17">
        <f t="shared" si="5"/>
        <v>0.39396441117482189</v>
      </c>
    </row>
    <row r="43" spans="1:36">
      <c r="A43" s="457" t="s">
        <v>523</v>
      </c>
      <c r="B43" s="33">
        <f>SUM('[1]GDP KP'!AN43:AQ43)</f>
        <v>17.155385511307617</v>
      </c>
      <c r="C43" s="33">
        <f>SUM('[1]GDP KP'!AR43:AU43)</f>
        <v>18.55899338205969</v>
      </c>
      <c r="D43" s="33">
        <f>SUM('[1]GDP KP'!AV43:AY43)</f>
        <v>16.731040257106578</v>
      </c>
      <c r="E43" s="33">
        <f>SUM('[1]GDP KP'!AZ43:BC43)</f>
        <v>17.530075491145887</v>
      </c>
      <c r="F43" s="33">
        <f>SUM('[1]GDP KP'!BD43:BG43)</f>
        <v>23.279993486240638</v>
      </c>
      <c r="G43" s="33">
        <f>SUM('[1]GDP KP'!BH43:BK43)</f>
        <v>21.95566361199646</v>
      </c>
      <c r="H43" s="33">
        <f>SUM('[1]GDP KP'!BL43:BO43)</f>
        <v>25.285681028780708</v>
      </c>
      <c r="I43" s="33">
        <f>SUM('[1]GDP KP'!BP43:BS43)</f>
        <v>23.846540156659955</v>
      </c>
      <c r="J43" s="33" t="e">
        <f>SUM('[1]GDP KP'!BT43:BW43)</f>
        <v>#REF!</v>
      </c>
      <c r="L43" s="457" t="s">
        <v>523</v>
      </c>
      <c r="M43" s="462">
        <f>SUM('[1]GDP KP'!AN43:AO43)</f>
        <v>7.7400885829804169</v>
      </c>
      <c r="N43" s="462">
        <f>SUM('[1]GDP KP'!AP43:AQ43)</f>
        <v>9.4152969283271997</v>
      </c>
      <c r="O43" s="462">
        <f>SUM('[1]GDP KP'!AR43:AS43)</f>
        <v>9.4879346556175932</v>
      </c>
      <c r="P43" s="462">
        <f>SUM('[1]GDP KP'!AT43:AU43)</f>
        <v>9.0710587264420965</v>
      </c>
      <c r="Q43" s="462">
        <f>SUM('[1]GDP KP'!AV43:AW43)</f>
        <v>8.2269245297539992</v>
      </c>
      <c r="R43" s="462">
        <f>SUM('[1]GDP KP'!BO43:BR43)</f>
        <v>24.524581979878388</v>
      </c>
      <c r="S43" s="462">
        <f>SUM('[1]GDP KP'!AZ43:BA43)</f>
        <v>8.0941254598854044</v>
      </c>
      <c r="T43" s="462">
        <f>SUM('[1]GDP KP'!BB43:BC43)</f>
        <v>9.4359500312604787</v>
      </c>
      <c r="U43" s="462">
        <f>SUM('[1]GDP KP'!BD43:BE43)</f>
        <v>10.719979196847905</v>
      </c>
      <c r="V43" s="462">
        <f>SUM('[1]GDP KP'!BF43:BG43)</f>
        <v>12.560014289392734</v>
      </c>
      <c r="W43" s="462">
        <f>SUM('[1]GDP KP'!BH43:BI43)</f>
        <v>9.8844608872353543</v>
      </c>
      <c r="X43" s="462">
        <f>SUM('[1]GDP KP'!BJ43:BK43)</f>
        <v>12.071202724761106</v>
      </c>
      <c r="Y43" s="462">
        <f>SUM('[1]GDP KP'!BL43:BM43)</f>
        <v>12.133053710582761</v>
      </c>
      <c r="Z43" s="462">
        <f>SUM('[1]GDP KP'!BN43:BO43)</f>
        <v>13.152627318197947</v>
      </c>
      <c r="AA43" s="462">
        <f>SUM('[1]GDP KP'!BP43:BQ43)</f>
        <v>12.522676058399764</v>
      </c>
      <c r="AB43" s="462">
        <f>SUM('[1]GDP KP'!BR43:BS43)</f>
        <v>11.323864098260191</v>
      </c>
      <c r="AC43" s="462">
        <f>SUM('[1]GDP KP'!BT43:BU43)</f>
        <v>12.797699200775682</v>
      </c>
      <c r="AD43" s="462" t="e">
        <f>SUM('[1]GDP KP'!BV43:BW43)</f>
        <v>#REF!</v>
      </c>
      <c r="AH43" s="213">
        <f t="shared" si="4"/>
        <v>9.851155385162901</v>
      </c>
      <c r="AI43" s="213">
        <f t="shared" si="2"/>
        <v>22.545479897227921</v>
      </c>
      <c r="AJ43" s="17">
        <f t="shared" si="5"/>
        <v>0.43694591687862672</v>
      </c>
    </row>
    <row r="44" spans="1:36">
      <c r="A44" s="453" t="s">
        <v>32</v>
      </c>
      <c r="B44" s="453">
        <f>SUM('[1]GDP KP'!AN44:AQ44)</f>
        <v>520.13999047379207</v>
      </c>
      <c r="C44" s="453">
        <f>SUM('[1]GDP KP'!AR44:AU44)</f>
        <v>554.64876774558411</v>
      </c>
      <c r="D44" s="453">
        <f>SUM('[1]GDP KP'!AV44:AY44)</f>
        <v>590.75336626549233</v>
      </c>
      <c r="E44" s="453">
        <f>SUM('[1]GDP KP'!AZ44:BC44)</f>
        <v>670.94370987277739</v>
      </c>
      <c r="F44" s="453">
        <f>SUM('[1]GDP KP'!BD44:BG44)</f>
        <v>746.46640637115695</v>
      </c>
      <c r="G44" s="453">
        <f>SUM('[1]GDP KP'!BH44:BK44)</f>
        <v>761.52913374751745</v>
      </c>
      <c r="H44" s="453">
        <f>SUM('[1]GDP KP'!BL44:BO44)</f>
        <v>842.17227591105916</v>
      </c>
      <c r="I44" s="453">
        <f>SUM('[1]GDP KP'!BP44:BS44)</f>
        <v>934.78695359291339</v>
      </c>
      <c r="J44" s="453" t="e">
        <f>SUM('[1]GDP KP'!BT44:BW44)</f>
        <v>#REF!</v>
      </c>
      <c r="L44" s="453" t="s">
        <v>32</v>
      </c>
      <c r="M44" s="453">
        <f>SUM('[1]GDP KP'!AN44:AO44)</f>
        <v>251.21125604110316</v>
      </c>
      <c r="N44" s="453">
        <f>SUM('[1]GDP KP'!AP44:AQ44)</f>
        <v>268.928734432689</v>
      </c>
      <c r="O44" s="453">
        <f>SUM('[1]GDP KP'!AR44:AS44)</f>
        <v>281.79380214177661</v>
      </c>
      <c r="P44" s="453">
        <f>SUM('[1]GDP KP'!AT44:AU44)</f>
        <v>272.85496560380739</v>
      </c>
      <c r="Q44" s="453">
        <f>SUM('[1]GDP KP'!AV44:AW44)</f>
        <v>294.78229356263057</v>
      </c>
      <c r="R44" s="453">
        <f>SUM('[1]GDP KP'!BO44:BR44)</f>
        <v>904.77793568273148</v>
      </c>
      <c r="S44" s="453">
        <f>SUM('[1]GDP KP'!AZ44:BA44)</f>
        <v>332.06851578060343</v>
      </c>
      <c r="T44" s="453">
        <f>SUM('[1]GDP KP'!BB44:BC44)</f>
        <v>338.8751940921739</v>
      </c>
      <c r="U44" s="453">
        <f>SUM('[1]GDP KP'!BD44:BE44)</f>
        <v>369.71476271040422</v>
      </c>
      <c r="V44" s="453">
        <f>SUM('[1]GDP KP'!BF44:BG44)</f>
        <v>376.75164366075273</v>
      </c>
      <c r="W44" s="453">
        <f>SUM('[1]GDP KP'!BH44:BI44)</f>
        <v>354.38719549353243</v>
      </c>
      <c r="X44" s="453">
        <f>SUM('[1]GDP KP'!BJ44:BK44)</f>
        <v>407.14193825398502</v>
      </c>
      <c r="Y44" s="453">
        <f>SUM('[1]GDP KP'!BL44:BM44)</f>
        <v>408.62598940027067</v>
      </c>
      <c r="Z44" s="453">
        <f>SUM('[1]GDP KP'!BN44:BO44)</f>
        <v>433.54628651078849</v>
      </c>
      <c r="AA44" s="453">
        <f>SUM('[1]GDP KP'!BP44:BQ44)</f>
        <v>451.13770974527961</v>
      </c>
      <c r="AB44" s="453">
        <f>SUM('[1]GDP KP'!BR44:BS44)</f>
        <v>483.64924384763378</v>
      </c>
      <c r="AC44" s="453">
        <f>SUM('[1]GDP KP'!BT44:BU44)</f>
        <v>503.20413641858175</v>
      </c>
      <c r="AD44" s="453" t="e">
        <f>SUM('[1]GDP KP'!BV44:BW44)</f>
        <v>#REF!</v>
      </c>
      <c r="AE44" s="453"/>
      <c r="AF44" s="453"/>
      <c r="AG44" s="453"/>
      <c r="AH44" s="453">
        <f t="shared" si="4"/>
        <v>342.96519060945008</v>
      </c>
      <c r="AI44" s="453">
        <f t="shared" si="2"/>
        <v>778.78093337002031</v>
      </c>
      <c r="AJ44" s="477">
        <f t="shared" si="5"/>
        <v>0.44038724616091474</v>
      </c>
    </row>
    <row r="45" spans="1:36" s="245" customFormat="1">
      <c r="A45" s="454" t="s">
        <v>524</v>
      </c>
      <c r="B45" s="458">
        <f>SUM('[1]GDP KP'!AN45:AQ45)</f>
        <v>173.69099142241481</v>
      </c>
      <c r="C45" s="458">
        <f>SUM('[1]GDP KP'!AR45:AU45)</f>
        <v>187.74698079863578</v>
      </c>
      <c r="D45" s="458">
        <f>SUM('[1]GDP KP'!AV45:AY45)</f>
        <v>210.32772744478041</v>
      </c>
      <c r="E45" s="458">
        <f>SUM('[1]GDP KP'!AZ45:BC45)</f>
        <v>237.32326551851233</v>
      </c>
      <c r="F45" s="458">
        <f>SUM('[1]GDP KP'!BD45:BG45)</f>
        <v>247.6085281245378</v>
      </c>
      <c r="G45" s="458">
        <f>SUM('[1]GDP KP'!BH45:BK45)</f>
        <v>265.01636231618102</v>
      </c>
      <c r="H45" s="458">
        <f>SUM('[1]GDP KP'!BL45:BO45)</f>
        <v>283.69926539512608</v>
      </c>
      <c r="I45" s="458">
        <f>SUM('[1]GDP KP'!BP45:BS45)</f>
        <v>321.71986169407108</v>
      </c>
      <c r="J45" s="458" t="e">
        <f>SUM('[1]GDP KP'!BT45:BW45)</f>
        <v>#REF!</v>
      </c>
      <c r="L45" s="454" t="s">
        <v>524</v>
      </c>
      <c r="M45" s="458">
        <f>SUM('[1]GDP KP'!AN45:AO45)</f>
        <v>86.441202324584253</v>
      </c>
      <c r="N45" s="458">
        <f>SUM('[1]GDP KP'!AP45:AQ45)</f>
        <v>87.249789097830543</v>
      </c>
      <c r="O45" s="458">
        <f>SUM('[1]GDP KP'!AR45:AS45)</f>
        <v>100.7807919677694</v>
      </c>
      <c r="P45" s="458">
        <f>SUM('[1]GDP KP'!AT45:AU45)</f>
        <v>86.966188830866344</v>
      </c>
      <c r="Q45" s="458">
        <f>SUM('[1]GDP KP'!AV45:AW45)</f>
        <v>105.44128154720755</v>
      </c>
      <c r="R45" s="458">
        <f>SUM('[1]GDP KP'!BO45:BR45)</f>
        <v>301.83682261529458</v>
      </c>
      <c r="S45" s="458">
        <f>SUM('[1]GDP KP'!AZ45:BA45)</f>
        <v>126.92380443052954</v>
      </c>
      <c r="T45" s="458">
        <f>SUM('[1]GDP KP'!BB45:BC45)</f>
        <v>110.3994610879828</v>
      </c>
      <c r="U45" s="458">
        <f>SUM('[1]GDP KP'!BD45:BE45)</f>
        <v>128.46968361372487</v>
      </c>
      <c r="V45" s="458">
        <f>SUM('[1]GDP KP'!BF45:BG45)</f>
        <v>119.13884451081293</v>
      </c>
      <c r="W45" s="458">
        <f>SUM('[1]GDP KP'!BH45:BI45)</f>
        <v>135.45375233496981</v>
      </c>
      <c r="X45" s="458">
        <f>SUM('[1]GDP KP'!BJ45:BK45)</f>
        <v>129.56260998121124</v>
      </c>
      <c r="Y45" s="458">
        <f>SUM('[1]GDP KP'!BL45:BM45)</f>
        <v>147.43268955756278</v>
      </c>
      <c r="Z45" s="458">
        <f>SUM('[1]GDP KP'!BN45:BO45)</f>
        <v>136.26657583756332</v>
      </c>
      <c r="AA45" s="458">
        <f>SUM('[1]GDP KP'!BP45:BQ45)</f>
        <v>158.11341975090727</v>
      </c>
      <c r="AB45" s="458">
        <f>SUM('[1]GDP KP'!BR45:BS45)</f>
        <v>163.60644194316382</v>
      </c>
      <c r="AC45" s="458">
        <f>SUM('[1]GDP KP'!BT45:BU45)</f>
        <v>182.24360835162568</v>
      </c>
      <c r="AD45" s="458" t="e">
        <f>SUM('[1]GDP KP'!BV45:BW45)</f>
        <v>#REF!</v>
      </c>
      <c r="AE45" s="458"/>
      <c r="AF45" s="458"/>
      <c r="AG45" s="458"/>
      <c r="AH45" s="458">
        <f t="shared" si="4"/>
        <v>123.63207819090692</v>
      </c>
      <c r="AI45" s="458">
        <f t="shared" si="2"/>
        <v>265.51041992899763</v>
      </c>
      <c r="AJ45" s="479">
        <f t="shared" si="5"/>
        <v>0.4656392702929264</v>
      </c>
    </row>
    <row r="46" spans="1:36">
      <c r="A46" s="451" t="s">
        <v>525</v>
      </c>
      <c r="B46" s="33">
        <f>SUM('[1]GDP KP'!AN46:AQ46)</f>
        <v>35.805175525467462</v>
      </c>
      <c r="C46" s="33">
        <f>SUM('[1]GDP KP'!AR46:AU46)</f>
        <v>37.96694214603675</v>
      </c>
      <c r="D46" s="33">
        <f>SUM('[1]GDP KP'!AV46:AY46)</f>
        <v>40.672519845139135</v>
      </c>
      <c r="E46" s="33">
        <f>SUM('[1]GDP KP'!AZ46:BC46)</f>
        <v>44.514965869587584</v>
      </c>
      <c r="F46" s="33">
        <f>SUM('[1]GDP KP'!BD46:BG46)</f>
        <v>49.072111712349034</v>
      </c>
      <c r="G46" s="33">
        <f>SUM('[1]GDP KP'!BH46:BK46)</f>
        <v>52.745936328681807</v>
      </c>
      <c r="H46" s="33">
        <f>SUM('[1]GDP KP'!BL46:BO46)</f>
        <v>57.070995140541321</v>
      </c>
      <c r="I46" s="33">
        <f>SUM('[1]GDP KP'!BP46:BS46)</f>
        <v>62.39391141963344</v>
      </c>
      <c r="J46" s="33" t="e">
        <f>SUM('[1]GDP KP'!BT46:BW46)</f>
        <v>#REF!</v>
      </c>
      <c r="L46" s="451" t="s">
        <v>525</v>
      </c>
      <c r="M46" s="485">
        <f>SUM('[1]GDP KP'!AN46:AO46)</f>
        <v>17.218807268315501</v>
      </c>
      <c r="N46" s="485">
        <f>SUM('[1]GDP KP'!AP46:AQ46)</f>
        <v>18.586368257151957</v>
      </c>
      <c r="O46" s="485">
        <f>SUM('[1]GDP KP'!AR46:AS46)</f>
        <v>18.388369041326548</v>
      </c>
      <c r="P46" s="485">
        <f>SUM('[1]GDP KP'!AT46:AU46)</f>
        <v>19.578573104710202</v>
      </c>
      <c r="Q46" s="485">
        <f>SUM('[1]GDP KP'!AV46:AW46)</f>
        <v>19.272129673224189</v>
      </c>
      <c r="R46" s="485">
        <f>SUM('[1]GDP KP'!BO46:BR46)</f>
        <v>60.840768899926843</v>
      </c>
      <c r="S46" s="485">
        <f>SUM('[1]GDP KP'!AZ46:BA46)</f>
        <v>21.693868823120731</v>
      </c>
      <c r="T46" s="485">
        <f>SUM('[1]GDP KP'!BB46:BC46)</f>
        <v>22.821097046466857</v>
      </c>
      <c r="U46" s="485">
        <f>SUM('[1]GDP KP'!BD46:BE46)</f>
        <v>24.033001101390397</v>
      </c>
      <c r="V46" s="485">
        <f>SUM('[1]GDP KP'!BF46:BG46)</f>
        <v>25.039110610958641</v>
      </c>
      <c r="W46" s="485">
        <f>SUM('[1]GDP KP'!BH46:BI46)</f>
        <v>25.330821660166514</v>
      </c>
      <c r="X46" s="485">
        <f>SUM('[1]GDP KP'!BJ46:BK46)</f>
        <v>27.415114668515294</v>
      </c>
      <c r="Y46" s="485">
        <f>SUM('[1]GDP KP'!BL46:BM46)</f>
        <v>27.52632130076142</v>
      </c>
      <c r="Z46" s="485">
        <f>SUM('[1]GDP KP'!BN46:BO46)</f>
        <v>29.544673839779897</v>
      </c>
      <c r="AA46" s="485">
        <f>SUM('[1]GDP KP'!BP46:BQ46)</f>
        <v>29.507820905331524</v>
      </c>
      <c r="AB46" s="485">
        <f>SUM('[1]GDP KP'!BR46:BS46)</f>
        <v>32.886090514301912</v>
      </c>
      <c r="AC46" s="485">
        <f>SUM('[1]GDP KP'!BT46:BU46)</f>
        <v>30.381820264144139</v>
      </c>
      <c r="AD46" s="485" t="e">
        <f>SUM('[1]GDP KP'!BV46:BW46)</f>
        <v>#REF!</v>
      </c>
      <c r="AE46" s="485"/>
      <c r="AF46" s="485"/>
      <c r="AG46" s="485"/>
      <c r="AH46" s="485">
        <f t="shared" si="4"/>
        <v>22.871392471704606</v>
      </c>
      <c r="AI46" s="485">
        <f t="shared" si="2"/>
        <v>52.46036708943106</v>
      </c>
      <c r="AJ46" s="484">
        <f t="shared" si="5"/>
        <v>0.43597469367141345</v>
      </c>
    </row>
    <row r="47" spans="1:36">
      <c r="A47" s="451" t="s">
        <v>526</v>
      </c>
      <c r="B47" s="33">
        <f>SUM('[1]GDP KP'!AN47:AQ47)</f>
        <v>80.215120642092458</v>
      </c>
      <c r="C47" s="33">
        <f>SUM('[1]GDP KP'!AR47:AU47)</f>
        <v>85.96522497796191</v>
      </c>
      <c r="D47" s="33">
        <f>SUM('[1]GDP KP'!AV47:AY47)</f>
        <v>104.99285491308797</v>
      </c>
      <c r="E47" s="33">
        <f>SUM('[1]GDP KP'!AZ47:BC47)</f>
        <v>114.55336226387952</v>
      </c>
      <c r="F47" s="33">
        <f>SUM('[1]GDP KP'!BD47:BG47)</f>
        <v>114.64974612214559</v>
      </c>
      <c r="G47" s="33">
        <f>SUM('[1]GDP KP'!BH47:BK47)</f>
        <v>122.15991800934091</v>
      </c>
      <c r="H47" s="33">
        <f>SUM('[1]GDP KP'!BL47:BO47)</f>
        <v>128.45779467808472</v>
      </c>
      <c r="I47" s="33">
        <f>SUM('[1]GDP KP'!BP47:BS47)</f>
        <v>149.21568317005125</v>
      </c>
      <c r="J47" s="33" t="e">
        <f>SUM('[1]GDP KP'!BT47:BW47)</f>
        <v>#REF!</v>
      </c>
      <c r="L47" s="451" t="s">
        <v>526</v>
      </c>
      <c r="M47" s="485">
        <f>SUM('[1]GDP KP'!AN47:AO47)</f>
        <v>44.894857099205637</v>
      </c>
      <c r="N47" s="485">
        <f>SUM('[1]GDP KP'!AP47:AQ47)</f>
        <v>35.320263542886821</v>
      </c>
      <c r="O47" s="485">
        <f>SUM('[1]GDP KP'!AR47:AS47)</f>
        <v>49.97793232218558</v>
      </c>
      <c r="P47" s="485">
        <f>SUM('[1]GDP KP'!AT47:AU47)</f>
        <v>35.987292655776336</v>
      </c>
      <c r="Q47" s="485">
        <f>SUM('[1]GDP KP'!AV47:AW47)</f>
        <v>55.249724484005597</v>
      </c>
      <c r="R47" s="485">
        <f>SUM('[1]GDP KP'!BO47:BR47)</f>
        <v>134.06753921624696</v>
      </c>
      <c r="S47" s="485">
        <f>SUM('[1]GDP KP'!AZ47:BA47)</f>
        <v>65.425634791620453</v>
      </c>
      <c r="T47" s="485">
        <f>SUM('[1]GDP KP'!BB47:BC47)</f>
        <v>49.127727472259068</v>
      </c>
      <c r="U47" s="485">
        <f>SUM('[1]GDP KP'!BD47:BE47)</f>
        <v>63.602015285699871</v>
      </c>
      <c r="V47" s="485">
        <f>SUM('[1]GDP KP'!BF47:BG47)</f>
        <v>51.047730836445709</v>
      </c>
      <c r="W47" s="485">
        <f>SUM('[1]GDP KP'!BH47:BI47)</f>
        <v>65.163944442461926</v>
      </c>
      <c r="X47" s="485">
        <f>SUM('[1]GDP KP'!BJ47:BK47)</f>
        <v>56.99597356687898</v>
      </c>
      <c r="Y47" s="485">
        <f>SUM('[1]GDP KP'!BL47:BM47)</f>
        <v>71.055758132249736</v>
      </c>
      <c r="Z47" s="485">
        <f>SUM('[1]GDP KP'!BN47:BO47)</f>
        <v>57.402036545834989</v>
      </c>
      <c r="AA47" s="485">
        <f>SUM('[1]GDP KP'!BP47:BQ47)</f>
        <v>74.46431629429604</v>
      </c>
      <c r="AB47" s="485">
        <f>SUM('[1]GDP KP'!BR47:BS47)</f>
        <v>74.751366875755224</v>
      </c>
      <c r="AC47" s="485">
        <f>SUM('[1]GDP KP'!BT47:BU47)</f>
        <v>90.945279436704311</v>
      </c>
      <c r="AD47" s="485" t="e">
        <f>SUM('[1]GDP KP'!BV47:BW47)</f>
        <v>#REF!</v>
      </c>
      <c r="AE47" s="485"/>
      <c r="AF47" s="485"/>
      <c r="AG47" s="485"/>
      <c r="AH47" s="485">
        <f t="shared" si="4"/>
        <v>61.229272856465599</v>
      </c>
      <c r="AI47" s="485">
        <f t="shared" si="2"/>
        <v>123.06676419547611</v>
      </c>
      <c r="AJ47" s="484">
        <f t="shared" si="5"/>
        <v>0.49752890844851161</v>
      </c>
    </row>
    <row r="48" spans="1:36">
      <c r="A48" s="451" t="s">
        <v>527</v>
      </c>
      <c r="B48" s="33">
        <f>SUM('[1]GDP KP'!AN48:AQ48)</f>
        <v>61.076584811061721</v>
      </c>
      <c r="C48" s="33">
        <f>SUM('[1]GDP KP'!AR48:AU48)</f>
        <v>63.814813674637044</v>
      </c>
      <c r="D48" s="33">
        <f>SUM('[1]GDP KP'!AV48:AY48)</f>
        <v>64.662352686553291</v>
      </c>
      <c r="E48" s="33">
        <f>SUM('[1]GDP KP'!AZ48:BC48)</f>
        <v>78.254937385045253</v>
      </c>
      <c r="F48" s="33">
        <f>SUM('[1]GDP KP'!BD48:BG48)</f>
        <v>83.88667029004317</v>
      </c>
      <c r="G48" s="33">
        <f>SUM('[1]GDP KP'!BH48:BK48)</f>
        <v>90.110507978158324</v>
      </c>
      <c r="H48" s="33">
        <f>SUM('[1]GDP KP'!BL48:BO48)</f>
        <v>98.170475576500053</v>
      </c>
      <c r="I48" s="33">
        <f>SUM('[1]GDP KP'!BP48:BS48)</f>
        <v>110.11026710438642</v>
      </c>
      <c r="J48" s="33" t="e">
        <f>SUM('[1]GDP KP'!BT48:BW48)</f>
        <v>#REF!</v>
      </c>
      <c r="L48" s="451" t="s">
        <v>527</v>
      </c>
      <c r="M48" s="485">
        <f>SUM('[1]GDP KP'!AN48:AO48)</f>
        <v>30.321999523448952</v>
      </c>
      <c r="N48" s="485">
        <f>SUM('[1]GDP KP'!AP48:AQ48)</f>
        <v>30.754585287612766</v>
      </c>
      <c r="O48" s="485">
        <f>SUM('[1]GDP KP'!AR48:AS48)</f>
        <v>32.41449060425726</v>
      </c>
      <c r="P48" s="485">
        <f>SUM('[1]GDP KP'!AT48:AU48)</f>
        <v>31.400323070379788</v>
      </c>
      <c r="Q48" s="485">
        <f>SUM('[1]GDP KP'!AV48:AW48)</f>
        <v>30.919427389977784</v>
      </c>
      <c r="R48" s="485">
        <f>SUM('[1]GDP KP'!BO48:BR48)</f>
        <v>106.92851449912075</v>
      </c>
      <c r="S48" s="485">
        <f>SUM('[1]GDP KP'!AZ48:BA48)</f>
        <v>39.804300815788359</v>
      </c>
      <c r="T48" s="485">
        <f>SUM('[1]GDP KP'!BB48:BC48)</f>
        <v>38.450636569256901</v>
      </c>
      <c r="U48" s="485">
        <f>SUM('[1]GDP KP'!BD48:BE48)</f>
        <v>40.834667226634593</v>
      </c>
      <c r="V48" s="485">
        <f>SUM('[1]GDP KP'!BF48:BG48)</f>
        <v>43.052003063408577</v>
      </c>
      <c r="W48" s="485">
        <f>SUM('[1]GDP KP'!BH48:BI48)</f>
        <v>44.95898623234136</v>
      </c>
      <c r="X48" s="485">
        <f>SUM('[1]GDP KP'!BJ48:BK48)</f>
        <v>45.151521745816964</v>
      </c>
      <c r="Y48" s="485">
        <f>SUM('[1]GDP KP'!BL48:BM48)</f>
        <v>48.850610124551643</v>
      </c>
      <c r="Z48" s="485">
        <f>SUM('[1]GDP KP'!BN48:BO48)</f>
        <v>49.319865451948402</v>
      </c>
      <c r="AA48" s="485">
        <f>SUM('[1]GDP KP'!BP48:BQ48)</f>
        <v>54.141282551279687</v>
      </c>
      <c r="AB48" s="485">
        <f>SUM('[1]GDP KP'!BR48:BS48)</f>
        <v>55.968984553106736</v>
      </c>
      <c r="AC48" s="485">
        <f>SUM('[1]GDP KP'!BT48:BU48)</f>
        <v>60.916508650777288</v>
      </c>
      <c r="AD48" s="485" t="e">
        <f>SUM('[1]GDP KP'!BV48:BW48)</f>
        <v>#REF!</v>
      </c>
      <c r="AE48" s="485"/>
      <c r="AF48" s="485"/>
      <c r="AG48" s="485"/>
      <c r="AH48" s="485">
        <f t="shared" si="4"/>
        <v>40.280720558534952</v>
      </c>
      <c r="AI48" s="485">
        <f t="shared" si="2"/>
        <v>90.409024838616318</v>
      </c>
      <c r="AJ48" s="484">
        <f t="shared" si="5"/>
        <v>0.44553871287117219</v>
      </c>
    </row>
    <row r="49" spans="1:36" s="245" customFormat="1">
      <c r="A49" s="454" t="s">
        <v>528</v>
      </c>
      <c r="B49" s="459">
        <f>SUM('[1]GDP KP'!AN49:AQ49)</f>
        <v>168.03762740252307</v>
      </c>
      <c r="C49" s="459">
        <f>SUM('[1]GDP KP'!AR49:AU49)</f>
        <v>173.53725763322035</v>
      </c>
      <c r="D49" s="459">
        <f>SUM('[1]GDP KP'!AV49:AY49)</f>
        <v>159.33875095735547</v>
      </c>
      <c r="E49" s="459">
        <f>SUM('[1]GDP KP'!AZ49:BC49)</f>
        <v>165.56825879483733</v>
      </c>
      <c r="F49" s="459">
        <f>SUM('[1]GDP KP'!BD49:BG49)</f>
        <v>183.53346038217276</v>
      </c>
      <c r="G49" s="459">
        <f>SUM('[1]GDP KP'!BH49:BK49)</f>
        <v>185.61516158185333</v>
      </c>
      <c r="H49" s="459">
        <f>SUM('[1]GDP KP'!BL49:BO49)</f>
        <v>196.86722434344168</v>
      </c>
      <c r="I49" s="459">
        <f>SUM('[1]GDP KP'!BP49:BS49)</f>
        <v>214.10349488254525</v>
      </c>
      <c r="J49" s="459" t="e">
        <f>SUM('[1]GDP KP'!BT49:BW49)</f>
        <v>#REF!</v>
      </c>
      <c r="L49" s="454" t="s">
        <v>528</v>
      </c>
      <c r="M49" s="458">
        <f>SUM('[1]GDP KP'!AN49:AO49)</f>
        <v>81.271473795022786</v>
      </c>
      <c r="N49" s="458">
        <f>SUM('[1]GDP KP'!AP49:AQ49)</f>
        <v>86.766153607500314</v>
      </c>
      <c r="O49" s="458">
        <f>SUM('[1]GDP KP'!AR49:AS49)</f>
        <v>86.157491752466413</v>
      </c>
      <c r="P49" s="458">
        <f>SUM('[1]GDP KP'!AT49:AU49)</f>
        <v>87.379765880753951</v>
      </c>
      <c r="Q49" s="458">
        <f>SUM('[1]GDP KP'!AV49:AW49)</f>
        <v>82.470258144534995</v>
      </c>
      <c r="R49" s="458">
        <f>SUM('[1]GDP KP'!BO49:BR49)</f>
        <v>213.19477967566172</v>
      </c>
      <c r="S49" s="458">
        <f>SUM('[1]GDP KP'!AZ49:BA49)</f>
        <v>78.612142139655674</v>
      </c>
      <c r="T49" s="458">
        <f>SUM('[1]GDP KP'!BB49:BC49)</f>
        <v>86.95611665518166</v>
      </c>
      <c r="U49" s="458">
        <f>SUM('[1]GDP KP'!BD49:BE49)</f>
        <v>88.968617176267486</v>
      </c>
      <c r="V49" s="458">
        <f>SUM('[1]GDP KP'!BF49:BG49)</f>
        <v>94.564843205905277</v>
      </c>
      <c r="W49" s="458">
        <f>SUM('[1]GDP KP'!BH49:BI49)</f>
        <v>85.433630179400211</v>
      </c>
      <c r="X49" s="458">
        <f>SUM('[1]GDP KP'!BJ49:BK49)</f>
        <v>100.18153140245313</v>
      </c>
      <c r="Y49" s="458">
        <f>SUM('[1]GDP KP'!BL49:BM49)</f>
        <v>90.825267703879916</v>
      </c>
      <c r="Z49" s="458">
        <f>SUM('[1]GDP KP'!BN49:BO49)</f>
        <v>106.04195663956176</v>
      </c>
      <c r="AA49" s="458">
        <f>SUM('[1]GDP KP'!BP49:BQ49)</f>
        <v>102.68591524430767</v>
      </c>
      <c r="AB49" s="458">
        <f>SUM('[1]GDP KP'!BR49:BS49)</f>
        <v>111.41757963823756</v>
      </c>
      <c r="AC49" s="458">
        <f>SUM('[1]GDP KP'!BT49:BU49)</f>
        <v>103.08490109315056</v>
      </c>
      <c r="AD49" s="458" t="e">
        <f>SUM('[1]GDP KP'!BV49:BW49)</f>
        <v>#REF!</v>
      </c>
      <c r="AE49" s="458"/>
      <c r="AF49" s="458"/>
      <c r="AG49" s="458"/>
      <c r="AH49" s="458">
        <f t="shared" si="4"/>
        <v>87.053099516941899</v>
      </c>
      <c r="AI49" s="458">
        <f t="shared" si="2"/>
        <v>197.86594035509881</v>
      </c>
      <c r="AJ49" s="479">
        <f t="shared" si="5"/>
        <v>0.43996000201304286</v>
      </c>
    </row>
    <row r="50" spans="1:36" s="245" customFormat="1">
      <c r="A50" s="457" t="s">
        <v>529</v>
      </c>
      <c r="B50" s="461">
        <f>SUM('[1]GDP KP'!AN50:AQ50)</f>
        <v>84.420767043829684</v>
      </c>
      <c r="C50" s="461">
        <f>SUM('[1]GDP KP'!AR50:AU50)</f>
        <v>83.587400556226314</v>
      </c>
      <c r="D50" s="461">
        <f>SUM('[1]GDP KP'!AV50:AY50)</f>
        <v>75.314814568094221</v>
      </c>
      <c r="E50" s="461">
        <f>SUM('[1]GDP KP'!AZ50:BC50)</f>
        <v>80.272926178990673</v>
      </c>
      <c r="F50" s="461">
        <f>SUM('[1]GDP KP'!BD50:BG50)</f>
        <v>96.116210191812641</v>
      </c>
      <c r="G50" s="461">
        <f>SUM('[1]GDP KP'!BH50:BK50)</f>
        <v>92.385124382115251</v>
      </c>
      <c r="H50" s="461">
        <f>SUM('[1]GDP KP'!BL50:BO50)</f>
        <v>99.951926244441765</v>
      </c>
      <c r="I50" s="461">
        <f>SUM('[1]GDP KP'!BP50:BS50)</f>
        <v>113.85448741044776</v>
      </c>
      <c r="J50" s="461" t="e">
        <f>SUM('[1]GDP KP'!BT50:BW50)</f>
        <v>#REF!</v>
      </c>
      <c r="L50" s="457" t="s">
        <v>529</v>
      </c>
      <c r="M50" s="486">
        <f>SUM('[1]GDP KP'!AN50:AO50)</f>
        <v>41.675400788952629</v>
      </c>
      <c r="N50" s="486">
        <f>SUM('[1]GDP KP'!AP50:AQ50)</f>
        <v>42.745366254877055</v>
      </c>
      <c r="O50" s="486">
        <f>SUM('[1]GDP KP'!AR50:AS50)</f>
        <v>42.447752021110389</v>
      </c>
      <c r="P50" s="486">
        <f>SUM('[1]GDP KP'!AT50:AU50)</f>
        <v>41.139648535115938</v>
      </c>
      <c r="Q50" s="486">
        <f>SUM('[1]GDP KP'!AV50:AW50)</f>
        <v>40.54133394167728</v>
      </c>
      <c r="R50" s="486">
        <f>SUM('[1]GDP KP'!BO50:BR50)</f>
        <v>113.90963727517931</v>
      </c>
      <c r="S50" s="486">
        <f>SUM('[1]GDP KP'!AZ50:BA50)</f>
        <v>37.471275911111519</v>
      </c>
      <c r="T50" s="486">
        <f>SUM('[1]GDP KP'!BB50:BC50)</f>
        <v>42.801650267879154</v>
      </c>
      <c r="U50" s="486">
        <f>SUM('[1]GDP KP'!BD50:BE50)</f>
        <v>46.783239919395747</v>
      </c>
      <c r="V50" s="486">
        <f>SUM('[1]GDP KP'!BF50:BG50)</f>
        <v>49.332970272416894</v>
      </c>
      <c r="W50" s="486">
        <f>SUM('[1]GDP KP'!BH50:BI50)</f>
        <v>40.952195309347495</v>
      </c>
      <c r="X50" s="486">
        <f>SUM('[1]GDP KP'!BJ50:BK50)</f>
        <v>51.432929072767756</v>
      </c>
      <c r="Y50" s="486">
        <f>SUM('[1]GDP KP'!BL50:BM50)</f>
        <v>44.762350812717713</v>
      </c>
      <c r="Z50" s="486">
        <f>SUM('[1]GDP KP'!BN50:BO50)</f>
        <v>55.189575431724052</v>
      </c>
      <c r="AA50" s="486">
        <f>SUM('[1]GDP KP'!BP50:BQ50)</f>
        <v>55.216617492158115</v>
      </c>
      <c r="AB50" s="486">
        <f>SUM('[1]GDP KP'!BR50:BS50)</f>
        <v>58.637869918289653</v>
      </c>
      <c r="AC50" s="486">
        <f>SUM('[1]GDP KP'!BT50:BU50)</f>
        <v>54.459775785257577</v>
      </c>
      <c r="AD50" s="486" t="e">
        <f>SUM('[1]GDP KP'!BV50:BW50)</f>
        <v>#REF!</v>
      </c>
      <c r="AE50" s="486"/>
      <c r="AF50" s="486"/>
      <c r="AG50" s="486"/>
      <c r="AH50" s="486">
        <f t="shared" si="4"/>
        <v>43.731270774558858</v>
      </c>
      <c r="AI50" s="486">
        <f t="shared" si="2"/>
        <v>100.6299766530901</v>
      </c>
      <c r="AJ50" s="487">
        <f t="shared" si="5"/>
        <v>0.4345749867886507</v>
      </c>
    </row>
    <row r="51" spans="1:36">
      <c r="A51" s="451" t="s">
        <v>530</v>
      </c>
      <c r="B51" s="33">
        <f>SUM('[1]GDP KP'!AN51:AQ51)</f>
        <v>65.867247439378644</v>
      </c>
      <c r="C51" s="33">
        <f>SUM('[1]GDP KP'!AR51:AU51)</f>
        <v>65.94446812043789</v>
      </c>
      <c r="D51" s="33">
        <f>SUM('[1]GDP KP'!AV51:AY51)</f>
        <v>61.869689314313661</v>
      </c>
      <c r="E51" s="33">
        <f>SUM('[1]GDP KP'!AZ51:BC51)</f>
        <v>72.508443926323878</v>
      </c>
      <c r="F51" s="33">
        <f>SUM('[1]GDP KP'!BD51:BG51)</f>
        <v>87.860130912171343</v>
      </c>
      <c r="G51" s="33">
        <f>SUM('[1]GDP KP'!BH51:BK51)</f>
        <v>85.852770762470513</v>
      </c>
      <c r="H51" s="33">
        <f>SUM('[1]GDP KP'!BL51:BO51)</f>
        <v>94.13668366799115</v>
      </c>
      <c r="I51" s="33">
        <f>SUM('[1]GDP KP'!BP51:BS51)</f>
        <v>104.0467534546444</v>
      </c>
      <c r="J51" s="33" t="e">
        <f>SUM('[1]GDP KP'!BT51:BW51)</f>
        <v>#REF!</v>
      </c>
      <c r="L51" s="451" t="s">
        <v>530</v>
      </c>
      <c r="M51" s="485">
        <f>SUM('[1]GDP KP'!AN51:AO51)</f>
        <v>32.242554703383291</v>
      </c>
      <c r="N51" s="485">
        <f>SUM('[1]GDP KP'!AP51:AQ51)</f>
        <v>33.62469273599536</v>
      </c>
      <c r="O51" s="485">
        <f>SUM('[1]GDP KP'!AR51:AS51)</f>
        <v>32.023709265890432</v>
      </c>
      <c r="P51" s="485">
        <f>SUM('[1]GDP KP'!AT51:AU51)</f>
        <v>33.920758854547458</v>
      </c>
      <c r="Q51" s="485">
        <f>SUM('[1]GDP KP'!AV51:AW51)</f>
        <v>31.156005739923486</v>
      </c>
      <c r="R51" s="485">
        <f>SUM('[1]GDP KP'!BO51:BR51)</f>
        <v>104.21325685120166</v>
      </c>
      <c r="S51" s="485">
        <f>SUM('[1]GDP KP'!AZ51:BA51)</f>
        <v>33.679683160563926</v>
      </c>
      <c r="T51" s="485">
        <f>SUM('[1]GDP KP'!BB51:BC51)</f>
        <v>38.828760765759952</v>
      </c>
      <c r="U51" s="485">
        <f>SUM('[1]GDP KP'!BD51:BE51)</f>
        <v>43.140144860868261</v>
      </c>
      <c r="V51" s="485">
        <f>SUM('[1]GDP KP'!BF51:BG51)</f>
        <v>44.719986051303088</v>
      </c>
      <c r="W51" s="485">
        <f>SUM('[1]GDP KP'!BH51:BI51)</f>
        <v>37.963910382385372</v>
      </c>
      <c r="X51" s="485">
        <f>SUM('[1]GDP KP'!BJ51:BK51)</f>
        <v>47.888860380085141</v>
      </c>
      <c r="Y51" s="485">
        <f>SUM('[1]GDP KP'!BL51:BM51)</f>
        <v>43.11629384707814</v>
      </c>
      <c r="Z51" s="485">
        <f>SUM('[1]GDP KP'!BN51:BO51)</f>
        <v>51.020389820913017</v>
      </c>
      <c r="AA51" s="485">
        <f>SUM('[1]GDP KP'!BP51:BQ51)</f>
        <v>50.48345898543473</v>
      </c>
      <c r="AB51" s="485">
        <f>SUM('[1]GDP KP'!BR51:BS51)</f>
        <v>53.563294469209666</v>
      </c>
      <c r="AC51" s="485">
        <f>SUM('[1]GDP KP'!BT51:BU51)</f>
        <v>50.04296794445888</v>
      </c>
      <c r="AD51" s="485" t="e">
        <f>SUM('[1]GDP KP'!BV51:BW51)</f>
        <v>#REF!</v>
      </c>
      <c r="AE51" s="485"/>
      <c r="AF51" s="485"/>
      <c r="AG51" s="485"/>
      <c r="AH51" s="485">
        <f t="shared" si="4"/>
        <v>37.975720118190949</v>
      </c>
      <c r="AI51" s="485">
        <f t="shared" si="2"/>
        <v>88.948220109317887</v>
      </c>
      <c r="AJ51" s="484">
        <f t="shared" si="5"/>
        <v>0.42694187777471621</v>
      </c>
    </row>
    <row r="52" spans="1:36">
      <c r="A52" s="451" t="s">
        <v>191</v>
      </c>
      <c r="B52" s="33">
        <f>SUM('[1]GDP KP'!AN52:AQ52)</f>
        <v>8.3416661312419347</v>
      </c>
      <c r="C52" s="33">
        <f>SUM('[1]GDP KP'!AR52:AU52)</f>
        <v>8.1654986659118407</v>
      </c>
      <c r="D52" s="33">
        <f>SUM('[1]GDP KP'!AV52:AY52)</f>
        <v>7.410201853765761</v>
      </c>
      <c r="E52" s="33">
        <f>SUM('[1]GDP KP'!AZ52:BC52)</f>
        <v>7.7644822526668023</v>
      </c>
      <c r="F52" s="33">
        <f>SUM('[1]GDP KP'!BD52:BG52)</f>
        <v>8.2560792796412965</v>
      </c>
      <c r="G52" s="33">
        <f>SUM('[1]GDP KP'!BH52:BK52)</f>
        <v>6.5323536196447396</v>
      </c>
      <c r="H52" s="33">
        <f>SUM('[1]GDP KP'!BL52:BO52)</f>
        <v>5.8152425764505917</v>
      </c>
      <c r="I52" s="33">
        <f>SUM('[1]GDP KP'!BP52:BS52)</f>
        <v>9.8077339558033749</v>
      </c>
      <c r="J52" s="33" t="e">
        <f>SUM('[1]GDP KP'!BT52:BW52)</f>
        <v>#REF!</v>
      </c>
      <c r="L52" s="451" t="s">
        <v>191</v>
      </c>
      <c r="M52" s="485">
        <f>SUM('[1]GDP KP'!AN52:AO52)</f>
        <v>3.8189867039736409</v>
      </c>
      <c r="N52" s="485">
        <f>SUM('[1]GDP KP'!AP52:AQ52)</f>
        <v>4.5226794272682938</v>
      </c>
      <c r="O52" s="485">
        <f>SUM('[1]GDP KP'!AR52:AS52)</f>
        <v>4.2724817092237855</v>
      </c>
      <c r="P52" s="485">
        <f>SUM('[1]GDP KP'!AT52:AU52)</f>
        <v>3.8930169566880561</v>
      </c>
      <c r="Q52" s="485">
        <f>SUM('[1]GDP KP'!AV52:AW52)</f>
        <v>3.3504048017390007</v>
      </c>
      <c r="R52" s="485">
        <f>SUM('[1]GDP KP'!BO52:BR52)</f>
        <v>9.6963804239776348</v>
      </c>
      <c r="S52" s="485">
        <f>SUM('[1]GDP KP'!AZ52:BA52)</f>
        <v>3.7915927505475961</v>
      </c>
      <c r="T52" s="485">
        <f>SUM('[1]GDP KP'!BB52:BC52)</f>
        <v>3.9728895021192061</v>
      </c>
      <c r="U52" s="485">
        <f>SUM('[1]GDP KP'!BD52:BE52)</f>
        <v>3.643095058527491</v>
      </c>
      <c r="V52" s="485">
        <f>SUM('[1]GDP KP'!BF52:BG52)</f>
        <v>4.6129842211138055</v>
      </c>
      <c r="W52" s="485">
        <f>SUM('[1]GDP KP'!BH52:BI52)</f>
        <v>2.9882849269621232</v>
      </c>
      <c r="X52" s="485">
        <f>SUM('[1]GDP KP'!BJ52:BK52)</f>
        <v>3.5440686926826168</v>
      </c>
      <c r="Y52" s="485">
        <f>SUM('[1]GDP KP'!BL52:BM52)</f>
        <v>1.6460569656395645</v>
      </c>
      <c r="Z52" s="485">
        <f>SUM('[1]GDP KP'!BN52:BO52)</f>
        <v>4.1691856108110272</v>
      </c>
      <c r="AA52" s="485">
        <f>SUM('[1]GDP KP'!BP52:BQ52)</f>
        <v>4.7331585067233872</v>
      </c>
      <c r="AB52" s="485">
        <f>SUM('[1]GDP KP'!BR52:BS52)</f>
        <v>5.0745754490799886</v>
      </c>
      <c r="AC52" s="485">
        <f>SUM('[1]GDP KP'!BT52:BU52)</f>
        <v>4.4168078407987013</v>
      </c>
      <c r="AD52" s="485" t="e">
        <f>SUM('[1]GDP KP'!BV52:BW52)</f>
        <v>#REF!</v>
      </c>
      <c r="AE52" s="485"/>
      <c r="AF52" s="485"/>
      <c r="AG52" s="485"/>
      <c r="AH52" s="485">
        <f t="shared" si="4"/>
        <v>3.5305076779170741</v>
      </c>
      <c r="AI52" s="485">
        <f t="shared" si="2"/>
        <v>8.4662302133846534</v>
      </c>
      <c r="AJ52" s="484">
        <f t="shared" si="5"/>
        <v>0.41701059254631795</v>
      </c>
    </row>
    <row r="53" spans="1:36">
      <c r="A53" s="451" t="s">
        <v>531</v>
      </c>
      <c r="B53" s="33">
        <f>SUM('[1]GDP KP'!AN53:AQ53)</f>
        <v>10.211853473209105</v>
      </c>
      <c r="C53" s="33">
        <f>SUM('[1]GDP KP'!AR53:AU53)</f>
        <v>9.4774337698765887</v>
      </c>
      <c r="D53" s="33">
        <f>SUM('[1]GDP KP'!AV53:AY53)</f>
        <v>6.0349234000147911</v>
      </c>
      <c r="E53" s="33">
        <f>SUM('[1]GDP KP'!AZ53:BC53)</f>
        <v>0</v>
      </c>
      <c r="F53" s="33">
        <f>SUM('[1]GDP KP'!BD53:BG53)</f>
        <v>0</v>
      </c>
      <c r="G53" s="33">
        <f>SUM('[1]GDP KP'!BH53:BK53)</f>
        <v>0</v>
      </c>
      <c r="H53" s="33">
        <f>SUM('[1]GDP KP'!BL53:BO53)</f>
        <v>0</v>
      </c>
      <c r="I53" s="33">
        <f>SUM('[1]GDP KP'!BP53:BS53)</f>
        <v>0</v>
      </c>
      <c r="J53" s="33" t="e">
        <f>SUM('[1]GDP KP'!BT53:BW53)</f>
        <v>#REF!</v>
      </c>
      <c r="L53" s="451" t="s">
        <v>531</v>
      </c>
      <c r="M53" s="485">
        <f>SUM('[1]GDP KP'!AN53:AO53)</f>
        <v>5.6138593815957005</v>
      </c>
      <c r="N53" s="485">
        <f>SUM('[1]GDP KP'!AP53:AQ53)</f>
        <v>4.5979940916134048</v>
      </c>
      <c r="O53" s="485">
        <f>SUM('[1]GDP KP'!AR53:AS53)</f>
        <v>6.1515610459961678</v>
      </c>
      <c r="P53" s="485">
        <f>SUM('[1]GDP KP'!AT53:AU53)</f>
        <v>3.3258727238804218</v>
      </c>
      <c r="Q53" s="485">
        <f>SUM('[1]GDP KP'!AV53:AW53)</f>
        <v>6.0349234000147911</v>
      </c>
      <c r="R53" s="485">
        <f>SUM('[1]GDP KP'!BO53:BR53)</f>
        <v>0</v>
      </c>
      <c r="S53" s="485">
        <f>SUM('[1]GDP KP'!AZ53:BA53)</f>
        <v>0</v>
      </c>
      <c r="T53" s="485">
        <f>SUM('[1]GDP KP'!BB53:BC53)</f>
        <v>0</v>
      </c>
      <c r="U53" s="485">
        <f>SUM('[1]GDP KP'!BD53:BE53)</f>
        <v>0</v>
      </c>
      <c r="V53" s="485">
        <f>SUM('[1]GDP KP'!BF53:BG53)</f>
        <v>0</v>
      </c>
      <c r="W53" s="485">
        <f>SUM('[1]GDP KP'!BH53:BI53)</f>
        <v>0</v>
      </c>
      <c r="X53" s="485">
        <f>SUM('[1]GDP KP'!BJ53:BK53)</f>
        <v>0</v>
      </c>
      <c r="Y53" s="485">
        <f>SUM('[1]GDP KP'!BL53:BM53)</f>
        <v>0</v>
      </c>
      <c r="Z53" s="485">
        <f>SUM('[1]GDP KP'!BN53:BO53)</f>
        <v>0</v>
      </c>
      <c r="AA53" s="485">
        <f>SUM('[1]GDP KP'!BP53:BQ53)</f>
        <v>0</v>
      </c>
      <c r="AB53" s="485">
        <f>SUM('[1]GDP KP'!BR53:BS53)</f>
        <v>0</v>
      </c>
      <c r="AC53" s="485">
        <f>SUM('[1]GDP KP'!BT53:BU53)</f>
        <v>0</v>
      </c>
      <c r="AD53" s="485" t="e">
        <f>SUM('[1]GDP KP'!BV53:BW53)</f>
        <v>#REF!</v>
      </c>
      <c r="AE53" s="485"/>
      <c r="AF53" s="485"/>
      <c r="AG53" s="485"/>
      <c r="AH53" s="485">
        <f t="shared" si="4"/>
        <v>2.2250429784508325</v>
      </c>
      <c r="AI53" s="485">
        <f t="shared" si="2"/>
        <v>3.2155263303875605</v>
      </c>
      <c r="AJ53" s="484">
        <f t="shared" si="5"/>
        <v>0.69196851458611841</v>
      </c>
    </row>
    <row r="54" spans="1:36" s="245" customFormat="1">
      <c r="A54" s="457" t="s">
        <v>532</v>
      </c>
      <c r="B54" s="203">
        <f>SUM('[1]GDP KP'!AN54:AQ54)</f>
        <v>83.588152262436608</v>
      </c>
      <c r="C54" s="203">
        <f>SUM('[1]GDP KP'!AR54:AU54)</f>
        <v>89.949857076994036</v>
      </c>
      <c r="D54" s="203">
        <f>SUM('[1]GDP KP'!AV54:AY54)</f>
        <v>84.023936389261252</v>
      </c>
      <c r="E54" s="203">
        <f>SUM('[1]GDP KP'!AZ54:BC54)</f>
        <v>85.295332615846675</v>
      </c>
      <c r="F54" s="203">
        <f>SUM('[1]GDP KP'!BD54:BG54)</f>
        <v>87.417250190360136</v>
      </c>
      <c r="G54" s="203">
        <f>SUM('[1]GDP KP'!BH54:BK54)</f>
        <v>93.230037199738092</v>
      </c>
      <c r="H54" s="203">
        <f>SUM('[1]GDP KP'!BL54:BO54)</f>
        <v>96.915298098999926</v>
      </c>
      <c r="I54" s="203">
        <f>SUM('[1]GDP KP'!BP54:BS54)</f>
        <v>100.24900747209745</v>
      </c>
      <c r="J54" s="203" t="e">
        <f>SUM('[1]GDP KP'!BT54:BW54)</f>
        <v>#REF!</v>
      </c>
      <c r="L54" s="457" t="s">
        <v>532</v>
      </c>
      <c r="M54" s="486">
        <f>SUM('[1]GDP KP'!AN54:AO54)</f>
        <v>41.437035748045318</v>
      </c>
      <c r="N54" s="486">
        <f>SUM('[1]GDP KP'!AP54:AQ54)</f>
        <v>42.15111651439129</v>
      </c>
      <c r="O54" s="486">
        <f>SUM('[1]GDP KP'!AR54:AS54)</f>
        <v>43.709739731356024</v>
      </c>
      <c r="P54" s="486">
        <f>SUM('[1]GDP KP'!AT54:AU54)</f>
        <v>46.240117345638012</v>
      </c>
      <c r="Q54" s="486">
        <f>SUM('[1]GDP KP'!AV54:AW54)</f>
        <v>41.928924202857701</v>
      </c>
      <c r="R54" s="486">
        <f>SUM('[1]GDP KP'!BO54:BR54)</f>
        <v>99.285142400482428</v>
      </c>
      <c r="S54" s="486">
        <f>SUM('[1]GDP KP'!AZ54:BA54)</f>
        <v>41.140866228544162</v>
      </c>
      <c r="T54" s="486">
        <f>SUM('[1]GDP KP'!BB54:BC54)</f>
        <v>44.154466387302506</v>
      </c>
      <c r="U54" s="486">
        <f>SUM('[1]GDP KP'!BD54:BE54)</f>
        <v>42.185377256871746</v>
      </c>
      <c r="V54" s="486">
        <f>SUM('[1]GDP KP'!BF54:BG54)</f>
        <v>45.231872933488383</v>
      </c>
      <c r="W54" s="486">
        <f>SUM('[1]GDP KP'!BH54:BI54)</f>
        <v>44.481434870052702</v>
      </c>
      <c r="X54" s="486">
        <f>SUM('[1]GDP KP'!BJ54:BK54)</f>
        <v>48.748602329685383</v>
      </c>
      <c r="Y54" s="486">
        <f>SUM('[1]GDP KP'!BL54:BM54)</f>
        <v>46.062916891162217</v>
      </c>
      <c r="Z54" s="486">
        <f>SUM('[1]GDP KP'!BN54:BO54)</f>
        <v>50.852381207837716</v>
      </c>
      <c r="AA54" s="486">
        <f>SUM('[1]GDP KP'!BP54:BQ54)</f>
        <v>47.469297752149537</v>
      </c>
      <c r="AB54" s="486">
        <f>SUM('[1]GDP KP'!BR54:BS54)</f>
        <v>52.779709719947917</v>
      </c>
      <c r="AC54" s="486">
        <f>SUM('[1]GDP KP'!BT54:BU54)</f>
        <v>48.625125307893001</v>
      </c>
      <c r="AD54" s="486" t="e">
        <f>SUM('[1]GDP KP'!BV54:BW54)</f>
        <v>#REF!</v>
      </c>
      <c r="AE54" s="486"/>
      <c r="AF54" s="486"/>
      <c r="AG54" s="486"/>
      <c r="AH54" s="486">
        <f t="shared" si="4"/>
        <v>43.551949085129927</v>
      </c>
      <c r="AI54" s="486">
        <f t="shared" si="2"/>
        <v>97.232375189976636</v>
      </c>
      <c r="AJ54" s="487">
        <f t="shared" si="5"/>
        <v>0.44791612875892756</v>
      </c>
    </row>
    <row r="55" spans="1:36">
      <c r="A55" s="451" t="s">
        <v>533</v>
      </c>
      <c r="B55" s="33">
        <f>SUM('[1]GDP KP'!AN55:AQ55)</f>
        <v>45.451568995424125</v>
      </c>
      <c r="C55" s="33">
        <f>SUM('[1]GDP KP'!AR55:AU55)</f>
        <v>48.419824144720522</v>
      </c>
      <c r="D55" s="33">
        <f>SUM('[1]GDP KP'!AV55:AY55)</f>
        <v>44.630405620315258</v>
      </c>
      <c r="E55" s="33">
        <f>SUM('[1]GDP KP'!AZ55:BC55)</f>
        <v>45.18998078601345</v>
      </c>
      <c r="F55" s="33">
        <f>SUM('[1]GDP KP'!BD55:BG55)</f>
        <v>46.269077013902773</v>
      </c>
      <c r="G55" s="33">
        <f>SUM('[1]GDP KP'!BH55:BK55)</f>
        <v>49.684265783821459</v>
      </c>
      <c r="H55" s="33">
        <f>SUM('[1]GDP KP'!BL55:BO55)</f>
        <v>51.726407957333222</v>
      </c>
      <c r="I55" s="33">
        <f>SUM('[1]GDP KP'!BP55:BS55)</f>
        <v>53.19758281975745</v>
      </c>
      <c r="J55" s="33" t="e">
        <f>SUM('[1]GDP KP'!BT55:BW55)</f>
        <v>#REF!</v>
      </c>
      <c r="L55" s="451" t="s">
        <v>533</v>
      </c>
      <c r="M55" s="485">
        <f>SUM('[1]GDP KP'!AN55:AO55)</f>
        <v>24.391562376558738</v>
      </c>
      <c r="N55" s="485">
        <f>SUM('[1]GDP KP'!AP55:AQ55)</f>
        <v>21.06000661886538</v>
      </c>
      <c r="O55" s="485">
        <f>SUM('[1]GDP KP'!AR55:AS55)</f>
        <v>25.090426752651698</v>
      </c>
      <c r="P55" s="485">
        <f>SUM('[1]GDP KP'!AT55:AU55)</f>
        <v>23.329397392068827</v>
      </c>
      <c r="Q55" s="485">
        <f>SUM('[1]GDP KP'!AV55:AW55)</f>
        <v>24.061568207148291</v>
      </c>
      <c r="R55" s="485">
        <f>SUM('[1]GDP KP'!BO55:BR55)</f>
        <v>52.891794707516269</v>
      </c>
      <c r="S55" s="485">
        <f>SUM('[1]GDP KP'!AZ55:BA55)</f>
        <v>23.629988234175478</v>
      </c>
      <c r="T55" s="485">
        <f>SUM('[1]GDP KP'!BB55:BC55)</f>
        <v>21.559992551837972</v>
      </c>
      <c r="U55" s="485">
        <f>SUM('[1]GDP KP'!BD55:BE55)</f>
        <v>24.233174040455985</v>
      </c>
      <c r="V55" s="485">
        <f>SUM('[1]GDP KP'!BF55:BG55)</f>
        <v>22.035902973446788</v>
      </c>
      <c r="W55" s="485">
        <f>SUM('[1]GDP KP'!BH55:BI55)</f>
        <v>25.544325020995267</v>
      </c>
      <c r="X55" s="485">
        <f>SUM('[1]GDP KP'!BJ55:BK55)</f>
        <v>24.1399407628262</v>
      </c>
      <c r="Y55" s="485">
        <f>SUM('[1]GDP KP'!BL55:BM55)</f>
        <v>26.488084601319496</v>
      </c>
      <c r="Z55" s="485">
        <f>SUM('[1]GDP KP'!BN55:BO55)</f>
        <v>25.238323356013733</v>
      </c>
      <c r="AA55" s="485">
        <f>SUM('[1]GDP KP'!BP55:BQ55)</f>
        <v>27.347837014123847</v>
      </c>
      <c r="AB55" s="485">
        <f>SUM('[1]GDP KP'!BR55:BS55)</f>
        <v>25.849745805633603</v>
      </c>
      <c r="AC55" s="485">
        <f>SUM('[1]GDP KP'!BT55:BU55)</f>
        <v>28.011509843943543</v>
      </c>
      <c r="AD55" s="485" t="e">
        <f>SUM('[1]GDP KP'!BV55:BW55)</f>
        <v>#REF!</v>
      </c>
      <c r="AE55" s="485"/>
      <c r="AF55" s="485"/>
      <c r="AG55" s="485"/>
      <c r="AH55" s="485">
        <f t="shared" si="4"/>
        <v>25.098370780928601</v>
      </c>
      <c r="AI55" s="485">
        <f t="shared" si="2"/>
        <v>52.111508801954685</v>
      </c>
      <c r="AJ55" s="484">
        <f t="shared" si="5"/>
        <v>0.48162817308385381</v>
      </c>
    </row>
    <row r="56" spans="1:36">
      <c r="A56" s="451" t="s">
        <v>534</v>
      </c>
      <c r="B56" s="33">
        <f>SUM('[1]GDP KP'!AN56:AQ56)</f>
        <v>20.112290486500008</v>
      </c>
      <c r="C56" s="33">
        <f>SUM('[1]GDP KP'!AR56:AU56)</f>
        <v>22.328647676393057</v>
      </c>
      <c r="D56" s="33">
        <f>SUM('[1]GDP KP'!AV56:AY56)</f>
        <v>21.694878872141711</v>
      </c>
      <c r="E56" s="33">
        <f>SUM('[1]GDP KP'!AZ56:BC56)</f>
        <v>22.184794576576618</v>
      </c>
      <c r="F56" s="33">
        <f>SUM('[1]GDP KP'!BD56:BG56)</f>
        <v>22.799689081956132</v>
      </c>
      <c r="G56" s="33">
        <f>SUM('[1]GDP KP'!BH56:BK56)</f>
        <v>23.842958666755983</v>
      </c>
      <c r="H56" s="33">
        <f>SUM('[1]GDP KP'!BL56:BO56)</f>
        <v>24.676244657391607</v>
      </c>
      <c r="I56" s="33">
        <f>SUM('[1]GDP KP'!BP56:BS56)</f>
        <v>25.95536946323525</v>
      </c>
      <c r="J56" s="33" t="e">
        <f>SUM('[1]GDP KP'!BT56:BW56)</f>
        <v>#REF!</v>
      </c>
      <c r="L56" s="451" t="s">
        <v>534</v>
      </c>
      <c r="M56" s="485">
        <f>SUM('[1]GDP KP'!AN56:AO56)</f>
        <v>7.3727454246584125</v>
      </c>
      <c r="N56" s="485">
        <f>SUM('[1]GDP KP'!AP56:AQ56)</f>
        <v>12.739545061841596</v>
      </c>
      <c r="O56" s="485">
        <f>SUM('[1]GDP KP'!AR56:AS56)</f>
        <v>8.6694430892110397</v>
      </c>
      <c r="P56" s="485">
        <f>SUM('[1]GDP KP'!AT56:AU56)</f>
        <v>13.659204587182018</v>
      </c>
      <c r="Q56" s="485">
        <f>SUM('[1]GDP KP'!AV56:AW56)</f>
        <v>8.3254906715976151</v>
      </c>
      <c r="R56" s="485">
        <f>SUM('[1]GDP KP'!BO56:BR56)</f>
        <v>25.418555962651805</v>
      </c>
      <c r="S56" s="485">
        <f>SUM('[1]GDP KP'!AZ56:BA56)</f>
        <v>8.140160200760203</v>
      </c>
      <c r="T56" s="485">
        <f>SUM('[1]GDP KP'!BB56:BC56)</f>
        <v>14.044634375816415</v>
      </c>
      <c r="U56" s="485">
        <f>SUM('[1]GDP KP'!BD56:BE56)</f>
        <v>8.3422858128984565</v>
      </c>
      <c r="V56" s="485">
        <f>SUM('[1]GDP KP'!BF56:BG56)</f>
        <v>14.457403269057671</v>
      </c>
      <c r="W56" s="485">
        <f>SUM('[1]GDP KP'!BH56:BI56)</f>
        <v>8.8072418767253389</v>
      </c>
      <c r="X56" s="485">
        <f>SUM('[1]GDP KP'!BJ56:BK56)</f>
        <v>15.035716790030646</v>
      </c>
      <c r="Y56" s="485">
        <f>SUM('[1]GDP KP'!BL56:BM56)</f>
        <v>9.0707066325473242</v>
      </c>
      <c r="Z56" s="485">
        <f>SUM('[1]GDP KP'!BN56:BO56)</f>
        <v>15.605538024844282</v>
      </c>
      <c r="AA56" s="485">
        <f>SUM('[1]GDP KP'!BP56:BQ56)</f>
        <v>9.2763913124590935</v>
      </c>
      <c r="AB56" s="485">
        <f>SUM('[1]GDP KP'!BR56:BS56)</f>
        <v>16.67897815077616</v>
      </c>
      <c r="AC56" s="485">
        <f>SUM('[1]GDP KP'!BT56:BU56)</f>
        <v>9.5053596696934601</v>
      </c>
      <c r="AD56" s="485" t="e">
        <f>SUM('[1]GDP KP'!BV56:BW56)</f>
        <v>#REF!</v>
      </c>
      <c r="AE56" s="485"/>
      <c r="AF56" s="485"/>
      <c r="AG56" s="485"/>
      <c r="AH56" s="485">
        <f t="shared" si="4"/>
        <v>8.5005581276071869</v>
      </c>
      <c r="AI56" s="485">
        <f t="shared" si="2"/>
        <v>24.455505155382259</v>
      </c>
      <c r="AJ56" s="484">
        <f t="shared" si="5"/>
        <v>0.3475928251572572</v>
      </c>
    </row>
    <row r="57" spans="1:36">
      <c r="A57" s="451" t="s">
        <v>535</v>
      </c>
      <c r="B57" s="33">
        <f>SUM('[1]GDP KP'!AN57:AQ57)</f>
        <v>18.024292780512489</v>
      </c>
      <c r="C57" s="33">
        <f>SUM('[1]GDP KP'!AR57:AU57)</f>
        <v>19.201385255880467</v>
      </c>
      <c r="D57" s="33">
        <f>SUM('[1]GDP KP'!AV57:AY57)</f>
        <v>17.698651896804254</v>
      </c>
      <c r="E57" s="33">
        <f>SUM('[1]GDP KP'!AZ57:BC57)</f>
        <v>17.9205572532566</v>
      </c>
      <c r="F57" s="33">
        <f>SUM('[1]GDP KP'!BD57:BG57)</f>
        <v>18.34848409450122</v>
      </c>
      <c r="G57" s="33">
        <f>SUM('[1]GDP KP'!BH57:BK57)</f>
        <v>19.702812749160643</v>
      </c>
      <c r="H57" s="33">
        <f>SUM('[1]GDP KP'!BL57:BO57)</f>
        <v>20.512645484275108</v>
      </c>
      <c r="I57" s="33">
        <f>SUM('[1]GDP KP'!BP57:BS57)</f>
        <v>21.096055189104746</v>
      </c>
      <c r="J57" s="33" t="e">
        <f>SUM('[1]GDP KP'!BT57:BW57)</f>
        <v>#REF!</v>
      </c>
      <c r="L57" s="451" t="s">
        <v>535</v>
      </c>
      <c r="M57" s="485">
        <f>SUM('[1]GDP KP'!AN57:AO57)</f>
        <v>9.6727279468281715</v>
      </c>
      <c r="N57" s="485">
        <f>SUM('[1]GDP KP'!AP57:AQ57)</f>
        <v>8.3515648336843178</v>
      </c>
      <c r="O57" s="485">
        <f>SUM('[1]GDP KP'!AR57:AS57)</f>
        <v>9.9498698894932929</v>
      </c>
      <c r="P57" s="485">
        <f>SUM('[1]GDP KP'!AT57:AU57)</f>
        <v>9.2515153663871743</v>
      </c>
      <c r="Q57" s="485">
        <f>SUM('[1]GDP KP'!AV57:AW57)</f>
        <v>9.5418653241117877</v>
      </c>
      <c r="R57" s="485">
        <f>SUM('[1]GDP KP'!BO57:BR57)</f>
        <v>20.974791730314351</v>
      </c>
      <c r="S57" s="485">
        <f>SUM('[1]GDP KP'!AZ57:BA57)</f>
        <v>9.3707177936084776</v>
      </c>
      <c r="T57" s="485">
        <f>SUM('[1]GDP KP'!BB57:BC57)</f>
        <v>8.5498394596481209</v>
      </c>
      <c r="U57" s="485">
        <f>SUM('[1]GDP KP'!BD57:BE57)</f>
        <v>9.609917403517299</v>
      </c>
      <c r="V57" s="485">
        <f>SUM('[1]GDP KP'!BF57:BG57)</f>
        <v>8.7385666909839195</v>
      </c>
      <c r="W57" s="485">
        <f>SUM('[1]GDP KP'!BH57:BI57)</f>
        <v>10.1298679723321</v>
      </c>
      <c r="X57" s="485">
        <f>SUM('[1]GDP KP'!BJ57:BK57)</f>
        <v>9.5729447768285407</v>
      </c>
      <c r="Y57" s="485">
        <f>SUM('[1]GDP KP'!BL57:BM57)</f>
        <v>10.504125657295408</v>
      </c>
      <c r="Z57" s="485">
        <f>SUM('[1]GDP KP'!BN57:BO57)</f>
        <v>10.0085198269797</v>
      </c>
      <c r="AA57" s="485">
        <f>SUM('[1]GDP KP'!BP57:BQ57)</f>
        <v>10.845069425566596</v>
      </c>
      <c r="AB57" s="485">
        <f>SUM('[1]GDP KP'!BR57:BS57)</f>
        <v>10.250985763538152</v>
      </c>
      <c r="AC57" s="485">
        <f>SUM('[1]GDP KP'!BT57:BU57)</f>
        <v>11.108255794255994</v>
      </c>
      <c r="AD57" s="485" t="e">
        <f>SUM('[1]GDP KP'!BV57:BW57)</f>
        <v>#REF!</v>
      </c>
      <c r="AE57" s="485"/>
      <c r="AF57" s="485"/>
      <c r="AG57" s="485"/>
      <c r="AH57" s="485">
        <f t="shared" si="4"/>
        <v>9.9530201765941406</v>
      </c>
      <c r="AI57" s="485">
        <f t="shared" si="2"/>
        <v>20.665361232639675</v>
      </c>
      <c r="AJ57" s="484">
        <f t="shared" si="5"/>
        <v>0.48162817308385364</v>
      </c>
    </row>
    <row r="58" spans="1:36">
      <c r="A58" s="451" t="s">
        <v>531</v>
      </c>
      <c r="B58" s="33">
        <f>SUM('[1]GDP KP'!AN58:AQ58)</f>
        <v>0</v>
      </c>
      <c r="C58" s="33">
        <f>SUM('[1]GDP KP'!AR58:AU58)</f>
        <v>0</v>
      </c>
      <c r="D58" s="33">
        <f>SUM('[1]GDP KP'!AV58:AY58)</f>
        <v>0</v>
      </c>
      <c r="E58" s="33">
        <f>SUM('[1]GDP KP'!AZ58:BC58)</f>
        <v>0</v>
      </c>
      <c r="F58" s="33">
        <f>SUM('[1]GDP KP'!BD58:BG58)</f>
        <v>0</v>
      </c>
      <c r="G58" s="33">
        <f>SUM('[1]GDP KP'!BH58:BK58)</f>
        <v>0</v>
      </c>
      <c r="H58" s="33">
        <f>SUM('[1]GDP KP'!BL58:BO58)</f>
        <v>0</v>
      </c>
      <c r="I58" s="33">
        <f>SUM('[1]GDP KP'!BP58:BS58)</f>
        <v>0</v>
      </c>
      <c r="J58" s="33" t="e">
        <f>SUM('[1]GDP KP'!BT58:BW58)</f>
        <v>#REF!</v>
      </c>
      <c r="L58" s="451" t="s">
        <v>531</v>
      </c>
      <c r="M58" s="485">
        <f>SUM('[1]GDP KP'!AN58:AO58)</f>
        <v>0</v>
      </c>
      <c r="N58" s="485">
        <f>SUM('[1]GDP KP'!AP58:AQ58)</f>
        <v>0</v>
      </c>
      <c r="O58" s="485">
        <f>SUM('[1]GDP KP'!AR58:AS58)</f>
        <v>0</v>
      </c>
      <c r="P58" s="485">
        <f>SUM('[1]GDP KP'!AT58:AU58)</f>
        <v>0</v>
      </c>
      <c r="Q58" s="485">
        <f>SUM('[1]GDP KP'!AV58:AW58)</f>
        <v>0</v>
      </c>
      <c r="R58" s="485">
        <f>SUM('[1]GDP KP'!BO58:BR58)</f>
        <v>0</v>
      </c>
      <c r="S58" s="485">
        <f>SUM('[1]GDP KP'!AZ58:BA58)</f>
        <v>0</v>
      </c>
      <c r="T58" s="485">
        <f>SUM('[1]GDP KP'!BB58:BC58)</f>
        <v>0</v>
      </c>
      <c r="U58" s="485">
        <f>SUM('[1]GDP KP'!BD58:BE58)</f>
        <v>0</v>
      </c>
      <c r="V58" s="485">
        <f>SUM('[1]GDP KP'!BF58:BG58)</f>
        <v>0</v>
      </c>
      <c r="W58" s="485">
        <f>SUM('[1]GDP KP'!BH58:BI58)</f>
        <v>0</v>
      </c>
      <c r="X58" s="485">
        <f>SUM('[1]GDP KP'!BJ58:BK58)</f>
        <v>0</v>
      </c>
      <c r="Y58" s="485">
        <f>SUM('[1]GDP KP'!BL58:BM58)</f>
        <v>0</v>
      </c>
      <c r="Z58" s="485">
        <f>SUM('[1]GDP KP'!BN58:BO58)</f>
        <v>0</v>
      </c>
      <c r="AA58" s="485">
        <f>SUM('[1]GDP KP'!BP58:BQ58)</f>
        <v>0</v>
      </c>
      <c r="AB58" s="485">
        <f>SUM('[1]GDP KP'!BR58:BS58)</f>
        <v>0</v>
      </c>
      <c r="AC58" s="485">
        <f>SUM('[1]GDP KP'!BT58:BU58)</f>
        <v>0</v>
      </c>
      <c r="AD58" s="485" t="e">
        <f>SUM('[1]GDP KP'!BV58:BW58)</f>
        <v>#REF!</v>
      </c>
      <c r="AE58" s="485"/>
      <c r="AF58" s="485"/>
      <c r="AG58" s="485"/>
      <c r="AH58" s="485">
        <f t="shared" si="4"/>
        <v>0</v>
      </c>
      <c r="AI58" s="485"/>
      <c r="AJ58" s="484"/>
    </row>
    <row r="59" spans="1:36">
      <c r="A59" s="454" t="s">
        <v>536</v>
      </c>
      <c r="B59" s="459">
        <f>SUM('[1]GDP KP'!AN59:AQ59)</f>
        <v>22.077398415370105</v>
      </c>
      <c r="C59" s="459">
        <f>SUM('[1]GDP KP'!AR59:AU59)</f>
        <v>24.18634603293404</v>
      </c>
      <c r="D59" s="459">
        <f>SUM('[1]GDP KP'!AV59:AY59)</f>
        <v>33.741690783951185</v>
      </c>
      <c r="E59" s="459">
        <f>SUM('[1]GDP KP'!AZ59:BC59)</f>
        <v>53.900244031456253</v>
      </c>
      <c r="F59" s="459">
        <f>SUM('[1]GDP KP'!BD59:BG59)</f>
        <v>63.750152066446844</v>
      </c>
      <c r="G59" s="459">
        <f>SUM('[1]GDP KP'!BH59:BK59)</f>
        <v>61.135269687918594</v>
      </c>
      <c r="H59" s="459">
        <f>SUM('[1]GDP KP'!BL59:BO59)</f>
        <v>70.673573443365854</v>
      </c>
      <c r="I59" s="459">
        <f>SUM('[1]GDP KP'!BP59:BS59)</f>
        <v>85.422050552018987</v>
      </c>
      <c r="J59" s="459" t="e">
        <f>SUM('[1]GDP KP'!BT59:BW59)</f>
        <v>#REF!</v>
      </c>
      <c r="L59" s="454" t="s">
        <v>536</v>
      </c>
      <c r="M59" s="459">
        <f>SUM('[1]GDP KP'!AN59:AO59)</f>
        <v>11.028027853753713</v>
      </c>
      <c r="N59" s="459">
        <f>SUM('[1]GDP KP'!AP59:AQ59)</f>
        <v>11.049370561616396</v>
      </c>
      <c r="O59" s="459">
        <f>SUM('[1]GDP KP'!AR59:AS59)</f>
        <v>11.978866404909908</v>
      </c>
      <c r="P59" s="459">
        <f>SUM('[1]GDP KP'!AT59:AU59)</f>
        <v>12.207479628024132</v>
      </c>
      <c r="Q59" s="459">
        <f>SUM('[1]GDP KP'!AV59:AW59)</f>
        <v>17.307748013552377</v>
      </c>
      <c r="R59" s="459">
        <f>SUM('[1]GDP KP'!BO59:BR59)</f>
        <v>81.449606884579453</v>
      </c>
      <c r="S59" s="459">
        <f>SUM('[1]GDP KP'!AZ59:BA59)</f>
        <v>25.743547040610792</v>
      </c>
      <c r="T59" s="459">
        <f>SUM('[1]GDP KP'!BB59:BC59)</f>
        <v>28.156696990845461</v>
      </c>
      <c r="U59" s="459">
        <f>SUM('[1]GDP KP'!BD59:BE59)</f>
        <v>28.415296636739118</v>
      </c>
      <c r="V59" s="459">
        <f>SUM('[1]GDP KP'!BF59:BG59)</f>
        <v>35.33485542970773</v>
      </c>
      <c r="W59" s="459">
        <f>SUM('[1]GDP KP'!BH59:BI59)</f>
        <v>28.028744022037813</v>
      </c>
      <c r="X59" s="459">
        <f>SUM('[1]GDP KP'!BJ59:BK59)</f>
        <v>33.106525665880781</v>
      </c>
      <c r="Y59" s="459">
        <f>SUM('[1]GDP KP'!BL59:BM59)</f>
        <v>32.639024480147569</v>
      </c>
      <c r="Z59" s="459">
        <f>SUM('[1]GDP KP'!BN59:BO59)</f>
        <v>38.034548963218292</v>
      </c>
      <c r="AA59" s="459">
        <f>SUM('[1]GDP KP'!BP59:BQ59)</f>
        <v>39.113695084553164</v>
      </c>
      <c r="AB59" s="459">
        <f>SUM('[1]GDP KP'!BR59:BS59)</f>
        <v>46.308355467465816</v>
      </c>
      <c r="AC59" s="459">
        <f>SUM('[1]GDP KP'!BT59:BU59)</f>
        <v>48.047765246493512</v>
      </c>
      <c r="AD59" s="459" t="e">
        <f>SUM('[1]GDP KP'!BV59:BW59)</f>
        <v>#REF!</v>
      </c>
      <c r="AE59" s="459"/>
      <c r="AF59" s="459"/>
      <c r="AG59" s="459"/>
      <c r="AH59" s="459">
        <f t="shared" si="4"/>
        <v>24.281868692038056</v>
      </c>
      <c r="AI59" s="459">
        <f t="shared" si="2"/>
        <v>59.987798640955319</v>
      </c>
      <c r="AJ59" s="479">
        <f t="shared" si="5"/>
        <v>0.40478012599482449</v>
      </c>
    </row>
    <row r="60" spans="1:36">
      <c r="A60" s="454" t="s">
        <v>537</v>
      </c>
      <c r="B60" s="459">
        <f>SUM('[1]GDP KP'!AN60:AQ60)</f>
        <v>25.509380690385051</v>
      </c>
      <c r="C60" s="459">
        <f>SUM('[1]GDP KP'!AR60:AU60)</f>
        <v>28.219958439164728</v>
      </c>
      <c r="D60" s="459">
        <f>SUM('[1]GDP KP'!AV60:AY60)</f>
        <v>26.004641142146191</v>
      </c>
      <c r="E60" s="459">
        <f>SUM('[1]GDP KP'!AZ60:BC60)</f>
        <v>29.306725690083567</v>
      </c>
      <c r="F60" s="459">
        <f>SUM('[1]GDP KP'!BD60:BG60)</f>
        <v>37.248092266485429</v>
      </c>
      <c r="G60" s="459">
        <f>SUM('[1]GDP KP'!BH60:BK60)</f>
        <v>33.84127501141927</v>
      </c>
      <c r="H60" s="459">
        <f>SUM('[1]GDP KP'!BL60:BO60)</f>
        <v>40.176817550926202</v>
      </c>
      <c r="I60" s="459">
        <f>SUM('[1]GDP KP'!BP60:BS60)</f>
        <v>46.549378754471419</v>
      </c>
      <c r="J60" s="459" t="e">
        <f>SUM('[1]GDP KP'!BT60:BW60)</f>
        <v>#REF!</v>
      </c>
      <c r="L60" s="454" t="s">
        <v>537</v>
      </c>
      <c r="M60" s="459">
        <f>SUM('[1]GDP KP'!AN60:AO60)</f>
        <v>11.997090691282295</v>
      </c>
      <c r="N60" s="459">
        <f>SUM('[1]GDP KP'!AP60:AQ60)</f>
        <v>13.512289999102753</v>
      </c>
      <c r="O60" s="459">
        <f>SUM('[1]GDP KP'!AR60:AS60)</f>
        <v>13.445116038830166</v>
      </c>
      <c r="P60" s="459">
        <f>SUM('[1]GDP KP'!AT60:AU60)</f>
        <v>14.774842400334565</v>
      </c>
      <c r="Q60" s="459">
        <f>SUM('[1]GDP KP'!AV60:AW60)</f>
        <v>12.707937484808179</v>
      </c>
      <c r="R60" s="459">
        <f>SUM('[1]GDP KP'!BO60:BR60)</f>
        <v>43.722534530823197</v>
      </c>
      <c r="S60" s="459">
        <f>SUM('[1]GDP KP'!AZ60:BA60)</f>
        <v>13.809102808692829</v>
      </c>
      <c r="T60" s="459">
        <f>SUM('[1]GDP KP'!BB60:BC60)</f>
        <v>15.497622881390738</v>
      </c>
      <c r="U60" s="459">
        <f>SUM('[1]GDP KP'!BD60:BE60)</f>
        <v>18.738036559394931</v>
      </c>
      <c r="V60" s="459">
        <f>SUM('[1]GDP KP'!BF60:BG60)</f>
        <v>18.510055707090501</v>
      </c>
      <c r="W60" s="459">
        <f>SUM('[1]GDP KP'!BH60:BI60)</f>
        <v>15.025516748365069</v>
      </c>
      <c r="X60" s="459">
        <f>SUM('[1]GDP KP'!BJ60:BK60)</f>
        <v>18.815758263054203</v>
      </c>
      <c r="Y60" s="459">
        <f>SUM('[1]GDP KP'!BL60:BM60)</f>
        <v>18.809609841008751</v>
      </c>
      <c r="Z60" s="459">
        <f>SUM('[1]GDP KP'!BN60:BO60)</f>
        <v>21.367207709917455</v>
      </c>
      <c r="AA60" s="459">
        <f>SUM('[1]GDP KP'!BP60:BQ60)</f>
        <v>21.51367124574984</v>
      </c>
      <c r="AB60" s="459">
        <f>SUM('[1]GDP KP'!BR60:BS60)</f>
        <v>25.035707508721583</v>
      </c>
      <c r="AC60" s="459">
        <f>SUM('[1]GDP KP'!BT60:BU60)</f>
        <v>26.914275517881578</v>
      </c>
      <c r="AD60" s="459" t="e">
        <f>SUM('[1]GDP KP'!BV60:BW60)</f>
        <v>#REF!</v>
      </c>
      <c r="AE60" s="459"/>
      <c r="AF60" s="459"/>
      <c r="AG60" s="459"/>
      <c r="AH60" s="459">
        <f t="shared" si="4"/>
        <v>15.755760177266506</v>
      </c>
      <c r="AI60" s="459">
        <f t="shared" si="2"/>
        <v>37.16026255232088</v>
      </c>
      <c r="AJ60" s="479">
        <f t="shared" si="5"/>
        <v>0.4239948562011025</v>
      </c>
    </row>
    <row r="61" spans="1:36">
      <c r="A61" s="454" t="s">
        <v>538</v>
      </c>
      <c r="B61" s="459">
        <f>SUM('[1]GDP KP'!AN61:AQ61)</f>
        <v>24.332584750607911</v>
      </c>
      <c r="C61" s="459">
        <f>SUM('[1]GDP KP'!AR61:AU61)</f>
        <v>25.558189894943922</v>
      </c>
      <c r="D61" s="459">
        <f>SUM('[1]GDP KP'!AV61:AY61)</f>
        <v>33.936261812464906</v>
      </c>
      <c r="E61" s="459">
        <f>SUM('[1]GDP KP'!AZ61:BC61)</f>
        <v>40.298867336503221</v>
      </c>
      <c r="F61" s="459">
        <f>SUM('[1]GDP KP'!BD61:BG61)</f>
        <v>52.914462749271586</v>
      </c>
      <c r="G61" s="459">
        <f>SUM('[1]GDP KP'!BH61:BK61)</f>
        <v>53.620590926661691</v>
      </c>
      <c r="H61" s="459">
        <f>SUM('[1]GDP KP'!BL61:BO61)</f>
        <v>65.820564689437816</v>
      </c>
      <c r="I61" s="459">
        <f>SUM('[1]GDP KP'!BP61:BS61)</f>
        <v>75.293051626397613</v>
      </c>
      <c r="J61" s="459" t="e">
        <f>SUM('[1]GDP KP'!BT61:BW61)</f>
        <v>#REF!</v>
      </c>
      <c r="L61" s="454" t="s">
        <v>538</v>
      </c>
      <c r="M61" s="459">
        <f>SUM('[1]GDP KP'!AN61:AO61)</f>
        <v>11.94516021384322</v>
      </c>
      <c r="N61" s="459">
        <f>SUM('[1]GDP KP'!AP61:AQ61)</f>
        <v>12.387424536764692</v>
      </c>
      <c r="O61" s="459">
        <f>SUM('[1]GDP KP'!AR61:AS61)</f>
        <v>11.897685488287966</v>
      </c>
      <c r="P61" s="459">
        <f>SUM('[1]GDP KP'!AT61:AU61)</f>
        <v>13.660504406655958</v>
      </c>
      <c r="Q61" s="459">
        <f>SUM('[1]GDP KP'!AV61:AW61)</f>
        <v>16.141967904074846</v>
      </c>
      <c r="R61" s="459">
        <f>SUM('[1]GDP KP'!BO61:BR61)</f>
        <v>73.068920939359145</v>
      </c>
      <c r="S61" s="459">
        <f>SUM('[1]GDP KP'!AZ61:BA61)</f>
        <v>19.219693825983875</v>
      </c>
      <c r="T61" s="459">
        <f>SUM('[1]GDP KP'!BB61:BC61)</f>
        <v>21.07917351051935</v>
      </c>
      <c r="U61" s="459">
        <f>SUM('[1]GDP KP'!BD61:BE61)</f>
        <v>25.852589581004782</v>
      </c>
      <c r="V61" s="459">
        <f>SUM('[1]GDP KP'!BF61:BG61)</f>
        <v>27.061873168266807</v>
      </c>
      <c r="W61" s="459">
        <f>SUM('[1]GDP KP'!BH61:BI61)</f>
        <v>25.121668719121111</v>
      </c>
      <c r="X61" s="459">
        <f>SUM('[1]GDP KP'!BJ61:BK61)</f>
        <v>28.498922207540588</v>
      </c>
      <c r="Y61" s="459">
        <f>SUM('[1]GDP KP'!BL61:BM61)</f>
        <v>32.558660208928828</v>
      </c>
      <c r="Z61" s="459">
        <f>SUM('[1]GDP KP'!BN61:BO61)</f>
        <v>33.261904480508989</v>
      </c>
      <c r="AA61" s="459">
        <f>SUM('[1]GDP KP'!BP61:BQ61)</f>
        <v>36.580343937255506</v>
      </c>
      <c r="AB61" s="459">
        <f>SUM('[1]GDP KP'!BR61:BS61)</f>
        <v>38.7127076891421</v>
      </c>
      <c r="AC61" s="459">
        <f>SUM('[1]GDP KP'!BT61:BU61)</f>
        <v>45.708111867768949</v>
      </c>
      <c r="AD61" s="459" t="e">
        <f>SUM('[1]GDP KP'!BV61:BW61)</f>
        <v>#REF!</v>
      </c>
      <c r="AE61" s="459"/>
      <c r="AF61" s="459"/>
      <c r="AG61" s="459"/>
      <c r="AH61" s="459">
        <f t="shared" si="4"/>
        <v>22.414721234812518</v>
      </c>
      <c r="AI61" s="459">
        <f t="shared" si="2"/>
        <v>53.381150102157221</v>
      </c>
      <c r="AJ61" s="479">
        <f t="shared" si="5"/>
        <v>0.41989955615262592</v>
      </c>
    </row>
    <row r="62" spans="1:36">
      <c r="A62" s="451" t="s">
        <v>539</v>
      </c>
      <c r="B62" s="33">
        <f>SUM('[1]GDP KP'!AN62:AQ62)</f>
        <v>6.0242834297530727</v>
      </c>
      <c r="C62" s="33">
        <f>SUM('[1]GDP KP'!AR62:AU62)</f>
        <v>5.9109142153772236</v>
      </c>
      <c r="D62" s="33">
        <f>SUM('[1]GDP KP'!AV62:AY62)</f>
        <v>7.6517364763129523</v>
      </c>
      <c r="E62" s="33">
        <f>SUM('[1]GDP KP'!AZ62:BC62)</f>
        <v>6.1503345432480474</v>
      </c>
      <c r="F62" s="33">
        <f>SUM('[1]GDP KP'!BD62:BG62)</f>
        <v>8.1720663619150749</v>
      </c>
      <c r="G62" s="33">
        <f>SUM('[1]GDP KP'!BH62:BK62)</f>
        <v>8.6684080060727613</v>
      </c>
      <c r="H62" s="33">
        <f>SUM('[1]GDP KP'!BL62:BO62)</f>
        <v>8.5525136732869456</v>
      </c>
      <c r="I62" s="33">
        <f>SUM('[1]GDP KP'!BP62:BS62)</f>
        <v>6.0473840095180327</v>
      </c>
      <c r="J62" s="33" t="e">
        <f>SUM('[1]GDP KP'!BT62:BW62)</f>
        <v>#REF!</v>
      </c>
      <c r="L62" s="457" t="s">
        <v>539</v>
      </c>
      <c r="M62" s="461">
        <f>SUM('[1]GDP KP'!AN62:AO62)</f>
        <v>3.0988870240253359</v>
      </c>
      <c r="N62" s="461">
        <f>SUM('[1]GDP KP'!AP62:AQ62)</f>
        <v>2.925396405727736</v>
      </c>
      <c r="O62" s="461">
        <f>SUM('[1]GDP KP'!AR62:AS62)</f>
        <v>2.6072898575665402</v>
      </c>
      <c r="P62" s="461">
        <f>SUM('[1]GDP KP'!AT62:AU62)</f>
        <v>3.3036243578106834</v>
      </c>
      <c r="Q62" s="461">
        <f>SUM('[1]GDP KP'!AV62:AW62)</f>
        <v>3.8123604300981473</v>
      </c>
      <c r="R62" s="461">
        <f>SUM('[1]GDP KP'!BO62:BR62)</f>
        <v>6.9835208863206635</v>
      </c>
      <c r="S62" s="461">
        <f>SUM('[1]GDP KP'!AZ62:BA62)</f>
        <v>3.1467368926170751</v>
      </c>
      <c r="T62" s="461">
        <f>SUM('[1]GDP KP'!BB62:BC62)</f>
        <v>3.0035976506309727</v>
      </c>
      <c r="U62" s="461">
        <f>SUM('[1]GDP KP'!BD62:BE62)</f>
        <v>3.7494400549784248</v>
      </c>
      <c r="V62" s="461">
        <f>SUM('[1]GDP KP'!BF62:BG62)</f>
        <v>4.4226263069366496</v>
      </c>
      <c r="W62" s="461">
        <f>SUM('[1]GDP KP'!BH62:BI62)</f>
        <v>4.3949663367693086</v>
      </c>
      <c r="X62" s="461">
        <f>SUM('[1]GDP KP'!BJ62:BK62)</f>
        <v>4.2734416693034518</v>
      </c>
      <c r="Y62" s="461">
        <f>SUM('[1]GDP KP'!BL62:BM62)</f>
        <v>4.2581927076210047</v>
      </c>
      <c r="Z62" s="461">
        <f>SUM('[1]GDP KP'!BN62:BO62)</f>
        <v>4.2943209656659409</v>
      </c>
      <c r="AA62" s="461">
        <f>SUM('[1]GDP KP'!BP62:BQ62)</f>
        <v>3.4550465234492762</v>
      </c>
      <c r="AB62" s="461">
        <f>SUM('[1]GDP KP'!BR62:BS62)</f>
        <v>2.5923374860687565</v>
      </c>
      <c r="AC62" s="461">
        <f>SUM('[1]GDP KP'!BT62:BU62)</f>
        <v>2.7223127847849953</v>
      </c>
      <c r="AD62" s="461" t="e">
        <f>SUM('[1]GDP KP'!BV62:BW62)</f>
        <v>#REF!</v>
      </c>
      <c r="AH62" s="213">
        <f t="shared" si="4"/>
        <v>3.5653649783906394</v>
      </c>
      <c r="AI62" s="213">
        <f t="shared" si="2"/>
        <v>7.5402231944487452</v>
      </c>
      <c r="AJ62" s="17">
        <f t="shared" si="5"/>
        <v>0.4728460798104131</v>
      </c>
    </row>
    <row r="63" spans="1:36">
      <c r="A63" s="451" t="s">
        <v>540</v>
      </c>
      <c r="B63" s="33">
        <f>SUM('[1]GDP KP'!AN63:AQ63)</f>
        <v>3.4796037676463412</v>
      </c>
      <c r="C63" s="33">
        <f>SUM('[1]GDP KP'!AR63:AU63)</f>
        <v>4.0071099802794956</v>
      </c>
      <c r="D63" s="33">
        <f>SUM('[1]GDP KP'!AV63:AY63)</f>
        <v>4.8980805184126277</v>
      </c>
      <c r="E63" s="33">
        <f>SUM('[1]GDP KP'!AZ63:BC63)</f>
        <v>6.3959489412360018</v>
      </c>
      <c r="F63" s="33">
        <f>SUM('[1]GDP KP'!BD63:BG63)</f>
        <v>7.5915484472536852</v>
      </c>
      <c r="G63" s="33">
        <f>SUM('[1]GDP KP'!BH63:BK63)</f>
        <v>9.5685250220490445</v>
      </c>
      <c r="H63" s="33">
        <f>SUM('[1]GDP KP'!BL63:BO63)</f>
        <v>12.739068560850884</v>
      </c>
      <c r="I63" s="33">
        <f>SUM('[1]GDP KP'!BP63:BS63)</f>
        <v>13.764308708138946</v>
      </c>
      <c r="J63" s="33" t="e">
        <f>SUM('[1]GDP KP'!BT63:BW63)</f>
        <v>#REF!</v>
      </c>
      <c r="L63" s="451" t="s">
        <v>540</v>
      </c>
      <c r="M63" s="462">
        <f>SUM('[1]GDP KP'!AN63:AO63)</f>
        <v>1.6293066170509201</v>
      </c>
      <c r="N63" s="462">
        <f>SUM('[1]GDP KP'!AP63:AQ63)</f>
        <v>1.8502971505954209</v>
      </c>
      <c r="O63" s="462">
        <f>SUM('[1]GDP KP'!AR63:AS63)</f>
        <v>1.9061739525720531</v>
      </c>
      <c r="P63" s="462">
        <f>SUM('[1]GDP KP'!AT63:AU63)</f>
        <v>2.1009360277074425</v>
      </c>
      <c r="Q63" s="462">
        <f>SUM('[1]GDP KP'!AV63:AW63)</f>
        <v>2.2096837896939707</v>
      </c>
      <c r="R63" s="462">
        <f>SUM('[1]GDP KP'!BO63:BR63)</f>
        <v>13.767507406509843</v>
      </c>
      <c r="S63" s="462">
        <f>SUM('[1]GDP KP'!AZ63:BA63)</f>
        <v>2.9788330642375587</v>
      </c>
      <c r="T63" s="462">
        <f>SUM('[1]GDP KP'!BB63:BC63)</f>
        <v>3.4171158769984435</v>
      </c>
      <c r="U63" s="462">
        <f>SUM('[1]GDP KP'!BD63:BE63)</f>
        <v>3.771841712101387</v>
      </c>
      <c r="V63" s="462">
        <f>SUM('[1]GDP KP'!BF63:BG63)</f>
        <v>3.8197067351522982</v>
      </c>
      <c r="W63" s="462">
        <f>SUM('[1]GDP KP'!BH63:BI63)</f>
        <v>3.248572114337664</v>
      </c>
      <c r="X63" s="462">
        <f>SUM('[1]GDP KP'!BJ63:BK63)</f>
        <v>6.3199529077113796</v>
      </c>
      <c r="Y63" s="462">
        <f>SUM('[1]GDP KP'!BL63:BM63)</f>
        <v>6.0096488586694488</v>
      </c>
      <c r="Z63" s="462">
        <f>SUM('[1]GDP KP'!BN63:BO63)</f>
        <v>6.7294197021814348</v>
      </c>
      <c r="AA63" s="462">
        <f>SUM('[1]GDP KP'!BP63:BQ63)</f>
        <v>6.6930172892359039</v>
      </c>
      <c r="AB63" s="462">
        <f>SUM('[1]GDP KP'!BR63:BS63)</f>
        <v>7.0712914189030416</v>
      </c>
      <c r="AC63" s="462">
        <f>SUM('[1]GDP KP'!BT63:BU63)</f>
        <v>7.0456902183051451</v>
      </c>
      <c r="AD63" s="462" t="e">
        <f>SUM('[1]GDP KP'!BV63:BW63)</f>
        <v>#REF!</v>
      </c>
      <c r="AH63" s="213">
        <f t="shared" si="4"/>
        <v>3.5558846747373631</v>
      </c>
      <c r="AI63" s="213">
        <f t="shared" si="2"/>
        <v>9.1904130779572757</v>
      </c>
      <c r="AJ63" s="17">
        <f t="shared" si="5"/>
        <v>0.38691238843942349</v>
      </c>
    </row>
    <row r="64" spans="1:36">
      <c r="A64" s="451" t="s">
        <v>541</v>
      </c>
      <c r="B64" s="33">
        <f>SUM('[1]GDP KP'!AN64:AQ64)</f>
        <v>2.3513028552920325E-3</v>
      </c>
      <c r="C64" s="33">
        <f>SUM('[1]GDP KP'!AR64:AU64)</f>
        <v>3.0541231108491058E-2</v>
      </c>
      <c r="D64" s="33">
        <f>SUM('[1]GDP KP'!AV64:AY64)</f>
        <v>2.0014535722981709E-2</v>
      </c>
      <c r="E64" s="33">
        <f>SUM('[1]GDP KP'!AZ64:BC64)</f>
        <v>1.9923950700830042E-3</v>
      </c>
      <c r="F64" s="33">
        <f>SUM('[1]GDP KP'!BD64:BG64)</f>
        <v>1.6018852067434357</v>
      </c>
      <c r="G64" s="33">
        <f>SUM('[1]GDP KP'!BH64:BK64)</f>
        <v>0.88013959690272936</v>
      </c>
      <c r="H64" s="33">
        <f>SUM('[1]GDP KP'!BL64:BO64)</f>
        <v>1.323398676387971</v>
      </c>
      <c r="I64" s="33">
        <f>SUM('[1]GDP KP'!BP64:BS64)</f>
        <v>2.4330192940196147</v>
      </c>
      <c r="J64" s="33" t="e">
        <f>SUM('[1]GDP KP'!BT64:BW64)</f>
        <v>#REF!</v>
      </c>
      <c r="L64" s="451" t="s">
        <v>541</v>
      </c>
      <c r="M64" s="462">
        <f>SUM('[1]GDP KP'!AN64:AO64)</f>
        <v>7.1594224869778839E-4</v>
      </c>
      <c r="N64" s="462">
        <f>SUM('[1]GDP KP'!AP64:AQ64)</f>
        <v>1.635360606594244E-3</v>
      </c>
      <c r="O64" s="462">
        <f>SUM('[1]GDP KP'!AR64:AS64)</f>
        <v>9.4394766678469614E-4</v>
      </c>
      <c r="P64" s="462">
        <f>SUM('[1]GDP KP'!AT64:AU64)</f>
        <v>2.9597283441706364E-2</v>
      </c>
      <c r="Q64" s="462">
        <f>SUM('[1]GDP KP'!AV64:AW64)</f>
        <v>1.8789291193117844E-2</v>
      </c>
      <c r="R64" s="462">
        <f>SUM('[1]GDP KP'!BO64:BR64)</f>
        <v>2.3040802015421651</v>
      </c>
      <c r="S64" s="462">
        <f>SUM('[1]GDP KP'!AZ64:BA64)</f>
        <v>6.4698361343190527E-4</v>
      </c>
      <c r="T64" s="462">
        <f>SUM('[1]GDP KP'!BB64:BC64)</f>
        <v>1.345411456651099E-3</v>
      </c>
      <c r="U64" s="462">
        <f>SUM('[1]GDP KP'!BD64:BE64)</f>
        <v>0.65136498087024064</v>
      </c>
      <c r="V64" s="462">
        <f>SUM('[1]GDP KP'!BF64:BG64)</f>
        <v>0.95052022587319507</v>
      </c>
      <c r="W64" s="462">
        <f>SUM('[1]GDP KP'!BH64:BI64)</f>
        <v>0.51373558736494662</v>
      </c>
      <c r="X64" s="462">
        <f>SUM('[1]GDP KP'!BJ64:BK64)</f>
        <v>0.36640400953778279</v>
      </c>
      <c r="Y64" s="462">
        <f>SUM('[1]GDP KP'!BL64:BM64)</f>
        <v>0.45309065851393232</v>
      </c>
      <c r="Z64" s="462">
        <f>SUM('[1]GDP KP'!BN64:BO64)</f>
        <v>0.87030801787403878</v>
      </c>
      <c r="AA64" s="462">
        <f>SUM('[1]GDP KP'!BP64:BQ64)</f>
        <v>1.0436281721287215</v>
      </c>
      <c r="AB64" s="462">
        <f>SUM('[1]GDP KP'!BR64:BS64)</f>
        <v>1.3893911218908932</v>
      </c>
      <c r="AC64" s="462">
        <f>SUM('[1]GDP KP'!BT64:BU64)</f>
        <v>1.5417437126178557</v>
      </c>
      <c r="AD64" s="462" t="e">
        <f>SUM('[1]GDP KP'!BV64:BW64)</f>
        <v>#REF!</v>
      </c>
      <c r="AH64" s="213">
        <f t="shared" si="4"/>
        <v>0.33536444544998417</v>
      </c>
      <c r="AI64" s="213">
        <f t="shared" si="2"/>
        <v>1.0745246494778624</v>
      </c>
      <c r="AJ64" s="17">
        <f t="shared" si="5"/>
        <v>0.31210493459870453</v>
      </c>
    </row>
    <row r="65" spans="1:36">
      <c r="A65" s="451" t="s">
        <v>542</v>
      </c>
      <c r="B65" s="33">
        <f>SUM('[1]GDP KP'!AN65:AQ65)</f>
        <v>2.4630423457761039</v>
      </c>
      <c r="C65" s="33">
        <f>SUM('[1]GDP KP'!AR65:AU65)</f>
        <v>2.949146887952653</v>
      </c>
      <c r="D65" s="33">
        <f>SUM('[1]GDP KP'!AV65:AY65)</f>
        <v>3.5851855805409381</v>
      </c>
      <c r="E65" s="33">
        <f>SUM('[1]GDP KP'!AZ65:BC65)</f>
        <v>4.3132299006021455</v>
      </c>
      <c r="F65" s="33">
        <f>SUM('[1]GDP KP'!BD65:BG65)</f>
        <v>5.5758716721762944</v>
      </c>
      <c r="G65" s="33">
        <f>SUM('[1]GDP KP'!BH65:BK65)</f>
        <v>6.3879912490400361</v>
      </c>
      <c r="H65" s="33">
        <f>SUM('[1]GDP KP'!BL65:BO65)</f>
        <v>7.9085204754886593</v>
      </c>
      <c r="I65" s="33">
        <f>SUM('[1]GDP KP'!BP65:BS65)</f>
        <v>8.8820146248590888</v>
      </c>
      <c r="J65" s="33" t="e">
        <f>SUM('[1]GDP KP'!BT65:BW65)</f>
        <v>#REF!</v>
      </c>
      <c r="L65" s="451" t="s">
        <v>542</v>
      </c>
      <c r="M65" s="462">
        <f>SUM('[1]GDP KP'!AN65:AO65)</f>
        <v>0.95787469610774589</v>
      </c>
      <c r="N65" s="462">
        <f>SUM('[1]GDP KP'!AP65:AQ65)</f>
        <v>1.5051676496683579</v>
      </c>
      <c r="O65" s="462">
        <f>SUM('[1]GDP KP'!AR65:AS65)</f>
        <v>1.3005472719855997</v>
      </c>
      <c r="P65" s="462">
        <f>SUM('[1]GDP KP'!AT65:AU65)</f>
        <v>1.6485996159670533</v>
      </c>
      <c r="Q65" s="462">
        <f>SUM('[1]GDP KP'!AV65:AW65)</f>
        <v>1.8739262057931365</v>
      </c>
      <c r="R65" s="462">
        <f>SUM('[1]GDP KP'!BO65:BR65)</f>
        <v>8.8956713594394827</v>
      </c>
      <c r="S65" s="462">
        <f>SUM('[1]GDP KP'!AZ65:BA65)</f>
        <v>2.1386960714916006</v>
      </c>
      <c r="T65" s="462">
        <f>SUM('[1]GDP KP'!BB65:BC65)</f>
        <v>2.1745338291105454</v>
      </c>
      <c r="U65" s="462">
        <f>SUM('[1]GDP KP'!BD65:BE65)</f>
        <v>2.5994386659654092</v>
      </c>
      <c r="V65" s="462">
        <f>SUM('[1]GDP KP'!BF65:BG65)</f>
        <v>2.9764330062108852</v>
      </c>
      <c r="W65" s="462">
        <f>SUM('[1]GDP KP'!BH65:BI65)</f>
        <v>2.7730804146972137</v>
      </c>
      <c r="X65" s="462">
        <f>SUM('[1]GDP KP'!BJ65:BK65)</f>
        <v>3.6149108343428225</v>
      </c>
      <c r="Y65" s="462">
        <f>SUM('[1]GDP KP'!BL65:BM65)</f>
        <v>3.8319293387298909</v>
      </c>
      <c r="Z65" s="462">
        <f>SUM('[1]GDP KP'!BN65:BO65)</f>
        <v>4.0765911367587684</v>
      </c>
      <c r="AA65" s="462">
        <f>SUM('[1]GDP KP'!BP65:BQ65)</f>
        <v>4.5154084845384457</v>
      </c>
      <c r="AB65" s="462">
        <f>SUM('[1]GDP KP'!BR65:BS65)</f>
        <v>4.366606140320644</v>
      </c>
      <c r="AC65" s="462">
        <f>SUM('[1]GDP KP'!BT65:BU65)</f>
        <v>6.0893263159053541</v>
      </c>
      <c r="AD65" s="462" t="e">
        <f>SUM('[1]GDP KP'!BV65:BW65)</f>
        <v>#REF!</v>
      </c>
      <c r="AH65" s="213">
        <f t="shared" si="4"/>
        <v>2.4988626436636303</v>
      </c>
      <c r="AI65" s="213">
        <f t="shared" si="2"/>
        <v>6.15617684014095</v>
      </c>
      <c r="AJ65" s="17">
        <f t="shared" si="5"/>
        <v>0.40591144610563479</v>
      </c>
    </row>
    <row r="66" spans="1:36">
      <c r="A66" s="451" t="s">
        <v>543</v>
      </c>
      <c r="B66" s="33">
        <f>SUM('[1]GDP KP'!AN66:AQ66)</f>
        <v>4.0475673062381627</v>
      </c>
      <c r="C66" s="33">
        <f>SUM('[1]GDP KP'!AR66:AU66)</f>
        <v>5.6389389567177792</v>
      </c>
      <c r="D66" s="33">
        <f>SUM('[1]GDP KP'!AV66:AY66)</f>
        <v>8.8275605306247886</v>
      </c>
      <c r="E66" s="33">
        <f>SUM('[1]GDP KP'!AZ66:BC66)</f>
        <v>12.637946167179949</v>
      </c>
      <c r="F66" s="33">
        <f>SUM('[1]GDP KP'!BD66:BG66)</f>
        <v>15.669361318577758</v>
      </c>
      <c r="G66" s="33">
        <f>SUM('[1]GDP KP'!BH66:BK66)</f>
        <v>10.489814106629821</v>
      </c>
      <c r="H66" s="33">
        <f>SUM('[1]GDP KP'!BL66:BO66)</f>
        <v>13.467631978223508</v>
      </c>
      <c r="I66" s="33">
        <f>SUM('[1]GDP KP'!BP66:BS66)</f>
        <v>14.924056485325009</v>
      </c>
      <c r="J66" s="33" t="e">
        <f>SUM('[1]GDP KP'!BT66:BW66)</f>
        <v>#REF!</v>
      </c>
      <c r="L66" s="451" t="s">
        <v>543</v>
      </c>
      <c r="M66" s="462">
        <f>SUM('[1]GDP KP'!AN66:AO66)</f>
        <v>2.0457886533945464</v>
      </c>
      <c r="N66" s="462">
        <f>SUM('[1]GDP KP'!AP66:AQ66)</f>
        <v>2.0017786528436159</v>
      </c>
      <c r="O66" s="462">
        <f>SUM('[1]GDP KP'!AR66:AS66)</f>
        <v>2.7310325962370392</v>
      </c>
      <c r="P66" s="462">
        <f>SUM('[1]GDP KP'!AT66:AU66)</f>
        <v>2.9079063604807405</v>
      </c>
      <c r="Q66" s="462">
        <f>SUM('[1]GDP KP'!AV66:AW66)</f>
        <v>3.8838109752482612</v>
      </c>
      <c r="R66" s="462">
        <f>SUM('[1]GDP KP'!BO66:BR66)</f>
        <v>14.526282983798874</v>
      </c>
      <c r="S66" s="462">
        <f>SUM('[1]GDP KP'!AZ66:BA66)</f>
        <v>5.7215322009838374</v>
      </c>
      <c r="T66" s="462">
        <f>SUM('[1]GDP KP'!BB66:BC66)</f>
        <v>6.916413966196111</v>
      </c>
      <c r="U66" s="462">
        <f>SUM('[1]GDP KP'!BD66:BE66)</f>
        <v>8.4170537220421586</v>
      </c>
      <c r="V66" s="462">
        <f>SUM('[1]GDP KP'!BF66:BG66)</f>
        <v>7.2523075965355996</v>
      </c>
      <c r="W66" s="462">
        <f>SUM('[1]GDP KP'!BH66:BI66)</f>
        <v>5.5137384937812719</v>
      </c>
      <c r="X66" s="462">
        <f>SUM('[1]GDP KP'!BJ66:BK66)</f>
        <v>4.9760756128485486</v>
      </c>
      <c r="Y66" s="462">
        <f>SUM('[1]GDP KP'!BL66:BM66)</f>
        <v>7.3673234414283613</v>
      </c>
      <c r="Z66" s="462">
        <f>SUM('[1]GDP KP'!BN66:BO66)</f>
        <v>6.1003085367951488</v>
      </c>
      <c r="AA66" s="462">
        <f>SUM('[1]GDP KP'!BP66:BQ66)</f>
        <v>7.4753549878460159</v>
      </c>
      <c r="AB66" s="462">
        <f>SUM('[1]GDP KP'!BR66:BS66)</f>
        <v>7.4487014974789929</v>
      </c>
      <c r="AC66" s="462">
        <f>SUM('[1]GDP KP'!BT66:BU66)</f>
        <v>11.774604752663667</v>
      </c>
      <c r="AD66" s="462" t="e">
        <f>SUM('[1]GDP KP'!BV66:BW66)</f>
        <v>#REF!</v>
      </c>
      <c r="AH66" s="213">
        <f t="shared" si="4"/>
        <v>5.3944543838701868</v>
      </c>
      <c r="AI66" s="213">
        <f t="shared" si="2"/>
        <v>11.91067628474239</v>
      </c>
      <c r="AJ66" s="17">
        <f t="shared" si="5"/>
        <v>0.45290915938841342</v>
      </c>
    </row>
    <row r="67" spans="1:36">
      <c r="A67" s="451" t="s">
        <v>532</v>
      </c>
      <c r="B67" s="33">
        <f>SUM('[1]GDP KP'!AN67:AQ67)</f>
        <v>5.5573869112228209</v>
      </c>
      <c r="C67" s="33">
        <f>SUM('[1]GDP KP'!AR67:AU67)</f>
        <v>7.0215386235082882</v>
      </c>
      <c r="D67" s="33">
        <f>SUM('[1]GDP KP'!AV67:AY67)</f>
        <v>8.9536841708506181</v>
      </c>
      <c r="E67" s="33">
        <f>SUM('[1]GDP KP'!AZ67:BC67)</f>
        <v>10.799415389167008</v>
      </c>
      <c r="F67" s="33">
        <f>SUM('[1]GDP KP'!BD67:BG67)</f>
        <v>14.303729742605356</v>
      </c>
      <c r="G67" s="33">
        <f>SUM('[1]GDP KP'!BH67:BK67)</f>
        <v>17.625712945967329</v>
      </c>
      <c r="H67" s="33">
        <f>SUM('[1]GDP KP'!BL67:BO67)</f>
        <v>21.829431325199863</v>
      </c>
      <c r="I67" s="33">
        <f>SUM('[1]GDP KP'!BP67:BS67)</f>
        <v>29.242268504536938</v>
      </c>
      <c r="J67" s="33" t="e">
        <f>SUM('[1]GDP KP'!BT67:BW67)</f>
        <v>#REF!</v>
      </c>
      <c r="L67" s="451" t="s">
        <v>532</v>
      </c>
      <c r="M67" s="462">
        <f>SUM('[1]GDP KP'!AN67:AO67)</f>
        <v>2.6294036928371973</v>
      </c>
      <c r="N67" s="462">
        <f>SUM('[1]GDP KP'!AP67:AQ67)</f>
        <v>2.9279832183856236</v>
      </c>
      <c r="O67" s="462">
        <f>SUM('[1]GDP KP'!AR67:AS67)</f>
        <v>3.3516978622599525</v>
      </c>
      <c r="P67" s="462">
        <f>SUM('[1]GDP KP'!AT67:AU67)</f>
        <v>3.6698407612483366</v>
      </c>
      <c r="Q67" s="462">
        <f>SUM('[1]GDP KP'!AV67:AW67)</f>
        <v>4.3433972120482114</v>
      </c>
      <c r="R67" s="462">
        <f>SUM('[1]GDP KP'!BO67:BR67)</f>
        <v>26.591858101748151</v>
      </c>
      <c r="S67" s="462">
        <f>SUM('[1]GDP KP'!AZ67:BA67)</f>
        <v>5.2332486130403737</v>
      </c>
      <c r="T67" s="462">
        <f>SUM('[1]GDP KP'!BB67:BC67)</f>
        <v>5.566166776126634</v>
      </c>
      <c r="U67" s="462">
        <f>SUM('[1]GDP KP'!BD67:BE67)</f>
        <v>6.663450445047169</v>
      </c>
      <c r="V67" s="462">
        <f>SUM('[1]GDP KP'!BF67:BG67)</f>
        <v>7.6402792975581857</v>
      </c>
      <c r="W67" s="462">
        <f>SUM('[1]GDP KP'!BH67:BI67)</f>
        <v>8.6775757721707141</v>
      </c>
      <c r="X67" s="462">
        <f>SUM('[1]GDP KP'!BJ67:BK67)</f>
        <v>8.9481371737966136</v>
      </c>
      <c r="Y67" s="462">
        <f>SUM('[1]GDP KP'!BL67:BM67)</f>
        <v>10.638475203966198</v>
      </c>
      <c r="Z67" s="462">
        <f>SUM('[1]GDP KP'!BN67:BO67)</f>
        <v>11.190956121233665</v>
      </c>
      <c r="AA67" s="462">
        <f>SUM('[1]GDP KP'!BP67:BQ67)</f>
        <v>13.397888480057153</v>
      </c>
      <c r="AB67" s="462">
        <f>SUM('[1]GDP KP'!BR67:BS67)</f>
        <v>15.844380024479786</v>
      </c>
      <c r="AC67" s="462">
        <f>SUM('[1]GDP KP'!BT67:BU67)</f>
        <v>16.534434083491952</v>
      </c>
      <c r="AD67" s="462" t="e">
        <f>SUM('[1]GDP KP'!BV67:BW67)</f>
        <v>#REF!</v>
      </c>
      <c r="AH67" s="213">
        <f t="shared" si="4"/>
        <v>6.866892160178371</v>
      </c>
      <c r="AI67" s="213">
        <f t="shared" si="2"/>
        <v>17.164342344500497</v>
      </c>
      <c r="AJ67" s="17">
        <f t="shared" si="5"/>
        <v>0.40006730362020204</v>
      </c>
    </row>
    <row r="68" spans="1:36" s="480" customFormat="1">
      <c r="A68" s="478" t="s">
        <v>544</v>
      </c>
      <c r="B68" s="478">
        <f>SUM('[1]GDP KP'!AN68:AQ68)</f>
        <v>25.923531468037908</v>
      </c>
      <c r="C68" s="478">
        <f>SUM('[1]GDP KP'!AR68:AU68)</f>
        <v>31.401295399758475</v>
      </c>
      <c r="D68" s="478">
        <f>SUM('[1]GDP KP'!AV68:AY68)</f>
        <v>34.00426944561076</v>
      </c>
      <c r="E68" s="478">
        <f>SUM('[1]GDP KP'!AZ68:BC68)</f>
        <v>37.448709469868568</v>
      </c>
      <c r="F68" s="478">
        <f>SUM('[1]GDP KP'!BD68:BG68)</f>
        <v>44.489648494946195</v>
      </c>
      <c r="G68" s="478">
        <f>SUM('[1]GDP KP'!BH68:BK68)</f>
        <v>44.151694421583073</v>
      </c>
      <c r="H68" s="478">
        <f>SUM('[1]GDP KP'!BL68:BO68)</f>
        <v>49.345796420445467</v>
      </c>
      <c r="I68" s="478">
        <f>SUM('[1]GDP KP'!BP68:BS68)</f>
        <v>52.838356659482741</v>
      </c>
      <c r="J68" s="478" t="e">
        <f>SUM('[1]GDP KP'!BT68:BW68)</f>
        <v>#REF!</v>
      </c>
      <c r="L68" s="478" t="s">
        <v>544</v>
      </c>
      <c r="M68" s="478">
        <f>SUM('[1]GDP KP'!AN68:AO68)</f>
        <v>10.87124027325949</v>
      </c>
      <c r="N68" s="478">
        <f>SUM('[1]GDP KP'!AP68:AQ68)</f>
        <v>15.052291194778416</v>
      </c>
      <c r="O68" s="478">
        <f>SUM('[1]GDP KP'!AR68:AS68)</f>
        <v>15.065025731027543</v>
      </c>
      <c r="P68" s="478">
        <f>SUM('[1]GDP KP'!AT68:AU68)</f>
        <v>16.336269668730935</v>
      </c>
      <c r="Q68" s="478">
        <f>SUM('[1]GDP KP'!AV68:AW68)</f>
        <v>16.103308744138225</v>
      </c>
      <c r="R68" s="478">
        <f>SUM('[1]GDP KP'!BO68:BR68)</f>
        <v>53.57580838179998</v>
      </c>
      <c r="S68" s="478">
        <f>SUM('[1]GDP KP'!AZ68:BA68)</f>
        <v>15.048176775938703</v>
      </c>
      <c r="T68" s="478">
        <f>SUM('[1]GDP KP'!BB68:BC68)</f>
        <v>22.400532693929865</v>
      </c>
      <c r="U68" s="478">
        <f>SUM('[1]GDP KP'!BD68:BE68)</f>
        <v>21.479553538106614</v>
      </c>
      <c r="V68" s="478">
        <f>SUM('[1]GDP KP'!BF68:BG68)</f>
        <v>23.010094956839577</v>
      </c>
      <c r="W68" s="478">
        <f>SUM('[1]GDP KP'!BH68:BI68)</f>
        <v>19.251453809536336</v>
      </c>
      <c r="X68" s="478">
        <f>SUM('[1]GDP KP'!BJ68:BK68)</f>
        <v>24.900240612046737</v>
      </c>
      <c r="Y68" s="478">
        <f>SUM('[1]GDP KP'!BL68:BM68)</f>
        <v>19.333032943982666</v>
      </c>
      <c r="Z68" s="478">
        <f>SUM('[1]GDP KP'!BN68:BO68)</f>
        <v>30.012763476462801</v>
      </c>
      <c r="AA68" s="478">
        <f>SUM('[1]GDP KP'!BP68:BQ68)</f>
        <v>24.883403546456037</v>
      </c>
      <c r="AB68" s="478">
        <f>SUM('[1]GDP KP'!BR68:BS68)</f>
        <v>27.954953113026701</v>
      </c>
      <c r="AC68" s="478">
        <f>SUM('[1]GDP KP'!BT68:BU68)</f>
        <v>26.86012559980772</v>
      </c>
      <c r="AD68" s="478" t="e">
        <f>SUM('[1]GDP KP'!BV68:BW68)</f>
        <v>#REF!</v>
      </c>
      <c r="AE68" s="478"/>
      <c r="AF68" s="478"/>
      <c r="AG68" s="478"/>
      <c r="AH68" s="478">
        <f t="shared" si="4"/>
        <v>17.754399420305703</v>
      </c>
      <c r="AI68" s="478">
        <f t="shared" ref="AI68:AI120" si="6">AVERAGE(SUM(M68:N68),SUM(O68:P68),SUM(Q68:R68),SUM(S68:T68),SUM(U68:V68),SUM(W68:X68), SUM(Y68:Z68),SUM(AA68:AB68))</f>
        <v>44.409768682507575</v>
      </c>
      <c r="AJ68" s="479">
        <f t="shared" si="5"/>
        <v>0.3997859017738799</v>
      </c>
    </row>
    <row r="69" spans="1:36">
      <c r="A69" s="451" t="s">
        <v>194</v>
      </c>
      <c r="B69" s="33">
        <f>SUM('[1]GDP KP'!AN69:AQ69)</f>
        <v>10.515557660176871</v>
      </c>
      <c r="C69" s="33">
        <f>SUM('[1]GDP KP'!AR69:AU69)</f>
        <v>17.046521767107674</v>
      </c>
      <c r="D69" s="33">
        <f>SUM('[1]GDP KP'!AV69:AY69)</f>
        <v>20.509264417761162</v>
      </c>
      <c r="E69" s="33">
        <f>SUM('[1]GDP KP'!AZ69:BC69)</f>
        <v>21.191523721954891</v>
      </c>
      <c r="F69" s="33">
        <f>SUM('[1]GDP KP'!BD69:BG69)</f>
        <v>24.06876600728954</v>
      </c>
      <c r="G69" s="33">
        <f>SUM('[1]GDP KP'!BH69:BK69)</f>
        <v>26.39119543882672</v>
      </c>
      <c r="H69" s="33">
        <f>SUM('[1]GDP KP'!BL69:BO69)</f>
        <v>28.877668716375414</v>
      </c>
      <c r="I69" s="33">
        <f>SUM('[1]GDP KP'!BP69:BS69)</f>
        <v>33.319534244261661</v>
      </c>
      <c r="J69" s="33" t="e">
        <f>SUM('[1]GDP KP'!BT69:BW69)</f>
        <v>#REF!</v>
      </c>
      <c r="L69" s="451" t="s">
        <v>194</v>
      </c>
      <c r="M69" s="462">
        <f>SUM('[1]GDP KP'!AN69:AO69)</f>
        <v>3.2744206711184036</v>
      </c>
      <c r="N69" s="462">
        <f>SUM('[1]GDP KP'!AP69:AQ69)</f>
        <v>7.2411369890584663</v>
      </c>
      <c r="O69" s="462">
        <f>SUM('[1]GDP KP'!AR69:AS69)</f>
        <v>7.7828770419375566</v>
      </c>
      <c r="P69" s="462">
        <f>SUM('[1]GDP KP'!AT69:AU69)</f>
        <v>9.2636447251701171</v>
      </c>
      <c r="Q69" s="462">
        <f>SUM('[1]GDP KP'!AV69:AW69)</f>
        <v>9.4374593108301745</v>
      </c>
      <c r="R69" s="462">
        <f>SUM('[1]GDP KP'!BO69:BR69)</f>
        <v>33.934202730342946</v>
      </c>
      <c r="S69" s="462">
        <f>SUM('[1]GDP KP'!AZ69:BA69)</f>
        <v>8.0858537814732117</v>
      </c>
      <c r="T69" s="462">
        <f>SUM('[1]GDP KP'!BB69:BC69)</f>
        <v>13.105669940481679</v>
      </c>
      <c r="U69" s="462">
        <f>SUM('[1]GDP KP'!BD69:BE69)</f>
        <v>12.181158416106211</v>
      </c>
      <c r="V69" s="462">
        <f>SUM('[1]GDP KP'!BF69:BG69)</f>
        <v>11.887607591183329</v>
      </c>
      <c r="W69" s="462">
        <f>SUM('[1]GDP KP'!BH69:BI69)</f>
        <v>11.237045821649293</v>
      </c>
      <c r="X69" s="462">
        <f>SUM('[1]GDP KP'!BJ69:BK69)</f>
        <v>15.154149617177428</v>
      </c>
      <c r="Y69" s="462">
        <f>SUM('[1]GDP KP'!BL69:BM69)</f>
        <v>9.4857524723674693</v>
      </c>
      <c r="Z69" s="462">
        <f>SUM('[1]GDP KP'!BN69:BO69)</f>
        <v>19.391916244007945</v>
      </c>
      <c r="AA69" s="462">
        <f>SUM('[1]GDP KP'!BP69:BQ69)</f>
        <v>14.900658203350252</v>
      </c>
      <c r="AB69" s="462">
        <f>SUM('[1]GDP KP'!BR69:BS69)</f>
        <v>18.41887604091141</v>
      </c>
      <c r="AC69" s="462">
        <f>SUM('[1]GDP KP'!BT69:BU69)</f>
        <v>16.109746427130027</v>
      </c>
      <c r="AD69" s="462" t="e">
        <f>SUM('[1]GDP KP'!BV69:BW69)</f>
        <v>#REF!</v>
      </c>
      <c r="AH69" s="213">
        <f t="shared" si="4"/>
        <v>9.5481532148540698</v>
      </c>
      <c r="AI69" s="213">
        <f t="shared" si="6"/>
        <v>25.597803699645738</v>
      </c>
      <c r="AJ69" s="17">
        <f t="shared" si="5"/>
        <v>0.37300673631567116</v>
      </c>
    </row>
    <row r="70" spans="1:36">
      <c r="A70" s="451" t="s">
        <v>545</v>
      </c>
      <c r="B70" s="33">
        <f>SUM('[1]GDP KP'!AN70:AQ70)</f>
        <v>1.584464066848692</v>
      </c>
      <c r="C70" s="33">
        <f>SUM('[1]GDP KP'!AR70:AU70)</f>
        <v>1.5315960272381981</v>
      </c>
      <c r="D70" s="33">
        <f>SUM('[1]GDP KP'!AV70:AY70)</f>
        <v>1.9348359861612261</v>
      </c>
      <c r="E70" s="33">
        <f>SUM('[1]GDP KP'!AZ70:BC70)</f>
        <v>4.1449301513061725</v>
      </c>
      <c r="F70" s="33">
        <f>SUM('[1]GDP KP'!BD70:BG70)</f>
        <v>4.3357702737860464</v>
      </c>
      <c r="G70" s="33">
        <f>SUM('[1]GDP KP'!BH70:BK70)</f>
        <v>2.5904211587359312</v>
      </c>
      <c r="H70" s="33">
        <f>SUM('[1]GDP KP'!BL70:BO70)</f>
        <v>2.9972028521165552</v>
      </c>
      <c r="I70" s="33">
        <f>SUM('[1]GDP KP'!BP70:BS70)</f>
        <v>3.0422596292755428</v>
      </c>
      <c r="J70" s="33" t="e">
        <f>SUM('[1]GDP KP'!BT70:BW70)</f>
        <v>#REF!</v>
      </c>
      <c r="L70" s="451" t="s">
        <v>545</v>
      </c>
      <c r="M70" s="462">
        <f>SUM('[1]GDP KP'!AN70:AO70)</f>
        <v>0.57306265630562225</v>
      </c>
      <c r="N70" s="462">
        <f>SUM('[1]GDP KP'!AP70:AQ70)</f>
        <v>1.0114014105430695</v>
      </c>
      <c r="O70" s="462">
        <f>SUM('[1]GDP KP'!AR70:AS70)</f>
        <v>0.72654145905868195</v>
      </c>
      <c r="P70" s="462">
        <f>SUM('[1]GDP KP'!AT70:AU70)</f>
        <v>0.80505456817951626</v>
      </c>
      <c r="Q70" s="462">
        <f>SUM('[1]GDP KP'!AV70:AW70)</f>
        <v>0.98152635502409447</v>
      </c>
      <c r="R70" s="462">
        <f>SUM('[1]GDP KP'!BO70:BR70)</f>
        <v>2.6965556720502168</v>
      </c>
      <c r="S70" s="462">
        <f>SUM('[1]GDP KP'!AZ70:BA70)</f>
        <v>1.3697562966975596</v>
      </c>
      <c r="T70" s="462">
        <f>SUM('[1]GDP KP'!BB70:BC70)</f>
        <v>2.7751738546086129</v>
      </c>
      <c r="U70" s="462">
        <f>SUM('[1]GDP KP'!BD70:BE70)</f>
        <v>1.8915172629678829</v>
      </c>
      <c r="V70" s="462">
        <f>SUM('[1]GDP KP'!BF70:BG70)</f>
        <v>2.444253010818163</v>
      </c>
      <c r="W70" s="462">
        <f>SUM('[1]GDP KP'!BH70:BI70)</f>
        <v>1.1848243525322231</v>
      </c>
      <c r="X70" s="462">
        <f>SUM('[1]GDP KP'!BJ70:BK70)</f>
        <v>1.4055968062037079</v>
      </c>
      <c r="Y70" s="462">
        <f>SUM('[1]GDP KP'!BL70:BM70)</f>
        <v>1.4640508737636826</v>
      </c>
      <c r="Z70" s="462">
        <f>SUM('[1]GDP KP'!BN70:BO70)</f>
        <v>1.5331519783528722</v>
      </c>
      <c r="AA70" s="462">
        <f>SUM('[1]GDP KP'!BP70:BQ70)</f>
        <v>1.3303095193430741</v>
      </c>
      <c r="AB70" s="462">
        <f>SUM('[1]GDP KP'!BR70:BS70)</f>
        <v>1.7119501099324688</v>
      </c>
      <c r="AC70" s="462">
        <f>SUM('[1]GDP KP'!BT70:BU70)</f>
        <v>1.9079184629912436</v>
      </c>
      <c r="AD70" s="462" t="e">
        <f>SUM('[1]GDP KP'!BV70:BW70)</f>
        <v>#REF!</v>
      </c>
      <c r="AH70" s="213">
        <f t="shared" si="4"/>
        <v>1.1901985969616025</v>
      </c>
      <c r="AI70" s="213">
        <f t="shared" si="6"/>
        <v>2.9880907732976811</v>
      </c>
      <c r="AJ70" s="17">
        <f t="shared" si="5"/>
        <v>0.39831406983934753</v>
      </c>
    </row>
    <row r="71" spans="1:36">
      <c r="A71" s="451" t="s">
        <v>532</v>
      </c>
      <c r="B71" s="33">
        <f>SUM('[1]GDP KP'!AN71:AQ71)</f>
        <v>11.853366762524564</v>
      </c>
      <c r="C71" s="33">
        <f>SUM('[1]GDP KP'!AR71:AU71)</f>
        <v>12.823177605412603</v>
      </c>
      <c r="D71" s="33">
        <f>SUM('[1]GDP KP'!AV71:AY71)</f>
        <v>11.560169041688372</v>
      </c>
      <c r="E71" s="33">
        <f>SUM('[1]GDP KP'!AZ71:BC71)</f>
        <v>12.112255596607509</v>
      </c>
      <c r="F71" s="33">
        <f>SUM('[1]GDP KP'!BD71:BG71)</f>
        <v>16.085112213870616</v>
      </c>
      <c r="G71" s="33">
        <f>SUM('[1]GDP KP'!BH71:BK71)</f>
        <v>15.170077824020417</v>
      </c>
      <c r="H71" s="33">
        <f>SUM('[1]GDP KP'!BL71:BO71)</f>
        <v>17.470924851953495</v>
      </c>
      <c r="I71" s="33">
        <f>SUM('[1]GDP KP'!BP71:BS71)</f>
        <v>16.476562785945539</v>
      </c>
      <c r="J71" s="33" t="e">
        <f>SUM('[1]GDP KP'!BT71:BW71)</f>
        <v>#REF!</v>
      </c>
      <c r="L71" s="451" t="s">
        <v>532</v>
      </c>
      <c r="M71" s="462">
        <f>SUM('[1]GDP KP'!AN71:AO71)</f>
        <v>5.3479479483584544</v>
      </c>
      <c r="N71" s="462">
        <f>SUM('[1]GDP KP'!AP71:AQ71)</f>
        <v>6.5054188141661093</v>
      </c>
      <c r="O71" s="462">
        <f>SUM('[1]GDP KP'!AR71:AS71)</f>
        <v>6.5556072300313062</v>
      </c>
      <c r="P71" s="462">
        <f>SUM('[1]GDP KP'!AT71:AU71)</f>
        <v>6.2675703753812968</v>
      </c>
      <c r="Q71" s="462">
        <f>SUM('[1]GDP KP'!AV71:AW71)</f>
        <v>5.6843230782839544</v>
      </c>
      <c r="R71" s="462">
        <f>SUM('[1]GDP KP'!BO71:BR71)</f>
        <v>16.945049979406829</v>
      </c>
      <c r="S71" s="462">
        <f>SUM('[1]GDP KP'!AZ71:BA71)</f>
        <v>5.5925666977679338</v>
      </c>
      <c r="T71" s="462">
        <f>SUM('[1]GDP KP'!BB71:BC71)</f>
        <v>6.5196888988395765</v>
      </c>
      <c r="U71" s="462">
        <f>SUM('[1]GDP KP'!BD71:BE71)</f>
        <v>7.4068778590325239</v>
      </c>
      <c r="V71" s="462">
        <f>SUM('[1]GDP KP'!BF71:BG71)</f>
        <v>8.6782343548380929</v>
      </c>
      <c r="W71" s="462">
        <f>SUM('[1]GDP KP'!BH71:BI71)</f>
        <v>6.8295836353548154</v>
      </c>
      <c r="X71" s="462">
        <f>SUM('[1]GDP KP'!BJ71:BK71)</f>
        <v>8.3404941886656019</v>
      </c>
      <c r="Y71" s="462">
        <f>SUM('[1]GDP KP'!BL71:BM71)</f>
        <v>8.3832295978515141</v>
      </c>
      <c r="Z71" s="462">
        <f>SUM('[1]GDP KP'!BN71:BO71)</f>
        <v>9.0876952541019804</v>
      </c>
      <c r="AA71" s="462">
        <f>SUM('[1]GDP KP'!BP71:BQ71)</f>
        <v>8.6524358237627119</v>
      </c>
      <c r="AB71" s="462">
        <f>SUM('[1]GDP KP'!BR71:BS71)</f>
        <v>7.8241269621828264</v>
      </c>
      <c r="AC71" s="462">
        <f>SUM('[1]GDP KP'!BT71:BU71)</f>
        <v>8.842460709686442</v>
      </c>
      <c r="AD71" s="462" t="e">
        <f>SUM('[1]GDP KP'!BV71:BW71)</f>
        <v>#REF!</v>
      </c>
      <c r="AH71" s="213">
        <f t="shared" si="4"/>
        <v>6.806571483805401</v>
      </c>
      <c r="AI71" s="213">
        <f t="shared" si="6"/>
        <v>15.57760633725319</v>
      </c>
      <c r="AJ71" s="17">
        <f t="shared" si="5"/>
        <v>0.43694591687862672</v>
      </c>
    </row>
    <row r="72" spans="1:36">
      <c r="A72" s="454" t="s">
        <v>546</v>
      </c>
      <c r="B72" s="33">
        <f>SUM('[1]GDP KP'!AN72:AQ72)</f>
        <v>24.978550897938746</v>
      </c>
      <c r="C72" s="33">
        <f>SUM('[1]GDP KP'!AR72:AU72)</f>
        <v>28.981492530131128</v>
      </c>
      <c r="D72" s="33">
        <f>SUM('[1]GDP KP'!AV72:AY72)</f>
        <v>32.210518194536021</v>
      </c>
      <c r="E72" s="33">
        <f>SUM('[1]GDP KP'!AZ72:BC72)</f>
        <v>39.465387058824149</v>
      </c>
      <c r="F72" s="33">
        <f>SUM('[1]GDP KP'!BD72:BG72)</f>
        <v>47.45895235275038</v>
      </c>
      <c r="G72" s="33">
        <f>SUM('[1]GDP KP'!BH72:BK72)</f>
        <v>51.277882225856843</v>
      </c>
      <c r="H72" s="33">
        <f>SUM('[1]GDP KP'!BL72:BO72)</f>
        <v>53.071266655225131</v>
      </c>
      <c r="I72" s="33">
        <f>SUM('[1]GDP KP'!BP72:BS72)</f>
        <v>56.977508888893745</v>
      </c>
      <c r="J72" s="33" t="e">
        <f>SUM('[1]GDP KP'!BT72:BW72)</f>
        <v>#REF!</v>
      </c>
      <c r="L72" s="454" t="s">
        <v>546</v>
      </c>
      <c r="M72" s="459">
        <f>SUM('[1]GDP KP'!AN72:AO72)</f>
        <v>11.401857359401198</v>
      </c>
      <c r="N72" s="459">
        <f>SUM('[1]GDP KP'!AP72:AQ72)</f>
        <v>13.576693538537548</v>
      </c>
      <c r="O72" s="459">
        <f>SUM('[1]GDP KP'!AR72:AS72)</f>
        <v>13.931064399735199</v>
      </c>
      <c r="P72" s="459">
        <f>SUM('[1]GDP KP'!AT72:AU72)</f>
        <v>15.050428130395929</v>
      </c>
      <c r="Q72" s="459">
        <f>SUM('[1]GDP KP'!AV72:AW72)</f>
        <v>15.800409300594463</v>
      </c>
      <c r="R72" s="459">
        <f>SUM('[1]GDP KP'!BO72:BR72)</f>
        <v>55.027080561381659</v>
      </c>
      <c r="S72" s="459">
        <f>SUM('[1]GDP KP'!AZ72:BA72)</f>
        <v>18.953232689791225</v>
      </c>
      <c r="T72" s="459">
        <f>SUM('[1]GDP KP'!BB72:BC72)</f>
        <v>20.512154369032928</v>
      </c>
      <c r="U72" s="459">
        <f>SUM('[1]GDP KP'!BD72:BE72)</f>
        <v>23.539573080902841</v>
      </c>
      <c r="V72" s="459">
        <f>SUM('[1]GDP KP'!BF72:BG72)</f>
        <v>23.919379271847539</v>
      </c>
      <c r="W72" s="459">
        <f>SUM('[1]GDP KP'!BH72:BI72)</f>
        <v>19.016156040181151</v>
      </c>
      <c r="X72" s="459">
        <f>SUM('[1]GDP KP'!BJ72:BK72)</f>
        <v>32.261726185675691</v>
      </c>
      <c r="Y72" s="459">
        <f>SUM('[1]GDP KP'!BL72:BM72)</f>
        <v>26.243097865147945</v>
      </c>
      <c r="Z72" s="459">
        <f>SUM('[1]GDP KP'!BN72:BO72)</f>
        <v>26.828168790077186</v>
      </c>
      <c r="AA72" s="459">
        <f>SUM('[1]GDP KP'!BP72:BQ72)</f>
        <v>27.318543693067255</v>
      </c>
      <c r="AB72" s="459">
        <f>SUM('[1]GDP KP'!BR72:BS72)</f>
        <v>29.658965195826489</v>
      </c>
      <c r="AC72" s="459">
        <f>SUM('[1]GDP KP'!BT72:BU72)</f>
        <v>31.449851524795683</v>
      </c>
      <c r="AD72" s="459" t="e">
        <f>SUM('[1]GDP KP'!BV72:BW72)</f>
        <v>#REF!</v>
      </c>
      <c r="AH72" s="459">
        <f t="shared" si="4"/>
        <v>19.525491803602659</v>
      </c>
      <c r="AI72" s="459">
        <f t="shared" si="6"/>
        <v>46.629816308949529</v>
      </c>
      <c r="AJ72" s="479">
        <f t="shared" si="5"/>
        <v>0.41873404935234937</v>
      </c>
    </row>
    <row r="73" spans="1:36">
      <c r="A73" s="454" t="s">
        <v>547</v>
      </c>
      <c r="B73" s="33">
        <f>SUM('[1]GDP KP'!AN73:AQ73)</f>
        <v>60.95648389128219</v>
      </c>
      <c r="C73" s="33">
        <f>SUM('[1]GDP KP'!AR73:AU73)</f>
        <v>55.017247016795579</v>
      </c>
      <c r="D73" s="33">
        <f>SUM('[1]GDP KP'!AV73:AY73)</f>
        <v>61.189506484647438</v>
      </c>
      <c r="E73" s="33">
        <f>SUM('[1]GDP KP'!AZ73:BC73)</f>
        <v>67.632251972691876</v>
      </c>
      <c r="F73" s="33">
        <f>SUM('[1]GDP KP'!BD73:BG73)</f>
        <v>69.463109934545969</v>
      </c>
      <c r="G73" s="33">
        <f>SUM('[1]GDP KP'!BH73:BK73)</f>
        <v>66.87089757604366</v>
      </c>
      <c r="H73" s="33">
        <f>SUM('[1]GDP KP'!BL73:BO73)</f>
        <v>82.517767413090922</v>
      </c>
      <c r="I73" s="33">
        <f>SUM('[1]GDP KP'!BP73:BS73)</f>
        <v>81.88325053503263</v>
      </c>
      <c r="J73" s="33" t="e">
        <f>SUM('[1]GDP KP'!BT73:BW73)</f>
        <v>#REF!</v>
      </c>
      <c r="L73" s="454" t="s">
        <v>547</v>
      </c>
      <c r="M73" s="459">
        <f>SUM('[1]GDP KP'!AN73:AO73)</f>
        <v>29.546197073212113</v>
      </c>
      <c r="N73" s="459">
        <f>SUM('[1]GDP KP'!AP73:AQ73)</f>
        <v>31.410286818070077</v>
      </c>
      <c r="O73" s="459">
        <f>SUM('[1]GDP KP'!AR73:AS73)</f>
        <v>28.537760358749992</v>
      </c>
      <c r="P73" s="459">
        <f>SUM('[1]GDP KP'!AT73:AU73)</f>
        <v>26.479486658045591</v>
      </c>
      <c r="Q73" s="459">
        <f>SUM('[1]GDP KP'!AV73:AW73)</f>
        <v>28.809382423719963</v>
      </c>
      <c r="R73" s="459">
        <f>SUM('[1]GDP KP'!BO73:BR73)</f>
        <v>82.902382093831747</v>
      </c>
      <c r="S73" s="459">
        <f>SUM('[1]GDP KP'!AZ73:BA73)</f>
        <v>33.758816069400808</v>
      </c>
      <c r="T73" s="459">
        <f>SUM('[1]GDP KP'!BB73:BC73)</f>
        <v>33.873435903291067</v>
      </c>
      <c r="U73" s="459">
        <f>SUM('[1]GDP KP'!BD73:BE73)</f>
        <v>34.251412524263579</v>
      </c>
      <c r="V73" s="459">
        <f>SUM('[1]GDP KP'!BF73:BG73)</f>
        <v>35.211697410282397</v>
      </c>
      <c r="W73" s="459">
        <f>SUM('[1]GDP KP'!BH73:BI73)</f>
        <v>27.056273639920974</v>
      </c>
      <c r="X73" s="459">
        <f>SUM('[1]GDP KP'!BJ73:BK73)</f>
        <v>39.814623936122686</v>
      </c>
      <c r="Y73" s="459">
        <f>SUM('[1]GDP KP'!BL73:BM73)</f>
        <v>40.784606799612291</v>
      </c>
      <c r="Z73" s="459">
        <f>SUM('[1]GDP KP'!BN73:BO73)</f>
        <v>41.733160613478631</v>
      </c>
      <c r="AA73" s="459">
        <f>SUM('[1]GDP KP'!BP73:BQ73)</f>
        <v>40.92871724298287</v>
      </c>
      <c r="AB73" s="459">
        <f>SUM('[1]GDP KP'!BR73:BS73)</f>
        <v>40.954533292049753</v>
      </c>
      <c r="AC73" s="459">
        <f>SUM('[1]GDP KP'!BT73:BU73)</f>
        <v>38.895497217058022</v>
      </c>
      <c r="AD73" s="459" t="e">
        <f>SUM('[1]GDP KP'!BV73:BW73)</f>
        <v>#REF!</v>
      </c>
      <c r="AH73" s="459">
        <f t="shared" si="4"/>
        <v>32.959145766482827</v>
      </c>
      <c r="AI73" s="459">
        <f t="shared" si="6"/>
        <v>74.50659660712931</v>
      </c>
      <c r="AJ73" s="479">
        <f t="shared" si="5"/>
        <v>0.44236547188264758</v>
      </c>
    </row>
    <row r="74" spans="1:36">
      <c r="A74" s="454" t="s">
        <v>50</v>
      </c>
      <c r="B74" s="33">
        <f>SUM('[1]GDP KP'!AN74:AQ74)</f>
        <v>68.139783939161561</v>
      </c>
      <c r="C74" s="33">
        <f>SUM('[1]GDP KP'!AR74:AU74)</f>
        <v>77.444830882437287</v>
      </c>
      <c r="D74" s="33">
        <f>SUM('[1]GDP KP'!AV74:AY74)</f>
        <v>83.576276693059796</v>
      </c>
      <c r="E74" s="33">
        <f>SUM('[1]GDP KP'!AZ74:BC74)</f>
        <v>91.796091868211477</v>
      </c>
      <c r="F74" s="33">
        <f>SUM('[1]GDP KP'!BD74:BG74)</f>
        <v>98.431657491479257</v>
      </c>
      <c r="G74" s="33">
        <f>SUM('[1]GDP KP'!BH74:BK74)</f>
        <v>100.26042258648764</v>
      </c>
      <c r="H74" s="33">
        <f>SUM('[1]GDP KP'!BL74:BO74)</f>
        <v>111.97083430914591</v>
      </c>
      <c r="I74" s="33">
        <f>SUM('[1]GDP KP'!BP74:BS74)</f>
        <v>127.62903764439446</v>
      </c>
      <c r="J74" s="33" t="e">
        <f>SUM('[1]GDP KP'!BT74:BW74)</f>
        <v>#REF!</v>
      </c>
      <c r="L74" s="454" t="s">
        <v>50</v>
      </c>
      <c r="M74" s="459">
        <f>SUM('[1]GDP KP'!AN74:AO74)</f>
        <v>33.332448562619319</v>
      </c>
      <c r="N74" s="459">
        <f>SUM('[1]GDP KP'!AP74:AQ74)</f>
        <v>34.807335376542241</v>
      </c>
      <c r="O74" s="459">
        <f>SUM('[1]GDP KP'!AR74:AS74)</f>
        <v>38.139135892844081</v>
      </c>
      <c r="P74" s="459">
        <f>SUM('[1]GDP KP'!AT74:AU74)</f>
        <v>39.305694989593206</v>
      </c>
      <c r="Q74" s="459">
        <f>SUM('[1]GDP KP'!AV74:AW74)</f>
        <v>40.282505957203739</v>
      </c>
      <c r="R74" s="459">
        <f>SUM('[1]GDP KP'!BO74:BR74)</f>
        <v>124.34259365735477</v>
      </c>
      <c r="S74" s="459">
        <f>SUM('[1]GDP KP'!AZ74:BA74)</f>
        <v>44.361374805500006</v>
      </c>
      <c r="T74" s="459">
        <f>SUM('[1]GDP KP'!BB74:BC74)</f>
        <v>47.434717062711471</v>
      </c>
      <c r="U74" s="459">
        <f>SUM('[1]GDP KP'!BD74:BE74)</f>
        <v>48.008155401301806</v>
      </c>
      <c r="V74" s="459">
        <f>SUM('[1]GDP KP'!BF74:BG74)</f>
        <v>50.423502090177458</v>
      </c>
      <c r="W74" s="459">
        <f>SUM('[1]GDP KP'!BH74:BI74)</f>
        <v>47.473442299296849</v>
      </c>
      <c r="X74" s="459">
        <f>SUM('[1]GDP KP'!BJ74:BK74)</f>
        <v>52.786980287190786</v>
      </c>
      <c r="Y74" s="459">
        <f>SUM('[1]GDP KP'!BL74:BM74)</f>
        <v>53.274456572968404</v>
      </c>
      <c r="Z74" s="459">
        <f>SUM('[1]GDP KP'!BN74:BO74)</f>
        <v>58.69637773617751</v>
      </c>
      <c r="AA74" s="459">
        <f>SUM('[1]GDP KP'!BP74:BQ74)</f>
        <v>62.011738560753415</v>
      </c>
      <c r="AB74" s="459">
        <f>SUM('[1]GDP KP'!BR74:BS74)</f>
        <v>65.617299083641043</v>
      </c>
      <c r="AC74" s="459">
        <f>SUM('[1]GDP KP'!BT74:BU74)</f>
        <v>64.699571541927739</v>
      </c>
      <c r="AD74" s="459" t="e">
        <f>SUM('[1]GDP KP'!BV74:BW74)</f>
        <v>#REF!</v>
      </c>
      <c r="AH74" s="459">
        <f t="shared" si="4"/>
        <v>45.860407256560954</v>
      </c>
      <c r="AI74" s="459">
        <f t="shared" si="6"/>
        <v>105.03721979198451</v>
      </c>
      <c r="AJ74" s="479">
        <f t="shared" si="5"/>
        <v>0.43661101605109892</v>
      </c>
    </row>
    <row r="75" spans="1:36">
      <c r="A75" s="454" t="s">
        <v>52</v>
      </c>
      <c r="B75" s="33">
        <f>SUM('[1]GDP KP'!AN75:AQ75)</f>
        <v>29.934095004502325</v>
      </c>
      <c r="C75" s="33">
        <f>SUM('[1]GDP KP'!AR75:AU75)</f>
        <v>31.509188089034961</v>
      </c>
      <c r="D75" s="33">
        <f>SUM('[1]GDP KP'!AV75:AY75)</f>
        <v>32.061975395683547</v>
      </c>
      <c r="E75" s="33">
        <f>SUM('[1]GDP KP'!AZ75:BC75)</f>
        <v>32.721622658443337</v>
      </c>
      <c r="F75" s="33">
        <f>SUM('[1]GDP KP'!BD75:BG75)</f>
        <v>33.400424201688068</v>
      </c>
      <c r="G75" s="33">
        <f>SUM('[1]GDP KP'!BH75:BK75)</f>
        <v>34.192932351838252</v>
      </c>
      <c r="H75" s="33">
        <f>SUM('[1]GDP KP'!BL75:BO75)</f>
        <v>35.76430885053054</v>
      </c>
      <c r="I75" s="33">
        <f>SUM('[1]GDP KP'!BP75:BS75)</f>
        <v>37.062530523178836</v>
      </c>
      <c r="J75" s="33" t="e">
        <f>SUM('[1]GDP KP'!BT75:BW75)</f>
        <v>#REF!</v>
      </c>
      <c r="L75" s="454" t="s">
        <v>52</v>
      </c>
      <c r="M75" s="459">
        <f>SUM('[1]GDP KP'!AN75:AO75)</f>
        <v>14.920894110340409</v>
      </c>
      <c r="N75" s="459">
        <f>SUM('[1]GDP KP'!AP75:AQ75)</f>
        <v>15.013200894161912</v>
      </c>
      <c r="O75" s="459">
        <f>SUM('[1]GDP KP'!AR75:AS75)</f>
        <v>15.610197647058987</v>
      </c>
      <c r="P75" s="459">
        <f>SUM('[1]GDP KP'!AT75:AU75)</f>
        <v>15.898990441975974</v>
      </c>
      <c r="Q75" s="459">
        <f>SUM('[1]GDP KP'!AV75:AW75)</f>
        <v>15.920342687524348</v>
      </c>
      <c r="R75" s="459">
        <f>SUM('[1]GDP KP'!BO75:BR75)</f>
        <v>36.867694967564923</v>
      </c>
      <c r="S75" s="459">
        <f>SUM('[1]GDP KP'!AZ75:BA75)</f>
        <v>16.134874572438285</v>
      </c>
      <c r="T75" s="459">
        <f>SUM('[1]GDP KP'!BB75:BC75)</f>
        <v>16.586748086005048</v>
      </c>
      <c r="U75" s="459">
        <f>SUM('[1]GDP KP'!BD75:BE75)</f>
        <v>16.600612166136976</v>
      </c>
      <c r="V75" s="459">
        <f>SUM('[1]GDP KP'!BF75:BG75)</f>
        <v>16.799812035551092</v>
      </c>
      <c r="W75" s="459">
        <f>SUM('[1]GDP KP'!BH75:BI75)</f>
        <v>16.874324704436759</v>
      </c>
      <c r="X75" s="459">
        <f>SUM('[1]GDP KP'!BJ75:BK75)</f>
        <v>17.318607647401489</v>
      </c>
      <c r="Y75" s="459">
        <f>SUM('[1]GDP KP'!BL75:BM75)</f>
        <v>17.50890121111205</v>
      </c>
      <c r="Z75" s="459">
        <f>SUM('[1]GDP KP'!BN75:BO75)</f>
        <v>18.255407639418493</v>
      </c>
      <c r="AA75" s="459">
        <f>SUM('[1]GDP KP'!BP75:BQ75)</f>
        <v>18.349600204989919</v>
      </c>
      <c r="AB75" s="459">
        <f>SUM('[1]GDP KP'!BR75:BS75)</f>
        <v>18.71293031818891</v>
      </c>
      <c r="AC75" s="459">
        <f>SUM('[1]GDP KP'!BT75:BU75)</f>
        <v>18.775556949712872</v>
      </c>
      <c r="AD75" s="459" t="e">
        <f>SUM('[1]GDP KP'!BV75:BW75)</f>
        <v>#REF!</v>
      </c>
      <c r="AH75" s="459">
        <f t="shared" si="4"/>
        <v>16.489968413004718</v>
      </c>
      <c r="AI75" s="459">
        <f t="shared" si="6"/>
        <v>35.921642416788195</v>
      </c>
      <c r="AJ75" s="479">
        <f t="shared" si="5"/>
        <v>0.45905385454474745</v>
      </c>
    </row>
    <row r="76" spans="1:36">
      <c r="A76" s="454" t="s">
        <v>54</v>
      </c>
      <c r="B76" s="33">
        <f>SUM('[1]GDP KP'!AN76:AQ76)</f>
        <v>484.85861455538981</v>
      </c>
      <c r="C76" s="33">
        <f>SUM('[1]GDP KP'!AR76:AU76)</f>
        <v>508.55970183669558</v>
      </c>
      <c r="D76" s="33">
        <f>SUM('[1]GDP KP'!AV76:AY76)</f>
        <v>458.46952307213803</v>
      </c>
      <c r="E76" s="33">
        <f>SUM('[1]GDP KP'!AZ76:BC76)</f>
        <v>480.36495198978901</v>
      </c>
      <c r="F76" s="33">
        <f>SUM('[1]GDP KP'!BD76:BG76)</f>
        <v>637.92611497816188</v>
      </c>
      <c r="G76" s="33">
        <f>SUM('[1]GDP KP'!BH76:BK76)</f>
        <v>601.63638783002375</v>
      </c>
      <c r="H76" s="33">
        <f>SUM('[1]GDP KP'!BL76:BO76)</f>
        <v>692.88663129569886</v>
      </c>
      <c r="I76" s="33">
        <f>SUM('[1]GDP KP'!BP76:BS76)</f>
        <v>653.45081504425161</v>
      </c>
      <c r="J76" s="33" t="e">
        <f>SUM('[1]GDP KP'!BT76:BW76)</f>
        <v>#REF!</v>
      </c>
      <c r="L76" s="454" t="s">
        <v>54</v>
      </c>
      <c r="M76" s="459">
        <f>SUM('[1]GDP KP'!AN76:AO76)</f>
        <v>227.25801725523763</v>
      </c>
      <c r="N76" s="459">
        <f>SUM('[1]GDP KP'!AP76:AQ76)</f>
        <v>257.60059730015217</v>
      </c>
      <c r="O76" s="459">
        <f>SUM('[1]GDP KP'!AR76:AS76)</f>
        <v>259.99153726576913</v>
      </c>
      <c r="P76" s="459">
        <f>SUM('[1]GDP KP'!AT76:AU76)</f>
        <v>248.56816457092646</v>
      </c>
      <c r="Q76" s="459">
        <f>SUM('[1]GDP KP'!AV76:AW76)</f>
        <v>225.43691889718005</v>
      </c>
      <c r="R76" s="459">
        <f>SUM('[1]GDP KP'!BO76:BR76)</f>
        <v>672.03074232533481</v>
      </c>
      <c r="S76" s="459">
        <f>SUM('[1]GDP KP'!AZ76:BA76)</f>
        <v>221.79791466962055</v>
      </c>
      <c r="T76" s="459">
        <f>SUM('[1]GDP KP'!BB76:BC76)</f>
        <v>258.56703732016854</v>
      </c>
      <c r="U76" s="459">
        <f>SUM('[1]GDP KP'!BD76:BE76)</f>
        <v>293.75243106205102</v>
      </c>
      <c r="V76" s="459">
        <f>SUM('[1]GDP KP'!BF76:BG76)</f>
        <v>344.17368391611086</v>
      </c>
      <c r="W76" s="459">
        <f>SUM('[1]GDP KP'!BH76:BI76)</f>
        <v>270.85728078809245</v>
      </c>
      <c r="X76" s="459">
        <f>SUM('[1]GDP KP'!BJ76:BK76)</f>
        <v>330.77910704193135</v>
      </c>
      <c r="Y76" s="459">
        <f>SUM('[1]GDP KP'!BL76:BM76)</f>
        <v>332.47396830192685</v>
      </c>
      <c r="Z76" s="459">
        <f>SUM('[1]GDP KP'!BN76:BO76)</f>
        <v>360.41266299377207</v>
      </c>
      <c r="AA76" s="459">
        <f>SUM('[1]GDP KP'!BP76:BQ76)</f>
        <v>343.15052930691468</v>
      </c>
      <c r="AB76" s="459">
        <f>SUM('[1]GDP KP'!BR76:BS76)</f>
        <v>310.30028573733688</v>
      </c>
      <c r="AC76" s="459">
        <f>SUM('[1]GDP KP'!BT76:BU76)</f>
        <v>350.68680481526701</v>
      </c>
      <c r="AD76" s="459" t="e">
        <f>SUM('[1]GDP KP'!BV76:BW76)</f>
        <v>#REF!</v>
      </c>
      <c r="AH76" s="459">
        <f t="shared" si="4"/>
        <v>271.83982469334904</v>
      </c>
      <c r="AI76" s="459">
        <f t="shared" si="6"/>
        <v>619.64385984406567</v>
      </c>
      <c r="AJ76" s="479">
        <f t="shared" si="5"/>
        <v>0.43870332994465233</v>
      </c>
    </row>
    <row r="77" spans="1:36">
      <c r="A77" s="453" t="s">
        <v>55</v>
      </c>
      <c r="B77" s="453">
        <f>SUM('[1]GDP KP'!AN77:AQ77)</f>
        <v>3255.8569292202023</v>
      </c>
      <c r="C77" s="453">
        <f>SUM('[1]GDP KP'!AR77:AU77)</f>
        <v>3488.7889278691728</v>
      </c>
      <c r="D77" s="453">
        <f>SUM('[1]GDP KP'!AV77:AY77)</f>
        <v>3683.7285750075139</v>
      </c>
      <c r="E77" s="453">
        <f>SUM('[1]GDP KP'!AZ77:BC77)</f>
        <v>4040.9380546842349</v>
      </c>
      <c r="F77" s="453">
        <f>SUM('[1]GDP KP'!BD77:BG77)</f>
        <v>4375.8882910989951</v>
      </c>
      <c r="G77" s="453">
        <f>SUM('[1]GDP KP'!BH77:BK77)</f>
        <v>4133.5774686766799</v>
      </c>
      <c r="H77" s="453">
        <f>SUM('[1]GDP KP'!BL77:BO77)</f>
        <v>4624.6334772658856</v>
      </c>
      <c r="I77" s="453">
        <f>SUM('[1]GDP KP'!BP77:BS77)</f>
        <v>5187.0463407724365</v>
      </c>
      <c r="J77" s="453" t="e">
        <f>SUM('[1]GDP KP'!BT77:BW77)</f>
        <v>#REF!</v>
      </c>
      <c r="L77" s="453" t="s">
        <v>55</v>
      </c>
      <c r="M77" s="453">
        <f>SUM('[1]GDP KP'!AN77:AO77)</f>
        <v>1589.1551071954082</v>
      </c>
      <c r="N77" s="453">
        <f>SUM('[1]GDP KP'!AP77:AQ77)</f>
        <v>1666.7018220247942</v>
      </c>
      <c r="O77" s="453">
        <f>SUM('[1]GDP KP'!AR77:AS77)</f>
        <v>1735.164207683496</v>
      </c>
      <c r="P77" s="453">
        <f>SUM('[1]GDP KP'!AT77:AU77)</f>
        <v>1753.624720185677</v>
      </c>
      <c r="Q77" s="453">
        <f>SUM('[1]GDP KP'!AV77:AW77)</f>
        <v>1790.093798183148</v>
      </c>
      <c r="R77" s="453">
        <f>SUM('[1]GDP KP'!BO77:BR77)</f>
        <v>5068.0353152375646</v>
      </c>
      <c r="S77" s="453">
        <f>SUM('[1]GDP KP'!AZ77:BA77)</f>
        <v>1969.0647401619744</v>
      </c>
      <c r="T77" s="453">
        <f>SUM('[1]GDP KP'!BB77:BC77)</f>
        <v>2071.8733145222604</v>
      </c>
      <c r="U77" s="453">
        <f>SUM('[1]GDP KP'!BD77:BE77)</f>
        <v>2117.4126628870672</v>
      </c>
      <c r="V77" s="453">
        <f>SUM('[1]GDP KP'!BF77:BG77)</f>
        <v>2258.4756282119279</v>
      </c>
      <c r="W77" s="453">
        <f>SUM('[1]GDP KP'!BH77:BI77)</f>
        <v>1996.572018812938</v>
      </c>
      <c r="X77" s="453">
        <f>SUM('[1]GDP KP'!BJ77:BK77)</f>
        <v>2137.0054498637423</v>
      </c>
      <c r="Y77" s="453">
        <f>SUM('[1]GDP KP'!BL77:BM77)</f>
        <v>2212.1117454715823</v>
      </c>
      <c r="Z77" s="453">
        <f>SUM('[1]GDP KP'!BN77:BO77)</f>
        <v>2412.5217317943034</v>
      </c>
      <c r="AA77" s="453">
        <f>SUM('[1]GDP KP'!BP77:BQ77)</f>
        <v>2462.1613605020566</v>
      </c>
      <c r="AB77" s="453">
        <f>SUM('[1]GDP KP'!BR77:BS77)</f>
        <v>2724.8849802703799</v>
      </c>
      <c r="AC77" s="453">
        <f>SUM('[1]GDP KP'!BT77:BU77)</f>
        <v>2741.5560975588078</v>
      </c>
      <c r="AD77" s="453" t="e">
        <f>SUM('[1]GDP KP'!BV77:BW77)</f>
        <v>#REF!</v>
      </c>
      <c r="AE77" s="453"/>
      <c r="AF77" s="453"/>
      <c r="AG77" s="453"/>
      <c r="AH77" s="453">
        <f t="shared" ref="AH77:AH120" si="7">AVERAGE(M77,O77,Q77,S77,U77,W77,Y77,AA77)</f>
        <v>1983.9669551122088</v>
      </c>
      <c r="AI77" s="453">
        <f t="shared" si="6"/>
        <v>4495.6073253760396</v>
      </c>
      <c r="AJ77" s="477">
        <f t="shared" si="5"/>
        <v>0.44131233257705793</v>
      </c>
    </row>
    <row r="78" spans="1:36" s="245" customFormat="1">
      <c r="A78" s="453" t="s">
        <v>149</v>
      </c>
      <c r="B78" s="453">
        <f>SUM('[1]GDP KP'!AN78:AQ78)</f>
        <v>871.44376930199758</v>
      </c>
      <c r="C78" s="453">
        <f>SUM('[1]GDP KP'!AR78:AU78)</f>
        <v>930.1629067336944</v>
      </c>
      <c r="D78" s="453">
        <f>SUM('[1]GDP KP'!AV78:AY78)</f>
        <v>991.61677682603283</v>
      </c>
      <c r="E78" s="453">
        <f>SUM('[1]GDP KP'!AZ78:BC78)</f>
        <v>1171.8333849603855</v>
      </c>
      <c r="F78" s="453">
        <f>SUM('[1]GDP KP'!BD78:BG78)</f>
        <v>1337.6809006848318</v>
      </c>
      <c r="G78" s="453">
        <f>SUM('[1]GDP KP'!BH78:BK78)</f>
        <v>1196.1439669152562</v>
      </c>
      <c r="H78" s="453">
        <f>SUM('[1]GDP KP'!BL78:BO78)</f>
        <v>1357.1464462642316</v>
      </c>
      <c r="I78" s="453">
        <f>SUM('[1]GDP KP'!BP78:BS78)</f>
        <v>1572.9791602950963</v>
      </c>
      <c r="J78" s="453" t="e">
        <f>SUM('[1]GDP KP'!BT78:BW78)</f>
        <v>#REF!</v>
      </c>
      <c r="L78" s="453" t="s">
        <v>149</v>
      </c>
      <c r="M78" s="461">
        <f>SUM('[1]GDP KP'!AN78:AO78)</f>
        <v>423.39146656824528</v>
      </c>
      <c r="N78" s="461">
        <f>SUM('[1]GDP KP'!AP78:AQ78)</f>
        <v>448.05230273375236</v>
      </c>
      <c r="O78" s="461">
        <f>SUM('[1]GDP KP'!AR78:AS78)</f>
        <v>474.82904155361638</v>
      </c>
      <c r="P78" s="461">
        <f>SUM('[1]GDP KP'!AT78:AU78)</f>
        <v>455.33386518007796</v>
      </c>
      <c r="Q78" s="461">
        <f>SUM('[1]GDP KP'!AV78:AW78)</f>
        <v>471.59722906970978</v>
      </c>
      <c r="R78" s="461">
        <f>SUM('[1]GDP KP'!BO78:BR78)</f>
        <v>1525.8828601553889</v>
      </c>
      <c r="S78" s="461">
        <f>SUM('[1]GDP KP'!AZ78:BA78)</f>
        <v>561.35769007527369</v>
      </c>
      <c r="T78" s="461">
        <f>SUM('[1]GDP KP'!BB78:BC78)</f>
        <v>610.47569488511181</v>
      </c>
      <c r="U78" s="461">
        <f>SUM('[1]GDP KP'!BD78:BE78)</f>
        <v>629.21802668334294</v>
      </c>
      <c r="V78" s="461">
        <f>SUM('[1]GDP KP'!BF78:BG78)</f>
        <v>708.4628740014889</v>
      </c>
      <c r="W78" s="461">
        <f>SUM('[1]GDP KP'!BH78:BI78)</f>
        <v>554.85387050570239</v>
      </c>
      <c r="X78" s="461">
        <f>SUM('[1]GDP KP'!BJ78:BK78)</f>
        <v>641.29009640955383</v>
      </c>
      <c r="Y78" s="461">
        <f>SUM('[1]GDP KP'!BL78:BM78)</f>
        <v>636.78621014757459</v>
      </c>
      <c r="Z78" s="461">
        <f>SUM('[1]GDP KP'!BN78:BO78)</f>
        <v>720.36023611665701</v>
      </c>
      <c r="AA78" s="461">
        <f>SUM('[1]GDP KP'!BP78:BQ78)</f>
        <v>733.62095867621133</v>
      </c>
      <c r="AB78" s="461">
        <f>SUM('[1]GDP KP'!BR78:BS78)</f>
        <v>839.358201618885</v>
      </c>
      <c r="AC78" s="461">
        <f>SUM('[1]GDP KP'!BT78:BU78)</f>
        <v>819.01719487072728</v>
      </c>
      <c r="AD78" s="461" t="e">
        <f>SUM('[1]GDP KP'!BV78:BW78)</f>
        <v>#REF!</v>
      </c>
      <c r="AH78" s="213">
        <f t="shared" si="7"/>
        <v>560.70681165995961</v>
      </c>
      <c r="AI78" s="213">
        <f t="shared" si="6"/>
        <v>1304.3588280475742</v>
      </c>
      <c r="AJ78" s="17">
        <f t="shared" si="5"/>
        <v>0.42987159637601563</v>
      </c>
    </row>
    <row r="79" spans="1:36">
      <c r="A79" s="454" t="s">
        <v>548</v>
      </c>
      <c r="B79" s="33">
        <f>SUM('[1]GDP KP'!AN79:AQ79)</f>
        <v>35.661676376410355</v>
      </c>
      <c r="C79" s="33">
        <f>SUM('[1]GDP KP'!AR79:AU79)</f>
        <v>38.084694067375992</v>
      </c>
      <c r="D79" s="33">
        <f>SUM('[1]GDP KP'!AV79:AY79)</f>
        <v>40.309849437927376</v>
      </c>
      <c r="E79" s="33">
        <f>SUM('[1]GDP KP'!AZ79:BC79)</f>
        <v>42.956103311877143</v>
      </c>
      <c r="F79" s="33">
        <f>SUM('[1]GDP KP'!BD79:BG79)</f>
        <v>45.938641777315773</v>
      </c>
      <c r="G79" s="33">
        <f>SUM('[1]GDP KP'!BH79:BK79)</f>
        <v>44.533991009413079</v>
      </c>
      <c r="H79" s="33">
        <f>SUM('[1]GDP KP'!BL79:BO79)</f>
        <v>60.234141389590924</v>
      </c>
      <c r="I79" s="33">
        <f>SUM('[1]GDP KP'!BP79:BS79)</f>
        <v>63.286810108550405</v>
      </c>
      <c r="J79" s="33" t="e">
        <f>SUM('[1]GDP KP'!BT79:BW79)</f>
        <v>#REF!</v>
      </c>
      <c r="L79" s="454" t="s">
        <v>548</v>
      </c>
      <c r="M79" s="459">
        <f>SUM('[1]GDP KP'!AN79:AO79)</f>
        <v>17.641654384637853</v>
      </c>
      <c r="N79" s="459">
        <f>SUM('[1]GDP KP'!AP79:AQ79)</f>
        <v>18.020021991772509</v>
      </c>
      <c r="O79" s="459">
        <f>SUM('[1]GDP KP'!AR79:AS79)</f>
        <v>18.668008807969638</v>
      </c>
      <c r="P79" s="459">
        <f>SUM('[1]GDP KP'!AT79:AU79)</f>
        <v>19.41668525940635</v>
      </c>
      <c r="Q79" s="459">
        <f>SUM('[1]GDP KP'!AV79:AW79)</f>
        <v>19.844191149485944</v>
      </c>
      <c r="R79" s="459">
        <f>SUM('[1]GDP KP'!BO79:BR79)</f>
        <v>62.801854654519033</v>
      </c>
      <c r="S79" s="459">
        <f>SUM('[1]GDP KP'!AZ79:BA79)</f>
        <v>21.164477991823148</v>
      </c>
      <c r="T79" s="459">
        <f>SUM('[1]GDP KP'!BB79:BC79)</f>
        <v>21.791625320053999</v>
      </c>
      <c r="U79" s="459">
        <f>SUM('[1]GDP KP'!BD79:BE79)</f>
        <v>22.408155061721519</v>
      </c>
      <c r="V79" s="459">
        <f>SUM('[1]GDP KP'!BF79:BG79)</f>
        <v>23.53048671559425</v>
      </c>
      <c r="W79" s="459">
        <f>SUM('[1]GDP KP'!BH79:BI79)</f>
        <v>17.634193672244329</v>
      </c>
      <c r="X79" s="459">
        <f>SUM('[1]GDP KP'!BJ79:BK79)</f>
        <v>26.899797337168749</v>
      </c>
      <c r="Y79" s="459">
        <f>SUM('[1]GDP KP'!BL79:BM79)</f>
        <v>29.364243544350796</v>
      </c>
      <c r="Z79" s="459">
        <f>SUM('[1]GDP KP'!BN79:BO79)</f>
        <v>30.869897845240132</v>
      </c>
      <c r="AA79" s="459">
        <f>SUM('[1]GDP KP'!BP79:BQ79)</f>
        <v>31.39760326726396</v>
      </c>
      <c r="AB79" s="459">
        <f>SUM('[1]GDP KP'!BR79:BS79)</f>
        <v>31.889206841286445</v>
      </c>
      <c r="AC79" s="459">
        <f>SUM('[1]GDP KP'!BT79:BU79)</f>
        <v>32.439653745039323</v>
      </c>
      <c r="AD79" s="459" t="e">
        <f>SUM('[1]GDP KP'!BV79:BW79)</f>
        <v>#REF!</v>
      </c>
      <c r="AE79" s="459"/>
      <c r="AF79" s="459"/>
      <c r="AG79" s="459"/>
      <c r="AH79" s="459">
        <f t="shared" si="7"/>
        <v>22.265315984937146</v>
      </c>
      <c r="AI79" s="459">
        <f t="shared" si="6"/>
        <v>51.667762980567332</v>
      </c>
      <c r="AJ79" s="479">
        <f t="shared" si="5"/>
        <v>0.43093245576185124</v>
      </c>
    </row>
    <row r="80" spans="1:36">
      <c r="A80" s="454" t="s">
        <v>549</v>
      </c>
      <c r="B80" s="33">
        <f>SUM('[1]GDP KP'!AN80:AQ80)</f>
        <v>550.42225923845967</v>
      </c>
      <c r="C80" s="33">
        <f>SUM('[1]GDP KP'!AR80:AU80)</f>
        <v>584.03636384375068</v>
      </c>
      <c r="D80" s="33">
        <f>SUM('[1]GDP KP'!AV80:AY80)</f>
        <v>596.65142248393397</v>
      </c>
      <c r="E80" s="33">
        <f>SUM('[1]GDP KP'!AZ80:BC80)</f>
        <v>704.52470586913341</v>
      </c>
      <c r="F80" s="33">
        <f>SUM('[1]GDP KP'!BD80:BG80)</f>
        <v>814.93869232425197</v>
      </c>
      <c r="G80" s="33">
        <f>SUM('[1]GDP KP'!BH80:BK80)</f>
        <v>787.67483029623884</v>
      </c>
      <c r="H80" s="33">
        <f>SUM('[1]GDP KP'!BL80:BO80)</f>
        <v>879.77374896436197</v>
      </c>
      <c r="I80" s="33">
        <f>SUM('[1]GDP KP'!BP80:BS80)</f>
        <v>1001.9647256397195</v>
      </c>
      <c r="J80" s="33" t="e">
        <f>SUM('[1]GDP KP'!BT80:BW80)</f>
        <v>#REF!</v>
      </c>
      <c r="L80" s="454" t="s">
        <v>549</v>
      </c>
      <c r="M80" s="459">
        <f>SUM('[1]GDP KP'!AN80:AO80)</f>
        <v>268.94240676302513</v>
      </c>
      <c r="N80" s="459">
        <f>SUM('[1]GDP KP'!AP80:AQ80)</f>
        <v>281.4798524754346</v>
      </c>
      <c r="O80" s="459">
        <f>SUM('[1]GDP KP'!AR80:AS80)</f>
        <v>303.43537050940387</v>
      </c>
      <c r="P80" s="459">
        <f>SUM('[1]GDP KP'!AT80:AU80)</f>
        <v>280.60099333434687</v>
      </c>
      <c r="Q80" s="459">
        <f>SUM('[1]GDP KP'!AV80:AW80)</f>
        <v>285.10005160391756</v>
      </c>
      <c r="R80" s="459">
        <f>SUM('[1]GDP KP'!BO80:BR80)</f>
        <v>973.54151859974945</v>
      </c>
      <c r="S80" s="459">
        <f>SUM('[1]GDP KP'!AZ80:BA80)</f>
        <v>339.96662021125894</v>
      </c>
      <c r="T80" s="459">
        <f>SUM('[1]GDP KP'!BB80:BC80)</f>
        <v>364.55808565787447</v>
      </c>
      <c r="U80" s="459">
        <f>SUM('[1]GDP KP'!BD80:BE80)</f>
        <v>387.36872281942897</v>
      </c>
      <c r="V80" s="459">
        <f>SUM('[1]GDP KP'!BF80:BG80)</f>
        <v>427.56996950482306</v>
      </c>
      <c r="W80" s="459">
        <f>SUM('[1]GDP KP'!BH80:BI80)</f>
        <v>363.52234499436804</v>
      </c>
      <c r="X80" s="459">
        <f>SUM('[1]GDP KP'!BJ80:BK80)</f>
        <v>424.1524853018708</v>
      </c>
      <c r="Y80" s="459">
        <f>SUM('[1]GDP KP'!BL80:BM80)</f>
        <v>416.75431105996933</v>
      </c>
      <c r="Z80" s="459">
        <f>SUM('[1]GDP KP'!BN80:BO80)</f>
        <v>463.0194379043927</v>
      </c>
      <c r="AA80" s="459">
        <f>SUM('[1]GDP KP'!BP80:BQ80)</f>
        <v>466.84047225165079</v>
      </c>
      <c r="AB80" s="459">
        <f>SUM('[1]GDP KP'!BR80:BS80)</f>
        <v>535.12425338806884</v>
      </c>
      <c r="AC80" s="459">
        <f>SUM('[1]GDP KP'!BT80:BU80)</f>
        <v>519.82580024940455</v>
      </c>
      <c r="AD80" s="459" t="e">
        <f>SUM('[1]GDP KP'!BV80:BW80)</f>
        <v>#REF!</v>
      </c>
      <c r="AE80" s="459">
        <f>AC80+AC81</f>
        <v>786.57754112568796</v>
      </c>
      <c r="AF80" s="459"/>
      <c r="AG80" s="459"/>
      <c r="AH80" s="459">
        <f t="shared" si="7"/>
        <v>353.99128752662784</v>
      </c>
      <c r="AI80" s="459">
        <f t="shared" si="6"/>
        <v>822.7471120474479</v>
      </c>
      <c r="AJ80" s="479">
        <f t="shared" si="5"/>
        <v>0.43025527813242953</v>
      </c>
    </row>
    <row r="81" spans="1:36">
      <c r="A81" s="454" t="s">
        <v>12</v>
      </c>
      <c r="B81" s="33">
        <f>SUM('[1]GDP KP'!AN81:AQ81)</f>
        <v>285.17647134772972</v>
      </c>
      <c r="C81" s="33">
        <f>SUM('[1]GDP KP'!AR81:AU81)</f>
        <v>308.04184882256766</v>
      </c>
      <c r="D81" s="33">
        <f>SUM('[1]GDP KP'!AV81:AY81)</f>
        <v>354.65550490417149</v>
      </c>
      <c r="E81" s="33">
        <f>SUM('[1]GDP KP'!AZ81:BC81)</f>
        <v>424.35257577937494</v>
      </c>
      <c r="F81" s="33">
        <f>SUM('[1]GDP KP'!BD81:BG81)</f>
        <v>476.803566583264</v>
      </c>
      <c r="G81" s="33">
        <f>SUM('[1]GDP KP'!BH81:BK81)</f>
        <v>363.93514560960443</v>
      </c>
      <c r="H81" s="33">
        <f>SUM('[1]GDP KP'!BL81:BO81)</f>
        <v>417.13855591027868</v>
      </c>
      <c r="I81" s="33">
        <f>SUM('[1]GDP KP'!BP81:BS81)</f>
        <v>507.72762454682635</v>
      </c>
      <c r="J81" s="33" t="e">
        <f>SUM('[1]GDP KP'!BT81:BW81)</f>
        <v>#REF!</v>
      </c>
      <c r="L81" s="454" t="s">
        <v>12</v>
      </c>
      <c r="M81" s="459">
        <f>SUM('[1]GDP KP'!AN81:AO81)</f>
        <v>136.68199462211282</v>
      </c>
      <c r="N81" s="459">
        <f>SUM('[1]GDP KP'!AP81:AQ81)</f>
        <v>148.49447672561689</v>
      </c>
      <c r="O81" s="459">
        <f>SUM('[1]GDP KP'!AR81:AS81)</f>
        <v>152.7256622362429</v>
      </c>
      <c r="P81" s="459">
        <f>SUM('[1]GDP KP'!AT81:AU81)</f>
        <v>155.31618658632476</v>
      </c>
      <c r="Q81" s="459">
        <f>SUM('[1]GDP KP'!AV81:AW81)</f>
        <v>166.65298631630631</v>
      </c>
      <c r="R81" s="459">
        <f>SUM('[1]GDP KP'!BO81:BR81)</f>
        <v>489.53948690112065</v>
      </c>
      <c r="S81" s="459">
        <f>SUM('[1]GDP KP'!AZ81:BA81)</f>
        <v>200.22659187219165</v>
      </c>
      <c r="T81" s="459">
        <f>SUM('[1]GDP KP'!BB81:BC81)</f>
        <v>224.1259839071833</v>
      </c>
      <c r="U81" s="459">
        <f>SUM('[1]GDP KP'!BD81:BE81)</f>
        <v>219.4411488021924</v>
      </c>
      <c r="V81" s="459">
        <f>SUM('[1]GDP KP'!BF81:BG81)</f>
        <v>257.3624177810716</v>
      </c>
      <c r="W81" s="459">
        <f>SUM('[1]GDP KP'!BH81:BI81)</f>
        <v>173.69733183909011</v>
      </c>
      <c r="X81" s="459">
        <f>SUM('[1]GDP KP'!BJ81:BK81)</f>
        <v>190.23781377051432</v>
      </c>
      <c r="Y81" s="459">
        <f>SUM('[1]GDP KP'!BL81:BM81)</f>
        <v>190.66765554325445</v>
      </c>
      <c r="Z81" s="459">
        <f>SUM('[1]GDP KP'!BN81:BO81)</f>
        <v>226.47090036702423</v>
      </c>
      <c r="AA81" s="459">
        <f>SUM('[1]GDP KP'!BP81:BQ81)</f>
        <v>235.38288315729659</v>
      </c>
      <c r="AB81" s="459">
        <f>SUM('[1]GDP KP'!BR81:BS81)</f>
        <v>272.34474138952976</v>
      </c>
      <c r="AC81" s="459">
        <f>SUM('[1]GDP KP'!BT81:BU81)</f>
        <v>266.75174087628346</v>
      </c>
      <c r="AD81" s="459" t="e">
        <f>SUM('[1]GDP KP'!BV81:BW81)</f>
        <v>#REF!</v>
      </c>
      <c r="AE81" s="459"/>
      <c r="AF81" s="459"/>
      <c r="AG81" s="459"/>
      <c r="AH81" s="459">
        <f t="shared" si="7"/>
        <v>184.43453179858594</v>
      </c>
      <c r="AI81" s="459">
        <f t="shared" si="6"/>
        <v>429.9210327271341</v>
      </c>
      <c r="AJ81" s="479">
        <f t="shared" si="5"/>
        <v>0.42899629875899653</v>
      </c>
    </row>
    <row r="82" spans="1:36">
      <c r="A82" s="451" t="s">
        <v>550</v>
      </c>
      <c r="B82" s="33">
        <f>SUM('[1]GDP KP'!AN82:AQ82)</f>
        <v>53.230536698322005</v>
      </c>
      <c r="C82" s="33">
        <f>SUM('[1]GDP KP'!AR82:AU82)</f>
        <v>57.213566666130831</v>
      </c>
      <c r="D82" s="33">
        <f>SUM('[1]GDP KP'!AV82:AY82)</f>
        <v>95.721929474907824</v>
      </c>
      <c r="E82" s="33">
        <f>SUM('[1]GDP KP'!AZ82:BC82)</f>
        <v>122.86763801256285</v>
      </c>
      <c r="F82" s="33">
        <f>SUM('[1]GDP KP'!BD82:BG82)</f>
        <v>144.6320247196816</v>
      </c>
      <c r="G82" s="33">
        <f>SUM('[1]GDP KP'!BH82:BK82)</f>
        <v>51.09996734470856</v>
      </c>
      <c r="H82" s="33">
        <f>SUM('[1]GDP KP'!BL82:BO82)</f>
        <v>58.964986495759319</v>
      </c>
      <c r="I82" s="33">
        <f>SUM('[1]GDP KP'!BP82:BS82)</f>
        <v>104.52191711108063</v>
      </c>
      <c r="J82" s="33" t="e">
        <f>SUM('[1]GDP KP'!BT82:BW82)</f>
        <v>#REF!</v>
      </c>
      <c r="L82" s="464" t="s">
        <v>550</v>
      </c>
      <c r="M82" s="462">
        <f>SUM('[1]GDP KP'!AN82:AO82)</f>
        <v>24.434860333464393</v>
      </c>
      <c r="N82" s="462">
        <f>SUM('[1]GDP KP'!AP82:AQ82)</f>
        <v>28.795676364857616</v>
      </c>
      <c r="O82" s="462">
        <f>SUM('[1]GDP KP'!AR82:AS82)</f>
        <v>26.42560458788989</v>
      </c>
      <c r="P82" s="462">
        <f>SUM('[1]GDP KP'!AT82:AU82)</f>
        <v>30.787962078240941</v>
      </c>
      <c r="Q82" s="462">
        <f>SUM('[1]GDP KP'!AV82:AW82)</f>
        <v>43.605333615266019</v>
      </c>
      <c r="R82" s="462">
        <f>SUM('[1]GDP KP'!BO82:BR82)</f>
        <v>95.206782966573854</v>
      </c>
      <c r="S82" s="462">
        <f>SUM('[1]GDP KP'!AZ82:BA82)</f>
        <v>53.543205412055137</v>
      </c>
      <c r="T82" s="462">
        <f>SUM('[1]GDP KP'!BB82:BC82)</f>
        <v>69.32443260050772</v>
      </c>
      <c r="U82" s="462">
        <f>SUM('[1]GDP KP'!BD82:BE82)</f>
        <v>61.059207573322411</v>
      </c>
      <c r="V82" s="462">
        <f>SUM('[1]GDP KP'!BF82:BG82)</f>
        <v>83.572817146359199</v>
      </c>
      <c r="W82" s="462">
        <f>SUM('[1]GDP KP'!BH82:BI82)</f>
        <v>26.821926043556466</v>
      </c>
      <c r="X82" s="462">
        <f>SUM('[1]GDP KP'!BJ82:BK82)</f>
        <v>24.278041301152097</v>
      </c>
      <c r="Y82" s="462">
        <f>SUM('[1]GDP KP'!BL82:BM82)</f>
        <v>22.732812576309872</v>
      </c>
      <c r="Z82" s="462">
        <f>SUM('[1]GDP KP'!BN82:BO82)</f>
        <v>36.232173919449451</v>
      </c>
      <c r="AA82" s="462">
        <f>SUM('[1]GDP KP'!BP82:BQ82)</f>
        <v>46.009960027658252</v>
      </c>
      <c r="AB82" s="462">
        <f>SUM('[1]GDP KP'!BR82:BS82)</f>
        <v>58.511957083422374</v>
      </c>
      <c r="AC82" s="462">
        <f>SUM('[1]GDP KP'!BT82:BU82)</f>
        <v>57.746827494796783</v>
      </c>
      <c r="AD82" s="462" t="e">
        <f>SUM('[1]GDP KP'!BV82:BW82)</f>
        <v>#REF!</v>
      </c>
      <c r="AH82" s="213">
        <f t="shared" si="7"/>
        <v>38.079113771190308</v>
      </c>
      <c r="AI82" s="213">
        <f t="shared" si="6"/>
        <v>91.417844203760708</v>
      </c>
      <c r="AJ82" s="17">
        <f t="shared" si="5"/>
        <v>0.41653917900662796</v>
      </c>
    </row>
    <row r="83" spans="1:36">
      <c r="A83" s="451" t="s">
        <v>551</v>
      </c>
      <c r="B83" s="33">
        <f>SUM('[1]GDP KP'!AN83:AQ83)</f>
        <v>187.20692747950577</v>
      </c>
      <c r="C83" s="33">
        <f>SUM('[1]GDP KP'!AR83:AU83)</f>
        <v>196.20296148730111</v>
      </c>
      <c r="D83" s="33">
        <f>SUM('[1]GDP KP'!AV83:AY83)</f>
        <v>204.95827002884135</v>
      </c>
      <c r="E83" s="33">
        <f>SUM('[1]GDP KP'!AZ83:BC83)</f>
        <v>237.24467180300962</v>
      </c>
      <c r="F83" s="33">
        <f>SUM('[1]GDP KP'!BD83:BG83)</f>
        <v>258.64764023712428</v>
      </c>
      <c r="G83" s="33">
        <f>SUM('[1]GDP KP'!BH83:BK83)</f>
        <v>251.37001173736502</v>
      </c>
      <c r="H83" s="33">
        <f>SUM('[1]GDP KP'!BL83:BO83)</f>
        <v>277.02893639760669</v>
      </c>
      <c r="I83" s="33">
        <f>SUM('[1]GDP KP'!BP83:BS83)</f>
        <v>312.61069571274106</v>
      </c>
      <c r="J83" s="33" t="e">
        <f>SUM('[1]GDP KP'!BT83:BW83)</f>
        <v>#REF!</v>
      </c>
      <c r="L83" s="464" t="s">
        <v>551</v>
      </c>
      <c r="M83" s="462">
        <f>SUM('[1]GDP KP'!AN83:AO83)</f>
        <v>92.373827482342122</v>
      </c>
      <c r="N83" s="462">
        <f>SUM('[1]GDP KP'!AP83:AQ83)</f>
        <v>94.833099997163629</v>
      </c>
      <c r="O83" s="462">
        <f>SUM('[1]GDP KP'!AR83:AS83)</f>
        <v>99.697294465086173</v>
      </c>
      <c r="P83" s="462">
        <f>SUM('[1]GDP KP'!AT83:AU83)</f>
        <v>96.505667022214922</v>
      </c>
      <c r="Q83" s="462">
        <f>SUM('[1]GDP KP'!AV83:AW83)</f>
        <v>98.269850537968154</v>
      </c>
      <c r="R83" s="462">
        <f>SUM('[1]GDP KP'!BO83:BR83)</f>
        <v>303.02194778118621</v>
      </c>
      <c r="S83" s="462">
        <f>SUM('[1]GDP KP'!AZ83:BA83)</f>
        <v>115.39848945488949</v>
      </c>
      <c r="T83" s="462">
        <f>SUM('[1]GDP KP'!BB83:BC83)</f>
        <v>121.84618234812015</v>
      </c>
      <c r="U83" s="462">
        <f>SUM('[1]GDP KP'!BD83:BE83)</f>
        <v>124.63754157025278</v>
      </c>
      <c r="V83" s="462">
        <f>SUM('[1]GDP KP'!BF83:BG83)</f>
        <v>134.0100986668715</v>
      </c>
      <c r="W83" s="462">
        <f>SUM('[1]GDP KP'!BH83:BI83)</f>
        <v>117.70805874778391</v>
      </c>
      <c r="X83" s="462">
        <f>SUM('[1]GDP KP'!BJ83:BK83)</f>
        <v>133.66195298958112</v>
      </c>
      <c r="Y83" s="462">
        <f>SUM('[1]GDP KP'!BL83:BM83)</f>
        <v>131.46178575868572</v>
      </c>
      <c r="Z83" s="462">
        <f>SUM('[1]GDP KP'!BN83:BO83)</f>
        <v>145.56715063892094</v>
      </c>
      <c r="AA83" s="462">
        <f>SUM('[1]GDP KP'!BP83:BQ83)</f>
        <v>145.90310802292638</v>
      </c>
      <c r="AB83" s="462">
        <f>SUM('[1]GDP KP'!BR83:BS83)</f>
        <v>166.70758768981472</v>
      </c>
      <c r="AC83" s="462">
        <f>SUM('[1]GDP KP'!BT83:BU83)</f>
        <v>161.88460102337785</v>
      </c>
      <c r="AD83" s="462" t="e">
        <f>SUM('[1]GDP KP'!BV83:BW83)</f>
        <v>#REF!</v>
      </c>
      <c r="AH83" s="213">
        <f t="shared" si="7"/>
        <v>115.68124450499185</v>
      </c>
      <c r="AI83" s="213">
        <f t="shared" si="6"/>
        <v>265.200455396726</v>
      </c>
      <c r="AJ83" s="17">
        <f t="shared" si="5"/>
        <v>0.43620303868610921</v>
      </c>
    </row>
    <row r="84" spans="1:36">
      <c r="A84" s="451" t="s">
        <v>552</v>
      </c>
      <c r="B84" s="33">
        <f>SUM('[1]GDP KP'!AN84:AQ84)</f>
        <v>52.477478789775688</v>
      </c>
      <c r="C84" s="33">
        <f>SUM('[1]GDP KP'!AR84:AU84)</f>
        <v>54.625320669135647</v>
      </c>
      <c r="D84" s="33">
        <f>SUM('[1]GDP KP'!AV84:AY84)</f>
        <v>53.975305400422172</v>
      </c>
      <c r="E84" s="33">
        <f>SUM('[1]GDP KP'!AZ84:BC84)</f>
        <v>64.240265963802386</v>
      </c>
      <c r="F84" s="33">
        <f>SUM('[1]GDP KP'!BD84:BG84)</f>
        <v>73.523901626457985</v>
      </c>
      <c r="G84" s="33">
        <f>SUM('[1]GDP KP'!BH84:BK84)</f>
        <v>61.465166527530769</v>
      </c>
      <c r="H84" s="33">
        <f>SUM('[1]GDP KP'!BL84:BO84)</f>
        <v>81.14463301691265</v>
      </c>
      <c r="I84" s="33">
        <f>SUM('[1]GDP KP'!BP84:BS84)</f>
        <v>90.595011723004561</v>
      </c>
      <c r="J84" s="33" t="e">
        <f>SUM('[1]GDP KP'!BT84:BW84)</f>
        <v>#REF!</v>
      </c>
      <c r="L84" s="464" t="s">
        <v>552</v>
      </c>
      <c r="M84" s="462">
        <f>SUM('[1]GDP KP'!AN84:AO84)</f>
        <v>24.908670851112884</v>
      </c>
      <c r="N84" s="462">
        <f>SUM('[1]GDP KP'!AP84:AQ84)</f>
        <v>27.568807938662804</v>
      </c>
      <c r="O84" s="462">
        <f>SUM('[1]GDP KP'!AR84:AS84)</f>
        <v>26.602763183266759</v>
      </c>
      <c r="P84" s="462">
        <f>SUM('[1]GDP KP'!AT84:AU84)</f>
        <v>28.022557485868887</v>
      </c>
      <c r="Q84" s="462">
        <f>SUM('[1]GDP KP'!AV84:AW84)</f>
        <v>24.777802163072103</v>
      </c>
      <c r="R84" s="462">
        <f>SUM('[1]GDP KP'!BO84:BR84)</f>
        <v>91.310756153360444</v>
      </c>
      <c r="S84" s="462">
        <f>SUM('[1]GDP KP'!AZ84:BA84)</f>
        <v>31.284897005246997</v>
      </c>
      <c r="T84" s="462">
        <f>SUM('[1]GDP KP'!BB84:BC84)</f>
        <v>32.955368958555383</v>
      </c>
      <c r="U84" s="462">
        <f>SUM('[1]GDP KP'!BD84:BE84)</f>
        <v>33.744399658617169</v>
      </c>
      <c r="V84" s="462">
        <f>SUM('[1]GDP KP'!BF84:BG84)</f>
        <v>39.779501967840801</v>
      </c>
      <c r="W84" s="462">
        <f>SUM('[1]GDP KP'!BH84:BI84)</f>
        <v>29.167347047749693</v>
      </c>
      <c r="X84" s="462">
        <f>SUM('[1]GDP KP'!BJ84:BK84)</f>
        <v>32.297819479781083</v>
      </c>
      <c r="Y84" s="462">
        <f>SUM('[1]GDP KP'!BL84:BM84)</f>
        <v>36.473057208258865</v>
      </c>
      <c r="Z84" s="462">
        <f>SUM('[1]GDP KP'!BN84:BO84)</f>
        <v>44.671575808653785</v>
      </c>
      <c r="AA84" s="462">
        <f>SUM('[1]GDP KP'!BP84:BQ84)</f>
        <v>43.469815106711891</v>
      </c>
      <c r="AB84" s="462">
        <f>SUM('[1]GDP KP'!BR84:BS84)</f>
        <v>47.125196616292669</v>
      </c>
      <c r="AC84" s="462">
        <f>SUM('[1]GDP KP'!BT84:BU84)</f>
        <v>47.12031235810877</v>
      </c>
      <c r="AD84" s="462" t="e">
        <f>SUM('[1]GDP KP'!BV84:BW84)</f>
        <v>#REF!</v>
      </c>
      <c r="AH84" s="213">
        <f t="shared" si="7"/>
        <v>31.303594028004547</v>
      </c>
      <c r="AI84" s="213">
        <f t="shared" si="6"/>
        <v>74.270042079131528</v>
      </c>
      <c r="AJ84" s="17">
        <f t="shared" si="5"/>
        <v>0.42148345620501892</v>
      </c>
    </row>
    <row r="85" spans="1:36" s="482" customFormat="1">
      <c r="A85" s="481" t="s">
        <v>150</v>
      </c>
      <c r="B85" s="481">
        <f>SUM('[1]GDP KP'!AN85:AQ85)</f>
        <v>2384.699543982244</v>
      </c>
      <c r="C85" s="481">
        <f>SUM('[1]GDP KP'!AR85:AU85)</f>
        <v>2558.6260211354788</v>
      </c>
      <c r="D85" s="481">
        <f>SUM('[1]GDP KP'!AV85:AY85)</f>
        <v>2692.1117981814814</v>
      </c>
      <c r="E85" s="481">
        <f>SUM('[1]GDP KP'!AZ85:BC85)</f>
        <v>2869.1046697238498</v>
      </c>
      <c r="F85" s="481">
        <f>SUM('[1]GDP KP'!BD85:BG85)</f>
        <v>3038.2073904141639</v>
      </c>
      <c r="G85" s="481">
        <f>SUM('[1]GDP KP'!BH85:BK85)</f>
        <v>2937.4335017614244</v>
      </c>
      <c r="H85" s="481">
        <f>SUM('[1]GDP KP'!BL85:BO85)</f>
        <v>3267.487031001654</v>
      </c>
      <c r="I85" s="481">
        <f>SUM('[1]GDP KP'!BP85:BS85)</f>
        <v>3614.0671804773406</v>
      </c>
      <c r="J85" s="481" t="e">
        <f>SUM('[1]GDP KP'!BT85:BW85)</f>
        <v>#REF!</v>
      </c>
      <c r="L85" s="481" t="s">
        <v>150</v>
      </c>
      <c r="M85" s="481">
        <f>SUM('[1]GDP KP'!AN85:AO85)</f>
        <v>1165.7381782429243</v>
      </c>
      <c r="N85" s="481">
        <f>SUM('[1]GDP KP'!AP85:AQ85)</f>
        <v>1218.9613657393197</v>
      </c>
      <c r="O85" s="481">
        <f>SUM('[1]GDP KP'!AR85:AS85)</f>
        <v>1260.3351661298798</v>
      </c>
      <c r="P85" s="481">
        <f>SUM('[1]GDP KP'!AT85:AU85)</f>
        <v>1298.290855005599</v>
      </c>
      <c r="Q85" s="481">
        <f>SUM('[1]GDP KP'!AV85:AW85)</f>
        <v>1318.4965691134385</v>
      </c>
      <c r="R85" s="481">
        <f>SUM('[1]GDP KP'!BO85:BR85)</f>
        <v>3542.1524550821759</v>
      </c>
      <c r="S85" s="481">
        <f>SUM('[1]GDP KP'!AZ85:BA85)</f>
        <v>1407.7070500867007</v>
      </c>
      <c r="T85" s="481">
        <f>SUM('[1]GDP KP'!BB85:BC85)</f>
        <v>1461.3976196371486</v>
      </c>
      <c r="U85" s="481">
        <f>SUM('[1]GDP KP'!BD85:BE85)</f>
        <v>1488.1946362037247</v>
      </c>
      <c r="V85" s="481">
        <f>SUM('[1]GDP KP'!BF85:BG85)</f>
        <v>1550.0127542104392</v>
      </c>
      <c r="W85" s="481">
        <f>SUM('[1]GDP KP'!BH85:BI85)</f>
        <v>1441.7181483072359</v>
      </c>
      <c r="X85" s="481">
        <f>SUM('[1]GDP KP'!BJ85:BK85)</f>
        <v>1495.7153534541885</v>
      </c>
      <c r="Y85" s="481">
        <f>SUM('[1]GDP KP'!BL85:BM85)</f>
        <v>1575.3255353240077</v>
      </c>
      <c r="Z85" s="481">
        <f>SUM('[1]GDP KP'!BN85:BO85)</f>
        <v>1692.1614956776461</v>
      </c>
      <c r="AA85" s="481">
        <f>SUM('[1]GDP KP'!BP85:BQ85)</f>
        <v>1728.5404018258457</v>
      </c>
      <c r="AB85" s="481">
        <f>SUM('[1]GDP KP'!BR85:BS85)</f>
        <v>1885.5267786514949</v>
      </c>
      <c r="AC85" s="481">
        <f>SUM('[1]GDP KP'!BT85:BU85)</f>
        <v>1922.5389026880803</v>
      </c>
      <c r="AD85" s="481" t="e">
        <f>SUM('[1]GDP KP'!BV85:BW85)</f>
        <v>#REF!</v>
      </c>
      <c r="AE85" s="481"/>
      <c r="AF85" s="481"/>
      <c r="AG85" s="481"/>
      <c r="AH85" s="481">
        <f t="shared" si="7"/>
        <v>1423.2569606542197</v>
      </c>
      <c r="AI85" s="481">
        <f t="shared" si="6"/>
        <v>3191.2842953364711</v>
      </c>
      <c r="AJ85" s="477">
        <f t="shared" si="5"/>
        <v>0.44598250388850408</v>
      </c>
    </row>
    <row r="86" spans="1:36" s="482" customFormat="1">
      <c r="A86" s="483" t="s">
        <v>553</v>
      </c>
      <c r="B86" s="483">
        <f>SUM('[1]GDP KP'!AN86:AQ86)</f>
        <v>116.9644868070001</v>
      </c>
      <c r="C86" s="483">
        <f>SUM('[1]GDP KP'!AR86:AU86)</f>
        <v>130.15110711912297</v>
      </c>
      <c r="D86" s="483">
        <f>SUM('[1]GDP KP'!AV86:AY86)</f>
        <v>139.7686343576747</v>
      </c>
      <c r="E86" s="483">
        <f>SUM('[1]GDP KP'!AZ86:BC86)</f>
        <v>150.03240120922248</v>
      </c>
      <c r="F86" s="483">
        <f>SUM('[1]GDP KP'!BD86:BG86)</f>
        <v>164.63336804520736</v>
      </c>
      <c r="G86" s="483">
        <f>SUM('[1]GDP KP'!BH86:BK86)</f>
        <v>98.397195871785399</v>
      </c>
      <c r="H86" s="483">
        <f>SUM('[1]GDP KP'!BL86:BO86)</f>
        <v>118.43473862809387</v>
      </c>
      <c r="I86" s="483">
        <f>SUM('[1]GDP KP'!BP86:BS86)</f>
        <v>221.37991947454438</v>
      </c>
      <c r="J86" s="483" t="e">
        <f>SUM('[1]GDP KP'!BT86:BW86)</f>
        <v>#REF!</v>
      </c>
      <c r="L86" s="483" t="s">
        <v>553</v>
      </c>
      <c r="M86" s="483">
        <f>SUM('[1]GDP KP'!AN86:AO86)</f>
        <v>56.51651593184755</v>
      </c>
      <c r="N86" s="483">
        <f>SUM('[1]GDP KP'!AP86:AQ86)</f>
        <v>60.447970875152556</v>
      </c>
      <c r="O86" s="483">
        <f>SUM('[1]GDP KP'!AR86:AS86)</f>
        <v>63.140908533476377</v>
      </c>
      <c r="P86" s="483">
        <f>SUM('[1]GDP KP'!AT86:AU86)</f>
        <v>67.010198585646606</v>
      </c>
      <c r="Q86" s="483">
        <f>SUM('[1]GDP KP'!AV86:AW86)</f>
        <v>69.898956769472477</v>
      </c>
      <c r="R86" s="483">
        <f>SUM('[1]GDP KP'!BO86:BR86)</f>
        <v>206.14127120582165</v>
      </c>
      <c r="S86" s="483">
        <f>SUM('[1]GDP KP'!AZ86:BA86)</f>
        <v>72.810677285030692</v>
      </c>
      <c r="T86" s="483">
        <f>SUM('[1]GDP KP'!BB86:BC86)</f>
        <v>77.221723924191792</v>
      </c>
      <c r="U86" s="483">
        <f>SUM('[1]GDP KP'!BD86:BE86)</f>
        <v>78.324837712174883</v>
      </c>
      <c r="V86" s="483">
        <f>SUM('[1]GDP KP'!BF86:BG86)</f>
        <v>86.308530333032493</v>
      </c>
      <c r="W86" s="483">
        <f>SUM('[1]GDP KP'!BH86:BI86)</f>
        <v>54.776474647752636</v>
      </c>
      <c r="X86" s="483">
        <f>SUM('[1]GDP KP'!BJ86:BK86)</f>
        <v>43.620721224032756</v>
      </c>
      <c r="Y86" s="483">
        <f>SUM('[1]GDP KP'!BL86:BM86)</f>
        <v>46.05638233993939</v>
      </c>
      <c r="Z86" s="483">
        <f>SUM('[1]GDP KP'!BN86:BO86)</f>
        <v>72.378356288154478</v>
      </c>
      <c r="AA86" s="483">
        <f>SUM('[1]GDP KP'!BP86:BQ86)</f>
        <v>105.49937388336713</v>
      </c>
      <c r="AB86" s="483">
        <f>SUM('[1]GDP KP'!BR86:BS86)</f>
        <v>115.88054559117725</v>
      </c>
      <c r="AC86" s="483">
        <f>SUM('[1]GDP KP'!BT86:BU86)</f>
        <v>129.80485511532945</v>
      </c>
      <c r="AD86" s="483" t="e">
        <f>SUM('[1]GDP KP'!BV86:BW86)</f>
        <v>#REF!</v>
      </c>
      <c r="AE86" s="483"/>
      <c r="AF86" s="483"/>
      <c r="AG86" s="483"/>
      <c r="AH86" s="483">
        <f t="shared" si="7"/>
        <v>68.37801588788264</v>
      </c>
      <c r="AI86" s="483">
        <f t="shared" si="6"/>
        <v>159.50418064128382</v>
      </c>
      <c r="AJ86" s="479">
        <f t="shared" ref="AJ86:AJ120" si="8">AH86/AI86</f>
        <v>0.42869105758212733</v>
      </c>
    </row>
    <row r="87" spans="1:36">
      <c r="A87" s="451" t="s">
        <v>554</v>
      </c>
      <c r="B87" s="33">
        <f>SUM('[1]GDP KP'!AN87:AQ87)</f>
        <v>57.678680764379862</v>
      </c>
      <c r="C87" s="33">
        <f>SUM('[1]GDP KP'!AR87:AU87)</f>
        <v>66.763995469627844</v>
      </c>
      <c r="D87" s="33">
        <f>SUM('[1]GDP KP'!AV87:AY87)</f>
        <v>69.63641941781232</v>
      </c>
      <c r="E87" s="33">
        <f>SUM('[1]GDP KP'!AZ87:BC87)</f>
        <v>72.819441780383301</v>
      </c>
      <c r="F87" s="33">
        <f>SUM('[1]GDP KP'!BD87:BG87)</f>
        <v>77.456295070010981</v>
      </c>
      <c r="G87" s="33">
        <f>SUM('[1]GDP KP'!BH87:BK87)</f>
        <v>43.837689487780821</v>
      </c>
      <c r="H87" s="33">
        <f>SUM('[1]GDP KP'!BL87:BO87)</f>
        <v>52.157877407623545</v>
      </c>
      <c r="I87" s="33">
        <f>SUM('[1]GDP KP'!BP87:BS87)</f>
        <v>101.88435550626967</v>
      </c>
      <c r="J87" s="33" t="e">
        <f>SUM('[1]GDP KP'!BT87:BW87)</f>
        <v>#REF!</v>
      </c>
      <c r="L87" s="451" t="s">
        <v>554</v>
      </c>
      <c r="M87" s="462">
        <f>SUM('[1]GDP KP'!AN87:AO87)</f>
        <v>27.299889372869458</v>
      </c>
      <c r="N87" s="462">
        <f>SUM('[1]GDP KP'!AP87:AQ87)</f>
        <v>30.378791391510404</v>
      </c>
      <c r="O87" s="462">
        <f>SUM('[1]GDP KP'!AR87:AS87)</f>
        <v>32.209243762282568</v>
      </c>
      <c r="P87" s="462">
        <f>SUM('[1]GDP KP'!AT87:AU87)</f>
        <v>34.554751707345275</v>
      </c>
      <c r="Q87" s="462">
        <f>SUM('[1]GDP KP'!AV87:AW87)</f>
        <v>35.82146937266517</v>
      </c>
      <c r="R87" s="462">
        <f>SUM('[1]GDP KP'!BO87:BR87)</f>
        <v>93.770529635139297</v>
      </c>
      <c r="S87" s="462">
        <f>SUM('[1]GDP KP'!AZ87:BA87)</f>
        <v>35.10245320598812</v>
      </c>
      <c r="T87" s="462">
        <f>SUM('[1]GDP KP'!BB87:BC87)</f>
        <v>37.716988574395181</v>
      </c>
      <c r="U87" s="462">
        <f>SUM('[1]GDP KP'!BD87:BE87)</f>
        <v>36.365420272490809</v>
      </c>
      <c r="V87" s="462">
        <f>SUM('[1]GDP KP'!BF87:BG87)</f>
        <v>41.090874797520179</v>
      </c>
      <c r="W87" s="462">
        <f>SUM('[1]GDP KP'!BH87:BI87)</f>
        <v>24.189674383016143</v>
      </c>
      <c r="X87" s="462">
        <f>SUM('[1]GDP KP'!BJ87:BK87)</f>
        <v>19.648015104764681</v>
      </c>
      <c r="Y87" s="462">
        <f>SUM('[1]GDP KP'!BL87:BM87)</f>
        <v>20.13484613252561</v>
      </c>
      <c r="Z87" s="462">
        <f>SUM('[1]GDP KP'!BN87:BO87)</f>
        <v>32.023031275097935</v>
      </c>
      <c r="AA87" s="462">
        <f>SUM('[1]GDP KP'!BP87:BQ87)</f>
        <v>46.729200650111899</v>
      </c>
      <c r="AB87" s="462">
        <f>SUM('[1]GDP KP'!BR87:BS87)</f>
        <v>55.155154856157779</v>
      </c>
      <c r="AC87" s="462">
        <f>SUM('[1]GDP KP'!BT87:BU87)</f>
        <v>58.713635558306578</v>
      </c>
      <c r="AD87" s="462" t="e">
        <f>SUM('[1]GDP KP'!BV87:BW87)</f>
        <v>#REF!</v>
      </c>
      <c r="AH87" s="213">
        <f t="shared" si="7"/>
        <v>32.231524643993723</v>
      </c>
      <c r="AI87" s="213">
        <f t="shared" si="6"/>
        <v>75.273791811735066</v>
      </c>
      <c r="AJ87" s="17">
        <f t="shared" si="8"/>
        <v>0.42819052778166117</v>
      </c>
    </row>
    <row r="88" spans="1:36">
      <c r="A88" s="451" t="s">
        <v>555</v>
      </c>
      <c r="B88" s="33">
        <f>SUM('[1]GDP KP'!AN88:AQ88)</f>
        <v>59.103221627151072</v>
      </c>
      <c r="C88" s="33">
        <f>SUM('[1]GDP KP'!AR88:AU88)</f>
        <v>63.387111649495154</v>
      </c>
      <c r="D88" s="33">
        <f>SUM('[1]GDP KP'!AV88:AY88)</f>
        <v>70.132214939862379</v>
      </c>
      <c r="E88" s="33">
        <f>SUM('[1]GDP KP'!AZ88:BC88)</f>
        <v>77.212959428839184</v>
      </c>
      <c r="F88" s="33">
        <f>SUM('[1]GDP KP'!BD88:BG88)</f>
        <v>87.177072975196381</v>
      </c>
      <c r="G88" s="33">
        <f>SUM('[1]GDP KP'!BH88:BK88)</f>
        <v>54.559506384004571</v>
      </c>
      <c r="H88" s="33">
        <f>SUM('[1]GDP KP'!BL88:BO88)</f>
        <v>66.276861220470323</v>
      </c>
      <c r="I88" s="33">
        <f>SUM('[1]GDP KP'!BP88:BS88)</f>
        <v>119.49556396827472</v>
      </c>
      <c r="J88" s="33" t="e">
        <f>SUM('[1]GDP KP'!BT88:BW88)</f>
        <v>#REF!</v>
      </c>
      <c r="L88" s="451" t="s">
        <v>555</v>
      </c>
      <c r="M88" s="462">
        <f>SUM('[1]GDP KP'!AN88:AO88)</f>
        <v>28.736551699769599</v>
      </c>
      <c r="N88" s="462">
        <f>SUM('[1]GDP KP'!AP88:AQ88)</f>
        <v>30.366669927381473</v>
      </c>
      <c r="O88" s="462">
        <f>SUM('[1]GDP KP'!AR88:AS88)</f>
        <v>30.931664771193802</v>
      </c>
      <c r="P88" s="462">
        <f>SUM('[1]GDP KP'!AT88:AU88)</f>
        <v>32.455446878301352</v>
      </c>
      <c r="Q88" s="462">
        <f>SUM('[1]GDP KP'!AV88:AW88)</f>
        <v>34.0774873968073</v>
      </c>
      <c r="R88" s="462">
        <f>SUM('[1]GDP KP'!BO88:BR88)</f>
        <v>112.37074157068234</v>
      </c>
      <c r="S88" s="462">
        <f>SUM('[1]GDP KP'!AZ88:BA88)</f>
        <v>37.708224079042552</v>
      </c>
      <c r="T88" s="462">
        <f>SUM('[1]GDP KP'!BB88:BC88)</f>
        <v>39.504735349796633</v>
      </c>
      <c r="U88" s="462">
        <f>SUM('[1]GDP KP'!BD88:BE88)</f>
        <v>41.959417439684081</v>
      </c>
      <c r="V88" s="462">
        <f>SUM('[1]GDP KP'!BF88:BG88)</f>
        <v>45.217655535512307</v>
      </c>
      <c r="W88" s="462">
        <f>SUM('[1]GDP KP'!BH88:BI88)</f>
        <v>30.586800264736514</v>
      </c>
      <c r="X88" s="462">
        <f>SUM('[1]GDP KP'!BJ88:BK88)</f>
        <v>23.972706119268057</v>
      </c>
      <c r="Y88" s="462">
        <f>SUM('[1]GDP KP'!BL88:BM88)</f>
        <v>25.921536207413791</v>
      </c>
      <c r="Z88" s="462">
        <f>SUM('[1]GDP KP'!BN88:BO88)</f>
        <v>40.355325013056529</v>
      </c>
      <c r="AA88" s="462">
        <f>SUM('[1]GDP KP'!BP88:BQ88)</f>
        <v>58.770173233255221</v>
      </c>
      <c r="AB88" s="462">
        <f>SUM('[1]GDP KP'!BR88:BS88)</f>
        <v>60.725390735019502</v>
      </c>
      <c r="AC88" s="462">
        <f>SUM('[1]GDP KP'!BT88:BU88)</f>
        <v>71.091219557022868</v>
      </c>
      <c r="AD88" s="462" t="e">
        <f>SUM('[1]GDP KP'!BV88:BW88)</f>
        <v>#REF!</v>
      </c>
      <c r="AH88" s="213">
        <f t="shared" si="7"/>
        <v>36.08648188648786</v>
      </c>
      <c r="AI88" s="213">
        <f t="shared" si="6"/>
        <v>84.20756577761513</v>
      </c>
      <c r="AJ88" s="17">
        <f t="shared" si="8"/>
        <v>0.42854203839342803</v>
      </c>
    </row>
    <row r="89" spans="1:36" s="245" customFormat="1">
      <c r="A89" s="454" t="s">
        <v>556</v>
      </c>
      <c r="B89" s="203">
        <f>SUM('[1]GDP KP'!AN89:AQ89)</f>
        <v>111.77758815547782</v>
      </c>
      <c r="C89" s="203">
        <f>SUM('[1]GDP KP'!AR89:AU89)</f>
        <v>121.37068989350394</v>
      </c>
      <c r="D89" s="203">
        <f>SUM('[1]GDP KP'!AV89:AY89)</f>
        <v>134.08899055214158</v>
      </c>
      <c r="E89" s="203">
        <f>SUM('[1]GDP KP'!AZ89:BC89)</f>
        <v>153.19102294032518</v>
      </c>
      <c r="F89" s="203">
        <f>SUM('[1]GDP KP'!BD89:BG89)</f>
        <v>167.14265685236995</v>
      </c>
      <c r="G89" s="203">
        <f>SUM('[1]GDP KP'!BH89:BK89)</f>
        <v>215.91773232150626</v>
      </c>
      <c r="H89" s="203">
        <f>SUM('[1]GDP KP'!BL89:BO89)</f>
        <v>256.57062176079614</v>
      </c>
      <c r="I89" s="203">
        <f>SUM('[1]GDP KP'!BP89:BS89)</f>
        <v>307.15808145547624</v>
      </c>
      <c r="J89" s="203" t="e">
        <f>SUM('[1]GDP KP'!BT89:BW89)</f>
        <v>#REF!</v>
      </c>
      <c r="L89" s="454" t="s">
        <v>556</v>
      </c>
      <c r="M89" s="459">
        <f>SUM('[1]GDP KP'!AN89:AO89)</f>
        <v>52.508129534316751</v>
      </c>
      <c r="N89" s="459">
        <f>SUM('[1]GDP KP'!AP89:AQ89)</f>
        <v>59.26945862116105</v>
      </c>
      <c r="O89" s="459">
        <f>SUM('[1]GDP KP'!AR89:AS89)</f>
        <v>60.022251236356176</v>
      </c>
      <c r="P89" s="459">
        <f>SUM('[1]GDP KP'!AT89:AU89)</f>
        <v>61.348438657147767</v>
      </c>
      <c r="Q89" s="459">
        <f>SUM('[1]GDP KP'!AV89:AW89)</f>
        <v>61.510334556267622</v>
      </c>
      <c r="R89" s="459">
        <f>SUM('[1]GDP KP'!BO89:BR89)</f>
        <v>294.04760391278683</v>
      </c>
      <c r="S89" s="459">
        <f>SUM('[1]GDP KP'!AZ89:BA89)</f>
        <v>71.54939874399463</v>
      </c>
      <c r="T89" s="459">
        <f>SUM('[1]GDP KP'!BB89:BC89)</f>
        <v>81.64162419633054</v>
      </c>
      <c r="U89" s="459">
        <f>SUM('[1]GDP KP'!BD89:BE89)</f>
        <v>75.770429058347617</v>
      </c>
      <c r="V89" s="459">
        <f>SUM('[1]GDP KP'!BF89:BG89)</f>
        <v>91.372227794022336</v>
      </c>
      <c r="W89" s="459">
        <f>SUM('[1]GDP KP'!BH89:BI89)</f>
        <v>101.1640972817501</v>
      </c>
      <c r="X89" s="459">
        <f>SUM('[1]GDP KP'!BJ89:BK89)</f>
        <v>114.75363503975616</v>
      </c>
      <c r="Y89" s="459">
        <f>SUM('[1]GDP KP'!BL89:BM89)</f>
        <v>124.75713964267482</v>
      </c>
      <c r="Z89" s="459">
        <f>SUM('[1]GDP KP'!BN89:BO89)</f>
        <v>131.81348211812133</v>
      </c>
      <c r="AA89" s="459">
        <f>SUM('[1]GDP KP'!BP89:BQ89)</f>
        <v>139.32398084063198</v>
      </c>
      <c r="AB89" s="459">
        <f>SUM('[1]GDP KP'!BR89:BS89)</f>
        <v>167.83410061484426</v>
      </c>
      <c r="AC89" s="459">
        <f>SUM('[1]GDP KP'!BT89:BU89)</f>
        <v>194.40841554333338</v>
      </c>
      <c r="AD89" s="459" t="e">
        <f>SUM('[1]GDP KP'!BV89:BW89)</f>
        <v>#REF!</v>
      </c>
      <c r="AE89" s="459"/>
      <c r="AF89" s="459"/>
      <c r="AG89" s="459"/>
      <c r="AH89" s="459">
        <f t="shared" si="7"/>
        <v>85.825720111792464</v>
      </c>
      <c r="AI89" s="459">
        <f t="shared" si="6"/>
        <v>211.08579148106378</v>
      </c>
      <c r="AJ89" s="479">
        <f t="shared" si="8"/>
        <v>0.40659164934600428</v>
      </c>
    </row>
    <row r="90" spans="1:36">
      <c r="A90" s="451" t="s">
        <v>557</v>
      </c>
      <c r="B90" s="33">
        <f>SUM('[1]GDP KP'!AN90:AQ90)</f>
        <v>68.657488162471239</v>
      </c>
      <c r="C90" s="33">
        <f>SUM('[1]GDP KP'!AR90:AU90)</f>
        <v>79.19602866983945</v>
      </c>
      <c r="D90" s="33">
        <f>SUM('[1]GDP KP'!AV90:AY90)</f>
        <v>92.774524590598077</v>
      </c>
      <c r="E90" s="33">
        <f>SUM('[1]GDP KP'!AZ90:BC90)</f>
        <v>110.77457461926133</v>
      </c>
      <c r="F90" s="33">
        <f>SUM('[1]GDP KP'!BD90:BG90)</f>
        <v>108.65567894911112</v>
      </c>
      <c r="G90" s="33">
        <f>SUM('[1]GDP KP'!BH90:BK90)</f>
        <v>162.39620199394506</v>
      </c>
      <c r="H90" s="33">
        <f>SUM('[1]GDP KP'!BL90:BO90)</f>
        <v>185.79004508440033</v>
      </c>
      <c r="I90" s="33">
        <f>SUM('[1]GDP KP'!BP90:BS90)</f>
        <v>219.0181006468043</v>
      </c>
      <c r="J90" s="33" t="e">
        <f>SUM('[1]GDP KP'!BT90:BW90)</f>
        <v>#REF!</v>
      </c>
      <c r="L90" s="451" t="s">
        <v>557</v>
      </c>
      <c r="M90" s="462">
        <f>SUM('[1]GDP KP'!AN90:AO90)</f>
        <v>31.407681782320868</v>
      </c>
      <c r="N90" s="462">
        <f>SUM('[1]GDP KP'!AP90:AQ90)</f>
        <v>37.249806380150375</v>
      </c>
      <c r="O90" s="462">
        <f>SUM('[1]GDP KP'!AR90:AS90)</f>
        <v>37.263573705232773</v>
      </c>
      <c r="P90" s="462">
        <f>SUM('[1]GDP KP'!AT90:AU90)</f>
        <v>41.932454964606677</v>
      </c>
      <c r="Q90" s="462">
        <f>SUM('[1]GDP KP'!AV90:AW90)</f>
        <v>42.253889674289773</v>
      </c>
      <c r="R90" s="462">
        <f>SUM('[1]GDP KP'!BO90:BR90)</f>
        <v>211.30599001083888</v>
      </c>
      <c r="S90" s="462">
        <f>SUM('[1]GDP KP'!AZ90:BA90)</f>
        <v>51.102143805006392</v>
      </c>
      <c r="T90" s="462">
        <f>SUM('[1]GDP KP'!BB90:BC90)</f>
        <v>59.672430814254923</v>
      </c>
      <c r="U90" s="462">
        <f>SUM('[1]GDP KP'!BD90:BE90)</f>
        <v>49.943568568068855</v>
      </c>
      <c r="V90" s="462">
        <f>SUM('[1]GDP KP'!BF90:BG90)</f>
        <v>58.712110381042265</v>
      </c>
      <c r="W90" s="462">
        <f>SUM('[1]GDP KP'!BH90:BI90)</f>
        <v>75.163948673654318</v>
      </c>
      <c r="X90" s="462">
        <f>SUM('[1]GDP KP'!BJ90:BK90)</f>
        <v>87.232253320290738</v>
      </c>
      <c r="Y90" s="462">
        <f>SUM('[1]GDP KP'!BL90:BM90)</f>
        <v>88.118003037408201</v>
      </c>
      <c r="Z90" s="462">
        <f>SUM('[1]GDP KP'!BN90:BO90)</f>
        <v>97.672042046992146</v>
      </c>
      <c r="AA90" s="462">
        <f>SUM('[1]GDP KP'!BP90:BQ90)</f>
        <v>99.60975005326614</v>
      </c>
      <c r="AB90" s="462">
        <f>SUM('[1]GDP KP'!BR90:BS90)</f>
        <v>119.40835059353816</v>
      </c>
      <c r="AC90" s="462">
        <f>SUM('[1]GDP KP'!BT90:BU90)</f>
        <v>141.21801540683049</v>
      </c>
      <c r="AD90" s="462" t="e">
        <f>SUM('[1]GDP KP'!BV90:BW90)</f>
        <v>#REF!</v>
      </c>
      <c r="AE90" s="462"/>
      <c r="AF90" s="462"/>
      <c r="AG90" s="462"/>
      <c r="AH90" s="462">
        <f t="shared" si="7"/>
        <v>59.357819912405915</v>
      </c>
      <c r="AI90" s="462">
        <f t="shared" si="6"/>
        <v>148.50599972637016</v>
      </c>
      <c r="AJ90" s="484">
        <f t="shared" si="8"/>
        <v>0.39969981025531431</v>
      </c>
    </row>
    <row r="91" spans="1:36">
      <c r="A91" s="451" t="s">
        <v>558</v>
      </c>
      <c r="B91" s="33">
        <f>SUM('[1]GDP KP'!AN91:AQ91)</f>
        <v>47.258922805666487</v>
      </c>
      <c r="C91" s="33">
        <f>SUM('[1]GDP KP'!AR91:AU91)</f>
        <v>45.329471468619587</v>
      </c>
      <c r="D91" s="33">
        <f>SUM('[1]GDP KP'!AV91:AY91)</f>
        <v>44.79986529066295</v>
      </c>
      <c r="E91" s="33">
        <f>SUM('[1]GDP KP'!AZ91:BC91)</f>
        <v>46.398370225201887</v>
      </c>
      <c r="F91" s="33">
        <f>SUM('[1]GDP KP'!BD91:BG91)</f>
        <v>62.831547145384334</v>
      </c>
      <c r="G91" s="33">
        <f>SUM('[1]GDP KP'!BH91:BK91)</f>
        <v>59.133918908305532</v>
      </c>
      <c r="H91" s="33">
        <f>SUM('[1]GDP KP'!BL91:BO91)</f>
        <v>77.449663148555501</v>
      </c>
      <c r="I91" s="33">
        <f>SUM('[1]GDP KP'!BP91:BS91)</f>
        <v>96.123996249687892</v>
      </c>
      <c r="J91" s="33" t="e">
        <f>SUM('[1]GDP KP'!BT91:BW91)</f>
        <v>#REF!</v>
      </c>
      <c r="L91" s="451" t="s">
        <v>558</v>
      </c>
      <c r="M91" s="462">
        <f>SUM('[1]GDP KP'!AN91:AO91)</f>
        <v>22.513843136953422</v>
      </c>
      <c r="N91" s="462">
        <f>SUM('[1]GDP KP'!AP91:AQ91)</f>
        <v>24.745079668713061</v>
      </c>
      <c r="O91" s="462">
        <f>SUM('[1]GDP KP'!AR91:AS91)</f>
        <v>24.318846739124744</v>
      </c>
      <c r="P91" s="462">
        <f>SUM('[1]GDP KP'!AT91:AU91)</f>
        <v>21.010624729494843</v>
      </c>
      <c r="Q91" s="462">
        <f>SUM('[1]GDP KP'!AV91:AW91)</f>
        <v>20.855294108253155</v>
      </c>
      <c r="R91" s="462">
        <f>SUM('[1]GDP KP'!BO91:BR91)</f>
        <v>90.38484633428007</v>
      </c>
      <c r="S91" s="462">
        <f>SUM('[1]GDP KP'!AZ91:BA91)</f>
        <v>22.307051372344532</v>
      </c>
      <c r="T91" s="462">
        <f>SUM('[1]GDP KP'!BB91:BC91)</f>
        <v>24.091318852857359</v>
      </c>
      <c r="U91" s="462">
        <f>SUM('[1]GDP KP'!BD91:BE91)</f>
        <v>27.796374926323132</v>
      </c>
      <c r="V91" s="462">
        <f>SUM('[1]GDP KP'!BF91:BG91)</f>
        <v>35.035172219061209</v>
      </c>
      <c r="W91" s="462">
        <f>SUM('[1]GDP KP'!BH91:BI91)</f>
        <v>28.629725244812104</v>
      </c>
      <c r="X91" s="462">
        <f>SUM('[1]GDP KP'!BJ91:BK91)</f>
        <v>30.504193663493425</v>
      </c>
      <c r="Y91" s="462">
        <f>SUM('[1]GDP KP'!BL91:BM91)</f>
        <v>39.881971449670587</v>
      </c>
      <c r="Z91" s="462">
        <f>SUM('[1]GDP KP'!BN91:BO91)</f>
        <v>37.567691698884914</v>
      </c>
      <c r="AA91" s="462">
        <f>SUM('[1]GDP KP'!BP91:BQ91)</f>
        <v>43.335704163760326</v>
      </c>
      <c r="AB91" s="462">
        <f>SUM('[1]GDP KP'!BR91:BS91)</f>
        <v>52.788292085927573</v>
      </c>
      <c r="AC91" s="462">
        <f>SUM('[1]GDP KP'!BT91:BU91)</f>
        <v>58.243693164661082</v>
      </c>
      <c r="AD91" s="462" t="e">
        <f>SUM('[1]GDP KP'!BV91:BW91)</f>
        <v>#REF!</v>
      </c>
      <c r="AE91" s="462"/>
      <c r="AF91" s="462"/>
      <c r="AG91" s="462"/>
      <c r="AH91" s="462">
        <f t="shared" si="7"/>
        <v>28.70485139265525</v>
      </c>
      <c r="AI91" s="462">
        <f t="shared" si="6"/>
        <v>68.220753799244306</v>
      </c>
      <c r="AJ91" s="484">
        <f t="shared" si="8"/>
        <v>0.42076420728398956</v>
      </c>
    </row>
    <row r="92" spans="1:36" s="245" customFormat="1">
      <c r="A92" s="454" t="s">
        <v>66</v>
      </c>
      <c r="B92" s="203">
        <f>SUM('[1]GDP KP'!AN92:AQ92)</f>
        <v>173.12779918507658</v>
      </c>
      <c r="C92" s="203">
        <f>SUM('[1]GDP KP'!AR92:AU92)</f>
        <v>178.92850245296381</v>
      </c>
      <c r="D92" s="203">
        <f>SUM('[1]GDP KP'!AV92:AY92)</f>
        <v>190.86340836479144</v>
      </c>
      <c r="E92" s="203">
        <f>SUM('[1]GDP KP'!AZ92:BC92)</f>
        <v>209.93023171283011</v>
      </c>
      <c r="F92" s="203">
        <f>SUM('[1]GDP KP'!BD92:BG92)</f>
        <v>227.61079524120453</v>
      </c>
      <c r="G92" s="203">
        <f>SUM('[1]GDP KP'!BH92:BK92)</f>
        <v>222.07851929731046</v>
      </c>
      <c r="H92" s="203">
        <f>SUM('[1]GDP KP'!BL92:BO92)</f>
        <v>262.15240972990432</v>
      </c>
      <c r="I92" s="203">
        <f>SUM('[1]GDP KP'!BP92:BS92)</f>
        <v>289.07720690481523</v>
      </c>
      <c r="J92" s="203" t="e">
        <f>SUM('[1]GDP KP'!BT92:BW92)</f>
        <v>#REF!</v>
      </c>
      <c r="L92" s="454" t="s">
        <v>66</v>
      </c>
      <c r="M92" s="459">
        <f>SUM('[1]GDP KP'!AN92:AO92)</f>
        <v>83.933900721062216</v>
      </c>
      <c r="N92" s="459">
        <f>SUM('[1]GDP KP'!AP92:AQ92)</f>
        <v>89.193898464014381</v>
      </c>
      <c r="O92" s="459">
        <f>SUM('[1]GDP KP'!AR92:AS92)</f>
        <v>88.165981472751142</v>
      </c>
      <c r="P92" s="459">
        <f>SUM('[1]GDP KP'!AT92:AU92)</f>
        <v>90.762520980212685</v>
      </c>
      <c r="Q92" s="459">
        <f>SUM('[1]GDP KP'!AV92:AW92)</f>
        <v>91.759278886560722</v>
      </c>
      <c r="R92" s="459">
        <f>SUM('[1]GDP KP'!BO92:BR92)</f>
        <v>280.88729465586266</v>
      </c>
      <c r="S92" s="459">
        <f>SUM('[1]GDP KP'!AZ92:BA92)</f>
        <v>103.59001378663919</v>
      </c>
      <c r="T92" s="459">
        <f>SUM('[1]GDP KP'!BB92:BC92)</f>
        <v>106.34021792619095</v>
      </c>
      <c r="U92" s="459">
        <f>SUM('[1]GDP KP'!BD92:BE92)</f>
        <v>112.02907077328435</v>
      </c>
      <c r="V92" s="459">
        <f>SUM('[1]GDP KP'!BF92:BG92)</f>
        <v>115.5817244679202</v>
      </c>
      <c r="W92" s="459">
        <f>SUM('[1]GDP KP'!BH92:BI92)</f>
        <v>104.5073495959286</v>
      </c>
      <c r="X92" s="459">
        <f>SUM('[1]GDP KP'!BJ92:BK92)</f>
        <v>117.57116970138186</v>
      </c>
      <c r="Y92" s="459">
        <f>SUM('[1]GDP KP'!BL92:BM92)</f>
        <v>119.75527368681701</v>
      </c>
      <c r="Z92" s="459">
        <f>SUM('[1]GDP KP'!BN92:BO92)</f>
        <v>142.3971360430873</v>
      </c>
      <c r="AA92" s="459">
        <f>SUM('[1]GDP KP'!BP92:BQ92)</f>
        <v>133.8586404345001</v>
      </c>
      <c r="AB92" s="459">
        <f>SUM('[1]GDP KP'!BR92:BS92)</f>
        <v>155.21856647031512</v>
      </c>
      <c r="AC92" s="459">
        <f>SUM('[1]GDP KP'!BT92:BU92)</f>
        <v>145.07135172523795</v>
      </c>
      <c r="AD92" s="459" t="e">
        <f>SUM('[1]GDP KP'!BV92:BW92)</f>
        <v>#REF!</v>
      </c>
      <c r="AE92" s="459"/>
      <c r="AF92" s="459"/>
      <c r="AG92" s="459"/>
      <c r="AH92" s="459">
        <f t="shared" si="7"/>
        <v>104.69993866969291</v>
      </c>
      <c r="AI92" s="459">
        <f t="shared" si="6"/>
        <v>241.94400475831608</v>
      </c>
      <c r="AJ92" s="479">
        <f t="shared" si="8"/>
        <v>0.43274450538371595</v>
      </c>
    </row>
    <row r="93" spans="1:36">
      <c r="A93" s="451" t="s">
        <v>559</v>
      </c>
      <c r="B93" s="33">
        <f>SUM('[1]GDP KP'!AN93:AQ93)</f>
        <v>16.241587908933724</v>
      </c>
      <c r="C93" s="33">
        <f>SUM('[1]GDP KP'!AR93:AU93)</f>
        <v>15.573975008017404</v>
      </c>
      <c r="D93" s="33">
        <f>SUM('[1]GDP KP'!AV93:AY93)</f>
        <v>17.183008139869997</v>
      </c>
      <c r="E93" s="33">
        <f>SUM('[1]GDP KP'!AZ93:BC93)</f>
        <v>19.306978530363931</v>
      </c>
      <c r="F93" s="33">
        <f>SUM('[1]GDP KP'!BD93:BG93)</f>
        <v>23.659688282868565</v>
      </c>
      <c r="G93" s="33">
        <f>SUM('[1]GDP KP'!BH93:BK93)</f>
        <v>20.612611297312572</v>
      </c>
      <c r="H93" s="33">
        <f>SUM('[1]GDP KP'!BL93:BO93)</f>
        <v>16.622666686753099</v>
      </c>
      <c r="I93" s="33">
        <f>SUM('[1]GDP KP'!BP93:BS93)</f>
        <v>16.595885328107705</v>
      </c>
      <c r="J93" s="33" t="e">
        <f>SUM('[1]GDP KP'!BT93:BW93)</f>
        <v>#REF!</v>
      </c>
      <c r="L93" s="451" t="s">
        <v>559</v>
      </c>
      <c r="M93" s="462">
        <f>SUM('[1]GDP KP'!AN93:AO93)</f>
        <v>8.2060500664824758</v>
      </c>
      <c r="N93" s="462">
        <f>SUM('[1]GDP KP'!AP93:AQ93)</f>
        <v>8.0355378424512498</v>
      </c>
      <c r="O93" s="462">
        <f>SUM('[1]GDP KP'!AR93:AS93)</f>
        <v>5.313919400940855</v>
      </c>
      <c r="P93" s="462">
        <f>SUM('[1]GDP KP'!AT93:AU93)</f>
        <v>10.260055607076549</v>
      </c>
      <c r="Q93" s="462">
        <f>SUM('[1]GDP KP'!AV93:AW93)</f>
        <v>6.8482597930470481</v>
      </c>
      <c r="R93" s="462">
        <f>SUM('[1]GDP KP'!BO93:BR93)</f>
        <v>16.997387155886614</v>
      </c>
      <c r="S93" s="462">
        <f>SUM('[1]GDP KP'!AZ93:BA93)</f>
        <v>10.245989620091978</v>
      </c>
      <c r="T93" s="462">
        <f>SUM('[1]GDP KP'!BB93:BC93)</f>
        <v>9.0609889102719556</v>
      </c>
      <c r="U93" s="462">
        <f>SUM('[1]GDP KP'!BD93:BE93)</f>
        <v>11.028704931093664</v>
      </c>
      <c r="V93" s="462">
        <f>SUM('[1]GDP KP'!BF93:BG93)</f>
        <v>12.6309833517749</v>
      </c>
      <c r="W93" s="462">
        <f>SUM('[1]GDP KP'!BH93:BI93)</f>
        <v>12.022524734007476</v>
      </c>
      <c r="X93" s="462">
        <f>SUM('[1]GDP KP'!BJ93:BK93)</f>
        <v>8.5900865633050962</v>
      </c>
      <c r="Y93" s="462">
        <f>SUM('[1]GDP KP'!BL93:BM93)</f>
        <v>8.5518270240823497</v>
      </c>
      <c r="Z93" s="462">
        <f>SUM('[1]GDP KP'!BN93:BO93)</f>
        <v>8.0708396626707462</v>
      </c>
      <c r="AA93" s="462">
        <f>SUM('[1]GDP KP'!BP93:BQ93)</f>
        <v>9.3236169697251441</v>
      </c>
      <c r="AB93" s="462">
        <f>SUM('[1]GDP KP'!BR93:BS93)</f>
        <v>7.2722683583825605</v>
      </c>
      <c r="AC93" s="462">
        <f>SUM('[1]GDP KP'!BT93:BU93)</f>
        <v>9.1056460655928255</v>
      </c>
      <c r="AD93" s="462" t="e">
        <f>SUM('[1]GDP KP'!BV93:BW93)</f>
        <v>#REF!</v>
      </c>
      <c r="AE93" s="462"/>
      <c r="AF93" s="462"/>
      <c r="AG93" s="462"/>
      <c r="AH93" s="462">
        <f t="shared" si="7"/>
        <v>8.9426115674338735</v>
      </c>
      <c r="AI93" s="462">
        <f t="shared" si="6"/>
        <v>19.057379998911333</v>
      </c>
      <c r="AJ93" s="484">
        <f t="shared" si="8"/>
        <v>0.46924664187546905</v>
      </c>
    </row>
    <row r="94" spans="1:36">
      <c r="A94" s="451" t="s">
        <v>560</v>
      </c>
      <c r="B94" s="33">
        <f>SUM('[1]GDP KP'!AN94:AQ94)</f>
        <v>98.053598113922988</v>
      </c>
      <c r="C94" s="33">
        <f>SUM('[1]GDP KP'!AR94:AU94)</f>
        <v>101.73623395932944</v>
      </c>
      <c r="D94" s="33">
        <f>SUM('[1]GDP KP'!AV94:AY94)</f>
        <v>106.57343222018041</v>
      </c>
      <c r="E94" s="33">
        <f>SUM('[1]GDP KP'!AZ94:BC94)</f>
        <v>114.3191822405</v>
      </c>
      <c r="F94" s="33">
        <f>SUM('[1]GDP KP'!BD94:BG94)</f>
        <v>127.22973276316547</v>
      </c>
      <c r="G94" s="33">
        <f>SUM('[1]GDP KP'!BH94:BK94)</f>
        <v>131.3818837176905</v>
      </c>
      <c r="H94" s="33">
        <f>SUM('[1]GDP KP'!BL94:BO94)</f>
        <v>165.47192576383105</v>
      </c>
      <c r="I94" s="33">
        <f>SUM('[1]GDP KP'!BP94:BS94)</f>
        <v>182.47147636394911</v>
      </c>
      <c r="J94" s="33" t="e">
        <f>SUM('[1]GDP KP'!BT94:BW94)</f>
        <v>#REF!</v>
      </c>
      <c r="L94" s="451" t="s">
        <v>560</v>
      </c>
      <c r="M94" s="462">
        <f>SUM('[1]GDP KP'!AN94:AO94)</f>
        <v>47.728085770314522</v>
      </c>
      <c r="N94" s="462">
        <f>SUM('[1]GDP KP'!AP94:AQ94)</f>
        <v>50.325512343608473</v>
      </c>
      <c r="O94" s="462">
        <f>SUM('[1]GDP KP'!AR94:AS94)</f>
        <v>50.266112624507471</v>
      </c>
      <c r="P94" s="462">
        <f>SUM('[1]GDP KP'!AT94:AU94)</f>
        <v>51.470121334821961</v>
      </c>
      <c r="Q94" s="462">
        <f>SUM('[1]GDP KP'!AV94:AW94)</f>
        <v>51.722190185687857</v>
      </c>
      <c r="R94" s="462">
        <f>SUM('[1]GDP KP'!BO94:BR94)</f>
        <v>181.50336947765445</v>
      </c>
      <c r="S94" s="462">
        <f>SUM('[1]GDP KP'!AZ94:BA94)</f>
        <v>56.035218764052949</v>
      </c>
      <c r="T94" s="462">
        <f>SUM('[1]GDP KP'!BB94:BC94)</f>
        <v>58.283963476447042</v>
      </c>
      <c r="U94" s="462">
        <f>SUM('[1]GDP KP'!BD94:BE94)</f>
        <v>60.635841862342097</v>
      </c>
      <c r="V94" s="462">
        <f>SUM('[1]GDP KP'!BF94:BG94)</f>
        <v>66.593890900823382</v>
      </c>
      <c r="W94" s="462">
        <f>SUM('[1]GDP KP'!BH94:BI94)</f>
        <v>59.656217247674668</v>
      </c>
      <c r="X94" s="462">
        <f>SUM('[1]GDP KP'!BJ94:BK94)</f>
        <v>71.725666470015824</v>
      </c>
      <c r="Y94" s="462">
        <f>SUM('[1]GDP KP'!BL94:BM94)</f>
        <v>72.195348339532728</v>
      </c>
      <c r="Z94" s="462">
        <f>SUM('[1]GDP KP'!BN94:BO94)</f>
        <v>93.276577424298324</v>
      </c>
      <c r="AA94" s="462">
        <f>SUM('[1]GDP KP'!BP94:BQ94)</f>
        <v>83.237431578048302</v>
      </c>
      <c r="AB94" s="462">
        <f>SUM('[1]GDP KP'!BR94:BS94)</f>
        <v>99.234044785900807</v>
      </c>
      <c r="AC94" s="462">
        <f>SUM('[1]GDP KP'!BT94:BU94)</f>
        <v>94.199416007241297</v>
      </c>
      <c r="AD94" s="462" t="e">
        <f>SUM('[1]GDP KP'!BV94:BW94)</f>
        <v>#REF!</v>
      </c>
      <c r="AE94" s="462"/>
      <c r="AF94" s="462"/>
      <c r="AG94" s="462"/>
      <c r="AH94" s="462">
        <f t="shared" si="7"/>
        <v>60.18455579652008</v>
      </c>
      <c r="AI94" s="462">
        <f t="shared" si="6"/>
        <v>144.23619907321634</v>
      </c>
      <c r="AJ94" s="484">
        <f t="shared" si="8"/>
        <v>0.4172638781611927</v>
      </c>
    </row>
    <row r="95" spans="1:36">
      <c r="A95" s="451" t="s">
        <v>561</v>
      </c>
      <c r="B95" s="33">
        <f>SUM('[1]GDP KP'!AN95:AQ95)</f>
        <v>34.583570812332631</v>
      </c>
      <c r="C95" s="33">
        <f>SUM('[1]GDP KP'!AR95:AU95)</f>
        <v>36.117187704239683</v>
      </c>
      <c r="D95" s="33">
        <f>SUM('[1]GDP KP'!AV95:AY95)</f>
        <v>39.895173682140161</v>
      </c>
      <c r="E95" s="33">
        <f>SUM('[1]GDP KP'!AZ95:BC95)</f>
        <v>43.860188042602957</v>
      </c>
      <c r="F95" s="33">
        <f>SUM('[1]GDP KP'!BD95:BG95)</f>
        <v>48.665175147985451</v>
      </c>
      <c r="G95" s="33">
        <f>SUM('[1]GDP KP'!BH95:BK95)</f>
        <v>49.92866136708173</v>
      </c>
      <c r="H95" s="33">
        <f>SUM('[1]GDP KP'!BL95:BO95)</f>
        <v>60.230319537828429</v>
      </c>
      <c r="I95" s="33">
        <f>SUM('[1]GDP KP'!BP95:BS95)</f>
        <v>67.116961149615364</v>
      </c>
      <c r="J95" s="33" t="e">
        <f>SUM('[1]GDP KP'!BT95:BW95)</f>
        <v>#REF!</v>
      </c>
      <c r="L95" s="451" t="s">
        <v>561</v>
      </c>
      <c r="M95" s="462">
        <f>SUM('[1]GDP KP'!AN95:AO95)</f>
        <v>17.602612482980792</v>
      </c>
      <c r="N95" s="462">
        <f>SUM('[1]GDP KP'!AP95:AQ95)</f>
        <v>16.980958329351839</v>
      </c>
      <c r="O95" s="462">
        <f>SUM('[1]GDP KP'!AR95:AS95)</f>
        <v>19.8641822997904</v>
      </c>
      <c r="P95" s="462">
        <f>SUM('[1]GDP KP'!AT95:AU95)</f>
        <v>16.253005404449283</v>
      </c>
      <c r="Q95" s="462">
        <f>SUM('[1]GDP KP'!AV95:AW95)</f>
        <v>19.764835696242081</v>
      </c>
      <c r="R95" s="462">
        <f>SUM('[1]GDP KP'!BO95:BR95)</f>
        <v>62.497093867261569</v>
      </c>
      <c r="S95" s="462">
        <f>SUM('[1]GDP KP'!AZ95:BA95)</f>
        <v>22.836870269400496</v>
      </c>
      <c r="T95" s="462">
        <f>SUM('[1]GDP KP'!BB95:BC95)</f>
        <v>21.023317773202464</v>
      </c>
      <c r="U95" s="462">
        <f>SUM('[1]GDP KP'!BD95:BE95)</f>
        <v>23.731622087919774</v>
      </c>
      <c r="V95" s="462">
        <f>SUM('[1]GDP KP'!BF95:BG95)</f>
        <v>24.93355306006567</v>
      </c>
      <c r="W95" s="462">
        <f>SUM('[1]GDP KP'!BH95:BI95)</f>
        <v>23.507335256198399</v>
      </c>
      <c r="X95" s="462">
        <f>SUM('[1]GDP KP'!BJ95:BK95)</f>
        <v>26.421326110883339</v>
      </c>
      <c r="Y95" s="462">
        <f>SUM('[1]GDP KP'!BL95:BM95)</f>
        <v>29.230881882329616</v>
      </c>
      <c r="Z95" s="462">
        <f>SUM('[1]GDP KP'!BN95:BO95)</f>
        <v>30.999437655498813</v>
      </c>
      <c r="AA95" s="462">
        <f>SUM('[1]GDP KP'!BP95:BQ95)</f>
        <v>31.13159138524362</v>
      </c>
      <c r="AB95" s="462">
        <f>SUM('[1]GDP KP'!BR95:BS95)</f>
        <v>35.98536976437174</v>
      </c>
      <c r="AC95" s="462">
        <f>SUM('[1]GDP KP'!BT95:BU95)</f>
        <v>32.066662635685702</v>
      </c>
      <c r="AD95" s="462" t="e">
        <f>SUM('[1]GDP KP'!BV95:BW95)</f>
        <v>#REF!</v>
      </c>
      <c r="AE95" s="462"/>
      <c r="AF95" s="462"/>
      <c r="AG95" s="462"/>
      <c r="AH95" s="462">
        <f t="shared" si="7"/>
        <v>23.458741420013148</v>
      </c>
      <c r="AI95" s="462">
        <f t="shared" si="6"/>
        <v>52.845499165648739</v>
      </c>
      <c r="AJ95" s="484">
        <f t="shared" si="8"/>
        <v>0.44391181444761674</v>
      </c>
    </row>
    <row r="96" spans="1:36">
      <c r="A96" s="451" t="s">
        <v>562</v>
      </c>
      <c r="B96" s="33">
        <f>SUM('[1]GDP KP'!AN96:AQ96)</f>
        <v>26.403191080000781</v>
      </c>
      <c r="C96" s="33">
        <f>SUM('[1]GDP KP'!AR96:AU96)</f>
        <v>25.501105781377291</v>
      </c>
      <c r="D96" s="33">
        <f>SUM('[1]GDP KP'!AV96:AY96)</f>
        <v>27.211794322600877</v>
      </c>
      <c r="E96" s="33">
        <f>SUM('[1]GDP KP'!AZ96:BC96)</f>
        <v>32.443882899363246</v>
      </c>
      <c r="F96" s="33">
        <f>SUM('[1]GDP KP'!BD96:BG96)</f>
        <v>28.056199047185054</v>
      </c>
      <c r="G96" s="33">
        <f>SUM('[1]GDP KP'!BH96:BK96)</f>
        <v>20.155362915225638</v>
      </c>
      <c r="H96" s="33">
        <f>SUM('[1]GDP KP'!BL96:BO96)</f>
        <v>19.827497741491751</v>
      </c>
      <c r="I96" s="33">
        <f>SUM('[1]GDP KP'!BP96:BS96)</f>
        <v>22.89288406314304</v>
      </c>
      <c r="J96" s="33" t="e">
        <f>SUM('[1]GDP KP'!BT96:BW96)</f>
        <v>#REF!</v>
      </c>
      <c r="L96" s="451" t="s">
        <v>562</v>
      </c>
      <c r="M96" s="462">
        <f>SUM('[1]GDP KP'!AN96:AO96)</f>
        <v>11.999918364458393</v>
      </c>
      <c r="N96" s="462">
        <f>SUM('[1]GDP KP'!AP96:AQ96)</f>
        <v>14.403272715542386</v>
      </c>
      <c r="O96" s="462">
        <f>SUM('[1]GDP KP'!AR96:AS96)</f>
        <v>12.721767147512418</v>
      </c>
      <c r="P96" s="462">
        <f>SUM('[1]GDP KP'!AT96:AU96)</f>
        <v>12.779338633864871</v>
      </c>
      <c r="Q96" s="462">
        <f>SUM('[1]GDP KP'!AV96:AW96)</f>
        <v>13.423993211583724</v>
      </c>
      <c r="R96" s="462">
        <f>SUM('[1]GDP KP'!BO96:BR96)</f>
        <v>19.889444155060019</v>
      </c>
      <c r="S96" s="462">
        <f>SUM('[1]GDP KP'!AZ96:BA96)</f>
        <v>14.471935133093773</v>
      </c>
      <c r="T96" s="462">
        <f>SUM('[1]GDP KP'!BB96:BC96)</f>
        <v>17.971947766269473</v>
      </c>
      <c r="U96" s="462">
        <f>SUM('[1]GDP KP'!BD96:BE96)</f>
        <v>16.632901891928821</v>
      </c>
      <c r="V96" s="462">
        <f>SUM('[1]GDP KP'!BF96:BG96)</f>
        <v>11.423297155256233</v>
      </c>
      <c r="W96" s="462">
        <f>SUM('[1]GDP KP'!BH96:BI96)</f>
        <v>9.3212723580480628</v>
      </c>
      <c r="X96" s="462">
        <f>SUM('[1]GDP KP'!BJ96:BK96)</f>
        <v>10.834090557177575</v>
      </c>
      <c r="Y96" s="462">
        <f>SUM('[1]GDP KP'!BL96:BM96)</f>
        <v>9.7772164408723157</v>
      </c>
      <c r="Z96" s="462">
        <f>SUM('[1]GDP KP'!BN96:BO96)</f>
        <v>10.050281300619435</v>
      </c>
      <c r="AA96" s="462">
        <f>SUM('[1]GDP KP'!BP96:BQ96)</f>
        <v>10.166000501483037</v>
      </c>
      <c r="AB96" s="462">
        <f>SUM('[1]GDP KP'!BR96:BS96)</f>
        <v>12.726883561660003</v>
      </c>
      <c r="AC96" s="462">
        <f>SUM('[1]GDP KP'!BT96:BU96)</f>
        <v>9.6996270167180931</v>
      </c>
      <c r="AD96" s="462" t="e">
        <f>SUM('[1]GDP KP'!BV96:BW96)</f>
        <v>#REF!</v>
      </c>
      <c r="AE96" s="462"/>
      <c r="AF96" s="462"/>
      <c r="AG96" s="462"/>
      <c r="AH96" s="462">
        <f t="shared" si="7"/>
        <v>12.314375631122569</v>
      </c>
      <c r="AI96" s="462">
        <f t="shared" si="6"/>
        <v>26.074195111803821</v>
      </c>
      <c r="AJ96" s="484">
        <f t="shared" si="8"/>
        <v>0.47228210030336992</v>
      </c>
    </row>
    <row r="97" spans="1:36" s="245" customFormat="1">
      <c r="A97" s="454" t="s">
        <v>67</v>
      </c>
      <c r="B97" s="203">
        <f>SUM('[1]GDP KP'!AN97:AQ97)</f>
        <v>492.58767065470397</v>
      </c>
      <c r="C97" s="203">
        <f>SUM('[1]GDP KP'!AR97:AU97)</f>
        <v>523.02590008551601</v>
      </c>
      <c r="D97" s="203">
        <f>SUM('[1]GDP KP'!AV97:AY97)</f>
        <v>559.5193858202249</v>
      </c>
      <c r="E97" s="203">
        <f>SUM('[1]GDP KP'!AZ97:BC97)</f>
        <v>586.19644580611225</v>
      </c>
      <c r="F97" s="203">
        <f>SUM('[1]GDP KP'!BD97:BG97)</f>
        <v>609.30618989272398</v>
      </c>
      <c r="G97" s="203">
        <f>SUM('[1]GDP KP'!BH97:BK97)</f>
        <v>611.10476712873515</v>
      </c>
      <c r="H97" s="203">
        <f>SUM('[1]GDP KP'!BL97:BO97)</f>
        <v>636.01352450539923</v>
      </c>
      <c r="I97" s="203">
        <f>SUM('[1]GDP KP'!BP97:BS97)</f>
        <v>645.63264640487319</v>
      </c>
      <c r="J97" s="203" t="e">
        <f>SUM('[1]GDP KP'!BT97:BW97)</f>
        <v>#REF!</v>
      </c>
      <c r="L97" s="454" t="s">
        <v>67</v>
      </c>
      <c r="M97" s="459">
        <f>SUM('[1]GDP KP'!AN97:AO97)</f>
        <v>242.05951194929406</v>
      </c>
      <c r="N97" s="459">
        <f>SUM('[1]GDP KP'!AP97:AQ97)</f>
        <v>250.52815870540991</v>
      </c>
      <c r="O97" s="459">
        <f>SUM('[1]GDP KP'!AR97:AS97)</f>
        <v>255.67244534783822</v>
      </c>
      <c r="P97" s="459">
        <f>SUM('[1]GDP KP'!AT97:AU97)</f>
        <v>267.35345473767779</v>
      </c>
      <c r="Q97" s="459">
        <f>SUM('[1]GDP KP'!AV97:AW97)</f>
        <v>276.73472691377208</v>
      </c>
      <c r="R97" s="459">
        <f>SUM('[1]GDP KP'!BO97:BR97)</f>
        <v>646.82028093344786</v>
      </c>
      <c r="S97" s="459">
        <f>SUM('[1]GDP KP'!AZ97:BA97)</f>
        <v>289.75578916565644</v>
      </c>
      <c r="T97" s="459">
        <f>SUM('[1]GDP KP'!BB97:BC97)</f>
        <v>296.44065664045581</v>
      </c>
      <c r="U97" s="459">
        <f>SUM('[1]GDP KP'!BD97:BE97)</f>
        <v>310.11255811131332</v>
      </c>
      <c r="V97" s="459">
        <f>SUM('[1]GDP KP'!BF97:BG97)</f>
        <v>299.19363178141066</v>
      </c>
      <c r="W97" s="459">
        <f>SUM('[1]GDP KP'!BH97:BI97)</f>
        <v>298.15408967524388</v>
      </c>
      <c r="X97" s="459">
        <f>SUM('[1]GDP KP'!BJ97:BK97)</f>
        <v>312.95067745349127</v>
      </c>
      <c r="Y97" s="459">
        <f>SUM('[1]GDP KP'!BL97:BM97)</f>
        <v>312.16490913058772</v>
      </c>
      <c r="Z97" s="459">
        <f>SUM('[1]GDP KP'!BN97:BO97)</f>
        <v>323.84861537481152</v>
      </c>
      <c r="AA97" s="459">
        <f>SUM('[1]GDP KP'!BP97:BQ97)</f>
        <v>322.63468433521422</v>
      </c>
      <c r="AB97" s="459">
        <f>SUM('[1]GDP KP'!BR97:BS97)</f>
        <v>322.99796206965897</v>
      </c>
      <c r="AC97" s="459">
        <f>SUM('[1]GDP KP'!BT97:BU97)</f>
        <v>340.49628860564155</v>
      </c>
      <c r="AD97" s="459" t="e">
        <f>SUM('[1]GDP KP'!BV97:BW97)</f>
        <v>#REF!</v>
      </c>
      <c r="AE97" s="459"/>
      <c r="AF97" s="459"/>
      <c r="AG97" s="459"/>
      <c r="AH97" s="459">
        <f t="shared" si="7"/>
        <v>288.41108932861499</v>
      </c>
      <c r="AI97" s="459">
        <f t="shared" si="6"/>
        <v>628.42776904066045</v>
      </c>
      <c r="AJ97" s="479">
        <f t="shared" si="8"/>
        <v>0.4589407144895824</v>
      </c>
    </row>
    <row r="98" spans="1:36">
      <c r="A98" s="451" t="s">
        <v>563</v>
      </c>
      <c r="B98" s="33">
        <f>SUM('[1]GDP KP'!AN98:AQ98)</f>
        <v>157.35762071247899</v>
      </c>
      <c r="C98" s="33">
        <f>SUM('[1]GDP KP'!AR98:AU98)</f>
        <v>159.96811772493788</v>
      </c>
      <c r="D98" s="33">
        <f>SUM('[1]GDP KP'!AV98:AY98)</f>
        <v>162.62192178932855</v>
      </c>
      <c r="E98" s="33">
        <f>SUM('[1]GDP KP'!AZ98:BC98)</f>
        <v>165.31975135150174</v>
      </c>
      <c r="F98" s="33">
        <f>SUM('[1]GDP KP'!BD98:BG98)</f>
        <v>168.06233677602398</v>
      </c>
      <c r="G98" s="33">
        <f>SUM('[1]GDP KP'!BH98:BK98)</f>
        <v>170.85042054390394</v>
      </c>
      <c r="H98" s="33">
        <f>SUM('[1]GDP KP'!BL98:BO98)</f>
        <v>173.68475745359922</v>
      </c>
      <c r="I98" s="33">
        <f>SUM('[1]GDP KP'!BP98:BS98)</f>
        <v>176.56611482535763</v>
      </c>
      <c r="J98" s="33" t="e">
        <f>SUM('[1]GDP KP'!BT98:BW98)</f>
        <v>#REF!</v>
      </c>
      <c r="L98" s="451" t="s">
        <v>563</v>
      </c>
      <c r="M98" s="462">
        <f>SUM('[1]GDP KP'!AN98:AO98)</f>
        <v>78.355177178036413</v>
      </c>
      <c r="N98" s="462">
        <f>SUM('[1]GDP KP'!AP98:AQ98)</f>
        <v>79.002443534442563</v>
      </c>
      <c r="O98" s="462">
        <f>SUM('[1]GDP KP'!AR98:AS98)</f>
        <v>79.655056745405417</v>
      </c>
      <c r="P98" s="462">
        <f>SUM('[1]GDP KP'!AT98:AU98)</f>
        <v>80.313060979532452</v>
      </c>
      <c r="Q98" s="462">
        <f>SUM('[1]GDP KP'!AV98:AW98)</f>
        <v>80.976500770293569</v>
      </c>
      <c r="R98" s="462">
        <f>SUM('[1]GDP KP'!BO98:BR98)</f>
        <v>175.84132487464606</v>
      </c>
      <c r="S98" s="462">
        <f>SUM('[1]GDP KP'!AZ98:BA98)</f>
        <v>82.319866998018085</v>
      </c>
      <c r="T98" s="462">
        <f>SUM('[1]GDP KP'!BB98:BC98)</f>
        <v>82.999884353483651</v>
      </c>
      <c r="U98" s="462">
        <f>SUM('[1]GDP KP'!BD98:BE98)</f>
        <v>83.685519108741033</v>
      </c>
      <c r="V98" s="462">
        <f>SUM('[1]GDP KP'!BF98:BG98)</f>
        <v>84.37681766728295</v>
      </c>
      <c r="W98" s="462">
        <f>SUM('[1]GDP KP'!BH98:BI98)</f>
        <v>85.073826815926139</v>
      </c>
      <c r="X98" s="462">
        <f>SUM('[1]GDP KP'!BJ98:BK98)</f>
        <v>85.776593727977811</v>
      </c>
      <c r="Y98" s="462">
        <f>SUM('[1]GDP KP'!BL98:BM98)</f>
        <v>86.485165966428468</v>
      </c>
      <c r="Z98" s="462">
        <f>SUM('[1]GDP KP'!BN98:BO98)</f>
        <v>87.199591487170736</v>
      </c>
      <c r="AA98" s="462">
        <f>SUM('[1]GDP KP'!BP98:BQ98)</f>
        <v>87.919918642245136</v>
      </c>
      <c r="AB98" s="462">
        <f>SUM('[1]GDP KP'!BR98:BS98)</f>
        <v>88.646196183112494</v>
      </c>
      <c r="AC98" s="462">
        <f>SUM('[1]GDP KP'!BT98:BU98)</f>
        <v>89.378473263953424</v>
      </c>
      <c r="AD98" s="462" t="e">
        <f>SUM('[1]GDP KP'!BV98:BW98)</f>
        <v>#REF!</v>
      </c>
      <c r="AE98" s="462"/>
      <c r="AF98" s="462"/>
      <c r="AG98" s="462"/>
      <c r="AH98" s="462">
        <f t="shared" si="7"/>
        <v>83.058879028136772</v>
      </c>
      <c r="AI98" s="462">
        <f t="shared" si="6"/>
        <v>178.57836812909289</v>
      </c>
      <c r="AJ98" s="484">
        <f t="shared" si="8"/>
        <v>0.46511164761061186</v>
      </c>
    </row>
    <row r="99" spans="1:36">
      <c r="A99" s="451" t="s">
        <v>564</v>
      </c>
      <c r="B99" s="33">
        <f>SUM('[1]GDP KP'!AN99:AQ99)</f>
        <v>123.9729046039856</v>
      </c>
      <c r="C99" s="33">
        <f>SUM('[1]GDP KP'!AR99:AU99)</f>
        <v>128.43336014112785</v>
      </c>
      <c r="D99" s="33">
        <f>SUM('[1]GDP KP'!AV99:AY99)</f>
        <v>133.05429964581424</v>
      </c>
      <c r="E99" s="33">
        <f>SUM('[1]GDP KP'!AZ99:BC99)</f>
        <v>137.84149721524733</v>
      </c>
      <c r="F99" s="33">
        <f>SUM('[1]GDP KP'!BD99:BG99)</f>
        <v>142.80093469447505</v>
      </c>
      <c r="G99" s="33">
        <f>SUM('[1]GDP KP'!BH99:BK99)</f>
        <v>147.93880915100834</v>
      </c>
      <c r="H99" s="33">
        <f>SUM('[1]GDP KP'!BL99:BO99)</f>
        <v>153.26154061836991</v>
      </c>
      <c r="I99" s="33">
        <f>SUM('[1]GDP KP'!BP99:BS99)</f>
        <v>158.77578011825</v>
      </c>
      <c r="J99" s="33" t="e">
        <f>SUM('[1]GDP KP'!BT99:BW99)</f>
        <v>#REF!</v>
      </c>
      <c r="L99" s="451" t="s">
        <v>564</v>
      </c>
      <c r="M99" s="462">
        <f>SUM('[1]GDP KP'!AN99:AO99)</f>
        <v>61.438705588677038</v>
      </c>
      <c r="N99" s="462">
        <f>SUM('[1]GDP KP'!AP99:AQ99)</f>
        <v>62.534199015308559</v>
      </c>
      <c r="O99" s="462">
        <f>SUM('[1]GDP KP'!AR99:AS99)</f>
        <v>63.649225826250429</v>
      </c>
      <c r="P99" s="462">
        <f>SUM('[1]GDP KP'!AT99:AU99)</f>
        <v>64.78413431487742</v>
      </c>
      <c r="Q99" s="462">
        <f>SUM('[1]GDP KP'!AV99:AW99)</f>
        <v>65.939278984869304</v>
      </c>
      <c r="R99" s="462">
        <f>SUM('[1]GDP KP'!BO99:BR99)</f>
        <v>157.37889372025597</v>
      </c>
      <c r="S99" s="462">
        <f>SUM('[1]GDP KP'!AZ99:BA99)</f>
        <v>68.311726601570342</v>
      </c>
      <c r="T99" s="462">
        <f>SUM('[1]GDP KP'!BB99:BC99)</f>
        <v>69.529770613676988</v>
      </c>
      <c r="U99" s="462">
        <f>SUM('[1]GDP KP'!BD99:BE99)</f>
        <v>70.769533169425216</v>
      </c>
      <c r="V99" s="462">
        <f>SUM('[1]GDP KP'!BF99:BG99)</f>
        <v>72.03140152504983</v>
      </c>
      <c r="W99" s="462">
        <f>SUM('[1]GDP KP'!BH99:BI99)</f>
        <v>73.315769841824562</v>
      </c>
      <c r="X99" s="462">
        <f>SUM('[1]GDP KP'!BJ99:BK99)</f>
        <v>74.623039309183781</v>
      </c>
      <c r="Y99" s="462">
        <f>SUM('[1]GDP KP'!BL99:BM99)</f>
        <v>75.953618270039101</v>
      </c>
      <c r="Z99" s="462">
        <f>SUM('[1]GDP KP'!BN99:BO99)</f>
        <v>77.307922348330834</v>
      </c>
      <c r="AA99" s="462">
        <f>SUM('[1]GDP KP'!BP99:BQ99)</f>
        <v>78.686374578853489</v>
      </c>
      <c r="AB99" s="462">
        <f>SUM('[1]GDP KP'!BR99:BS99)</f>
        <v>80.089405539396523</v>
      </c>
      <c r="AC99" s="462">
        <f>SUM('[1]GDP KP'!BT99:BU99)</f>
        <v>81.517453485240708</v>
      </c>
      <c r="AD99" s="462" t="e">
        <f>SUM('[1]GDP KP'!BV99:BW99)</f>
        <v>#REF!</v>
      </c>
      <c r="AE99" s="462"/>
      <c r="AF99" s="462"/>
      <c r="AG99" s="462"/>
      <c r="AH99" s="462">
        <f t="shared" si="7"/>
        <v>69.758029107688685</v>
      </c>
      <c r="AI99" s="462">
        <f t="shared" si="6"/>
        <v>152.04287490594868</v>
      </c>
      <c r="AJ99" s="484">
        <f t="shared" si="8"/>
        <v>0.45880498609908488</v>
      </c>
    </row>
    <row r="100" spans="1:36">
      <c r="A100" s="451" t="s">
        <v>565</v>
      </c>
      <c r="B100" s="33">
        <f>SUM('[1]GDP KP'!AN100:AQ100)</f>
        <v>113.85234787393281</v>
      </c>
      <c r="C100" s="33">
        <f>SUM('[1]GDP KP'!AR100:AU100)</f>
        <v>116.09090062540318</v>
      </c>
      <c r="D100" s="33">
        <f>SUM('[1]GDP KP'!AV100:AY100)</f>
        <v>118.37346756291976</v>
      </c>
      <c r="E100" s="33">
        <f>SUM('[1]GDP KP'!AZ100:BC100)</f>
        <v>120.70091408872598</v>
      </c>
      <c r="F100" s="33">
        <f>SUM('[1]GDP KP'!BD100:BG100)</f>
        <v>123.07412262051217</v>
      </c>
      <c r="G100" s="33">
        <f>SUM('[1]GDP KP'!BH100:BK100)</f>
        <v>125.49399292597147</v>
      </c>
      <c r="H100" s="33">
        <f>SUM('[1]GDP KP'!BL100:BO100)</f>
        <v>127.96144246393362</v>
      </c>
      <c r="I100" s="33">
        <f>SUM('[1]GDP KP'!BP100:BS100)</f>
        <v>130.47740673220625</v>
      </c>
      <c r="J100" s="33" t="e">
        <f>SUM('[1]GDP KP'!BT100:BW100)</f>
        <v>#REF!</v>
      </c>
      <c r="L100" s="451" t="s">
        <v>565</v>
      </c>
      <c r="M100" s="462">
        <f>SUM('[1]GDP KP'!AN100:AO100)</f>
        <v>56.649072383394795</v>
      </c>
      <c r="N100" s="462">
        <f>SUM('[1]GDP KP'!AP100:AQ100)</f>
        <v>57.203275490538019</v>
      </c>
      <c r="O100" s="462">
        <f>SUM('[1]GDP KP'!AR100:AS100)</f>
        <v>57.762900417863712</v>
      </c>
      <c r="P100" s="462">
        <f>SUM('[1]GDP KP'!AT100:AU100)</f>
        <v>58.328000207539482</v>
      </c>
      <c r="Q100" s="462">
        <f>SUM('[1]GDP KP'!AV100:AW100)</f>
        <v>58.898628420649366</v>
      </c>
      <c r="R100" s="462">
        <f>SUM('[1]GDP KP'!BO100:BR100)</f>
        <v>129.84381556095119</v>
      </c>
      <c r="S100" s="462">
        <f>SUM('[1]GDP KP'!AZ100:BA100)</f>
        <v>60.056686986598933</v>
      </c>
      <c r="T100" s="462">
        <f>SUM('[1]GDP KP'!BB100:BC100)</f>
        <v>60.644227102127047</v>
      </c>
      <c r="U100" s="462">
        <f>SUM('[1]GDP KP'!BD100:BE100)</f>
        <v>61.237515176869628</v>
      </c>
      <c r="V100" s="462">
        <f>SUM('[1]GDP KP'!BF100:BG100)</f>
        <v>61.836607443642542</v>
      </c>
      <c r="W100" s="462">
        <f>SUM('[1]GDP KP'!BH100:BI100)</f>
        <v>62.441560685392488</v>
      </c>
      <c r="X100" s="462">
        <f>SUM('[1]GDP KP'!BJ100:BK100)</f>
        <v>63.052432240578987</v>
      </c>
      <c r="Y100" s="462">
        <f>SUM('[1]GDP KP'!BL100:BM100)</f>
        <v>63.669280008608979</v>
      </c>
      <c r="Z100" s="462">
        <f>SUM('[1]GDP KP'!BN100:BO100)</f>
        <v>64.292162455324643</v>
      </c>
      <c r="AA100" s="462">
        <f>SUM('[1]GDP KP'!BP100:BQ100)</f>
        <v>64.921138618544973</v>
      </c>
      <c r="AB100" s="462">
        <f>SUM('[1]GDP KP'!BR100:BS100)</f>
        <v>65.556268113661275</v>
      </c>
      <c r="AC100" s="462">
        <f>SUM('[1]GDP KP'!BT100:BU100)</f>
        <v>66.197611139287844</v>
      </c>
      <c r="AD100" s="462" t="e">
        <f>SUM('[1]GDP KP'!BV100:BW100)</f>
        <v>#REF!</v>
      </c>
      <c r="AE100" s="462"/>
      <c r="AF100" s="462"/>
      <c r="AG100" s="462"/>
      <c r="AH100" s="462">
        <f t="shared" si="7"/>
        <v>60.704597837240371</v>
      </c>
      <c r="AI100" s="462">
        <f t="shared" si="6"/>
        <v>130.79919641403575</v>
      </c>
      <c r="AJ100" s="484">
        <f t="shared" si="8"/>
        <v>0.46410528123647027</v>
      </c>
    </row>
    <row r="101" spans="1:36">
      <c r="A101" s="451" t="s">
        <v>566</v>
      </c>
      <c r="B101" s="33">
        <f>SUM('[1]GDP KP'!AN101:AQ101)</f>
        <v>113.32962287685618</v>
      </c>
      <c r="C101" s="33">
        <f>SUM('[1]GDP KP'!AR101:AU101)</f>
        <v>118.53352159404707</v>
      </c>
      <c r="D101" s="33">
        <f>SUM('[1]GDP KP'!AV101:AY101)</f>
        <v>145.46969682216238</v>
      </c>
      <c r="E101" s="33">
        <f>SUM('[1]GDP KP'!AZ101:BC101)</f>
        <v>162.33428315063719</v>
      </c>
      <c r="F101" s="33">
        <f>SUM('[1]GDP KP'!BD101:BG101)</f>
        <v>175.36879580171268</v>
      </c>
      <c r="G101" s="33">
        <f>SUM('[1]GDP KP'!BH101:BK101)</f>
        <v>166.82154450785131</v>
      </c>
      <c r="H101" s="33">
        <f>SUM('[1]GDP KP'!BL101:BO101)</f>
        <v>181.10578396949651</v>
      </c>
      <c r="I101" s="33">
        <f>SUM('[1]GDP KP'!BP101:BS101)</f>
        <v>179.81334472905934</v>
      </c>
      <c r="J101" s="33" t="e">
        <f>SUM('[1]GDP KP'!BT101:BW101)</f>
        <v>#REF!</v>
      </c>
      <c r="L101" s="451" t="s">
        <v>566</v>
      </c>
      <c r="M101" s="462">
        <f>SUM('[1]GDP KP'!AN101:AO101)</f>
        <v>55.714095551780716</v>
      </c>
      <c r="N101" s="462">
        <f>SUM('[1]GDP KP'!AP101:AQ101)</f>
        <v>57.615527325075448</v>
      </c>
      <c r="O101" s="462">
        <f>SUM('[1]GDP KP'!AR101:AS101)</f>
        <v>54.605262358318626</v>
      </c>
      <c r="P101" s="462">
        <f>SUM('[1]GDP KP'!AT101:AU101)</f>
        <v>63.928259235728433</v>
      </c>
      <c r="Q101" s="462">
        <f>SUM('[1]GDP KP'!AV101:AW101)</f>
        <v>70.920318737959803</v>
      </c>
      <c r="R101" s="462">
        <f>SUM('[1]GDP KP'!BO101:BR101)</f>
        <v>183.7562467775947</v>
      </c>
      <c r="S101" s="462">
        <f>SUM('[1]GDP KP'!AZ101:BA101)</f>
        <v>79.067508579469092</v>
      </c>
      <c r="T101" s="462">
        <f>SUM('[1]GDP KP'!BB101:BC101)</f>
        <v>83.266774571168099</v>
      </c>
      <c r="U101" s="462">
        <f>SUM('[1]GDP KP'!BD101:BE101)</f>
        <v>94.419990656277392</v>
      </c>
      <c r="V101" s="462">
        <f>SUM('[1]GDP KP'!BF101:BG101)</f>
        <v>80.948805145435301</v>
      </c>
      <c r="W101" s="462">
        <f>SUM('[1]GDP KP'!BH101:BI101)</f>
        <v>77.322932332100734</v>
      </c>
      <c r="X101" s="462">
        <f>SUM('[1]GDP KP'!BJ101:BK101)</f>
        <v>89.498612175750594</v>
      </c>
      <c r="Y101" s="462">
        <f>SUM('[1]GDP KP'!BL101:BM101)</f>
        <v>86.056844885511197</v>
      </c>
      <c r="Z101" s="462">
        <f>SUM('[1]GDP KP'!BN101:BO101)</f>
        <v>95.048939083985317</v>
      </c>
      <c r="AA101" s="462">
        <f>SUM('[1]GDP KP'!BP101:BQ101)</f>
        <v>91.107252495570663</v>
      </c>
      <c r="AB101" s="462">
        <f>SUM('[1]GDP KP'!BR101:BS101)</f>
        <v>88.706092233488675</v>
      </c>
      <c r="AC101" s="462">
        <f>SUM('[1]GDP KP'!BT101:BU101)</f>
        <v>103.40275071715958</v>
      </c>
      <c r="AD101" s="462" t="e">
        <f>SUM('[1]GDP KP'!BV101:BW101)</f>
        <v>#REF!</v>
      </c>
      <c r="AE101" s="462"/>
      <c r="AF101" s="462"/>
      <c r="AG101" s="462"/>
      <c r="AH101" s="462">
        <f t="shared" si="7"/>
        <v>76.151775699623528</v>
      </c>
      <c r="AI101" s="462">
        <f t="shared" si="6"/>
        <v>168.99793276815183</v>
      </c>
      <c r="AJ101" s="484">
        <f t="shared" si="8"/>
        <v>0.45060773497209644</v>
      </c>
    </row>
    <row r="102" spans="1:36" s="245" customFormat="1">
      <c r="A102" s="454" t="s">
        <v>151</v>
      </c>
      <c r="B102" s="203">
        <f>SUM('[1]GDP KP'!AN102:AQ102)</f>
        <v>142.50069008437424</v>
      </c>
      <c r="C102" s="203">
        <f>SUM('[1]GDP KP'!AR102:AU102)</f>
        <v>151.40904169634101</v>
      </c>
      <c r="D102" s="203">
        <f>SUM('[1]GDP KP'!AV102:AY102)</f>
        <v>163.3998167704373</v>
      </c>
      <c r="E102" s="203">
        <f>SUM('[1]GDP KP'!AZ102:BC102)</f>
        <v>178.92697529978625</v>
      </c>
      <c r="F102" s="203">
        <f>SUM('[1]GDP KP'!BD102:BG102)</f>
        <v>196.5186315163769</v>
      </c>
      <c r="G102" s="203">
        <f>SUM('[1]GDP KP'!BH102:BK102)</f>
        <v>194.95288435766844</v>
      </c>
      <c r="H102" s="203">
        <f>SUM('[1]GDP KP'!BL102:BO102)</f>
        <v>220.74224292241715</v>
      </c>
      <c r="I102" s="203">
        <f>SUM('[1]GDP KP'!BP102:BS102)</f>
        <v>222.85785779030465</v>
      </c>
      <c r="J102" s="203" t="e">
        <f>SUM('[1]GDP KP'!BT102:BW102)</f>
        <v>#REF!</v>
      </c>
      <c r="L102" s="454" t="s">
        <v>151</v>
      </c>
      <c r="M102" s="459">
        <f>SUM('[1]GDP KP'!AN102:AO102)</f>
        <v>73.112963661473572</v>
      </c>
      <c r="N102" s="459">
        <f>SUM('[1]GDP KP'!AP102:AQ102)</f>
        <v>69.38772642290067</v>
      </c>
      <c r="O102" s="459">
        <f>SUM('[1]GDP KP'!AR102:AS102)</f>
        <v>75.756775432561795</v>
      </c>
      <c r="P102" s="459">
        <f>SUM('[1]GDP KP'!AT102:AU102)</f>
        <v>75.652266263779211</v>
      </c>
      <c r="Q102" s="459">
        <f>SUM('[1]GDP KP'!AV102:AW102)</f>
        <v>79.197360566562082</v>
      </c>
      <c r="R102" s="459">
        <f>SUM('[1]GDP KP'!BO102:BR102)</f>
        <v>224.15955611339689</v>
      </c>
      <c r="S102" s="459">
        <f>SUM('[1]GDP KP'!AZ102:BA102)</f>
        <v>86.972149456854424</v>
      </c>
      <c r="T102" s="459">
        <f>SUM('[1]GDP KP'!BB102:BC102)</f>
        <v>91.954825842931797</v>
      </c>
      <c r="U102" s="459">
        <f>SUM('[1]GDP KP'!BD102:BE102)</f>
        <v>97.368454099563934</v>
      </c>
      <c r="V102" s="459">
        <f>SUM('[1]GDP KP'!BF102:BG102)</f>
        <v>99.150177416812966</v>
      </c>
      <c r="W102" s="459">
        <f>SUM('[1]GDP KP'!BH102:BI102)</f>
        <v>94.054360173995036</v>
      </c>
      <c r="X102" s="459">
        <f>SUM('[1]GDP KP'!BJ102:BK102)</f>
        <v>100.89852418367337</v>
      </c>
      <c r="Y102" s="459">
        <f>SUM('[1]GDP KP'!BL102:BM102)</f>
        <v>108.32733950625368</v>
      </c>
      <c r="Z102" s="459">
        <f>SUM('[1]GDP KP'!BN102:BO102)</f>
        <v>112.41490341616347</v>
      </c>
      <c r="AA102" s="459">
        <f>SUM('[1]GDP KP'!BP102:BQ102)</f>
        <v>111.99979762335013</v>
      </c>
      <c r="AB102" s="459">
        <f>SUM('[1]GDP KP'!BR102:BS102)</f>
        <v>110.85806016695454</v>
      </c>
      <c r="AC102" s="459">
        <f>SUM('[1]GDP KP'!BT102:BU102)</f>
        <v>109.23636368217167</v>
      </c>
      <c r="AD102" s="459" t="e">
        <f>SUM('[1]GDP KP'!BV102:BW102)</f>
        <v>#REF!</v>
      </c>
      <c r="AE102" s="459"/>
      <c r="AF102" s="459"/>
      <c r="AG102" s="459"/>
      <c r="AH102" s="459">
        <f t="shared" si="7"/>
        <v>90.848650065076825</v>
      </c>
      <c r="AI102" s="459">
        <f t="shared" si="6"/>
        <v>201.40815504340344</v>
      </c>
      <c r="AJ102" s="479">
        <f t="shared" si="8"/>
        <v>0.45106738625106291</v>
      </c>
    </row>
    <row r="103" spans="1:36">
      <c r="A103" s="451" t="s">
        <v>567</v>
      </c>
      <c r="B103" s="33">
        <f>SUM('[1]GDP KP'!AN103:AQ103)</f>
        <v>92.480181269370036</v>
      </c>
      <c r="C103" s="33">
        <f>SUM('[1]GDP KP'!AR103:AU103)</f>
        <v>89.247491612744028</v>
      </c>
      <c r="D103" s="33">
        <f>SUM('[1]GDP KP'!AV103:AY103)</f>
        <v>91.18387866192019</v>
      </c>
      <c r="E103" s="33">
        <f>SUM('[1]GDP KP'!AZ103:BC103)</f>
        <v>93.989512095546033</v>
      </c>
      <c r="F103" s="33">
        <f>SUM('[1]GDP KP'!BD103:BG103)</f>
        <v>100.46068549485</v>
      </c>
      <c r="G103" s="33">
        <f>SUM('[1]GDP KP'!BH103:BK103)</f>
        <v>99.505222368244233</v>
      </c>
      <c r="H103" s="33">
        <f>SUM('[1]GDP KP'!BL103:BO103)</f>
        <v>108.36692438665716</v>
      </c>
      <c r="I103" s="33">
        <f>SUM('[1]GDP KP'!BP103:BS103)</f>
        <v>116.144935458037</v>
      </c>
      <c r="J103" s="33" t="e">
        <f>SUM('[1]GDP KP'!BT103:BW103)</f>
        <v>#REF!</v>
      </c>
      <c r="L103" s="451" t="s">
        <v>567</v>
      </c>
      <c r="M103" s="462">
        <f>SUM('[1]GDP KP'!AN103:AO103)</f>
        <v>48.8255424131914</v>
      </c>
      <c r="N103" s="462">
        <f>SUM('[1]GDP KP'!AP103:AQ103)</f>
        <v>43.654638856178643</v>
      </c>
      <c r="O103" s="462">
        <f>SUM('[1]GDP KP'!AR103:AS103)</f>
        <v>46.631970719225983</v>
      </c>
      <c r="P103" s="462">
        <f>SUM('[1]GDP KP'!AT103:AU103)</f>
        <v>42.615520893518045</v>
      </c>
      <c r="Q103" s="462">
        <f>SUM('[1]GDP KP'!AV103:AW103)</f>
        <v>45.123997844980828</v>
      </c>
      <c r="R103" s="462">
        <f>SUM('[1]GDP KP'!BO103:BR103)</f>
        <v>117.88002223699304</v>
      </c>
      <c r="S103" s="462">
        <f>SUM('[1]GDP KP'!AZ103:BA103)</f>
        <v>49.355088897637756</v>
      </c>
      <c r="T103" s="462">
        <f>SUM('[1]GDP KP'!BB103:BC103)</f>
        <v>44.634423197908283</v>
      </c>
      <c r="U103" s="462">
        <f>SUM('[1]GDP KP'!BD103:BE103)</f>
        <v>51.779751661376196</v>
      </c>
      <c r="V103" s="462">
        <f>SUM('[1]GDP KP'!BF103:BG103)</f>
        <v>48.680933833473794</v>
      </c>
      <c r="W103" s="462">
        <f>SUM('[1]GDP KP'!BH103:BI103)</f>
        <v>49.6875961732826</v>
      </c>
      <c r="X103" s="462">
        <f>SUM('[1]GDP KP'!BJ103:BK103)</f>
        <v>49.817626194961633</v>
      </c>
      <c r="Y103" s="462">
        <f>SUM('[1]GDP KP'!BL103:BM103)</f>
        <v>53.740729854462458</v>
      </c>
      <c r="Z103" s="462">
        <f>SUM('[1]GDP KP'!BN103:BO103)</f>
        <v>54.626194532194702</v>
      </c>
      <c r="AA103" s="462">
        <f>SUM('[1]GDP KP'!BP103:BQ103)</f>
        <v>59.365464723954574</v>
      </c>
      <c r="AB103" s="462">
        <f>SUM('[1]GDP KP'!BR103:BS103)</f>
        <v>56.77947073408243</v>
      </c>
      <c r="AC103" s="462">
        <f>SUM('[1]GDP KP'!BT103:BU103)</f>
        <v>62.982363148158321</v>
      </c>
      <c r="AD103" s="462" t="e">
        <f>SUM('[1]GDP KP'!BV103:BW103)</f>
        <v>#REF!</v>
      </c>
      <c r="AE103" s="462"/>
      <c r="AF103" s="462"/>
      <c r="AG103" s="462"/>
      <c r="AH103" s="462">
        <f t="shared" si="7"/>
        <v>50.563767786013976</v>
      </c>
      <c r="AI103" s="462">
        <f t="shared" si="6"/>
        <v>107.89987159592779</v>
      </c>
      <c r="AJ103" s="484">
        <f t="shared" si="8"/>
        <v>0.46861749729758051</v>
      </c>
    </row>
    <row r="104" spans="1:36">
      <c r="A104" s="451" t="s">
        <v>568</v>
      </c>
      <c r="B104" s="33">
        <f>SUM('[1]GDP KP'!AN104:AQ104)</f>
        <v>25.293028137374236</v>
      </c>
      <c r="C104" s="33">
        <f>SUM('[1]GDP KP'!AR104:AU104)</f>
        <v>28.945467598801621</v>
      </c>
      <c r="D104" s="33">
        <f>SUM('[1]GDP KP'!AV104:AY104)</f>
        <v>38.755633801300419</v>
      </c>
      <c r="E104" s="33">
        <f>SUM('[1]GDP KP'!AZ104:BC104)</f>
        <v>39.494385619326792</v>
      </c>
      <c r="F104" s="33">
        <f>SUM('[1]GDP KP'!BD104:BG104)</f>
        <v>46.692262066010393</v>
      </c>
      <c r="G104" s="33">
        <f>SUM('[1]GDP KP'!BH104:BK104)</f>
        <v>50.64387815914408</v>
      </c>
      <c r="H104" s="33">
        <f>SUM('[1]GDP KP'!BL104:BO104)</f>
        <v>63.018412101313999</v>
      </c>
      <c r="I104" s="33">
        <f>SUM('[1]GDP KP'!BP104:BS104)</f>
        <v>57.652681489931126</v>
      </c>
      <c r="J104" s="33" t="e">
        <f>SUM('[1]GDP KP'!BT104:BW104)</f>
        <v>#REF!</v>
      </c>
      <c r="L104" s="451" t="s">
        <v>568</v>
      </c>
      <c r="M104" s="462">
        <f>SUM('[1]GDP KP'!AN104:AO104)</f>
        <v>12.762474932564565</v>
      </c>
      <c r="N104" s="462">
        <f>SUM('[1]GDP KP'!AP104:AQ104)</f>
        <v>12.530553204809671</v>
      </c>
      <c r="O104" s="462">
        <f>SUM('[1]GDP KP'!AR104:AS104)</f>
        <v>14.235901141607897</v>
      </c>
      <c r="P104" s="462">
        <f>SUM('[1]GDP KP'!AT104:AU104)</f>
        <v>14.709566457193725</v>
      </c>
      <c r="Q104" s="462">
        <f>SUM('[1]GDP KP'!AV104:AW104)</f>
        <v>17.034592230100607</v>
      </c>
      <c r="R104" s="462">
        <f>SUM('[1]GDP KP'!BO104:BR104)</f>
        <v>56.306222420334343</v>
      </c>
      <c r="S104" s="462">
        <f>SUM('[1]GDP KP'!AZ104:BA104)</f>
        <v>18.100187215269919</v>
      </c>
      <c r="T104" s="462">
        <f>SUM('[1]GDP KP'!BB104:BC104)</f>
        <v>21.394198404056869</v>
      </c>
      <c r="U104" s="462">
        <f>SUM('[1]GDP KP'!BD104:BE104)</f>
        <v>20.820638137654178</v>
      </c>
      <c r="V104" s="462">
        <f>SUM('[1]GDP KP'!BF104:BG104)</f>
        <v>25.871623928356215</v>
      </c>
      <c r="W104" s="462">
        <f>SUM('[1]GDP KP'!BH104:BI104)</f>
        <v>22.103028627479134</v>
      </c>
      <c r="X104" s="462">
        <f>SUM('[1]GDP KP'!BJ104:BK104)</f>
        <v>28.540849531664946</v>
      </c>
      <c r="Y104" s="462">
        <f>SUM('[1]GDP KP'!BL104:BM104)</f>
        <v>30.497551617977514</v>
      </c>
      <c r="Z104" s="462">
        <f>SUM('[1]GDP KP'!BN104:BO104)</f>
        <v>32.520860483336477</v>
      </c>
      <c r="AA104" s="462">
        <f>SUM('[1]GDP KP'!BP104:BQ104)</f>
        <v>29.287274205909341</v>
      </c>
      <c r="AB104" s="462">
        <f>SUM('[1]GDP KP'!BR104:BS104)</f>
        <v>28.365407284021781</v>
      </c>
      <c r="AC104" s="462">
        <f>SUM('[1]GDP KP'!BT104:BU104)</f>
        <v>22.58241889947783</v>
      </c>
      <c r="AD104" s="462" t="e">
        <f>SUM('[1]GDP KP'!BV104:BW104)</f>
        <v>#REF!</v>
      </c>
      <c r="AE104" s="462"/>
      <c r="AF104" s="462"/>
      <c r="AG104" s="462"/>
      <c r="AH104" s="462">
        <f t="shared" si="7"/>
        <v>20.605206013570395</v>
      </c>
      <c r="AI104" s="462">
        <f t="shared" si="6"/>
        <v>48.135116227792146</v>
      </c>
      <c r="AJ104" s="484">
        <f t="shared" si="8"/>
        <v>0.42807014147549532</v>
      </c>
    </row>
    <row r="105" spans="1:36">
      <c r="A105" s="451" t="s">
        <v>569</v>
      </c>
      <c r="B105" s="33">
        <f>SUM('[1]GDP KP'!AN105:AQ105)</f>
        <v>24.727480677629956</v>
      </c>
      <c r="C105" s="33">
        <f>SUM('[1]GDP KP'!AR105:AU105)</f>
        <v>33.216082484795358</v>
      </c>
      <c r="D105" s="33">
        <f>SUM('[1]GDP KP'!AV105:AY105)</f>
        <v>33.460304307216667</v>
      </c>
      <c r="E105" s="33">
        <f>SUM('[1]GDP KP'!AZ105:BC105)</f>
        <v>45.443077584913411</v>
      </c>
      <c r="F105" s="33">
        <f>SUM('[1]GDP KP'!BD105:BG105)</f>
        <v>49.365683955516516</v>
      </c>
      <c r="G105" s="33">
        <f>SUM('[1]GDP KP'!BH105:BK105)</f>
        <v>44.803783830280082</v>
      </c>
      <c r="H105" s="33">
        <f>SUM('[1]GDP KP'!BL105:BO105)</f>
        <v>49.356906434445982</v>
      </c>
      <c r="I105" s="33">
        <f>SUM('[1]GDP KP'!BP105:BS105)</f>
        <v>49.060240842336533</v>
      </c>
      <c r="J105" s="33" t="e">
        <f>SUM('[1]GDP KP'!BT105:BW105)</f>
        <v>#REF!</v>
      </c>
      <c r="L105" s="451" t="s">
        <v>569</v>
      </c>
      <c r="M105" s="462">
        <f>SUM('[1]GDP KP'!AN105:AO105)</f>
        <v>11.524946315717596</v>
      </c>
      <c r="N105" s="462">
        <f>SUM('[1]GDP KP'!AP105:AQ105)</f>
        <v>13.202534361912363</v>
      </c>
      <c r="O105" s="462">
        <f>SUM('[1]GDP KP'!AR105:AS105)</f>
        <v>14.888903571727912</v>
      </c>
      <c r="P105" s="462">
        <f>SUM('[1]GDP KP'!AT105:AU105)</f>
        <v>18.327178913067449</v>
      </c>
      <c r="Q105" s="462">
        <f>SUM('[1]GDP KP'!AV105:AW105)</f>
        <v>17.038770491480644</v>
      </c>
      <c r="R105" s="462">
        <f>SUM('[1]GDP KP'!BO105:BR105)</f>
        <v>49.973311456069467</v>
      </c>
      <c r="S105" s="462">
        <f>SUM('[1]GDP KP'!AZ105:BA105)</f>
        <v>19.516873343946756</v>
      </c>
      <c r="T105" s="462">
        <f>SUM('[1]GDP KP'!BB105:BC105)</f>
        <v>25.926204240966655</v>
      </c>
      <c r="U105" s="462">
        <f>SUM('[1]GDP KP'!BD105:BE105)</f>
        <v>24.768064300533553</v>
      </c>
      <c r="V105" s="462">
        <f>SUM('[1]GDP KP'!BF105:BG105)</f>
        <v>24.597619654982964</v>
      </c>
      <c r="W105" s="462">
        <f>SUM('[1]GDP KP'!BH105:BI105)</f>
        <v>22.263735373233292</v>
      </c>
      <c r="X105" s="462">
        <f>SUM('[1]GDP KP'!BJ105:BK105)</f>
        <v>22.540048457046794</v>
      </c>
      <c r="Y105" s="462">
        <f>SUM('[1]GDP KP'!BL105:BM105)</f>
        <v>24.089058033813707</v>
      </c>
      <c r="Z105" s="462">
        <f>SUM('[1]GDP KP'!BN105:BO105)</f>
        <v>25.267848400632278</v>
      </c>
      <c r="AA105" s="462">
        <f>SUM('[1]GDP KP'!BP105:BQ105)</f>
        <v>23.347058693486211</v>
      </c>
      <c r="AB105" s="462">
        <f>SUM('[1]GDP KP'!BR105:BS105)</f>
        <v>25.713182148850318</v>
      </c>
      <c r="AC105" s="462">
        <f>SUM('[1]GDP KP'!BT105:BU105)</f>
        <v>23.671581634535528</v>
      </c>
      <c r="AD105" s="462" t="e">
        <f>SUM('[1]GDP KP'!BV105:BW105)</f>
        <v>#REF!</v>
      </c>
      <c r="AE105" s="462"/>
      <c r="AF105" s="462"/>
      <c r="AG105" s="462"/>
      <c r="AH105" s="462">
        <f t="shared" si="7"/>
        <v>19.679676265492461</v>
      </c>
      <c r="AI105" s="462">
        <f t="shared" si="6"/>
        <v>45.373167219683495</v>
      </c>
      <c r="AJ105" s="484">
        <f t="shared" si="8"/>
        <v>0.43372939275341466</v>
      </c>
    </row>
    <row r="106" spans="1:36" s="245" customFormat="1">
      <c r="A106" s="454" t="s">
        <v>152</v>
      </c>
      <c r="B106" s="203">
        <f>SUM('[1]GDP KP'!AN106:AQ106)</f>
        <v>241.93071233045896</v>
      </c>
      <c r="C106" s="203">
        <f>SUM('[1]GDP KP'!AR106:AU106)</f>
        <v>265.61180214247486</v>
      </c>
      <c r="D106" s="203">
        <f>SUM('[1]GDP KP'!AV106:AY106)</f>
        <v>276.69516864670504</v>
      </c>
      <c r="E106" s="203">
        <f>SUM('[1]GDP KP'!AZ106:BC106)</f>
        <v>288.16304662607178</v>
      </c>
      <c r="F106" s="203">
        <f>SUM('[1]GDP KP'!BD106:BG106)</f>
        <v>301.64643884627719</v>
      </c>
      <c r="G106" s="203">
        <f>SUM('[1]GDP KP'!BH106:BK106)</f>
        <v>281.02010187780667</v>
      </c>
      <c r="H106" s="203">
        <f>SUM('[1]GDP KP'!BL106:BO106)</f>
        <v>297.2565759102423</v>
      </c>
      <c r="I106" s="203">
        <f>SUM('[1]GDP KP'!BP106:BS106)</f>
        <v>301.29366944862113</v>
      </c>
      <c r="J106" s="203" t="e">
        <f>SUM('[1]GDP KP'!BT106:BW106)</f>
        <v>#REF!</v>
      </c>
      <c r="L106" s="454" t="s">
        <v>152</v>
      </c>
      <c r="M106" s="459">
        <f>SUM('[1]GDP KP'!AN106:AO106)</f>
        <v>111.43076134992134</v>
      </c>
      <c r="N106" s="459">
        <f>SUM('[1]GDP KP'!AP106:AQ106)</f>
        <v>130.49995098053762</v>
      </c>
      <c r="O106" s="459">
        <f>SUM('[1]GDP KP'!AR106:AS106)</f>
        <v>132.44462254947894</v>
      </c>
      <c r="P106" s="459">
        <f>SUM('[1]GDP KP'!AT106:AU106)</f>
        <v>133.16717959299592</v>
      </c>
      <c r="Q106" s="459">
        <f>SUM('[1]GDP KP'!AV106:AW106)</f>
        <v>134.8792190266941</v>
      </c>
      <c r="R106" s="459">
        <f>SUM('[1]GDP KP'!BO106:BR106)</f>
        <v>302.82224699043218</v>
      </c>
      <c r="S106" s="459">
        <f>SUM('[1]GDP KP'!AZ106:BA106)</f>
        <v>141.60269314162383</v>
      </c>
      <c r="T106" s="459">
        <f>SUM('[1]GDP KP'!BB106:BC106)</f>
        <v>146.56035348444794</v>
      </c>
      <c r="U106" s="459">
        <f>SUM('[1]GDP KP'!BD106:BE106)</f>
        <v>145.65906741710418</v>
      </c>
      <c r="V106" s="459">
        <f>SUM('[1]GDP KP'!BF106:BG106)</f>
        <v>155.98737142917298</v>
      </c>
      <c r="W106" s="459">
        <f>SUM('[1]GDP KP'!BH106:BI106)</f>
        <v>140.54261342360385</v>
      </c>
      <c r="X106" s="459">
        <f>SUM('[1]GDP KP'!BJ106:BK106)</f>
        <v>140.47748845420278</v>
      </c>
      <c r="Y106" s="459">
        <f>SUM('[1]GDP KP'!BL106:BM106)</f>
        <v>144.86453352111599</v>
      </c>
      <c r="Z106" s="459">
        <f>SUM('[1]GDP KP'!BN106:BO106)</f>
        <v>152.39204238912629</v>
      </c>
      <c r="AA106" s="459">
        <f>SUM('[1]GDP KP'!BP106:BQ106)</f>
        <v>148.21738876641263</v>
      </c>
      <c r="AB106" s="459">
        <f>SUM('[1]GDP KP'!BR106:BS106)</f>
        <v>153.07628068220851</v>
      </c>
      <c r="AC106" s="459">
        <f>SUM('[1]GDP KP'!BT106:BU106)</f>
        <v>148.03579683696361</v>
      </c>
      <c r="AD106" s="459" t="e">
        <f>SUM('[1]GDP KP'!BV106:BW106)</f>
        <v>#REF!</v>
      </c>
      <c r="AE106" s="459"/>
      <c r="AF106" s="459"/>
      <c r="AG106" s="459"/>
      <c r="AH106" s="459">
        <f t="shared" si="7"/>
        <v>137.45511239949434</v>
      </c>
      <c r="AI106" s="459">
        <f t="shared" si="6"/>
        <v>301.82797664988487</v>
      </c>
      <c r="AJ106" s="479">
        <f t="shared" si="8"/>
        <v>0.45540878590900091</v>
      </c>
    </row>
    <row r="107" spans="1:36">
      <c r="A107" s="451" t="s">
        <v>570</v>
      </c>
      <c r="B107" s="33">
        <f>SUM('[1]GDP KP'!AN107:AQ107)</f>
        <v>55.956299438521768</v>
      </c>
      <c r="C107" s="33">
        <f>SUM('[1]GDP KP'!AR107:AU107)</f>
        <v>60.558245586459954</v>
      </c>
      <c r="D107" s="33">
        <f>SUM('[1]GDP KP'!AV107:AY107)</f>
        <v>72.503334372054482</v>
      </c>
      <c r="E107" s="33">
        <f>SUM('[1]GDP KP'!AZ107:BC107)</f>
        <v>63.557409263236295</v>
      </c>
      <c r="F107" s="33">
        <f>SUM('[1]GDP KP'!BD107:BG107)</f>
        <v>68.441173447160708</v>
      </c>
      <c r="G107" s="33">
        <f>SUM('[1]GDP KP'!BH107:BK107)</f>
        <v>40.910679972610254</v>
      </c>
      <c r="H107" s="33">
        <f>SUM('[1]GDP KP'!BL107:BO107)</f>
        <v>55.368279673996327</v>
      </c>
      <c r="I107" s="33">
        <f>SUM('[1]GDP KP'!BP107:BS107)</f>
        <v>68.59998251029522</v>
      </c>
      <c r="J107" s="33" t="e">
        <f>SUM('[1]GDP KP'!BT107:BW107)</f>
        <v>#REF!</v>
      </c>
      <c r="L107" s="451" t="s">
        <v>570</v>
      </c>
      <c r="M107" s="462">
        <f>SUM('[1]GDP KP'!AN107:AO107)</f>
        <v>27.021337039138643</v>
      </c>
      <c r="N107" s="462">
        <f>SUM('[1]GDP KP'!AP107:AQ107)</f>
        <v>28.934962399383132</v>
      </c>
      <c r="O107" s="462">
        <f>SUM('[1]GDP KP'!AR107:AS107)</f>
        <v>30.455688917468063</v>
      </c>
      <c r="P107" s="462">
        <f>SUM('[1]GDP KP'!AT107:AU107)</f>
        <v>30.102556668991891</v>
      </c>
      <c r="Q107" s="462">
        <f>SUM('[1]GDP KP'!AV107:AW107)</f>
        <v>36.623898371947263</v>
      </c>
      <c r="R107" s="462">
        <f>SUM('[1]GDP KP'!BO107:BR107)</f>
        <v>66.670397989740479</v>
      </c>
      <c r="S107" s="462">
        <f>SUM('[1]GDP KP'!AZ107:BA107)</f>
        <v>30.133285095005611</v>
      </c>
      <c r="T107" s="462">
        <f>SUM('[1]GDP KP'!BB107:BC107)</f>
        <v>33.424124168230676</v>
      </c>
      <c r="U107" s="462">
        <f>SUM('[1]GDP KP'!BD107:BE107)</f>
        <v>31.044419114359837</v>
      </c>
      <c r="V107" s="462">
        <f>SUM('[1]GDP KP'!BF107:BG107)</f>
        <v>37.39675433280086</v>
      </c>
      <c r="W107" s="462">
        <f>SUM('[1]GDP KP'!BH107:BI107)</f>
        <v>25.783476146659346</v>
      </c>
      <c r="X107" s="462">
        <f>SUM('[1]GDP KP'!BJ107:BK107)</f>
        <v>15.127203825950907</v>
      </c>
      <c r="Y107" s="462">
        <f>SUM('[1]GDP KP'!BL107:BM107)</f>
        <v>24.26916947194405</v>
      </c>
      <c r="Z107" s="462">
        <f>SUM('[1]GDP KP'!BN107:BO107)</f>
        <v>31.09911020205228</v>
      </c>
      <c r="AA107" s="462">
        <f>SUM('[1]GDP KP'!BP107:BQ107)</f>
        <v>29.046912760086791</v>
      </c>
      <c r="AB107" s="462">
        <f>SUM('[1]GDP KP'!BR107:BS107)</f>
        <v>39.553069750208437</v>
      </c>
      <c r="AC107" s="462">
        <f>SUM('[1]GDP KP'!BT107:BU107)</f>
        <v>29.912552144740658</v>
      </c>
      <c r="AD107" s="462" t="e">
        <f>SUM('[1]GDP KP'!BV107:BW107)</f>
        <v>#REF!</v>
      </c>
      <c r="AE107" s="462"/>
      <c r="AF107" s="462"/>
      <c r="AG107" s="462"/>
      <c r="AH107" s="462">
        <f t="shared" si="7"/>
        <v>29.297273364576203</v>
      </c>
      <c r="AI107" s="462">
        <f t="shared" si="6"/>
        <v>64.585795781746029</v>
      </c>
      <c r="AJ107" s="484">
        <f t="shared" si="8"/>
        <v>0.4536179048343712</v>
      </c>
    </row>
    <row r="108" spans="1:36">
      <c r="A108" s="451" t="s">
        <v>571</v>
      </c>
      <c r="B108" s="33">
        <f>SUM('[1]GDP KP'!AN108:AQ108)</f>
        <v>185.97441289193719</v>
      </c>
      <c r="C108" s="33">
        <f>SUM('[1]GDP KP'!AR108:AU108)</f>
        <v>205.05355655601491</v>
      </c>
      <c r="D108" s="33">
        <f>SUM('[1]GDP KP'!AV108:AY108)</f>
        <v>204.1918342746506</v>
      </c>
      <c r="E108" s="33">
        <f>SUM('[1]GDP KP'!AZ108:BC108)</f>
        <v>224.60563736283552</v>
      </c>
      <c r="F108" s="33">
        <f>SUM('[1]GDP KP'!BD108:BG108)</f>
        <v>233.20526539911651</v>
      </c>
      <c r="G108" s="33">
        <f>SUM('[1]GDP KP'!BH108:BK108)</f>
        <v>240.10942190519637</v>
      </c>
      <c r="H108" s="33">
        <f>SUM('[1]GDP KP'!BL108:BO108)</f>
        <v>241.88829623624596</v>
      </c>
      <c r="I108" s="33">
        <f>SUM('[1]GDP KP'!BP108:BS108)</f>
        <v>232.69368693832595</v>
      </c>
      <c r="J108" s="33" t="e">
        <f>SUM('[1]GDP KP'!BT108:BW108)</f>
        <v>#REF!</v>
      </c>
      <c r="L108" s="451" t="s">
        <v>571</v>
      </c>
      <c r="M108" s="462">
        <f>SUM('[1]GDP KP'!AN108:AO108)</f>
        <v>84.409424310782697</v>
      </c>
      <c r="N108" s="462">
        <f>SUM('[1]GDP KP'!AP108:AQ108)</f>
        <v>101.56498858115449</v>
      </c>
      <c r="O108" s="462">
        <f>SUM('[1]GDP KP'!AR108:AS108)</f>
        <v>101.98893363201088</v>
      </c>
      <c r="P108" s="462">
        <f>SUM('[1]GDP KP'!AT108:AU108)</f>
        <v>103.06462292400403</v>
      </c>
      <c r="Q108" s="462">
        <f>SUM('[1]GDP KP'!AV108:AW108)</f>
        <v>98.255320654746868</v>
      </c>
      <c r="R108" s="462">
        <f>SUM('[1]GDP KP'!BO108:BR108)</f>
        <v>236.15184900069167</v>
      </c>
      <c r="S108" s="462">
        <f>SUM('[1]GDP KP'!AZ108:BA108)</f>
        <v>111.46940804661824</v>
      </c>
      <c r="T108" s="462">
        <f>SUM('[1]GDP KP'!BB108:BC108)</f>
        <v>113.13622931621725</v>
      </c>
      <c r="U108" s="462">
        <f>SUM('[1]GDP KP'!BD108:BE108)</f>
        <v>114.61464830274434</v>
      </c>
      <c r="V108" s="462">
        <f>SUM('[1]GDP KP'!BF108:BG108)</f>
        <v>118.59061709637214</v>
      </c>
      <c r="W108" s="462">
        <f>SUM('[1]GDP KP'!BH108:BI108)</f>
        <v>114.7591372769445</v>
      </c>
      <c r="X108" s="462">
        <f>SUM('[1]GDP KP'!BJ108:BK108)</f>
        <v>125.35028462825188</v>
      </c>
      <c r="Y108" s="462">
        <f>SUM('[1]GDP KP'!BL108:BM108)</f>
        <v>120.59536404917193</v>
      </c>
      <c r="Z108" s="462">
        <f>SUM('[1]GDP KP'!BN108:BO108)</f>
        <v>121.29293218707403</v>
      </c>
      <c r="AA108" s="462">
        <f>SUM('[1]GDP KP'!BP108:BQ108)</f>
        <v>119.17047600632586</v>
      </c>
      <c r="AB108" s="462">
        <f>SUM('[1]GDP KP'!BR108:BS108)</f>
        <v>113.5232109320001</v>
      </c>
      <c r="AC108" s="462">
        <f>SUM('[1]GDP KP'!BT108:BU108)</f>
        <v>118.12324469222295</v>
      </c>
      <c r="AD108" s="462" t="e">
        <f>SUM('[1]GDP KP'!BV108:BW108)</f>
        <v>#REF!</v>
      </c>
      <c r="AH108" s="213">
        <f t="shared" si="7"/>
        <v>108.15783903491817</v>
      </c>
      <c r="AI108" s="213">
        <f t="shared" si="6"/>
        <v>237.24218086813886</v>
      </c>
      <c r="AJ108" s="17">
        <f t="shared" si="8"/>
        <v>0.45589632770672084</v>
      </c>
    </row>
    <row r="109" spans="1:36" s="245" customFormat="1">
      <c r="A109" s="454" t="s">
        <v>572</v>
      </c>
      <c r="B109" s="203">
        <f>SUM('[1]GDP KP'!AN109:AQ109)</f>
        <v>392.76328298337529</v>
      </c>
      <c r="C109" s="203">
        <f>SUM('[1]GDP KP'!AR109:AU109)</f>
        <v>437.342720645025</v>
      </c>
      <c r="D109" s="203">
        <f>SUM('[1]GDP KP'!AV109:AY109)</f>
        <v>446.03037616207854</v>
      </c>
      <c r="E109" s="203">
        <f>SUM('[1]GDP KP'!AZ109:BC109)</f>
        <v>476.88377972275748</v>
      </c>
      <c r="F109" s="203">
        <f>SUM('[1]GDP KP'!BD109:BG109)</f>
        <v>500.0123926006263</v>
      </c>
      <c r="G109" s="203">
        <f>SUM('[1]GDP KP'!BH109:BK109)</f>
        <v>513.70771669582621</v>
      </c>
      <c r="H109" s="203">
        <f>SUM('[1]GDP KP'!BL109:BO109)</f>
        <v>526.02400908371226</v>
      </c>
      <c r="I109" s="203">
        <f>SUM('[1]GDP KP'!BP109:BS109)</f>
        <v>576.65625303589502</v>
      </c>
      <c r="J109" s="203" t="e">
        <f>SUM('[1]GDP KP'!BT109:BW109)</f>
        <v>#REF!</v>
      </c>
      <c r="L109" s="454" t="s">
        <v>572</v>
      </c>
      <c r="M109" s="478">
        <f>SUM('[1]GDP KP'!AN109:AO109)</f>
        <v>189.24068684265819</v>
      </c>
      <c r="N109" s="478">
        <f>SUM('[1]GDP KP'!AP109:AQ109)</f>
        <v>203.5225961407171</v>
      </c>
      <c r="O109" s="478">
        <f>SUM('[1]GDP KP'!AR109:AS109)</f>
        <v>209.54174476916091</v>
      </c>
      <c r="P109" s="478">
        <f>SUM('[1]GDP KP'!AT109:AU109)</f>
        <v>227.80097587586414</v>
      </c>
      <c r="Q109" s="478">
        <f>SUM('[1]GDP KP'!AV109:AW109)</f>
        <v>215.83307077299284</v>
      </c>
      <c r="R109" s="478">
        <f>SUM('[1]GDP KP'!BO109:BR109)</f>
        <v>561.77314802143928</v>
      </c>
      <c r="S109" s="478">
        <f>SUM('[1]GDP KP'!AZ109:BA109)</f>
        <v>230.22690042732935</v>
      </c>
      <c r="T109" s="478">
        <f>SUM('[1]GDP KP'!BB109:BC109)</f>
        <v>246.65687929542813</v>
      </c>
      <c r="U109" s="478">
        <f>SUM('[1]GDP KP'!BD109:BE109)</f>
        <v>236.37335227166497</v>
      </c>
      <c r="V109" s="478">
        <f>SUM('[1]GDP KP'!BF109:BG109)</f>
        <v>263.63904032896136</v>
      </c>
      <c r="W109" s="478">
        <f>SUM('[1]GDP KP'!BH109:BI109)</f>
        <v>248.54801949212967</v>
      </c>
      <c r="X109" s="478">
        <f>SUM('[1]GDP KP'!BJ109:BK109)</f>
        <v>265.15969720369651</v>
      </c>
      <c r="Y109" s="478">
        <f>SUM('[1]GDP KP'!BL109:BM109)</f>
        <v>256.42764809222501</v>
      </c>
      <c r="Z109" s="478">
        <f>SUM('[1]GDP KP'!BN109:BO109)</f>
        <v>269.59636099148724</v>
      </c>
      <c r="AA109" s="478">
        <f>SUM('[1]GDP KP'!BP109:BQ109)</f>
        <v>262.80181919375354</v>
      </c>
      <c r="AB109" s="478">
        <f>SUM('[1]GDP KP'!BR109:BS109)</f>
        <v>313.85443384214147</v>
      </c>
      <c r="AC109" s="478">
        <f>SUM('[1]GDP KP'!BT109:BU109)</f>
        <v>298.43805712253965</v>
      </c>
      <c r="AD109" s="478" t="e">
        <f>SUM('[1]GDP KP'!BV109:BW109)</f>
        <v>#REF!</v>
      </c>
      <c r="AE109" s="478"/>
      <c r="AF109" s="478"/>
      <c r="AG109" s="478"/>
      <c r="AH109" s="478">
        <f t="shared" si="7"/>
        <v>231.12415523273933</v>
      </c>
      <c r="AI109" s="478">
        <f t="shared" si="6"/>
        <v>525.12454669520616</v>
      </c>
      <c r="AJ109" s="479">
        <f t="shared" si="8"/>
        <v>0.44013207283354983</v>
      </c>
    </row>
    <row r="110" spans="1:36" s="245" customFormat="1">
      <c r="A110" s="454" t="s">
        <v>15</v>
      </c>
      <c r="B110" s="203">
        <f>SUM('[1]GDP KP'!AN110:AQ110)</f>
        <v>217.76055407914751</v>
      </c>
      <c r="C110" s="203">
        <f>SUM('[1]GDP KP'!AR110:AU110)</f>
        <v>225.75721796995737</v>
      </c>
      <c r="D110" s="203">
        <f>SUM('[1]GDP KP'!AV110:AY110)</f>
        <v>230.9752668062971</v>
      </c>
      <c r="E110" s="203">
        <f>SUM('[1]GDP KP'!AZ110:BC110)</f>
        <v>239.22038523415415</v>
      </c>
      <c r="F110" s="203">
        <f>SUM('[1]GDP KP'!BD110:BG110)</f>
        <v>244.49957053912968</v>
      </c>
      <c r="G110" s="203">
        <f>SUM('[1]GDP KP'!BH110:BK110)</f>
        <v>152.78380410673469</v>
      </c>
      <c r="H110" s="203">
        <f>SUM('[1]GDP KP'!BL110:BO110)</f>
        <v>242.27357202163535</v>
      </c>
      <c r="I110" s="203">
        <f>SUM('[1]GDP KP'!BP110:BS110)</f>
        <v>284.4438141991746</v>
      </c>
      <c r="J110" s="203" t="e">
        <f>SUM('[1]GDP KP'!BT110:BW110)</f>
        <v>#REF!</v>
      </c>
      <c r="L110" s="454" t="s">
        <v>15</v>
      </c>
      <c r="M110" s="478">
        <f>SUM('[1]GDP KP'!AN110:AO110)</f>
        <v>108.88027703957376</v>
      </c>
      <c r="N110" s="478">
        <f>SUM('[1]GDP KP'!AP110:AQ110)</f>
        <v>108.88027703957376</v>
      </c>
      <c r="O110" s="478">
        <f>SUM('[1]GDP KP'!AR110:AS110)</f>
        <v>112.8786089849787</v>
      </c>
      <c r="P110" s="478">
        <f>SUM('[1]GDP KP'!AT110:AU110)</f>
        <v>112.8786089849787</v>
      </c>
      <c r="Q110" s="478">
        <f>SUM('[1]GDP KP'!AV110:AW110)</f>
        <v>115.48763340314855</v>
      </c>
      <c r="R110" s="478">
        <f>SUM('[1]GDP KP'!BO110:BR110)</f>
        <v>268.04904954666063</v>
      </c>
      <c r="S110" s="478">
        <f>SUM('[1]GDP KP'!AZ110:BA110)</f>
        <v>119.61019261707708</v>
      </c>
      <c r="T110" s="478">
        <f>SUM('[1]GDP KP'!BB110:BC110)</f>
        <v>119.61019261707709</v>
      </c>
      <c r="U110" s="478">
        <f>SUM('[1]GDP KP'!BD110:BE110)</f>
        <v>122.24978526956485</v>
      </c>
      <c r="V110" s="478">
        <f>SUM('[1]GDP KP'!BF110:BG110)</f>
        <v>122.24978526956485</v>
      </c>
      <c r="W110" s="478">
        <f>SUM('[1]GDP KP'!BH110:BI110)</f>
        <v>79.775585105305908</v>
      </c>
      <c r="X110" s="478">
        <f>SUM('[1]GDP KP'!BJ110:BK110)</f>
        <v>73.008219001428785</v>
      </c>
      <c r="Y110" s="478">
        <f>SUM('[1]GDP KP'!BL110:BM110)</f>
        <v>117.18854681773782</v>
      </c>
      <c r="Z110" s="478">
        <f>SUM('[1]GDP KP'!BN110:BO110)</f>
        <v>125.08502520389752</v>
      </c>
      <c r="AA110" s="478">
        <f>SUM('[1]GDP KP'!BP110:BQ110)</f>
        <v>126.56925969024925</v>
      </c>
      <c r="AB110" s="478">
        <f>SUM('[1]GDP KP'!BR110:BS110)</f>
        <v>157.87455450892531</v>
      </c>
      <c r="AC110" s="478">
        <f>SUM('[1]GDP KP'!BT110:BU110)</f>
        <v>152.45798264848668</v>
      </c>
      <c r="AD110" s="478" t="e">
        <f>SUM('[1]GDP KP'!BV110:BW110)</f>
        <v>#REF!</v>
      </c>
      <c r="AE110" s="478"/>
      <c r="AF110" s="478"/>
      <c r="AG110" s="478"/>
      <c r="AH110" s="478">
        <f t="shared" si="7"/>
        <v>112.8299861159545</v>
      </c>
      <c r="AI110" s="478">
        <f t="shared" si="6"/>
        <v>248.78445013746781</v>
      </c>
      <c r="AJ110" s="479">
        <f t="shared" si="8"/>
        <v>0.45352507382840607</v>
      </c>
    </row>
    <row r="111" spans="1:36" s="245" customFormat="1">
      <c r="A111" s="454" t="s">
        <v>11</v>
      </c>
      <c r="B111" s="203">
        <f>SUM('[1]GDP KP'!AN111:AQ111)</f>
        <v>143.68912408229619</v>
      </c>
      <c r="C111" s="203">
        <f>SUM('[1]GDP KP'!AR111:AU111)</f>
        <v>152.5382373827502</v>
      </c>
      <c r="D111" s="203">
        <f>SUM('[1]GDP KP'!AV111:AY111)</f>
        <v>160.24263603958519</v>
      </c>
      <c r="E111" s="203">
        <f>SUM('[1]GDP KP'!AZ111:BC111)</f>
        <v>159.88458358409861</v>
      </c>
      <c r="F111" s="203">
        <f>SUM('[1]GDP KP'!BD111:BG111)</f>
        <v>165.27642842718635</v>
      </c>
      <c r="G111" s="203">
        <f>SUM('[1]GDP KP'!BH111:BK111)</f>
        <v>191.54079292702147</v>
      </c>
      <c r="H111" s="203">
        <f>SUM('[1]GDP KP'!BL111:BO111)</f>
        <v>208.56625585719993</v>
      </c>
      <c r="I111" s="203">
        <f>SUM('[1]GDP KP'!BP111:BS111)</f>
        <v>225.36166769831442</v>
      </c>
      <c r="J111" s="203" t="e">
        <f>SUM('[1]GDP KP'!BT111:BW111)</f>
        <v>#REF!</v>
      </c>
      <c r="L111" s="454" t="s">
        <v>11</v>
      </c>
      <c r="M111" s="478">
        <f>SUM('[1]GDP KP'!AN111:AO111)</f>
        <v>74.572169426863496</v>
      </c>
      <c r="N111" s="478">
        <f>SUM('[1]GDP KP'!AP111:AQ111)</f>
        <v>69.116954655432693</v>
      </c>
      <c r="O111" s="478">
        <f>SUM('[1]GDP KP'!AR111:AS111)</f>
        <v>80.825178002831024</v>
      </c>
      <c r="P111" s="478">
        <f>SUM('[1]GDP KP'!AT111:AU111)</f>
        <v>71.713059379919173</v>
      </c>
      <c r="Q111" s="478">
        <f>SUM('[1]GDP KP'!AV111:AW111)</f>
        <v>81.858855664253156</v>
      </c>
      <c r="R111" s="478">
        <f>SUM('[1]GDP KP'!BO111:BR111)</f>
        <v>227.20918715929321</v>
      </c>
      <c r="S111" s="478">
        <f>SUM('[1]GDP KP'!AZ111:BA111)</f>
        <v>84.728012241644549</v>
      </c>
      <c r="T111" s="478">
        <f>SUM('[1]GDP KP'!BB111:BC111)</f>
        <v>75.156571342454072</v>
      </c>
      <c r="U111" s="478">
        <f>SUM('[1]GDP KP'!BD111:BE111)</f>
        <v>85.351514949451627</v>
      </c>
      <c r="V111" s="478">
        <f>SUM('[1]GDP KP'!BF111:BG111)</f>
        <v>79.924913477734734</v>
      </c>
      <c r="W111" s="478">
        <f>SUM('[1]GDP KP'!BH111:BI111)</f>
        <v>99.959708633891921</v>
      </c>
      <c r="X111" s="478">
        <f>SUM('[1]GDP KP'!BJ111:BK111)</f>
        <v>91.58108429312955</v>
      </c>
      <c r="Y111" s="478">
        <f>SUM('[1]GDP KP'!BL111:BM111)</f>
        <v>104.58350764411065</v>
      </c>
      <c r="Z111" s="478">
        <f>SUM('[1]GDP KP'!BN111:BO111)</f>
        <v>103.98274821308928</v>
      </c>
      <c r="AA111" s="478">
        <f>SUM('[1]GDP KP'!BP111:BQ111)</f>
        <v>117.18423957324748</v>
      </c>
      <c r="AB111" s="478">
        <f>SUM('[1]GDP KP'!BR111:BS111)</f>
        <v>108.17742812506697</v>
      </c>
      <c r="AC111" s="478">
        <f>SUM('[1]GDP KP'!BT111:BU111)</f>
        <v>119.97005351731976</v>
      </c>
      <c r="AD111" s="478" t="e">
        <f>SUM('[1]GDP KP'!BV111:BW111)</f>
        <v>#REF!</v>
      </c>
      <c r="AE111" s="478"/>
      <c r="AF111" s="478"/>
      <c r="AG111" s="478"/>
      <c r="AH111" s="478">
        <f t="shared" si="7"/>
        <v>91.132898267036737</v>
      </c>
      <c r="AI111" s="478">
        <f t="shared" si="6"/>
        <v>194.49064159780167</v>
      </c>
      <c r="AJ111" s="479">
        <f t="shared" si="8"/>
        <v>0.46857215091868365</v>
      </c>
    </row>
    <row r="112" spans="1:36">
      <c r="A112" s="451" t="s">
        <v>573</v>
      </c>
      <c r="B112" s="33">
        <f>SUM('[1]GDP KP'!AN112:AQ112)</f>
        <v>47.858593544390267</v>
      </c>
      <c r="C112" s="33">
        <f>SUM('[1]GDP KP'!AR112:AU112)</f>
        <v>52.906197104767486</v>
      </c>
      <c r="D112" s="33">
        <f>SUM('[1]GDP KP'!AV112:AY112)</f>
        <v>58.228120450198404</v>
      </c>
      <c r="E112" s="33">
        <f>SUM('[1]GDP KP'!AZ112:BC112)</f>
        <v>55.448030641406106</v>
      </c>
      <c r="F112" s="33">
        <f>SUM('[1]GDP KP'!BD112:BG112)</f>
        <v>58.380964324661591</v>
      </c>
      <c r="G112" s="33">
        <f>SUM('[1]GDP KP'!BH112:BK112)</f>
        <v>82.151381070874208</v>
      </c>
      <c r="H112" s="33">
        <f>SUM('[1]GDP KP'!BL112:BO112)</f>
        <v>96.648907614458594</v>
      </c>
      <c r="I112" s="33">
        <f>SUM('[1]GDP KP'!BP112:BS112)</f>
        <v>110.88359477436654</v>
      </c>
      <c r="J112" s="33" t="e">
        <f>SUM('[1]GDP KP'!BT112:BW112)</f>
        <v>#REF!</v>
      </c>
      <c r="L112" s="451" t="s">
        <v>573</v>
      </c>
      <c r="M112" s="462">
        <f>SUM('[1]GDP KP'!AN112:AO112)</f>
        <v>26.638722753410015</v>
      </c>
      <c r="N112" s="462">
        <f>SUM('[1]GDP KP'!AP112:AQ112)</f>
        <v>21.219870790980249</v>
      </c>
      <c r="O112" s="462">
        <f>SUM('[1]GDP KP'!AR112:AS112)</f>
        <v>31.304332124548651</v>
      </c>
      <c r="P112" s="462">
        <f>SUM('[1]GDP KP'!AT112:AU112)</f>
        <v>21.601864980218831</v>
      </c>
      <c r="Q112" s="462">
        <f>SUM('[1]GDP KP'!AV112:AW112)</f>
        <v>31.15192682005965</v>
      </c>
      <c r="R112" s="462">
        <f>SUM('[1]GDP KP'!BO112:BR112)</f>
        <v>113.37409768410772</v>
      </c>
      <c r="S112" s="462">
        <f>SUM('[1]GDP KP'!AZ112:BA112)</f>
        <v>32.814830239331776</v>
      </c>
      <c r="T112" s="462">
        <f>SUM('[1]GDP KP'!BB112:BC112)</f>
        <v>22.63320040207433</v>
      </c>
      <c r="U112" s="462">
        <f>SUM('[1]GDP KP'!BD112:BE112)</f>
        <v>32.213359552486068</v>
      </c>
      <c r="V112" s="462">
        <f>SUM('[1]GDP KP'!BF112:BG112)</f>
        <v>26.167604772175519</v>
      </c>
      <c r="W112" s="462">
        <f>SUM('[1]GDP KP'!BH112:BI112)</f>
        <v>45.578884092738306</v>
      </c>
      <c r="X112" s="462">
        <f>SUM('[1]GDP KP'!BJ112:BK112)</f>
        <v>36.572496978135909</v>
      </c>
      <c r="Y112" s="462">
        <f>SUM('[1]GDP KP'!BL112:BM112)</f>
        <v>48.94292146068365</v>
      </c>
      <c r="Z112" s="462">
        <f>SUM('[1]GDP KP'!BN112:BO112)</f>
        <v>47.705986153774944</v>
      </c>
      <c r="AA112" s="462">
        <f>SUM('[1]GDP KP'!BP112:BQ112)</f>
        <v>60.26713814192906</v>
      </c>
      <c r="AB112" s="462">
        <f>SUM('[1]GDP KP'!BR112:BS112)</f>
        <v>50.616456632437476</v>
      </c>
      <c r="AC112" s="462">
        <f>SUM('[1]GDP KP'!BT112:BU112)</f>
        <v>61.761715152452219</v>
      </c>
      <c r="AD112" s="462" t="e">
        <f>SUM('[1]GDP KP'!BV112:BW112)</f>
        <v>#REF!</v>
      </c>
      <c r="AH112" s="213">
        <f t="shared" si="7"/>
        <v>38.614014398148399</v>
      </c>
      <c r="AI112" s="213">
        <f t="shared" si="6"/>
        <v>81.100461697386521</v>
      </c>
      <c r="AJ112" s="17">
        <f t="shared" si="8"/>
        <v>0.47612570372571311</v>
      </c>
    </row>
    <row r="113" spans="1:36">
      <c r="A113" s="451" t="s">
        <v>574</v>
      </c>
      <c r="B113" s="33">
        <f>SUM('[1]GDP KP'!AN113:AQ113)</f>
        <v>97.292357920060226</v>
      </c>
      <c r="C113" s="33">
        <f>SUM('[1]GDP KP'!AR113:AU113)</f>
        <v>99.632040277982682</v>
      </c>
      <c r="D113" s="33">
        <f>SUM('[1]GDP KP'!AV113:AY113)</f>
        <v>102.01451558938675</v>
      </c>
      <c r="E113" s="33">
        <f>SUM('[1]GDP KP'!AZ113:BC113)</f>
        <v>104.43655294269247</v>
      </c>
      <c r="F113" s="33">
        <f>SUM('[1]GDP KP'!BD113:BG113)</f>
        <v>106.89546410252477</v>
      </c>
      <c r="G113" s="33">
        <f>SUM('[1]GDP KP'!BH113:BK113)</f>
        <v>109.38941185614721</v>
      </c>
      <c r="H113" s="33">
        <f>SUM('[1]GDP KP'!BL113:BO113)</f>
        <v>111.9173482427413</v>
      </c>
      <c r="I113" s="33">
        <f>SUM('[1]GDP KP'!BP113:BS113)</f>
        <v>114.47807292394788</v>
      </c>
      <c r="J113" s="33" t="e">
        <f>SUM('[1]GDP KP'!BT113:BW113)</f>
        <v>#REF!</v>
      </c>
      <c r="L113" s="451" t="s">
        <v>574</v>
      </c>
      <c r="M113" s="462">
        <f>SUM('[1]GDP KP'!AN113:AO113)</f>
        <v>48.356504587369429</v>
      </c>
      <c r="N113" s="462">
        <f>SUM('[1]GDP KP'!AP113:AQ113)</f>
        <v>48.935853332690797</v>
      </c>
      <c r="O113" s="462">
        <f>SUM('[1]GDP KP'!AR113:AS113)</f>
        <v>49.520845878282358</v>
      </c>
      <c r="P113" s="462">
        <f>SUM('[1]GDP KP'!AT113:AU113)</f>
        <v>50.111194399700324</v>
      </c>
      <c r="Q113" s="462">
        <f>SUM('[1]GDP KP'!AV113:AW113)</f>
        <v>50.706928844193499</v>
      </c>
      <c r="R113" s="462">
        <f>SUM('[1]GDP KP'!BO113:BR113)</f>
        <v>113.83508947518544</v>
      </c>
      <c r="S113" s="462">
        <f>SUM('[1]GDP KP'!AZ113:BA113)</f>
        <v>51.913182002312759</v>
      </c>
      <c r="T113" s="462">
        <f>SUM('[1]GDP KP'!BB113:BC113)</f>
        <v>52.523370940379721</v>
      </c>
      <c r="U113" s="462">
        <f>SUM('[1]GDP KP'!BD113:BE113)</f>
        <v>53.138155396965558</v>
      </c>
      <c r="V113" s="462">
        <f>SUM('[1]GDP KP'!BF113:BG113)</f>
        <v>53.757308705559211</v>
      </c>
      <c r="W113" s="462">
        <f>SUM('[1]GDP KP'!BH113:BI113)</f>
        <v>54.380824541153586</v>
      </c>
      <c r="X113" s="462">
        <f>SUM('[1]GDP KP'!BJ113:BK113)</f>
        <v>55.008587314993626</v>
      </c>
      <c r="Y113" s="462">
        <f>SUM('[1]GDP KP'!BL113:BM113)</f>
        <v>55.64058618342699</v>
      </c>
      <c r="Z113" s="462">
        <f>SUM('[1]GDP KP'!BN113:BO113)</f>
        <v>56.276762059314322</v>
      </c>
      <c r="AA113" s="462">
        <f>SUM('[1]GDP KP'!BP113:BQ113)</f>
        <v>56.917101431318379</v>
      </c>
      <c r="AB113" s="462">
        <f>SUM('[1]GDP KP'!BR113:BS113)</f>
        <v>57.560971492629491</v>
      </c>
      <c r="AC113" s="462">
        <f>SUM('[1]GDP KP'!BT113:BU113)</f>
        <v>58.208338364867515</v>
      </c>
      <c r="AD113" s="462" t="e">
        <f>SUM('[1]GDP KP'!BV113:BW113)</f>
        <v>#REF!</v>
      </c>
      <c r="AH113" s="213">
        <f t="shared" si="7"/>
        <v>52.571766108127818</v>
      </c>
      <c r="AI113" s="213">
        <f t="shared" si="6"/>
        <v>113.57290832318444</v>
      </c>
      <c r="AJ113" s="17">
        <f t="shared" si="8"/>
        <v>0.46289002266745666</v>
      </c>
    </row>
    <row r="114" spans="1:36" s="245" customFormat="1">
      <c r="A114" s="454" t="s">
        <v>575</v>
      </c>
      <c r="B114" s="203">
        <f>SUM('[1]GDP KP'!AN114:AQ114)</f>
        <v>348.20698808592738</v>
      </c>
      <c r="C114" s="203">
        <f>SUM('[1]GDP KP'!AR114:AU114)</f>
        <v>372.49080174782358</v>
      </c>
      <c r="D114" s="203">
        <f>SUM('[1]GDP KP'!AV114:AY114)</f>
        <v>390.52811466154549</v>
      </c>
      <c r="E114" s="203">
        <f>SUM('[1]GDP KP'!AZ114:BC114)</f>
        <v>426.67579758849138</v>
      </c>
      <c r="F114" s="203">
        <f>SUM('[1]GDP KP'!BD114:BG114)</f>
        <v>461.56091845306139</v>
      </c>
      <c r="G114" s="203">
        <f>SUM('[1]GDP KP'!BH114:BK114)</f>
        <v>455.92998717702989</v>
      </c>
      <c r="H114" s="203">
        <f>SUM('[1]GDP KP'!BL114:BO114)</f>
        <v>499.45308058225334</v>
      </c>
      <c r="I114" s="203">
        <f>SUM('[1]GDP KP'!BP114:BS114)</f>
        <v>540.20606406532204</v>
      </c>
      <c r="J114" s="203" t="e">
        <f>SUM('[1]GDP KP'!BT114:BW114)</f>
        <v>#REF!</v>
      </c>
      <c r="L114" s="454" t="s">
        <v>575</v>
      </c>
      <c r="M114" s="478">
        <f>SUM('[1]GDP KP'!AN114:AO114)</f>
        <v>170.5706312551527</v>
      </c>
      <c r="N114" s="478">
        <f>SUM('[1]GDP KP'!AP114:AQ114)</f>
        <v>177.63635683077467</v>
      </c>
      <c r="O114" s="478">
        <f>SUM('[1]GDP KP'!AR114:AS114)</f>
        <v>181.88664980044655</v>
      </c>
      <c r="P114" s="478">
        <f>SUM('[1]GDP KP'!AT114:AU114)</f>
        <v>190.60415194737706</v>
      </c>
      <c r="Q114" s="478">
        <f>SUM('[1]GDP KP'!AV114:AW114)</f>
        <v>191.33713255371481</v>
      </c>
      <c r="R114" s="478">
        <f>SUM('[1]GDP KP'!BO114:BR114)</f>
        <v>530.24281654303491</v>
      </c>
      <c r="S114" s="478">
        <f>SUM('[1]GDP KP'!AZ114:BA114)</f>
        <v>206.86122322085066</v>
      </c>
      <c r="T114" s="478">
        <f>SUM('[1]GDP KP'!BB114:BC114)</f>
        <v>219.81457436764072</v>
      </c>
      <c r="U114" s="478">
        <f>SUM('[1]GDP KP'!BD114:BE114)</f>
        <v>224.95556654125483</v>
      </c>
      <c r="V114" s="478">
        <f>SUM('[1]GDP KP'!BF114:BG114)</f>
        <v>236.60535191180651</v>
      </c>
      <c r="W114" s="478">
        <f>SUM('[1]GDP KP'!BH114:BI114)</f>
        <v>220.23585027763426</v>
      </c>
      <c r="X114" s="478">
        <f>SUM('[1]GDP KP'!BJ114:BK114)</f>
        <v>235.6941368993956</v>
      </c>
      <c r="Y114" s="478">
        <f>SUM('[1]GDP KP'!BL114:BM114)</f>
        <v>241.20025494254554</v>
      </c>
      <c r="Z114" s="478">
        <f>SUM('[1]GDP KP'!BN114:BO114)</f>
        <v>258.25282563970779</v>
      </c>
      <c r="AA114" s="478">
        <f>SUM('[1]GDP KP'!BP114:BQ114)</f>
        <v>260.4512174851194</v>
      </c>
      <c r="AB114" s="478">
        <f>SUM('[1]GDP KP'!BR114:BS114)</f>
        <v>279.75484658020264</v>
      </c>
      <c r="AC114" s="478">
        <f>SUM('[1]GDP KP'!BT114:BU114)</f>
        <v>284.61973789105662</v>
      </c>
      <c r="AD114" s="478" t="e">
        <f>SUM('[1]GDP KP'!BV114:BW114)</f>
        <v>#REF!</v>
      </c>
      <c r="AE114" s="478"/>
      <c r="AF114" s="478"/>
      <c r="AG114" s="478"/>
      <c r="AH114" s="478">
        <f t="shared" si="7"/>
        <v>212.18731575958986</v>
      </c>
      <c r="AI114" s="478">
        <f t="shared" si="6"/>
        <v>478.26294834958236</v>
      </c>
      <c r="AJ114" s="479">
        <f t="shared" si="8"/>
        <v>0.44366245909665009</v>
      </c>
    </row>
    <row r="115" spans="1:36">
      <c r="A115" s="451" t="s">
        <v>576</v>
      </c>
      <c r="B115" s="33">
        <f>SUM('[1]GDP KP'!AN115:AQ115)</f>
        <v>48.528120570105912</v>
      </c>
      <c r="C115" s="33">
        <f>SUM('[1]GDP KP'!AR115:AU115)</f>
        <v>61.752894112105537</v>
      </c>
      <c r="D115" s="33">
        <f>SUM('[1]GDP KP'!AV115:AY115)</f>
        <v>64.571657720821634</v>
      </c>
      <c r="E115" s="33">
        <f>SUM('[1]GDP KP'!AZ115:BC115)</f>
        <v>69.000458244589026</v>
      </c>
      <c r="F115" s="33">
        <f>SUM('[1]GDP KP'!BD115:BG115)</f>
        <v>71.370243222339269</v>
      </c>
      <c r="G115" s="33">
        <f>SUM('[1]GDP KP'!BH115:BK115)</f>
        <v>71.147007113978574</v>
      </c>
      <c r="H115" s="33">
        <f>SUM('[1]GDP KP'!BL115:BO115)</f>
        <v>74.395173343623469</v>
      </c>
      <c r="I115" s="33">
        <f>SUM('[1]GDP KP'!BP115:BS115)</f>
        <v>79.264483663323347</v>
      </c>
      <c r="J115" s="33" t="e">
        <f>SUM('[1]GDP KP'!BT115:BW115)</f>
        <v>#REF!</v>
      </c>
      <c r="L115" s="451" t="s">
        <v>576</v>
      </c>
      <c r="M115" s="462">
        <f>SUM('[1]GDP KP'!AN115:AO115)</f>
        <v>24.031301548614643</v>
      </c>
      <c r="N115" s="462">
        <f>SUM('[1]GDP KP'!AP115:AQ115)</f>
        <v>24.49681902149127</v>
      </c>
      <c r="O115" s="462">
        <f>SUM('[1]GDP KP'!AR115:AS115)</f>
        <v>30.861262607680018</v>
      </c>
      <c r="P115" s="462">
        <f>SUM('[1]GDP KP'!AT115:AU115)</f>
        <v>30.891631504425519</v>
      </c>
      <c r="Q115" s="462">
        <f>SUM('[1]GDP KP'!AV115:AW115)</f>
        <v>32.392378175850837</v>
      </c>
      <c r="R115" s="462">
        <f>SUM('[1]GDP KP'!BO115:BR115)</f>
        <v>78.352354780301738</v>
      </c>
      <c r="S115" s="462">
        <f>SUM('[1]GDP KP'!AZ115:BA115)</f>
        <v>34.025628695993383</v>
      </c>
      <c r="T115" s="462">
        <f>SUM('[1]GDP KP'!BB115:BC115)</f>
        <v>34.974829548595636</v>
      </c>
      <c r="U115" s="462">
        <f>SUM('[1]GDP KP'!BD115:BE115)</f>
        <v>35.576741236984716</v>
      </c>
      <c r="V115" s="462">
        <f>SUM('[1]GDP KP'!BF115:BG115)</f>
        <v>35.793501985354553</v>
      </c>
      <c r="W115" s="462">
        <f>SUM('[1]GDP KP'!BH115:BI115)</f>
        <v>35.735254513616702</v>
      </c>
      <c r="X115" s="462">
        <f>SUM('[1]GDP KP'!BJ115:BK115)</f>
        <v>35.411752600361872</v>
      </c>
      <c r="Y115" s="462">
        <f>SUM('[1]GDP KP'!BL115:BM115)</f>
        <v>36.041452592410735</v>
      </c>
      <c r="Z115" s="462">
        <f>SUM('[1]GDP KP'!BN115:BO115)</f>
        <v>38.35372075121272</v>
      </c>
      <c r="AA115" s="462">
        <f>SUM('[1]GDP KP'!BP115:BQ115)</f>
        <v>38.238149521416346</v>
      </c>
      <c r="AB115" s="462">
        <f>SUM('[1]GDP KP'!BR115:BS115)</f>
        <v>41.026334141907007</v>
      </c>
      <c r="AC115" s="462">
        <f>SUM('[1]GDP KP'!BT115:BU115)</f>
        <v>39.884523296177633</v>
      </c>
      <c r="AD115" s="462" t="e">
        <f>SUM('[1]GDP KP'!BV115:BW115)</f>
        <v>#REF!</v>
      </c>
      <c r="AH115" s="213">
        <f t="shared" si="7"/>
        <v>33.362771111570922</v>
      </c>
      <c r="AI115" s="213">
        <f t="shared" si="6"/>
        <v>73.275389153277217</v>
      </c>
      <c r="AJ115" s="17">
        <f t="shared" si="8"/>
        <v>0.45530663838281071</v>
      </c>
    </row>
    <row r="116" spans="1:36">
      <c r="A116" s="451" t="s">
        <v>303</v>
      </c>
      <c r="B116" s="33">
        <f>SUM('[1]GDP KP'!AN116:AQ116)</f>
        <v>273.63702948584069</v>
      </c>
      <c r="C116" s="33">
        <f>SUM('[1]GDP KP'!AR116:AU116)</f>
        <v>287.67908159061409</v>
      </c>
      <c r="D116" s="33">
        <f>SUM('[1]GDP KP'!AV116:AY116)</f>
        <v>301.11411841416566</v>
      </c>
      <c r="E116" s="33">
        <f>SUM('[1]GDP KP'!AZ116:BC116)</f>
        <v>330.91154042972698</v>
      </c>
      <c r="F116" s="33">
        <f>SUM('[1]GDP KP'!BD116:BG116)</f>
        <v>361.35679827696254</v>
      </c>
      <c r="G116" s="33">
        <f>SUM('[1]GDP KP'!BH116:BK116)</f>
        <v>353.71891240768582</v>
      </c>
      <c r="H116" s="33">
        <f>SUM('[1]GDP KP'!BL116:BO116)</f>
        <v>391.59115211427928</v>
      </c>
      <c r="I116" s="33">
        <f>SUM('[1]GDP KP'!BP116:BS116)</f>
        <v>424.88629907248503</v>
      </c>
      <c r="J116" s="33" t="e">
        <f>SUM('[1]GDP KP'!BT116:BW116)</f>
        <v>#REF!</v>
      </c>
      <c r="L116" s="451" t="s">
        <v>303</v>
      </c>
      <c r="M116" s="462">
        <f>SUM('[1]GDP KP'!AN116:AO116)</f>
        <v>134.64021810995541</v>
      </c>
      <c r="N116" s="462">
        <f>SUM('[1]GDP KP'!AP116:AQ116)</f>
        <v>138.99681137588527</v>
      </c>
      <c r="O116" s="462">
        <f>SUM('[1]GDP KP'!AR116:AS116)</f>
        <v>139.71068694156671</v>
      </c>
      <c r="P116" s="462">
        <f>SUM('[1]GDP KP'!AT116:AU116)</f>
        <v>147.96839464904738</v>
      </c>
      <c r="Q116" s="462">
        <f>SUM('[1]GDP KP'!AV116:AW116)</f>
        <v>146.75490510205836</v>
      </c>
      <c r="R116" s="462">
        <f>SUM('[1]GDP KP'!BO116:BR116)</f>
        <v>416.50050207463971</v>
      </c>
      <c r="S116" s="462">
        <f>SUM('[1]GDP KP'!AZ116:BA116)</f>
        <v>159.70290677635938</v>
      </c>
      <c r="T116" s="462">
        <f>SUM('[1]GDP KP'!BB116:BC116)</f>
        <v>171.2086336533676</v>
      </c>
      <c r="U116" s="462">
        <f>SUM('[1]GDP KP'!BD116:BE116)</f>
        <v>175.23037411366673</v>
      </c>
      <c r="V116" s="462">
        <f>SUM('[1]GDP KP'!BF116:BG116)</f>
        <v>186.12642416329578</v>
      </c>
      <c r="W116" s="462">
        <f>SUM('[1]GDP KP'!BH116:BI116)</f>
        <v>169.25781569290976</v>
      </c>
      <c r="X116" s="462">
        <f>SUM('[1]GDP KP'!BJ116:BK116)</f>
        <v>184.46109671477603</v>
      </c>
      <c r="Y116" s="462">
        <f>SUM('[1]GDP KP'!BL116:BM116)</f>
        <v>188.73705122231735</v>
      </c>
      <c r="Z116" s="462">
        <f>SUM('[1]GDP KP'!BN116:BO116)</f>
        <v>202.85410089196191</v>
      </c>
      <c r="AA116" s="462">
        <f>SUM('[1]GDP KP'!BP116:BQ116)</f>
        <v>204.5211568526104</v>
      </c>
      <c r="AB116" s="462">
        <f>SUM('[1]GDP KP'!BR116:BS116)</f>
        <v>220.36514221987466</v>
      </c>
      <c r="AC116" s="462">
        <f>SUM('[1]GDP KP'!BT116:BU116)</f>
        <v>225.67490145734791</v>
      </c>
      <c r="AD116" s="462" t="e">
        <f>SUM('[1]GDP KP'!BV116:BW116)</f>
        <v>#REF!</v>
      </c>
      <c r="AH116" s="213">
        <f t="shared" si="7"/>
        <v>164.81938935143052</v>
      </c>
      <c r="AI116" s="213">
        <f t="shared" si="6"/>
        <v>373.37952756928655</v>
      </c>
      <c r="AJ116" s="17">
        <f t="shared" si="8"/>
        <v>0.44142588755310275</v>
      </c>
    </row>
    <row r="117" spans="1:36">
      <c r="A117" s="451" t="s">
        <v>577</v>
      </c>
      <c r="B117" s="33">
        <f>SUM('[1]GDP KP'!AN117:AQ117)</f>
        <v>21.328681747553347</v>
      </c>
      <c r="C117" s="33">
        <f>SUM('[1]GDP KP'!AR117:AU117)</f>
        <v>23.058826045104041</v>
      </c>
      <c r="D117" s="33">
        <f>SUM('[1]GDP KP'!AV117:AY117)</f>
        <v>24.842338526558152</v>
      </c>
      <c r="E117" s="33">
        <f>SUM('[1]GDP KP'!AZ117:BC117)</f>
        <v>26.763798914175418</v>
      </c>
      <c r="F117" s="33">
        <f>SUM('[1]GDP KP'!BD117:BG117)</f>
        <v>28.833876953759518</v>
      </c>
      <c r="G117" s="33">
        <f>SUM('[1]GDP KP'!BH117:BK117)</f>
        <v>31.064067655365555</v>
      </c>
      <c r="H117" s="33">
        <f>SUM('[1]GDP KP'!BL117:BO117)</f>
        <v>33.466755124350684</v>
      </c>
      <c r="I117" s="33">
        <f>SUM('[1]GDP KP'!BP117:BS117)</f>
        <v>36.055281329513704</v>
      </c>
      <c r="J117" s="33" t="e">
        <f>SUM('[1]GDP KP'!BT117:BW117)</f>
        <v>#REF!</v>
      </c>
      <c r="L117" s="451" t="s">
        <v>577</v>
      </c>
      <c r="M117" s="462">
        <f>SUM('[1]GDP KP'!AN117:AO117)</f>
        <v>10.440482739502393</v>
      </c>
      <c r="N117" s="462">
        <f>SUM('[1]GDP KP'!AP117:AQ117)</f>
        <v>10.888199008050952</v>
      </c>
      <c r="O117" s="462">
        <f>SUM('[1]GDP KP'!AR117:AS117)</f>
        <v>11.314700251199842</v>
      </c>
      <c r="P117" s="462">
        <f>SUM('[1]GDP KP'!AT117:AU117)</f>
        <v>11.7441257939042</v>
      </c>
      <c r="Q117" s="462">
        <f>SUM('[1]GDP KP'!AV117:AW117)</f>
        <v>12.18984927580561</v>
      </c>
      <c r="R117" s="462">
        <f>SUM('[1]GDP KP'!BO117:BR117)</f>
        <v>35.389959688093555</v>
      </c>
      <c r="S117" s="462">
        <f>SUM('[1]GDP KP'!AZ117:BA117)</f>
        <v>13.132687748497922</v>
      </c>
      <c r="T117" s="462">
        <f>SUM('[1]GDP KP'!BB117:BC117)</f>
        <v>13.631111165677495</v>
      </c>
      <c r="U117" s="462">
        <f>SUM('[1]GDP KP'!BD117:BE117)</f>
        <v>14.148451190603366</v>
      </c>
      <c r="V117" s="462">
        <f>SUM('[1]GDP KP'!BF117:BG117)</f>
        <v>14.685425763156154</v>
      </c>
      <c r="W117" s="462">
        <f>SUM('[1]GDP KP'!BH117:BI117)</f>
        <v>15.242780071107807</v>
      </c>
      <c r="X117" s="462">
        <f>SUM('[1]GDP KP'!BJ117:BK117)</f>
        <v>15.821287584257746</v>
      </c>
      <c r="Y117" s="462">
        <f>SUM('[1]GDP KP'!BL117:BM117)</f>
        <v>16.421751127817476</v>
      </c>
      <c r="Z117" s="462">
        <f>SUM('[1]GDP KP'!BN117:BO117)</f>
        <v>17.045003996533207</v>
      </c>
      <c r="AA117" s="462">
        <f>SUM('[1]GDP KP'!BP117:BQ117)</f>
        <v>17.691911111092693</v>
      </c>
      <c r="AB117" s="462">
        <f>SUM('[1]GDP KP'!BR117:BS117)</f>
        <v>18.363370218421018</v>
      </c>
      <c r="AC117" s="462">
        <f>SUM('[1]GDP KP'!BT117:BU117)</f>
        <v>19.060313137531072</v>
      </c>
      <c r="AD117" s="462" t="e">
        <f>SUM('[1]GDP KP'!BV117:BW117)</f>
        <v>#REF!</v>
      </c>
      <c r="AH117" s="213">
        <f t="shared" si="7"/>
        <v>13.822826689453388</v>
      </c>
      <c r="AI117" s="213">
        <f t="shared" si="6"/>
        <v>31.018887091715186</v>
      </c>
      <c r="AJ117" s="17">
        <f t="shared" si="8"/>
        <v>0.44562613251025751</v>
      </c>
    </row>
    <row r="118" spans="1:36">
      <c r="A118" s="453" t="s">
        <v>578</v>
      </c>
      <c r="B118" s="453">
        <f>SUM('[1]GDP KP'!AN118:AQ118)</f>
        <v>641.03027673566726</v>
      </c>
      <c r="C118" s="453">
        <f>SUM('[1]GDP KP'!AR118:AU118)</f>
        <v>669.55984750619609</v>
      </c>
      <c r="D118" s="453">
        <f>SUM('[1]GDP KP'!AV118:AY118)</f>
        <v>653.53732225989881</v>
      </c>
      <c r="E118" s="453">
        <f>SUM('[1]GDP KP'!AZ118:BC118)</f>
        <v>713.13110395601302</v>
      </c>
      <c r="F118" s="453">
        <f>SUM('[1]GDP KP'!BD118:BG118)</f>
        <v>820.37639465065661</v>
      </c>
      <c r="G118" s="453">
        <f>SUM('[1]GDP KP'!BH118:BK118)</f>
        <v>806.09700518675663</v>
      </c>
      <c r="H118" s="453">
        <f>SUM('[1]GDP KP'!BL118:BO118)</f>
        <v>914.23071540792989</v>
      </c>
      <c r="I118" s="453">
        <f>SUM('[1]GDP KP'!BP118:BS118)</f>
        <v>1022.3701274386061</v>
      </c>
      <c r="J118" s="453" t="e">
        <f>SUM('[1]GDP KP'!BT118:BW118)</f>
        <v>#REF!</v>
      </c>
      <c r="K118" s="453"/>
      <c r="L118" s="453" t="s">
        <v>578</v>
      </c>
      <c r="M118" s="453">
        <f>SUM('[1]GDP KP'!AN118:AO118)</f>
        <v>312.22103484578349</v>
      </c>
      <c r="N118" s="453">
        <f>SUM('[1]GDP KP'!AP118:AQ118)</f>
        <v>328.80924188988376</v>
      </c>
      <c r="O118" s="453">
        <f>SUM('[1]GDP KP'!AR118:AS118)</f>
        <v>342.88711554201882</v>
      </c>
      <c r="P118" s="453">
        <f>SUM('[1]GDP KP'!AT118:AU118)</f>
        <v>326.67273196417727</v>
      </c>
      <c r="Q118" s="453">
        <f>SUM('[1]GDP KP'!AV118:AW118)</f>
        <v>318.36072159894059</v>
      </c>
      <c r="R118" s="453">
        <f>SUM('[1]GDP KP'!BO118:BR118)</f>
        <v>993.52631561488431</v>
      </c>
      <c r="S118" s="453">
        <f>SUM('[1]GDP KP'!AZ118:BA118)</f>
        <v>348.09960737032668</v>
      </c>
      <c r="T118" s="453">
        <f>SUM('[1]GDP KP'!BB118:BC118)</f>
        <v>365.03149658568634</v>
      </c>
      <c r="U118" s="453">
        <f>SUM('[1]GDP KP'!BD118:BE118)</f>
        <v>404.13083674203233</v>
      </c>
      <c r="V118" s="453">
        <f>SUM('[1]GDP KP'!BF118:BG118)</f>
        <v>416.24555790862428</v>
      </c>
      <c r="W118" s="453">
        <f>SUM('[1]GDP KP'!BH118:BI118)</f>
        <v>402.22976699802416</v>
      </c>
      <c r="X118" s="453">
        <f>SUM('[1]GDP KP'!BJ118:BK118)</f>
        <v>403.86723818873247</v>
      </c>
      <c r="Y118" s="453">
        <f>SUM('[1]GDP KP'!BL118:BM118)</f>
        <v>460.8647299848285</v>
      </c>
      <c r="Z118" s="453">
        <f>SUM('[1]GDP KP'!BN118:BO118)</f>
        <v>453.36598542310151</v>
      </c>
      <c r="AA118" s="453">
        <f>SUM('[1]GDP KP'!BP118:BQ118)</f>
        <v>489.23555436308942</v>
      </c>
      <c r="AB118" s="453">
        <f>SUM('[1]GDP KP'!BR118:BS118)</f>
        <v>533.13457307551676</v>
      </c>
      <c r="AC118" s="453">
        <f>SUM('[1]GDP KP'!BT118:BU118)</f>
        <v>528.80567824406467</v>
      </c>
      <c r="AD118" s="453" t="e">
        <f>SUM('[1]GDP KP'!BV118:BW118)</f>
        <v>#REF!</v>
      </c>
      <c r="AH118" s="453">
        <f t="shared" si="7"/>
        <v>384.75367093063045</v>
      </c>
      <c r="AI118" s="453">
        <f t="shared" si="6"/>
        <v>862.33531351195643</v>
      </c>
      <c r="AJ118" s="477">
        <f t="shared" si="8"/>
        <v>0.4461764059779465</v>
      </c>
    </row>
    <row r="119" spans="1:36">
      <c r="A119" s="451" t="s">
        <v>579</v>
      </c>
      <c r="B119" s="33">
        <f>SUM('[1]GDP KP'!AN119:AQ119)</f>
        <v>711.409027211438</v>
      </c>
      <c r="C119" s="33">
        <f>SUM('[1]GDP KP'!AR119:AU119)</f>
        <v>744.01348129466464</v>
      </c>
      <c r="D119" s="33">
        <f>SUM('[1]GDP KP'!AV119:AY119)</f>
        <v>765.82505275402514</v>
      </c>
      <c r="E119" s="33">
        <f>SUM('[1]GDP KP'!AZ119:BC119)</f>
        <v>853.1876011049153</v>
      </c>
      <c r="F119" s="33">
        <f>SUM('[1]GDP KP'!BD119:BG119)</f>
        <v>981.15273751463519</v>
      </c>
      <c r="G119" s="33">
        <f>SUM('[1]GDP KP'!BH119:BK119)</f>
        <v>930.7026028996695</v>
      </c>
      <c r="H119" s="33">
        <f>SUM('[1]GDP KP'!BL119:BO119)</f>
        <v>1049.7646591376458</v>
      </c>
      <c r="I119" s="33">
        <f>SUM('[1]GDP KP'!BP119:BS119)</f>
        <v>1167.7191888027151</v>
      </c>
      <c r="J119" s="33" t="e">
        <f>SUM('[1]GDP KP'!BT119:BW119)</f>
        <v>#REF!</v>
      </c>
      <c r="L119" s="451" t="s">
        <v>579</v>
      </c>
      <c r="M119" s="462">
        <f>SUM('[1]GDP KP'!AN119:AO119)</f>
        <v>346.95021989145584</v>
      </c>
      <c r="N119" s="462">
        <f>SUM('[1]GDP KP'!AP119:AQ119)</f>
        <v>364.45880731998221</v>
      </c>
      <c r="O119" s="462">
        <f>SUM('[1]GDP KP'!AR119:AS119)</f>
        <v>377.89539799655972</v>
      </c>
      <c r="P119" s="462">
        <f>SUM('[1]GDP KP'!AT119:AU119)</f>
        <v>366.11808329810492</v>
      </c>
      <c r="Q119" s="462">
        <f>SUM('[1]GDP KP'!AV119:AW119)</f>
        <v>370.11680797185642</v>
      </c>
      <c r="R119" s="462">
        <f>SUM('[1]GDP KP'!BO119:BR119)</f>
        <v>1128.184170335044</v>
      </c>
      <c r="S119" s="462">
        <f>SUM('[1]GDP KP'!AZ119:BA119)</f>
        <v>410.29530290768344</v>
      </c>
      <c r="T119" s="462">
        <f>SUM('[1]GDP KP'!BB119:BC119)</f>
        <v>442.89229819723181</v>
      </c>
      <c r="U119" s="462">
        <f>SUM('[1]GDP KP'!BD119:BE119)</f>
        <v>474.35957264792921</v>
      </c>
      <c r="V119" s="462">
        <f>SUM('[1]GDP KP'!BF119:BG119)</f>
        <v>506.79316486670587</v>
      </c>
      <c r="W119" s="462">
        <f>SUM('[1]GDP KP'!BH119:BI119)</f>
        <v>437.13941894976756</v>
      </c>
      <c r="X119" s="462">
        <f>SUM('[1]GDP KP'!BJ119:BK119)</f>
        <v>493.563183949902</v>
      </c>
      <c r="Y119" s="462">
        <f>SUM('[1]GDP KP'!BL119:BM119)</f>
        <v>506.70272795337473</v>
      </c>
      <c r="Z119" s="462">
        <f>SUM('[1]GDP KP'!BN119:BO119)</f>
        <v>543.06193118427109</v>
      </c>
      <c r="AA119" s="462">
        <f>SUM('[1]GDP KP'!BP119:BQ119)</f>
        <v>545.9683403514631</v>
      </c>
      <c r="AB119" s="462">
        <f>SUM('[1]GDP KP'!BR119:BS119)</f>
        <v>621.75084845125184</v>
      </c>
      <c r="AC119" s="462">
        <f>SUM('[1]GDP KP'!BT119:BU119)</f>
        <v>597.36922659694073</v>
      </c>
      <c r="AD119" s="462" t="e">
        <f>SUM('[1]GDP KP'!BV119:BW119)</f>
        <v>#REF!</v>
      </c>
      <c r="AH119" s="213">
        <f t="shared" si="7"/>
        <v>433.67847358376133</v>
      </c>
      <c r="AI119" s="213">
        <f t="shared" si="6"/>
        <v>992.03128453407294</v>
      </c>
      <c r="AJ119" s="17">
        <f t="shared" si="8"/>
        <v>0.43716209392272037</v>
      </c>
    </row>
    <row r="120" spans="1:36">
      <c r="A120" s="451" t="s">
        <v>580</v>
      </c>
      <c r="B120" s="33">
        <f>SUM('[1]GDP KP'!AN120:AQ120)</f>
        <v>-68.35964992727412</v>
      </c>
      <c r="C120" s="33">
        <f>SUM('[1]GDP KP'!AR120:AU120)</f>
        <v>-74.453633788468522</v>
      </c>
      <c r="D120" s="33">
        <f>SUM('[1]GDP KP'!AV120:AY120)</f>
        <v>-112.28773049412638</v>
      </c>
      <c r="E120" s="33">
        <f>SUM('[1]GDP KP'!AZ120:BC120)</f>
        <v>-140.05649714890217</v>
      </c>
      <c r="F120" s="33">
        <f>SUM('[1]GDP KP'!BD120:BG120)</f>
        <v>-162.27634286397858</v>
      </c>
      <c r="G120" s="33">
        <f>SUM('[1]GDP KP'!BH120:BK120)</f>
        <v>-130.60559771291287</v>
      </c>
      <c r="H120" s="33">
        <f>SUM('[1]GDP KP'!BL120:BO120)</f>
        <v>-141.53394372971573</v>
      </c>
      <c r="I120" s="33">
        <f>SUM('[1]GDP KP'!BP120:BS120)</f>
        <v>-151.34906136410882</v>
      </c>
      <c r="J120" s="33" t="e">
        <f>SUM('[1]GDP KP'!BT120:BW120)</f>
        <v>#REF!</v>
      </c>
      <c r="L120" s="451" t="s">
        <v>580</v>
      </c>
      <c r="M120" s="462">
        <f>SUM('[1]GDP KP'!AN120:AO120)</f>
        <v>-31.948015578529624</v>
      </c>
      <c r="N120" s="462">
        <f>SUM('[1]GDP KP'!AP120:AQ120)</f>
        <v>-36.411634348744485</v>
      </c>
      <c r="O120" s="462">
        <f>SUM('[1]GDP KP'!AR120:AS120)</f>
        <v>-35.008282454540904</v>
      </c>
      <c r="P120" s="462">
        <f>SUM('[1]GDP KP'!AT120:AU120)</f>
        <v>-39.445351333927626</v>
      </c>
      <c r="Q120" s="462">
        <f>SUM('[1]GDP KP'!AV120:AW120)</f>
        <v>-51.756086372915789</v>
      </c>
      <c r="R120" s="462">
        <f>SUM('[1]GDP KP'!BO120:BR120)</f>
        <v>-140.65785472015972</v>
      </c>
      <c r="S120" s="462">
        <f>SUM('[1]GDP KP'!AZ120:BA120)</f>
        <v>-62.195695537356698</v>
      </c>
      <c r="T120" s="462">
        <f>SUM('[1]GDP KP'!BB120:BC120)</f>
        <v>-77.860801611545469</v>
      </c>
      <c r="U120" s="462">
        <f>SUM('[1]GDP KP'!BD120:BE120)</f>
        <v>-70.22873590589694</v>
      </c>
      <c r="V120" s="462">
        <f>SUM('[1]GDP KP'!BF120:BG120)</f>
        <v>-92.047606958081644</v>
      </c>
      <c r="W120" s="462">
        <f>SUM('[1]GDP KP'!BH120:BI120)</f>
        <v>-37.909651951743335</v>
      </c>
      <c r="X120" s="462">
        <f>SUM('[1]GDP KP'!BJ120:BK120)</f>
        <v>-92.695945761169526</v>
      </c>
      <c r="Y120" s="462">
        <f>SUM('[1]GDP KP'!BL120:BM120)</f>
        <v>-48.837997968546198</v>
      </c>
      <c r="Z120" s="462">
        <f>SUM('[1]GDP KP'!BN120:BO120)</f>
        <v>-92.695945761169526</v>
      </c>
      <c r="AA120" s="462">
        <f>SUM('[1]GDP KP'!BP120:BQ120)</f>
        <v>-59.732785988373685</v>
      </c>
      <c r="AB120" s="462">
        <f>SUM('[1]GDP KP'!BR120:BS120)</f>
        <v>-91.616275375735142</v>
      </c>
      <c r="AC120" s="462">
        <f>SUM('[1]GDP KP'!BT120:BU120)</f>
        <v>-71.563548352876211</v>
      </c>
      <c r="AD120" s="462" t="e">
        <f>SUM('[1]GDP KP'!BV120:BW120)</f>
        <v>#REF!</v>
      </c>
      <c r="AH120" s="213">
        <f t="shared" si="7"/>
        <v>-49.702156469737893</v>
      </c>
      <c r="AI120" s="213">
        <f t="shared" si="6"/>
        <v>-132.63108345355454</v>
      </c>
      <c r="AJ120" s="17">
        <f t="shared" si="8"/>
        <v>0.37473988129745511</v>
      </c>
    </row>
    <row r="121" spans="1:36">
      <c r="B121" s="33"/>
      <c r="C121" s="33"/>
      <c r="U121" s="462" t="e">
        <f>SUM('[1]GDP KP'!BD121:BE121)</f>
        <v>#REF!</v>
      </c>
    </row>
  </sheetData>
  <mergeCells count="10">
    <mergeCell ref="M1:N1"/>
    <mergeCell ref="O1:P1"/>
    <mergeCell ref="Q1:R1"/>
    <mergeCell ref="S1:T1"/>
    <mergeCell ref="AE1:AF1"/>
    <mergeCell ref="U1:V1"/>
    <mergeCell ref="W1:X1"/>
    <mergeCell ref="Y1:Z1"/>
    <mergeCell ref="AA1:AB1"/>
    <mergeCell ref="AC1:A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X48"/>
  <sheetViews>
    <sheetView topLeftCell="A51" workbookViewId="0">
      <pane xSplit="3845" ySplit="595" topLeftCell="BO25" activePane="bottomRight"/>
      <selection activeCell="A40" sqref="A40"/>
      <selection pane="topRight" activeCell="O33" sqref="O33"/>
      <selection pane="bottomLeft" activeCell="A41" sqref="A41"/>
      <selection pane="bottomRight" activeCell="BS36" sqref="BS36"/>
    </sheetView>
  </sheetViews>
  <sheetFormatPr defaultRowHeight="14.75"/>
  <cols>
    <col min="1" max="1" width="31.26953125" bestFit="1" customWidth="1"/>
    <col min="2" max="5" width="13.6328125" bestFit="1" customWidth="1"/>
    <col min="6" max="6" width="14.6328125" bestFit="1" customWidth="1"/>
    <col min="7" max="9" width="13.6328125" bestFit="1" customWidth="1"/>
    <col min="10" max="10" width="13.7265625" customWidth="1"/>
    <col min="11" max="13" width="13.6328125" bestFit="1" customWidth="1"/>
    <col min="14" max="14" width="13.7265625" bestFit="1" customWidth="1"/>
    <col min="15" max="15" width="14.08984375" bestFit="1" customWidth="1"/>
    <col min="16" max="16" width="13.6328125" bestFit="1" customWidth="1"/>
    <col min="17" max="17" width="11.08984375" customWidth="1"/>
    <col min="18" max="18" width="11.7265625" customWidth="1"/>
    <col min="19" max="25" width="11.90625" customWidth="1"/>
    <col min="26" max="37" width="10.7265625" customWidth="1"/>
    <col min="38" max="43" width="13.7265625" customWidth="1"/>
    <col min="44" max="44" width="12.36328125" customWidth="1"/>
    <col min="45" max="49" width="10.90625" customWidth="1"/>
    <col min="50" max="61" width="13.26953125" bestFit="1" customWidth="1"/>
    <col min="62" max="62" width="11" bestFit="1" customWidth="1"/>
    <col min="63" max="64" width="12.08984375" bestFit="1" customWidth="1"/>
    <col min="65" max="67" width="11" bestFit="1" customWidth="1"/>
    <col min="68" max="68" width="12.08984375" bestFit="1" customWidth="1"/>
    <col min="69" max="73" width="11.31640625" customWidth="1"/>
    <col min="74" max="74" width="14.40625" bestFit="1" customWidth="1"/>
    <col min="75" max="75" width="11.86328125" bestFit="1" customWidth="1"/>
    <col min="76" max="76" width="13.1796875" customWidth="1"/>
  </cols>
  <sheetData>
    <row r="1" spans="1:16">
      <c r="A1" s="245">
        <v>2019</v>
      </c>
      <c r="B1" s="245" t="s">
        <v>257</v>
      </c>
      <c r="C1" s="245" t="s">
        <v>258</v>
      </c>
      <c r="D1" s="245" t="s">
        <v>259</v>
      </c>
      <c r="E1" s="245" t="s">
        <v>260</v>
      </c>
      <c r="F1" s="245" t="s">
        <v>261</v>
      </c>
      <c r="G1" s="245" t="s">
        <v>262</v>
      </c>
      <c r="H1" s="245" t="s">
        <v>263</v>
      </c>
      <c r="I1" s="245" t="s">
        <v>264</v>
      </c>
      <c r="J1" s="245" t="s">
        <v>265</v>
      </c>
      <c r="K1" s="245" t="s">
        <v>266</v>
      </c>
      <c r="L1" s="245" t="s">
        <v>267</v>
      </c>
      <c r="M1" s="245" t="s">
        <v>268</v>
      </c>
    </row>
    <row r="2" spans="1:16" ht="15.75">
      <c r="A2" s="142" t="s">
        <v>313</v>
      </c>
      <c r="B2" s="141">
        <f>SUM(B3:B5)</f>
        <v>49687610.520000003</v>
      </c>
      <c r="C2" s="141">
        <f t="shared" ref="C2:I2" si="0">SUM(C3:C5)</f>
        <v>43942208.689999998</v>
      </c>
      <c r="D2" s="141">
        <f t="shared" si="0"/>
        <v>33077533.870000001</v>
      </c>
      <c r="E2" s="141">
        <f t="shared" si="0"/>
        <v>12892981.369999999</v>
      </c>
      <c r="F2" s="141">
        <f t="shared" si="0"/>
        <v>16757642.5</v>
      </c>
      <c r="G2" s="141">
        <f t="shared" si="0"/>
        <v>62878857.299999997</v>
      </c>
      <c r="H2" s="141">
        <f t="shared" si="0"/>
        <v>80106513.840000004</v>
      </c>
      <c r="I2" s="141">
        <f t="shared" si="0"/>
        <v>102614486.27</v>
      </c>
      <c r="J2" s="141"/>
      <c r="K2" s="141"/>
      <c r="L2" s="141"/>
      <c r="M2" s="141"/>
      <c r="O2" s="145">
        <v>219236834.25</v>
      </c>
    </row>
    <row r="3" spans="1:16" ht="15.75">
      <c r="A3" s="143" t="s">
        <v>314</v>
      </c>
      <c r="B3" s="190">
        <v>32637553.039999999</v>
      </c>
      <c r="C3" s="190">
        <v>25018132.039999999</v>
      </c>
      <c r="D3" s="190">
        <v>19590325</v>
      </c>
      <c r="E3" s="190">
        <v>6878750</v>
      </c>
      <c r="F3" s="190">
        <v>8621486.9000000004</v>
      </c>
      <c r="G3" s="190">
        <v>44909250</v>
      </c>
      <c r="H3" s="190">
        <v>62207739</v>
      </c>
      <c r="I3" s="190">
        <v>76608277</v>
      </c>
      <c r="J3" s="141">
        <v>81303202</v>
      </c>
      <c r="K3" s="141">
        <v>44449493</v>
      </c>
      <c r="L3" s="141">
        <v>34476256</v>
      </c>
      <c r="M3" s="141">
        <v>96909555</v>
      </c>
      <c r="O3" s="145">
        <v>137655496.98000002</v>
      </c>
    </row>
    <row r="4" spans="1:16" ht="15.75">
      <c r="A4" s="143" t="s">
        <v>315</v>
      </c>
      <c r="B4" s="190">
        <v>5911307.5999999996</v>
      </c>
      <c r="C4" s="190">
        <v>7001008.9199999999</v>
      </c>
      <c r="D4" s="190">
        <v>5497637.5500000007</v>
      </c>
      <c r="E4" s="190">
        <v>1795773.6</v>
      </c>
      <c r="F4" s="190">
        <v>2948485.45</v>
      </c>
      <c r="G4" s="190">
        <v>9225687.9400000013</v>
      </c>
      <c r="H4" s="190">
        <v>9222261.4600000009</v>
      </c>
      <c r="I4" s="190">
        <v>10968932.989999998</v>
      </c>
      <c r="J4" s="141">
        <v>8823317.5099999998</v>
      </c>
      <c r="K4" s="141">
        <v>6299131.5299999993</v>
      </c>
      <c r="L4" s="141">
        <v>7411781.2400000012</v>
      </c>
      <c r="M4" s="141">
        <v>7106878.3300000001</v>
      </c>
      <c r="O4" s="145">
        <v>32379901.060000002</v>
      </c>
    </row>
    <row r="5" spans="1:16" ht="15.75">
      <c r="A5" s="143" t="s">
        <v>316</v>
      </c>
      <c r="B5" s="190">
        <v>11138749.880000001</v>
      </c>
      <c r="C5" s="190">
        <v>11923067.73</v>
      </c>
      <c r="D5" s="190">
        <v>7989571.3200000012</v>
      </c>
      <c r="E5" s="190">
        <v>4218457.7699999996</v>
      </c>
      <c r="F5" s="190">
        <v>5187670.1499999994</v>
      </c>
      <c r="G5" s="190">
        <v>8743919.3599999994</v>
      </c>
      <c r="H5" s="190">
        <v>8676513.3800000027</v>
      </c>
      <c r="I5" s="190">
        <v>15037276.279999999</v>
      </c>
      <c r="J5" s="141">
        <v>7472332.3399999989</v>
      </c>
      <c r="K5" s="141">
        <v>10451342.050000001</v>
      </c>
      <c r="L5" s="141">
        <v>9887150.1799999997</v>
      </c>
      <c r="M5" s="141">
        <v>10447960.770000005</v>
      </c>
      <c r="O5" s="145">
        <v>49201436.210000001</v>
      </c>
    </row>
    <row r="7" spans="1:16" ht="15.75">
      <c r="A7" s="143" t="s">
        <v>314</v>
      </c>
      <c r="B7" s="144">
        <f>B3/1000</f>
        <v>32637.553039999999</v>
      </c>
      <c r="C7" s="144">
        <f t="shared" ref="C7:M7" si="1">C3/1000</f>
        <v>25018.13204</v>
      </c>
      <c r="D7" s="144">
        <f t="shared" si="1"/>
        <v>19590.325000000001</v>
      </c>
      <c r="E7" s="144">
        <f t="shared" si="1"/>
        <v>6878.75</v>
      </c>
      <c r="F7" s="144">
        <f t="shared" si="1"/>
        <v>8621.4868999999999</v>
      </c>
      <c r="G7" s="144">
        <f t="shared" si="1"/>
        <v>44909.25</v>
      </c>
      <c r="H7" s="144">
        <f t="shared" si="1"/>
        <v>62207.739000000001</v>
      </c>
      <c r="I7" s="144">
        <f t="shared" si="1"/>
        <v>76608.277000000002</v>
      </c>
      <c r="J7" s="144">
        <f t="shared" si="1"/>
        <v>81303.202000000005</v>
      </c>
      <c r="K7" s="144">
        <f t="shared" si="1"/>
        <v>44449.493000000002</v>
      </c>
      <c r="L7" s="144">
        <f t="shared" si="1"/>
        <v>34476.256000000001</v>
      </c>
      <c r="M7" s="144">
        <f t="shared" si="1"/>
        <v>96909.554999999993</v>
      </c>
      <c r="O7" s="144">
        <f>O3/1000</f>
        <v>137655.49698000003</v>
      </c>
      <c r="P7" s="144">
        <f>O7*(1+J10)</f>
        <v>395954.52200000006</v>
      </c>
    </row>
    <row r="8" spans="1:16" ht="15.75">
      <c r="A8" s="143" t="s">
        <v>315</v>
      </c>
      <c r="B8" s="144">
        <f t="shared" ref="B8:M9" si="2">B4/1000</f>
        <v>5911.3075999999992</v>
      </c>
      <c r="C8" s="144">
        <f t="shared" si="2"/>
        <v>7001.0089200000002</v>
      </c>
      <c r="D8" s="144">
        <f t="shared" si="2"/>
        <v>5497.6375500000004</v>
      </c>
      <c r="E8" s="144">
        <f t="shared" si="2"/>
        <v>1795.7736</v>
      </c>
      <c r="F8" s="144">
        <f t="shared" si="2"/>
        <v>2948.4854500000001</v>
      </c>
      <c r="G8" s="144">
        <f t="shared" si="2"/>
        <v>9225.6879400000016</v>
      </c>
      <c r="H8" s="144">
        <f t="shared" si="2"/>
        <v>9222.2614600000015</v>
      </c>
      <c r="I8" s="144">
        <f t="shared" si="2"/>
        <v>10968.932989999998</v>
      </c>
      <c r="J8" s="144">
        <f t="shared" si="2"/>
        <v>8823.3175099999989</v>
      </c>
      <c r="K8" s="144">
        <f t="shared" si="2"/>
        <v>6299.1315299999997</v>
      </c>
      <c r="L8" s="144">
        <f t="shared" si="2"/>
        <v>7411.7812400000012</v>
      </c>
      <c r="M8" s="144">
        <f t="shared" si="2"/>
        <v>7106.8783300000005</v>
      </c>
      <c r="O8" s="144">
        <f>O4/1000</f>
        <v>32379.901060000004</v>
      </c>
      <c r="P8" s="144">
        <f>O8*(1+J11)</f>
        <v>49832.303059999998</v>
      </c>
    </row>
    <row r="9" spans="1:16" ht="15.75">
      <c r="A9" s="143" t="s">
        <v>316</v>
      </c>
      <c r="B9" s="144">
        <f t="shared" si="2"/>
        <v>11138.749880000001</v>
      </c>
      <c r="C9" s="144">
        <f t="shared" si="2"/>
        <v>11923.067730000001</v>
      </c>
      <c r="D9" s="144">
        <f t="shared" si="2"/>
        <v>7989.5713200000009</v>
      </c>
      <c r="E9" s="144">
        <f t="shared" si="2"/>
        <v>4218.45777</v>
      </c>
      <c r="F9" s="144">
        <f t="shared" si="2"/>
        <v>5187.670149999999</v>
      </c>
      <c r="G9" s="144">
        <f t="shared" si="2"/>
        <v>8743.9193599999999</v>
      </c>
      <c r="H9" s="144">
        <f t="shared" si="2"/>
        <v>8676.5133800000021</v>
      </c>
      <c r="I9" s="144">
        <f t="shared" si="2"/>
        <v>15037.27628</v>
      </c>
      <c r="J9" s="144">
        <f t="shared" si="2"/>
        <v>7472.332339999999</v>
      </c>
      <c r="K9" s="144">
        <f t="shared" si="2"/>
        <v>10451.342050000001</v>
      </c>
      <c r="L9" s="144">
        <f t="shared" si="2"/>
        <v>9887.1501800000005</v>
      </c>
      <c r="M9" s="144">
        <f t="shared" si="2"/>
        <v>10447.960770000005</v>
      </c>
      <c r="O9" s="144">
        <f>O5/1000</f>
        <v>49201.43621</v>
      </c>
      <c r="P9" s="144">
        <f>O9*(1+J12)</f>
        <v>61972.575000000012</v>
      </c>
    </row>
    <row r="10" spans="1:16">
      <c r="G10" s="144">
        <f>SUM(B7:G7)</f>
        <v>137655.49698</v>
      </c>
      <c r="H10" s="144">
        <f>SUM(H7:M7)</f>
        <v>395954.522</v>
      </c>
      <c r="J10">
        <f>H10/G10-1</f>
        <v>1.876416348687683</v>
      </c>
    </row>
    <row r="11" spans="1:16">
      <c r="G11" s="144">
        <f>SUM(B8:G8)</f>
        <v>32379.901060000004</v>
      </c>
      <c r="H11" s="144">
        <f>SUM(H8:M8)</f>
        <v>49832.303059999998</v>
      </c>
      <c r="J11">
        <f>H11/G11-1</f>
        <v>0.53898873772531508</v>
      </c>
    </row>
    <row r="12" spans="1:16">
      <c r="G12" s="144">
        <f>SUM(B9:G9)</f>
        <v>49201.43621</v>
      </c>
      <c r="H12" s="144">
        <f>SUM(H9:M9)</f>
        <v>61972.575000000012</v>
      </c>
      <c r="J12">
        <f>H12/G12-1</f>
        <v>0.25956841453754809</v>
      </c>
    </row>
    <row r="13" spans="1:16">
      <c r="A13" s="245">
        <v>2020</v>
      </c>
    </row>
    <row r="14" spans="1:16" ht="15.75">
      <c r="A14" s="143" t="s">
        <v>314</v>
      </c>
      <c r="B14" s="190">
        <v>22378870</v>
      </c>
      <c r="C14" s="190">
        <v>25387520</v>
      </c>
      <c r="D14" s="190">
        <v>22929342</v>
      </c>
      <c r="E14" s="190">
        <v>26979500</v>
      </c>
      <c r="F14" s="190">
        <v>32140050</v>
      </c>
      <c r="G14" s="191">
        <v>34482552</v>
      </c>
      <c r="H14" s="190">
        <v>36923581</v>
      </c>
      <c r="I14" s="190">
        <v>32895932.199999999</v>
      </c>
      <c r="J14" s="190">
        <v>45527839</v>
      </c>
      <c r="K14" s="190">
        <v>36420200</v>
      </c>
      <c r="L14" s="190">
        <v>83791440</v>
      </c>
      <c r="M14" s="190">
        <v>36681995</v>
      </c>
    </row>
    <row r="15" spans="1:16" ht="15.75">
      <c r="A15" s="143" t="s">
        <v>315</v>
      </c>
      <c r="B15" s="190">
        <v>4898360.45</v>
      </c>
      <c r="C15" s="190">
        <v>4829433.7799999993</v>
      </c>
      <c r="D15" s="190">
        <v>5142778.32</v>
      </c>
      <c r="E15" s="190">
        <v>6026582.4999999991</v>
      </c>
      <c r="F15" s="190">
        <v>7253944.8999999994</v>
      </c>
      <c r="G15" s="190">
        <v>7928241.4100000001</v>
      </c>
      <c r="H15" s="190">
        <v>8698131.6899999976</v>
      </c>
      <c r="I15" s="190">
        <v>6192360.2400000002</v>
      </c>
      <c r="J15" s="190">
        <v>6322646.5499999998</v>
      </c>
      <c r="K15" s="190">
        <v>6846707.6000000006</v>
      </c>
      <c r="L15" s="190">
        <v>4596630.91</v>
      </c>
      <c r="M15" s="190">
        <v>4920983.3899999997</v>
      </c>
    </row>
    <row r="16" spans="1:16" ht="15.75">
      <c r="A16" s="143" t="s">
        <v>316</v>
      </c>
      <c r="B16" s="190">
        <v>5428155.129999999</v>
      </c>
      <c r="C16" s="190">
        <v>7930509.5</v>
      </c>
      <c r="D16" s="190">
        <v>8298262.2999999998</v>
      </c>
      <c r="E16" s="190">
        <v>8514477.3200000022</v>
      </c>
      <c r="F16" s="190">
        <v>12241029</v>
      </c>
      <c r="G16" s="190">
        <v>12151790.199999997</v>
      </c>
      <c r="H16" s="190">
        <v>14463661.289999999</v>
      </c>
      <c r="I16" s="190">
        <v>13362922.34</v>
      </c>
      <c r="J16" s="190">
        <v>15625166.540000001</v>
      </c>
      <c r="K16" s="190">
        <v>13860128.410000002</v>
      </c>
      <c r="L16" s="190">
        <v>12717777.460000001</v>
      </c>
      <c r="M16" s="190">
        <v>11641250.390000001</v>
      </c>
    </row>
    <row r="17" spans="1:16">
      <c r="A17" s="245"/>
    </row>
    <row r="18" spans="1:16" ht="15.75">
      <c r="A18" s="143" t="s">
        <v>314</v>
      </c>
      <c r="B18" s="144">
        <f>B14/1000</f>
        <v>22378.87</v>
      </c>
      <c r="C18" s="144">
        <f t="shared" ref="C18:M18" si="3">C14/1000</f>
        <v>25387.52</v>
      </c>
      <c r="D18" s="144">
        <f t="shared" si="3"/>
        <v>22929.342000000001</v>
      </c>
      <c r="E18" s="144">
        <f t="shared" si="3"/>
        <v>26979.5</v>
      </c>
      <c r="F18" s="144">
        <f t="shared" si="3"/>
        <v>32140.05</v>
      </c>
      <c r="G18" s="144">
        <f t="shared" si="3"/>
        <v>34482.552000000003</v>
      </c>
      <c r="H18" s="144">
        <f>H14/1000</f>
        <v>36923.580999999998</v>
      </c>
      <c r="I18" s="144">
        <f t="shared" si="3"/>
        <v>32895.932199999996</v>
      </c>
      <c r="J18" s="144">
        <f t="shared" si="3"/>
        <v>45527.839</v>
      </c>
      <c r="K18" s="144">
        <f t="shared" si="3"/>
        <v>36420.199999999997</v>
      </c>
      <c r="L18" s="144">
        <f t="shared" si="3"/>
        <v>83791.44</v>
      </c>
      <c r="M18" s="144">
        <f t="shared" si="3"/>
        <v>36681.995000000003</v>
      </c>
    </row>
    <row r="19" spans="1:16" ht="15.75">
      <c r="A19" s="143" t="s">
        <v>315</v>
      </c>
      <c r="B19" s="144">
        <f t="shared" ref="B19:M19" si="4">B15/1000</f>
        <v>4898.3604500000001</v>
      </c>
      <c r="C19" s="144">
        <f t="shared" si="4"/>
        <v>4829.4337799999994</v>
      </c>
      <c r="D19" s="144">
        <f t="shared" si="4"/>
        <v>5142.7783200000003</v>
      </c>
      <c r="E19" s="144">
        <f t="shared" si="4"/>
        <v>6026.5824999999986</v>
      </c>
      <c r="F19" s="144">
        <f t="shared" si="4"/>
        <v>7253.9448999999995</v>
      </c>
      <c r="G19" s="144">
        <f t="shared" si="4"/>
        <v>7928.2414100000005</v>
      </c>
      <c r="H19" s="144">
        <f t="shared" si="4"/>
        <v>8698.1316899999983</v>
      </c>
      <c r="I19" s="144">
        <f t="shared" si="4"/>
        <v>6192.36024</v>
      </c>
      <c r="J19" s="144">
        <f t="shared" si="4"/>
        <v>6322.6465499999995</v>
      </c>
      <c r="K19" s="144">
        <f t="shared" si="4"/>
        <v>6846.7076000000006</v>
      </c>
      <c r="L19" s="144">
        <f t="shared" si="4"/>
        <v>4596.6309099999999</v>
      </c>
      <c r="M19" s="144">
        <f t="shared" si="4"/>
        <v>4920.9833899999994</v>
      </c>
    </row>
    <row r="20" spans="1:16" ht="15.75">
      <c r="A20" s="143" t="s">
        <v>316</v>
      </c>
      <c r="B20" s="144">
        <f t="shared" ref="B20:M20" si="5">B16/1000</f>
        <v>5428.1551299999992</v>
      </c>
      <c r="C20" s="144">
        <f t="shared" si="5"/>
        <v>7930.5095000000001</v>
      </c>
      <c r="D20" s="144">
        <f t="shared" si="5"/>
        <v>8298.2623000000003</v>
      </c>
      <c r="E20" s="144">
        <f t="shared" si="5"/>
        <v>8514.4773200000018</v>
      </c>
      <c r="F20" s="144">
        <f t="shared" si="5"/>
        <v>12241.029</v>
      </c>
      <c r="G20" s="144">
        <f t="shared" si="5"/>
        <v>12151.790199999998</v>
      </c>
      <c r="H20" s="144">
        <f t="shared" si="5"/>
        <v>14463.66129</v>
      </c>
      <c r="I20" s="144">
        <f t="shared" si="5"/>
        <v>13362.922339999999</v>
      </c>
      <c r="J20" s="144">
        <f t="shared" si="5"/>
        <v>15625.16654</v>
      </c>
      <c r="K20" s="144">
        <f t="shared" si="5"/>
        <v>13860.128410000001</v>
      </c>
      <c r="L20" s="144">
        <f t="shared" si="5"/>
        <v>12717.777460000001</v>
      </c>
      <c r="M20" s="144">
        <f t="shared" si="5"/>
        <v>11641.250390000001</v>
      </c>
    </row>
    <row r="21" spans="1:16">
      <c r="G21" s="144">
        <f>SUM(B18:G18)</f>
        <v>164297.834</v>
      </c>
      <c r="H21" s="144">
        <f>SUM(H18:M18)</f>
        <v>272240.98719999997</v>
      </c>
    </row>
    <row r="22" spans="1:16">
      <c r="G22" s="144">
        <f>SUM(B19:G19)</f>
        <v>36079.341359999999</v>
      </c>
      <c r="H22" s="144">
        <f>SUM(H19:M19)</f>
        <v>37577.460379999997</v>
      </c>
    </row>
    <row r="23" spans="1:16">
      <c r="G23" s="144">
        <f>SUM(B20:G20)</f>
        <v>54564.223449999998</v>
      </c>
      <c r="H23" s="144">
        <f>SUM(H20:M20)</f>
        <v>81670.906430000003</v>
      </c>
    </row>
    <row r="24" spans="1:16">
      <c r="A24" s="245">
        <v>2022</v>
      </c>
      <c r="B24" s="259">
        <v>44562</v>
      </c>
      <c r="C24" s="259">
        <v>44593</v>
      </c>
      <c r="D24" s="259">
        <v>44621</v>
      </c>
      <c r="E24" s="259">
        <v>44652</v>
      </c>
      <c r="F24" s="259">
        <v>44682</v>
      </c>
      <c r="G24" s="259">
        <v>44713</v>
      </c>
      <c r="H24" s="259">
        <v>44743</v>
      </c>
      <c r="I24" s="259">
        <v>44774</v>
      </c>
      <c r="J24" s="259">
        <v>44805</v>
      </c>
      <c r="K24" s="259">
        <v>44835</v>
      </c>
      <c r="L24" s="259">
        <v>44866</v>
      </c>
      <c r="M24" s="259">
        <v>44896</v>
      </c>
      <c r="N24" s="314" t="s">
        <v>375</v>
      </c>
      <c r="O24" s="314" t="s">
        <v>376</v>
      </c>
    </row>
    <row r="25" spans="1:16" ht="15.75">
      <c r="A25" s="142" t="s">
        <v>313</v>
      </c>
      <c r="B25" s="232">
        <f>SUM(B26:B28)</f>
        <v>46700860.120000005</v>
      </c>
      <c r="C25" s="232">
        <f t="shared" ref="C25:O25" si="6">SUM(C26:C28)</f>
        <v>44201467.789999999</v>
      </c>
      <c r="D25" s="232">
        <f t="shared" si="6"/>
        <v>49901515.469999999</v>
      </c>
      <c r="E25" s="232">
        <f t="shared" si="6"/>
        <v>47749665.599999994</v>
      </c>
      <c r="F25" s="232">
        <f t="shared" si="6"/>
        <v>52196138.420000002</v>
      </c>
      <c r="G25" s="232">
        <f t="shared" si="6"/>
        <v>65929268.25999999</v>
      </c>
      <c r="H25" s="232">
        <f t="shared" si="6"/>
        <v>63582861.170000002</v>
      </c>
      <c r="I25" s="232">
        <f t="shared" si="6"/>
        <v>80885988.359999999</v>
      </c>
      <c r="J25" s="232">
        <f t="shared" si="6"/>
        <v>73917679.159999996</v>
      </c>
      <c r="K25" s="232">
        <f t="shared" si="6"/>
        <v>62239499.760000005</v>
      </c>
      <c r="L25" s="232">
        <f t="shared" si="6"/>
        <v>92352209.219999999</v>
      </c>
      <c r="M25" s="232">
        <f t="shared" si="6"/>
        <v>72766427.129999995</v>
      </c>
      <c r="N25" s="466">
        <f>SUM(N26:N28)</f>
        <v>306678915.66000003</v>
      </c>
      <c r="O25" s="466">
        <f t="shared" si="6"/>
        <v>445744664.80000001</v>
      </c>
      <c r="P25" s="258">
        <f>SUM(B25:M25)</f>
        <v>752423580.46000004</v>
      </c>
    </row>
    <row r="26" spans="1:16" ht="15.75">
      <c r="A26" s="143" t="s">
        <v>314</v>
      </c>
      <c r="B26" s="231">
        <v>30776400</v>
      </c>
      <c r="C26" s="231">
        <v>28658705</v>
      </c>
      <c r="D26" s="231">
        <v>32757960</v>
      </c>
      <c r="E26" s="231">
        <v>31350350</v>
      </c>
      <c r="F26" s="231">
        <v>35148368</v>
      </c>
      <c r="G26" s="231">
        <v>47503400</v>
      </c>
      <c r="H26" s="258">
        <v>43151161</v>
      </c>
      <c r="I26" s="246">
        <v>54590060</v>
      </c>
      <c r="J26" s="246">
        <v>55821528.5</v>
      </c>
      <c r="K26" s="246">
        <v>44869900</v>
      </c>
      <c r="L26" s="246">
        <v>75305230</v>
      </c>
      <c r="M26" s="246">
        <v>54559111</v>
      </c>
      <c r="N26" s="467">
        <f>SUM(B26:G26)</f>
        <v>206195183</v>
      </c>
      <c r="O26" s="467">
        <f>SUM(H26:M26)</f>
        <v>328296990.5</v>
      </c>
      <c r="P26" s="258">
        <f>SUM(B26:M26)</f>
        <v>534492173.5</v>
      </c>
    </row>
    <row r="27" spans="1:16" ht="15.75">
      <c r="A27" s="143" t="s">
        <v>315</v>
      </c>
      <c r="B27" s="231">
        <v>4797903.6300000008</v>
      </c>
      <c r="C27" s="231">
        <v>4896757.5399999991</v>
      </c>
      <c r="D27" s="231">
        <v>6408828.4600000009</v>
      </c>
      <c r="E27" s="231">
        <v>6343601.0100000007</v>
      </c>
      <c r="F27" s="231">
        <v>5989904.8199999994</v>
      </c>
      <c r="G27" s="231">
        <v>7328210.4100000001</v>
      </c>
      <c r="H27">
        <v>6197195.46</v>
      </c>
      <c r="I27" s="246">
        <v>7371970.1699999999</v>
      </c>
      <c r="J27" s="246">
        <v>7379110.9299999997</v>
      </c>
      <c r="K27" s="246">
        <v>5712916.5200000005</v>
      </c>
      <c r="L27" s="246">
        <v>6552255.6100000013</v>
      </c>
      <c r="M27" s="246">
        <v>6309250.8799999999</v>
      </c>
      <c r="N27" s="467">
        <f>SUM(B27:G27)</f>
        <v>35765205.870000005</v>
      </c>
      <c r="O27" s="467">
        <f>SUM(H27:M27)</f>
        <v>39522699.57</v>
      </c>
      <c r="P27" s="258">
        <f>SUM(B27:M27)</f>
        <v>75287905.440000013</v>
      </c>
    </row>
    <row r="28" spans="1:16" ht="15.75">
      <c r="A28" s="143" t="s">
        <v>316</v>
      </c>
      <c r="B28" s="231">
        <v>11126556.49</v>
      </c>
      <c r="C28" s="231">
        <v>10646005.25</v>
      </c>
      <c r="D28" s="231">
        <v>10734727.01</v>
      </c>
      <c r="E28" s="231">
        <v>10055714.59</v>
      </c>
      <c r="F28" s="231">
        <v>11057865.6</v>
      </c>
      <c r="G28" s="231">
        <v>11097657.849999996</v>
      </c>
      <c r="H28">
        <v>14234504.709999999</v>
      </c>
      <c r="I28" s="246">
        <v>18923958.190000001</v>
      </c>
      <c r="J28" s="246">
        <v>10717039.73</v>
      </c>
      <c r="K28" s="246">
        <v>11656683.240000004</v>
      </c>
      <c r="L28" s="246">
        <v>10494723.610000005</v>
      </c>
      <c r="M28" s="246">
        <v>11898065.249999998</v>
      </c>
      <c r="N28" s="467">
        <f>SUM(B28:G28)</f>
        <v>64718526.789999999</v>
      </c>
      <c r="O28" s="467">
        <f>SUM(H28:M28)</f>
        <v>77924974.730000004</v>
      </c>
      <c r="P28" s="258">
        <f>SUM(B28:M28)</f>
        <v>142643501.52000001</v>
      </c>
    </row>
    <row r="29" spans="1:16">
      <c r="B29" s="242"/>
      <c r="C29" s="243"/>
      <c r="D29" s="242"/>
      <c r="E29" s="243"/>
      <c r="F29" s="243"/>
      <c r="G29" s="244"/>
      <c r="H29" s="235"/>
    </row>
    <row r="31" spans="1:16">
      <c r="A31" s="245">
        <v>2023</v>
      </c>
      <c r="B31" s="259">
        <v>44927</v>
      </c>
      <c r="C31" s="259">
        <v>44958</v>
      </c>
      <c r="D31" s="259">
        <v>44986</v>
      </c>
      <c r="E31" s="259">
        <v>45017</v>
      </c>
      <c r="F31" s="585">
        <v>45047</v>
      </c>
      <c r="G31" s="585">
        <v>45078</v>
      </c>
      <c r="H31" s="585">
        <v>45108</v>
      </c>
      <c r="I31" s="585">
        <v>45139</v>
      </c>
      <c r="J31" s="585">
        <v>45170</v>
      </c>
      <c r="K31" s="585">
        <v>45200</v>
      </c>
      <c r="L31" s="310">
        <v>45231</v>
      </c>
      <c r="M31" s="310">
        <v>45261</v>
      </c>
      <c r="N31" t="s">
        <v>475</v>
      </c>
      <c r="O31" t="s">
        <v>376</v>
      </c>
      <c r="P31" t="s">
        <v>188</v>
      </c>
    </row>
    <row r="32" spans="1:16" ht="15.75">
      <c r="A32" s="142" t="s">
        <v>313</v>
      </c>
      <c r="B32" s="232">
        <f t="shared" ref="B32:M32" si="7">SUM(B33:B35)</f>
        <v>73842370.200000003</v>
      </c>
      <c r="C32" s="232">
        <f t="shared" si="7"/>
        <v>42690487.149999999</v>
      </c>
      <c r="D32" s="232">
        <f t="shared" si="7"/>
        <v>94175092.150000006</v>
      </c>
      <c r="E32" s="232">
        <f t="shared" si="7"/>
        <v>49522811.350000001</v>
      </c>
      <c r="F32" s="232">
        <f t="shared" si="7"/>
        <v>85085071.219999999</v>
      </c>
      <c r="G32" s="232">
        <f t="shared" si="7"/>
        <v>51623017.880000003</v>
      </c>
      <c r="H32" s="232">
        <f t="shared" si="7"/>
        <v>55679105.420000009</v>
      </c>
      <c r="I32" s="232">
        <f t="shared" si="7"/>
        <v>96974474.809999987</v>
      </c>
      <c r="J32" s="232">
        <f t="shared" si="7"/>
        <v>55354069.75999999</v>
      </c>
      <c r="K32" s="232">
        <f t="shared" si="7"/>
        <v>56964016.68</v>
      </c>
      <c r="L32" s="235">
        <f t="shared" si="7"/>
        <v>0</v>
      </c>
      <c r="M32" s="235">
        <f t="shared" si="7"/>
        <v>0</v>
      </c>
      <c r="N32" s="235">
        <f>SUM(B32:G32)</f>
        <v>396938849.94999999</v>
      </c>
      <c r="O32" s="235">
        <f>SUM(H32:M32)</f>
        <v>264971666.66999999</v>
      </c>
      <c r="P32" s="235">
        <f>SUM(B32:E32)</f>
        <v>260230760.84999999</v>
      </c>
    </row>
    <row r="33" spans="1:76" ht="15.75">
      <c r="A33" s="143" t="s">
        <v>314</v>
      </c>
      <c r="B33" s="231">
        <v>52032201.219999999</v>
      </c>
      <c r="C33" s="231">
        <v>26768065</v>
      </c>
      <c r="D33" s="231">
        <v>75493792</v>
      </c>
      <c r="E33" s="231">
        <v>36287886.5</v>
      </c>
      <c r="F33" s="231">
        <v>67284001</v>
      </c>
      <c r="G33" s="231">
        <v>34202010</v>
      </c>
      <c r="H33" s="258">
        <v>32659354</v>
      </c>
      <c r="I33" s="246">
        <v>71971456</v>
      </c>
      <c r="J33" s="246">
        <v>32939651.850000001</v>
      </c>
      <c r="K33" s="246">
        <v>36339455</v>
      </c>
      <c r="N33" s="235">
        <f>SUM(B33:G33)</f>
        <v>292067955.72000003</v>
      </c>
      <c r="O33" s="235">
        <f>SUM(H33:M33)</f>
        <v>173909916.84999999</v>
      </c>
      <c r="P33" s="235">
        <f>SUM(B33:E33)</f>
        <v>190581944.72</v>
      </c>
    </row>
    <row r="34" spans="1:76" ht="15.75">
      <c r="A34" s="143" t="s">
        <v>315</v>
      </c>
      <c r="B34" s="231">
        <v>8175797.1700000009</v>
      </c>
      <c r="C34" s="231">
        <v>5898993.6899999967</v>
      </c>
      <c r="D34" s="231">
        <v>6120019.9699999988</v>
      </c>
      <c r="E34" s="231">
        <v>5185449.3099999996</v>
      </c>
      <c r="F34" s="231">
        <v>7951972.6399999978</v>
      </c>
      <c r="G34" s="231">
        <v>6585811.0500000026</v>
      </c>
      <c r="H34">
        <v>9345336.9800000004</v>
      </c>
      <c r="I34" s="246">
        <v>9213637.5099999905</v>
      </c>
      <c r="J34" s="246">
        <v>9033469.0100000016</v>
      </c>
      <c r="K34" s="246">
        <v>9282205.1799999997</v>
      </c>
      <c r="N34" s="235">
        <f>SUM(B34:G34)</f>
        <v>39918043.829999998</v>
      </c>
      <c r="O34" s="235">
        <f>SUM(H34:M34)</f>
        <v>36874648.679999992</v>
      </c>
      <c r="P34" s="235">
        <f>SUM(B34:E34)</f>
        <v>25380260.139999997</v>
      </c>
    </row>
    <row r="35" spans="1:76" ht="15.75">
      <c r="A35" s="143" t="s">
        <v>316</v>
      </c>
      <c r="B35" s="231">
        <v>13634371.809999999</v>
      </c>
      <c r="C35" s="231">
        <v>10023428.460000001</v>
      </c>
      <c r="D35" s="231">
        <v>12561280.180000002</v>
      </c>
      <c r="E35" s="231">
        <v>8049475.540000001</v>
      </c>
      <c r="F35" s="231">
        <v>9849097.5800000001</v>
      </c>
      <c r="G35" s="231">
        <v>10835196.829999996</v>
      </c>
      <c r="H35">
        <v>13674414.440000005</v>
      </c>
      <c r="I35" s="246">
        <v>15789381.300000001</v>
      </c>
      <c r="J35" s="246">
        <v>13380948.899999995</v>
      </c>
      <c r="K35" s="246">
        <v>11342356.500000002</v>
      </c>
      <c r="N35" s="235">
        <f>SUM(B35:G35)</f>
        <v>64952850.399999999</v>
      </c>
      <c r="O35" s="235">
        <f>SUM(H35:M35)</f>
        <v>54187101.140000001</v>
      </c>
      <c r="P35" s="235">
        <f>SUM(B35:E35)</f>
        <v>44268555.990000002</v>
      </c>
    </row>
    <row r="36" spans="1:76">
      <c r="B36" s="232"/>
      <c r="C36" s="232"/>
      <c r="D36" s="232"/>
      <c r="E36" s="232"/>
      <c r="F36" s="232"/>
      <c r="G36" s="232"/>
      <c r="H36" s="232"/>
      <c r="I36" s="232"/>
      <c r="J36" s="232"/>
      <c r="K36" s="232"/>
    </row>
    <row r="39" spans="1:76">
      <c r="B39" s="776">
        <v>2019</v>
      </c>
      <c r="C39" s="776"/>
      <c r="D39" s="776"/>
      <c r="E39" s="776"/>
      <c r="F39" s="776"/>
      <c r="G39" s="776"/>
      <c r="H39" s="776"/>
      <c r="I39" s="776"/>
      <c r="J39" s="776"/>
      <c r="K39" s="776"/>
      <c r="L39" s="776"/>
      <c r="M39" s="776"/>
      <c r="N39" s="776">
        <v>2020</v>
      </c>
      <c r="O39" s="776"/>
      <c r="P39" s="776"/>
      <c r="Q39" s="776"/>
      <c r="R39" s="776"/>
      <c r="S39" s="776"/>
      <c r="T39" s="776"/>
      <c r="U39" s="776"/>
      <c r="V39" s="776"/>
      <c r="W39" s="776"/>
      <c r="X39" s="776"/>
      <c r="Y39" s="777"/>
      <c r="Z39" s="778">
        <v>2022</v>
      </c>
      <c r="AA39" s="776"/>
      <c r="AB39" s="776"/>
      <c r="AC39" s="776"/>
      <c r="AD39" s="776"/>
      <c r="AE39" s="776"/>
      <c r="AF39" s="776"/>
      <c r="AG39" s="776"/>
      <c r="AH39" s="776"/>
      <c r="AI39" s="776"/>
      <c r="AJ39" s="776"/>
      <c r="AK39" s="777"/>
      <c r="AL39" s="778">
        <v>2023</v>
      </c>
      <c r="AM39" s="776"/>
      <c r="AN39" s="776"/>
      <c r="AO39" s="776"/>
      <c r="AP39" s="776"/>
      <c r="AQ39" s="776"/>
      <c r="AR39" s="776"/>
      <c r="AX39" s="774">
        <v>2024</v>
      </c>
      <c r="AY39" s="774"/>
      <c r="AZ39" s="774"/>
      <c r="BA39" s="774"/>
      <c r="BB39" s="774"/>
      <c r="BC39" s="774"/>
      <c r="BD39" s="774"/>
      <c r="BE39" s="774"/>
      <c r="BF39" s="774"/>
      <c r="BG39" s="774"/>
      <c r="BH39" s="774"/>
      <c r="BI39" s="774"/>
      <c r="BJ39" s="776">
        <v>2025</v>
      </c>
      <c r="BK39" s="776"/>
      <c r="BL39" s="776"/>
      <c r="BM39" s="776"/>
      <c r="BN39" s="776"/>
      <c r="BO39" s="776"/>
      <c r="BP39" s="776"/>
      <c r="BQ39" s="776"/>
      <c r="BR39" s="776"/>
      <c r="BS39" s="776"/>
      <c r="BT39" s="776"/>
      <c r="BU39" s="776"/>
    </row>
    <row r="40" spans="1:76">
      <c r="B40" s="245" t="s">
        <v>257</v>
      </c>
      <c r="C40" s="245" t="s">
        <v>258</v>
      </c>
      <c r="D40" s="245" t="s">
        <v>259</v>
      </c>
      <c r="E40" s="245" t="s">
        <v>260</v>
      </c>
      <c r="F40" s="245" t="s">
        <v>261</v>
      </c>
      <c r="G40" s="245" t="s">
        <v>262</v>
      </c>
      <c r="H40" s="245" t="s">
        <v>263</v>
      </c>
      <c r="I40" s="245" t="s">
        <v>264</v>
      </c>
      <c r="J40" s="245" t="s">
        <v>265</v>
      </c>
      <c r="K40" s="245" t="s">
        <v>266</v>
      </c>
      <c r="L40" s="245" t="s">
        <v>267</v>
      </c>
      <c r="M40" s="525" t="s">
        <v>268</v>
      </c>
      <c r="N40" s="527" t="s">
        <v>257</v>
      </c>
      <c r="O40" s="527" t="s">
        <v>258</v>
      </c>
      <c r="P40" s="527" t="s">
        <v>259</v>
      </c>
      <c r="Q40" s="527" t="s">
        <v>260</v>
      </c>
      <c r="R40" s="527" t="s">
        <v>261</v>
      </c>
      <c r="S40" s="527" t="s">
        <v>262</v>
      </c>
      <c r="T40" s="527" t="s">
        <v>263</v>
      </c>
      <c r="U40" s="527" t="s">
        <v>264</v>
      </c>
      <c r="V40" s="527" t="s">
        <v>265</v>
      </c>
      <c r="W40" s="527" t="s">
        <v>266</v>
      </c>
      <c r="X40" s="527" t="s">
        <v>267</v>
      </c>
      <c r="Y40" s="528" t="s">
        <v>268</v>
      </c>
      <c r="Z40" s="533">
        <v>44562</v>
      </c>
      <c r="AA40" s="534">
        <v>44593</v>
      </c>
      <c r="AB40" s="534">
        <v>44621</v>
      </c>
      <c r="AC40" s="534">
        <v>44652</v>
      </c>
      <c r="AD40" s="534">
        <v>44682</v>
      </c>
      <c r="AE40" s="534">
        <v>44713</v>
      </c>
      <c r="AF40" s="534">
        <v>44743</v>
      </c>
      <c r="AG40" s="534">
        <v>44774</v>
      </c>
      <c r="AH40" s="534">
        <v>44805</v>
      </c>
      <c r="AI40" s="534">
        <v>44835</v>
      </c>
      <c r="AJ40" s="534">
        <v>44866</v>
      </c>
      <c r="AK40" s="535">
        <v>44896</v>
      </c>
      <c r="AL40" s="474">
        <v>44927</v>
      </c>
      <c r="AM40" s="474">
        <v>44958</v>
      </c>
      <c r="AN40" s="474">
        <v>44986</v>
      </c>
      <c r="AO40" s="474">
        <v>45017</v>
      </c>
      <c r="AP40" s="474">
        <v>45047</v>
      </c>
      <c r="AQ40" s="474">
        <v>45078</v>
      </c>
      <c r="AR40" s="474">
        <v>45108</v>
      </c>
      <c r="AS40" s="474">
        <v>45139</v>
      </c>
      <c r="AT40" s="474">
        <v>45170</v>
      </c>
      <c r="AU40" s="474">
        <v>45200</v>
      </c>
      <c r="AV40" s="474">
        <v>45231</v>
      </c>
      <c r="AW40" s="680">
        <v>45261</v>
      </c>
      <c r="AX40" s="653">
        <v>45292</v>
      </c>
      <c r="AY40" s="653">
        <v>45323</v>
      </c>
      <c r="AZ40" s="653">
        <v>45352</v>
      </c>
      <c r="BA40" s="653">
        <v>45383</v>
      </c>
      <c r="BB40" s="653">
        <v>45413</v>
      </c>
      <c r="BC40" s="653">
        <v>45444</v>
      </c>
      <c r="BD40" s="653">
        <v>45474</v>
      </c>
      <c r="BE40" s="653">
        <v>45505</v>
      </c>
      <c r="BF40" s="653">
        <v>45536</v>
      </c>
      <c r="BG40" s="653">
        <v>45566</v>
      </c>
      <c r="BH40" s="653">
        <v>45597</v>
      </c>
      <c r="BI40" s="653">
        <v>45627</v>
      </c>
      <c r="BJ40" s="653">
        <v>45658</v>
      </c>
      <c r="BK40" s="653">
        <v>45689</v>
      </c>
      <c r="BL40" s="653">
        <v>45717</v>
      </c>
      <c r="BM40" s="653">
        <v>45748</v>
      </c>
      <c r="BN40" s="653">
        <v>45778</v>
      </c>
      <c r="BO40" s="653">
        <v>45809</v>
      </c>
      <c r="BP40" s="653">
        <v>45839</v>
      </c>
      <c r="BQ40" s="653">
        <v>45870</v>
      </c>
      <c r="BR40" s="653">
        <v>45901</v>
      </c>
      <c r="BS40" s="653">
        <v>45931</v>
      </c>
      <c r="BT40" s="653">
        <v>45962</v>
      </c>
      <c r="BU40" s="653">
        <v>45992</v>
      </c>
      <c r="BV40">
        <v>2025</v>
      </c>
      <c r="BW40" s="653" t="s">
        <v>799</v>
      </c>
    </row>
    <row r="41" spans="1:76" ht="15.75">
      <c r="A41" s="142" t="s">
        <v>313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526"/>
      <c r="N41" s="529"/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30"/>
      <c r="Z41" s="536"/>
      <c r="AA41" s="537"/>
      <c r="AB41" s="537"/>
      <c r="AC41" s="537"/>
      <c r="AD41" s="537"/>
      <c r="AE41" s="537"/>
      <c r="AF41" s="537"/>
      <c r="AG41" s="537"/>
      <c r="AH41" s="537"/>
      <c r="AI41" s="537"/>
      <c r="AJ41" s="537"/>
      <c r="AK41" s="538"/>
      <c r="AL41" s="475"/>
      <c r="AM41" s="475"/>
      <c r="AN41" s="475"/>
      <c r="AO41" s="475"/>
      <c r="AP41" s="475"/>
      <c r="AQ41" s="475"/>
      <c r="AR41" s="475"/>
      <c r="AS41" s="475"/>
      <c r="AT41" s="475"/>
      <c r="AU41" s="475"/>
      <c r="AV41" s="475"/>
      <c r="AW41" s="681"/>
    </row>
    <row r="42" spans="1:76" ht="15.75">
      <c r="A42" s="143" t="s">
        <v>314</v>
      </c>
      <c r="B42" s="190">
        <v>32637553.039999999</v>
      </c>
      <c r="C42" s="190">
        <v>25018132.039999999</v>
      </c>
      <c r="D42" s="190">
        <v>19590325</v>
      </c>
      <c r="E42" s="190">
        <v>6878750</v>
      </c>
      <c r="F42" s="190">
        <v>8621486.9000000004</v>
      </c>
      <c r="G42" s="190">
        <v>44909250</v>
      </c>
      <c r="H42" s="190">
        <v>62207739</v>
      </c>
      <c r="I42" s="190">
        <v>76608277</v>
      </c>
      <c r="J42" s="141">
        <v>81303202</v>
      </c>
      <c r="K42" s="141">
        <v>44449493</v>
      </c>
      <c r="L42" s="141">
        <v>34476256</v>
      </c>
      <c r="M42" s="526">
        <v>96909555</v>
      </c>
      <c r="N42" s="531">
        <v>22378870</v>
      </c>
      <c r="O42" s="531">
        <v>25387520</v>
      </c>
      <c r="P42" s="531">
        <v>22929342</v>
      </c>
      <c r="Q42" s="531">
        <v>26979500</v>
      </c>
      <c r="R42" s="531">
        <v>32140050</v>
      </c>
      <c r="S42" s="531">
        <v>34482552</v>
      </c>
      <c r="T42" s="531">
        <v>36923581</v>
      </c>
      <c r="U42" s="531">
        <v>32895932.199999999</v>
      </c>
      <c r="V42" s="531">
        <v>45527839</v>
      </c>
      <c r="W42" s="531">
        <v>36420200</v>
      </c>
      <c r="X42" s="531">
        <v>83791440</v>
      </c>
      <c r="Y42" s="532">
        <v>36681995</v>
      </c>
      <c r="Z42" s="539">
        <v>30776400</v>
      </c>
      <c r="AA42" s="540">
        <v>28658705</v>
      </c>
      <c r="AB42" s="540">
        <v>32757960</v>
      </c>
      <c r="AC42" s="540">
        <v>31350350</v>
      </c>
      <c r="AD42" s="540">
        <v>35148368</v>
      </c>
      <c r="AE42" s="540">
        <v>47503400</v>
      </c>
      <c r="AF42" s="540">
        <v>43151161</v>
      </c>
      <c r="AG42" s="540">
        <v>54590060</v>
      </c>
      <c r="AH42" s="540">
        <v>55821528.5</v>
      </c>
      <c r="AI42" s="540">
        <v>44869900</v>
      </c>
      <c r="AJ42" s="540">
        <v>75305230</v>
      </c>
      <c r="AK42" s="541">
        <v>54559111</v>
      </c>
      <c r="AL42" s="475">
        <v>52032201.219999999</v>
      </c>
      <c r="AM42" s="475">
        <v>26768065</v>
      </c>
      <c r="AN42" s="475">
        <v>75493792</v>
      </c>
      <c r="AO42" s="475">
        <v>36287886.5</v>
      </c>
      <c r="AP42" s="475">
        <v>67284001</v>
      </c>
      <c r="AQ42" s="475">
        <v>34202010</v>
      </c>
      <c r="AR42" s="475">
        <v>32659354</v>
      </c>
      <c r="AS42" s="475">
        <v>32659354</v>
      </c>
      <c r="AT42" s="475">
        <v>71971456</v>
      </c>
      <c r="AU42" s="475">
        <v>32939651.850000001</v>
      </c>
      <c r="AV42" s="475">
        <v>36339455</v>
      </c>
      <c r="AW42" s="681">
        <v>64645990</v>
      </c>
      <c r="AX42" s="581">
        <v>32066095</v>
      </c>
      <c r="AY42" s="581">
        <v>20782070</v>
      </c>
      <c r="AZ42" s="581">
        <v>54253470</v>
      </c>
      <c r="BA42" s="581">
        <v>27084810</v>
      </c>
      <c r="BB42" s="581">
        <v>32659700</v>
      </c>
      <c r="BC42" s="581">
        <v>67157310</v>
      </c>
      <c r="BD42" s="581">
        <v>47430180</v>
      </c>
      <c r="BE42" s="581">
        <v>125824770</v>
      </c>
      <c r="BF42" s="581">
        <v>86278750</v>
      </c>
      <c r="BG42" s="581">
        <v>80988675</v>
      </c>
      <c r="BH42" s="581">
        <v>103269370</v>
      </c>
      <c r="BI42" s="581">
        <v>39181070</v>
      </c>
      <c r="BJ42" s="581">
        <v>85602938</v>
      </c>
      <c r="BK42" s="581">
        <v>28838370</v>
      </c>
      <c r="BL42" s="581">
        <v>48467174</v>
      </c>
      <c r="BM42" s="581">
        <v>72001122</v>
      </c>
      <c r="BN42" s="581">
        <v>67768250</v>
      </c>
      <c r="BO42" s="581">
        <v>66714540</v>
      </c>
      <c r="BP42" s="581">
        <v>62949402</v>
      </c>
      <c r="BQ42" s="581">
        <v>78195358</v>
      </c>
      <c r="BR42" s="581">
        <v>78388948</v>
      </c>
      <c r="BS42" s="581">
        <v>34517130</v>
      </c>
      <c r="BT42" s="581">
        <v>70694002</v>
      </c>
      <c r="BU42" s="581">
        <v>84517921.299999997</v>
      </c>
      <c r="BV42" s="144">
        <f>SUM(BJ42:BU42)</f>
        <v>778655155.29999995</v>
      </c>
      <c r="BW42" s="141">
        <f>SUM(BJ42:BO42)</f>
        <v>369392394</v>
      </c>
      <c r="BX42" s="141">
        <f>SUM(BP42:BU42)</f>
        <v>409262761.30000001</v>
      </c>
    </row>
    <row r="43" spans="1:76" ht="15.75">
      <c r="A43" s="143" t="s">
        <v>315</v>
      </c>
      <c r="B43" s="190">
        <v>5911307.5999999996</v>
      </c>
      <c r="C43" s="190">
        <v>7001008.9199999999</v>
      </c>
      <c r="D43" s="190">
        <v>5497637.5500000007</v>
      </c>
      <c r="E43" s="190">
        <v>1795773.6</v>
      </c>
      <c r="F43" s="190">
        <v>2948485.45</v>
      </c>
      <c r="G43" s="190">
        <v>9225687.9400000013</v>
      </c>
      <c r="H43" s="190">
        <v>9222261.4600000009</v>
      </c>
      <c r="I43" s="190">
        <v>10968932.989999998</v>
      </c>
      <c r="J43" s="141">
        <v>8823317.5099999998</v>
      </c>
      <c r="K43" s="141">
        <v>6299131.5299999993</v>
      </c>
      <c r="L43" s="141">
        <v>7411781.2400000012</v>
      </c>
      <c r="M43" s="526">
        <v>7106878.3300000001</v>
      </c>
      <c r="N43" s="531">
        <v>4898360.45</v>
      </c>
      <c r="O43" s="531">
        <v>4829433.7799999993</v>
      </c>
      <c r="P43" s="531">
        <v>5142778.32</v>
      </c>
      <c r="Q43" s="531">
        <v>6026582.4999999991</v>
      </c>
      <c r="R43" s="531">
        <v>7253944.8999999994</v>
      </c>
      <c r="S43" s="531">
        <v>7928241.4100000001</v>
      </c>
      <c r="T43" s="531">
        <v>8698131.6899999976</v>
      </c>
      <c r="U43" s="531">
        <v>6192360.2400000002</v>
      </c>
      <c r="V43" s="531">
        <v>6322646.5499999998</v>
      </c>
      <c r="W43" s="531">
        <v>6846707.6000000006</v>
      </c>
      <c r="X43" s="531">
        <v>4596630.91</v>
      </c>
      <c r="Y43" s="532">
        <v>4920983.3899999997</v>
      </c>
      <c r="Z43" s="539">
        <v>4797903.6300000008</v>
      </c>
      <c r="AA43" s="540">
        <v>4896757.5399999991</v>
      </c>
      <c r="AB43" s="540">
        <v>6408828.4600000009</v>
      </c>
      <c r="AC43" s="540">
        <v>6343601.0100000007</v>
      </c>
      <c r="AD43" s="540">
        <v>5989904.8199999994</v>
      </c>
      <c r="AE43" s="540">
        <v>7328210.4100000001</v>
      </c>
      <c r="AF43" s="540">
        <v>6197195.46</v>
      </c>
      <c r="AG43" s="540">
        <v>7371970.1699999999</v>
      </c>
      <c r="AH43" s="540">
        <v>7379110.9299999997</v>
      </c>
      <c r="AI43" s="540">
        <v>5712916.5200000005</v>
      </c>
      <c r="AJ43" s="540">
        <v>6552255.6100000013</v>
      </c>
      <c r="AK43" s="541">
        <v>6309250.8799999999</v>
      </c>
      <c r="AL43" s="475">
        <v>8175797.1700000009</v>
      </c>
      <c r="AM43" s="475">
        <v>5898993.6899999967</v>
      </c>
      <c r="AN43" s="475">
        <v>6120019.9699999988</v>
      </c>
      <c r="AO43" s="475">
        <v>5185449.3099999996</v>
      </c>
      <c r="AP43" s="475">
        <v>7951972.6399999978</v>
      </c>
      <c r="AQ43" s="475">
        <v>6585811.0500000026</v>
      </c>
      <c r="AR43" s="475">
        <v>9345336.9800000004</v>
      </c>
      <c r="AS43" s="475">
        <v>9213637.5099999979</v>
      </c>
      <c r="AT43" s="475">
        <v>9033469.0100000016</v>
      </c>
      <c r="AU43" s="475">
        <v>9282205.1799999997</v>
      </c>
      <c r="AV43" s="475">
        <v>8073888.8400000008</v>
      </c>
      <c r="AW43" s="681">
        <v>7036037.2699999996</v>
      </c>
      <c r="AX43" s="246">
        <v>7109651.4700000007</v>
      </c>
      <c r="AY43">
        <v>5923172.3499999996</v>
      </c>
      <c r="AZ43">
        <v>7180279.3699999992</v>
      </c>
      <c r="BA43">
        <v>6914053.8899999987</v>
      </c>
      <c r="BB43">
        <v>6335404.5499999998</v>
      </c>
      <c r="BC43">
        <v>7292942.4500000002</v>
      </c>
      <c r="BD43">
        <v>8293531.9500000002</v>
      </c>
      <c r="BE43">
        <v>9133306.9699999988</v>
      </c>
      <c r="BF43">
        <v>7970276.1200000001</v>
      </c>
      <c r="BG43">
        <v>8044299.980000006</v>
      </c>
      <c r="BH43">
        <v>8522942.7600000016</v>
      </c>
      <c r="BI43" s="246">
        <v>6493633.46</v>
      </c>
      <c r="BJ43" s="581">
        <v>6406630.7400000002</v>
      </c>
      <c r="BK43" s="581">
        <v>7439377.6000000015</v>
      </c>
      <c r="BL43" s="581">
        <v>6180509.2199999997</v>
      </c>
      <c r="BM43" s="581">
        <v>7136204.580000001</v>
      </c>
      <c r="BN43" s="581">
        <v>6728602.6900000004</v>
      </c>
      <c r="BO43" s="581">
        <v>6894335.1799999978</v>
      </c>
      <c r="BP43" s="581">
        <v>9626527.1799999997</v>
      </c>
      <c r="BQ43" s="581">
        <v>10576994.99</v>
      </c>
      <c r="BR43" s="581">
        <v>12527042.83</v>
      </c>
      <c r="BS43" s="581">
        <v>13376488.740000002</v>
      </c>
      <c r="BT43" s="581">
        <v>11742097.470000001</v>
      </c>
      <c r="BU43" s="581">
        <v>10897498.25</v>
      </c>
      <c r="BV43" s="144">
        <f t="shared" ref="BV43:BV44" si="8">SUM(BJ43:BU43)</f>
        <v>109532309.47</v>
      </c>
      <c r="BW43" s="141">
        <f t="shared" ref="BW43:BW44" si="9">SUM(BJ43:BO43)</f>
        <v>40785660.010000005</v>
      </c>
      <c r="BX43" s="141">
        <f t="shared" ref="BX43:BX44" si="10">SUM(BP43:BU43)</f>
        <v>68746649.460000008</v>
      </c>
    </row>
    <row r="44" spans="1:76" ht="15.75">
      <c r="A44" s="143" t="s">
        <v>316</v>
      </c>
      <c r="B44" s="190">
        <v>11138749.880000001</v>
      </c>
      <c r="C44" s="190">
        <v>11923067.73</v>
      </c>
      <c r="D44" s="190">
        <v>7989571.3200000012</v>
      </c>
      <c r="E44" s="190">
        <v>4218457.7699999996</v>
      </c>
      <c r="F44" s="190">
        <v>5187670.1499999994</v>
      </c>
      <c r="G44" s="190">
        <v>8743919.3599999994</v>
      </c>
      <c r="H44" s="190">
        <v>8676513.3800000027</v>
      </c>
      <c r="I44" s="190">
        <v>15037276.279999999</v>
      </c>
      <c r="J44" s="141">
        <v>7472332.3399999989</v>
      </c>
      <c r="K44" s="141">
        <v>10451342.050000001</v>
      </c>
      <c r="L44" s="141">
        <v>9887150.1799999997</v>
      </c>
      <c r="M44" s="526">
        <v>10447960.770000005</v>
      </c>
      <c r="N44" s="531">
        <v>5428155.129999999</v>
      </c>
      <c r="O44" s="531">
        <v>7930509.5</v>
      </c>
      <c r="P44" s="531">
        <v>8298262.2999999998</v>
      </c>
      <c r="Q44" s="531">
        <v>8514477.3200000022</v>
      </c>
      <c r="R44" s="531">
        <v>12241029</v>
      </c>
      <c r="S44" s="531">
        <v>12151790.199999997</v>
      </c>
      <c r="T44" s="531">
        <v>14463661.289999999</v>
      </c>
      <c r="U44" s="531">
        <v>13362922.34</v>
      </c>
      <c r="V44" s="531">
        <v>15625166.540000001</v>
      </c>
      <c r="W44" s="531">
        <v>13860128.410000002</v>
      </c>
      <c r="X44" s="531">
        <v>12717777.460000001</v>
      </c>
      <c r="Y44" s="532">
        <v>11641250.390000001</v>
      </c>
      <c r="Z44" s="539">
        <v>11126556.49</v>
      </c>
      <c r="AA44" s="540">
        <v>10646005.25</v>
      </c>
      <c r="AB44" s="540">
        <v>10734727.01</v>
      </c>
      <c r="AC44" s="540">
        <v>10055714.59</v>
      </c>
      <c r="AD44" s="540">
        <v>11057865.6</v>
      </c>
      <c r="AE44" s="540">
        <v>11097657.849999996</v>
      </c>
      <c r="AF44" s="540">
        <v>14234504.709999999</v>
      </c>
      <c r="AG44" s="540">
        <v>18923958.190000001</v>
      </c>
      <c r="AH44" s="540">
        <v>10717039.73</v>
      </c>
      <c r="AI44" s="540">
        <v>11656683.240000004</v>
      </c>
      <c r="AJ44" s="540">
        <v>10494723.610000005</v>
      </c>
      <c r="AK44" s="541">
        <v>11898065.249999998</v>
      </c>
      <c r="AL44" s="475">
        <v>13634371.809999999</v>
      </c>
      <c r="AM44" s="475">
        <v>10023428.460000001</v>
      </c>
      <c r="AN44" s="475">
        <v>12561280.180000002</v>
      </c>
      <c r="AO44" s="475">
        <v>8049475.540000001</v>
      </c>
      <c r="AP44" s="475">
        <v>9849097.5800000001</v>
      </c>
      <c r="AQ44" s="475">
        <v>10835196.829999996</v>
      </c>
      <c r="AR44" s="475">
        <v>13674414.440000005</v>
      </c>
      <c r="AS44" s="475">
        <v>15789381.299999999</v>
      </c>
      <c r="AT44" s="475">
        <v>13380948.899999995</v>
      </c>
      <c r="AU44" s="475">
        <v>11342356.500000002</v>
      </c>
      <c r="AV44" s="475">
        <v>12372862.149999997</v>
      </c>
      <c r="AW44" s="681">
        <v>10948671.859999999</v>
      </c>
      <c r="AX44" s="581">
        <v>13058697.290000001</v>
      </c>
      <c r="AY44" s="581">
        <v>15049972.569999998</v>
      </c>
      <c r="AZ44" s="581">
        <v>14446568.490000006</v>
      </c>
      <c r="BA44" s="581">
        <v>13416639.489999998</v>
      </c>
      <c r="BB44" s="581">
        <v>14549966.140000002</v>
      </c>
      <c r="BC44" s="581">
        <v>17810667.890000001</v>
      </c>
      <c r="BD44" s="581">
        <v>17454677.330000002</v>
      </c>
      <c r="BE44" s="581">
        <v>15786892.010000004</v>
      </c>
      <c r="BF44" s="581">
        <v>14004061.49</v>
      </c>
      <c r="BG44" s="581">
        <v>16250149.989999993</v>
      </c>
      <c r="BH44" s="581">
        <v>16331132.070000004</v>
      </c>
      <c r="BI44" s="581">
        <v>12306269.08</v>
      </c>
      <c r="BJ44" s="581">
        <v>17760489.670000002</v>
      </c>
      <c r="BK44" s="581">
        <v>18282192.520000003</v>
      </c>
      <c r="BL44" s="581">
        <v>15293253.92</v>
      </c>
      <c r="BM44" s="581">
        <v>16495667.270000005</v>
      </c>
      <c r="BN44" s="581">
        <v>14217405.170000002</v>
      </c>
      <c r="BO44" s="581">
        <v>13667411.74</v>
      </c>
      <c r="BP44" s="581">
        <v>14388908.079999993</v>
      </c>
      <c r="BQ44" s="581">
        <v>13407135.489999998</v>
      </c>
      <c r="BR44" s="581">
        <v>15716566.080000002</v>
      </c>
      <c r="BS44" s="581">
        <v>14407165.949999999</v>
      </c>
      <c r="BT44" s="581">
        <v>16990786.390000004</v>
      </c>
      <c r="BU44" s="581">
        <v>17849618.299999997</v>
      </c>
      <c r="BV44" s="144">
        <f t="shared" si="8"/>
        <v>188476600.57999998</v>
      </c>
      <c r="BW44" s="141">
        <f t="shared" si="9"/>
        <v>95716420.290000007</v>
      </c>
      <c r="BX44" s="141">
        <f t="shared" si="10"/>
        <v>92760180.289999992</v>
      </c>
    </row>
    <row r="46" spans="1:76">
      <c r="N46" s="17">
        <f t="shared" ref="N46:W48" si="11">N42/B42-1</f>
        <v>-0.31432145134860878</v>
      </c>
      <c r="O46" s="17">
        <f t="shared" si="11"/>
        <v>1.4764809755157149E-2</v>
      </c>
      <c r="P46" s="17">
        <f t="shared" si="11"/>
        <v>0.17044214427274684</v>
      </c>
      <c r="Q46" s="17">
        <f t="shared" si="11"/>
        <v>2.922151553697983</v>
      </c>
      <c r="R46" s="17">
        <f t="shared" si="11"/>
        <v>2.7279010422204548</v>
      </c>
      <c r="S46" s="17">
        <f t="shared" si="11"/>
        <v>-0.23217261477312578</v>
      </c>
      <c r="T46" s="17">
        <f t="shared" si="11"/>
        <v>-0.40644714639122315</v>
      </c>
      <c r="U46" s="17">
        <f t="shared" si="11"/>
        <v>-0.57059558721050463</v>
      </c>
      <c r="V46" s="17">
        <f t="shared" si="11"/>
        <v>-0.44002403496974207</v>
      </c>
      <c r="W46" s="17">
        <f t="shared" si="11"/>
        <v>-0.18063857331286093</v>
      </c>
      <c r="X46" s="17">
        <f t="shared" ref="X46:AG48" si="12">X42/L42-1</f>
        <v>1.4304100770106825</v>
      </c>
      <c r="Y46" s="17">
        <f t="shared" si="12"/>
        <v>-0.6214821644780022</v>
      </c>
      <c r="Z46" s="17">
        <f t="shared" si="12"/>
        <v>0.37524370086604009</v>
      </c>
      <c r="AA46" s="17">
        <f t="shared" si="12"/>
        <v>0.12885012005898955</v>
      </c>
      <c r="AB46" s="17">
        <f t="shared" si="12"/>
        <v>0.42864806151000767</v>
      </c>
      <c r="AC46" s="17">
        <f t="shared" si="12"/>
        <v>0.16200633814562915</v>
      </c>
      <c r="AD46" s="17">
        <f t="shared" si="12"/>
        <v>9.3600289980880547E-2</v>
      </c>
      <c r="AE46" s="17">
        <f t="shared" si="12"/>
        <v>0.37760685462027288</v>
      </c>
      <c r="AF46" s="17">
        <f t="shared" si="12"/>
        <v>0.16866132242157117</v>
      </c>
      <c r="AG46" s="17">
        <f t="shared" si="12"/>
        <v>0.65947752044552188</v>
      </c>
      <c r="AH46" s="17">
        <f t="shared" ref="AH46:AO48" si="13">AH42/V42-1</f>
        <v>0.2260965977322138</v>
      </c>
      <c r="AI46" s="17">
        <f t="shared" si="13"/>
        <v>0.23200586487718344</v>
      </c>
      <c r="AJ46" s="17">
        <f t="shared" si="13"/>
        <v>-0.10127776775288744</v>
      </c>
      <c r="AK46" s="17">
        <f t="shared" si="13"/>
        <v>0.48735397297775118</v>
      </c>
      <c r="AL46" s="17">
        <f t="shared" si="13"/>
        <v>0.69065261759010155</v>
      </c>
      <c r="AM46" s="17">
        <f t="shared" si="13"/>
        <v>-6.5970880400911369E-2</v>
      </c>
      <c r="AN46" s="17">
        <f t="shared" si="13"/>
        <v>1.3045938147552536</v>
      </c>
      <c r="AO46" s="17">
        <f t="shared" si="13"/>
        <v>0.15749541871143391</v>
      </c>
      <c r="AP46" s="476">
        <f>AVERAGE(N46:AO46)</f>
        <v>0.3508939964647147</v>
      </c>
      <c r="AQ46" s="476">
        <f>AVERAGE(Q46,AC46,AO46)</f>
        <v>1.0805511035183486</v>
      </c>
      <c r="AR46" s="476">
        <f t="shared" ref="AR46:AW48" si="14">AVERAGE(R46,AD46,AP46)</f>
        <v>1.05746510955535</v>
      </c>
      <c r="AS46" s="476">
        <f t="shared" si="14"/>
        <v>0.40866178112183188</v>
      </c>
      <c r="AT46" s="476">
        <f t="shared" si="14"/>
        <v>0.27322642852856599</v>
      </c>
      <c r="AU46" s="476">
        <f t="shared" si="14"/>
        <v>0.16584790478561637</v>
      </c>
      <c r="AV46" s="476">
        <f>AVERAGE(V46,AH46,AT46)</f>
        <v>1.9766330430345907E-2</v>
      </c>
      <c r="AW46" s="476">
        <f t="shared" si="14"/>
        <v>7.2405065449979628E-2</v>
      </c>
      <c r="AX46" s="476">
        <f t="shared" ref="AX46:BI48" si="15">AVERAGE(X46,AJ46,AV46)</f>
        <v>0.44963287989604694</v>
      </c>
      <c r="AY46" s="476">
        <f t="shared" si="15"/>
        <v>-2.0574375350090462E-2</v>
      </c>
      <c r="AZ46" s="476">
        <f t="shared" si="15"/>
        <v>0.50517639945072956</v>
      </c>
      <c r="BA46" s="476">
        <f t="shared" si="15"/>
        <v>1.4101621435995906E-2</v>
      </c>
      <c r="BB46" s="476">
        <f t="shared" si="15"/>
        <v>0.74613942523866361</v>
      </c>
      <c r="BC46" s="476">
        <f t="shared" si="15"/>
        <v>0.11120112609768633</v>
      </c>
      <c r="BD46" s="476">
        <f>AVERAGE(AD46,AP46,BB46)</f>
        <v>0.39687790389475297</v>
      </c>
      <c r="BE46" s="476">
        <f t="shared" si="15"/>
        <v>0.52311969474543596</v>
      </c>
      <c r="BF46" s="476">
        <f t="shared" si="15"/>
        <v>0.54100144529055805</v>
      </c>
      <c r="BG46" s="476">
        <f>AVERAGE(AG46,AS46,BE46)</f>
        <v>0.53041966543759655</v>
      </c>
      <c r="BH46" s="476">
        <f t="shared" si="15"/>
        <v>0.34677482385044595</v>
      </c>
      <c r="BI46" s="476">
        <f t="shared" si="15"/>
        <v>0.30942447836679882</v>
      </c>
    </row>
    <row r="47" spans="1:76">
      <c r="N47" s="17">
        <f t="shared" si="11"/>
        <v>-0.17135754363383149</v>
      </c>
      <c r="O47" s="17">
        <f t="shared" si="11"/>
        <v>-0.31018031326833395</v>
      </c>
      <c r="P47" s="17">
        <f t="shared" si="11"/>
        <v>-6.4547585535172369E-2</v>
      </c>
      <c r="Q47" s="17">
        <f t="shared" si="11"/>
        <v>2.3559812328235581</v>
      </c>
      <c r="R47" s="17">
        <f t="shared" si="11"/>
        <v>1.4602274703441385</v>
      </c>
      <c r="S47" s="17">
        <f t="shared" si="11"/>
        <v>-0.14063412272754605</v>
      </c>
      <c r="T47" s="17">
        <f t="shared" si="11"/>
        <v>-5.6833106746466466E-2</v>
      </c>
      <c r="U47" s="17">
        <f t="shared" si="11"/>
        <v>-0.43546375516694613</v>
      </c>
      <c r="V47" s="17">
        <f t="shared" si="11"/>
        <v>-0.28341618185742923</v>
      </c>
      <c r="W47" s="17">
        <f t="shared" si="11"/>
        <v>8.6928819852726713E-2</v>
      </c>
      <c r="X47" s="17">
        <f t="shared" si="12"/>
        <v>-0.3798210226183093</v>
      </c>
      <c r="Y47" s="17">
        <f t="shared" si="12"/>
        <v>-0.30757455502970465</v>
      </c>
      <c r="Z47" s="17">
        <f t="shared" si="12"/>
        <v>-2.0508253940356602E-2</v>
      </c>
      <c r="AA47" s="17">
        <f t="shared" si="12"/>
        <v>1.3940300885541879E-2</v>
      </c>
      <c r="AB47" s="17">
        <f t="shared" si="12"/>
        <v>0.24618018923281149</v>
      </c>
      <c r="AC47" s="17">
        <f t="shared" si="12"/>
        <v>5.2603363514894586E-2</v>
      </c>
      <c r="AD47" s="17">
        <f t="shared" si="12"/>
        <v>-0.17425553921701287</v>
      </c>
      <c r="AE47" s="17">
        <f t="shared" si="12"/>
        <v>-7.5682735801053225E-2</v>
      </c>
      <c r="AF47" s="17">
        <f t="shared" si="12"/>
        <v>-0.28752568012683177</v>
      </c>
      <c r="AG47" s="17">
        <f t="shared" si="12"/>
        <v>0.19049439701201876</v>
      </c>
      <c r="AH47" s="17">
        <f t="shared" si="13"/>
        <v>0.16709211429824422</v>
      </c>
      <c r="AI47" s="17">
        <f t="shared" si="13"/>
        <v>-0.16559653869255353</v>
      </c>
      <c r="AJ47" s="17">
        <f t="shared" si="13"/>
        <v>0.42544740665288727</v>
      </c>
      <c r="AK47" s="17">
        <f t="shared" si="13"/>
        <v>0.2821118016413382</v>
      </c>
      <c r="AL47" s="17">
        <f t="shared" si="13"/>
        <v>0.70403530385206992</v>
      </c>
      <c r="AM47" s="17">
        <f t="shared" si="13"/>
        <v>0.20467342763309415</v>
      </c>
      <c r="AN47" s="17">
        <f t="shared" si="13"/>
        <v>-4.5064162943753039E-2</v>
      </c>
      <c r="AO47" s="17">
        <f t="shared" si="13"/>
        <v>-0.18257007308219741</v>
      </c>
      <c r="AP47" s="476">
        <f>AVERAGE(N47:AO47)</f>
        <v>0.11031016633413664</v>
      </c>
      <c r="AQ47" s="476">
        <f>AVERAGE(Q47,AC47,AO47)</f>
        <v>0.74200484108541842</v>
      </c>
      <c r="AR47" s="476">
        <f t="shared" si="14"/>
        <v>0.46542736582042071</v>
      </c>
      <c r="AS47" s="476">
        <f t="shared" si="14"/>
        <v>0.17522932751893971</v>
      </c>
      <c r="AT47" s="476">
        <f t="shared" si="14"/>
        <v>4.035619298237416E-2</v>
      </c>
      <c r="AU47" s="476">
        <f t="shared" si="14"/>
        <v>-2.3246676878662553E-2</v>
      </c>
      <c r="AV47" s="476">
        <f t="shared" si="14"/>
        <v>-2.5322624858936948E-2</v>
      </c>
      <c r="AW47" s="476">
        <f t="shared" si="14"/>
        <v>-3.3971465239496457E-2</v>
      </c>
      <c r="AX47" s="476">
        <f t="shared" si="15"/>
        <v>6.7679197252136745E-3</v>
      </c>
      <c r="AY47" s="476">
        <f t="shared" si="15"/>
        <v>-1.9811406209287636E-2</v>
      </c>
      <c r="AZ47" s="476">
        <f t="shared" si="15"/>
        <v>0.23009832321230897</v>
      </c>
      <c r="BA47" s="476">
        <f t="shared" si="15"/>
        <v>6.626744076978279E-2</v>
      </c>
      <c r="BB47" s="476">
        <f t="shared" si="15"/>
        <v>0.14373811650045579</v>
      </c>
      <c r="BC47" s="476">
        <f t="shared" si="15"/>
        <v>-2.1233089599173346E-2</v>
      </c>
      <c r="BD47" s="476">
        <f t="shared" si="15"/>
        <v>2.6597581205859852E-2</v>
      </c>
      <c r="BE47" s="476">
        <f t="shared" si="15"/>
        <v>0.21502967189506395</v>
      </c>
      <c r="BF47" s="476">
        <f t="shared" si="15"/>
        <v>6.8166422299816273E-2</v>
      </c>
      <c r="BG47" s="476">
        <f t="shared" si="15"/>
        <v>0.19358446547534081</v>
      </c>
      <c r="BH47" s="476">
        <f t="shared" si="15"/>
        <v>9.1871576526811549E-2</v>
      </c>
      <c r="BI47" s="476">
        <f t="shared" si="15"/>
        <v>1.5804166347082409E-3</v>
      </c>
    </row>
    <row r="48" spans="1:76">
      <c r="N48" s="17">
        <f t="shared" si="11"/>
        <v>-0.51267824590024835</v>
      </c>
      <c r="O48" s="17">
        <f t="shared" si="11"/>
        <v>-0.33485998070397616</v>
      </c>
      <c r="P48" s="17">
        <f t="shared" si="11"/>
        <v>3.8636738773113466E-2</v>
      </c>
      <c r="Q48" s="17">
        <f t="shared" si="11"/>
        <v>1.0183862881244403</v>
      </c>
      <c r="R48" s="17">
        <f t="shared" si="11"/>
        <v>1.3596390375745075</v>
      </c>
      <c r="S48" s="17">
        <f t="shared" si="11"/>
        <v>0.38974179652086804</v>
      </c>
      <c r="T48" s="17">
        <f t="shared" si="11"/>
        <v>0.66699002889107462</v>
      </c>
      <c r="U48" s="17">
        <f t="shared" si="11"/>
        <v>-0.11134688947804583</v>
      </c>
      <c r="V48" s="17">
        <f t="shared" si="11"/>
        <v>1.0910695388048013</v>
      </c>
      <c r="W48" s="17">
        <f t="shared" si="11"/>
        <v>0.32615776459062507</v>
      </c>
      <c r="X48" s="17">
        <f t="shared" si="12"/>
        <v>0.28629354550777153</v>
      </c>
      <c r="Y48" s="17">
        <f t="shared" si="12"/>
        <v>0.11421268190692047</v>
      </c>
      <c r="Z48" s="17">
        <f t="shared" si="12"/>
        <v>1.049786018182572</v>
      </c>
      <c r="AA48" s="17">
        <f t="shared" si="12"/>
        <v>0.34241125995750976</v>
      </c>
      <c r="AB48" s="17">
        <f t="shared" si="12"/>
        <v>0.29361143597497508</v>
      </c>
      <c r="AC48" s="17">
        <f t="shared" si="12"/>
        <v>0.18101372663002135</v>
      </c>
      <c r="AD48" s="17">
        <f t="shared" si="12"/>
        <v>-9.6655550771099441E-2</v>
      </c>
      <c r="AE48" s="17">
        <f t="shared" si="12"/>
        <v>-8.6747082746705284E-2</v>
      </c>
      <c r="AF48" s="17">
        <f t="shared" si="12"/>
        <v>-1.5843608019114552E-2</v>
      </c>
      <c r="AG48" s="17">
        <f t="shared" si="12"/>
        <v>0.41615416961257301</v>
      </c>
      <c r="AH48" s="17">
        <f t="shared" si="13"/>
        <v>-0.31411676780758335</v>
      </c>
      <c r="AI48" s="17">
        <f t="shared" si="13"/>
        <v>-0.15897725510322291</v>
      </c>
      <c r="AJ48" s="17">
        <f t="shared" si="13"/>
        <v>-0.1747989266986274</v>
      </c>
      <c r="AK48" s="17">
        <f t="shared" si="13"/>
        <v>2.2060762495118569E-2</v>
      </c>
      <c r="AL48" s="17">
        <f t="shared" si="13"/>
        <v>0.22539006765066083</v>
      </c>
      <c r="AM48" s="17">
        <f t="shared" si="13"/>
        <v>-5.8479849988802068E-2</v>
      </c>
      <c r="AN48" s="17">
        <f t="shared" si="13"/>
        <v>0.17015366746620253</v>
      </c>
      <c r="AO48" s="17">
        <f t="shared" si="13"/>
        <v>-0.19951233023211723</v>
      </c>
      <c r="AP48" s="476">
        <f>AVERAGE(N48:AO48)</f>
        <v>0.21170328718622183</v>
      </c>
      <c r="AQ48" s="476">
        <f>AVERAGE(Q48,AC48,AO48)</f>
        <v>0.33329589484078148</v>
      </c>
      <c r="AR48" s="476">
        <f t="shared" si="14"/>
        <v>0.49156225799654329</v>
      </c>
      <c r="AS48" s="476">
        <f t="shared" si="14"/>
        <v>0.21209686953831475</v>
      </c>
      <c r="AT48" s="476">
        <f t="shared" si="14"/>
        <v>0.3809028929561678</v>
      </c>
      <c r="AU48" s="476">
        <f t="shared" si="14"/>
        <v>0.17230138322428065</v>
      </c>
      <c r="AV48" s="476">
        <f t="shared" si="14"/>
        <v>0.38595188798446189</v>
      </c>
      <c r="AW48" s="476">
        <f t="shared" si="14"/>
        <v>0.11316063090389428</v>
      </c>
      <c r="AX48" s="476">
        <f t="shared" si="15"/>
        <v>0.16581550226453534</v>
      </c>
      <c r="AY48" s="476">
        <f t="shared" si="15"/>
        <v>8.3144691768644433E-2</v>
      </c>
      <c r="AZ48" s="476">
        <f t="shared" si="15"/>
        <v>0.48033052936592274</v>
      </c>
      <c r="BA48" s="476">
        <f t="shared" si="15"/>
        <v>0.12235870057911737</v>
      </c>
      <c r="BB48" s="476">
        <f t="shared" si="15"/>
        <v>0.31469854426903349</v>
      </c>
      <c r="BC48" s="476">
        <f t="shared" si="15"/>
        <v>3.462003232567383E-2</v>
      </c>
      <c r="BD48" s="476">
        <f t="shared" si="15"/>
        <v>0.14324876022805197</v>
      </c>
      <c r="BE48" s="476">
        <f t="shared" si="15"/>
        <v>9.3722948139916676E-2</v>
      </c>
      <c r="BF48" s="476">
        <f t="shared" si="15"/>
        <v>0.20632247006849358</v>
      </c>
      <c r="BG48" s="476">
        <f t="shared" si="15"/>
        <v>0.24065799576360147</v>
      </c>
      <c r="BH48" s="476">
        <f t="shared" si="15"/>
        <v>9.1036198405692673E-2</v>
      </c>
      <c r="BI48" s="476">
        <f t="shared" si="15"/>
        <v>8.4660707961553075E-2</v>
      </c>
    </row>
  </sheetData>
  <mergeCells count="6">
    <mergeCell ref="BJ39:BU39"/>
    <mergeCell ref="B39:M39"/>
    <mergeCell ref="N39:Y39"/>
    <mergeCell ref="Z39:AK39"/>
    <mergeCell ref="AL39:AR39"/>
    <mergeCell ref="AX39:BI39"/>
  </mergeCells>
  <phoneticPr fontId="66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48"/>
  <sheetViews>
    <sheetView topLeftCell="D25" workbookViewId="0">
      <selection activeCell="N42" sqref="N42"/>
    </sheetView>
  </sheetViews>
  <sheetFormatPr defaultRowHeight="14.75"/>
  <cols>
    <col min="1" max="1" width="53.7265625" bestFit="1" customWidth="1"/>
    <col min="2" max="2" width="9" customWidth="1"/>
    <col min="3" max="3" width="11.453125" customWidth="1"/>
    <col min="4" max="4" width="13.90625" customWidth="1"/>
    <col min="5" max="5" width="13.6328125" style="537" customWidth="1"/>
    <col min="6" max="6" width="15.7265625" bestFit="1" customWidth="1"/>
    <col min="7" max="7" width="14.90625" customWidth="1"/>
    <col min="8" max="8" width="14.6328125" style="537" customWidth="1"/>
    <col min="9" max="9" width="15.7265625" bestFit="1" customWidth="1"/>
    <col min="10" max="10" width="14.453125" customWidth="1"/>
    <col min="11" max="11" width="17.453125" style="537" bestFit="1" customWidth="1"/>
    <col min="12" max="12" width="16.26953125" customWidth="1"/>
    <col min="13" max="13" width="13.36328125" style="22" customWidth="1"/>
    <col min="14" max="14" width="12.7265625" style="537" customWidth="1"/>
    <col min="15" max="15" width="12.08984375" bestFit="1" customWidth="1"/>
    <col min="19" max="19" width="19" customWidth="1"/>
    <col min="20" max="20" width="2.7265625" customWidth="1"/>
    <col min="21" max="21" width="3.6328125" hidden="1" customWidth="1"/>
    <col min="22" max="25" width="8.7265625" hidden="1" customWidth="1"/>
    <col min="26" max="26" width="26" bestFit="1" customWidth="1"/>
    <col min="27" max="27" width="11.7265625" customWidth="1"/>
    <col min="28" max="28" width="11.08984375" bestFit="1" customWidth="1"/>
    <col min="29" max="29" width="13.36328125" customWidth="1"/>
    <col min="30" max="31" width="11.08984375" bestFit="1" customWidth="1"/>
    <col min="32" max="32" width="13.6328125" customWidth="1"/>
    <col min="33" max="33" width="8.7265625" style="360"/>
    <col min="34" max="34" width="12.08984375" style="360" bestFit="1" customWidth="1"/>
    <col min="35" max="37" width="12.08984375" style="360" customWidth="1"/>
    <col min="38" max="42" width="12.08984375" customWidth="1"/>
    <col min="43" max="43" width="17.453125" style="279" bestFit="1" customWidth="1"/>
    <col min="44" max="45" width="12.08984375" customWidth="1"/>
    <col min="46" max="46" width="17.453125" bestFit="1" customWidth="1"/>
    <col min="47" max="47" width="17.453125" customWidth="1"/>
    <col min="48" max="48" width="53.7265625" bestFit="1" customWidth="1"/>
    <col min="49" max="50" width="9.7265625" bestFit="1" customWidth="1"/>
    <col min="51" max="51" width="14.453125" customWidth="1"/>
  </cols>
  <sheetData>
    <row r="1" spans="1:51" s="662" customFormat="1" ht="32" thickTop="1" thickBot="1">
      <c r="B1" s="779" t="s">
        <v>311</v>
      </c>
      <c r="C1" s="780"/>
      <c r="D1" s="780"/>
      <c r="E1" s="781"/>
      <c r="F1" s="779" t="s">
        <v>312</v>
      </c>
      <c r="G1" s="780"/>
      <c r="H1" s="781"/>
      <c r="I1" s="779" t="s">
        <v>459</v>
      </c>
      <c r="J1" s="780"/>
      <c r="K1" s="781"/>
      <c r="L1" s="779" t="s">
        <v>471</v>
      </c>
      <c r="M1" s="780"/>
      <c r="N1" s="781"/>
      <c r="Z1" s="663" t="s">
        <v>189</v>
      </c>
      <c r="AA1" s="664" t="s">
        <v>466</v>
      </c>
      <c r="AB1" s="664" t="s">
        <v>307</v>
      </c>
      <c r="AC1" s="664" t="s">
        <v>490</v>
      </c>
      <c r="AD1" s="664" t="s">
        <v>309</v>
      </c>
      <c r="AE1" s="664" t="s">
        <v>310</v>
      </c>
      <c r="AF1" s="664" t="s">
        <v>491</v>
      </c>
      <c r="AG1" s="665"/>
      <c r="AH1" s="665"/>
      <c r="AI1" s="666" t="s">
        <v>485</v>
      </c>
      <c r="AJ1" s="666" t="s">
        <v>486</v>
      </c>
      <c r="AK1" s="666" t="s">
        <v>487</v>
      </c>
      <c r="AL1" s="667" t="s">
        <v>460</v>
      </c>
      <c r="AM1" s="667" t="s">
        <v>473</v>
      </c>
      <c r="AN1" s="668" t="s">
        <v>474</v>
      </c>
      <c r="AO1" s="669" t="s">
        <v>472</v>
      </c>
      <c r="AP1" s="669" t="s">
        <v>482</v>
      </c>
      <c r="AQ1" s="671" t="s">
        <v>492</v>
      </c>
      <c r="AR1" s="670" t="s">
        <v>750</v>
      </c>
      <c r="AS1" s="670" t="s">
        <v>751</v>
      </c>
      <c r="AT1" s="670" t="s">
        <v>752</v>
      </c>
      <c r="AU1" s="664"/>
    </row>
    <row r="2" spans="1:51" ht="17.25" thickTop="1" thickBot="1">
      <c r="B2" s="656" t="s">
        <v>185</v>
      </c>
      <c r="C2" s="657" t="s">
        <v>186</v>
      </c>
      <c r="D2" s="658" t="s">
        <v>187</v>
      </c>
      <c r="E2" s="659" t="s">
        <v>188</v>
      </c>
      <c r="F2" s="657" t="s">
        <v>186</v>
      </c>
      <c r="G2" s="658" t="s">
        <v>187</v>
      </c>
      <c r="H2" s="659" t="s">
        <v>188</v>
      </c>
      <c r="I2" s="657" t="s">
        <v>186</v>
      </c>
      <c r="J2" s="658" t="s">
        <v>187</v>
      </c>
      <c r="K2" s="659" t="s">
        <v>188</v>
      </c>
      <c r="L2" s="657" t="s">
        <v>186</v>
      </c>
      <c r="M2" s="660" t="s">
        <v>187</v>
      </c>
      <c r="N2" s="659" t="s">
        <v>188</v>
      </c>
      <c r="Z2" s="661" t="s">
        <v>190</v>
      </c>
      <c r="AA2" s="33">
        <f>'Large Ind Prod'!P66</f>
        <v>893357.36522043287</v>
      </c>
      <c r="AB2" s="33">
        <f>'Large Ind Prod'!Q66</f>
        <v>1653352.7363042766</v>
      </c>
      <c r="AC2" s="33">
        <f>AA2+AB2</f>
        <v>2546710.1015247097</v>
      </c>
      <c r="AD2" s="33">
        <f>'Large Ind Prod'!P3</f>
        <v>916055.15026685072</v>
      </c>
      <c r="AE2" s="33">
        <f>'Large Ind Prod'!Q3</f>
        <v>1663201.7815286713</v>
      </c>
      <c r="AF2" s="33">
        <f>AD2+AE2</f>
        <v>2579256.9317955221</v>
      </c>
      <c r="AG2" s="360">
        <f>1-AA2/(AA2+AB2)</f>
        <v>0.64921120598470083</v>
      </c>
      <c r="AH2" s="361">
        <f>AD2/AG2</f>
        <v>1411027.9394783557</v>
      </c>
      <c r="AI2" s="398">
        <f>'Large Ind Prod'!AF3</f>
        <v>1088689.5903999992</v>
      </c>
      <c r="AJ2" s="398">
        <f>'Large Ind Prod'!AG3</f>
        <v>1016608.642</v>
      </c>
      <c r="AK2" s="398">
        <f>AI2+AJ2</f>
        <v>2105298.2323999992</v>
      </c>
      <c r="AL2" s="248">
        <f>'Large Ind Prod'!AX3</f>
        <v>1157602.4103999999</v>
      </c>
      <c r="AM2" s="248">
        <f>'Large Ind Prod'!AY3</f>
        <v>1186021.6440000001</v>
      </c>
      <c r="AN2" s="248">
        <f>SUM(AL2:AM2)</f>
        <v>2343624.0543999998</v>
      </c>
      <c r="AO2" s="382">
        <f>'Large Ind Prod'!BN3</f>
        <v>1157531.4692000002</v>
      </c>
      <c r="AP2" s="382">
        <f>'Large Ind Prod'!BO3</f>
        <v>1244690.2651999998</v>
      </c>
      <c r="AQ2" s="672">
        <f>AO2+AP2</f>
        <v>2402221.7344</v>
      </c>
      <c r="AR2" s="654">
        <f>'Large Ind Prod'!CD3</f>
        <v>1234637.0341</v>
      </c>
      <c r="AS2" s="654">
        <f>'Large Ind Prod'!CE3</f>
        <v>1314710.389</v>
      </c>
      <c r="AT2" s="679">
        <f>AR2+AS2</f>
        <v>2549347.4231000002</v>
      </c>
      <c r="AU2" s="328"/>
    </row>
    <row r="3" spans="1:51" s="601" customFormat="1" ht="15.5" thickBot="1">
      <c r="A3" s="599" t="s">
        <v>32</v>
      </c>
      <c r="B3" s="637"/>
      <c r="C3" s="600">
        <f>C4+C11+C21+C24+C34+C35+C36</f>
        <v>634068195.40265441</v>
      </c>
      <c r="D3" s="600">
        <f>D4+D11+D21+D24+D34+D35+D36</f>
        <v>1085978534.8040218</v>
      </c>
      <c r="E3" s="614">
        <f>E4+E11+E21+E24+E34+E35+E36</f>
        <v>1720046730.2066762</v>
      </c>
      <c r="F3" s="600">
        <f>F4+F11+F21+F24+F34+F35+F36</f>
        <v>604459175.50859737</v>
      </c>
      <c r="G3" s="600">
        <f>G4+G11+G21+G24+G34+G35+G36</f>
        <v>994627727.56232512</v>
      </c>
      <c r="H3" s="614">
        <f>F3+G3</f>
        <v>1599086903.0709224</v>
      </c>
      <c r="I3" s="600">
        <f>I4+I11+I21+I24+I34+I35+I36</f>
        <v>712326919.67765999</v>
      </c>
      <c r="J3" s="600">
        <f>J4+J11+J21+J24+J34+J35+J36</f>
        <v>724612254.45380008</v>
      </c>
      <c r="K3" s="614">
        <f t="shared" ref="K3:K18" si="0">I3+J3</f>
        <v>1436939174.1314602</v>
      </c>
      <c r="L3" s="600">
        <f>L4+L11+L21+L24+L34+L35+L36</f>
        <v>700056010.86414993</v>
      </c>
      <c r="M3" s="600">
        <f>M4+M11+M21+M24+M34+M35+M36</f>
        <v>681747672.09886992</v>
      </c>
      <c r="N3" s="634">
        <f>L3+M3</f>
        <v>1381803682.9630198</v>
      </c>
      <c r="Z3" s="602" t="s">
        <v>191</v>
      </c>
      <c r="AA3" s="603">
        <f>'Large Ind Prod'!P67</f>
        <v>237475.29399999999</v>
      </c>
      <c r="AB3" s="603">
        <f>'Large Ind Prod'!Q67</f>
        <v>464790.86528342415</v>
      </c>
      <c r="AC3" s="603">
        <f t="shared" ref="AC3:AC62" si="1">AA3+AB3</f>
        <v>702266.15928342415</v>
      </c>
      <c r="AD3" s="603">
        <f>'Large Ind Prod'!P4</f>
        <v>212381.5015555555</v>
      </c>
      <c r="AE3" s="603">
        <f>'Large Ind Prod'!Q4</f>
        <v>339521.59404444444</v>
      </c>
      <c r="AF3" s="603">
        <f t="shared" ref="AF3:AF62" si="2">AD3+AE3</f>
        <v>551903.09559999988</v>
      </c>
      <c r="AG3" s="601">
        <f t="shared" ref="AG3:AG62" si="3">1-AA3/(AA3+AB3)</f>
        <v>0.66184431520619735</v>
      </c>
      <c r="AH3" s="603">
        <f t="shared" ref="AH3:AH62" si="4">AD3/AG3</f>
        <v>320893.44378426537</v>
      </c>
      <c r="AI3" s="603">
        <f>'Large Ind Prod'!AF4</f>
        <v>213051.87199999992</v>
      </c>
      <c r="AJ3" s="603">
        <f>'Large Ind Prod'!AG4</f>
        <v>268464.04599999997</v>
      </c>
      <c r="AK3" s="603">
        <f t="shared" ref="AK3:AK62" si="5">AI3+AJ3</f>
        <v>481515.91799999989</v>
      </c>
      <c r="AL3" s="604">
        <f>'Large Ind Prod'!AX4</f>
        <v>313941.41700000002</v>
      </c>
      <c r="AM3" s="604">
        <f>'Large Ind Prod'!AY4</f>
        <v>330222.72399999999</v>
      </c>
      <c r="AN3" s="604">
        <f t="shared" ref="AN3:AN54" si="6">SUM(AL3:AM3)</f>
        <v>644164.14100000006</v>
      </c>
      <c r="AO3" s="604">
        <f>'Large Ind Prod'!BN4</f>
        <v>295290.81400000001</v>
      </c>
      <c r="AP3" s="604">
        <f>'Large Ind Prod'!BO4</f>
        <v>317991.90999999997</v>
      </c>
      <c r="AQ3" s="673">
        <f t="shared" ref="AQ3:AQ62" si="7">AO3+AP3</f>
        <v>613282.72399999993</v>
      </c>
      <c r="AR3" s="654">
        <f>'Large Ind Prod'!CD4</f>
        <v>335556.636</v>
      </c>
      <c r="AS3" s="654">
        <f>'Large Ind Prod'!CE4</f>
        <v>391985.17000000004</v>
      </c>
      <c r="AT3" s="654">
        <f t="shared" ref="AT3:AT62" si="8">AR3+AS3</f>
        <v>727541.8060000001</v>
      </c>
      <c r="AU3" s="248"/>
      <c r="AV3" s="595" t="s">
        <v>32</v>
      </c>
      <c r="AW3" s="605" t="s">
        <v>31</v>
      </c>
      <c r="AX3" s="606"/>
      <c r="AY3" s="607"/>
    </row>
    <row r="4" spans="1:51">
      <c r="A4" s="146" t="s">
        <v>34</v>
      </c>
      <c r="B4" s="207"/>
      <c r="C4" s="33">
        <f>SUM(C5:C10)</f>
        <v>139012127.278</v>
      </c>
      <c r="D4" s="33">
        <f>SUM(D5:D10)</f>
        <v>230854025.66000003</v>
      </c>
      <c r="E4" s="616">
        <f>SUM(E5:E10)</f>
        <v>369866152.93799996</v>
      </c>
      <c r="F4" s="33">
        <f>SUM(F5:F10)</f>
        <v>123072870.366</v>
      </c>
      <c r="G4" s="33">
        <f>SUM(G5:G10)</f>
        <v>159809614.21799999</v>
      </c>
      <c r="H4" s="615">
        <f t="shared" ref="H4:H17" si="9">F4+G4</f>
        <v>282882484.58399999</v>
      </c>
      <c r="I4" s="33">
        <f>SUM(I5:I10)</f>
        <v>127824975.50999999</v>
      </c>
      <c r="J4" s="33">
        <f>SUM(J5:J10)</f>
        <v>102165503.75</v>
      </c>
      <c r="K4" s="615">
        <f t="shared" si="0"/>
        <v>229990479.25999999</v>
      </c>
      <c r="L4" s="33">
        <f>SUM(L5:L10)</f>
        <v>44607712.957000002</v>
      </c>
      <c r="M4" s="33">
        <f>SUM(M5:M10)</f>
        <v>4750</v>
      </c>
      <c r="N4" s="616">
        <f>L4+M4</f>
        <v>44612462.957000002</v>
      </c>
      <c r="O4" s="33"/>
      <c r="Z4" s="24" t="s">
        <v>192</v>
      </c>
      <c r="AA4" s="33">
        <f>'Large Ind Prod'!P68</f>
        <v>1130832.6592204326</v>
      </c>
      <c r="AB4" s="33">
        <f>'Large Ind Prod'!Q68</f>
        <v>2118143.6015877011</v>
      </c>
      <c r="AC4" s="33">
        <f t="shared" si="1"/>
        <v>3248976.2608081335</v>
      </c>
      <c r="AD4" s="33">
        <f>'Large Ind Prod'!P5</f>
        <v>1376057.6288953116</v>
      </c>
      <c r="AE4" s="33">
        <f>'Large Ind Prod'!Q5</f>
        <v>2250344.3526460212</v>
      </c>
      <c r="AF4" s="33">
        <f t="shared" si="2"/>
        <v>3626401.9815413328</v>
      </c>
      <c r="AG4">
        <f t="shared" si="3"/>
        <v>0.65194185231160939</v>
      </c>
      <c r="AH4" s="33">
        <f t="shared" si="4"/>
        <v>2110706.076034517</v>
      </c>
      <c r="AI4" s="33">
        <f>'Large Ind Prod'!AF5</f>
        <v>1301741.4623999996</v>
      </c>
      <c r="AJ4" s="33">
        <f>'Large Ind Prod'!AG5</f>
        <v>1285072.6880000001</v>
      </c>
      <c r="AK4" s="33">
        <f t="shared" si="5"/>
        <v>2586814.1503999997</v>
      </c>
      <c r="AL4" s="248">
        <f>'Large Ind Prod'!AX5</f>
        <v>1471543.8274000003</v>
      </c>
      <c r="AM4" s="248">
        <f>'Large Ind Prod'!AY5</f>
        <v>1516244.368</v>
      </c>
      <c r="AN4" s="248">
        <f t="shared" si="6"/>
        <v>2987788.1954000005</v>
      </c>
      <c r="AO4" s="248">
        <f>'Large Ind Prod'!BN5</f>
        <v>1452822.2832000002</v>
      </c>
      <c r="AP4" s="248">
        <f>'Large Ind Prod'!BO5</f>
        <v>1562682.1752000002</v>
      </c>
      <c r="AQ4" s="674">
        <f t="shared" si="7"/>
        <v>3015504.4584000004</v>
      </c>
      <c r="AR4" s="654">
        <f>'Large Ind Prod'!CD5</f>
        <v>1570193.6701000002</v>
      </c>
      <c r="AS4" s="654">
        <f>'Large Ind Prod'!CE5</f>
        <v>1706695.5589999999</v>
      </c>
      <c r="AT4" s="654">
        <f t="shared" si="8"/>
        <v>3276889.2291000001</v>
      </c>
      <c r="AU4" s="248"/>
      <c r="AV4" s="362" t="s">
        <v>34</v>
      </c>
      <c r="AW4" s="39"/>
      <c r="AX4" s="39"/>
      <c r="AY4" s="40">
        <v>40806.460646031337</v>
      </c>
    </row>
    <row r="5" spans="1:51">
      <c r="A5" s="146" t="s">
        <v>155</v>
      </c>
      <c r="B5" s="207"/>
      <c r="C5" s="33">
        <f t="shared" ref="C5:D9" si="10">AA42</f>
        <v>33945856.269999996</v>
      </c>
      <c r="D5" s="33">
        <f t="shared" si="10"/>
        <v>54624090</v>
      </c>
      <c r="E5" s="616">
        <f>C5+D5</f>
        <v>88569946.269999996</v>
      </c>
      <c r="F5" s="33">
        <f t="shared" ref="F5:G9" si="11">AD42</f>
        <v>29339984</v>
      </c>
      <c r="G5" s="33">
        <f t="shared" si="11"/>
        <v>33056542</v>
      </c>
      <c r="H5" s="616">
        <f t="shared" si="9"/>
        <v>62396526</v>
      </c>
      <c r="I5" s="33">
        <f t="shared" ref="I5:J9" si="12">AL42</f>
        <v>27353734</v>
      </c>
      <c r="J5" s="33">
        <f t="shared" si="12"/>
        <v>11675910</v>
      </c>
      <c r="K5" s="616">
        <f t="shared" si="0"/>
        <v>39029644</v>
      </c>
      <c r="L5" s="33">
        <f t="shared" ref="L5:M9" si="13">AO42</f>
        <v>2729639.5700000003</v>
      </c>
      <c r="M5" s="33">
        <f t="shared" si="13"/>
        <v>0</v>
      </c>
      <c r="N5" s="616">
        <f t="shared" ref="N5:N10" si="14">L5+M5</f>
        <v>2729639.5700000003</v>
      </c>
      <c r="Z5" s="24" t="s">
        <v>193</v>
      </c>
      <c r="AA5" s="33">
        <f>'Large Ind Prod'!P69</f>
        <v>0</v>
      </c>
      <c r="AB5" s="33">
        <f>'Large Ind Prod'!Q69</f>
        <v>0</v>
      </c>
      <c r="AC5" s="33">
        <f t="shared" si="1"/>
        <v>0</v>
      </c>
      <c r="AD5" s="33">
        <f>'Large Ind Prod'!P6</f>
        <v>0</v>
      </c>
      <c r="AE5" s="33">
        <f>'Large Ind Prod'!Q6</f>
        <v>0</v>
      </c>
      <c r="AF5" s="33">
        <f t="shared" si="2"/>
        <v>0</v>
      </c>
      <c r="AG5" s="360" t="e">
        <f t="shared" si="3"/>
        <v>#DIV/0!</v>
      </c>
      <c r="AH5" s="361" t="e">
        <f t="shared" si="4"/>
        <v>#DIV/0!</v>
      </c>
      <c r="AI5" s="398">
        <f>'Large Ind Prod'!AF6</f>
        <v>0</v>
      </c>
      <c r="AJ5" s="398">
        <f>'Large Ind Prod'!AG6</f>
        <v>0</v>
      </c>
      <c r="AK5" s="398">
        <f t="shared" si="5"/>
        <v>0</v>
      </c>
      <c r="AL5" s="248">
        <f>'Large Ind Prod'!AX6</f>
        <v>0</v>
      </c>
      <c r="AM5" s="248">
        <f>'Large Ind Prod'!AY6</f>
        <v>0</v>
      </c>
      <c r="AN5" s="248">
        <f t="shared" si="6"/>
        <v>0</v>
      </c>
      <c r="AO5" s="382">
        <f>'Large Ind Prod'!BN6</f>
        <v>0</v>
      </c>
      <c r="AP5" s="382">
        <f>'Large Ind Prod'!BO6</f>
        <v>0</v>
      </c>
      <c r="AQ5" s="675">
        <f t="shared" si="7"/>
        <v>0</v>
      </c>
      <c r="AR5" s="654">
        <f>'Large Ind Prod'!CD6</f>
        <v>0</v>
      </c>
      <c r="AS5" s="654">
        <f>'Large Ind Prod'!CE6</f>
        <v>0</v>
      </c>
      <c r="AT5" s="654">
        <f t="shared" si="8"/>
        <v>0</v>
      </c>
      <c r="AU5" s="248"/>
      <c r="AV5" s="37" t="s">
        <v>155</v>
      </c>
      <c r="AW5" s="41">
        <f>F5/1000</f>
        <v>29339.984</v>
      </c>
      <c r="AX5" s="41">
        <f t="shared" ref="AW5:AX10" si="15">G5/1000</f>
        <v>33056.542000000001</v>
      </c>
      <c r="AY5" s="40">
        <v>41319.489108593923</v>
      </c>
    </row>
    <row r="6" spans="1:51">
      <c r="A6" s="146" t="s">
        <v>156</v>
      </c>
      <c r="B6" s="207"/>
      <c r="C6" s="33">
        <f t="shared" si="10"/>
        <v>382935.65</v>
      </c>
      <c r="D6" s="33">
        <f t="shared" si="10"/>
        <v>431629.44999999995</v>
      </c>
      <c r="E6" s="616">
        <f t="shared" ref="E6:E44" si="16">C6+D6</f>
        <v>814565.1</v>
      </c>
      <c r="F6" s="33">
        <f t="shared" si="11"/>
        <v>62396.4</v>
      </c>
      <c r="G6" s="33">
        <f t="shared" si="11"/>
        <v>135514.85</v>
      </c>
      <c r="H6" s="616">
        <f t="shared" si="9"/>
        <v>197911.25</v>
      </c>
      <c r="I6" s="33">
        <f t="shared" si="12"/>
        <v>114112.05</v>
      </c>
      <c r="J6" s="33">
        <f t="shared" si="12"/>
        <v>0</v>
      </c>
      <c r="K6" s="616">
        <f t="shared" si="0"/>
        <v>114112.05</v>
      </c>
      <c r="L6" s="33">
        <f t="shared" si="13"/>
        <v>0</v>
      </c>
      <c r="M6" s="33">
        <f t="shared" si="13"/>
        <v>0</v>
      </c>
      <c r="N6" s="616">
        <f t="shared" si="14"/>
        <v>0</v>
      </c>
      <c r="Z6" s="468" t="s">
        <v>194</v>
      </c>
      <c r="AA6" s="396">
        <f>'Large Ind Prod'!P70</f>
        <v>210501.13999999998</v>
      </c>
      <c r="AB6" s="396">
        <f>'Large Ind Prod'!Q70</f>
        <v>356674.62</v>
      </c>
      <c r="AC6" s="396">
        <f t="shared" si="1"/>
        <v>567175.76</v>
      </c>
      <c r="AD6" s="396">
        <f>'Large Ind Prod'!P7</f>
        <v>194405.63000000003</v>
      </c>
      <c r="AE6" s="396">
        <f>'Large Ind Prod'!Q7</f>
        <v>384952.77</v>
      </c>
      <c r="AF6" s="396">
        <f t="shared" si="2"/>
        <v>579358.4</v>
      </c>
      <c r="AG6" s="22">
        <f t="shared" si="3"/>
        <v>0.62886083142904425</v>
      </c>
      <c r="AH6" s="396">
        <f t="shared" si="4"/>
        <v>309139.35211742512</v>
      </c>
      <c r="AI6" s="396">
        <f>'Large Ind Prod'!AF7</f>
        <v>269661.53000000003</v>
      </c>
      <c r="AJ6" s="396">
        <f>'Large Ind Prod'!AG7</f>
        <v>360777.04199999996</v>
      </c>
      <c r="AK6" s="396">
        <f t="shared" si="5"/>
        <v>630438.57199999993</v>
      </c>
      <c r="AL6" s="469">
        <f>'Large Ind Prod'!AX7</f>
        <v>350260.94800000003</v>
      </c>
      <c r="AM6" s="469">
        <f>'Large Ind Prod'!AY7</f>
        <v>364967.66000000003</v>
      </c>
      <c r="AN6" s="469">
        <f t="shared" si="6"/>
        <v>715228.60800000001</v>
      </c>
      <c r="AO6" s="469">
        <f>'Large Ind Prod'!BN7</f>
        <v>388733.74</v>
      </c>
      <c r="AP6" s="469">
        <f>'Large Ind Prod'!BO7</f>
        <v>440744.6</v>
      </c>
      <c r="AQ6" s="676">
        <f t="shared" si="7"/>
        <v>829478.34</v>
      </c>
      <c r="AR6" s="654">
        <f>'Large Ind Prod'!CD7</f>
        <v>380677.7</v>
      </c>
      <c r="AS6" s="654">
        <f>'Large Ind Prod'!CE7</f>
        <v>452355.24</v>
      </c>
      <c r="AT6" s="654">
        <f t="shared" si="8"/>
        <v>833032.94</v>
      </c>
      <c r="AU6" s="248"/>
      <c r="AV6" s="37" t="s">
        <v>156</v>
      </c>
      <c r="AW6" s="41">
        <f t="shared" si="15"/>
        <v>62.3964</v>
      </c>
      <c r="AX6" s="41">
        <f t="shared" si="15"/>
        <v>135.51485</v>
      </c>
      <c r="AY6" s="40">
        <v>361.58859999999999</v>
      </c>
    </row>
    <row r="7" spans="1:51">
      <c r="A7" s="146" t="s">
        <v>157</v>
      </c>
      <c r="B7" s="207"/>
      <c r="C7" s="33">
        <f t="shared" si="10"/>
        <v>3538722.108</v>
      </c>
      <c r="D7" s="33">
        <f t="shared" si="10"/>
        <v>1897989.32</v>
      </c>
      <c r="E7" s="616">
        <f t="shared" si="16"/>
        <v>5436711.4280000003</v>
      </c>
      <c r="F7" s="33">
        <f t="shared" si="11"/>
        <v>1949755.976</v>
      </c>
      <c r="G7" s="33">
        <f t="shared" si="11"/>
        <v>3089235.1680000001</v>
      </c>
      <c r="H7" s="616">
        <f t="shared" si="9"/>
        <v>5038991.1440000003</v>
      </c>
      <c r="I7" s="33">
        <f t="shared" si="12"/>
        <v>0</v>
      </c>
      <c r="J7" s="33">
        <f t="shared" si="12"/>
        <v>0</v>
      </c>
      <c r="K7" s="616">
        <f t="shared" si="0"/>
        <v>0</v>
      </c>
      <c r="L7" s="33">
        <f t="shared" si="13"/>
        <v>0</v>
      </c>
      <c r="M7" s="33">
        <f t="shared" si="13"/>
        <v>0</v>
      </c>
      <c r="N7" s="616">
        <f t="shared" si="14"/>
        <v>0</v>
      </c>
      <c r="Z7" s="468" t="s">
        <v>195</v>
      </c>
      <c r="AA7" s="396">
        <f>'Large Ind Prod'!P71</f>
        <v>9503.9333040000001</v>
      </c>
      <c r="AB7" s="396">
        <f>'Large Ind Prod'!Q71</f>
        <v>10650.108504000002</v>
      </c>
      <c r="AC7" s="396">
        <f t="shared" si="1"/>
        <v>20154.041808000002</v>
      </c>
      <c r="AD7" s="396">
        <f>'Large Ind Prod'!P8</f>
        <v>0</v>
      </c>
      <c r="AE7" s="396">
        <f>'Large Ind Prod'!Q8</f>
        <v>0</v>
      </c>
      <c r="AF7" s="396">
        <f t="shared" si="2"/>
        <v>0</v>
      </c>
      <c r="AG7" s="22">
        <f t="shared" si="3"/>
        <v>0.52843536822338621</v>
      </c>
      <c r="AH7" s="396">
        <f t="shared" si="4"/>
        <v>0</v>
      </c>
      <c r="AI7" s="396">
        <f>'Large Ind Prod'!AF8</f>
        <v>12868.915500000001</v>
      </c>
      <c r="AJ7" s="396">
        <f>'Large Ind Prod'!AG8</f>
        <v>51680.080999999998</v>
      </c>
      <c r="AK7" s="396">
        <f t="shared" si="5"/>
        <v>64548.996500000001</v>
      </c>
      <c r="AL7" s="469">
        <f>'Large Ind Prod'!AX8</f>
        <v>1796.1409160000001</v>
      </c>
      <c r="AM7" s="469">
        <f>'Large Ind Prod'!AY8</f>
        <v>1762.2179609999998</v>
      </c>
      <c r="AN7" s="469">
        <f t="shared" si="6"/>
        <v>3558.3588769999997</v>
      </c>
      <c r="AO7" s="469">
        <f>'Large Ind Prod'!BN8</f>
        <v>0</v>
      </c>
      <c r="AP7" s="469">
        <f>'Large Ind Prod'!BO8</f>
        <v>0</v>
      </c>
      <c r="AQ7" s="676">
        <f t="shared" si="7"/>
        <v>0</v>
      </c>
      <c r="AR7" s="654">
        <f>'Large Ind Prod'!CD8</f>
        <v>0</v>
      </c>
      <c r="AS7" s="654">
        <f>'Large Ind Prod'!CE8</f>
        <v>0</v>
      </c>
      <c r="AT7" s="654">
        <f t="shared" si="8"/>
        <v>0</v>
      </c>
      <c r="AU7" s="248"/>
      <c r="AV7" s="470" t="s">
        <v>157</v>
      </c>
      <c r="AW7" s="471">
        <f t="shared" si="15"/>
        <v>1949.7559759999999</v>
      </c>
      <c r="AX7" s="471">
        <f t="shared" si="15"/>
        <v>3089.2351680000002</v>
      </c>
      <c r="AY7" s="472">
        <v>3428.0659559999999</v>
      </c>
    </row>
    <row r="8" spans="1:51">
      <c r="A8" s="146" t="s">
        <v>158</v>
      </c>
      <c r="B8" s="207"/>
      <c r="C8" s="33">
        <f t="shared" si="10"/>
        <v>89197123</v>
      </c>
      <c r="D8" s="33">
        <f t="shared" si="10"/>
        <v>158533063</v>
      </c>
      <c r="E8" s="616">
        <f t="shared" si="16"/>
        <v>247730186</v>
      </c>
      <c r="F8" s="33">
        <f t="shared" si="11"/>
        <v>88391037</v>
      </c>
      <c r="G8" s="33">
        <f t="shared" si="11"/>
        <v>118694099</v>
      </c>
      <c r="H8" s="616">
        <f t="shared" si="9"/>
        <v>207085136</v>
      </c>
      <c r="I8" s="33">
        <f t="shared" si="12"/>
        <v>95638122</v>
      </c>
      <c r="J8" s="33">
        <f t="shared" si="12"/>
        <v>83721989</v>
      </c>
      <c r="K8" s="616">
        <f t="shared" si="0"/>
        <v>179360111</v>
      </c>
      <c r="L8" s="33">
        <f t="shared" si="13"/>
        <v>36867162.887000002</v>
      </c>
      <c r="M8" s="33">
        <f t="shared" si="13"/>
        <v>0</v>
      </c>
      <c r="N8" s="616">
        <f t="shared" si="14"/>
        <v>36867162.887000002</v>
      </c>
      <c r="Z8" s="24" t="s">
        <v>196</v>
      </c>
      <c r="AA8" s="33">
        <f>'Large Ind Prod'!P72</f>
        <v>3644.181</v>
      </c>
      <c r="AB8" s="33">
        <f>'Large Ind Prod'!Q72</f>
        <v>6967.8249999999998</v>
      </c>
      <c r="AC8" s="33">
        <f t="shared" si="1"/>
        <v>10612.005999999999</v>
      </c>
      <c r="AD8" s="33">
        <f>'Large Ind Prod'!P9</f>
        <v>3534.2759999999998</v>
      </c>
      <c r="AE8" s="33">
        <f>'Large Ind Prod'!Q9</f>
        <v>6226.0416759999998</v>
      </c>
      <c r="AF8" s="33">
        <f t="shared" si="2"/>
        <v>9760.3176759999988</v>
      </c>
      <c r="AG8" s="360">
        <f t="shared" si="3"/>
        <v>0.65659829065305841</v>
      </c>
      <c r="AH8" s="361">
        <f t="shared" si="4"/>
        <v>5382.7066721187748</v>
      </c>
      <c r="AI8" s="398">
        <f>'Large Ind Prod'!AF9</f>
        <v>4109.1449999999995</v>
      </c>
      <c r="AJ8" s="398">
        <f>'Large Ind Prod'!AG9</f>
        <v>2108.8989999999999</v>
      </c>
      <c r="AK8" s="398">
        <f t="shared" si="5"/>
        <v>6218.0439999999999</v>
      </c>
      <c r="AL8" s="248">
        <f>'Large Ind Prod'!AX9</f>
        <v>3334.1109999999999</v>
      </c>
      <c r="AM8" s="248">
        <f>'Large Ind Prod'!AY9</f>
        <v>2501.5989999999997</v>
      </c>
      <c r="AN8" s="248">
        <f t="shared" si="6"/>
        <v>5835.7099999999991</v>
      </c>
      <c r="AO8" s="382">
        <f>'Large Ind Prod'!BN9</f>
        <v>1809.432</v>
      </c>
      <c r="AP8" s="382">
        <f>'Large Ind Prod'!BO9</f>
        <v>2070.4479999999999</v>
      </c>
      <c r="AQ8" s="675">
        <f t="shared" si="7"/>
        <v>3879.88</v>
      </c>
      <c r="AR8" s="654">
        <f>'Large Ind Prod'!CD9</f>
        <v>1891.415</v>
      </c>
      <c r="AS8" s="654">
        <f>'Large Ind Prod'!CE9</f>
        <v>1789.0409999999999</v>
      </c>
      <c r="AT8" s="654">
        <f t="shared" si="8"/>
        <v>3680.4560000000001</v>
      </c>
      <c r="AU8" s="248"/>
      <c r="AV8" s="37" t="s">
        <v>158</v>
      </c>
      <c r="AW8" s="41">
        <f t="shared" si="15"/>
        <v>88391.036999999997</v>
      </c>
      <c r="AX8" s="41">
        <f t="shared" si="15"/>
        <v>118694.099</v>
      </c>
      <c r="AY8" s="40">
        <v>97027.168445990566</v>
      </c>
    </row>
    <row r="9" spans="1:51">
      <c r="A9" s="146" t="s">
        <v>159</v>
      </c>
      <c r="B9" s="207"/>
      <c r="C9" s="33">
        <f t="shared" si="10"/>
        <v>11945165.4</v>
      </c>
      <c r="D9" s="33">
        <f t="shared" si="10"/>
        <v>15360380.9</v>
      </c>
      <c r="E9" s="616">
        <f t="shared" si="16"/>
        <v>27305546.300000001</v>
      </c>
      <c r="F9" s="33">
        <f t="shared" si="11"/>
        <v>3325816</v>
      </c>
      <c r="G9" s="33">
        <f t="shared" si="11"/>
        <v>4826564</v>
      </c>
      <c r="H9" s="616">
        <f t="shared" si="9"/>
        <v>8152380</v>
      </c>
      <c r="I9" s="33">
        <f t="shared" si="12"/>
        <v>4713307</v>
      </c>
      <c r="J9" s="33">
        <f t="shared" si="12"/>
        <v>6761247</v>
      </c>
      <c r="K9" s="616">
        <f t="shared" si="0"/>
        <v>11474554</v>
      </c>
      <c r="L9" s="33">
        <f t="shared" si="13"/>
        <v>5006288</v>
      </c>
      <c r="M9" s="33">
        <f t="shared" si="13"/>
        <v>0</v>
      </c>
      <c r="N9" s="616">
        <f t="shared" si="14"/>
        <v>5006288</v>
      </c>
      <c r="Z9" s="24" t="s">
        <v>197</v>
      </c>
      <c r="AA9" s="33">
        <f>'Large Ind Prod'!P73</f>
        <v>1225.4430000000002</v>
      </c>
      <c r="AB9" s="33">
        <f>'Large Ind Prod'!Q73</f>
        <v>2329.9600000000005</v>
      </c>
      <c r="AC9" s="33">
        <f t="shared" si="1"/>
        <v>3555.4030000000007</v>
      </c>
      <c r="AD9" s="33">
        <f>'Large Ind Prod'!P10</f>
        <v>1371.5990000000002</v>
      </c>
      <c r="AE9" s="33">
        <f>'Large Ind Prod'!Q10</f>
        <v>2537.7910010000001</v>
      </c>
      <c r="AF9" s="33">
        <f t="shared" si="2"/>
        <v>3909.3900010000002</v>
      </c>
      <c r="AG9" s="360">
        <f t="shared" si="3"/>
        <v>0.65532936772568395</v>
      </c>
      <c r="AH9" s="361">
        <f t="shared" si="4"/>
        <v>2092.9918107594126</v>
      </c>
      <c r="AI9" s="398">
        <f>'Large Ind Prod'!AF10</f>
        <v>1377.7170000000001</v>
      </c>
      <c r="AJ9" s="398">
        <f>'Large Ind Prod'!AG10</f>
        <v>803.96599999999989</v>
      </c>
      <c r="AK9" s="398">
        <f t="shared" si="5"/>
        <v>2181.683</v>
      </c>
      <c r="AL9" s="248">
        <f>'Large Ind Prod'!AX10</f>
        <v>1162.0780000000002</v>
      </c>
      <c r="AM9" s="248">
        <f>'Large Ind Prod'!AY10</f>
        <v>1305.2920000000001</v>
      </c>
      <c r="AN9" s="248">
        <f t="shared" si="6"/>
        <v>2467.3700000000003</v>
      </c>
      <c r="AO9" s="382">
        <f>'Large Ind Prod'!BN10</f>
        <v>1131.52</v>
      </c>
      <c r="AP9" s="382">
        <f>'Large Ind Prod'!BO10</f>
        <v>1013.716</v>
      </c>
      <c r="AQ9" s="675">
        <f t="shared" si="7"/>
        <v>2145.2359999999999</v>
      </c>
      <c r="AR9" s="654">
        <f>'Large Ind Prod'!CD10</f>
        <v>950.077</v>
      </c>
      <c r="AS9" s="654">
        <f>'Large Ind Prod'!CE10</f>
        <v>979.91700000000014</v>
      </c>
      <c r="AT9" s="654">
        <f t="shared" si="8"/>
        <v>1929.9940000000001</v>
      </c>
      <c r="AU9" s="248"/>
      <c r="AV9" s="37" t="s">
        <v>159</v>
      </c>
      <c r="AW9" s="41">
        <f t="shared" si="15"/>
        <v>3325.8159999999998</v>
      </c>
      <c r="AX9" s="41">
        <f t="shared" si="15"/>
        <v>4826.5640000000003</v>
      </c>
      <c r="AY9" s="40">
        <v>18588.623467260179</v>
      </c>
    </row>
    <row r="10" spans="1:51" ht="15.5" thickBot="1">
      <c r="A10" s="146" t="s">
        <v>160</v>
      </c>
      <c r="B10" s="207"/>
      <c r="C10" s="33">
        <f>AA12</f>
        <v>2324.85</v>
      </c>
      <c r="D10" s="33">
        <f>AB12</f>
        <v>6872.99</v>
      </c>
      <c r="E10" s="616">
        <f t="shared" si="16"/>
        <v>9197.84</v>
      </c>
      <c r="F10" s="33">
        <f>AD12</f>
        <v>3880.99</v>
      </c>
      <c r="G10" s="33">
        <f>AE12</f>
        <v>7659.2</v>
      </c>
      <c r="H10" s="616">
        <f t="shared" si="9"/>
        <v>11540.189999999999</v>
      </c>
      <c r="I10" s="33">
        <f>AL12</f>
        <v>5700.46</v>
      </c>
      <c r="J10" s="33">
        <f>AM12</f>
        <v>6357.75</v>
      </c>
      <c r="K10" s="616">
        <f t="shared" si="0"/>
        <v>12058.21</v>
      </c>
      <c r="L10" s="33">
        <f>AO12</f>
        <v>4622.5</v>
      </c>
      <c r="M10" s="33">
        <f>AP12</f>
        <v>4750</v>
      </c>
      <c r="N10" s="616">
        <f t="shared" si="14"/>
        <v>9372.5</v>
      </c>
      <c r="Z10" s="24" t="s">
        <v>198</v>
      </c>
      <c r="AA10" s="33">
        <f>'Large Ind Prod'!P74</f>
        <v>6658.5440000000008</v>
      </c>
      <c r="AB10" s="33">
        <f>'Large Ind Prod'!Q74</f>
        <v>12996.857000000002</v>
      </c>
      <c r="AC10" s="33">
        <f t="shared" si="1"/>
        <v>19655.401000000002</v>
      </c>
      <c r="AD10" s="33">
        <f>'Large Ind Prod'!P11</f>
        <v>6077.9189649999998</v>
      </c>
      <c r="AE10" s="33">
        <f>'Large Ind Prod'!Q11</f>
        <v>15353.212065</v>
      </c>
      <c r="AF10" s="33">
        <f t="shared" si="2"/>
        <v>21431.13103</v>
      </c>
      <c r="AG10" s="360">
        <f t="shared" si="3"/>
        <v>0.66123591169673923</v>
      </c>
      <c r="AH10" s="361">
        <f t="shared" si="4"/>
        <v>9191.7557069820778</v>
      </c>
      <c r="AI10" s="398">
        <f>'Large Ind Prod'!AF11</f>
        <v>10055.485000000001</v>
      </c>
      <c r="AJ10" s="398">
        <f>'Large Ind Prod'!AG11</f>
        <v>11918.319000000001</v>
      </c>
      <c r="AK10" s="398">
        <f t="shared" si="5"/>
        <v>21973.804000000004</v>
      </c>
      <c r="AL10" s="248">
        <f>'Large Ind Prod'!AX11</f>
        <v>11533.724000000002</v>
      </c>
      <c r="AM10" s="248">
        <f>'Large Ind Prod'!AY11</f>
        <v>10854.207</v>
      </c>
      <c r="AN10" s="248">
        <f t="shared" si="6"/>
        <v>22387.931000000004</v>
      </c>
      <c r="AO10" s="382">
        <f>'Large Ind Prod'!BN11</f>
        <v>0</v>
      </c>
      <c r="AP10" s="382">
        <f>'Large Ind Prod'!BO11</f>
        <v>0</v>
      </c>
      <c r="AQ10" s="675">
        <f t="shared" si="7"/>
        <v>0</v>
      </c>
      <c r="AR10" s="654">
        <f>'Large Ind Prod'!CD11</f>
        <v>0</v>
      </c>
      <c r="AS10" s="654">
        <f>'Large Ind Prod'!CE11</f>
        <v>0</v>
      </c>
      <c r="AT10" s="654">
        <f t="shared" si="8"/>
        <v>0</v>
      </c>
      <c r="AU10" s="248"/>
      <c r="AV10" s="37" t="s">
        <v>160</v>
      </c>
      <c r="AW10" s="41">
        <f t="shared" si="15"/>
        <v>3.8809899999999997</v>
      </c>
      <c r="AX10" s="41">
        <f t="shared" si="15"/>
        <v>7.6592000000000002</v>
      </c>
      <c r="AY10" s="40">
        <v>10581.95</v>
      </c>
    </row>
    <row r="11" spans="1:51" s="592" customFormat="1" ht="15.5" thickBot="1">
      <c r="A11" s="590" t="s">
        <v>36</v>
      </c>
      <c r="B11" s="638"/>
      <c r="C11" s="591">
        <f>C12+C19</f>
        <v>38418348.676820427</v>
      </c>
      <c r="D11" s="591">
        <f>D12+D19</f>
        <v>68285056.959181696</v>
      </c>
      <c r="E11" s="615">
        <f>E12+E19</f>
        <v>106703405.63600214</v>
      </c>
      <c r="F11" s="591">
        <f>F12+F19</f>
        <v>30307142.251822405</v>
      </c>
      <c r="G11" s="591">
        <f>G12+G19</f>
        <v>33063651.075573113</v>
      </c>
      <c r="H11" s="631">
        <f t="shared" si="9"/>
        <v>63370793.327395514</v>
      </c>
      <c r="I11" s="591"/>
      <c r="J11" s="591">
        <f>J12+J19</f>
        <v>1516244.368</v>
      </c>
      <c r="K11" s="617">
        <f t="shared" si="0"/>
        <v>1516244.368</v>
      </c>
      <c r="L11" s="591">
        <f>L12+L19</f>
        <v>1452822.2832000002</v>
      </c>
      <c r="M11" s="591">
        <f>M12+M19</f>
        <v>1562682.1751999997</v>
      </c>
      <c r="N11" s="615">
        <f>N12+N19</f>
        <v>3015504.4583999999</v>
      </c>
      <c r="Z11" s="598" t="s">
        <v>199</v>
      </c>
      <c r="AA11" s="591">
        <f>'Large Ind Prod'!P75</f>
        <v>718.11300000000006</v>
      </c>
      <c r="AB11" s="591">
        <f>'Large Ind Prod'!Q75</f>
        <v>1323.846</v>
      </c>
      <c r="AC11" s="591">
        <f t="shared" si="1"/>
        <v>2041.9590000000001</v>
      </c>
      <c r="AD11" s="591">
        <f>'Large Ind Prod'!P12</f>
        <v>788.42800000000011</v>
      </c>
      <c r="AE11" s="591">
        <f>'Large Ind Prod'!Q12</f>
        <v>1498.4380000000001</v>
      </c>
      <c r="AF11" s="591">
        <f t="shared" si="2"/>
        <v>2286.866</v>
      </c>
      <c r="AG11" s="592">
        <f t="shared" si="3"/>
        <v>0.64832153828749739</v>
      </c>
      <c r="AH11" s="591">
        <f t="shared" si="4"/>
        <v>1216.1064432358448</v>
      </c>
      <c r="AI11" s="591">
        <f>'Large Ind Prod'!AF12</f>
        <v>1327.7560000000001</v>
      </c>
      <c r="AJ11" s="591">
        <f>'Large Ind Prod'!AG12</f>
        <v>1223.463</v>
      </c>
      <c r="AK11" s="591">
        <f t="shared" si="5"/>
        <v>2551.2190000000001</v>
      </c>
      <c r="AL11" s="594">
        <f>'Large Ind Prod'!AX12</f>
        <v>952.33699999999999</v>
      </c>
      <c r="AM11" s="594">
        <f>'Large Ind Prod'!AY12</f>
        <v>1068.5330000000001</v>
      </c>
      <c r="AN11" s="594">
        <f t="shared" si="6"/>
        <v>2020.8700000000001</v>
      </c>
      <c r="AO11" s="594">
        <f>'Large Ind Prod'!BN12</f>
        <v>478.83699999999999</v>
      </c>
      <c r="AP11" s="594">
        <f>'Large Ind Prod'!BO12</f>
        <v>0</v>
      </c>
      <c r="AQ11" s="677">
        <f t="shared" si="7"/>
        <v>478.83699999999999</v>
      </c>
      <c r="AR11" s="654">
        <f>'Large Ind Prod'!CD12</f>
        <v>863.923</v>
      </c>
      <c r="AS11" s="654">
        <f>'Large Ind Prod'!CE12</f>
        <v>607.85799999999995</v>
      </c>
      <c r="AT11" s="655">
        <f t="shared" si="8"/>
        <v>1471.7809999999999</v>
      </c>
      <c r="AU11" s="546"/>
      <c r="AV11" s="595" t="s">
        <v>36</v>
      </c>
      <c r="AW11" s="596">
        <f>F11/1000</f>
        <v>30307.142251822406</v>
      </c>
      <c r="AX11" s="596"/>
      <c r="AY11" s="597"/>
    </row>
    <row r="12" spans="1:51">
      <c r="A12" s="146" t="s">
        <v>161</v>
      </c>
      <c r="B12" s="207"/>
      <c r="C12" s="33">
        <f>SUM(C13:C18)</f>
        <v>38418348.676820427</v>
      </c>
      <c r="D12" s="33">
        <f>SUM(D13:D18)</f>
        <v>68285056.959181696</v>
      </c>
      <c r="E12" s="616">
        <f>SUM(E13:E18)</f>
        <v>106703405.63600214</v>
      </c>
      <c r="F12" s="33">
        <f>SUM(F13:F18)</f>
        <v>30307142.251822405</v>
      </c>
      <c r="G12" s="33">
        <f>SUM(G13:G18)</f>
        <v>33063651.075573113</v>
      </c>
      <c r="H12" s="616">
        <f>F12+G12</f>
        <v>63370793.327395514</v>
      </c>
      <c r="I12" s="33">
        <f>SUM(I13:I18)</f>
        <v>37562738.260399997</v>
      </c>
      <c r="J12" s="33">
        <f>SUM(J13:J18)</f>
        <v>1516244.368</v>
      </c>
      <c r="K12" s="618">
        <f t="shared" si="0"/>
        <v>39078982.628399998</v>
      </c>
      <c r="L12" s="33">
        <f>SUM(L13:L18)</f>
        <v>1452822.2832000002</v>
      </c>
      <c r="M12" s="33">
        <f>SUM(M13:M18)</f>
        <v>1562682.1751999997</v>
      </c>
      <c r="N12" s="616">
        <f>SUM(N13:N18)</f>
        <v>3015504.4583999999</v>
      </c>
      <c r="Z12" s="24" t="s">
        <v>200</v>
      </c>
      <c r="AA12" s="33">
        <f>'Large Ind Prod'!P76</f>
        <v>2324.85</v>
      </c>
      <c r="AB12" s="33">
        <f>'Large Ind Prod'!Q76</f>
        <v>6872.99</v>
      </c>
      <c r="AC12" s="33">
        <f t="shared" si="1"/>
        <v>9197.84</v>
      </c>
      <c r="AD12" s="33">
        <f>'Large Ind Prod'!P13</f>
        <v>3880.99</v>
      </c>
      <c r="AE12" s="33">
        <f>'Large Ind Prod'!Q13</f>
        <v>7659.2</v>
      </c>
      <c r="AF12" s="33">
        <f t="shared" si="2"/>
        <v>11540.189999999999</v>
      </c>
      <c r="AG12">
        <f t="shared" si="3"/>
        <v>0.7472395692901812</v>
      </c>
      <c r="AH12" s="33">
        <f t="shared" si="4"/>
        <v>5193.7693873554299</v>
      </c>
      <c r="AI12" s="33">
        <f>'Large Ind Prod'!AF13</f>
        <v>658.2</v>
      </c>
      <c r="AJ12" s="33">
        <f>'Large Ind Prod'!AG13</f>
        <v>6344.54</v>
      </c>
      <c r="AK12" s="33">
        <f t="shared" si="5"/>
        <v>7002.74</v>
      </c>
      <c r="AL12" s="248">
        <f>'Large Ind Prod'!AX13</f>
        <v>5700.46</v>
      </c>
      <c r="AM12" s="248">
        <f>'Large Ind Prod'!AY13</f>
        <v>6357.75</v>
      </c>
      <c r="AN12" s="248">
        <f t="shared" si="6"/>
        <v>12058.21</v>
      </c>
      <c r="AO12" s="248">
        <f>'Large Ind Prod'!BN13</f>
        <v>4622.5</v>
      </c>
      <c r="AP12" s="248">
        <f>'Large Ind Prod'!BO13</f>
        <v>4750</v>
      </c>
      <c r="AQ12" s="674">
        <f t="shared" si="7"/>
        <v>9372.5</v>
      </c>
      <c r="AR12" s="654">
        <f>'Large Ind Prod'!CD13</f>
        <v>1139.0999999999999</v>
      </c>
      <c r="AS12" s="654">
        <f>'Large Ind Prod'!CE13</f>
        <v>0</v>
      </c>
      <c r="AT12" s="654">
        <f t="shared" si="8"/>
        <v>1139.0999999999999</v>
      </c>
      <c r="AU12" s="248"/>
      <c r="AV12" s="37" t="s">
        <v>161</v>
      </c>
      <c r="AW12" s="39"/>
      <c r="AX12" s="39"/>
      <c r="AY12" s="40">
        <v>6937258.6361425342</v>
      </c>
    </row>
    <row r="13" spans="1:51">
      <c r="A13" s="146" t="s">
        <v>162</v>
      </c>
      <c r="B13" s="207"/>
      <c r="C13" s="33">
        <f>AA2</f>
        <v>893357.36522043287</v>
      </c>
      <c r="D13" s="33">
        <f>AB2</f>
        <v>1653352.7363042766</v>
      </c>
      <c r="E13" s="616">
        <f t="shared" si="16"/>
        <v>2546710.1015247097</v>
      </c>
      <c r="F13" s="33">
        <f>AD2</f>
        <v>916055.15026685072</v>
      </c>
      <c r="G13" s="33">
        <f>AE2</f>
        <v>1663201.7815286713</v>
      </c>
      <c r="H13" s="616">
        <f>F13+G13</f>
        <v>2579256.9317955221</v>
      </c>
      <c r="I13" s="33">
        <f>AL2</f>
        <v>1157602.4103999999</v>
      </c>
      <c r="J13" s="33">
        <f>AM2</f>
        <v>1186021.6440000001</v>
      </c>
      <c r="K13" s="616">
        <f t="shared" si="0"/>
        <v>2343624.0543999998</v>
      </c>
      <c r="L13" s="33">
        <f>AO2</f>
        <v>1157531.4692000002</v>
      </c>
      <c r="M13" s="33">
        <f>AP2</f>
        <v>1244690.2651999998</v>
      </c>
      <c r="N13" s="616">
        <f t="shared" ref="N13:N30" si="17">L13+M13</f>
        <v>2402221.7344</v>
      </c>
      <c r="Z13" s="25" t="s">
        <v>201</v>
      </c>
      <c r="AA13" s="33">
        <f>'Large Ind Prod'!P77</f>
        <v>427615599.40880001</v>
      </c>
      <c r="AB13" s="33">
        <f>'Large Ind Prod'!Q77</f>
        <v>738487242.80800009</v>
      </c>
      <c r="AC13" s="33">
        <f t="shared" si="1"/>
        <v>1166102842.2168002</v>
      </c>
      <c r="AD13" s="33">
        <f>'Large Ind Prod'!P14</f>
        <v>423407606.26800001</v>
      </c>
      <c r="AE13" s="33">
        <f>'Large Ind Prod'!Q14</f>
        <v>752010161.10000002</v>
      </c>
      <c r="AF13" s="33">
        <f t="shared" si="2"/>
        <v>1175417767.368</v>
      </c>
      <c r="AG13" s="360">
        <f t="shared" si="3"/>
        <v>0.63329512292767542</v>
      </c>
      <c r="AH13" s="361">
        <f t="shared" si="4"/>
        <v>668578662.52090919</v>
      </c>
      <c r="AI13" s="398">
        <f>'Large Ind Prod'!AF14</f>
        <v>483865441.20000005</v>
      </c>
      <c r="AJ13" s="398">
        <f>'Large Ind Prod'!AG14</f>
        <v>521251088.70500004</v>
      </c>
      <c r="AK13" s="398">
        <f t="shared" si="5"/>
        <v>1005116529.9050001</v>
      </c>
      <c r="AL13" s="248">
        <f>'Large Ind Prod'!AX14</f>
        <v>548329007.50599992</v>
      </c>
      <c r="AM13" s="248">
        <f>'Large Ind Prod'!AY14</f>
        <v>583136257.21300006</v>
      </c>
      <c r="AN13" s="248">
        <f t="shared" si="6"/>
        <v>1131465264.7189999</v>
      </c>
      <c r="AO13" s="382">
        <f>'Large Ind Prod'!BN14</f>
        <v>616601511.08200002</v>
      </c>
      <c r="AP13" s="382">
        <f>'Large Ind Prod'!BO14</f>
        <v>640324647.36299992</v>
      </c>
      <c r="AQ13" s="675">
        <f t="shared" si="7"/>
        <v>1256926158.4449999</v>
      </c>
      <c r="AR13" s="654">
        <f>'Large Ind Prod'!CD14</f>
        <v>708083474.69400001</v>
      </c>
      <c r="AS13" s="654">
        <f>'Large Ind Prod'!CE14</f>
        <v>768363994.29999995</v>
      </c>
      <c r="AT13" s="654">
        <f t="shared" si="8"/>
        <v>1476447468.994</v>
      </c>
      <c r="AU13" s="248"/>
      <c r="AV13" s="37" t="s">
        <v>162</v>
      </c>
      <c r="AW13" s="41">
        <v>715490.87918104266</v>
      </c>
      <c r="AX13" s="41">
        <v>786080.29960907274</v>
      </c>
      <c r="AY13" s="40">
        <v>1501571.1787901153</v>
      </c>
    </row>
    <row r="14" spans="1:51">
      <c r="A14" s="146" t="s">
        <v>163</v>
      </c>
      <c r="B14" s="207"/>
      <c r="C14" s="33">
        <f>AA3</f>
        <v>237475.29399999999</v>
      </c>
      <c r="D14" s="33">
        <f>AB3</f>
        <v>464790.86528342415</v>
      </c>
      <c r="E14" s="616">
        <f t="shared" si="16"/>
        <v>702266.15928342415</v>
      </c>
      <c r="F14" s="33">
        <f>AD3</f>
        <v>212381.5015555555</v>
      </c>
      <c r="G14" s="33">
        <f>AE3</f>
        <v>339521.59404444444</v>
      </c>
      <c r="H14" s="616">
        <f t="shared" si="9"/>
        <v>551903.09559999988</v>
      </c>
      <c r="I14" s="33">
        <f>AL3</f>
        <v>313941.41700000002</v>
      </c>
      <c r="J14" s="33">
        <f>AM3</f>
        <v>330222.72399999999</v>
      </c>
      <c r="K14" s="616">
        <f t="shared" si="0"/>
        <v>644164.14100000006</v>
      </c>
      <c r="L14" s="33">
        <f>AO3</f>
        <v>295290.81400000001</v>
      </c>
      <c r="M14" s="33">
        <f>AP3</f>
        <v>317991.90999999997</v>
      </c>
      <c r="N14" s="616">
        <f t="shared" si="17"/>
        <v>613282.72399999993</v>
      </c>
      <c r="Z14" s="26" t="s">
        <v>202</v>
      </c>
      <c r="AA14" s="33">
        <f>'Large Ind Prod'!P78</f>
        <v>382920722.26880002</v>
      </c>
      <c r="AB14" s="33">
        <f>'Large Ind Prod'!Q78</f>
        <v>662909762.42900002</v>
      </c>
      <c r="AC14" s="33">
        <f t="shared" si="1"/>
        <v>1045830484.6978</v>
      </c>
      <c r="AD14" s="33">
        <f>'Large Ind Prod'!P15</f>
        <v>376407174.42800003</v>
      </c>
      <c r="AE14" s="33">
        <f>'Large Ind Prod'!Q15</f>
        <v>669702535.24300003</v>
      </c>
      <c r="AF14" s="33">
        <f t="shared" si="2"/>
        <v>1046109709.671</v>
      </c>
      <c r="AG14" s="360">
        <f t="shared" si="3"/>
        <v>0.63385966667490323</v>
      </c>
      <c r="AH14" s="361">
        <f t="shared" si="4"/>
        <v>593833610.52542472</v>
      </c>
      <c r="AI14" s="398">
        <f>'Large Ind Prod'!AF15</f>
        <v>430860980.06999999</v>
      </c>
      <c r="AJ14" s="398">
        <f>'Large Ind Prod'!AG15</f>
        <v>475401486.77499998</v>
      </c>
      <c r="AK14" s="398">
        <f t="shared" si="5"/>
        <v>906262466.84500003</v>
      </c>
      <c r="AL14" s="248">
        <f>'Large Ind Prod'!AX15</f>
        <v>506069876.02600002</v>
      </c>
      <c r="AM14" s="248">
        <f>'Large Ind Prod'!AY15</f>
        <v>536609289.81299996</v>
      </c>
      <c r="AN14" s="248">
        <f t="shared" si="6"/>
        <v>1042679165.839</v>
      </c>
      <c r="AO14" s="382">
        <f>'Large Ind Prod'!BN15</f>
        <v>559396468.26199996</v>
      </c>
      <c r="AP14" s="382">
        <f>'Large Ind Prod'!BO15</f>
        <v>518229270.25800002</v>
      </c>
      <c r="AQ14" s="675">
        <f t="shared" si="7"/>
        <v>1077625738.52</v>
      </c>
      <c r="AR14" s="654">
        <f>'Large Ind Prod'!CD15</f>
        <v>585830859.96199989</v>
      </c>
      <c r="AS14" s="654">
        <f>'Large Ind Prod'!CE15</f>
        <v>621177813.95099998</v>
      </c>
      <c r="AT14" s="654">
        <f t="shared" si="8"/>
        <v>1207008673.9129999</v>
      </c>
      <c r="AU14" s="248"/>
      <c r="AV14" s="37" t="s">
        <v>163</v>
      </c>
      <c r="AW14" s="41">
        <v>264234.5</v>
      </c>
      <c r="AX14" s="41">
        <v>298040.87060000002</v>
      </c>
      <c r="AY14" s="40">
        <v>562275.37060000002</v>
      </c>
    </row>
    <row r="15" spans="1:51">
      <c r="A15" s="146" t="s">
        <v>164</v>
      </c>
      <c r="B15" s="207"/>
      <c r="C15" s="33">
        <f>AA40</f>
        <v>14062198.08</v>
      </c>
      <c r="D15" s="33">
        <f>AB40</f>
        <v>24134088.600000001</v>
      </c>
      <c r="E15" s="616">
        <f t="shared" si="16"/>
        <v>38196286.68</v>
      </c>
      <c r="F15" s="33">
        <f>AD40</f>
        <v>8606513</v>
      </c>
      <c r="G15" s="33">
        <f>AE40</f>
        <v>6582284.5</v>
      </c>
      <c r="H15" s="616">
        <f t="shared" si="9"/>
        <v>15188797.5</v>
      </c>
      <c r="I15" s="33">
        <f>AL40</f>
        <v>7855669.3330000006</v>
      </c>
      <c r="J15" s="33">
        <f>AM40</f>
        <v>0</v>
      </c>
      <c r="K15" s="616">
        <f t="shared" si="0"/>
        <v>7855669.3330000006</v>
      </c>
      <c r="L15" s="33">
        <f>AO40</f>
        <v>0</v>
      </c>
      <c r="M15" s="33">
        <f>AP40</f>
        <v>0</v>
      </c>
      <c r="N15" s="616">
        <f t="shared" si="17"/>
        <v>0</v>
      </c>
      <c r="Z15" s="27" t="s">
        <v>203</v>
      </c>
      <c r="AA15" s="33">
        <f>'Large Ind Prod'!P79</f>
        <v>172128499.70000002</v>
      </c>
      <c r="AB15" s="33">
        <f>'Large Ind Prod'!Q79</f>
        <v>287481564.12599999</v>
      </c>
      <c r="AC15" s="33">
        <f t="shared" si="1"/>
        <v>459610063.82599998</v>
      </c>
      <c r="AD15" s="33">
        <f>'Large Ind Prod'!P16</f>
        <v>217459289.19999999</v>
      </c>
      <c r="AE15" s="33">
        <f>'Large Ind Prod'!Q16</f>
        <v>385479157.13400006</v>
      </c>
      <c r="AF15" s="33">
        <f t="shared" si="2"/>
        <v>602938446.33400011</v>
      </c>
      <c r="AG15" s="360">
        <f t="shared" si="3"/>
        <v>0.62549014208451981</v>
      </c>
      <c r="AH15" s="361">
        <f t="shared" si="4"/>
        <v>347662216.50638843</v>
      </c>
      <c r="AI15" s="398">
        <f>'Large Ind Prod'!AF16</f>
        <v>263983951.34799999</v>
      </c>
      <c r="AJ15" s="398">
        <f>'Large Ind Prod'!AG16</f>
        <v>215262463.31300002</v>
      </c>
      <c r="AK15" s="398">
        <f t="shared" si="5"/>
        <v>479246414.66100001</v>
      </c>
      <c r="AL15" s="248">
        <f>'Large Ind Prod'!AX16</f>
        <v>295081614.59600002</v>
      </c>
      <c r="AM15" s="248">
        <f>'Large Ind Prod'!AY16</f>
        <v>306491723.07800001</v>
      </c>
      <c r="AN15" s="248">
        <f t="shared" si="6"/>
        <v>601573337.67400002</v>
      </c>
      <c r="AO15" s="382">
        <f>'Large Ind Prod'!BN16</f>
        <v>260724410.67499998</v>
      </c>
      <c r="AP15" s="382">
        <f>'Large Ind Prod'!BO16</f>
        <v>231916210.55799997</v>
      </c>
      <c r="AQ15" s="675">
        <f t="shared" si="7"/>
        <v>492640621.23299992</v>
      </c>
      <c r="AR15" s="654">
        <f>'Large Ind Prod'!CD16</f>
        <v>287506155.0259999</v>
      </c>
      <c r="AS15" s="654">
        <f>'Large Ind Prod'!CE16</f>
        <v>235538684.09999999</v>
      </c>
      <c r="AT15" s="654">
        <f t="shared" si="8"/>
        <v>523044839.12599993</v>
      </c>
      <c r="AU15" s="248"/>
      <c r="AV15" s="37" t="s">
        <v>164</v>
      </c>
      <c r="AW15" s="41">
        <v>11375027</v>
      </c>
      <c r="AX15" s="41">
        <v>8892501.5</v>
      </c>
      <c r="AY15" s="40">
        <v>20267528.5</v>
      </c>
    </row>
    <row r="16" spans="1:51">
      <c r="A16" s="146" t="s">
        <v>165</v>
      </c>
      <c r="B16" s="207"/>
      <c r="C16" s="33">
        <f>AA41</f>
        <v>4015109.9975999999</v>
      </c>
      <c r="D16" s="33">
        <f>AB41</f>
        <v>6206277.1976000005</v>
      </c>
      <c r="E16" s="616">
        <f t="shared" si="16"/>
        <v>10221387.1952</v>
      </c>
      <c r="F16" s="33">
        <f>AD41</f>
        <v>2967541.6</v>
      </c>
      <c r="G16" s="33">
        <f>AE41</f>
        <v>2285265.2000000002</v>
      </c>
      <c r="H16" s="616">
        <f t="shared" si="9"/>
        <v>5252806.8000000007</v>
      </c>
      <c r="I16" s="33">
        <f>AL41</f>
        <v>3818741.4</v>
      </c>
      <c r="J16" s="33">
        <f>AM41</f>
        <v>0</v>
      </c>
      <c r="K16" s="616">
        <f t="shared" si="0"/>
        <v>3818741.4</v>
      </c>
      <c r="L16" s="33">
        <f>AO41</f>
        <v>0</v>
      </c>
      <c r="M16" s="33">
        <f>AP41</f>
        <v>0</v>
      </c>
      <c r="N16" s="616">
        <f t="shared" si="17"/>
        <v>0</v>
      </c>
      <c r="Z16" s="27" t="s">
        <v>204</v>
      </c>
      <c r="AA16" s="33">
        <f>'Large Ind Prod'!P80</f>
        <v>96268518.981000006</v>
      </c>
      <c r="AB16" s="33">
        <f>'Large Ind Prod'!Q80</f>
        <v>161515543.77500001</v>
      </c>
      <c r="AC16" s="33">
        <f t="shared" si="1"/>
        <v>257784062.75600001</v>
      </c>
      <c r="AD16" s="33">
        <f>'Large Ind Prod'!P17</f>
        <v>41361498</v>
      </c>
      <c r="AE16" s="33">
        <f>'Large Ind Prod'!Q17</f>
        <v>65835900</v>
      </c>
      <c r="AF16" s="33">
        <f t="shared" si="2"/>
        <v>107197398</v>
      </c>
      <c r="AG16" s="360">
        <f t="shared" si="3"/>
        <v>0.62655364357368781</v>
      </c>
      <c r="AH16" s="361">
        <f t="shared" si="4"/>
        <v>66014296.499954119</v>
      </c>
      <c r="AI16" s="398">
        <f>'Large Ind Prod'!AF17</f>
        <v>43897988</v>
      </c>
      <c r="AJ16" s="398">
        <f>'Large Ind Prod'!AG17</f>
        <v>105652540</v>
      </c>
      <c r="AK16" s="398">
        <f t="shared" si="5"/>
        <v>149550528</v>
      </c>
      <c r="AL16" s="248">
        <f>'Large Ind Prod'!AX17</f>
        <v>88858334</v>
      </c>
      <c r="AM16" s="248">
        <f>'Large Ind Prod'!AY17</f>
        <v>94763978</v>
      </c>
      <c r="AN16" s="248">
        <f t="shared" si="6"/>
        <v>183622312</v>
      </c>
      <c r="AO16" s="382">
        <f>'Large Ind Prod'!BN17</f>
        <v>79668682</v>
      </c>
      <c r="AP16" s="382">
        <f>'Large Ind Prod'!BO17</f>
        <v>6837790</v>
      </c>
      <c r="AQ16" s="675">
        <f t="shared" si="7"/>
        <v>86506472</v>
      </c>
      <c r="AR16" s="654">
        <f>'Large Ind Prod'!CD17</f>
        <v>4995776</v>
      </c>
      <c r="AS16" s="654">
        <f>'Large Ind Prod'!CE17</f>
        <v>3830400</v>
      </c>
      <c r="AT16" s="654">
        <f t="shared" si="8"/>
        <v>8826176</v>
      </c>
      <c r="AU16" s="248"/>
      <c r="AV16" s="37" t="s">
        <v>165</v>
      </c>
      <c r="AW16" s="41">
        <v>3343675.7</v>
      </c>
      <c r="AX16" s="41">
        <v>3137940.08</v>
      </c>
      <c r="AY16" s="40">
        <v>6481615.7800000003</v>
      </c>
    </row>
    <row r="17" spans="1:51">
      <c r="A17" s="146" t="s">
        <v>166</v>
      </c>
      <c r="B17" s="207"/>
      <c r="C17" s="33">
        <f>AA53</f>
        <v>17740464.140000001</v>
      </c>
      <c r="D17" s="33">
        <f>AB53</f>
        <v>33187733.599994</v>
      </c>
      <c r="E17" s="616">
        <f t="shared" si="16"/>
        <v>50928197.739994004</v>
      </c>
      <c r="F17" s="33">
        <f>AD53</f>
        <v>16859821</v>
      </c>
      <c r="G17" s="33">
        <f>AE53</f>
        <v>20282191.999999996</v>
      </c>
      <c r="H17" s="616">
        <f t="shared" si="9"/>
        <v>37142013</v>
      </c>
      <c r="I17" s="33">
        <f>AL53</f>
        <v>22482580.699999999</v>
      </c>
      <c r="J17" s="33">
        <f>AM53</f>
        <v>0</v>
      </c>
      <c r="K17" s="616">
        <f t="shared" si="0"/>
        <v>22482580.699999999</v>
      </c>
      <c r="L17" s="33">
        <f>AO53</f>
        <v>0</v>
      </c>
      <c r="M17" s="33">
        <f>AP53</f>
        <v>0</v>
      </c>
      <c r="N17" s="616">
        <f t="shared" si="17"/>
        <v>0</v>
      </c>
      <c r="Z17" s="27" t="s">
        <v>205</v>
      </c>
      <c r="AA17" s="33">
        <f>'Large Ind Prod'!P81</f>
        <v>8809074.9878000002</v>
      </c>
      <c r="AB17" s="33">
        <f>'Large Ind Prod'!Q81</f>
        <v>14800147.107000001</v>
      </c>
      <c r="AC17" s="33">
        <f t="shared" si="1"/>
        <v>23609222.094800003</v>
      </c>
      <c r="AD17" s="33">
        <f>'Large Ind Prod'!P18</f>
        <v>8748801.0999999996</v>
      </c>
      <c r="AE17" s="33">
        <f>'Large Ind Prod'!Q18</f>
        <v>15179359.289999999</v>
      </c>
      <c r="AF17" s="33">
        <f t="shared" si="2"/>
        <v>23928160.390000001</v>
      </c>
      <c r="AG17" s="360">
        <f t="shared" si="3"/>
        <v>0.62687991360205708</v>
      </c>
      <c r="AH17" s="361">
        <f t="shared" si="4"/>
        <v>13956103.729228325</v>
      </c>
      <c r="AI17" s="398">
        <f>'Large Ind Prod'!AF18</f>
        <v>8766236.2999999989</v>
      </c>
      <c r="AJ17" s="398">
        <f>'Large Ind Prod'!AG18</f>
        <v>9067304.9900000002</v>
      </c>
      <c r="AK17" s="398">
        <f t="shared" si="5"/>
        <v>17833541.289999999</v>
      </c>
      <c r="AL17" s="248">
        <f>'Large Ind Prod'!AX18</f>
        <v>8457797.6600000001</v>
      </c>
      <c r="AM17" s="248">
        <f>'Large Ind Prod'!AY18</f>
        <v>9210274.7080000006</v>
      </c>
      <c r="AN17" s="248">
        <f t="shared" si="6"/>
        <v>17668072.368000001</v>
      </c>
      <c r="AO17" s="382">
        <f>'Large Ind Prod'!BN18</f>
        <v>8751296.4700000007</v>
      </c>
      <c r="AP17" s="382">
        <f>'Large Ind Prod'!BO18</f>
        <v>9087595.6099999994</v>
      </c>
      <c r="AQ17" s="675">
        <f t="shared" si="7"/>
        <v>17838892.079999998</v>
      </c>
      <c r="AR17" s="654">
        <f>'Large Ind Prod'!CD18</f>
        <v>7873756.3599999994</v>
      </c>
      <c r="AS17" s="654">
        <f>'Large Ind Prod'!CE18</f>
        <v>8916722.9199999999</v>
      </c>
      <c r="AT17" s="654">
        <f t="shared" si="8"/>
        <v>16790479.280000001</v>
      </c>
      <c r="AU17" s="248"/>
      <c r="AV17" s="37" t="s">
        <v>166</v>
      </c>
      <c r="AW17" s="41">
        <v>14232275.399999999</v>
      </c>
      <c r="AX17" s="41">
        <v>15842483.4</v>
      </c>
      <c r="AY17" s="40">
        <v>30074758.799999997</v>
      </c>
    </row>
    <row r="18" spans="1:51">
      <c r="A18" s="146" t="s">
        <v>167</v>
      </c>
      <c r="B18" s="207"/>
      <c r="C18" s="33">
        <f>AA54</f>
        <v>1469743.7999999998</v>
      </c>
      <c r="D18" s="33">
        <f>AB54</f>
        <v>2638813.96</v>
      </c>
      <c r="E18" s="616">
        <f t="shared" si="16"/>
        <v>4108557.76</v>
      </c>
      <c r="F18" s="33">
        <f>AD54</f>
        <v>744830</v>
      </c>
      <c r="G18" s="33">
        <f>AE54</f>
        <v>1911186</v>
      </c>
      <c r="H18" s="616">
        <f>F18+G18</f>
        <v>2656016</v>
      </c>
      <c r="I18" s="33">
        <f>AL54</f>
        <v>1934203</v>
      </c>
      <c r="J18" s="33">
        <f>AM54</f>
        <v>0</v>
      </c>
      <c r="K18" s="616">
        <f t="shared" si="0"/>
        <v>1934203</v>
      </c>
      <c r="L18" s="33">
        <f>AO54</f>
        <v>0</v>
      </c>
      <c r="M18" s="33">
        <f>AP54</f>
        <v>0</v>
      </c>
      <c r="N18" s="616">
        <f t="shared" si="17"/>
        <v>0</v>
      </c>
      <c r="Z18" s="27" t="s">
        <v>206</v>
      </c>
      <c r="AA18" s="33">
        <f>'Large Ind Prod'!P82</f>
        <v>0</v>
      </c>
      <c r="AB18" s="33">
        <f>'Large Ind Prod'!Q82</f>
        <v>0</v>
      </c>
      <c r="AC18" s="33">
        <f t="shared" si="1"/>
        <v>0</v>
      </c>
      <c r="AD18" s="33">
        <f>'Large Ind Prod'!P19</f>
        <v>0</v>
      </c>
      <c r="AE18" s="33">
        <f>'Large Ind Prod'!Q19</f>
        <v>0</v>
      </c>
      <c r="AF18" s="33">
        <f t="shared" si="2"/>
        <v>0</v>
      </c>
      <c r="AG18" s="360" t="e">
        <f t="shared" si="3"/>
        <v>#DIV/0!</v>
      </c>
      <c r="AH18" s="361" t="e">
        <f t="shared" si="4"/>
        <v>#DIV/0!</v>
      </c>
      <c r="AI18" s="398">
        <f>'Large Ind Prod'!AF19</f>
        <v>586919.71</v>
      </c>
      <c r="AJ18" s="398">
        <f>'Large Ind Prod'!AG19</f>
        <v>1799527.2069999999</v>
      </c>
      <c r="AK18" s="398">
        <f t="shared" si="5"/>
        <v>2386446.9169999999</v>
      </c>
      <c r="AL18" s="248">
        <f>'Large Ind Prod'!AX19</f>
        <v>7819.8989999999994</v>
      </c>
      <c r="AM18" s="248">
        <f>'Large Ind Prod'!AY19</f>
        <v>10310.159000000001</v>
      </c>
      <c r="AN18" s="248">
        <f t="shared" si="6"/>
        <v>18130.058000000001</v>
      </c>
      <c r="AO18" s="382">
        <f>'Large Ind Prod'!BN19</f>
        <v>0</v>
      </c>
      <c r="AP18" s="382">
        <f>'Large Ind Prod'!BO19</f>
        <v>0</v>
      </c>
      <c r="AQ18" s="675">
        <f t="shared" si="7"/>
        <v>0</v>
      </c>
      <c r="AR18" s="654">
        <f>'Large Ind Prod'!CD19</f>
        <v>0</v>
      </c>
      <c r="AS18" s="654">
        <f>'Large Ind Prod'!CE19</f>
        <v>0</v>
      </c>
      <c r="AT18" s="654">
        <f t="shared" si="8"/>
        <v>0</v>
      </c>
      <c r="AU18" s="248"/>
      <c r="AV18" s="37" t="s">
        <v>167</v>
      </c>
      <c r="AW18" s="41">
        <v>85160.6</v>
      </c>
      <c r="AX18" s="41">
        <v>36566</v>
      </c>
      <c r="AY18" s="40">
        <v>121726.6</v>
      </c>
    </row>
    <row r="19" spans="1:51">
      <c r="A19" s="146" t="s">
        <v>168</v>
      </c>
      <c r="B19" s="207"/>
      <c r="C19" s="33"/>
      <c r="D19" s="33"/>
      <c r="E19" s="616"/>
      <c r="F19" s="33"/>
      <c r="G19" s="33"/>
      <c r="H19" s="616"/>
      <c r="I19" s="33"/>
      <c r="J19" s="33"/>
      <c r="K19" s="616"/>
      <c r="L19" s="33"/>
      <c r="M19" s="33"/>
      <c r="N19" s="616"/>
      <c r="Z19" s="27" t="s">
        <v>207</v>
      </c>
      <c r="AA19" s="33">
        <f>'Large Ind Prod'!P83</f>
        <v>103514300.5</v>
      </c>
      <c r="AB19" s="33">
        <f>'Large Ind Prod'!Q83</f>
        <v>175751570</v>
      </c>
      <c r="AC19" s="33">
        <f t="shared" si="1"/>
        <v>279265870.5</v>
      </c>
      <c r="AD19" s="33">
        <f>'Large Ind Prod'!P20</f>
        <v>106027714.44799998</v>
      </c>
      <c r="AE19" s="33">
        <f>'Large Ind Prod'!Q20</f>
        <v>171918943.17599997</v>
      </c>
      <c r="AF19" s="33">
        <f t="shared" si="2"/>
        <v>277946657.62399995</v>
      </c>
      <c r="AG19" s="360">
        <f t="shared" si="3"/>
        <v>0.62933422435520991</v>
      </c>
      <c r="AH19" s="361">
        <f t="shared" si="4"/>
        <v>168476002.64649779</v>
      </c>
      <c r="AI19" s="398">
        <f>'Large Ind Prod'!AF20</f>
        <v>107171240.71200001</v>
      </c>
      <c r="AJ19" s="398">
        <f>'Large Ind Prod'!AG20</f>
        <v>112031620.465</v>
      </c>
      <c r="AK19" s="398">
        <f t="shared" si="5"/>
        <v>219202861.17700002</v>
      </c>
      <c r="AL19" s="248">
        <f>'Large Ind Prod'!AX20</f>
        <v>106564777.271</v>
      </c>
      <c r="AM19" s="248">
        <f>'Large Ind Prod'!AY20</f>
        <v>102856963.368</v>
      </c>
      <c r="AN19" s="248">
        <f t="shared" si="6"/>
        <v>209421740.639</v>
      </c>
      <c r="AO19" s="382">
        <f>'Large Ind Prod'!BN20</f>
        <v>122180300.743</v>
      </c>
      <c r="AP19" s="382">
        <f>'Large Ind Prod'!BO20</f>
        <v>177075374.17800003</v>
      </c>
      <c r="AQ19" s="675">
        <f t="shared" si="7"/>
        <v>299255674.921</v>
      </c>
      <c r="AR19" s="654">
        <f>'Large Ind Prod'!CD20</f>
        <v>257090162.79199997</v>
      </c>
      <c r="AS19" s="654">
        <f>'Large Ind Prod'!CE20</f>
        <v>253825963.803</v>
      </c>
      <c r="AT19" s="654">
        <f t="shared" si="8"/>
        <v>510916126.59499997</v>
      </c>
      <c r="AU19" s="248"/>
      <c r="AV19" s="37" t="s">
        <v>168</v>
      </c>
      <c r="AW19" s="41">
        <v>167.97499999999999</v>
      </c>
      <c r="AX19" s="41">
        <v>133.9545368962514</v>
      </c>
      <c r="AY19" s="40">
        <v>301.92953689625142</v>
      </c>
    </row>
    <row r="20" spans="1:51" s="245" customFormat="1" ht="15.5" thickBot="1">
      <c r="A20" s="590" t="s">
        <v>38</v>
      </c>
      <c r="B20" s="638"/>
      <c r="C20" s="591">
        <f>AA11</f>
        <v>718.11300000000006</v>
      </c>
      <c r="D20" s="591">
        <f>AB11</f>
        <v>1323.846</v>
      </c>
      <c r="E20" s="615">
        <f t="shared" si="16"/>
        <v>2041.9590000000001</v>
      </c>
      <c r="F20" s="591">
        <f>AD11</f>
        <v>788.42800000000011</v>
      </c>
      <c r="G20" s="591">
        <f>AE11</f>
        <v>1498.4380000000001</v>
      </c>
      <c r="H20" s="615">
        <f>F20+G20</f>
        <v>2286.866</v>
      </c>
      <c r="I20" s="591">
        <f>AL11</f>
        <v>952.33699999999999</v>
      </c>
      <c r="J20" s="591">
        <f>AM11</f>
        <v>1068.5330000000001</v>
      </c>
      <c r="K20" s="615"/>
      <c r="L20" s="591">
        <f>AO11</f>
        <v>478.83699999999999</v>
      </c>
      <c r="M20" s="591">
        <f>AP11</f>
        <v>0</v>
      </c>
      <c r="N20" s="615">
        <f t="shared" si="17"/>
        <v>478.83699999999999</v>
      </c>
      <c r="Z20" s="552" t="s">
        <v>208</v>
      </c>
      <c r="AA20" s="203">
        <f>'Large Ind Prod'!P84</f>
        <v>118470</v>
      </c>
      <c r="AB20" s="203">
        <f>'Large Ind Prod'!Q84</f>
        <v>19140495</v>
      </c>
      <c r="AC20" s="203">
        <f t="shared" si="1"/>
        <v>19258965</v>
      </c>
      <c r="AD20" s="203">
        <f>'Large Ind Prod'!P21</f>
        <v>0</v>
      </c>
      <c r="AE20" s="203">
        <f>'Large Ind Prod'!Q21</f>
        <v>26303750</v>
      </c>
      <c r="AF20" s="203">
        <f t="shared" si="2"/>
        <v>26303750</v>
      </c>
      <c r="AG20" s="543">
        <f t="shared" si="3"/>
        <v>0.99384857909030933</v>
      </c>
      <c r="AH20" s="544">
        <f t="shared" si="4"/>
        <v>0</v>
      </c>
      <c r="AI20" s="545">
        <f>'Large Ind Prod'!AF21</f>
        <v>2330350</v>
      </c>
      <c r="AJ20" s="545">
        <f>'Large Ind Prod'!AG21</f>
        <v>27476625</v>
      </c>
      <c r="AK20" s="545">
        <f t="shared" si="5"/>
        <v>29806975</v>
      </c>
      <c r="AL20" s="546">
        <f>'Large Ind Prod'!AX21</f>
        <v>2783825</v>
      </c>
      <c r="AM20" s="546">
        <f>'Large Ind Prod'!AY21</f>
        <v>19104030</v>
      </c>
      <c r="AN20" s="546">
        <f t="shared" si="6"/>
        <v>21887855</v>
      </c>
      <c r="AO20" s="547">
        <f>'Large Ind Prod'!BN21</f>
        <v>82816120.474000007</v>
      </c>
      <c r="AP20" s="547">
        <f>'Large Ind Prod'!BO21</f>
        <v>87914340</v>
      </c>
      <c r="AQ20" s="678">
        <f t="shared" si="7"/>
        <v>170730460.47400001</v>
      </c>
      <c r="AR20" s="654">
        <f>'Large Ind Prod'!CD21</f>
        <v>19131480</v>
      </c>
      <c r="AS20" s="654">
        <f>'Large Ind Prod'!CE21</f>
        <v>107780160</v>
      </c>
      <c r="AT20" s="655">
        <f t="shared" si="8"/>
        <v>126911640</v>
      </c>
      <c r="AU20" s="546"/>
      <c r="AV20" s="362" t="s">
        <v>38</v>
      </c>
      <c r="AW20" s="111">
        <v>740.25599999999997</v>
      </c>
      <c r="AX20" s="111">
        <v>571.07099999999991</v>
      </c>
      <c r="AY20" s="551">
        <v>1311.3269999999998</v>
      </c>
    </row>
    <row r="21" spans="1:51" s="245" customFormat="1">
      <c r="A21" s="590" t="s">
        <v>40</v>
      </c>
      <c r="B21" s="638"/>
      <c r="C21" s="591">
        <f>C22+C23</f>
        <v>1466408</v>
      </c>
      <c r="D21" s="591">
        <f>D22+D23</f>
        <v>1289570.47</v>
      </c>
      <c r="E21" s="615">
        <f t="shared" si="16"/>
        <v>2755978.4699999997</v>
      </c>
      <c r="F21" s="591">
        <f>SUM(F22:F23)</f>
        <v>278156</v>
      </c>
      <c r="G21" s="591">
        <f>SUM(G22:G23)</f>
        <v>581163.4</v>
      </c>
      <c r="H21" s="615">
        <f t="shared" ref="H21:H27" si="18">F21+G21</f>
        <v>859319.4</v>
      </c>
      <c r="I21" s="591">
        <f>SUM(I22:I23)</f>
        <v>129891</v>
      </c>
      <c r="J21" s="591">
        <f>SUM(J22:J23)</f>
        <v>0</v>
      </c>
      <c r="K21" s="617">
        <f>I21+J21</f>
        <v>129891</v>
      </c>
      <c r="L21" s="591">
        <f>SUM(L22:L23)</f>
        <v>0</v>
      </c>
      <c r="M21" s="591">
        <f>SUM(M22:M23)</f>
        <v>0</v>
      </c>
      <c r="N21" s="615">
        <f>SUM(N22:N23)</f>
        <v>0</v>
      </c>
      <c r="Z21" s="552" t="s">
        <v>209</v>
      </c>
      <c r="AA21" s="203">
        <f>'Large Ind Prod'!P85</f>
        <v>46776735.239999995</v>
      </c>
      <c r="AB21" s="203">
        <f>'Large Ind Prod'!Q85</f>
        <v>79797922.799999982</v>
      </c>
      <c r="AC21" s="203">
        <f t="shared" si="1"/>
        <v>126574658.03999998</v>
      </c>
      <c r="AD21" s="203">
        <f>'Large Ind Prod'!P22</f>
        <v>49810303.519999996</v>
      </c>
      <c r="AE21" s="203">
        <f>'Large Ind Prod'!Q22</f>
        <v>87293051.5</v>
      </c>
      <c r="AF21" s="203">
        <f t="shared" si="2"/>
        <v>137103355.01999998</v>
      </c>
      <c r="AG21" s="543">
        <f t="shared" si="3"/>
        <v>0.63044154363650207</v>
      </c>
      <c r="AH21" s="544">
        <f t="shared" si="4"/>
        <v>79008599.643806875</v>
      </c>
      <c r="AI21" s="545">
        <f>'Large Ind Prod'!AF22</f>
        <v>57128755.130000003</v>
      </c>
      <c r="AJ21" s="545">
        <f>'Large Ind Prod'!AG22</f>
        <v>49961007.730000004</v>
      </c>
      <c r="AK21" s="545">
        <f t="shared" si="5"/>
        <v>107089762.86000001</v>
      </c>
      <c r="AL21" s="546">
        <f>'Large Ind Prod'!AX22</f>
        <v>46574839.079999998</v>
      </c>
      <c r="AM21" s="546">
        <f>'Large Ind Prod'!AY22</f>
        <v>50698977.900000006</v>
      </c>
      <c r="AN21" s="546">
        <f t="shared" si="6"/>
        <v>97273816.980000004</v>
      </c>
      <c r="AO21" s="547">
        <f>'Large Ind Prod'!BN22</f>
        <v>62460700.719999999</v>
      </c>
      <c r="AP21" s="547">
        <f>'Large Ind Prod'!BO22</f>
        <v>127493337.017</v>
      </c>
      <c r="AQ21" s="678">
        <f t="shared" si="7"/>
        <v>189954037.73699999</v>
      </c>
      <c r="AR21" s="654">
        <f>'Large Ind Prod'!CD22</f>
        <v>113049305.14000002</v>
      </c>
      <c r="AS21" s="654">
        <f>'Large Ind Prod'!CE22</f>
        <v>158472063.477</v>
      </c>
      <c r="AT21" s="655">
        <f t="shared" si="8"/>
        <v>271521368.61699998</v>
      </c>
      <c r="AU21" s="546"/>
      <c r="AV21" s="362" t="s">
        <v>40</v>
      </c>
      <c r="AW21" s="548"/>
      <c r="AX21" s="548"/>
      <c r="AY21" s="551">
        <v>3501.7447551169221</v>
      </c>
    </row>
    <row r="22" spans="1:51">
      <c r="A22" s="146" t="s">
        <v>169</v>
      </c>
      <c r="B22" s="207"/>
      <c r="C22" s="33">
        <f>AA58</f>
        <v>232136</v>
      </c>
      <c r="D22" s="33">
        <f>AB58</f>
        <v>315080</v>
      </c>
      <c r="E22" s="616">
        <f>C22+D22</f>
        <v>547216</v>
      </c>
      <c r="F22" s="33">
        <f>AD58</f>
        <v>186632</v>
      </c>
      <c r="G22" s="33">
        <f>AE58</f>
        <v>176623</v>
      </c>
      <c r="H22" s="616">
        <f t="shared" si="18"/>
        <v>363255</v>
      </c>
      <c r="I22" s="33">
        <f>AL58</f>
        <v>129891</v>
      </c>
      <c r="J22" s="33">
        <f>AM58</f>
        <v>0</v>
      </c>
      <c r="K22" s="616"/>
      <c r="L22" s="33">
        <f>AO58</f>
        <v>0</v>
      </c>
      <c r="M22" s="33">
        <f>AP58</f>
        <v>0</v>
      </c>
      <c r="N22" s="615">
        <f t="shared" si="17"/>
        <v>0</v>
      </c>
      <c r="Z22" s="24" t="s">
        <v>210</v>
      </c>
      <c r="AA22" s="33">
        <f>'Large Ind Prod'!P86</f>
        <v>2081858.0999999978</v>
      </c>
      <c r="AB22" s="33">
        <f>'Large Ind Prod'!Q86</f>
        <v>4220442.4209999982</v>
      </c>
      <c r="AC22" s="33">
        <f t="shared" si="1"/>
        <v>6302300.520999996</v>
      </c>
      <c r="AD22" s="33">
        <f>'Large Ind Prod'!P23</f>
        <v>2809871.6800000034</v>
      </c>
      <c r="AE22" s="33">
        <f>'Large Ind Prod'!Q23</f>
        <v>4985425.6429999974</v>
      </c>
      <c r="AF22" s="33">
        <f t="shared" si="2"/>
        <v>7795297.3230000008</v>
      </c>
      <c r="AG22" s="360">
        <f t="shared" si="3"/>
        <v>0.66966695842843338</v>
      </c>
      <c r="AH22" s="361">
        <f t="shared" si="4"/>
        <v>4195924.0255696317</v>
      </c>
      <c r="AI22" s="398">
        <f>'Large Ind Prod'!AF23</f>
        <v>4124294.0000000023</v>
      </c>
      <c r="AJ22" s="398">
        <f>'Large Ind Prod'!AG23</f>
        <v>4111405.7999999956</v>
      </c>
      <c r="AK22" s="398">
        <f t="shared" si="5"/>
        <v>8235699.799999998</v>
      </c>
      <c r="AL22" s="248">
        <f>'Large Ind Prod'!AX23</f>
        <v>4315707.5999999996</v>
      </c>
      <c r="AM22" s="248">
        <f>'Large Ind Prod'!AY23</f>
        <v>4172010.5</v>
      </c>
      <c r="AN22" s="248">
        <f t="shared" si="6"/>
        <v>8487718.0999999996</v>
      </c>
      <c r="AO22" s="382">
        <f>'Large Ind Prod'!BN23</f>
        <v>5255657.8999999985</v>
      </c>
      <c r="AP22" s="382">
        <f>'Large Ind Prod'!BO23</f>
        <v>5397959.9120000005</v>
      </c>
      <c r="AQ22" s="675">
        <f t="shared" si="7"/>
        <v>10653617.811999999</v>
      </c>
      <c r="AR22" s="654">
        <f>'Large Ind Prod'!CD23</f>
        <v>9233529.7839999907</v>
      </c>
      <c r="AS22" s="654">
        <f>'Large Ind Prod'!CE23</f>
        <v>11285883.127999997</v>
      </c>
      <c r="AT22" s="654">
        <f t="shared" si="8"/>
        <v>20519412.911999986</v>
      </c>
      <c r="AU22" s="248"/>
      <c r="AV22" s="37" t="s">
        <v>169</v>
      </c>
      <c r="AW22" s="41">
        <v>78183</v>
      </c>
      <c r="AX22" s="41">
        <v>72503</v>
      </c>
      <c r="AY22" s="40">
        <v>150686</v>
      </c>
    </row>
    <row r="23" spans="1:51" ht="15.5" thickBot="1">
      <c r="A23" s="146" t="s">
        <v>170</v>
      </c>
      <c r="B23" s="207"/>
      <c r="C23" s="33">
        <f>AA47</f>
        <v>1234272</v>
      </c>
      <c r="D23" s="33">
        <f>AB47</f>
        <v>974490.47</v>
      </c>
      <c r="E23" s="616">
        <f t="shared" si="16"/>
        <v>2208762.4699999997</v>
      </c>
      <c r="F23" s="33">
        <f>AD47</f>
        <v>91524</v>
      </c>
      <c r="G23" s="33">
        <f>AE47</f>
        <v>404540.4</v>
      </c>
      <c r="H23" s="616">
        <f t="shared" si="18"/>
        <v>496064.4</v>
      </c>
      <c r="I23" s="33">
        <f>AL47</f>
        <v>0</v>
      </c>
      <c r="J23" s="33">
        <f>AM47</f>
        <v>0</v>
      </c>
      <c r="K23" s="616"/>
      <c r="L23" s="33">
        <f>AO47</f>
        <v>0</v>
      </c>
      <c r="M23" s="33">
        <f>AP47</f>
        <v>0</v>
      </c>
      <c r="N23" s="615">
        <f t="shared" si="17"/>
        <v>0</v>
      </c>
      <c r="Z23" s="24" t="s">
        <v>211</v>
      </c>
      <c r="AA23" s="33">
        <f>'Large Ind Prod'!P87</f>
        <v>26145360</v>
      </c>
      <c r="AB23" s="33">
        <f>'Large Ind Prod'!Q87</f>
        <v>44483801</v>
      </c>
      <c r="AC23" s="33">
        <f t="shared" si="1"/>
        <v>70629161</v>
      </c>
      <c r="AD23" s="33">
        <f>'Large Ind Prod'!P24</f>
        <v>26358336</v>
      </c>
      <c r="AE23" s="33">
        <f>'Large Ind Prod'!Q24</f>
        <v>46508042</v>
      </c>
      <c r="AF23" s="33">
        <f t="shared" si="2"/>
        <v>72866378</v>
      </c>
      <c r="AG23" s="360">
        <f t="shared" si="3"/>
        <v>0.6298220220965105</v>
      </c>
      <c r="AH23" s="361">
        <f t="shared" si="4"/>
        <v>41850451.516858824</v>
      </c>
      <c r="AI23" s="398">
        <f>'Large Ind Prod'!AF24</f>
        <v>30494009.173</v>
      </c>
      <c r="AJ23" s="398">
        <f>'Large Ind Prod'!AG24</f>
        <v>34767760.939999998</v>
      </c>
      <c r="AK23" s="398">
        <f t="shared" si="5"/>
        <v>65261770.112999998</v>
      </c>
      <c r="AL23" s="248">
        <f>'Large Ind Prod'!AX24</f>
        <v>34757910</v>
      </c>
      <c r="AM23" s="248">
        <f>'Large Ind Prod'!AY24</f>
        <v>36832099</v>
      </c>
      <c r="AN23" s="248">
        <f t="shared" si="6"/>
        <v>71590009</v>
      </c>
      <c r="AO23" s="382">
        <f>'Large Ind Prod'!BN24</f>
        <v>36575698</v>
      </c>
      <c r="AP23" s="382">
        <f>'Large Ind Prod'!BO24</f>
        <v>39146792.130000003</v>
      </c>
      <c r="AQ23" s="675">
        <f t="shared" si="7"/>
        <v>75722490.129999995</v>
      </c>
      <c r="AR23" s="654">
        <f>'Large Ind Prod'!CD24</f>
        <v>39186189.030000001</v>
      </c>
      <c r="AS23" s="654">
        <f>'Large Ind Prod'!CE24</f>
        <v>44119602.905000001</v>
      </c>
      <c r="AT23" s="654">
        <f t="shared" si="8"/>
        <v>83305791.935000002</v>
      </c>
      <c r="AU23" s="248"/>
      <c r="AV23" s="37" t="s">
        <v>170</v>
      </c>
      <c r="AW23" s="41">
        <v>1135340.375</v>
      </c>
      <c r="AX23" s="41">
        <v>1219698.3912742054</v>
      </c>
      <c r="AY23" s="40">
        <v>2355038.7662742054</v>
      </c>
    </row>
    <row r="24" spans="1:51" s="592" customFormat="1">
      <c r="A24" s="590" t="s">
        <v>42</v>
      </c>
      <c r="B24" s="638"/>
      <c r="C24" s="592">
        <f>SUM(C25:C30)</f>
        <v>977144.01639200002</v>
      </c>
      <c r="D24" s="592">
        <f>SUM(D25:D30)</f>
        <v>1710152.56439</v>
      </c>
      <c r="E24" s="615">
        <f>C24+D24</f>
        <v>2687296.580782</v>
      </c>
      <c r="F24" s="591">
        <f>SUM(F25:F30)</f>
        <v>585717.59396500001</v>
      </c>
      <c r="G24" s="591">
        <f>SUM(G25:G30)</f>
        <v>1878653.6447419999</v>
      </c>
      <c r="H24" s="615">
        <f t="shared" si="18"/>
        <v>2464371.2387069999</v>
      </c>
      <c r="I24" s="591">
        <f>SUM(I25:I30)</f>
        <v>389893.43499999994</v>
      </c>
      <c r="J24" s="591">
        <f>SUM(J25:J30)</f>
        <v>151437.79800000001</v>
      </c>
      <c r="K24" s="617">
        <f t="shared" ref="K24:K30" si="19">I24+J24</f>
        <v>541331.23300000001</v>
      </c>
      <c r="L24" s="591">
        <f>SUM(L25:L30)</f>
        <v>32593.952000000001</v>
      </c>
      <c r="M24" s="591">
        <f>SUM(M25:M30)</f>
        <v>3084.1639999999998</v>
      </c>
      <c r="N24" s="615">
        <f>SUM(N25:N30)</f>
        <v>35678.116000000002</v>
      </c>
      <c r="Z24" s="593" t="s">
        <v>212</v>
      </c>
      <c r="AA24" s="591">
        <f>'Large Ind Prod'!P88</f>
        <v>8267.7890000000007</v>
      </c>
      <c r="AB24" s="591">
        <f>'Large Ind Prod'!Q88</f>
        <v>20656.096999999998</v>
      </c>
      <c r="AC24" s="591">
        <f t="shared" si="1"/>
        <v>28923.885999999999</v>
      </c>
      <c r="AD24" s="591">
        <f>'Large Ind Prod'!P25</f>
        <v>5479788</v>
      </c>
      <c r="AE24" s="591">
        <f>'Large Ind Prod'!Q25</f>
        <v>15201668</v>
      </c>
      <c r="AF24" s="591">
        <f t="shared" si="2"/>
        <v>20681456</v>
      </c>
      <c r="AG24" s="592">
        <f t="shared" si="3"/>
        <v>0.71415358918231109</v>
      </c>
      <c r="AH24" s="591">
        <f t="shared" si="4"/>
        <v>7673122.5369520681</v>
      </c>
      <c r="AI24" s="591">
        <f>'Large Ind Prod'!AF25</f>
        <v>5735.5230000000001</v>
      </c>
      <c r="AJ24" s="591">
        <f>'Large Ind Prod'!AG25</f>
        <v>14316.314629999999</v>
      </c>
      <c r="AK24" s="591">
        <f t="shared" si="5"/>
        <v>20051.837629999998</v>
      </c>
      <c r="AL24" s="594">
        <f>'Large Ind Prod'!AX25</f>
        <v>4832.8330000000005</v>
      </c>
      <c r="AM24" s="594">
        <f>'Large Ind Prod'!AY25</f>
        <v>14112.559000000001</v>
      </c>
      <c r="AN24" s="594">
        <f t="shared" si="6"/>
        <v>18945.392</v>
      </c>
      <c r="AO24" s="594">
        <f>'Large Ind Prod'!BN25</f>
        <v>5796.4456</v>
      </c>
      <c r="AP24" s="594">
        <f>'Large Ind Prod'!BO25</f>
        <v>11921.072400000001</v>
      </c>
      <c r="AQ24" s="677">
        <f t="shared" si="7"/>
        <v>17717.518</v>
      </c>
      <c r="AR24" s="654">
        <f>'Large Ind Prod'!CD25</f>
        <v>5116.6080000000002</v>
      </c>
      <c r="AS24" s="654">
        <f>'Large Ind Prod'!CE25</f>
        <v>12725.391000000001</v>
      </c>
      <c r="AT24" s="655">
        <f t="shared" si="8"/>
        <v>17841.999000000003</v>
      </c>
      <c r="AU24" s="546"/>
      <c r="AV24" s="595" t="s">
        <v>42</v>
      </c>
      <c r="AW24" s="596"/>
      <c r="AX24" s="596"/>
      <c r="AY24" s="597">
        <v>2404.3975107004162</v>
      </c>
    </row>
    <row r="25" spans="1:51">
      <c r="A25" s="146" t="s">
        <v>171</v>
      </c>
      <c r="B25" s="207"/>
      <c r="C25" s="33">
        <f t="shared" ref="C25:D27" si="20">AA8</f>
        <v>3644.181</v>
      </c>
      <c r="D25" s="33">
        <f t="shared" si="20"/>
        <v>6967.8249999999998</v>
      </c>
      <c r="E25" s="616">
        <f t="shared" si="16"/>
        <v>10612.005999999999</v>
      </c>
      <c r="F25" s="33">
        <f t="shared" ref="F25:G27" si="21">AD8</f>
        <v>3534.2759999999998</v>
      </c>
      <c r="G25" s="33">
        <f t="shared" si="21"/>
        <v>6226.0416759999998</v>
      </c>
      <c r="H25" s="616">
        <f t="shared" si="18"/>
        <v>9760.3176759999988</v>
      </c>
      <c r="I25" s="33">
        <f t="shared" ref="I25:J27" si="22">AL8</f>
        <v>3334.1109999999999</v>
      </c>
      <c r="J25" s="33">
        <f t="shared" si="22"/>
        <v>2501.5989999999997</v>
      </c>
      <c r="K25" s="616">
        <f t="shared" si="19"/>
        <v>5835.7099999999991</v>
      </c>
      <c r="L25" s="33">
        <f t="shared" ref="L25:M27" si="23">AO8</f>
        <v>1809.432</v>
      </c>
      <c r="M25" s="33">
        <f t="shared" si="23"/>
        <v>2070.4479999999999</v>
      </c>
      <c r="N25" s="616">
        <f t="shared" si="17"/>
        <v>3879.88</v>
      </c>
      <c r="Z25" s="28" t="s">
        <v>213</v>
      </c>
      <c r="AA25" s="33">
        <f>'Large Ind Prod'!P89</f>
        <v>4920.6580000000004</v>
      </c>
      <c r="AB25" s="33">
        <f>'Large Ind Prod'!Q89</f>
        <v>13950.509999999998</v>
      </c>
      <c r="AC25" s="33">
        <f t="shared" si="1"/>
        <v>18871.167999999998</v>
      </c>
      <c r="AD25" s="33">
        <f>'Large Ind Prod'!P26</f>
        <v>3161134</v>
      </c>
      <c r="AE25" s="33">
        <f>'Large Ind Prod'!Q26</f>
        <v>10916744</v>
      </c>
      <c r="AF25" s="33">
        <f t="shared" si="2"/>
        <v>14077878</v>
      </c>
      <c r="AG25" s="360">
        <f t="shared" si="3"/>
        <v>0.73924994997659921</v>
      </c>
      <c r="AH25" s="361">
        <f t="shared" si="4"/>
        <v>4276136.9143143874</v>
      </c>
      <c r="AI25" s="398">
        <f>'Large Ind Prod'!AF26</f>
        <v>3652.8910000000001</v>
      </c>
      <c r="AJ25" s="398">
        <f>'Large Ind Prod'!AG26</f>
        <v>9424215.4020000007</v>
      </c>
      <c r="AK25" s="398">
        <f t="shared" si="5"/>
        <v>9427868.2930000015</v>
      </c>
      <c r="AL25" s="248">
        <f>'Large Ind Prod'!AX26</f>
        <v>3978.098</v>
      </c>
      <c r="AM25" s="248">
        <f>'Large Ind Prod'!AY26</f>
        <v>11012.677000000001</v>
      </c>
      <c r="AN25" s="248">
        <f t="shared" si="6"/>
        <v>14990.775000000001</v>
      </c>
      <c r="AO25" s="382">
        <f>'Large Ind Prod'!BN26</f>
        <v>4242.7170000000006</v>
      </c>
      <c r="AP25" s="382">
        <f>'Large Ind Prod'!BO26</f>
        <v>9359.5589999999993</v>
      </c>
      <c r="AQ25" s="675">
        <f t="shared" si="7"/>
        <v>13602.276</v>
      </c>
      <c r="AR25" s="654">
        <f>'Large Ind Prod'!CD26</f>
        <v>3392.7889999999998</v>
      </c>
      <c r="AS25" s="654">
        <f>'Large Ind Prod'!CE26</f>
        <v>7608.9980000000005</v>
      </c>
      <c r="AT25" s="654">
        <f t="shared" si="8"/>
        <v>11001.787</v>
      </c>
      <c r="AU25" s="248"/>
      <c r="AV25" s="37" t="s">
        <v>171</v>
      </c>
      <c r="AW25" s="41">
        <v>3064.9030000000002</v>
      </c>
      <c r="AX25" s="41">
        <v>2823.1410000000001</v>
      </c>
      <c r="AY25" s="40">
        <v>5888.0439999999999</v>
      </c>
    </row>
    <row r="26" spans="1:51">
      <c r="A26" s="146" t="s">
        <v>172</v>
      </c>
      <c r="B26" s="207"/>
      <c r="C26" s="33">
        <f t="shared" si="20"/>
        <v>1225.4430000000002</v>
      </c>
      <c r="D26" s="33">
        <f t="shared" si="20"/>
        <v>2329.9600000000005</v>
      </c>
      <c r="E26" s="616">
        <f t="shared" si="16"/>
        <v>3555.4030000000007</v>
      </c>
      <c r="F26" s="33">
        <f t="shared" si="21"/>
        <v>1371.5990000000002</v>
      </c>
      <c r="G26" s="33">
        <f t="shared" si="21"/>
        <v>2537.7910010000001</v>
      </c>
      <c r="H26" s="616">
        <f t="shared" si="18"/>
        <v>3909.3900010000002</v>
      </c>
      <c r="I26" s="33">
        <f t="shared" si="22"/>
        <v>1162.0780000000002</v>
      </c>
      <c r="J26" s="33">
        <f t="shared" si="22"/>
        <v>1305.2920000000001</v>
      </c>
      <c r="K26" s="616">
        <f t="shared" si="19"/>
        <v>2467.3700000000003</v>
      </c>
      <c r="L26" s="33">
        <f t="shared" si="23"/>
        <v>1131.52</v>
      </c>
      <c r="M26" s="33">
        <f t="shared" si="23"/>
        <v>1013.716</v>
      </c>
      <c r="N26" s="616">
        <f t="shared" si="17"/>
        <v>2145.2359999999999</v>
      </c>
      <c r="Z26" s="28" t="s">
        <v>214</v>
      </c>
      <c r="AA26" s="33">
        <f>'Large Ind Prod'!P90</f>
        <v>2082.4599999999996</v>
      </c>
      <c r="AB26" s="33">
        <f>'Large Ind Prod'!Q90</f>
        <v>4348.8250000000007</v>
      </c>
      <c r="AC26" s="33">
        <f t="shared" si="1"/>
        <v>6431.2849999999999</v>
      </c>
      <c r="AD26" s="33">
        <f>'Large Ind Prod'!P27</f>
        <v>1402275</v>
      </c>
      <c r="AE26" s="33">
        <f>'Large Ind Prod'!Q27</f>
        <v>2397045</v>
      </c>
      <c r="AF26" s="33">
        <f t="shared" si="2"/>
        <v>3799320</v>
      </c>
      <c r="AG26" s="360">
        <f t="shared" si="3"/>
        <v>0.67619845800644818</v>
      </c>
      <c r="AH26" s="361">
        <f t="shared" si="4"/>
        <v>2073762.4929434962</v>
      </c>
      <c r="AI26" s="398">
        <f>'Large Ind Prod'!AF27</f>
        <v>557.04</v>
      </c>
      <c r="AJ26" s="398">
        <f>'Large Ind Prod'!AG27</f>
        <v>519.64</v>
      </c>
      <c r="AK26" s="398">
        <f t="shared" si="5"/>
        <v>1076.6799999999998</v>
      </c>
      <c r="AL26" s="248">
        <f>'Large Ind Prod'!AX27</f>
        <v>193.96099999999998</v>
      </c>
      <c r="AM26" s="248">
        <f>'Large Ind Prod'!AY27</f>
        <v>811.83400000000006</v>
      </c>
      <c r="AN26" s="248">
        <f t="shared" si="6"/>
        <v>1005.7950000000001</v>
      </c>
      <c r="AO26" s="382">
        <f>'Large Ind Prod'!BN27</f>
        <v>267.65499999999997</v>
      </c>
      <c r="AP26" s="382">
        <f>'Large Ind Prod'!BO27</f>
        <v>646.80000000000007</v>
      </c>
      <c r="AQ26" s="675">
        <f t="shared" si="7"/>
        <v>914.45500000000004</v>
      </c>
      <c r="AR26" s="654">
        <f>'Large Ind Prod'!CD27</f>
        <v>781.74</v>
      </c>
      <c r="AS26" s="654">
        <f>'Large Ind Prod'!CE27</f>
        <v>251.43299999999999</v>
      </c>
      <c r="AT26" s="654">
        <f t="shared" si="8"/>
        <v>1033.173</v>
      </c>
      <c r="AU26" s="248"/>
      <c r="AV26" s="37" t="s">
        <v>172</v>
      </c>
      <c r="AW26" s="41">
        <v>875.91312199999993</v>
      </c>
      <c r="AX26" s="41">
        <v>969.43999999999994</v>
      </c>
      <c r="AY26" s="40">
        <v>1845.353122</v>
      </c>
    </row>
    <row r="27" spans="1:51">
      <c r="A27" s="146" t="s">
        <v>173</v>
      </c>
      <c r="B27" s="207"/>
      <c r="C27" s="33">
        <f t="shared" si="20"/>
        <v>6658.5440000000008</v>
      </c>
      <c r="D27" s="33">
        <f t="shared" si="20"/>
        <v>12996.857000000002</v>
      </c>
      <c r="E27" s="616">
        <f t="shared" si="16"/>
        <v>19655.401000000002</v>
      </c>
      <c r="F27" s="33">
        <f t="shared" si="21"/>
        <v>6077.9189649999998</v>
      </c>
      <c r="G27" s="33">
        <f t="shared" si="21"/>
        <v>15353.212065</v>
      </c>
      <c r="H27" s="616">
        <f t="shared" si="18"/>
        <v>21431.13103</v>
      </c>
      <c r="I27" s="33">
        <f t="shared" si="22"/>
        <v>11533.724000000002</v>
      </c>
      <c r="J27" s="33">
        <f t="shared" si="22"/>
        <v>10854.207</v>
      </c>
      <c r="K27" s="616">
        <f t="shared" si="19"/>
        <v>22387.931000000004</v>
      </c>
      <c r="L27" s="33">
        <f t="shared" si="23"/>
        <v>0</v>
      </c>
      <c r="M27" s="33">
        <f t="shared" si="23"/>
        <v>0</v>
      </c>
      <c r="N27" s="616">
        <f t="shared" si="17"/>
        <v>0</v>
      </c>
      <c r="Z27" s="28" t="s">
        <v>215</v>
      </c>
      <c r="AA27" s="33">
        <f>'Large Ind Prod'!P91</f>
        <v>1242.471</v>
      </c>
      <c r="AB27" s="33">
        <f>'Large Ind Prod'!Q91</f>
        <v>2301.2350000000001</v>
      </c>
      <c r="AC27" s="33">
        <f t="shared" si="1"/>
        <v>3543.7060000000001</v>
      </c>
      <c r="AD27" s="33">
        <f>'Large Ind Prod'!P28</f>
        <v>729359</v>
      </c>
      <c r="AE27" s="33">
        <f>'Large Ind Prod'!Q28</f>
        <v>1437966</v>
      </c>
      <c r="AF27" s="33">
        <f t="shared" si="2"/>
        <v>2167325</v>
      </c>
      <c r="AG27" s="360">
        <f t="shared" si="3"/>
        <v>0.64938654617510594</v>
      </c>
      <c r="AH27" s="361">
        <f t="shared" si="4"/>
        <v>1123150.7709790613</v>
      </c>
      <c r="AI27" s="398">
        <f>'Large Ind Prod'!AF28</f>
        <v>792.447</v>
      </c>
      <c r="AJ27" s="398">
        <f>'Large Ind Prod'!AG28</f>
        <v>100.69999999999999</v>
      </c>
      <c r="AK27" s="398">
        <f t="shared" si="5"/>
        <v>893.14699999999993</v>
      </c>
      <c r="AL27" s="248">
        <f>'Large Ind Prod'!AX28</f>
        <v>455.28800000000007</v>
      </c>
      <c r="AM27" s="248">
        <f>'Large Ind Prod'!AY28</f>
        <v>1264.0319999999999</v>
      </c>
      <c r="AN27" s="248">
        <f t="shared" si="6"/>
        <v>1719.32</v>
      </c>
      <c r="AO27" s="382">
        <f>'Large Ind Prod'!BN28</f>
        <v>1020.521</v>
      </c>
      <c r="AP27" s="382">
        <f>'Large Ind Prod'!BO28</f>
        <v>1052.441</v>
      </c>
      <c r="AQ27" s="675">
        <f t="shared" si="7"/>
        <v>2072.962</v>
      </c>
      <c r="AR27" s="654">
        <f>'Large Ind Prod'!CD28</f>
        <v>617.64</v>
      </c>
      <c r="AS27" s="654">
        <f>'Large Ind Prod'!CE28</f>
        <v>800.44200000000001</v>
      </c>
      <c r="AT27" s="654">
        <f t="shared" si="8"/>
        <v>1418.0819999999999</v>
      </c>
      <c r="AU27" s="248"/>
      <c r="AV27" s="37" t="s">
        <v>173</v>
      </c>
      <c r="AW27" s="41">
        <v>3212.0740000000001</v>
      </c>
      <c r="AX27" s="41">
        <v>3898.297</v>
      </c>
      <c r="AY27" s="40">
        <v>7110.3710000000001</v>
      </c>
    </row>
    <row r="28" spans="1:51">
      <c r="A28" s="146" t="s">
        <v>174</v>
      </c>
      <c r="B28" s="207"/>
      <c r="C28" s="33">
        <f>AA39</f>
        <v>3470.0483920000001</v>
      </c>
      <c r="D28" s="33">
        <f>AB39</f>
        <v>4251.3223899999994</v>
      </c>
      <c r="E28" s="616">
        <f t="shared" si="16"/>
        <v>7721.370782</v>
      </c>
      <c r="F28" s="33">
        <f>AD39</f>
        <v>0</v>
      </c>
      <c r="G28" s="33"/>
      <c r="H28" s="616"/>
      <c r="I28" s="33">
        <f>AL39</f>
        <v>238302.36299999998</v>
      </c>
      <c r="J28" s="33">
        <f>AM39</f>
        <v>0</v>
      </c>
      <c r="K28" s="616">
        <f t="shared" si="19"/>
        <v>238302.36299999998</v>
      </c>
      <c r="L28" s="33">
        <f>AO39</f>
        <v>0</v>
      </c>
      <c r="M28" s="33">
        <f>AP39</f>
        <v>0</v>
      </c>
      <c r="N28" s="616">
        <f t="shared" si="17"/>
        <v>0</v>
      </c>
      <c r="Z28" s="28" t="s">
        <v>216</v>
      </c>
      <c r="AA28" s="33">
        <f>'Large Ind Prod'!P92</f>
        <v>22.200000000000003</v>
      </c>
      <c r="AB28" s="33">
        <f>'Large Ind Prod'!Q92</f>
        <v>55.527000000000001</v>
      </c>
      <c r="AC28" s="33">
        <f t="shared" si="1"/>
        <v>77.727000000000004</v>
      </c>
      <c r="AD28" s="33">
        <f>'Large Ind Prod'!P29</f>
        <v>8340</v>
      </c>
      <c r="AE28" s="33">
        <f>'Large Ind Prod'!Q29</f>
        <v>54660</v>
      </c>
      <c r="AF28" s="33">
        <f t="shared" si="2"/>
        <v>63000</v>
      </c>
      <c r="AG28" s="360">
        <f t="shared" si="3"/>
        <v>0.71438496275425534</v>
      </c>
      <c r="AH28" s="361">
        <f t="shared" si="4"/>
        <v>11674.377870225295</v>
      </c>
      <c r="AI28" s="398">
        <f>'Large Ind Prod'!AF29</f>
        <v>0</v>
      </c>
      <c r="AJ28" s="398">
        <f>'Large Ind Prod'!AG29</f>
        <v>35.520000000000003</v>
      </c>
      <c r="AK28" s="398">
        <f t="shared" si="5"/>
        <v>35.520000000000003</v>
      </c>
      <c r="AL28" s="248">
        <f>'Large Ind Prod'!AX29</f>
        <v>11.49</v>
      </c>
      <c r="AM28" s="248">
        <f>'Large Ind Prod'!AY29</f>
        <v>45.09</v>
      </c>
      <c r="AN28" s="248">
        <f t="shared" si="6"/>
        <v>56.580000000000005</v>
      </c>
      <c r="AO28" s="382">
        <f>'Large Ind Prod'!BN29</f>
        <v>0.255</v>
      </c>
      <c r="AP28" s="382">
        <f>'Large Ind Prod'!BO29</f>
        <v>29.866</v>
      </c>
      <c r="AQ28" s="675">
        <f t="shared" si="7"/>
        <v>30.120999999999999</v>
      </c>
      <c r="AR28" s="654">
        <f>'Large Ind Prod'!CD29</f>
        <v>0.06</v>
      </c>
      <c r="AS28" s="654">
        <f>'Large Ind Prod'!CE29</f>
        <v>29.856999999999999</v>
      </c>
      <c r="AT28" s="654">
        <f t="shared" si="8"/>
        <v>29.916999999999998</v>
      </c>
      <c r="AU28" s="248"/>
      <c r="AV28" s="37" t="s">
        <v>174</v>
      </c>
      <c r="AW28" s="41">
        <v>770.60366520000002</v>
      </c>
      <c r="AX28" s="41">
        <v>1283.5080910000001</v>
      </c>
      <c r="AY28" s="40">
        <v>2054.1117561999999</v>
      </c>
    </row>
    <row r="29" spans="1:51">
      <c r="A29" s="146" t="s">
        <v>175</v>
      </c>
      <c r="B29" s="207"/>
      <c r="C29" s="33">
        <f>AA48</f>
        <v>177875.8</v>
      </c>
      <c r="D29" s="33">
        <f>AB48</f>
        <v>275418.59999999998</v>
      </c>
      <c r="E29" s="616">
        <f t="shared" si="16"/>
        <v>453294.39999999997</v>
      </c>
      <c r="F29" s="33">
        <f>AD48</f>
        <v>113556.29999999999</v>
      </c>
      <c r="G29" s="33">
        <f>AE48</f>
        <v>187475.20000000001</v>
      </c>
      <c r="H29" s="616">
        <f>F29+G29</f>
        <v>301031.5</v>
      </c>
      <c r="I29" s="33">
        <f>AL48</f>
        <v>134562.69999999998</v>
      </c>
      <c r="J29" s="33">
        <f>AM48</f>
        <v>136776.70000000001</v>
      </c>
      <c r="K29" s="616">
        <f t="shared" si="19"/>
        <v>271339.40000000002</v>
      </c>
      <c r="L29" s="33">
        <f>AO48</f>
        <v>29653</v>
      </c>
      <c r="M29" s="33">
        <f>AP48</f>
        <v>0</v>
      </c>
      <c r="N29" s="616">
        <f t="shared" si="17"/>
        <v>29653</v>
      </c>
      <c r="Z29" s="397" t="s">
        <v>456</v>
      </c>
      <c r="AA29" s="33">
        <f>'Large Ind Prod'!P93</f>
        <v>0</v>
      </c>
      <c r="AB29" s="33">
        <f>'Large Ind Prod'!Q93</f>
        <v>0</v>
      </c>
      <c r="AC29" s="33">
        <f t="shared" si="1"/>
        <v>0</v>
      </c>
      <c r="AD29" s="33">
        <f>'Large Ind Prod'!P30</f>
        <v>0</v>
      </c>
      <c r="AE29" s="33">
        <f>'Large Ind Prod'!Q30</f>
        <v>0</v>
      </c>
      <c r="AF29" s="33">
        <f t="shared" si="2"/>
        <v>0</v>
      </c>
      <c r="AG29" s="360" t="e">
        <f t="shared" si="3"/>
        <v>#DIV/0!</v>
      </c>
      <c r="AH29" s="361" t="e">
        <f t="shared" si="4"/>
        <v>#DIV/0!</v>
      </c>
      <c r="AI29" s="398">
        <f>'Large Ind Prod'!AF30</f>
        <v>0</v>
      </c>
      <c r="AJ29" s="398">
        <f>'Large Ind Prod'!AG30</f>
        <v>0</v>
      </c>
      <c r="AK29" s="398">
        <f t="shared" si="5"/>
        <v>0</v>
      </c>
      <c r="AL29" s="248">
        <f>'Large Ind Prod'!AX30</f>
        <v>3.41</v>
      </c>
      <c r="AM29" s="248">
        <f>'Large Ind Prod'!AY30</f>
        <v>139.505</v>
      </c>
      <c r="AN29" s="248">
        <f t="shared" si="6"/>
        <v>142.91499999999999</v>
      </c>
      <c r="AO29" s="382">
        <f>'Large Ind Prod'!BN30</f>
        <v>12.8886</v>
      </c>
      <c r="AP29" s="382">
        <f>'Large Ind Prod'!BO30</f>
        <v>29.324400000000004</v>
      </c>
      <c r="AQ29" s="675">
        <f t="shared" si="7"/>
        <v>42.213000000000008</v>
      </c>
      <c r="AR29" s="654">
        <f>'Large Ind Prod'!CD30</f>
        <v>3.399</v>
      </c>
      <c r="AS29" s="654">
        <f>'Large Ind Prod'!CE30</f>
        <v>2.593</v>
      </c>
      <c r="AT29" s="654">
        <f t="shared" si="8"/>
        <v>5.992</v>
      </c>
      <c r="AU29" s="248"/>
      <c r="AV29" s="37" t="s">
        <v>175</v>
      </c>
      <c r="AW29" s="41">
        <v>410.16956661685697</v>
      </c>
      <c r="AX29" s="41">
        <v>375.76242102425289</v>
      </c>
      <c r="AY29" s="40">
        <v>785.9319876411098</v>
      </c>
    </row>
    <row r="30" spans="1:51">
      <c r="A30" s="146" t="s">
        <v>176</v>
      </c>
      <c r="B30" s="207"/>
      <c r="C30" s="33">
        <f>AA52</f>
        <v>784270</v>
      </c>
      <c r="D30" s="33">
        <f>AB52</f>
        <v>1408188</v>
      </c>
      <c r="E30" s="616">
        <f t="shared" si="16"/>
        <v>2192458</v>
      </c>
      <c r="F30" s="33">
        <f>AD52</f>
        <v>461177.5</v>
      </c>
      <c r="G30" s="33">
        <f>AE52</f>
        <v>1667061.4</v>
      </c>
      <c r="H30" s="616">
        <f>F30+G30</f>
        <v>2128238.9</v>
      </c>
      <c r="I30" s="33">
        <f>AL52</f>
        <v>998.45899999999995</v>
      </c>
      <c r="J30" s="33">
        <f>AM52</f>
        <v>0</v>
      </c>
      <c r="K30" s="616">
        <f t="shared" si="19"/>
        <v>998.45899999999995</v>
      </c>
      <c r="L30" s="33">
        <f>AO52</f>
        <v>0</v>
      </c>
      <c r="M30" s="33">
        <f>AP52</f>
        <v>0</v>
      </c>
      <c r="N30" s="616">
        <f t="shared" si="17"/>
        <v>0</v>
      </c>
      <c r="Z30" s="24" t="s">
        <v>217</v>
      </c>
      <c r="AA30" s="33">
        <f>'Large Ind Prod'!P94</f>
        <v>0</v>
      </c>
      <c r="AB30" s="33">
        <f>'Large Ind Prod'!Q94</f>
        <v>0</v>
      </c>
      <c r="AC30" s="33">
        <f t="shared" si="1"/>
        <v>0</v>
      </c>
      <c r="AD30" s="33">
        <f>'Large Ind Prod'!P31</f>
        <v>178680</v>
      </c>
      <c r="AE30" s="33">
        <f>'Large Ind Prod'!Q31</f>
        <v>395253</v>
      </c>
      <c r="AF30" s="33">
        <f t="shared" si="2"/>
        <v>573933</v>
      </c>
      <c r="AG30" s="360" t="e">
        <f t="shared" si="3"/>
        <v>#DIV/0!</v>
      </c>
      <c r="AH30" s="361" t="e">
        <f t="shared" si="4"/>
        <v>#DIV/0!</v>
      </c>
      <c r="AI30" s="398">
        <f>'Large Ind Prod'!AF31</f>
        <v>41.702000000000005</v>
      </c>
      <c r="AJ30" s="398">
        <f>'Large Ind Prod'!AG31</f>
        <v>31.247999999999998</v>
      </c>
      <c r="AK30" s="398">
        <f t="shared" si="5"/>
        <v>72.95</v>
      </c>
      <c r="AL30" s="248">
        <f>'Large Ind Prod'!AX31</f>
        <v>48.329000000000008</v>
      </c>
      <c r="AM30" s="248">
        <f>'Large Ind Prod'!AY31</f>
        <v>13.808</v>
      </c>
      <c r="AN30" s="248">
        <f t="shared" si="6"/>
        <v>62.137000000000008</v>
      </c>
      <c r="AO30" s="382">
        <f>'Large Ind Prod'!BN31</f>
        <v>10.371</v>
      </c>
      <c r="AP30" s="382">
        <f>'Large Ind Prod'!BO31</f>
        <v>137.87</v>
      </c>
      <c r="AQ30" s="675">
        <f t="shared" si="7"/>
        <v>148.24100000000001</v>
      </c>
      <c r="AR30" s="654">
        <f>'Large Ind Prod'!CD31</f>
        <v>0.48</v>
      </c>
      <c r="AS30" s="654">
        <f>'Large Ind Prod'!CE31</f>
        <v>54.594999999999999</v>
      </c>
      <c r="AT30" s="654">
        <f t="shared" si="8"/>
        <v>55.074999999999996</v>
      </c>
      <c r="AU30" s="248"/>
      <c r="AV30" s="37" t="s">
        <v>176</v>
      </c>
      <c r="AW30" s="41">
        <v>2453</v>
      </c>
      <c r="AX30" s="41">
        <v>3958</v>
      </c>
      <c r="AY30" s="40">
        <v>6411</v>
      </c>
    </row>
    <row r="31" spans="1:51" s="245" customFormat="1">
      <c r="A31" s="584" t="s">
        <v>44</v>
      </c>
      <c r="B31" s="639"/>
      <c r="C31" s="609"/>
      <c r="D31" s="609"/>
      <c r="E31" s="619"/>
      <c r="F31" s="609"/>
      <c r="G31" s="609"/>
      <c r="H31" s="619"/>
      <c r="I31" s="609"/>
      <c r="J31" s="609"/>
      <c r="K31" s="619"/>
      <c r="L31" s="609"/>
      <c r="M31" s="609"/>
      <c r="N31" s="619"/>
      <c r="Z31" s="554" t="s">
        <v>457</v>
      </c>
      <c r="AA31" s="203">
        <f>'Large Ind Prod'!P95</f>
        <v>0</v>
      </c>
      <c r="AB31" s="203">
        <f>'Large Ind Prod'!Q95</f>
        <v>0</v>
      </c>
      <c r="AC31" s="203">
        <f t="shared" si="1"/>
        <v>0</v>
      </c>
      <c r="AD31" s="203">
        <f>'Large Ind Prod'!P32</f>
        <v>0</v>
      </c>
      <c r="AE31" s="203">
        <f>'Large Ind Prod'!Q32</f>
        <v>0</v>
      </c>
      <c r="AF31" s="203">
        <f t="shared" si="2"/>
        <v>0</v>
      </c>
      <c r="AG31" s="543" t="e">
        <f t="shared" si="3"/>
        <v>#DIV/0!</v>
      </c>
      <c r="AH31" s="544" t="e">
        <f t="shared" si="4"/>
        <v>#DIV/0!</v>
      </c>
      <c r="AI31" s="545">
        <f>'Large Ind Prod'!AF32</f>
        <v>0</v>
      </c>
      <c r="AJ31" s="545">
        <f>'Large Ind Prod'!AG32</f>
        <v>0</v>
      </c>
      <c r="AK31" s="545">
        <f t="shared" si="5"/>
        <v>0</v>
      </c>
      <c r="AL31" s="546">
        <f>'Large Ind Prod'!AX32</f>
        <v>142.25700000000001</v>
      </c>
      <c r="AM31" s="546">
        <f>'Large Ind Prod'!AY32</f>
        <v>825.61299999999994</v>
      </c>
      <c r="AN31" s="546">
        <f t="shared" si="6"/>
        <v>967.86999999999989</v>
      </c>
      <c r="AO31" s="547">
        <f>'Large Ind Prod'!BN32</f>
        <v>242.03800000000001</v>
      </c>
      <c r="AP31" s="547">
        <f>'Large Ind Prod'!BO32</f>
        <v>665.2120000000001</v>
      </c>
      <c r="AQ31" s="678">
        <f t="shared" si="7"/>
        <v>907.25000000000011</v>
      </c>
      <c r="AR31" s="654">
        <f>'Large Ind Prod'!CD32</f>
        <v>320.5</v>
      </c>
      <c r="AS31" s="654">
        <f>'Large Ind Prod'!CE32</f>
        <v>411.27200000000005</v>
      </c>
      <c r="AT31" s="655">
        <f t="shared" si="8"/>
        <v>731.77200000000005</v>
      </c>
      <c r="AU31" s="546"/>
      <c r="AV31" s="362" t="s">
        <v>44</v>
      </c>
      <c r="AW31" s="548"/>
      <c r="AX31" s="548"/>
      <c r="AY31" s="551"/>
    </row>
    <row r="32" spans="1:51" s="245" customFormat="1">
      <c r="A32" s="584" t="s">
        <v>46</v>
      </c>
      <c r="B32" s="639"/>
      <c r="C32" s="609"/>
      <c r="D32" s="609"/>
      <c r="E32" s="619"/>
      <c r="F32" s="609"/>
      <c r="G32" s="609"/>
      <c r="H32" s="619"/>
      <c r="I32" s="609"/>
      <c r="J32" s="609"/>
      <c r="K32" s="619"/>
      <c r="L32" s="609"/>
      <c r="M32" s="609"/>
      <c r="N32" s="619"/>
      <c r="Z32" s="25" t="s">
        <v>218</v>
      </c>
      <c r="AA32" s="203">
        <f>'Large Ind Prod'!P96</f>
        <v>16124.951950000002</v>
      </c>
      <c r="AB32" s="203">
        <f>'Large Ind Prod'!Q96</f>
        <v>24661.906300000002</v>
      </c>
      <c r="AC32" s="203">
        <f t="shared" si="1"/>
        <v>40786.858250000005</v>
      </c>
      <c r="AD32" s="203">
        <f>'Large Ind Prod'!P33</f>
        <v>18461.432349999999</v>
      </c>
      <c r="AE32" s="203">
        <f>'Large Ind Prod'!Q33</f>
        <v>26805.951050000003</v>
      </c>
      <c r="AF32" s="203">
        <f t="shared" si="2"/>
        <v>45267.383400000006</v>
      </c>
      <c r="AG32" s="543">
        <f t="shared" si="3"/>
        <v>0.60465324759354311</v>
      </c>
      <c r="AH32" s="544">
        <f t="shared" si="4"/>
        <v>30532.26361302875</v>
      </c>
      <c r="AI32" s="545">
        <f>'Large Ind Prod'!AF33</f>
        <v>19965.970099999999</v>
      </c>
      <c r="AJ32" s="545">
        <f>'Large Ind Prod'!AG33</f>
        <v>15532.40165</v>
      </c>
      <c r="AK32" s="545">
        <f t="shared" si="5"/>
        <v>35498.371749999998</v>
      </c>
      <c r="AL32" s="546">
        <f>'Large Ind Prod'!AX33</f>
        <v>20468.9352</v>
      </c>
      <c r="AM32" s="546">
        <f>'Large Ind Prod'!AY33</f>
        <v>17933.637190000001</v>
      </c>
      <c r="AN32" s="546">
        <f t="shared" si="6"/>
        <v>38402.572390000001</v>
      </c>
      <c r="AO32" s="547">
        <f>'Large Ind Prod'!BN33</f>
        <v>22957.020999999997</v>
      </c>
      <c r="AP32" s="547">
        <f>'Large Ind Prod'!BO33</f>
        <v>15136.493396462543</v>
      </c>
      <c r="AQ32" s="678">
        <f t="shared" si="7"/>
        <v>38093.514396462539</v>
      </c>
      <c r="AR32" s="654">
        <f>'Large Ind Prod'!CD33</f>
        <v>24862.881551999999</v>
      </c>
      <c r="AS32" s="654">
        <f>'Large Ind Prod'!CE33</f>
        <v>13405.340209999998</v>
      </c>
      <c r="AT32" s="655">
        <f t="shared" si="8"/>
        <v>38268.221762000001</v>
      </c>
      <c r="AU32" s="546"/>
      <c r="AV32" s="362" t="s">
        <v>46</v>
      </c>
      <c r="AW32" s="548"/>
      <c r="AX32" s="548"/>
      <c r="AY32" s="551"/>
    </row>
    <row r="33" spans="1:51" s="245" customFormat="1" ht="15.5" thickBot="1">
      <c r="A33" s="584" t="s">
        <v>48</v>
      </c>
      <c r="B33" s="640"/>
      <c r="C33" s="610"/>
      <c r="D33" s="610"/>
      <c r="E33" s="620"/>
      <c r="F33" s="610"/>
      <c r="G33" s="610"/>
      <c r="H33" s="620"/>
      <c r="I33" s="610"/>
      <c r="J33" s="610"/>
      <c r="K33" s="620"/>
      <c r="L33" s="610"/>
      <c r="M33" s="610"/>
      <c r="N33" s="620"/>
      <c r="Z33" s="553" t="s">
        <v>219</v>
      </c>
      <c r="AA33" s="203">
        <f>'Large Ind Prod'!P97</f>
        <v>12.532999999999999</v>
      </c>
      <c r="AB33" s="203">
        <f>'Large Ind Prod'!Q97</f>
        <v>16.537000000000003</v>
      </c>
      <c r="AC33" s="203">
        <f t="shared" si="1"/>
        <v>29.07</v>
      </c>
      <c r="AD33" s="203">
        <f>'Large Ind Prod'!P34</f>
        <v>0</v>
      </c>
      <c r="AE33" s="203">
        <f>'Large Ind Prod'!Q34</f>
        <v>0</v>
      </c>
      <c r="AF33" s="203">
        <f t="shared" si="2"/>
        <v>0</v>
      </c>
      <c r="AG33" s="543">
        <f t="shared" si="3"/>
        <v>0.56886824905400757</v>
      </c>
      <c r="AH33" s="544">
        <f t="shared" si="4"/>
        <v>0</v>
      </c>
      <c r="AI33" s="545">
        <f>'Large Ind Prod'!AF34</f>
        <v>54.473000000000006</v>
      </c>
      <c r="AJ33" s="545">
        <f>'Large Ind Prod'!AG34</f>
        <v>1.1825000000000001</v>
      </c>
      <c r="AK33" s="545">
        <f t="shared" si="5"/>
        <v>55.655500000000004</v>
      </c>
      <c r="AL33" s="546">
        <f>'Large Ind Prod'!AX34</f>
        <v>18390</v>
      </c>
      <c r="AM33" s="546">
        <f>'Large Ind Prod'!AY34</f>
        <v>0</v>
      </c>
      <c r="AN33" s="546">
        <f t="shared" si="6"/>
        <v>18390</v>
      </c>
      <c r="AO33" s="547">
        <f>'Large Ind Prod'!BN34</f>
        <v>0</v>
      </c>
      <c r="AP33" s="547">
        <f>'Large Ind Prod'!BO34</f>
        <v>0</v>
      </c>
      <c r="AQ33" s="678">
        <f t="shared" si="7"/>
        <v>0</v>
      </c>
      <c r="AR33" s="654">
        <f>'Large Ind Prod'!CD34</f>
        <v>0</v>
      </c>
      <c r="AS33" s="654">
        <f>'Large Ind Prod'!CE34</f>
        <v>0</v>
      </c>
      <c r="AT33" s="655">
        <f t="shared" si="8"/>
        <v>0</v>
      </c>
      <c r="AU33" s="546"/>
      <c r="AV33" s="362" t="s">
        <v>48</v>
      </c>
      <c r="AW33" s="548"/>
      <c r="AX33" s="548"/>
      <c r="AY33" s="551"/>
    </row>
    <row r="34" spans="1:51" ht="15.5" thickBot="1">
      <c r="A34" s="20" t="s">
        <v>484</v>
      </c>
      <c r="B34" s="641"/>
      <c r="C34" s="608">
        <f>AA13</f>
        <v>427615599.40880001</v>
      </c>
      <c r="D34" s="628">
        <f>AB13</f>
        <v>738487242.80800009</v>
      </c>
      <c r="E34" s="615">
        <f t="shared" si="16"/>
        <v>1166102842.2168002</v>
      </c>
      <c r="F34" s="608">
        <f>AD13</f>
        <v>423407606.26800001</v>
      </c>
      <c r="G34" s="628">
        <f>AE13</f>
        <v>752010161.10000002</v>
      </c>
      <c r="H34" s="615">
        <f t="shared" ref="H34:H45" si="24">F34+G34</f>
        <v>1175417767.368</v>
      </c>
      <c r="I34" s="608">
        <f>AL13</f>
        <v>548329007.50599992</v>
      </c>
      <c r="J34" s="611">
        <f>AM13</f>
        <v>583136257.21300006</v>
      </c>
      <c r="K34" s="621">
        <f t="shared" ref="K34:K40" si="25">I34+J34</f>
        <v>1131465264.7189999</v>
      </c>
      <c r="L34" s="608">
        <f>AO13</f>
        <v>616601511.08200002</v>
      </c>
      <c r="M34" s="611">
        <f>AP13</f>
        <v>640324647.36299992</v>
      </c>
      <c r="N34" s="615">
        <f>L34+M34</f>
        <v>1256926158.4449999</v>
      </c>
      <c r="Z34" s="24" t="s">
        <v>220</v>
      </c>
      <c r="AA34" s="33">
        <f>'Large Ind Prod'!P98</f>
        <v>12.532999999999999</v>
      </c>
      <c r="AB34" s="33">
        <f>'Large Ind Prod'!Q98</f>
        <v>16.537000000000003</v>
      </c>
      <c r="AC34" s="33">
        <f t="shared" si="1"/>
        <v>29.07</v>
      </c>
      <c r="AD34" s="33">
        <f>'Large Ind Prod'!P35</f>
        <v>0</v>
      </c>
      <c r="AE34" s="33">
        <f>'Large Ind Prod'!Q35</f>
        <v>0</v>
      </c>
      <c r="AF34" s="33">
        <f t="shared" si="2"/>
        <v>0</v>
      </c>
      <c r="AG34" s="360">
        <f t="shared" si="3"/>
        <v>0.56886824905400757</v>
      </c>
      <c r="AH34" s="361">
        <f t="shared" si="4"/>
        <v>0</v>
      </c>
      <c r="AI34" s="398">
        <f>'Large Ind Prod'!AF35</f>
        <v>0</v>
      </c>
      <c r="AJ34" s="398">
        <f>'Large Ind Prod'!AG35</f>
        <v>0</v>
      </c>
      <c r="AK34" s="398">
        <f t="shared" si="5"/>
        <v>0</v>
      </c>
      <c r="AL34" s="248">
        <f>'Large Ind Prod'!AX35</f>
        <v>0</v>
      </c>
      <c r="AM34" s="248">
        <f>'Large Ind Prod'!AY35</f>
        <v>0</v>
      </c>
      <c r="AN34" s="248">
        <f t="shared" si="6"/>
        <v>0</v>
      </c>
      <c r="AO34" s="382">
        <f>'Large Ind Prod'!BN35</f>
        <v>0</v>
      </c>
      <c r="AP34" s="382">
        <f>'Large Ind Prod'!BO35</f>
        <v>0</v>
      </c>
      <c r="AQ34" s="675">
        <f t="shared" si="7"/>
        <v>0</v>
      </c>
      <c r="AR34" s="654">
        <f>'Large Ind Prod'!CD35</f>
        <v>0</v>
      </c>
      <c r="AS34" s="654">
        <f>'Large Ind Prod'!CE35</f>
        <v>0</v>
      </c>
      <c r="AT34" s="654">
        <f t="shared" si="8"/>
        <v>0</v>
      </c>
      <c r="AU34" s="248"/>
      <c r="AV34" s="36" t="s">
        <v>50</v>
      </c>
      <c r="AW34" s="38">
        <v>287732.45997930004</v>
      </c>
      <c r="AX34" s="38">
        <v>305916.33587880002</v>
      </c>
      <c r="AY34" s="42">
        <v>593648.79585810006</v>
      </c>
    </row>
    <row r="35" spans="1:51" ht="15.5" thickBot="1">
      <c r="A35" s="20" t="s">
        <v>52</v>
      </c>
      <c r="B35" s="642"/>
      <c r="C35" s="588">
        <f>AA23</f>
        <v>26145360</v>
      </c>
      <c r="D35" s="629">
        <f>AB23</f>
        <v>44483801</v>
      </c>
      <c r="E35" s="615">
        <f t="shared" si="16"/>
        <v>70629161</v>
      </c>
      <c r="F35" s="588">
        <f>AD23</f>
        <v>26358336</v>
      </c>
      <c r="G35" s="629">
        <f>AE23</f>
        <v>46508042</v>
      </c>
      <c r="H35" s="615">
        <f t="shared" si="24"/>
        <v>72866378</v>
      </c>
      <c r="I35" s="588">
        <f>AL23</f>
        <v>34757910</v>
      </c>
      <c r="J35" s="612">
        <f>AM23</f>
        <v>36832099</v>
      </c>
      <c r="K35" s="622">
        <f t="shared" si="25"/>
        <v>71590009</v>
      </c>
      <c r="L35" s="588">
        <f>AO23</f>
        <v>36575698</v>
      </c>
      <c r="M35" s="612">
        <f>AP23</f>
        <v>39146792.130000003</v>
      </c>
      <c r="N35" s="635">
        <f>L35+M35</f>
        <v>75722490.129999995</v>
      </c>
      <c r="Z35" s="27" t="s">
        <v>221</v>
      </c>
      <c r="AA35" s="33">
        <f>'Large Ind Prod'!P99</f>
        <v>3467.9223000000006</v>
      </c>
      <c r="AB35" s="33">
        <f>'Large Ind Prod'!Q99</f>
        <v>5030.75461</v>
      </c>
      <c r="AC35" s="33">
        <f t="shared" si="1"/>
        <v>8498.6769100000001</v>
      </c>
      <c r="AD35" s="33">
        <f>'Large Ind Prod'!P36</f>
        <v>2182726.4</v>
      </c>
      <c r="AE35" s="33">
        <f>'Large Ind Prod'!Q36</f>
        <v>1195898.2</v>
      </c>
      <c r="AF35" s="33">
        <f t="shared" si="2"/>
        <v>3378624.5999999996</v>
      </c>
      <c r="AG35" s="360">
        <f t="shared" si="3"/>
        <v>0.59194562439249143</v>
      </c>
      <c r="AH35" s="361">
        <f t="shared" si="4"/>
        <v>3687376.5259099817</v>
      </c>
      <c r="AI35" s="398">
        <f>'Large Ind Prod'!AF36</f>
        <v>1933.5</v>
      </c>
      <c r="AJ35" s="398">
        <f>'Large Ind Prod'!AG36</f>
        <v>2921</v>
      </c>
      <c r="AK35" s="398">
        <f t="shared" si="5"/>
        <v>4854.5</v>
      </c>
      <c r="AL35" s="248">
        <f>'Large Ind Prod'!AX36</f>
        <v>3083132.4</v>
      </c>
      <c r="AM35" s="248">
        <f>'Large Ind Prod'!AY36</f>
        <v>1338999.3</v>
      </c>
      <c r="AN35" s="248">
        <f t="shared" si="6"/>
        <v>4422131.7</v>
      </c>
      <c r="AO35" s="382">
        <f>'Large Ind Prod'!BN36</f>
        <v>0</v>
      </c>
      <c r="AP35" s="382">
        <f>'Large Ind Prod'!BO36</f>
        <v>0</v>
      </c>
      <c r="AQ35" s="675">
        <f t="shared" si="7"/>
        <v>0</v>
      </c>
      <c r="AR35" s="654">
        <f>'Large Ind Prod'!CD36</f>
        <v>0</v>
      </c>
      <c r="AS35" s="654">
        <f>'Large Ind Prod'!CE36</f>
        <v>0</v>
      </c>
      <c r="AT35" s="654">
        <f t="shared" si="8"/>
        <v>0</v>
      </c>
      <c r="AU35" s="248"/>
      <c r="AV35" s="36" t="s">
        <v>52</v>
      </c>
      <c r="AW35" s="38">
        <v>244364.3341793</v>
      </c>
      <c r="AX35" s="38">
        <v>264486.6172788</v>
      </c>
      <c r="AY35" s="42">
        <v>508850.9514581</v>
      </c>
    </row>
    <row r="36" spans="1:51" ht="15.5" thickBot="1">
      <c r="A36" s="20" t="s">
        <v>54</v>
      </c>
      <c r="B36" s="643"/>
      <c r="C36" s="589">
        <f>C37+C41</f>
        <v>433208.022642</v>
      </c>
      <c r="D36" s="630">
        <f>D37+D41</f>
        <v>868685.34245</v>
      </c>
      <c r="E36" s="615">
        <f t="shared" si="16"/>
        <v>1301893.365092</v>
      </c>
      <c r="F36" s="589">
        <f>F37+F41</f>
        <v>449347.02881000005</v>
      </c>
      <c r="G36" s="613">
        <f>G37+G41</f>
        <v>776442.12401000003</v>
      </c>
      <c r="H36" s="615">
        <f t="shared" si="24"/>
        <v>1225789.15282</v>
      </c>
      <c r="I36" s="589">
        <f>I37+I41</f>
        <v>895242.22665999993</v>
      </c>
      <c r="J36" s="613">
        <f>J37+J41</f>
        <v>810712.32480000006</v>
      </c>
      <c r="K36" s="622">
        <f t="shared" si="25"/>
        <v>1705954.55146</v>
      </c>
      <c r="L36" s="589">
        <f>L37+L41</f>
        <v>785672.58994999994</v>
      </c>
      <c r="M36" s="613">
        <f>M37+M41</f>
        <v>705716.26666999992</v>
      </c>
      <c r="N36" s="635">
        <f>L36+M36</f>
        <v>1491388.8566199997</v>
      </c>
      <c r="Z36" s="27" t="s">
        <v>222</v>
      </c>
      <c r="AA36" s="33">
        <f>'Large Ind Prod'!P100</f>
        <v>1762.3534999999999</v>
      </c>
      <c r="AB36" s="33">
        <f>'Large Ind Prod'!Q100</f>
        <v>2676.0439999999999</v>
      </c>
      <c r="AC36" s="33">
        <f t="shared" si="1"/>
        <v>4438.3975</v>
      </c>
      <c r="AD36" s="33">
        <f>'Large Ind Prod'!P37</f>
        <v>999141.79999999993</v>
      </c>
      <c r="AE36" s="33">
        <f>'Large Ind Prod'!Q37</f>
        <v>563140.6</v>
      </c>
      <c r="AF36" s="33">
        <f t="shared" si="2"/>
        <v>1562282.4</v>
      </c>
      <c r="AG36" s="360">
        <f t="shared" si="3"/>
        <v>0.6029302242532355</v>
      </c>
      <c r="AH36" s="361">
        <f t="shared" si="4"/>
        <v>1657143.3307021484</v>
      </c>
      <c r="AI36" s="398">
        <f>'Large Ind Prod'!AF37</f>
        <v>1933.5</v>
      </c>
      <c r="AJ36" s="398">
        <f>'Large Ind Prod'!AG37</f>
        <v>1526.5</v>
      </c>
      <c r="AK36" s="398">
        <f t="shared" si="5"/>
        <v>3460</v>
      </c>
      <c r="AL36" s="248">
        <f>'Large Ind Prod'!AX37</f>
        <v>1843974</v>
      </c>
      <c r="AM36" s="248">
        <f>'Large Ind Prod'!AY37</f>
        <v>474387.8</v>
      </c>
      <c r="AN36" s="248">
        <f t="shared" si="6"/>
        <v>2318361.7999999998</v>
      </c>
      <c r="AO36" s="382">
        <f>'Large Ind Prod'!BN37</f>
        <v>0</v>
      </c>
      <c r="AP36" s="382">
        <f>'Large Ind Prod'!BO37</f>
        <v>0</v>
      </c>
      <c r="AQ36" s="675">
        <f t="shared" si="7"/>
        <v>0</v>
      </c>
      <c r="AR36" s="654">
        <f>'Large Ind Prod'!CD37</f>
        <v>0</v>
      </c>
      <c r="AS36" s="654">
        <f>'Large Ind Prod'!CE37</f>
        <v>0</v>
      </c>
      <c r="AT36" s="654">
        <f t="shared" si="8"/>
        <v>0</v>
      </c>
      <c r="AU36" s="248"/>
      <c r="AV36" s="36" t="s">
        <v>54</v>
      </c>
      <c r="AW36" s="43"/>
      <c r="AX36" s="43"/>
      <c r="AY36" s="44">
        <v>242421317928.26602</v>
      </c>
    </row>
    <row r="37" spans="1:51">
      <c r="A37" s="550" t="s">
        <v>177</v>
      </c>
      <c r="B37" s="644"/>
      <c r="C37" s="587">
        <f>SUM(C38:C40)</f>
        <v>219236.83425000001</v>
      </c>
      <c r="D37" s="587">
        <f>SUM(D38:D40)</f>
        <v>507759.40006000001</v>
      </c>
      <c r="E37" s="623">
        <f>SUM(E38:E40)</f>
        <v>726996.23430999997</v>
      </c>
      <c r="F37" s="587">
        <f>SUM(F38:F40)</f>
        <v>254941.39880999998</v>
      </c>
      <c r="G37" s="587">
        <f>SUM(G38:G40)</f>
        <v>391489.35401000001</v>
      </c>
      <c r="H37" s="623">
        <f>F37+G37</f>
        <v>646430.75282000005</v>
      </c>
      <c r="I37" s="587">
        <f t="shared" ref="I37:N37" si="26">SUM(I38:I40)</f>
        <v>306678.91566</v>
      </c>
      <c r="J37" s="587">
        <f t="shared" si="26"/>
        <v>445744.66480000003</v>
      </c>
      <c r="K37" s="623">
        <f t="shared" si="26"/>
        <v>752423.58046000008</v>
      </c>
      <c r="L37" s="587">
        <f t="shared" si="26"/>
        <v>396938.84995</v>
      </c>
      <c r="M37" s="587">
        <f t="shared" si="26"/>
        <v>264971.66666999995</v>
      </c>
      <c r="N37" s="623">
        <f t="shared" si="26"/>
        <v>661910.51662000001</v>
      </c>
      <c r="Z37" s="27" t="s">
        <v>223</v>
      </c>
      <c r="AA37" s="33">
        <f>'Large Ind Prod'!P101</f>
        <v>659.93499999999995</v>
      </c>
      <c r="AB37" s="33">
        <f>'Large Ind Prod'!Q101</f>
        <v>880.23790999999994</v>
      </c>
      <c r="AC37" s="33">
        <f t="shared" si="1"/>
        <v>1540.1729099999998</v>
      </c>
      <c r="AD37" s="33">
        <f>'Large Ind Prod'!P38</f>
        <v>441509.2</v>
      </c>
      <c r="AE37" s="33">
        <f>'Large Ind Prod'!Q38</f>
        <v>181925.3</v>
      </c>
      <c r="AF37" s="33">
        <f t="shared" si="2"/>
        <v>623434.5</v>
      </c>
      <c r="AG37" s="360">
        <f t="shared" si="3"/>
        <v>0.57151888874606938</v>
      </c>
      <c r="AH37" s="361">
        <f t="shared" si="4"/>
        <v>772518.99927347153</v>
      </c>
      <c r="AI37" s="398">
        <f>'Large Ind Prod'!AF38</f>
        <v>0</v>
      </c>
      <c r="AJ37" s="398">
        <f>'Large Ind Prod'!AG38</f>
        <v>1394.5</v>
      </c>
      <c r="AK37" s="398">
        <f t="shared" si="5"/>
        <v>1394.5</v>
      </c>
      <c r="AL37" s="248">
        <f>'Large Ind Prod'!AX38</f>
        <v>599974.80000000005</v>
      </c>
      <c r="AM37" s="248">
        <f>'Large Ind Prod'!AY38</f>
        <v>337382.6</v>
      </c>
      <c r="AN37" s="248">
        <f t="shared" si="6"/>
        <v>937357.4</v>
      </c>
      <c r="AO37" s="382">
        <f>'Large Ind Prod'!BN38</f>
        <v>0</v>
      </c>
      <c r="AP37" s="382">
        <f>'Large Ind Prod'!BO38</f>
        <v>0</v>
      </c>
      <c r="AQ37" s="675">
        <f t="shared" si="7"/>
        <v>0</v>
      </c>
      <c r="AR37" s="654">
        <f>'Large Ind Prod'!CD38</f>
        <v>0</v>
      </c>
      <c r="AS37" s="654">
        <f>'Large Ind Prod'!CE38</f>
        <v>0</v>
      </c>
      <c r="AT37" s="654">
        <f t="shared" si="8"/>
        <v>0</v>
      </c>
      <c r="AU37" s="248"/>
      <c r="AV37" s="37" t="s">
        <v>177</v>
      </c>
      <c r="AW37" s="39"/>
      <c r="AX37" s="39"/>
      <c r="AY37" s="45">
        <v>185575618606.04456</v>
      </c>
    </row>
    <row r="38" spans="1:51">
      <c r="A38" s="146" t="s">
        <v>178</v>
      </c>
      <c r="B38" s="207"/>
      <c r="C38" s="582">
        <v>137655.49698</v>
      </c>
      <c r="D38" s="582">
        <v>395954.522</v>
      </c>
      <c r="E38" s="625">
        <f t="shared" si="16"/>
        <v>533610.01897999994</v>
      </c>
      <c r="F38" s="583">
        <v>164297.834</v>
      </c>
      <c r="G38" s="583">
        <v>272240.98719999997</v>
      </c>
      <c r="H38" s="625">
        <f t="shared" si="24"/>
        <v>436538.82120000001</v>
      </c>
      <c r="I38" s="583">
        <f>SUM('Cement import'!N26/1000)</f>
        <v>206195.18299999999</v>
      </c>
      <c r="J38" s="583">
        <f>SUM('Cement import'!O26/1000)</f>
        <v>328296.99050000001</v>
      </c>
      <c r="K38" s="624">
        <f t="shared" si="25"/>
        <v>534492.17350000003</v>
      </c>
      <c r="L38" s="583">
        <f>'Cement import'!N33/1000</f>
        <v>292067.95572000003</v>
      </c>
      <c r="M38" s="583">
        <f>'Cement import'!O33/1000</f>
        <v>173909.91684999998</v>
      </c>
      <c r="N38" s="616">
        <f t="shared" ref="N38:N45" si="27">L38+M38</f>
        <v>465977.87257000001</v>
      </c>
      <c r="Z38" s="24" t="s">
        <v>224</v>
      </c>
      <c r="AA38" s="33">
        <f>'Large Ind Prod'!P102</f>
        <v>1045.6338000000001</v>
      </c>
      <c r="AB38" s="33">
        <f>'Large Ind Prod'!Q102</f>
        <v>1474.4727</v>
      </c>
      <c r="AC38" s="33">
        <f t="shared" si="1"/>
        <v>2520.1064999999999</v>
      </c>
      <c r="AD38" s="33">
        <f>'Large Ind Prod'!P39</f>
        <v>742075.4</v>
      </c>
      <c r="AE38" s="33">
        <f>'Large Ind Prod'!Q39</f>
        <v>450832.30000000005</v>
      </c>
      <c r="AF38" s="33">
        <f t="shared" si="2"/>
        <v>1192907.7000000002</v>
      </c>
      <c r="AG38" s="360">
        <f t="shared" si="3"/>
        <v>0.58508348754308592</v>
      </c>
      <c r="AH38" s="361">
        <f t="shared" si="4"/>
        <v>1268323.9499992779</v>
      </c>
      <c r="AI38" s="398">
        <f>'Large Ind Prod'!AF39</f>
        <v>0</v>
      </c>
      <c r="AJ38" s="398">
        <f>'Large Ind Prod'!AG39</f>
        <v>0</v>
      </c>
      <c r="AK38" s="398">
        <f t="shared" si="5"/>
        <v>0</v>
      </c>
      <c r="AL38" s="248">
        <f>'Large Ind Prod'!AX39</f>
        <v>639183.60000000009</v>
      </c>
      <c r="AM38" s="248">
        <f>'Large Ind Prod'!AY39</f>
        <v>527228.9</v>
      </c>
      <c r="AN38" s="248">
        <f t="shared" si="6"/>
        <v>1166412.5</v>
      </c>
      <c r="AO38" s="382">
        <f>'Large Ind Prod'!BN39</f>
        <v>0</v>
      </c>
      <c r="AP38" s="382">
        <f>'Large Ind Prod'!BO39</f>
        <v>0</v>
      </c>
      <c r="AQ38" s="675">
        <f t="shared" si="7"/>
        <v>0</v>
      </c>
      <c r="AR38" s="654">
        <f>'Large Ind Prod'!CD39</f>
        <v>0</v>
      </c>
      <c r="AS38" s="654">
        <f>'Large Ind Prod'!CE39</f>
        <v>0</v>
      </c>
      <c r="AT38" s="654">
        <f t="shared" si="8"/>
        <v>0</v>
      </c>
      <c r="AU38" s="248"/>
      <c r="AV38" s="37" t="s">
        <v>178</v>
      </c>
      <c r="AW38" s="46">
        <v>296123.81800000003</v>
      </c>
      <c r="AX38" s="47">
        <v>129728.25499999995</v>
      </c>
      <c r="AY38" s="47">
        <v>425852.07299999997</v>
      </c>
    </row>
    <row r="39" spans="1:51" s="22" customFormat="1">
      <c r="A39" s="395" t="s">
        <v>179</v>
      </c>
      <c r="B39" s="207"/>
      <c r="C39" s="582">
        <v>32379.901060000004</v>
      </c>
      <c r="D39" s="582">
        <v>49832.303059999998</v>
      </c>
      <c r="E39" s="625">
        <f t="shared" si="16"/>
        <v>82212.204120000009</v>
      </c>
      <c r="F39" s="583">
        <v>36079.341359999999</v>
      </c>
      <c r="G39" s="583">
        <v>37577.460379999997</v>
      </c>
      <c r="H39" s="625">
        <f t="shared" si="24"/>
        <v>73656.801739999995</v>
      </c>
      <c r="I39" s="583">
        <f>SUM('Cement import'!N27/1000)</f>
        <v>35765.205870000005</v>
      </c>
      <c r="J39" s="583">
        <f>SUM('Cement import'!O27/1000)</f>
        <v>39522.699569999997</v>
      </c>
      <c r="K39" s="625">
        <f t="shared" si="25"/>
        <v>75287.905440000002</v>
      </c>
      <c r="L39" s="583">
        <f>'Cement import'!N34/1000</f>
        <v>39918.043829999995</v>
      </c>
      <c r="M39" s="583">
        <f>'Cement import'!O34/1000</f>
        <v>36874.648679999991</v>
      </c>
      <c r="N39" s="616">
        <f>L39+M39</f>
        <v>76792.692509999993</v>
      </c>
      <c r="Z39" s="468" t="s">
        <v>225</v>
      </c>
      <c r="AA39" s="396">
        <f>'Large Ind Prod'!P103</f>
        <v>3470.0483920000001</v>
      </c>
      <c r="AB39" s="396">
        <f>'Large Ind Prod'!Q103</f>
        <v>4251.3223899999994</v>
      </c>
      <c r="AC39" s="396">
        <f t="shared" si="1"/>
        <v>7721.370782</v>
      </c>
      <c r="AD39" s="396">
        <f>'Large Ind Prod'!P40</f>
        <v>0</v>
      </c>
      <c r="AE39" s="396">
        <f>'Large Ind Prod'!Q40</f>
        <v>0</v>
      </c>
      <c r="AF39" s="396">
        <f t="shared" si="2"/>
        <v>0</v>
      </c>
      <c r="AG39" s="22">
        <f t="shared" si="3"/>
        <v>0.55059166435973395</v>
      </c>
      <c r="AH39" s="396">
        <f t="shared" si="4"/>
        <v>0</v>
      </c>
      <c r="AI39" s="473">
        <f>'Large Ind Prod'!AF40</f>
        <v>368894</v>
      </c>
      <c r="AJ39" s="473">
        <f>'Large Ind Prod'!AG40</f>
        <v>422160.626559</v>
      </c>
      <c r="AK39" s="473">
        <f t="shared" si="5"/>
        <v>791054.626559</v>
      </c>
      <c r="AL39" s="473">
        <f>'Large Ind Prod'!AX40</f>
        <v>238302.36299999998</v>
      </c>
      <c r="AM39" s="469">
        <f>'Large Ind Prod'!AY40</f>
        <v>0</v>
      </c>
      <c r="AN39" s="469">
        <f t="shared" si="6"/>
        <v>238302.36299999998</v>
      </c>
      <c r="AO39" s="469">
        <f>'Large Ind Prod'!BN40</f>
        <v>0</v>
      </c>
      <c r="AP39" s="469">
        <f>'Large Ind Prod'!BO40</f>
        <v>0</v>
      </c>
      <c r="AQ39" s="676">
        <f t="shared" si="7"/>
        <v>0</v>
      </c>
      <c r="AR39" s="654">
        <f>'Large Ind Prod'!CD40</f>
        <v>0</v>
      </c>
      <c r="AS39" s="654">
        <f>'Large Ind Prod'!CE40</f>
        <v>0</v>
      </c>
      <c r="AT39" s="654">
        <f t="shared" si="8"/>
        <v>0</v>
      </c>
      <c r="AU39" s="248"/>
      <c r="AV39" s="470" t="s">
        <v>179</v>
      </c>
      <c r="AW39" s="46">
        <v>46450.367569999995</v>
      </c>
      <c r="AX39" s="47">
        <v>22958.608789999991</v>
      </c>
      <c r="AY39" s="47">
        <v>69408.976359999986</v>
      </c>
    </row>
    <row r="40" spans="1:51">
      <c r="A40" s="146" t="s">
        <v>180</v>
      </c>
      <c r="B40" s="207"/>
      <c r="C40" s="582">
        <v>49201.43621</v>
      </c>
      <c r="D40" s="582">
        <v>61972.575000000012</v>
      </c>
      <c r="E40" s="625">
        <f t="shared" si="16"/>
        <v>111174.01121000001</v>
      </c>
      <c r="F40" s="583">
        <v>54564.223449999998</v>
      </c>
      <c r="G40" s="583">
        <v>81670.906430000003</v>
      </c>
      <c r="H40" s="625">
        <f t="shared" si="24"/>
        <v>136235.12987999999</v>
      </c>
      <c r="I40" s="583">
        <f>SUM('Cement import'!N28/1000)</f>
        <v>64718.526789999996</v>
      </c>
      <c r="J40" s="583">
        <f>SUM('Cement import'!O28/1000)</f>
        <v>77924.974730000002</v>
      </c>
      <c r="K40" s="624">
        <f t="shared" si="25"/>
        <v>142643.50151999999</v>
      </c>
      <c r="L40" s="583">
        <f>'Cement import'!N35/1000</f>
        <v>64952.850399999996</v>
      </c>
      <c r="M40" s="583">
        <f>'Cement import'!O35/1000</f>
        <v>54187.101139999999</v>
      </c>
      <c r="N40" s="616">
        <f t="shared" si="27"/>
        <v>119139.95153999999</v>
      </c>
      <c r="Z40" s="24" t="s">
        <v>226</v>
      </c>
      <c r="AA40" s="33">
        <f>'Large Ind Prod'!P104</f>
        <v>14062198.08</v>
      </c>
      <c r="AB40" s="33">
        <f>'Large Ind Prod'!Q104</f>
        <v>24134088.600000001</v>
      </c>
      <c r="AC40" s="33">
        <f t="shared" si="1"/>
        <v>38196286.68</v>
      </c>
      <c r="AD40" s="33">
        <f>'Large Ind Prod'!P41</f>
        <v>8606513</v>
      </c>
      <c r="AE40" s="33">
        <f>'Large Ind Prod'!Q41</f>
        <v>6582284.5</v>
      </c>
      <c r="AF40" s="33">
        <f t="shared" si="2"/>
        <v>15188797.5</v>
      </c>
      <c r="AG40" s="360">
        <f t="shared" si="3"/>
        <v>0.63184384393671644</v>
      </c>
      <c r="AH40" s="361">
        <f t="shared" si="4"/>
        <v>13621265.891231826</v>
      </c>
      <c r="AI40" s="398">
        <f>'Large Ind Prod'!AF41</f>
        <v>289251</v>
      </c>
      <c r="AJ40" s="398">
        <f>'Large Ind Prod'!AG41</f>
        <v>284727</v>
      </c>
      <c r="AK40" s="398">
        <f t="shared" si="5"/>
        <v>573978</v>
      </c>
      <c r="AL40" s="248">
        <f>'Large Ind Prod'!AX41</f>
        <v>7855669.3330000006</v>
      </c>
      <c r="AM40" s="248">
        <f>'Large Ind Prod'!AY41</f>
        <v>0</v>
      </c>
      <c r="AN40" s="248">
        <f t="shared" si="6"/>
        <v>7855669.3330000006</v>
      </c>
      <c r="AO40" s="382">
        <f>'Large Ind Prod'!BN41</f>
        <v>0</v>
      </c>
      <c r="AP40" s="382">
        <f>'Large Ind Prod'!BO41</f>
        <v>0</v>
      </c>
      <c r="AQ40" s="675">
        <f t="shared" si="7"/>
        <v>0</v>
      </c>
      <c r="AR40" s="654">
        <f>'Large Ind Prod'!CD41</f>
        <v>0</v>
      </c>
      <c r="AS40" s="654">
        <f>'Large Ind Prod'!CE41</f>
        <v>0</v>
      </c>
      <c r="AT40" s="654">
        <f t="shared" si="8"/>
        <v>0</v>
      </c>
      <c r="AU40" s="248"/>
      <c r="AV40" s="37" t="s">
        <v>180</v>
      </c>
      <c r="AW40" s="46">
        <v>42857.720100000006</v>
      </c>
      <c r="AX40" s="47">
        <v>29932.473230000003</v>
      </c>
      <c r="AY40" s="47">
        <v>72790.193330000009</v>
      </c>
    </row>
    <row r="41" spans="1:51" s="245" customFormat="1">
      <c r="A41" s="542" t="s">
        <v>181</v>
      </c>
      <c r="B41" s="638"/>
      <c r="C41" s="203">
        <f>SUM(C42:C43)</f>
        <v>213971.18839199998</v>
      </c>
      <c r="D41" s="203">
        <f>SUM(D42:D43)</f>
        <v>360925.94238999998</v>
      </c>
      <c r="E41" s="615">
        <f t="shared" si="16"/>
        <v>574897.13078200002</v>
      </c>
      <c r="F41" s="203">
        <f>SUM(F42:F43)</f>
        <v>194405.63000000003</v>
      </c>
      <c r="G41" s="203">
        <f>SUM(G42:G43)</f>
        <v>384952.77</v>
      </c>
      <c r="H41" s="632">
        <f>F41+G41</f>
        <v>579358.4</v>
      </c>
      <c r="I41" s="203">
        <f>SUM(I42:I43)</f>
        <v>588563.31099999999</v>
      </c>
      <c r="J41" s="203">
        <f>SUM(J42:J43)</f>
        <v>364967.66000000003</v>
      </c>
      <c r="K41" s="626">
        <f>SUM(K42:K44)</f>
        <v>957089.32987700007</v>
      </c>
      <c r="L41" s="586">
        <f>SUM(L42:L44)</f>
        <v>388733.74</v>
      </c>
      <c r="M41" s="586">
        <f>SUM(M42:M44)</f>
        <v>440744.6</v>
      </c>
      <c r="N41" s="615">
        <f t="shared" si="27"/>
        <v>829478.34</v>
      </c>
      <c r="Z41" s="25" t="s">
        <v>227</v>
      </c>
      <c r="AA41" s="203">
        <f>'Large Ind Prod'!P105</f>
        <v>4015109.9975999999</v>
      </c>
      <c r="AB41" s="203">
        <f>'Large Ind Prod'!Q105</f>
        <v>6206277.1976000005</v>
      </c>
      <c r="AC41" s="203">
        <f t="shared" si="1"/>
        <v>10221387.1952</v>
      </c>
      <c r="AD41" s="203">
        <f>'Large Ind Prod'!P42</f>
        <v>2967541.6</v>
      </c>
      <c r="AE41" s="203">
        <f>'Large Ind Prod'!Q42</f>
        <v>2285265.2000000002</v>
      </c>
      <c r="AF41" s="203">
        <f t="shared" si="2"/>
        <v>5252806.8000000007</v>
      </c>
      <c r="AG41" s="543">
        <f t="shared" si="3"/>
        <v>0.60718541222217759</v>
      </c>
      <c r="AH41" s="544">
        <f t="shared" si="4"/>
        <v>4887373.0169823896</v>
      </c>
      <c r="AI41" s="545">
        <f>'Large Ind Prod'!AF42</f>
        <v>376928</v>
      </c>
      <c r="AJ41" s="545">
        <f>'Large Ind Prod'!AG42</f>
        <v>0</v>
      </c>
      <c r="AK41" s="545">
        <f t="shared" si="5"/>
        <v>376928</v>
      </c>
      <c r="AL41" s="546">
        <f>'Large Ind Prod'!AX42</f>
        <v>3818741.4</v>
      </c>
      <c r="AM41" s="546">
        <f>'Large Ind Prod'!AY42</f>
        <v>0</v>
      </c>
      <c r="AN41" s="546">
        <f t="shared" si="6"/>
        <v>3818741.4</v>
      </c>
      <c r="AO41" s="547">
        <f>'Large Ind Prod'!BN42</f>
        <v>0</v>
      </c>
      <c r="AP41" s="547">
        <f>'Large Ind Prod'!BO42</f>
        <v>0</v>
      </c>
      <c r="AQ41" s="678">
        <f t="shared" si="7"/>
        <v>0</v>
      </c>
      <c r="AR41" s="654">
        <f>'Large Ind Prod'!CD42</f>
        <v>0</v>
      </c>
      <c r="AS41" s="654">
        <f>'Large Ind Prod'!CE42</f>
        <v>0</v>
      </c>
      <c r="AT41" s="655">
        <f t="shared" si="8"/>
        <v>0</v>
      </c>
      <c r="AU41" s="546"/>
      <c r="AV41" s="14" t="s">
        <v>181</v>
      </c>
      <c r="AW41" s="548"/>
      <c r="AX41" s="548"/>
      <c r="AY41" s="549">
        <v>56845699322.221458</v>
      </c>
    </row>
    <row r="42" spans="1:51">
      <c r="A42" s="395" t="s">
        <v>182</v>
      </c>
      <c r="B42" s="207"/>
      <c r="C42" s="33">
        <f>AA6</f>
        <v>210501.13999999998</v>
      </c>
      <c r="D42" s="33">
        <f>AB6</f>
        <v>356674.62</v>
      </c>
      <c r="E42" s="616">
        <f t="shared" si="16"/>
        <v>567175.76</v>
      </c>
      <c r="F42" s="33">
        <f>AD6</f>
        <v>194405.63000000003</v>
      </c>
      <c r="G42" s="33">
        <f>AE6</f>
        <v>384952.77</v>
      </c>
      <c r="H42" s="625">
        <f t="shared" si="24"/>
        <v>579358.4</v>
      </c>
      <c r="I42" s="33">
        <f>AL6</f>
        <v>350260.94800000003</v>
      </c>
      <c r="J42" s="33">
        <f>AM6</f>
        <v>364967.66000000003</v>
      </c>
      <c r="K42" s="616">
        <f>I42+J42</f>
        <v>715228.60800000001</v>
      </c>
      <c r="L42" s="33">
        <f>AO6</f>
        <v>388733.74</v>
      </c>
      <c r="M42" s="33">
        <f>AP6</f>
        <v>440744.6</v>
      </c>
      <c r="N42" s="616">
        <f t="shared" si="27"/>
        <v>829478.34</v>
      </c>
      <c r="Z42" s="24" t="s">
        <v>228</v>
      </c>
      <c r="AA42" s="33">
        <f>'Large Ind Prod'!P106</f>
        <v>33945856.269999996</v>
      </c>
      <c r="AB42" s="33">
        <f>'Large Ind Prod'!Q106</f>
        <v>54624090</v>
      </c>
      <c r="AC42" s="33">
        <f t="shared" si="1"/>
        <v>88569946.269999996</v>
      </c>
      <c r="AD42" s="33">
        <f>'Large Ind Prod'!P43</f>
        <v>29339984</v>
      </c>
      <c r="AE42" s="33">
        <f>'Large Ind Prod'!Q43</f>
        <v>33056542</v>
      </c>
      <c r="AF42" s="33">
        <f t="shared" si="2"/>
        <v>62396526</v>
      </c>
      <c r="AG42" s="360">
        <f t="shared" si="3"/>
        <v>0.61673391822415524</v>
      </c>
      <c r="AH42" s="361">
        <f t="shared" si="4"/>
        <v>47573164.265851557</v>
      </c>
      <c r="AI42" s="398">
        <f>'Large Ind Prod'!AF43</f>
        <v>29991106</v>
      </c>
      <c r="AJ42" s="398">
        <f>'Large Ind Prod'!AG43</f>
        <v>16452559</v>
      </c>
      <c r="AK42" s="398">
        <f t="shared" si="5"/>
        <v>46443665</v>
      </c>
      <c r="AL42" s="248">
        <f>'Large Ind Prod'!AX43</f>
        <v>27353734</v>
      </c>
      <c r="AM42" s="248">
        <f>'Large Ind Prod'!AY43</f>
        <v>11675910</v>
      </c>
      <c r="AN42" s="248">
        <f t="shared" si="6"/>
        <v>39029644</v>
      </c>
      <c r="AO42" s="382">
        <f>'Large Ind Prod'!BN43</f>
        <v>2729639.5700000003</v>
      </c>
      <c r="AP42" s="382">
        <f>'Large Ind Prod'!BO43</f>
        <v>0</v>
      </c>
      <c r="AQ42" s="675">
        <f t="shared" si="7"/>
        <v>2729639.5700000003</v>
      </c>
      <c r="AR42" s="654">
        <f>'Large Ind Prod'!CD43</f>
        <v>0</v>
      </c>
      <c r="AS42" s="654">
        <f>'Large Ind Prod'!CE43</f>
        <v>0</v>
      </c>
      <c r="AT42" s="654">
        <f t="shared" si="8"/>
        <v>0</v>
      </c>
      <c r="AU42" s="248"/>
      <c r="AV42" s="11" t="s">
        <v>182</v>
      </c>
      <c r="AW42" s="41">
        <v>56377.1</v>
      </c>
      <c r="AX42" s="41">
        <v>124673.34999999999</v>
      </c>
      <c r="AY42" s="49">
        <v>181050.44999999998</v>
      </c>
    </row>
    <row r="43" spans="1:51">
      <c r="A43" s="395" t="s">
        <v>183</v>
      </c>
      <c r="B43" s="207"/>
      <c r="C43" s="33">
        <f>AA39</f>
        <v>3470.0483920000001</v>
      </c>
      <c r="D43" s="33">
        <f>AB39</f>
        <v>4251.3223899999994</v>
      </c>
      <c r="E43" s="616">
        <f t="shared" si="16"/>
        <v>7721.370782</v>
      </c>
      <c r="F43" s="33">
        <f>AD39</f>
        <v>0</v>
      </c>
      <c r="G43" s="33">
        <f>AE39</f>
        <v>0</v>
      </c>
      <c r="H43" s="625">
        <f t="shared" si="24"/>
        <v>0</v>
      </c>
      <c r="I43" s="33">
        <f>AL39</f>
        <v>238302.36299999998</v>
      </c>
      <c r="J43" s="33">
        <f>AM39</f>
        <v>0</v>
      </c>
      <c r="K43" s="616">
        <f>I43+J43</f>
        <v>238302.36299999998</v>
      </c>
      <c r="L43" s="33">
        <f>AO39</f>
        <v>0</v>
      </c>
      <c r="M43" s="33">
        <f>AP39</f>
        <v>0</v>
      </c>
      <c r="N43" s="616">
        <f t="shared" si="27"/>
        <v>0</v>
      </c>
      <c r="Z43" s="24" t="s">
        <v>229</v>
      </c>
      <c r="AA43" s="33">
        <f>'Large Ind Prod'!P107</f>
        <v>382935.65</v>
      </c>
      <c r="AB43" s="33">
        <f>'Large Ind Prod'!Q107</f>
        <v>431629.44999999995</v>
      </c>
      <c r="AC43" s="33">
        <f t="shared" si="1"/>
        <v>814565.1</v>
      </c>
      <c r="AD43" s="33">
        <f>'Large Ind Prod'!P44</f>
        <v>62396.4</v>
      </c>
      <c r="AE43" s="33">
        <f>'Large Ind Prod'!Q44</f>
        <v>135514.85</v>
      </c>
      <c r="AF43" s="33">
        <f t="shared" si="2"/>
        <v>197911.25</v>
      </c>
      <c r="AG43" s="360">
        <f t="shared" si="3"/>
        <v>0.52988944652796932</v>
      </c>
      <c r="AH43" s="361">
        <f t="shared" si="4"/>
        <v>117753.61900268855</v>
      </c>
      <c r="AI43" s="398">
        <f>'Large Ind Prod'!AF44</f>
        <v>121468.8</v>
      </c>
      <c r="AJ43" s="398">
        <f>'Large Ind Prod'!AG44</f>
        <v>19966</v>
      </c>
      <c r="AK43" s="398">
        <f t="shared" si="5"/>
        <v>141434.79999999999</v>
      </c>
      <c r="AL43" s="248">
        <f>'Large Ind Prod'!AX44</f>
        <v>114112.05</v>
      </c>
      <c r="AM43" s="248">
        <f>'Large Ind Prod'!AY44</f>
        <v>0</v>
      </c>
      <c r="AN43" s="248">
        <f t="shared" si="6"/>
        <v>114112.05</v>
      </c>
      <c r="AO43" s="382">
        <f>'Large Ind Prod'!BN44</f>
        <v>0</v>
      </c>
      <c r="AP43" s="382">
        <f>'Large Ind Prod'!BO44</f>
        <v>0</v>
      </c>
      <c r="AQ43" s="675">
        <f t="shared" si="7"/>
        <v>0</v>
      </c>
      <c r="AR43" s="654">
        <f>'Large Ind Prod'!CD44</f>
        <v>0</v>
      </c>
      <c r="AS43" s="654">
        <f>'Large Ind Prod'!CE44</f>
        <v>0</v>
      </c>
      <c r="AT43" s="654">
        <f t="shared" si="8"/>
        <v>0</v>
      </c>
      <c r="AU43" s="248"/>
      <c r="AV43" s="11" t="s">
        <v>183</v>
      </c>
      <c r="AW43" s="41">
        <v>770.60366520000002</v>
      </c>
      <c r="AX43" s="41">
        <v>1283.5080910000001</v>
      </c>
      <c r="AY43" s="49">
        <v>2054.1117561999999</v>
      </c>
    </row>
    <row r="44" spans="1:51">
      <c r="A44" s="395" t="s">
        <v>184</v>
      </c>
      <c r="B44" s="207"/>
      <c r="C44" s="33">
        <f>AA7</f>
        <v>9503.9333040000001</v>
      </c>
      <c r="D44" s="33">
        <f>AB7</f>
        <v>10650.108504000002</v>
      </c>
      <c r="E44" s="616">
        <f t="shared" si="16"/>
        <v>20154.041808000002</v>
      </c>
      <c r="F44" s="33">
        <f>AD7</f>
        <v>0</v>
      </c>
      <c r="G44" s="33">
        <f>AE7</f>
        <v>0</v>
      </c>
      <c r="H44" s="625">
        <f t="shared" si="24"/>
        <v>0</v>
      </c>
      <c r="I44" s="33">
        <f>AL7</f>
        <v>1796.1409160000001</v>
      </c>
      <c r="J44" s="33">
        <f>AM7</f>
        <v>1762.2179609999998</v>
      </c>
      <c r="K44" s="616">
        <f>I44+J44</f>
        <v>3558.3588769999997</v>
      </c>
      <c r="L44" s="33">
        <f>AO7</f>
        <v>0</v>
      </c>
      <c r="M44" s="33">
        <f>AP7</f>
        <v>0</v>
      </c>
      <c r="N44" s="616">
        <f t="shared" si="27"/>
        <v>0</v>
      </c>
      <c r="Z44" s="24" t="s">
        <v>230</v>
      </c>
      <c r="AA44" s="33">
        <f>'Large Ind Prod'!P108</f>
        <v>3538722.108</v>
      </c>
      <c r="AB44" s="33">
        <f>'Large Ind Prod'!Q108</f>
        <v>1897989.32</v>
      </c>
      <c r="AC44" s="33">
        <f t="shared" si="1"/>
        <v>5436711.4280000003</v>
      </c>
      <c r="AD44" s="33">
        <f>'Large Ind Prod'!P45</f>
        <v>1949755.976</v>
      </c>
      <c r="AE44" s="33">
        <f>'Large Ind Prod'!Q45</f>
        <v>3089235.1680000001</v>
      </c>
      <c r="AF44" s="33">
        <f t="shared" si="2"/>
        <v>5038991.1440000003</v>
      </c>
      <c r="AG44" s="360">
        <f t="shared" si="3"/>
        <v>0.34910613615153974</v>
      </c>
      <c r="AH44" s="361">
        <f t="shared" si="4"/>
        <v>5584994.8599976813</v>
      </c>
      <c r="AI44" s="398">
        <f>'Large Ind Prod'!AF45</f>
        <v>0</v>
      </c>
      <c r="AJ44" s="398">
        <f>'Large Ind Prod'!AG45</f>
        <v>0</v>
      </c>
      <c r="AK44" s="398">
        <f t="shared" si="5"/>
        <v>0</v>
      </c>
      <c r="AL44" s="248">
        <f>'Large Ind Prod'!AX45</f>
        <v>0</v>
      </c>
      <c r="AM44" s="248">
        <f>'Large Ind Prod'!AY45</f>
        <v>0</v>
      </c>
      <c r="AN44" s="248">
        <f t="shared" si="6"/>
        <v>0</v>
      </c>
      <c r="AO44" s="382">
        <f>'Large Ind Prod'!BN45</f>
        <v>0</v>
      </c>
      <c r="AP44" s="382">
        <f>'Large Ind Prod'!BO45</f>
        <v>0</v>
      </c>
      <c r="AQ44" s="675">
        <f t="shared" si="7"/>
        <v>0</v>
      </c>
      <c r="AR44" s="654">
        <f>'Large Ind Prod'!CD45</f>
        <v>0</v>
      </c>
      <c r="AS44" s="654">
        <f>'Large Ind Prod'!CE45</f>
        <v>0</v>
      </c>
      <c r="AT44" s="654">
        <f t="shared" si="8"/>
        <v>0</v>
      </c>
      <c r="AU44" s="248"/>
      <c r="AV44" s="11" t="s">
        <v>184</v>
      </c>
      <c r="AW44" s="41">
        <v>17629.878661877734</v>
      </c>
      <c r="AX44" s="41">
        <v>21974.599565276832</v>
      </c>
      <c r="AY44" s="49">
        <v>39604.47822715457</v>
      </c>
    </row>
    <row r="45" spans="1:51" ht="15.5" thickBot="1">
      <c r="A45" s="395"/>
      <c r="B45" s="105"/>
      <c r="C45" s="97"/>
      <c r="D45" s="97"/>
      <c r="E45" s="627"/>
      <c r="F45" s="97"/>
      <c r="G45" s="97"/>
      <c r="H45" s="633">
        <f t="shared" si="24"/>
        <v>0</v>
      </c>
      <c r="I45" s="97"/>
      <c r="J45" s="97"/>
      <c r="K45" s="627"/>
      <c r="L45" s="97"/>
      <c r="M45" s="97"/>
      <c r="N45" s="636">
        <f t="shared" si="27"/>
        <v>0</v>
      </c>
      <c r="Z45" s="24" t="s">
        <v>231</v>
      </c>
      <c r="AA45" s="33">
        <f>'Large Ind Prod'!P109</f>
        <v>89197123</v>
      </c>
      <c r="AB45" s="33">
        <f>'Large Ind Prod'!Q109</f>
        <v>158533063</v>
      </c>
      <c r="AC45" s="33">
        <f t="shared" si="1"/>
        <v>247730186</v>
      </c>
      <c r="AD45" s="33">
        <f>'Large Ind Prod'!P46</f>
        <v>88391037</v>
      </c>
      <c r="AE45" s="33">
        <f>'Large Ind Prod'!Q46</f>
        <v>118694099</v>
      </c>
      <c r="AF45" s="33">
        <f t="shared" si="2"/>
        <v>207085136</v>
      </c>
      <c r="AG45" s="360">
        <f t="shared" si="3"/>
        <v>0.63994245335931732</v>
      </c>
      <c r="AH45" s="361">
        <f t="shared" si="4"/>
        <v>138123414.90394896</v>
      </c>
      <c r="AI45" s="398">
        <f>'Large Ind Prod'!AF46</f>
        <v>93365233</v>
      </c>
      <c r="AJ45" s="398">
        <f>'Large Ind Prod'!AG46</f>
        <v>53162049</v>
      </c>
      <c r="AK45" s="398">
        <f t="shared" si="5"/>
        <v>146527282</v>
      </c>
      <c r="AL45" s="248">
        <f>'Large Ind Prod'!AX46</f>
        <v>95638122</v>
      </c>
      <c r="AM45" s="248">
        <f>'Large Ind Prod'!AY46</f>
        <v>83721989</v>
      </c>
      <c r="AN45" s="248">
        <f t="shared" si="6"/>
        <v>179360111</v>
      </c>
      <c r="AO45" s="382">
        <f>'Large Ind Prod'!BN46</f>
        <v>36867162.887000002</v>
      </c>
      <c r="AP45" s="382">
        <f>'Large Ind Prod'!BO46</f>
        <v>0</v>
      </c>
      <c r="AQ45" s="675">
        <f t="shared" si="7"/>
        <v>36867162.887000002</v>
      </c>
      <c r="AR45" s="654">
        <f>'Large Ind Prod'!CD46</f>
        <v>0</v>
      </c>
      <c r="AS45" s="654">
        <f>'Large Ind Prod'!CE46</f>
        <v>0</v>
      </c>
      <c r="AT45" s="654">
        <f t="shared" si="8"/>
        <v>0</v>
      </c>
      <c r="AU45" s="248"/>
    </row>
    <row r="46" spans="1:51">
      <c r="M46"/>
      <c r="Z46" s="24" t="s">
        <v>232</v>
      </c>
      <c r="AA46" s="33">
        <f>'Large Ind Prod'!P110</f>
        <v>11945165.4</v>
      </c>
      <c r="AB46" s="33">
        <f>'Large Ind Prod'!Q110</f>
        <v>15360380.9</v>
      </c>
      <c r="AC46" s="33">
        <f t="shared" si="1"/>
        <v>27305546.300000001</v>
      </c>
      <c r="AD46" s="33">
        <f>'Large Ind Prod'!P47</f>
        <v>3325816</v>
      </c>
      <c r="AE46" s="33">
        <f>'Large Ind Prod'!Q47</f>
        <v>4826564</v>
      </c>
      <c r="AF46" s="33">
        <f t="shared" si="2"/>
        <v>8152380</v>
      </c>
      <c r="AG46" s="360">
        <f t="shared" si="3"/>
        <v>0.56253702933605099</v>
      </c>
      <c r="AH46" s="361">
        <f t="shared" si="4"/>
        <v>5912172.5798662202</v>
      </c>
      <c r="AI46" s="398">
        <f>'Large Ind Prod'!AF47</f>
        <v>3695645</v>
      </c>
      <c r="AJ46" s="398">
        <f>'Large Ind Prod'!AG47</f>
        <v>6600908</v>
      </c>
      <c r="AK46" s="398">
        <f t="shared" si="5"/>
        <v>10296553</v>
      </c>
      <c r="AL46" s="248">
        <f>'Large Ind Prod'!AX47</f>
        <v>4713307</v>
      </c>
      <c r="AM46" s="248">
        <f>'Large Ind Prod'!AY47</f>
        <v>6761247</v>
      </c>
      <c r="AN46" s="248">
        <f t="shared" si="6"/>
        <v>11474554</v>
      </c>
      <c r="AO46" s="382">
        <f>'Large Ind Prod'!BN47</f>
        <v>5006288</v>
      </c>
      <c r="AP46" s="382">
        <f>'Large Ind Prod'!BO47</f>
        <v>0</v>
      </c>
      <c r="AQ46" s="675">
        <f t="shared" si="7"/>
        <v>5006288</v>
      </c>
      <c r="AR46" s="654">
        <f>'Large Ind Prod'!CD47</f>
        <v>0</v>
      </c>
      <c r="AS46" s="654">
        <f>'Large Ind Prod'!CE47</f>
        <v>0</v>
      </c>
      <c r="AT46" s="654">
        <f t="shared" si="8"/>
        <v>0</v>
      </c>
      <c r="AU46" s="248"/>
    </row>
    <row r="47" spans="1:51">
      <c r="M47"/>
      <c r="Z47" s="24" t="s">
        <v>233</v>
      </c>
      <c r="AA47" s="33">
        <f>'Large Ind Prod'!P111</f>
        <v>1234272</v>
      </c>
      <c r="AB47" s="33">
        <f>'Large Ind Prod'!Q111</f>
        <v>974490.47</v>
      </c>
      <c r="AC47" s="33">
        <f t="shared" si="1"/>
        <v>2208762.4699999997</v>
      </c>
      <c r="AD47" s="33">
        <f>'Large Ind Prod'!P48</f>
        <v>91524</v>
      </c>
      <c r="AE47" s="33">
        <f>'Large Ind Prod'!Q48</f>
        <v>404540.4</v>
      </c>
      <c r="AF47" s="33">
        <f t="shared" si="2"/>
        <v>496064.4</v>
      </c>
      <c r="AG47" s="360">
        <f t="shared" si="3"/>
        <v>0.44119296811485564</v>
      </c>
      <c r="AH47" s="361">
        <f t="shared" si="4"/>
        <v>207446.64265857832</v>
      </c>
      <c r="AI47" s="398">
        <f>'Large Ind Prod'!AF48</f>
        <v>0</v>
      </c>
      <c r="AJ47" s="398">
        <f>'Large Ind Prod'!AG48</f>
        <v>501081.5</v>
      </c>
      <c r="AK47" s="398">
        <f t="shared" si="5"/>
        <v>501081.5</v>
      </c>
      <c r="AL47" s="248">
        <f>'Large Ind Prod'!AX48</f>
        <v>0</v>
      </c>
      <c r="AM47" s="248">
        <f>'Large Ind Prod'!AY48</f>
        <v>0</v>
      </c>
      <c r="AN47" s="248">
        <f t="shared" si="6"/>
        <v>0</v>
      </c>
      <c r="AO47" s="382">
        <f>'Large Ind Prod'!BN48</f>
        <v>0</v>
      </c>
      <c r="AP47" s="382">
        <f>'Large Ind Prod'!BO48</f>
        <v>0</v>
      </c>
      <c r="AQ47" s="675">
        <f t="shared" si="7"/>
        <v>0</v>
      </c>
      <c r="AR47" s="654">
        <f>'Large Ind Prod'!CD48</f>
        <v>0</v>
      </c>
      <c r="AS47" s="654">
        <f>'Large Ind Prod'!CE48</f>
        <v>0</v>
      </c>
      <c r="AT47" s="654">
        <f t="shared" si="8"/>
        <v>0</v>
      </c>
      <c r="AU47" s="248"/>
    </row>
    <row r="48" spans="1:51">
      <c r="M48"/>
      <c r="Z48" s="24" t="s">
        <v>234</v>
      </c>
      <c r="AA48" s="33">
        <f>'Large Ind Prod'!P112</f>
        <v>177875.8</v>
      </c>
      <c r="AB48" s="33">
        <f>'Large Ind Prod'!Q112</f>
        <v>275418.59999999998</v>
      </c>
      <c r="AC48" s="33">
        <f t="shared" si="1"/>
        <v>453294.39999999997</v>
      </c>
      <c r="AD48" s="33">
        <f>'Large Ind Prod'!P49</f>
        <v>113556.29999999999</v>
      </c>
      <c r="AE48" s="33">
        <f>'Large Ind Prod'!Q49</f>
        <v>187475.20000000001</v>
      </c>
      <c r="AF48" s="33">
        <f t="shared" si="2"/>
        <v>301031.5</v>
      </c>
      <c r="AG48" s="360">
        <f t="shared" si="3"/>
        <v>0.60759321094635188</v>
      </c>
      <c r="AH48" s="361">
        <f t="shared" si="4"/>
        <v>186895.27459191208</v>
      </c>
      <c r="AI48" s="398">
        <f>'Large Ind Prod'!AF49</f>
        <v>159325.77000000002</v>
      </c>
      <c r="AJ48" s="398">
        <f>'Large Ind Prod'!AG49</f>
        <v>158712.19999999998</v>
      </c>
      <c r="AK48" s="398">
        <f t="shared" si="5"/>
        <v>318037.96999999997</v>
      </c>
      <c r="AL48" s="248">
        <f>'Large Ind Prod'!AX49</f>
        <v>134562.69999999998</v>
      </c>
      <c r="AM48" s="248">
        <f>'Large Ind Prod'!AY49</f>
        <v>136776.70000000001</v>
      </c>
      <c r="AN48" s="248">
        <f t="shared" si="6"/>
        <v>271339.40000000002</v>
      </c>
      <c r="AO48" s="382">
        <f>'Large Ind Prod'!BN49</f>
        <v>29653</v>
      </c>
      <c r="AP48" s="382">
        <f>'Large Ind Prod'!BO49</f>
        <v>0</v>
      </c>
      <c r="AQ48" s="675">
        <f t="shared" si="7"/>
        <v>29653</v>
      </c>
      <c r="AR48" s="654">
        <f>'Large Ind Prod'!CD49</f>
        <v>0</v>
      </c>
      <c r="AS48" s="654">
        <f>'Large Ind Prod'!CE49</f>
        <v>0</v>
      </c>
      <c r="AT48" s="654">
        <f t="shared" si="8"/>
        <v>0</v>
      </c>
      <c r="AU48" s="248"/>
    </row>
    <row r="49" spans="13:47">
      <c r="M49"/>
      <c r="Z49" s="24" t="s">
        <v>235</v>
      </c>
      <c r="AA49" s="33">
        <f>'Large Ind Prod'!P113</f>
        <v>7042</v>
      </c>
      <c r="AB49" s="33">
        <f>'Large Ind Prod'!Q113</f>
        <v>11671</v>
      </c>
      <c r="AC49" s="33">
        <f t="shared" si="1"/>
        <v>18713</v>
      </c>
      <c r="AD49" s="33">
        <f>'Large Ind Prod'!P50</f>
        <v>2412</v>
      </c>
      <c r="AE49" s="33">
        <f>'Large Ind Prod'!Q50</f>
        <v>7032</v>
      </c>
      <c r="AF49" s="33">
        <f t="shared" si="2"/>
        <v>9444</v>
      </c>
      <c r="AG49" s="360">
        <f t="shared" si="3"/>
        <v>0.6236840698979319</v>
      </c>
      <c r="AH49" s="361">
        <f t="shared" si="4"/>
        <v>3867.3426441607403</v>
      </c>
      <c r="AI49" s="398">
        <f>'Large Ind Prod'!AF50</f>
        <v>6174</v>
      </c>
      <c r="AJ49" s="398">
        <f>'Large Ind Prod'!AG50</f>
        <v>0</v>
      </c>
      <c r="AK49" s="398">
        <f t="shared" si="5"/>
        <v>6174</v>
      </c>
      <c r="AL49" s="248">
        <f>'Large Ind Prod'!AX50</f>
        <v>0</v>
      </c>
      <c r="AM49" s="248">
        <f>'Large Ind Prod'!AY50</f>
        <v>0</v>
      </c>
      <c r="AN49" s="248">
        <f t="shared" si="6"/>
        <v>0</v>
      </c>
      <c r="AO49" s="382">
        <f>'Large Ind Prod'!BN50</f>
        <v>0</v>
      </c>
      <c r="AP49" s="382">
        <f>'Large Ind Prod'!BO50</f>
        <v>0</v>
      </c>
      <c r="AQ49" s="675">
        <f t="shared" si="7"/>
        <v>0</v>
      </c>
      <c r="AR49" s="654">
        <f>'Large Ind Prod'!CD50</f>
        <v>0</v>
      </c>
      <c r="AS49" s="654">
        <f>'Large Ind Prod'!CE50</f>
        <v>0</v>
      </c>
      <c r="AT49" s="654">
        <f t="shared" si="8"/>
        <v>0</v>
      </c>
      <c r="AU49" s="248"/>
    </row>
    <row r="50" spans="13:47">
      <c r="M50"/>
      <c r="Z50" s="24" t="s">
        <v>236</v>
      </c>
      <c r="AA50" s="33">
        <f>'Large Ind Prod'!P114</f>
        <v>18091.14</v>
      </c>
      <c r="AB50" s="33">
        <f>'Large Ind Prod'!Q114</f>
        <v>32795.868999999999</v>
      </c>
      <c r="AC50" s="33">
        <f t="shared" si="1"/>
        <v>50887.008999999998</v>
      </c>
      <c r="AD50" s="33">
        <f>'Large Ind Prod'!P51</f>
        <v>0</v>
      </c>
      <c r="AE50" s="33">
        <f>'Large Ind Prod'!Q51</f>
        <v>0</v>
      </c>
      <c r="AF50" s="33">
        <f t="shared" si="2"/>
        <v>0</v>
      </c>
      <c r="AG50" s="360">
        <f t="shared" si="3"/>
        <v>0.64448411577894071</v>
      </c>
      <c r="AH50" s="361">
        <f t="shared" si="4"/>
        <v>0</v>
      </c>
      <c r="AI50" s="398">
        <f>'Large Ind Prod'!AF51</f>
        <v>0</v>
      </c>
      <c r="AJ50" s="398">
        <f>'Large Ind Prod'!AG51</f>
        <v>0</v>
      </c>
      <c r="AK50" s="398">
        <f t="shared" si="5"/>
        <v>0</v>
      </c>
      <c r="AL50" s="248">
        <f>'Large Ind Prod'!AX51</f>
        <v>0</v>
      </c>
      <c r="AM50" s="248">
        <f>'Large Ind Prod'!AY51</f>
        <v>0</v>
      </c>
      <c r="AN50" s="248">
        <f t="shared" si="6"/>
        <v>0</v>
      </c>
      <c r="AO50" s="382">
        <f>'Large Ind Prod'!BN51</f>
        <v>0</v>
      </c>
      <c r="AP50" s="382">
        <f>'Large Ind Prod'!BO51</f>
        <v>0</v>
      </c>
      <c r="AQ50" s="675">
        <f t="shared" si="7"/>
        <v>0</v>
      </c>
      <c r="AR50" s="654">
        <f>'Large Ind Prod'!CD51</f>
        <v>0</v>
      </c>
      <c r="AS50" s="654">
        <f>'Large Ind Prod'!CE51</f>
        <v>0</v>
      </c>
      <c r="AT50" s="654">
        <f t="shared" si="8"/>
        <v>0</v>
      </c>
      <c r="AU50" s="248"/>
    </row>
    <row r="51" spans="13:47">
      <c r="M51"/>
      <c r="Z51" s="24" t="s">
        <v>237</v>
      </c>
      <c r="AA51" s="33">
        <f>'Large Ind Prod'!P115</f>
        <v>1174.348</v>
      </c>
      <c r="AB51" s="33">
        <f>'Large Ind Prod'!Q115</f>
        <v>668.71100000000001</v>
      </c>
      <c r="AC51" s="33">
        <f t="shared" si="1"/>
        <v>1843.059</v>
      </c>
      <c r="AD51" s="33">
        <f>'Large Ind Prod'!P52</f>
        <v>0</v>
      </c>
      <c r="AE51" s="33">
        <f>'Large Ind Prod'!Q52</f>
        <v>0</v>
      </c>
      <c r="AF51" s="33">
        <f t="shared" si="2"/>
        <v>0</v>
      </c>
      <c r="AG51" s="360">
        <f t="shared" si="3"/>
        <v>0.36282669192901584</v>
      </c>
      <c r="AH51" s="361">
        <f t="shared" si="4"/>
        <v>0</v>
      </c>
      <c r="AI51" s="398">
        <f>'Large Ind Prod'!AF52</f>
        <v>0</v>
      </c>
      <c r="AJ51" s="398">
        <f>'Large Ind Prod'!AG52</f>
        <v>0</v>
      </c>
      <c r="AK51" s="398">
        <f t="shared" si="5"/>
        <v>0</v>
      </c>
      <c r="AL51" s="248">
        <f>'Large Ind Prod'!AX52</f>
        <v>0</v>
      </c>
      <c r="AM51" s="248">
        <f>'Large Ind Prod'!AY52</f>
        <v>0</v>
      </c>
      <c r="AN51" s="248">
        <f t="shared" si="6"/>
        <v>0</v>
      </c>
      <c r="AO51" s="382">
        <f>'Large Ind Prod'!BN52</f>
        <v>0</v>
      </c>
      <c r="AP51" s="382">
        <f>'Large Ind Prod'!BO52</f>
        <v>0</v>
      </c>
      <c r="AQ51" s="675">
        <f t="shared" si="7"/>
        <v>0</v>
      </c>
      <c r="AR51" s="654">
        <f>'Large Ind Prod'!CD52</f>
        <v>0</v>
      </c>
      <c r="AS51" s="654">
        <f>'Large Ind Prod'!CE52</f>
        <v>0</v>
      </c>
      <c r="AT51" s="654">
        <f t="shared" si="8"/>
        <v>0</v>
      </c>
      <c r="AU51" s="248"/>
    </row>
    <row r="52" spans="13:47">
      <c r="M52"/>
      <c r="Z52" s="24" t="s">
        <v>238</v>
      </c>
      <c r="AA52" s="33">
        <f>'Large Ind Prod'!P116</f>
        <v>784270</v>
      </c>
      <c r="AB52" s="33">
        <f>'Large Ind Prod'!Q116</f>
        <v>1408188</v>
      </c>
      <c r="AC52" s="33">
        <f t="shared" si="1"/>
        <v>2192458</v>
      </c>
      <c r="AD52" s="33">
        <f>'Large Ind Prod'!P53</f>
        <v>461177.5</v>
      </c>
      <c r="AE52" s="33">
        <f>'Large Ind Prod'!Q53</f>
        <v>1667061.4</v>
      </c>
      <c r="AF52" s="33">
        <f t="shared" si="2"/>
        <v>2128238.9</v>
      </c>
      <c r="AG52" s="360">
        <f t="shared" si="3"/>
        <v>0.64228733230009416</v>
      </c>
      <c r="AH52" s="361">
        <f t="shared" si="4"/>
        <v>718023.65827219107</v>
      </c>
      <c r="AI52" s="398">
        <f>'Large Ind Prod'!AF53</f>
        <v>943028.5</v>
      </c>
      <c r="AJ52" s="398">
        <f>'Large Ind Prod'!AG53</f>
        <v>1011137</v>
      </c>
      <c r="AK52" s="398">
        <f t="shared" si="5"/>
        <v>1954165.5</v>
      </c>
      <c r="AL52" s="248">
        <f>'Large Ind Prod'!AX53</f>
        <v>998.45899999999995</v>
      </c>
      <c r="AM52" s="248">
        <f>'Large Ind Prod'!AY53</f>
        <v>0</v>
      </c>
      <c r="AN52" s="248">
        <f t="shared" si="6"/>
        <v>998.45899999999995</v>
      </c>
      <c r="AO52" s="382">
        <f>'Large Ind Prod'!BN53</f>
        <v>0</v>
      </c>
      <c r="AP52" s="382">
        <f>'Large Ind Prod'!BO53</f>
        <v>0</v>
      </c>
      <c r="AQ52" s="675">
        <f t="shared" si="7"/>
        <v>0</v>
      </c>
      <c r="AR52" s="654">
        <f>'Large Ind Prod'!CD53</f>
        <v>0</v>
      </c>
      <c r="AS52" s="654">
        <f>'Large Ind Prod'!CE53</f>
        <v>0</v>
      </c>
      <c r="AT52" s="654">
        <f t="shared" si="8"/>
        <v>0</v>
      </c>
      <c r="AU52" s="248"/>
    </row>
    <row r="53" spans="13:47">
      <c r="M53"/>
      <c r="Z53" s="24" t="s">
        <v>239</v>
      </c>
      <c r="AA53" s="33">
        <f>'Large Ind Prod'!P117</f>
        <v>17740464.140000001</v>
      </c>
      <c r="AB53" s="33">
        <f>'Large Ind Prod'!Q117</f>
        <v>33187733.599994</v>
      </c>
      <c r="AC53" s="33">
        <f t="shared" si="1"/>
        <v>50928197.739994004</v>
      </c>
      <c r="AD53" s="33">
        <f>'Large Ind Prod'!P54</f>
        <v>16859821</v>
      </c>
      <c r="AE53" s="33">
        <f>'Large Ind Prod'!Q54</f>
        <v>20282191.999999996</v>
      </c>
      <c r="AF53" s="33">
        <f t="shared" si="2"/>
        <v>37142013</v>
      </c>
      <c r="AG53" s="360">
        <f t="shared" si="3"/>
        <v>0.65165733469361742</v>
      </c>
      <c r="AH53" s="361">
        <f t="shared" si="4"/>
        <v>25872218.576235004</v>
      </c>
      <c r="AI53" s="398">
        <f>'Large Ind Prod'!AF54</f>
        <v>5133551</v>
      </c>
      <c r="AJ53" s="398">
        <f>'Large Ind Prod'!AG54</f>
        <v>2993630</v>
      </c>
      <c r="AK53" s="398">
        <f t="shared" si="5"/>
        <v>8127181</v>
      </c>
      <c r="AL53" s="248">
        <f>'Large Ind Prod'!AX54</f>
        <v>22482580.699999999</v>
      </c>
      <c r="AM53" s="248">
        <f>'Large Ind Prod'!AY54</f>
        <v>0</v>
      </c>
      <c r="AN53" s="248">
        <f t="shared" si="6"/>
        <v>22482580.699999999</v>
      </c>
      <c r="AO53" s="382">
        <f>'Large Ind Prod'!BN54</f>
        <v>0</v>
      </c>
      <c r="AP53" s="382">
        <f>'Large Ind Prod'!BO54</f>
        <v>0</v>
      </c>
      <c r="AQ53" s="675">
        <f t="shared" si="7"/>
        <v>0</v>
      </c>
      <c r="AR53" s="654">
        <f>'Large Ind Prod'!CD54</f>
        <v>0</v>
      </c>
      <c r="AS53" s="654">
        <f>'Large Ind Prod'!CE54</f>
        <v>0</v>
      </c>
      <c r="AT53" s="654">
        <f t="shared" si="8"/>
        <v>0</v>
      </c>
      <c r="AU53" s="248"/>
    </row>
    <row r="54" spans="13:47">
      <c r="M54"/>
      <c r="Z54" s="24" t="s">
        <v>240</v>
      </c>
      <c r="AA54" s="33">
        <f>'Large Ind Prod'!P118</f>
        <v>1469743.7999999998</v>
      </c>
      <c r="AB54" s="33">
        <f>'Large Ind Prod'!Q118</f>
        <v>2638813.96</v>
      </c>
      <c r="AC54" s="33">
        <f t="shared" si="1"/>
        <v>4108557.76</v>
      </c>
      <c r="AD54" s="33">
        <f>'Large Ind Prod'!P55</f>
        <v>744830</v>
      </c>
      <c r="AE54" s="33">
        <f>'Large Ind Prod'!Q55</f>
        <v>1911186</v>
      </c>
      <c r="AF54" s="33">
        <f t="shared" si="2"/>
        <v>2656016</v>
      </c>
      <c r="AG54" s="360">
        <f t="shared" si="3"/>
        <v>0.64227257206674881</v>
      </c>
      <c r="AH54" s="361">
        <f t="shared" si="4"/>
        <v>1159678.9780439087</v>
      </c>
      <c r="AI54" s="398">
        <f>'Large Ind Prod'!AF55</f>
        <v>2140142</v>
      </c>
      <c r="AJ54" s="398">
        <f>'Large Ind Prod'!AG55</f>
        <v>1089000</v>
      </c>
      <c r="AK54" s="398">
        <f t="shared" si="5"/>
        <v>3229142</v>
      </c>
      <c r="AL54" s="248">
        <f>'Large Ind Prod'!AX55</f>
        <v>1934203</v>
      </c>
      <c r="AM54" s="248">
        <f>'Large Ind Prod'!AY55</f>
        <v>0</v>
      </c>
      <c r="AN54" s="248">
        <f t="shared" si="6"/>
        <v>1934203</v>
      </c>
      <c r="AO54" s="382">
        <f>'Large Ind Prod'!BN55</f>
        <v>0</v>
      </c>
      <c r="AP54" s="382">
        <f>'Large Ind Prod'!BO55</f>
        <v>0</v>
      </c>
      <c r="AQ54" s="675">
        <f t="shared" si="7"/>
        <v>0</v>
      </c>
      <c r="AR54" s="654">
        <f>'Large Ind Prod'!CD55</f>
        <v>0</v>
      </c>
      <c r="AS54" s="654">
        <f>'Large Ind Prod'!CE55</f>
        <v>0</v>
      </c>
      <c r="AT54" s="654">
        <f t="shared" si="8"/>
        <v>0</v>
      </c>
      <c r="AU54" s="248"/>
    </row>
    <row r="55" spans="13:47">
      <c r="M55"/>
      <c r="Z55" s="24" t="s">
        <v>241</v>
      </c>
      <c r="AA55" s="33">
        <f>'Large Ind Prod'!P119</f>
        <v>1096438.3700000001</v>
      </c>
      <c r="AB55" s="33">
        <f>'Large Ind Prod'!Q119</f>
        <v>1870655.1400000001</v>
      </c>
      <c r="AC55" s="33">
        <f t="shared" si="1"/>
        <v>2967093.5100000002</v>
      </c>
      <c r="AD55" s="33">
        <f>'Large Ind Prod'!P56</f>
        <v>6785880</v>
      </c>
      <c r="AE55" s="33">
        <f>'Large Ind Prod'!Q56</f>
        <v>8435700</v>
      </c>
      <c r="AF55" s="33">
        <f t="shared" si="2"/>
        <v>15221580</v>
      </c>
      <c r="AG55" s="360">
        <f t="shared" si="3"/>
        <v>0.6304672008803659</v>
      </c>
      <c r="AH55" s="361">
        <f t="shared" si="4"/>
        <v>10763256.186086122</v>
      </c>
      <c r="AI55" s="398">
        <f>'Large Ind Prod'!AF56</f>
        <v>89830</v>
      </c>
      <c r="AJ55" s="398">
        <f>'Large Ind Prod'!AG56</f>
        <v>53369</v>
      </c>
      <c r="AK55" s="398">
        <f t="shared" si="5"/>
        <v>143199</v>
      </c>
      <c r="AL55" s="248">
        <f>'Large Ind Prod'!AX56</f>
        <v>901571.6</v>
      </c>
      <c r="AM55" s="248">
        <f>'Large Ind Prod'!AY56</f>
        <v>0</v>
      </c>
      <c r="AN55" s="248">
        <f t="shared" ref="AN55:AN62" si="28">SUM(AL55:AM55)</f>
        <v>901571.6</v>
      </c>
      <c r="AO55" s="382">
        <f>'Large Ind Prod'!BN56</f>
        <v>0</v>
      </c>
      <c r="AP55" s="382">
        <f>'Large Ind Prod'!BO56</f>
        <v>0</v>
      </c>
      <c r="AQ55" s="675">
        <f t="shared" si="7"/>
        <v>0</v>
      </c>
      <c r="AR55" s="654">
        <f>'Large Ind Prod'!CD56</f>
        <v>0</v>
      </c>
      <c r="AS55" s="654">
        <f>'Large Ind Prod'!CE56</f>
        <v>0</v>
      </c>
      <c r="AT55" s="654">
        <f t="shared" si="8"/>
        <v>0</v>
      </c>
      <c r="AU55" s="248"/>
    </row>
    <row r="56" spans="13:47">
      <c r="M56"/>
      <c r="Z56" s="24" t="s">
        <v>242</v>
      </c>
      <c r="AA56" s="33">
        <f>'Large Ind Prod'!P120</f>
        <v>3807</v>
      </c>
      <c r="AB56" s="33">
        <f>'Large Ind Prod'!Q120</f>
        <v>5864</v>
      </c>
      <c r="AC56" s="33">
        <f t="shared" si="1"/>
        <v>9671</v>
      </c>
      <c r="AD56" s="33">
        <f>'Large Ind Prod'!P57</f>
        <v>2354</v>
      </c>
      <c r="AE56" s="33">
        <f>'Large Ind Prod'!Q57</f>
        <v>1122</v>
      </c>
      <c r="AF56" s="33">
        <f t="shared" si="2"/>
        <v>3476</v>
      </c>
      <c r="AG56" s="360">
        <f t="shared" si="3"/>
        <v>0.6063488780891324</v>
      </c>
      <c r="AH56" s="361">
        <f t="shared" si="4"/>
        <v>3882.2534106412008</v>
      </c>
      <c r="AI56" s="398">
        <f>'Large Ind Prod'!AF57</f>
        <v>0</v>
      </c>
      <c r="AJ56" s="398">
        <f>'Large Ind Prod'!AG57</f>
        <v>0</v>
      </c>
      <c r="AK56" s="398">
        <f t="shared" si="5"/>
        <v>0</v>
      </c>
      <c r="AL56" s="248">
        <f>'Large Ind Prod'!AX57</f>
        <v>0</v>
      </c>
      <c r="AM56" s="248">
        <f>'Large Ind Prod'!AY57</f>
        <v>0</v>
      </c>
      <c r="AN56" s="248">
        <f t="shared" si="28"/>
        <v>0</v>
      </c>
      <c r="AO56" s="382">
        <f>'Large Ind Prod'!BN57</f>
        <v>0</v>
      </c>
      <c r="AP56" s="382">
        <f>'Large Ind Prod'!BO57</f>
        <v>0</v>
      </c>
      <c r="AQ56" s="675">
        <f t="shared" si="7"/>
        <v>0</v>
      </c>
      <c r="AR56" s="654">
        <f>'Large Ind Prod'!CD57</f>
        <v>0</v>
      </c>
      <c r="AS56" s="654">
        <f>'Large Ind Prod'!CE57</f>
        <v>0</v>
      </c>
      <c r="AT56" s="654">
        <f t="shared" si="8"/>
        <v>0</v>
      </c>
      <c r="AU56" s="248"/>
    </row>
    <row r="57" spans="13:47">
      <c r="M57"/>
      <c r="Z57" s="24" t="s">
        <v>243</v>
      </c>
      <c r="AA57" s="33">
        <f>'Large Ind Prod'!P121</f>
        <v>858617.37</v>
      </c>
      <c r="AB57" s="33">
        <f>'Large Ind Prod'!Q121</f>
        <v>1613970.8399999999</v>
      </c>
      <c r="AC57" s="33">
        <f t="shared" si="1"/>
        <v>2472588.21</v>
      </c>
      <c r="AD57" s="33">
        <f>'Large Ind Prod'!P58</f>
        <v>539983.4</v>
      </c>
      <c r="AE57" s="33">
        <f>'Large Ind Prod'!Q58</f>
        <v>759186.06000000017</v>
      </c>
      <c r="AF57" s="33">
        <f t="shared" si="2"/>
        <v>1299169.4600000002</v>
      </c>
      <c r="AG57" s="360">
        <f t="shared" si="3"/>
        <v>0.65274550508351736</v>
      </c>
      <c r="AH57" s="361">
        <f t="shared" si="4"/>
        <v>827249.51117190812</v>
      </c>
      <c r="AI57" s="398">
        <f>'Large Ind Prod'!AF58</f>
        <v>70452</v>
      </c>
      <c r="AJ57" s="398">
        <f>'Large Ind Prod'!AG58</f>
        <v>46745</v>
      </c>
      <c r="AK57" s="398">
        <f t="shared" si="5"/>
        <v>117197</v>
      </c>
      <c r="AL57" s="248">
        <f>'Large Ind Prod'!AX58</f>
        <v>915017.6</v>
      </c>
      <c r="AM57" s="248">
        <f>'Large Ind Prod'!AY58</f>
        <v>0</v>
      </c>
      <c r="AN57" s="248">
        <f t="shared" si="28"/>
        <v>915017.6</v>
      </c>
      <c r="AO57" s="382">
        <f>'Large Ind Prod'!BN58</f>
        <v>0</v>
      </c>
      <c r="AP57" s="382">
        <f>'Large Ind Prod'!BO58</f>
        <v>0</v>
      </c>
      <c r="AQ57" s="675">
        <f t="shared" si="7"/>
        <v>0</v>
      </c>
      <c r="AR57" s="654">
        <f>'Large Ind Prod'!CD58</f>
        <v>0</v>
      </c>
      <c r="AS57" s="654">
        <f>'Large Ind Prod'!CE58</f>
        <v>0</v>
      </c>
      <c r="AT57" s="654">
        <f t="shared" si="8"/>
        <v>0</v>
      </c>
      <c r="AU57" s="248"/>
    </row>
    <row r="58" spans="13:47">
      <c r="M58"/>
      <c r="Z58" s="24" t="s">
        <v>244</v>
      </c>
      <c r="AA58" s="33">
        <f>'Large Ind Prod'!P122</f>
        <v>232136</v>
      </c>
      <c r="AB58" s="33">
        <f>'Large Ind Prod'!Q122</f>
        <v>315080</v>
      </c>
      <c r="AC58" s="33">
        <f t="shared" si="1"/>
        <v>547216</v>
      </c>
      <c r="AD58" s="33">
        <f>'Large Ind Prod'!P59</f>
        <v>186632</v>
      </c>
      <c r="AE58" s="33">
        <f>'Large Ind Prod'!Q59</f>
        <v>176623</v>
      </c>
      <c r="AF58" s="33">
        <f t="shared" si="2"/>
        <v>363255</v>
      </c>
      <c r="AG58" s="360">
        <f t="shared" si="3"/>
        <v>0.57578725768252392</v>
      </c>
      <c r="AH58" s="361">
        <f t="shared" si="4"/>
        <v>324133.60578900593</v>
      </c>
      <c r="AI58" s="398">
        <f>'Large Ind Prod'!AF59</f>
        <v>140885</v>
      </c>
      <c r="AJ58" s="398">
        <f>'Large Ind Prod'!AG59</f>
        <v>161882</v>
      </c>
      <c r="AK58" s="398">
        <f t="shared" si="5"/>
        <v>302767</v>
      </c>
      <c r="AL58" s="248">
        <f>'Large Ind Prod'!AX59</f>
        <v>129891</v>
      </c>
      <c r="AM58" s="248">
        <f>'Large Ind Prod'!AY59</f>
        <v>0</v>
      </c>
      <c r="AN58" s="248">
        <f t="shared" si="28"/>
        <v>129891</v>
      </c>
      <c r="AO58" s="382">
        <f>'Large Ind Prod'!BN59</f>
        <v>0</v>
      </c>
      <c r="AP58" s="382">
        <f>'Large Ind Prod'!BO59</f>
        <v>0</v>
      </c>
      <c r="AQ58" s="675">
        <f t="shared" si="7"/>
        <v>0</v>
      </c>
      <c r="AR58" s="654">
        <f>'Large Ind Prod'!CD59</f>
        <v>0</v>
      </c>
      <c r="AS58" s="654">
        <f>'Large Ind Prod'!CE59</f>
        <v>0</v>
      </c>
      <c r="AT58" s="654">
        <f t="shared" si="8"/>
        <v>0</v>
      </c>
      <c r="AU58" s="248"/>
    </row>
    <row r="59" spans="13:47">
      <c r="M59"/>
      <c r="Z59" s="24" t="s">
        <v>245</v>
      </c>
      <c r="AA59" s="33">
        <f>'Large Ind Prod'!P123</f>
        <v>0</v>
      </c>
      <c r="AB59" s="33">
        <f>'Large Ind Prod'!Q123</f>
        <v>0</v>
      </c>
      <c r="AC59" s="33">
        <f t="shared" si="1"/>
        <v>0</v>
      </c>
      <c r="AD59" s="33">
        <f>'Large Ind Prod'!P60</f>
        <v>0</v>
      </c>
      <c r="AE59" s="33">
        <f>'Large Ind Prod'!Q60</f>
        <v>0</v>
      </c>
      <c r="AF59" s="33">
        <f t="shared" si="2"/>
        <v>0</v>
      </c>
      <c r="AG59" s="360" t="e">
        <f t="shared" si="3"/>
        <v>#DIV/0!</v>
      </c>
      <c r="AH59" s="361" t="e">
        <f t="shared" si="4"/>
        <v>#DIV/0!</v>
      </c>
      <c r="AI59" s="398">
        <f>'Large Ind Prod'!AF60</f>
        <v>0</v>
      </c>
      <c r="AJ59" s="398">
        <f>'Large Ind Prod'!AG60</f>
        <v>0</v>
      </c>
      <c r="AK59" s="398">
        <f t="shared" si="5"/>
        <v>0</v>
      </c>
      <c r="AL59" s="248">
        <f>'Large Ind Prod'!AX60</f>
        <v>0</v>
      </c>
      <c r="AM59" s="248">
        <f>'Large Ind Prod'!AY60</f>
        <v>0</v>
      </c>
      <c r="AN59" s="248">
        <f t="shared" si="28"/>
        <v>0</v>
      </c>
      <c r="AO59" s="382">
        <f>'Large Ind Prod'!BN60</f>
        <v>0</v>
      </c>
      <c r="AP59" s="382">
        <f>'Large Ind Prod'!BO60</f>
        <v>0</v>
      </c>
      <c r="AQ59" s="675">
        <f t="shared" si="7"/>
        <v>0</v>
      </c>
      <c r="AR59" s="654">
        <f>'Large Ind Prod'!CD60</f>
        <v>24879.638999999999</v>
      </c>
      <c r="AS59" s="654">
        <f>'Large Ind Prod'!CE60</f>
        <v>0</v>
      </c>
      <c r="AT59" s="654">
        <f t="shared" si="8"/>
        <v>24879.638999999999</v>
      </c>
      <c r="AU59" s="248"/>
    </row>
    <row r="60" spans="13:47">
      <c r="M60"/>
      <c r="Z60" s="237" t="s">
        <v>269</v>
      </c>
      <c r="AA60" s="33">
        <f>'Large Ind Prod'!P124</f>
        <v>1509.2059999999999</v>
      </c>
      <c r="AB60" s="33">
        <f>'Large Ind Prod'!Q124</f>
        <v>922.01300000000015</v>
      </c>
      <c r="AC60" s="33">
        <f t="shared" si="1"/>
        <v>2431.2190000000001</v>
      </c>
      <c r="AD60" s="33">
        <f>'Large Ind Prod'!P61</f>
        <v>0</v>
      </c>
      <c r="AE60" s="33">
        <f>'Large Ind Prod'!Q61</f>
        <v>0</v>
      </c>
      <c r="AF60" s="33">
        <f t="shared" si="2"/>
        <v>0</v>
      </c>
      <c r="AG60" s="360">
        <f t="shared" si="3"/>
        <v>0.3792389743581307</v>
      </c>
      <c r="AH60" s="361">
        <f t="shared" si="4"/>
        <v>0</v>
      </c>
      <c r="AI60" s="398">
        <f>'Large Ind Prod'!AF61</f>
        <v>0</v>
      </c>
      <c r="AJ60" s="398">
        <f>'Large Ind Prod'!AG61</f>
        <v>0</v>
      </c>
      <c r="AK60" s="398">
        <f t="shared" si="5"/>
        <v>0</v>
      </c>
      <c r="AL60" s="248">
        <f>'Large Ind Prod'!AX61</f>
        <v>0</v>
      </c>
      <c r="AM60" s="248">
        <f>'Large Ind Prod'!AY61</f>
        <v>0</v>
      </c>
      <c r="AN60" s="248">
        <f t="shared" si="28"/>
        <v>0</v>
      </c>
      <c r="AO60" s="382">
        <f>'Large Ind Prod'!BN61</f>
        <v>0</v>
      </c>
      <c r="AP60" s="382">
        <f>'Large Ind Prod'!BO61</f>
        <v>0</v>
      </c>
      <c r="AQ60" s="675">
        <f t="shared" si="7"/>
        <v>0</v>
      </c>
      <c r="AR60" s="654">
        <f>'Large Ind Prod'!CD61</f>
        <v>0</v>
      </c>
      <c r="AS60" s="654">
        <f>'Large Ind Prod'!CE61</f>
        <v>0</v>
      </c>
      <c r="AT60" s="654">
        <f t="shared" si="8"/>
        <v>0</v>
      </c>
      <c r="AU60" s="248"/>
    </row>
    <row r="61" spans="13:47">
      <c r="M61"/>
      <c r="Z61" s="237" t="s">
        <v>272</v>
      </c>
      <c r="AA61" s="33">
        <f>'Large Ind Prod'!P125</f>
        <v>1219.7</v>
      </c>
      <c r="AB61" s="33">
        <f>'Large Ind Prod'!Q125</f>
        <v>25455.899999999998</v>
      </c>
      <c r="AC61" s="33">
        <f t="shared" si="1"/>
        <v>26675.599999999999</v>
      </c>
      <c r="AD61" s="33">
        <f>'Large Ind Prod'!P62</f>
        <v>327.60000000000002</v>
      </c>
      <c r="AE61" s="33">
        <f>'Large Ind Prod'!Q62</f>
        <v>6057.2</v>
      </c>
      <c r="AF61" s="33">
        <f t="shared" si="2"/>
        <v>6384.8</v>
      </c>
      <c r="AG61" s="360">
        <f t="shared" si="3"/>
        <v>0.95427656734993782</v>
      </c>
      <c r="AH61" s="361">
        <f t="shared" si="4"/>
        <v>343.29670371112394</v>
      </c>
      <c r="AI61" s="398">
        <f>'Large Ind Prod'!AF62</f>
        <v>2146.8000000000002</v>
      </c>
      <c r="AJ61" s="398">
        <f>'Large Ind Prod'!AG62</f>
        <v>2486</v>
      </c>
      <c r="AK61" s="398">
        <f t="shared" si="5"/>
        <v>4632.8</v>
      </c>
      <c r="AL61" s="248">
        <f>'Large Ind Prod'!AX62</f>
        <v>11354.76</v>
      </c>
      <c r="AM61" s="248">
        <f>'Large Ind Prod'!AY62</f>
        <v>7326.5999999999995</v>
      </c>
      <c r="AN61" s="248">
        <f t="shared" si="28"/>
        <v>18681.36</v>
      </c>
      <c r="AO61" s="382">
        <f>'Large Ind Prod'!BN62</f>
        <v>0</v>
      </c>
      <c r="AP61" s="382">
        <f>'Large Ind Prod'!BO62</f>
        <v>0</v>
      </c>
      <c r="AQ61" s="675">
        <f t="shared" si="7"/>
        <v>0</v>
      </c>
      <c r="AR61" s="654">
        <f>'Large Ind Prod'!CD62</f>
        <v>0</v>
      </c>
      <c r="AS61" s="654">
        <f>'Large Ind Prod'!CE62</f>
        <v>0</v>
      </c>
      <c r="AT61" s="654">
        <f t="shared" si="8"/>
        <v>0</v>
      </c>
      <c r="AU61" s="248"/>
    </row>
    <row r="62" spans="13:47">
      <c r="M62"/>
      <c r="Z62" s="237" t="s">
        <v>273</v>
      </c>
      <c r="AA62" s="33">
        <f>'Large Ind Prod'!P126</f>
        <v>1123519.44</v>
      </c>
      <c r="AB62" s="33">
        <f>'Large Ind Prod'!Q126</f>
        <v>1582067.4000000001</v>
      </c>
      <c r="AC62" s="33">
        <f t="shared" si="1"/>
        <v>2705586.84</v>
      </c>
      <c r="AD62" s="33">
        <f>'Large Ind Prod'!P63</f>
        <v>833439.23999999987</v>
      </c>
      <c r="AE62" s="33">
        <f>'Large Ind Prod'!Q63</f>
        <v>1206152.76</v>
      </c>
      <c r="AF62" s="33">
        <f t="shared" si="2"/>
        <v>2039592</v>
      </c>
      <c r="AG62" s="360">
        <f t="shared" si="3"/>
        <v>0.58474094292977852</v>
      </c>
      <c r="AH62" s="361">
        <f t="shared" si="4"/>
        <v>1425313.6368801997</v>
      </c>
      <c r="AI62" s="398">
        <f>'Large Ind Prod'!AF63</f>
        <v>267679.08</v>
      </c>
      <c r="AJ62" s="398">
        <f>'Large Ind Prod'!AG63</f>
        <v>471255</v>
      </c>
      <c r="AK62" s="398">
        <f t="shared" si="5"/>
        <v>738934.08000000007</v>
      </c>
      <c r="AL62" s="248">
        <f>'Large Ind Prod'!AX63</f>
        <v>563423.76000000013</v>
      </c>
      <c r="AM62" s="248">
        <f>'Large Ind Prod'!AY63</f>
        <v>563728.20000000007</v>
      </c>
      <c r="AN62" s="248">
        <f t="shared" si="28"/>
        <v>1127151.9600000002</v>
      </c>
      <c r="AO62" s="382">
        <f>'Large Ind Prod'!BN63</f>
        <v>487618.32</v>
      </c>
      <c r="AP62" s="382">
        <f>'Large Ind Prod'!BO63</f>
        <v>0</v>
      </c>
      <c r="AQ62" s="675">
        <f t="shared" si="7"/>
        <v>487618.32</v>
      </c>
      <c r="AR62" s="654">
        <f>'Large Ind Prod'!CD63</f>
        <v>0</v>
      </c>
      <c r="AS62" s="654">
        <f>'Large Ind Prod'!CE63</f>
        <v>0</v>
      </c>
      <c r="AT62" s="654">
        <f t="shared" si="8"/>
        <v>0</v>
      </c>
      <c r="AU62" s="248"/>
    </row>
    <row r="63" spans="13:47">
      <c r="M63"/>
      <c r="AG63"/>
      <c r="AH63"/>
      <c r="AI63"/>
      <c r="AJ63"/>
      <c r="AK63"/>
    </row>
    <row r="64" spans="13:47">
      <c r="M64"/>
      <c r="AG64"/>
      <c r="AH64"/>
      <c r="AI64"/>
      <c r="AJ64"/>
      <c r="AK64"/>
    </row>
    <row r="65" spans="13:37">
      <c r="M65"/>
      <c r="AG65"/>
      <c r="AH65"/>
      <c r="AI65"/>
      <c r="AJ65"/>
      <c r="AK65"/>
    </row>
    <row r="66" spans="13:37">
      <c r="M66"/>
      <c r="AG66"/>
      <c r="AH66"/>
      <c r="AI66"/>
      <c r="AJ66"/>
      <c r="AK66"/>
    </row>
    <row r="67" spans="13:37">
      <c r="M67"/>
      <c r="AG67"/>
      <c r="AH67"/>
      <c r="AI67"/>
      <c r="AJ67"/>
      <c r="AK67"/>
    </row>
    <row r="68" spans="13:37">
      <c r="M68"/>
      <c r="AG68"/>
      <c r="AH68"/>
      <c r="AI68"/>
      <c r="AJ68"/>
      <c r="AK68"/>
    </row>
    <row r="69" spans="13:37">
      <c r="M69"/>
      <c r="AG69"/>
      <c r="AH69"/>
      <c r="AI69"/>
      <c r="AJ69"/>
      <c r="AK69"/>
    </row>
    <row r="70" spans="13:37">
      <c r="M70"/>
      <c r="AG70"/>
      <c r="AH70"/>
      <c r="AI70"/>
      <c r="AJ70"/>
      <c r="AK70"/>
    </row>
    <row r="71" spans="13:37">
      <c r="M71"/>
      <c r="AG71"/>
      <c r="AH71"/>
      <c r="AI71"/>
      <c r="AJ71"/>
      <c r="AK71"/>
    </row>
    <row r="72" spans="13:37">
      <c r="M72"/>
      <c r="AG72"/>
      <c r="AH72"/>
      <c r="AI72"/>
      <c r="AJ72"/>
      <c r="AK72"/>
    </row>
    <row r="73" spans="13:37">
      <c r="M73"/>
      <c r="AG73"/>
      <c r="AH73"/>
      <c r="AI73"/>
      <c r="AJ73"/>
      <c r="AK73"/>
    </row>
    <row r="74" spans="13:37">
      <c r="M74"/>
      <c r="AG74"/>
      <c r="AH74"/>
      <c r="AI74"/>
      <c r="AJ74"/>
      <c r="AK74"/>
    </row>
    <row r="75" spans="13:37">
      <c r="M75"/>
      <c r="AG75"/>
      <c r="AH75"/>
      <c r="AI75"/>
      <c r="AJ75"/>
      <c r="AK75"/>
    </row>
    <row r="76" spans="13:37">
      <c r="M76"/>
      <c r="AG76"/>
      <c r="AH76"/>
      <c r="AI76"/>
      <c r="AJ76"/>
      <c r="AK76"/>
    </row>
    <row r="77" spans="13:37">
      <c r="M77"/>
      <c r="AG77"/>
      <c r="AH77"/>
      <c r="AI77"/>
      <c r="AJ77"/>
      <c r="AK77"/>
    </row>
    <row r="78" spans="13:37">
      <c r="M78"/>
      <c r="AG78"/>
      <c r="AH78"/>
      <c r="AI78"/>
      <c r="AJ78"/>
      <c r="AK78"/>
    </row>
    <row r="79" spans="13:37">
      <c r="M79"/>
      <c r="AG79"/>
      <c r="AH79"/>
      <c r="AI79"/>
      <c r="AJ79"/>
      <c r="AK79"/>
    </row>
    <row r="80" spans="13:37">
      <c r="M80"/>
      <c r="AG80"/>
      <c r="AH80"/>
      <c r="AI80"/>
      <c r="AJ80"/>
      <c r="AK80"/>
    </row>
    <row r="81" spans="13:37">
      <c r="M81"/>
      <c r="AG81"/>
      <c r="AH81"/>
      <c r="AI81"/>
      <c r="AJ81"/>
      <c r="AK81"/>
    </row>
    <row r="82" spans="13:37">
      <c r="M82"/>
      <c r="AG82"/>
      <c r="AH82"/>
      <c r="AI82"/>
      <c r="AJ82"/>
      <c r="AK82"/>
    </row>
    <row r="83" spans="13:37">
      <c r="M83"/>
      <c r="AG83"/>
      <c r="AH83"/>
      <c r="AI83"/>
      <c r="AJ83"/>
      <c r="AK83"/>
    </row>
    <row r="84" spans="13:37">
      <c r="M84"/>
      <c r="AG84"/>
      <c r="AH84"/>
      <c r="AI84"/>
      <c r="AJ84"/>
      <c r="AK84"/>
    </row>
    <row r="85" spans="13:37">
      <c r="M85"/>
      <c r="AG85"/>
      <c r="AH85"/>
      <c r="AI85"/>
      <c r="AJ85"/>
      <c r="AK85"/>
    </row>
    <row r="86" spans="13:37">
      <c r="M86"/>
      <c r="AG86"/>
      <c r="AH86"/>
      <c r="AI86"/>
      <c r="AJ86"/>
      <c r="AK86"/>
    </row>
    <row r="87" spans="13:37">
      <c r="M87"/>
      <c r="AG87"/>
      <c r="AH87"/>
      <c r="AI87"/>
      <c r="AJ87"/>
      <c r="AK87"/>
    </row>
    <row r="88" spans="13:37">
      <c r="M88"/>
      <c r="AG88"/>
      <c r="AH88"/>
      <c r="AI88"/>
      <c r="AJ88"/>
      <c r="AK88"/>
    </row>
    <row r="89" spans="13:37">
      <c r="M89"/>
      <c r="AG89"/>
      <c r="AH89"/>
      <c r="AI89"/>
      <c r="AJ89"/>
      <c r="AK89"/>
    </row>
    <row r="90" spans="13:37">
      <c r="M90"/>
      <c r="AG90"/>
      <c r="AH90"/>
      <c r="AI90"/>
      <c r="AJ90"/>
      <c r="AK90"/>
    </row>
    <row r="91" spans="13:37">
      <c r="M91"/>
      <c r="AG91"/>
      <c r="AH91"/>
      <c r="AI91"/>
      <c r="AJ91"/>
      <c r="AK91"/>
    </row>
    <row r="92" spans="13:37">
      <c r="M92"/>
      <c r="AG92"/>
      <c r="AH92"/>
      <c r="AI92"/>
      <c r="AJ92"/>
      <c r="AK92"/>
    </row>
    <row r="93" spans="13:37">
      <c r="M93"/>
      <c r="AG93"/>
      <c r="AH93"/>
      <c r="AI93"/>
      <c r="AJ93"/>
      <c r="AK93"/>
    </row>
    <row r="94" spans="13:37">
      <c r="M94"/>
      <c r="AG94"/>
      <c r="AH94"/>
      <c r="AI94"/>
      <c r="AJ94"/>
      <c r="AK94"/>
    </row>
    <row r="95" spans="13:37">
      <c r="M95"/>
      <c r="AG95"/>
      <c r="AH95"/>
      <c r="AI95"/>
      <c r="AJ95"/>
      <c r="AK95"/>
    </row>
    <row r="96" spans="13:37">
      <c r="M96"/>
      <c r="AG96"/>
      <c r="AH96"/>
      <c r="AI96"/>
      <c r="AJ96"/>
      <c r="AK96"/>
    </row>
    <row r="97" spans="13:37">
      <c r="M97"/>
      <c r="AG97"/>
      <c r="AH97"/>
      <c r="AI97"/>
      <c r="AJ97"/>
      <c r="AK97"/>
    </row>
    <row r="98" spans="13:37">
      <c r="M98"/>
      <c r="AG98"/>
      <c r="AH98"/>
      <c r="AI98"/>
      <c r="AJ98"/>
      <c r="AK98"/>
    </row>
    <row r="99" spans="13:37">
      <c r="M99"/>
      <c r="AG99"/>
      <c r="AH99"/>
      <c r="AI99"/>
      <c r="AJ99"/>
      <c r="AK99"/>
    </row>
    <row r="100" spans="13:37">
      <c r="M100"/>
      <c r="AG100"/>
      <c r="AH100"/>
      <c r="AI100"/>
      <c r="AJ100"/>
      <c r="AK100"/>
    </row>
    <row r="101" spans="13:37">
      <c r="M101"/>
      <c r="AG101"/>
      <c r="AH101"/>
      <c r="AI101"/>
      <c r="AJ101"/>
      <c r="AK101"/>
    </row>
    <row r="102" spans="13:37">
      <c r="M102"/>
      <c r="AG102"/>
      <c r="AH102"/>
      <c r="AI102"/>
      <c r="AJ102"/>
      <c r="AK102"/>
    </row>
    <row r="103" spans="13:37">
      <c r="M103"/>
      <c r="AG103"/>
      <c r="AH103"/>
      <c r="AI103"/>
      <c r="AJ103"/>
      <c r="AK103"/>
    </row>
    <row r="104" spans="13:37">
      <c r="M104"/>
      <c r="AG104"/>
      <c r="AH104"/>
      <c r="AI104"/>
      <c r="AJ104"/>
      <c r="AK104"/>
    </row>
    <row r="105" spans="13:37">
      <c r="M105"/>
      <c r="AG105"/>
      <c r="AH105"/>
      <c r="AI105"/>
      <c r="AJ105"/>
      <c r="AK105"/>
    </row>
    <row r="106" spans="13:37">
      <c r="M106"/>
      <c r="AG106"/>
      <c r="AH106"/>
      <c r="AI106"/>
      <c r="AJ106"/>
      <c r="AK106"/>
    </row>
    <row r="107" spans="13:37">
      <c r="M107"/>
      <c r="AG107"/>
      <c r="AH107"/>
      <c r="AI107"/>
      <c r="AJ107"/>
      <c r="AK107"/>
    </row>
    <row r="108" spans="13:37">
      <c r="M108"/>
      <c r="AG108"/>
      <c r="AH108"/>
      <c r="AI108"/>
      <c r="AJ108"/>
      <c r="AK108"/>
    </row>
    <row r="109" spans="13:37">
      <c r="M109"/>
      <c r="AG109"/>
      <c r="AH109"/>
      <c r="AI109"/>
      <c r="AJ109"/>
      <c r="AK109"/>
    </row>
    <row r="110" spans="13:37">
      <c r="M110"/>
      <c r="AG110"/>
      <c r="AH110"/>
      <c r="AI110"/>
      <c r="AJ110"/>
      <c r="AK110"/>
    </row>
    <row r="111" spans="13:37">
      <c r="M111"/>
      <c r="AG111"/>
      <c r="AH111"/>
      <c r="AI111"/>
      <c r="AJ111"/>
      <c r="AK111"/>
    </row>
    <row r="112" spans="13:37">
      <c r="M112"/>
      <c r="AG112"/>
      <c r="AH112"/>
      <c r="AI112"/>
      <c r="AJ112"/>
      <c r="AK112"/>
    </row>
    <row r="113" spans="13:37">
      <c r="M113"/>
      <c r="AG113"/>
      <c r="AH113"/>
      <c r="AI113"/>
      <c r="AJ113"/>
      <c r="AK113"/>
    </row>
    <row r="114" spans="13:37">
      <c r="M114"/>
      <c r="AG114"/>
      <c r="AH114"/>
      <c r="AI114"/>
      <c r="AJ114"/>
      <c r="AK114"/>
    </row>
    <row r="115" spans="13:37">
      <c r="M115"/>
      <c r="AG115"/>
      <c r="AH115"/>
      <c r="AI115"/>
      <c r="AJ115"/>
      <c r="AK115"/>
    </row>
    <row r="116" spans="13:37">
      <c r="M116"/>
      <c r="AG116"/>
      <c r="AH116"/>
      <c r="AI116"/>
      <c r="AJ116"/>
      <c r="AK116"/>
    </row>
    <row r="117" spans="13:37">
      <c r="M117"/>
      <c r="AG117"/>
      <c r="AH117"/>
      <c r="AI117"/>
      <c r="AJ117"/>
      <c r="AK117"/>
    </row>
    <row r="118" spans="13:37">
      <c r="M118"/>
      <c r="AG118"/>
      <c r="AH118"/>
      <c r="AI118"/>
      <c r="AJ118"/>
      <c r="AK118"/>
    </row>
    <row r="119" spans="13:37">
      <c r="M119"/>
      <c r="AG119"/>
      <c r="AH119"/>
      <c r="AI119"/>
      <c r="AJ119"/>
      <c r="AK119"/>
    </row>
    <row r="120" spans="13:37">
      <c r="M120"/>
      <c r="AG120"/>
      <c r="AH120"/>
      <c r="AI120"/>
      <c r="AJ120"/>
      <c r="AK120"/>
    </row>
    <row r="121" spans="13:37">
      <c r="M121"/>
      <c r="AG121"/>
      <c r="AH121"/>
      <c r="AI121"/>
      <c r="AJ121"/>
      <c r="AK121"/>
    </row>
    <row r="122" spans="13:37">
      <c r="M122"/>
      <c r="AG122"/>
      <c r="AH122"/>
      <c r="AI122"/>
      <c r="AJ122"/>
      <c r="AK122"/>
    </row>
    <row r="123" spans="13:37">
      <c r="M123"/>
      <c r="AG123"/>
      <c r="AH123"/>
      <c r="AI123"/>
      <c r="AJ123"/>
      <c r="AK123"/>
    </row>
    <row r="124" spans="13:37">
      <c r="M124"/>
      <c r="AG124"/>
      <c r="AH124"/>
      <c r="AI124"/>
      <c r="AJ124"/>
      <c r="AK124"/>
    </row>
    <row r="125" spans="13:37">
      <c r="M125"/>
      <c r="AG125"/>
      <c r="AH125"/>
      <c r="AI125"/>
      <c r="AJ125"/>
      <c r="AK125"/>
    </row>
    <row r="126" spans="13:37">
      <c r="AG126"/>
      <c r="AH126"/>
      <c r="AI126"/>
      <c r="AJ126"/>
      <c r="AK126"/>
    </row>
    <row r="127" spans="13:37">
      <c r="AG127"/>
      <c r="AH127"/>
      <c r="AI127"/>
      <c r="AJ127"/>
      <c r="AK127"/>
    </row>
    <row r="128" spans="13:37">
      <c r="AG128"/>
      <c r="AH128"/>
      <c r="AI128"/>
      <c r="AJ128"/>
      <c r="AK128"/>
    </row>
    <row r="129" spans="33:37">
      <c r="AG129"/>
      <c r="AH129"/>
      <c r="AI129"/>
      <c r="AJ129"/>
      <c r="AK129"/>
    </row>
    <row r="130" spans="33:37">
      <c r="AG130"/>
      <c r="AH130"/>
      <c r="AI130"/>
      <c r="AJ130"/>
      <c r="AK130"/>
    </row>
    <row r="131" spans="33:37">
      <c r="AG131"/>
      <c r="AH131"/>
      <c r="AI131"/>
      <c r="AJ131"/>
      <c r="AK131"/>
    </row>
    <row r="132" spans="33:37">
      <c r="AG132"/>
      <c r="AH132"/>
      <c r="AI132"/>
      <c r="AJ132"/>
      <c r="AK132"/>
    </row>
    <row r="133" spans="33:37">
      <c r="AG133"/>
      <c r="AH133"/>
      <c r="AI133"/>
      <c r="AJ133"/>
      <c r="AK133"/>
    </row>
    <row r="134" spans="33:37">
      <c r="AG134"/>
      <c r="AH134"/>
      <c r="AI134"/>
      <c r="AJ134"/>
      <c r="AK134"/>
    </row>
    <row r="135" spans="33:37">
      <c r="AG135"/>
      <c r="AH135"/>
      <c r="AI135"/>
      <c r="AJ135"/>
      <c r="AK135"/>
    </row>
    <row r="136" spans="33:37">
      <c r="AG136"/>
      <c r="AH136"/>
      <c r="AI136"/>
      <c r="AJ136"/>
      <c r="AK136"/>
    </row>
    <row r="137" spans="33:37">
      <c r="AG137"/>
      <c r="AH137"/>
      <c r="AI137"/>
      <c r="AJ137"/>
      <c r="AK137"/>
    </row>
    <row r="138" spans="33:37">
      <c r="AG138"/>
      <c r="AH138"/>
      <c r="AI138"/>
      <c r="AJ138"/>
      <c r="AK138"/>
    </row>
    <row r="139" spans="33:37">
      <c r="AG139"/>
      <c r="AH139"/>
      <c r="AI139"/>
      <c r="AJ139"/>
      <c r="AK139"/>
    </row>
    <row r="140" spans="33:37">
      <c r="AG140"/>
      <c r="AH140"/>
      <c r="AI140"/>
      <c r="AJ140"/>
      <c r="AK140"/>
    </row>
    <row r="141" spans="33:37">
      <c r="AG141"/>
      <c r="AH141"/>
      <c r="AI141"/>
      <c r="AJ141"/>
      <c r="AK141"/>
    </row>
    <row r="142" spans="33:37">
      <c r="AG142"/>
      <c r="AH142"/>
      <c r="AI142"/>
      <c r="AJ142"/>
      <c r="AK142"/>
    </row>
    <row r="143" spans="33:37">
      <c r="AG143"/>
      <c r="AH143"/>
      <c r="AI143"/>
      <c r="AJ143"/>
      <c r="AK143"/>
    </row>
    <row r="144" spans="33:37">
      <c r="AG144"/>
      <c r="AH144"/>
      <c r="AI144"/>
      <c r="AJ144"/>
      <c r="AK144"/>
    </row>
    <row r="145" spans="33:37">
      <c r="AG145"/>
      <c r="AH145"/>
      <c r="AI145"/>
      <c r="AJ145"/>
      <c r="AK145"/>
    </row>
    <row r="146" spans="33:37">
      <c r="AG146"/>
      <c r="AH146"/>
      <c r="AI146"/>
      <c r="AJ146"/>
      <c r="AK146"/>
    </row>
    <row r="147" spans="33:37">
      <c r="AG147"/>
      <c r="AH147"/>
      <c r="AI147"/>
      <c r="AJ147"/>
      <c r="AK147"/>
    </row>
    <row r="148" spans="33:37">
      <c r="AG148"/>
      <c r="AH148"/>
      <c r="AI148"/>
      <c r="AJ148"/>
      <c r="AK148"/>
    </row>
  </sheetData>
  <mergeCells count="4">
    <mergeCell ref="B1:E1"/>
    <mergeCell ref="F1:H1"/>
    <mergeCell ref="I1:K1"/>
    <mergeCell ref="L1:N1"/>
  </mergeCells>
  <phoneticPr fontId="66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F126"/>
  <sheetViews>
    <sheetView topLeftCell="BI4" workbookViewId="0">
      <selection activeCell="BN45" sqref="BN45"/>
    </sheetView>
  </sheetViews>
  <sheetFormatPr defaultRowHeight="14.75"/>
  <cols>
    <col min="1" max="1" width="26" customWidth="1"/>
    <col min="2" max="2" width="12.453125" customWidth="1"/>
    <col min="3" max="14" width="14.7265625" customWidth="1"/>
    <col min="15" max="17" width="14.453125" customWidth="1"/>
    <col min="18" max="18" width="8.7265625" customWidth="1"/>
    <col min="19" max="30" width="14.36328125" customWidth="1"/>
    <col min="31" max="34" width="17.08984375" customWidth="1"/>
    <col min="35" max="35" width="25.453125" style="336" customWidth="1"/>
    <col min="36" max="36" width="14.36328125" style="336" customWidth="1"/>
    <col min="37" max="45" width="14.36328125" customWidth="1"/>
    <col min="46" max="46" width="16.08984375" customWidth="1"/>
    <col min="47" max="48" width="14.36328125" customWidth="1"/>
    <col min="49" max="49" width="17.36328125" customWidth="1"/>
    <col min="50" max="51" width="14.36328125" customWidth="1"/>
    <col min="52" max="52" width="8.7265625" customWidth="1"/>
    <col min="53" max="53" width="14.7265625" customWidth="1"/>
    <col min="54" max="54" width="14.81640625" customWidth="1"/>
    <col min="55" max="55" width="15.36328125" customWidth="1"/>
    <col min="56" max="56" width="14.54296875" customWidth="1"/>
    <col min="57" max="57" width="16.7265625" customWidth="1"/>
    <col min="58" max="58" width="14.54296875" customWidth="1"/>
    <col min="59" max="59" width="14.453125" customWidth="1"/>
    <col min="60" max="60" width="14.7265625" customWidth="1"/>
    <col min="61" max="61" width="15" customWidth="1"/>
    <col min="62" max="62" width="15.26953125" customWidth="1"/>
    <col min="63" max="64" width="14.81640625" customWidth="1"/>
    <col min="65" max="65" width="14.90625" customWidth="1"/>
    <col min="66" max="67" width="13.7265625" customWidth="1"/>
    <col min="69" max="69" width="14.7265625" customWidth="1"/>
    <col min="70" max="70" width="14.81640625" customWidth="1"/>
    <col min="71" max="71" width="15.36328125" customWidth="1"/>
    <col min="72" max="72" width="14.54296875" customWidth="1"/>
    <col min="73" max="73" width="16.7265625" customWidth="1"/>
    <col min="74" max="74" width="14.54296875" customWidth="1"/>
    <col min="75" max="75" width="14.81640625" bestFit="1" customWidth="1"/>
    <col min="76" max="76" width="14.7265625" customWidth="1"/>
    <col min="77" max="77" width="15" customWidth="1"/>
    <col min="78" max="78" width="15.26953125" customWidth="1"/>
    <col min="79" max="80" width="14.81640625" customWidth="1"/>
    <col min="81" max="81" width="23.90625" customWidth="1"/>
    <col min="82" max="83" width="13.7265625" customWidth="1"/>
  </cols>
  <sheetData>
    <row r="1" spans="1:83" ht="19.25" thickBot="1">
      <c r="A1" s="787">
        <v>2020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399"/>
      <c r="Q1" s="399"/>
      <c r="S1" s="786">
        <v>2021</v>
      </c>
      <c r="T1" s="786"/>
      <c r="U1" s="786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335"/>
      <c r="AG1" s="335"/>
      <c r="AI1" s="433"/>
      <c r="AK1" s="785">
        <v>2022</v>
      </c>
      <c r="AL1" s="785"/>
      <c r="AM1" s="785"/>
      <c r="AN1" s="785"/>
      <c r="AO1" s="785"/>
      <c r="AP1" s="785"/>
      <c r="AQ1" s="785"/>
      <c r="AR1" s="785"/>
      <c r="AS1" s="785"/>
      <c r="AT1" s="785"/>
      <c r="AU1" s="785"/>
      <c r="AV1" s="785"/>
      <c r="AW1" s="785"/>
      <c r="AX1" s="336"/>
      <c r="AY1" s="336"/>
      <c r="BA1" s="782">
        <v>2023</v>
      </c>
      <c r="BB1" s="783"/>
      <c r="BC1" s="783"/>
      <c r="BD1" s="783"/>
      <c r="BE1" s="783"/>
      <c r="BF1" s="783"/>
      <c r="BG1" s="783"/>
      <c r="BH1" s="783"/>
      <c r="BI1" s="783"/>
      <c r="BJ1" s="783"/>
      <c r="BK1" s="783"/>
      <c r="BL1" s="783"/>
      <c r="BM1" s="784"/>
      <c r="BN1" s="318"/>
      <c r="BO1" s="315"/>
      <c r="BQ1" s="782">
        <v>2024</v>
      </c>
      <c r="BR1" s="783"/>
      <c r="BS1" s="783"/>
      <c r="BT1" s="783"/>
      <c r="BU1" s="783"/>
      <c r="BV1" s="783"/>
      <c r="BW1" s="783"/>
      <c r="BX1" s="783"/>
      <c r="BY1" s="783"/>
      <c r="BZ1" s="783"/>
      <c r="CA1" s="783"/>
      <c r="CB1" s="783"/>
      <c r="CC1" s="784"/>
      <c r="CD1" s="318"/>
      <c r="CE1" s="315"/>
    </row>
    <row r="2" spans="1:83" s="328" customFormat="1" ht="32" thickTop="1" thickBot="1">
      <c r="A2" s="400" t="s">
        <v>189</v>
      </c>
      <c r="B2" s="401" t="s">
        <v>246</v>
      </c>
      <c r="C2" s="402" t="s">
        <v>257</v>
      </c>
      <c r="D2" s="403" t="s">
        <v>258</v>
      </c>
      <c r="E2" s="403" t="s">
        <v>259</v>
      </c>
      <c r="F2" s="404" t="s">
        <v>260</v>
      </c>
      <c r="G2" s="404" t="s">
        <v>261</v>
      </c>
      <c r="H2" s="404" t="s">
        <v>262</v>
      </c>
      <c r="I2" s="404" t="s">
        <v>263</v>
      </c>
      <c r="J2" s="404" t="s">
        <v>264</v>
      </c>
      <c r="K2" s="404" t="s">
        <v>265</v>
      </c>
      <c r="L2" s="404" t="s">
        <v>266</v>
      </c>
      <c r="M2" s="404" t="s">
        <v>267</v>
      </c>
      <c r="N2" s="404" t="s">
        <v>268</v>
      </c>
      <c r="O2" s="405" t="s">
        <v>188</v>
      </c>
      <c r="P2" s="406" t="s">
        <v>488</v>
      </c>
      <c r="Q2" s="406" t="s">
        <v>489</v>
      </c>
      <c r="S2" s="329" t="s">
        <v>257</v>
      </c>
      <c r="T2" s="330" t="s">
        <v>258</v>
      </c>
      <c r="U2" s="330" t="s">
        <v>259</v>
      </c>
      <c r="V2" s="331" t="s">
        <v>260</v>
      </c>
      <c r="W2" s="331" t="s">
        <v>261</v>
      </c>
      <c r="X2" s="331" t="s">
        <v>262</v>
      </c>
      <c r="Y2" s="331" t="s">
        <v>263</v>
      </c>
      <c r="Z2" s="331" t="s">
        <v>264</v>
      </c>
      <c r="AA2" s="331" t="s">
        <v>265</v>
      </c>
      <c r="AB2" s="331" t="s">
        <v>266</v>
      </c>
      <c r="AC2" s="331" t="s">
        <v>267</v>
      </c>
      <c r="AD2" s="331" t="s">
        <v>268</v>
      </c>
      <c r="AE2" s="332" t="s">
        <v>188</v>
      </c>
      <c r="AF2" s="334" t="s">
        <v>488</v>
      </c>
      <c r="AG2" s="334" t="s">
        <v>489</v>
      </c>
      <c r="AH2"/>
      <c r="AI2" s="434" t="s">
        <v>189</v>
      </c>
      <c r="AJ2" s="435" t="s">
        <v>246</v>
      </c>
      <c r="AK2" s="337" t="s">
        <v>257</v>
      </c>
      <c r="AL2" s="338" t="s">
        <v>258</v>
      </c>
      <c r="AM2" s="338" t="s">
        <v>259</v>
      </c>
      <c r="AN2" s="339" t="s">
        <v>260</v>
      </c>
      <c r="AO2" s="339" t="s">
        <v>261</v>
      </c>
      <c r="AP2" s="339" t="s">
        <v>262</v>
      </c>
      <c r="AQ2" s="339" t="s">
        <v>263</v>
      </c>
      <c r="AR2" s="339" t="s">
        <v>264</v>
      </c>
      <c r="AS2" s="339" t="s">
        <v>265</v>
      </c>
      <c r="AT2" s="339" t="s">
        <v>266</v>
      </c>
      <c r="AU2" s="339" t="s">
        <v>267</v>
      </c>
      <c r="AV2" s="339" t="s">
        <v>268</v>
      </c>
      <c r="AW2" s="340" t="s">
        <v>188</v>
      </c>
      <c r="AX2" s="341" t="s">
        <v>375</v>
      </c>
      <c r="AY2" s="342" t="s">
        <v>376</v>
      </c>
      <c r="BA2" s="329" t="s">
        <v>257</v>
      </c>
      <c r="BB2" s="330" t="s">
        <v>258</v>
      </c>
      <c r="BC2" s="330" t="s">
        <v>259</v>
      </c>
      <c r="BD2" s="331" t="s">
        <v>260</v>
      </c>
      <c r="BE2" s="374" t="s">
        <v>261</v>
      </c>
      <c r="BF2" s="363" t="s">
        <v>262</v>
      </c>
      <c r="BG2" s="363" t="s">
        <v>263</v>
      </c>
      <c r="BH2" s="363" t="s">
        <v>264</v>
      </c>
      <c r="BI2" s="363" t="s">
        <v>265</v>
      </c>
      <c r="BJ2" s="363" t="s">
        <v>266</v>
      </c>
      <c r="BK2" s="363" t="s">
        <v>267</v>
      </c>
      <c r="BL2" s="363" t="s">
        <v>268</v>
      </c>
      <c r="BM2" s="332" t="s">
        <v>188</v>
      </c>
      <c r="BN2" s="333" t="s">
        <v>375</v>
      </c>
      <c r="BO2" s="334" t="s">
        <v>376</v>
      </c>
      <c r="BQ2" s="329" t="s">
        <v>257</v>
      </c>
      <c r="BR2" s="330" t="s">
        <v>258</v>
      </c>
      <c r="BS2" s="330" t="s">
        <v>259</v>
      </c>
      <c r="BT2" s="331" t="s">
        <v>260</v>
      </c>
      <c r="BU2" s="374" t="s">
        <v>261</v>
      </c>
      <c r="BV2" s="363" t="s">
        <v>262</v>
      </c>
      <c r="BW2" s="363" t="s">
        <v>263</v>
      </c>
      <c r="BX2" s="363" t="s">
        <v>264</v>
      </c>
      <c r="BY2" s="363" t="s">
        <v>265</v>
      </c>
      <c r="BZ2" s="363" t="s">
        <v>266</v>
      </c>
      <c r="CA2" s="363" t="s">
        <v>267</v>
      </c>
      <c r="CB2" s="363" t="s">
        <v>268</v>
      </c>
      <c r="CC2" s="332" t="s">
        <v>188</v>
      </c>
      <c r="CD2" s="333" t="s">
        <v>375</v>
      </c>
      <c r="CE2" s="334" t="s">
        <v>376</v>
      </c>
    </row>
    <row r="3" spans="1:83" ht="16.5" thickTop="1">
      <c r="A3" s="407" t="s">
        <v>190</v>
      </c>
      <c r="B3" s="408" t="s">
        <v>247</v>
      </c>
      <c r="C3" s="409">
        <v>195076.95106069688</v>
      </c>
      <c r="D3" s="409">
        <v>169222.31767748273</v>
      </c>
      <c r="E3" s="409">
        <v>130291.85860157674</v>
      </c>
      <c r="F3" s="409">
        <v>112065.14927200216</v>
      </c>
      <c r="G3" s="409">
        <v>139725.8779537651</v>
      </c>
      <c r="H3" s="409">
        <v>169672.99570132711</v>
      </c>
      <c r="I3" s="409">
        <v>198520.02000000002</v>
      </c>
      <c r="J3" s="409">
        <v>189990.16000000003</v>
      </c>
      <c r="K3" s="409">
        <v>171947.93</v>
      </c>
      <c r="L3" s="409">
        <v>165071.35999999999</v>
      </c>
      <c r="M3" s="409">
        <v>180556.59</v>
      </c>
      <c r="N3" s="409">
        <v>205359.84</v>
      </c>
      <c r="O3" s="410">
        <f>SUM(C3:N3)</f>
        <v>2027501.0502668512</v>
      </c>
      <c r="P3" s="411">
        <f>SUM(C3:H3)</f>
        <v>916055.15026685072</v>
      </c>
      <c r="Q3" s="411">
        <f>SUM(E3:N3)</f>
        <v>1663201.7815286713</v>
      </c>
      <c r="S3" s="29">
        <v>194070.67039999971</v>
      </c>
      <c r="T3" s="29">
        <v>150670.24439999979</v>
      </c>
      <c r="U3" s="29">
        <v>179128.29079999973</v>
      </c>
      <c r="V3" s="29">
        <v>170530.18320000003</v>
      </c>
      <c r="W3" s="29">
        <v>195221.98560000004</v>
      </c>
      <c r="X3" s="29">
        <v>199068.21600000001</v>
      </c>
      <c r="Y3" s="29">
        <v>190266.516</v>
      </c>
      <c r="Z3" s="29">
        <v>191763.43640000001</v>
      </c>
      <c r="AA3" s="29">
        <v>194610.10399999999</v>
      </c>
      <c r="AB3" s="29">
        <v>155551.3364</v>
      </c>
      <c r="AC3" s="29">
        <v>138681.26319999999</v>
      </c>
      <c r="AD3" s="29">
        <v>145735.986</v>
      </c>
      <c r="AE3" s="31">
        <f>SUM(S3:AD3)</f>
        <v>2105298.2323999992</v>
      </c>
      <c r="AF3" s="411">
        <f>SUM(S3:X3)</f>
        <v>1088689.5903999992</v>
      </c>
      <c r="AG3" s="411">
        <f>SUM(Y3:AD3)</f>
        <v>1016608.642</v>
      </c>
      <c r="AI3" s="436" t="s">
        <v>190</v>
      </c>
      <c r="AJ3" s="437" t="s">
        <v>247</v>
      </c>
      <c r="AK3" s="343">
        <v>197569.4424</v>
      </c>
      <c r="AL3" s="343">
        <v>181301.53599999999</v>
      </c>
      <c r="AM3" s="343">
        <v>199238.92119999998</v>
      </c>
      <c r="AN3" s="343">
        <v>172713.35920000001</v>
      </c>
      <c r="AO3" s="343">
        <v>198764.24960000001</v>
      </c>
      <c r="AP3" s="343">
        <v>208014.90200000003</v>
      </c>
      <c r="AQ3" s="343">
        <v>232774.74320000003</v>
      </c>
      <c r="AR3" s="343">
        <v>191428.13440000001</v>
      </c>
      <c r="AS3" s="343">
        <v>197755.15159999998</v>
      </c>
      <c r="AT3" s="343">
        <v>183028.48800000001</v>
      </c>
      <c r="AU3" s="343">
        <v>183763.18640000001</v>
      </c>
      <c r="AV3" s="343">
        <v>197271.94039999999</v>
      </c>
      <c r="AW3" s="344">
        <f>SUM(AK3:AV3)</f>
        <v>2343624.0544000003</v>
      </c>
      <c r="AX3" s="345">
        <f>SUM(AK3:AP3)</f>
        <v>1157602.4103999999</v>
      </c>
      <c r="AY3" s="345">
        <f>SUM(AQ3:AV3)</f>
        <v>1186021.6440000001</v>
      </c>
      <c r="BA3" s="316">
        <v>208736.45240000004</v>
      </c>
      <c r="BB3" s="316">
        <v>187441.83799999999</v>
      </c>
      <c r="BC3" s="316">
        <v>203329.76160000003</v>
      </c>
      <c r="BD3" s="316">
        <v>179465.22399999999</v>
      </c>
      <c r="BE3" s="29">
        <v>170337.50560000003</v>
      </c>
      <c r="BF3" s="364">
        <v>208220.6876</v>
      </c>
      <c r="BG3" s="364">
        <v>220986.9676</v>
      </c>
      <c r="BH3" s="364">
        <v>226148.04440000001</v>
      </c>
      <c r="BI3" s="364">
        <v>208266.32759999996</v>
      </c>
      <c r="BJ3" s="364">
        <v>201404.34040000002</v>
      </c>
      <c r="BK3" s="364">
        <v>174478.97399999999</v>
      </c>
      <c r="BL3" s="364">
        <v>213405.61119999998</v>
      </c>
      <c r="BM3" s="317">
        <f>SUM(BA3:BL3)</f>
        <v>2402221.7344000004</v>
      </c>
      <c r="BN3" s="318">
        <f>SUM(BA3:BF3)</f>
        <v>1157531.4692000002</v>
      </c>
      <c r="BO3" s="318">
        <f>SUM(BG3:BL3)</f>
        <v>1244690.2651999998</v>
      </c>
      <c r="BQ3" s="316">
        <v>197136.78400000001</v>
      </c>
      <c r="BR3" s="316">
        <v>192461.28040000002</v>
      </c>
      <c r="BS3" s="316">
        <v>211936.70859999998</v>
      </c>
      <c r="BT3" s="316">
        <v>201690.2868</v>
      </c>
      <c r="BU3" s="29">
        <v>211339.46040000001</v>
      </c>
      <c r="BV3" s="364">
        <v>220072.51390000002</v>
      </c>
      <c r="BW3" s="364">
        <v>207750.18</v>
      </c>
      <c r="BX3" s="364">
        <v>239568.399</v>
      </c>
      <c r="BY3" s="364">
        <v>225709.77</v>
      </c>
      <c r="BZ3" s="364">
        <v>218700.55</v>
      </c>
      <c r="CA3" s="364">
        <v>198942.49</v>
      </c>
      <c r="CB3" s="364">
        <v>224039</v>
      </c>
      <c r="CC3" s="317">
        <f>SUM(BQ3:CB3)</f>
        <v>2549347.4231000002</v>
      </c>
      <c r="CD3" s="318">
        <f>SUM(BQ3:BV3)</f>
        <v>1234637.0341</v>
      </c>
      <c r="CE3" s="318">
        <f>SUM(BW3:CB3)</f>
        <v>1314710.389</v>
      </c>
    </row>
    <row r="4" spans="1:83">
      <c r="A4" s="412" t="s">
        <v>191</v>
      </c>
      <c r="B4" s="413" t="s">
        <v>247</v>
      </c>
      <c r="C4" s="414">
        <v>59471.95983333332</v>
      </c>
      <c r="D4" s="414">
        <v>42745.81127777775</v>
      </c>
      <c r="E4" s="414">
        <v>44876.772444444432</v>
      </c>
      <c r="F4" s="414">
        <v>10257.687999999998</v>
      </c>
      <c r="G4" s="414">
        <v>22340.694</v>
      </c>
      <c r="H4" s="414">
        <v>32688.575999999986</v>
      </c>
      <c r="I4" s="414">
        <v>40712.856799999994</v>
      </c>
      <c r="J4" s="414">
        <v>37826.097999999991</v>
      </c>
      <c r="K4" s="414">
        <v>34969.016800000005</v>
      </c>
      <c r="L4" s="414">
        <v>38106.369599999998</v>
      </c>
      <c r="M4" s="414">
        <v>33641.567999999999</v>
      </c>
      <c r="N4" s="414">
        <v>44101.95440000001</v>
      </c>
      <c r="O4" s="410">
        <f t="shared" ref="O4:O63" si="0">SUM(C4:N4)</f>
        <v>441739.36515555548</v>
      </c>
      <c r="P4" s="411">
        <f t="shared" ref="P4:P64" si="1">SUM(C4:H4)</f>
        <v>212381.5015555555</v>
      </c>
      <c r="Q4" s="411">
        <f t="shared" ref="Q4:Q67" si="2">SUM(E4:N4)</f>
        <v>339521.59404444444</v>
      </c>
      <c r="S4" s="30">
        <v>31365.253999999986</v>
      </c>
      <c r="T4" s="30">
        <v>22927.077999999987</v>
      </c>
      <c r="U4" s="30">
        <v>37173.623999999974</v>
      </c>
      <c r="V4" s="30">
        <v>40664.217999999986</v>
      </c>
      <c r="W4" s="30">
        <v>36668.530000000006</v>
      </c>
      <c r="X4" s="30">
        <v>44253.167999999991</v>
      </c>
      <c r="Y4" s="30">
        <v>35392.015999999996</v>
      </c>
      <c r="Z4" s="30">
        <v>35062.256000000008</v>
      </c>
      <c r="AA4" s="30">
        <v>57218.097999999998</v>
      </c>
      <c r="AB4" s="30">
        <v>43816.396000000001</v>
      </c>
      <c r="AC4" s="30">
        <v>42661.591999999982</v>
      </c>
      <c r="AD4" s="30">
        <v>54313.688000000009</v>
      </c>
      <c r="AE4" s="31">
        <f t="shared" ref="AE4:AE63" si="3">SUM(S4:AD4)</f>
        <v>481515.91799999995</v>
      </c>
      <c r="AF4" s="411">
        <f t="shared" ref="AF4:AF63" si="4">SUM(S4:X4)</f>
        <v>213051.87199999992</v>
      </c>
      <c r="AG4" s="411">
        <f t="shared" ref="AG4:AG63" si="5">SUM(Y4:AD4)</f>
        <v>268464.04599999997</v>
      </c>
      <c r="AI4" s="438" t="s">
        <v>191</v>
      </c>
      <c r="AJ4" s="439" t="s">
        <v>247</v>
      </c>
      <c r="AK4" s="346">
        <v>52000.858</v>
      </c>
      <c r="AL4" s="346">
        <v>45548.684000000008</v>
      </c>
      <c r="AM4" s="346">
        <v>56764.19400000001</v>
      </c>
      <c r="AN4" s="346">
        <v>45796.52199999999</v>
      </c>
      <c r="AO4" s="346">
        <v>53728.248999999996</v>
      </c>
      <c r="AP4" s="346">
        <v>60102.91</v>
      </c>
      <c r="AQ4" s="346">
        <v>56654.866000000002</v>
      </c>
      <c r="AR4" s="346">
        <v>69198.131999999998</v>
      </c>
      <c r="AS4" s="346">
        <v>58504.946000000011</v>
      </c>
      <c r="AT4" s="346">
        <v>45309.148000000001</v>
      </c>
      <c r="AU4" s="346">
        <v>45137.369999999995</v>
      </c>
      <c r="AV4" s="346">
        <v>55418.262000000002</v>
      </c>
      <c r="AW4" s="344">
        <f t="shared" ref="AW4:AW63" si="6">SUM(AK4:AV4)</f>
        <v>644164.14099999995</v>
      </c>
      <c r="AX4" s="345">
        <f t="shared" ref="AX4:AX63" si="7">SUM(AK4:AP4)</f>
        <v>313941.41700000002</v>
      </c>
      <c r="AY4" s="345">
        <f t="shared" ref="AY4:AY63" si="8">SUM(AQ4:AV4)</f>
        <v>330222.72399999999</v>
      </c>
      <c r="BA4" s="319">
        <v>53898.931999999986</v>
      </c>
      <c r="BB4" s="319">
        <v>44262.005999999994</v>
      </c>
      <c r="BC4" s="319">
        <v>47600.055999999997</v>
      </c>
      <c r="BD4" s="319">
        <v>40834.894</v>
      </c>
      <c r="BE4" s="30">
        <v>55508.371999999996</v>
      </c>
      <c r="BF4" s="365">
        <v>53186.554000000004</v>
      </c>
      <c r="BG4" s="365">
        <v>56441.430000000008</v>
      </c>
      <c r="BH4" s="365">
        <v>70321.536000000007</v>
      </c>
      <c r="BI4" s="365">
        <v>60156.441999999995</v>
      </c>
      <c r="BJ4" s="365">
        <v>50918.456000000006</v>
      </c>
      <c r="BK4" s="365">
        <v>39760.523999999998</v>
      </c>
      <c r="BL4" s="365">
        <v>40393.522000000004</v>
      </c>
      <c r="BM4" s="317">
        <f t="shared" ref="BM4:BM63" si="9">SUM(BA4:BL4)</f>
        <v>613282.72400000005</v>
      </c>
      <c r="BN4" s="318">
        <f t="shared" ref="BN4:BN62" si="10">SUM(BA4:BF4)</f>
        <v>295290.81400000001</v>
      </c>
      <c r="BO4" s="318">
        <f t="shared" ref="BO4:BO63" si="11">SUM(BG4:BL4)</f>
        <v>317991.90999999997</v>
      </c>
      <c r="BQ4" s="319">
        <v>62416.616000000024</v>
      </c>
      <c r="BR4" s="319">
        <v>48165.811999999998</v>
      </c>
      <c r="BS4" s="319">
        <v>53522.595999999998</v>
      </c>
      <c r="BT4" s="319">
        <v>53687.959999999992</v>
      </c>
      <c r="BU4" s="30">
        <v>58614.084000000003</v>
      </c>
      <c r="BV4" s="365">
        <v>59149.568000000007</v>
      </c>
      <c r="BW4" s="365">
        <v>57381.24</v>
      </c>
      <c r="BX4" s="365">
        <v>80164.59</v>
      </c>
      <c r="BY4" s="365">
        <v>72269.98</v>
      </c>
      <c r="BZ4" s="365">
        <v>64973.72</v>
      </c>
      <c r="CA4" s="365">
        <v>51396.639999999999</v>
      </c>
      <c r="CB4" s="365">
        <v>65799</v>
      </c>
      <c r="CC4" s="317">
        <f t="shared" ref="CC4:CC63" si="12">SUM(BQ4:CB4)</f>
        <v>727541.80599999998</v>
      </c>
      <c r="CD4" s="318">
        <f>SUM(BQ4:BV4)</f>
        <v>335556.636</v>
      </c>
      <c r="CE4" s="318">
        <f>SUM(BW4:CB4)</f>
        <v>391985.17000000004</v>
      </c>
    </row>
    <row r="5" spans="1:83">
      <c r="A5" s="412" t="s">
        <v>192</v>
      </c>
      <c r="B5" s="413" t="s">
        <v>247</v>
      </c>
      <c r="C5" s="414">
        <v>254548.91089403021</v>
      </c>
      <c r="D5" s="414">
        <v>211968.12895526047</v>
      </c>
      <c r="E5" s="414">
        <v>175168.63104602118</v>
      </c>
      <c r="F5" s="414">
        <v>177273.68799999999</v>
      </c>
      <c r="G5" s="414">
        <v>242215.69399999999</v>
      </c>
      <c r="H5" s="414">
        <v>314882.576</v>
      </c>
      <c r="I5" s="414">
        <v>239232.87680000003</v>
      </c>
      <c r="J5" s="414">
        <v>227816.25800000003</v>
      </c>
      <c r="K5" s="414">
        <v>206916.94680000001</v>
      </c>
      <c r="L5" s="414">
        <v>203177.72959999999</v>
      </c>
      <c r="M5" s="414">
        <v>214198.158</v>
      </c>
      <c r="N5" s="414">
        <v>249461.79440000001</v>
      </c>
      <c r="O5" s="410">
        <f t="shared" si="0"/>
        <v>2716861.3924953118</v>
      </c>
      <c r="P5" s="411">
        <f t="shared" si="1"/>
        <v>1376057.6288953116</v>
      </c>
      <c r="Q5" s="411">
        <f t="shared" si="2"/>
        <v>2250344.3526460212</v>
      </c>
      <c r="S5" s="30">
        <v>225435.92439999999</v>
      </c>
      <c r="T5" s="30">
        <v>173597.32239999977</v>
      </c>
      <c r="U5" s="30">
        <v>216301.91479999971</v>
      </c>
      <c r="V5" s="30">
        <v>211194.40120000002</v>
      </c>
      <c r="W5" s="30">
        <v>231890.51560000004</v>
      </c>
      <c r="X5" s="30">
        <v>243321.38400000002</v>
      </c>
      <c r="Y5" s="30">
        <v>225658.53200000001</v>
      </c>
      <c r="Z5" s="30">
        <v>226825.6924</v>
      </c>
      <c r="AA5" s="30">
        <v>251828.20199999999</v>
      </c>
      <c r="AB5" s="30">
        <v>199367.73240000001</v>
      </c>
      <c r="AC5" s="30">
        <v>181342.85519999996</v>
      </c>
      <c r="AD5" s="30">
        <v>200049.674</v>
      </c>
      <c r="AE5" s="31">
        <f t="shared" si="3"/>
        <v>2586814.1504000002</v>
      </c>
      <c r="AF5" s="411">
        <f t="shared" si="4"/>
        <v>1301741.4623999996</v>
      </c>
      <c r="AG5" s="411">
        <f t="shared" si="5"/>
        <v>1285072.6880000001</v>
      </c>
      <c r="AI5" s="438" t="s">
        <v>192</v>
      </c>
      <c r="AJ5" s="439" t="s">
        <v>247</v>
      </c>
      <c r="AK5" s="346">
        <v>249570.30040000001</v>
      </c>
      <c r="AL5" s="346">
        <v>226850.22</v>
      </c>
      <c r="AM5" s="346">
        <v>256003.1152</v>
      </c>
      <c r="AN5" s="346">
        <v>218509.8812</v>
      </c>
      <c r="AO5" s="346">
        <v>252492.49859999999</v>
      </c>
      <c r="AP5" s="346">
        <v>268117.81200000003</v>
      </c>
      <c r="AQ5" s="346">
        <v>289429.60920000001</v>
      </c>
      <c r="AR5" s="346">
        <v>260626.26640000002</v>
      </c>
      <c r="AS5" s="346">
        <v>256260.09759999998</v>
      </c>
      <c r="AT5" s="346">
        <v>228337.636</v>
      </c>
      <c r="AU5" s="346">
        <v>228900.5564</v>
      </c>
      <c r="AV5" s="346">
        <v>252690.20240000001</v>
      </c>
      <c r="AW5" s="344">
        <f t="shared" si="6"/>
        <v>2987788.1954000005</v>
      </c>
      <c r="AX5" s="345">
        <f t="shared" si="7"/>
        <v>1471543.8274000003</v>
      </c>
      <c r="AY5" s="345">
        <f t="shared" si="8"/>
        <v>1516244.368</v>
      </c>
      <c r="BA5" s="319">
        <v>262635.38440000004</v>
      </c>
      <c r="BB5" s="319">
        <v>231703.84399999998</v>
      </c>
      <c r="BC5" s="319">
        <v>250929.81760000001</v>
      </c>
      <c r="BD5" s="319">
        <v>220300.11799999999</v>
      </c>
      <c r="BE5" s="30">
        <v>225845.87760000004</v>
      </c>
      <c r="BF5" s="365">
        <v>261407.24160000001</v>
      </c>
      <c r="BG5" s="365">
        <v>277428.39760000003</v>
      </c>
      <c r="BH5" s="365">
        <v>296469.58040000004</v>
      </c>
      <c r="BI5" s="365">
        <v>268422.76959999994</v>
      </c>
      <c r="BJ5" s="365">
        <v>252322.79640000002</v>
      </c>
      <c r="BK5" s="365">
        <v>214239.49799999999</v>
      </c>
      <c r="BL5" s="365">
        <v>253799.13319999998</v>
      </c>
      <c r="BM5" s="317">
        <f t="shared" si="9"/>
        <v>3015504.4584000004</v>
      </c>
      <c r="BN5" s="318">
        <f t="shared" si="10"/>
        <v>1452822.2832000002</v>
      </c>
      <c r="BO5" s="318">
        <f t="shared" si="11"/>
        <v>1562682.1752000002</v>
      </c>
      <c r="BQ5" s="319">
        <v>259553.40000000002</v>
      </c>
      <c r="BR5" s="319">
        <v>240627.09240000002</v>
      </c>
      <c r="BS5" s="319">
        <v>265459.30459999997</v>
      </c>
      <c r="BT5" s="319">
        <v>255378.24679999999</v>
      </c>
      <c r="BU5" s="30">
        <v>269953.54440000001</v>
      </c>
      <c r="BV5" s="365">
        <v>279222.08190000005</v>
      </c>
      <c r="BW5" s="365">
        <v>265131.42</v>
      </c>
      <c r="BX5" s="365">
        <v>319732.989</v>
      </c>
      <c r="BY5" s="365">
        <v>297979.75</v>
      </c>
      <c r="BZ5" s="365">
        <v>283674.27</v>
      </c>
      <c r="CA5" s="365">
        <v>250339.13</v>
      </c>
      <c r="CB5" s="365">
        <v>289838</v>
      </c>
      <c r="CC5" s="317">
        <f t="shared" si="12"/>
        <v>3276889.2291000001</v>
      </c>
      <c r="CD5" s="318">
        <f>SUM(BQ5:BV5)</f>
        <v>1570193.6701000002</v>
      </c>
      <c r="CE5" s="318">
        <f>SUM(BW5:CB5)</f>
        <v>1706695.5589999999</v>
      </c>
    </row>
    <row r="6" spans="1:83">
      <c r="A6" s="412" t="s">
        <v>193</v>
      </c>
      <c r="B6" s="413" t="s">
        <v>248</v>
      </c>
      <c r="C6" s="414"/>
      <c r="D6" s="414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0">
        <f t="shared" si="0"/>
        <v>0</v>
      </c>
      <c r="P6" s="411">
        <f t="shared" si="1"/>
        <v>0</v>
      </c>
      <c r="Q6" s="411">
        <f t="shared" si="2"/>
        <v>0</v>
      </c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1">
        <f t="shared" si="3"/>
        <v>0</v>
      </c>
      <c r="AF6" s="411">
        <f t="shared" si="4"/>
        <v>0</v>
      </c>
      <c r="AG6" s="411">
        <f t="shared" si="5"/>
        <v>0</v>
      </c>
      <c r="AI6" s="438" t="s">
        <v>193</v>
      </c>
      <c r="AJ6" s="439" t="s">
        <v>248</v>
      </c>
      <c r="AK6" s="346"/>
      <c r="AL6" s="346"/>
      <c r="AM6" s="346"/>
      <c r="AN6" s="346"/>
      <c r="AO6" s="346"/>
      <c r="AP6" s="346"/>
      <c r="AQ6" s="346"/>
      <c r="AR6" s="346"/>
      <c r="AS6" s="346"/>
      <c r="AT6" s="346"/>
      <c r="AU6" s="346"/>
      <c r="AV6" s="346"/>
      <c r="AW6" s="344">
        <f t="shared" si="6"/>
        <v>0</v>
      </c>
      <c r="AX6" s="345">
        <f t="shared" si="7"/>
        <v>0</v>
      </c>
      <c r="AY6" s="345">
        <f t="shared" si="8"/>
        <v>0</v>
      </c>
      <c r="BA6" s="319"/>
      <c r="BB6" s="319"/>
      <c r="BC6" s="319"/>
      <c r="BD6" s="319"/>
      <c r="BE6" s="30"/>
      <c r="BF6" s="365"/>
      <c r="BG6" s="365"/>
      <c r="BH6" s="365"/>
      <c r="BI6" s="365"/>
      <c r="BJ6" s="365"/>
      <c r="BK6" s="365"/>
      <c r="BL6" s="365"/>
      <c r="BM6" s="317">
        <f t="shared" si="9"/>
        <v>0</v>
      </c>
      <c r="BN6" s="318">
        <f t="shared" si="10"/>
        <v>0</v>
      </c>
      <c r="BO6" s="318">
        <f t="shared" si="11"/>
        <v>0</v>
      </c>
      <c r="BQ6" s="319"/>
      <c r="BR6" s="319"/>
      <c r="BS6" s="319"/>
      <c r="BT6" s="319"/>
      <c r="BU6" s="30"/>
      <c r="BV6" s="365"/>
      <c r="BW6" s="365"/>
      <c r="BX6" s="365"/>
      <c r="BY6" s="365"/>
      <c r="BZ6" s="365"/>
      <c r="CA6" s="365"/>
      <c r="CB6" s="365"/>
      <c r="CC6" s="317">
        <f t="shared" si="12"/>
        <v>0</v>
      </c>
      <c r="CD6" s="318">
        <f>SUM(BQ6:BV6)</f>
        <v>0</v>
      </c>
      <c r="CE6" s="318">
        <f>SUM(BW6:CB6)</f>
        <v>0</v>
      </c>
    </row>
    <row r="7" spans="1:83">
      <c r="A7" s="412" t="s">
        <v>194</v>
      </c>
      <c r="B7" s="413" t="s">
        <v>249</v>
      </c>
      <c r="C7" s="415">
        <v>36126.43</v>
      </c>
      <c r="D7" s="415">
        <v>34249.11</v>
      </c>
      <c r="E7" s="415">
        <v>25507.07</v>
      </c>
      <c r="F7" s="415">
        <v>14909</v>
      </c>
      <c r="G7" s="415">
        <v>39423.539999999994</v>
      </c>
      <c r="H7" s="415">
        <v>44190.48</v>
      </c>
      <c r="I7" s="415">
        <v>52903.409999999996</v>
      </c>
      <c r="J7" s="415">
        <v>46511.5</v>
      </c>
      <c r="K7" s="415">
        <v>36762.5</v>
      </c>
      <c r="L7" s="415">
        <v>37507.53</v>
      </c>
      <c r="M7" s="415">
        <v>45983.3</v>
      </c>
      <c r="N7" s="415">
        <v>41254.44</v>
      </c>
      <c r="O7" s="410">
        <f t="shared" si="0"/>
        <v>455328.31000000006</v>
      </c>
      <c r="P7" s="411">
        <f t="shared" si="1"/>
        <v>194405.63000000003</v>
      </c>
      <c r="Q7" s="411">
        <f t="shared" si="2"/>
        <v>384952.77</v>
      </c>
      <c r="S7" s="196">
        <v>50520</v>
      </c>
      <c r="T7" s="196">
        <v>19524.8</v>
      </c>
      <c r="U7" s="196">
        <v>45908.45</v>
      </c>
      <c r="V7" s="196">
        <v>44342.759999999995</v>
      </c>
      <c r="W7" s="196">
        <v>42172.79</v>
      </c>
      <c r="X7" s="196">
        <v>67192.73</v>
      </c>
      <c r="Y7" s="196">
        <v>75511.76999999999</v>
      </c>
      <c r="Z7" s="196">
        <v>56563.759000000005</v>
      </c>
      <c r="AA7" s="196">
        <v>62848.37</v>
      </c>
      <c r="AB7" s="196">
        <v>61156.813000000002</v>
      </c>
      <c r="AC7" s="196">
        <v>53914.29</v>
      </c>
      <c r="AD7" s="196">
        <v>50782.039999999994</v>
      </c>
      <c r="AE7" s="31">
        <f t="shared" si="3"/>
        <v>630438.57200000016</v>
      </c>
      <c r="AF7" s="411">
        <f t="shared" si="4"/>
        <v>269661.53000000003</v>
      </c>
      <c r="AG7" s="411">
        <f t="shared" si="5"/>
        <v>360777.04199999996</v>
      </c>
      <c r="AI7" s="438" t="s">
        <v>194</v>
      </c>
      <c r="AJ7" s="439" t="s">
        <v>249</v>
      </c>
      <c r="AK7" s="347">
        <v>58249.729999999996</v>
      </c>
      <c r="AL7" s="347">
        <v>54525.87</v>
      </c>
      <c r="AM7" s="347">
        <v>61810.2</v>
      </c>
      <c r="AN7" s="347">
        <v>52667.23</v>
      </c>
      <c r="AO7" s="347">
        <v>60524.800000000003</v>
      </c>
      <c r="AP7" s="347">
        <v>62483.117999999995</v>
      </c>
      <c r="AQ7" s="347">
        <v>60430.78</v>
      </c>
      <c r="AR7" s="347">
        <v>66477.16</v>
      </c>
      <c r="AS7" s="347">
        <v>61845.72</v>
      </c>
      <c r="AT7" s="347">
        <v>53045</v>
      </c>
      <c r="AU7" s="347">
        <v>62268</v>
      </c>
      <c r="AV7" s="347">
        <v>60901</v>
      </c>
      <c r="AW7" s="344">
        <f t="shared" si="6"/>
        <v>715228.60800000001</v>
      </c>
      <c r="AX7" s="345">
        <f t="shared" si="7"/>
        <v>350260.94800000003</v>
      </c>
      <c r="AY7" s="345">
        <f t="shared" si="8"/>
        <v>364967.66000000003</v>
      </c>
      <c r="BA7" s="320">
        <v>62099</v>
      </c>
      <c r="BB7" s="320">
        <v>62308.98</v>
      </c>
      <c r="BC7" s="320">
        <v>68134.05</v>
      </c>
      <c r="BD7" s="320">
        <v>58950.71</v>
      </c>
      <c r="BE7" s="196">
        <v>67275</v>
      </c>
      <c r="BF7" s="366">
        <v>69966</v>
      </c>
      <c r="BG7" s="366">
        <v>64078.400000000001</v>
      </c>
      <c r="BH7" s="366">
        <v>83490.899999999994</v>
      </c>
      <c r="BI7" s="366">
        <v>72615.600000000006</v>
      </c>
      <c r="BJ7" s="366">
        <v>84247.7</v>
      </c>
      <c r="BK7" s="366">
        <v>71172.5</v>
      </c>
      <c r="BL7" s="366">
        <v>65139.5</v>
      </c>
      <c r="BM7" s="317">
        <f t="shared" si="9"/>
        <v>829478.34</v>
      </c>
      <c r="BN7" s="318">
        <f>SUM(BA7:BF7)</f>
        <v>388733.74</v>
      </c>
      <c r="BO7" s="318">
        <f>SUM(BG7:BL7)</f>
        <v>440744.6</v>
      </c>
      <c r="BQ7" s="320">
        <v>51993.1</v>
      </c>
      <c r="BR7" s="320">
        <v>38071.4</v>
      </c>
      <c r="BS7" s="320">
        <v>68165.3</v>
      </c>
      <c r="BT7" s="320">
        <v>67571.100000000006</v>
      </c>
      <c r="BU7" s="196">
        <v>78338</v>
      </c>
      <c r="BV7" s="366">
        <v>76538.8</v>
      </c>
      <c r="BW7" s="366">
        <v>56907</v>
      </c>
      <c r="BX7" s="366">
        <v>61056</v>
      </c>
      <c r="BY7" s="366">
        <v>91781.24</v>
      </c>
      <c r="BZ7" s="366">
        <v>84991</v>
      </c>
      <c r="CA7" s="366">
        <v>77108</v>
      </c>
      <c r="CB7" s="366">
        <v>80512</v>
      </c>
      <c r="CC7" s="317">
        <f t="shared" si="12"/>
        <v>833032.94000000006</v>
      </c>
      <c r="CD7" s="318">
        <f>SUM(BQ7:BV7)</f>
        <v>380677.7</v>
      </c>
      <c r="CE7" s="318">
        <f>SUM(BW7:CB7)</f>
        <v>452355.24</v>
      </c>
    </row>
    <row r="8" spans="1:83">
      <c r="A8" s="412" t="s">
        <v>195</v>
      </c>
      <c r="B8" s="413" t="s">
        <v>249</v>
      </c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0">
        <f t="shared" si="0"/>
        <v>0</v>
      </c>
      <c r="P8" s="411">
        <f t="shared" si="1"/>
        <v>0</v>
      </c>
      <c r="Q8" s="411">
        <f t="shared" si="2"/>
        <v>0</v>
      </c>
      <c r="S8" s="196">
        <v>74.721000000000004</v>
      </c>
      <c r="T8" s="196">
        <v>120.0945</v>
      </c>
      <c r="U8" s="196">
        <v>199.75379999999996</v>
      </c>
      <c r="V8" s="196">
        <v>1540.1807000000001</v>
      </c>
      <c r="W8" s="196">
        <v>3100.2275000000004</v>
      </c>
      <c r="X8" s="196">
        <v>7833.9380000000001</v>
      </c>
      <c r="Y8" s="196">
        <v>1275.6220000000001</v>
      </c>
      <c r="Z8" s="196">
        <v>8674.7139999999999</v>
      </c>
      <c r="AA8" s="196">
        <v>3827.9079999999999</v>
      </c>
      <c r="AB8" s="196">
        <v>27864.572</v>
      </c>
      <c r="AC8" s="196">
        <v>2165.8780000000002</v>
      </c>
      <c r="AD8" s="196">
        <v>7871.3869999999997</v>
      </c>
      <c r="AE8" s="31">
        <f t="shared" si="3"/>
        <v>64548.996499999994</v>
      </c>
      <c r="AF8" s="411">
        <f t="shared" si="4"/>
        <v>12868.915500000001</v>
      </c>
      <c r="AG8" s="411">
        <f t="shared" si="5"/>
        <v>51680.080999999998</v>
      </c>
      <c r="AI8" s="438" t="s">
        <v>195</v>
      </c>
      <c r="AJ8" s="439" t="s">
        <v>249</v>
      </c>
      <c r="AK8" s="348">
        <v>208.31729999999999</v>
      </c>
      <c r="AL8" s="348">
        <v>331.218051</v>
      </c>
      <c r="AM8" s="348">
        <v>365.18528700000002</v>
      </c>
      <c r="AN8" s="348">
        <v>230.06804500000001</v>
      </c>
      <c r="AO8" s="348">
        <v>404.49334900000002</v>
      </c>
      <c r="AP8" s="348">
        <v>256.85888399999999</v>
      </c>
      <c r="AQ8" s="348">
        <v>319.73374699999999</v>
      </c>
      <c r="AR8" s="348">
        <v>447.10056699999996</v>
      </c>
      <c r="AS8" s="348">
        <v>401.45666199999999</v>
      </c>
      <c r="AT8" s="348">
        <v>145.57028199999999</v>
      </c>
      <c r="AU8" s="348">
        <v>148.15805</v>
      </c>
      <c r="AV8" s="348">
        <v>300.19865300000004</v>
      </c>
      <c r="AW8" s="344">
        <f t="shared" si="6"/>
        <v>3558.3588770000001</v>
      </c>
      <c r="AX8" s="345">
        <f t="shared" si="7"/>
        <v>1796.1409160000001</v>
      </c>
      <c r="AY8" s="345">
        <f t="shared" si="8"/>
        <v>1762.2179609999998</v>
      </c>
      <c r="BA8" s="321"/>
      <c r="BB8" s="321"/>
      <c r="BC8" s="321"/>
      <c r="BD8" s="321"/>
      <c r="BE8" s="375"/>
      <c r="BF8" s="367"/>
      <c r="BG8" s="367"/>
      <c r="BH8" s="367"/>
      <c r="BI8" s="367"/>
      <c r="BJ8" s="367"/>
      <c r="BK8" s="367"/>
      <c r="BL8" s="367"/>
      <c r="BM8" s="317">
        <f t="shared" si="9"/>
        <v>0</v>
      </c>
      <c r="BN8" s="318">
        <f t="shared" si="10"/>
        <v>0</v>
      </c>
      <c r="BO8" s="318">
        <f t="shared" si="11"/>
        <v>0</v>
      </c>
      <c r="BQ8" s="321"/>
      <c r="BR8" s="321"/>
      <c r="BS8" s="321"/>
      <c r="BT8" s="321"/>
      <c r="BU8" s="375"/>
      <c r="BV8" s="367"/>
      <c r="BW8" s="367"/>
      <c r="BX8" s="367"/>
      <c r="BY8" s="367"/>
      <c r="BZ8" s="367"/>
      <c r="CA8" s="367"/>
      <c r="CB8" s="367"/>
      <c r="CC8" s="317">
        <f t="shared" si="12"/>
        <v>0</v>
      </c>
      <c r="CD8" s="318">
        <f t="shared" ref="CD8:CD42" si="13">SUM(BQ8:BV8)</f>
        <v>0</v>
      </c>
      <c r="CE8" s="318">
        <f t="shared" ref="CE8:CE42" si="14">SUM(BW8:CB8)</f>
        <v>0</v>
      </c>
    </row>
    <row r="9" spans="1:83">
      <c r="A9" s="412" t="s">
        <v>196</v>
      </c>
      <c r="B9" s="413" t="s">
        <v>249</v>
      </c>
      <c r="C9" s="416">
        <v>598.18700000000001</v>
      </c>
      <c r="D9" s="416">
        <v>568.947</v>
      </c>
      <c r="E9" s="416">
        <v>515.31399999999996</v>
      </c>
      <c r="F9" s="416">
        <v>512.25400000000002</v>
      </c>
      <c r="G9" s="416">
        <v>607.13400000000001</v>
      </c>
      <c r="H9" s="416">
        <v>732.44</v>
      </c>
      <c r="I9" s="416">
        <v>519.84999999999991</v>
      </c>
      <c r="J9" s="416">
        <v>658.1</v>
      </c>
      <c r="K9" s="416">
        <v>645.84</v>
      </c>
      <c r="L9" s="416">
        <v>707.67192399999999</v>
      </c>
      <c r="M9" s="416">
        <v>601.90977999999996</v>
      </c>
      <c r="N9" s="416">
        <v>725.52797200000009</v>
      </c>
      <c r="O9" s="410">
        <f t="shared" si="0"/>
        <v>7393.1756759999998</v>
      </c>
      <c r="P9" s="411">
        <f t="shared" si="1"/>
        <v>3534.2759999999998</v>
      </c>
      <c r="Q9" s="411">
        <f t="shared" si="2"/>
        <v>6226.0416759999998</v>
      </c>
      <c r="S9" s="196">
        <v>620.98900000000003</v>
      </c>
      <c r="T9" s="196">
        <v>667.20799999999997</v>
      </c>
      <c r="U9" s="196">
        <v>710.10199999999998</v>
      </c>
      <c r="V9" s="196">
        <v>768.31500000000005</v>
      </c>
      <c r="W9" s="196">
        <v>741.524</v>
      </c>
      <c r="X9" s="196">
        <v>601.00699999999995</v>
      </c>
      <c r="Y9" s="196">
        <v>657.875</v>
      </c>
      <c r="Z9" s="196">
        <v>679.74500000000012</v>
      </c>
      <c r="AA9" s="196">
        <v>771.27899999999988</v>
      </c>
      <c r="AB9" s="196"/>
      <c r="AC9" s="196"/>
      <c r="AD9" s="196"/>
      <c r="AE9" s="31">
        <f t="shared" si="3"/>
        <v>6218.043999999999</v>
      </c>
      <c r="AF9" s="411">
        <f t="shared" si="4"/>
        <v>4109.1449999999995</v>
      </c>
      <c r="AG9" s="411">
        <f t="shared" si="5"/>
        <v>2108.8989999999999</v>
      </c>
      <c r="AI9" s="438" t="s">
        <v>196</v>
      </c>
      <c r="AJ9" s="439" t="s">
        <v>249</v>
      </c>
      <c r="AK9" s="348">
        <v>654.33799999999997</v>
      </c>
      <c r="AL9" s="348">
        <v>549.29999999999995</v>
      </c>
      <c r="AM9" s="348">
        <v>618.57500000000016</v>
      </c>
      <c r="AN9" s="348">
        <v>573.79100000000005</v>
      </c>
      <c r="AO9" s="348">
        <v>497.7059999999999</v>
      </c>
      <c r="AP9" s="348">
        <v>440.40099999999995</v>
      </c>
      <c r="AQ9" s="348">
        <v>462.21100000000001</v>
      </c>
      <c r="AR9" s="348">
        <v>438.27100000000002</v>
      </c>
      <c r="AS9" s="348">
        <v>469.37700000000001</v>
      </c>
      <c r="AT9" s="348">
        <v>454.20100000000014</v>
      </c>
      <c r="AU9" s="348">
        <v>356.70499999999998</v>
      </c>
      <c r="AV9" s="348">
        <v>320.834</v>
      </c>
      <c r="AW9" s="344">
        <f t="shared" si="6"/>
        <v>5835.71</v>
      </c>
      <c r="AX9" s="345">
        <f t="shared" si="7"/>
        <v>3334.1109999999999</v>
      </c>
      <c r="AY9" s="345">
        <f t="shared" si="8"/>
        <v>2501.5989999999997</v>
      </c>
      <c r="BA9" s="321">
        <v>354.30599999999998</v>
      </c>
      <c r="BB9" s="321">
        <v>232.25700000000001</v>
      </c>
      <c r="BC9" s="321">
        <v>302.74900000000002</v>
      </c>
      <c r="BD9" s="321">
        <v>311.16399999999999</v>
      </c>
      <c r="BE9" s="375">
        <v>263.12799999999999</v>
      </c>
      <c r="BF9" s="367">
        <v>345.82799999999997</v>
      </c>
      <c r="BG9" s="367">
        <v>292.31</v>
      </c>
      <c r="BH9" s="367">
        <v>404.88400000000007</v>
      </c>
      <c r="BI9" s="367">
        <v>409.33899999999994</v>
      </c>
      <c r="BJ9" s="367">
        <v>385.22599999999994</v>
      </c>
      <c r="BK9" s="367">
        <v>284.38500000000005</v>
      </c>
      <c r="BL9" s="367">
        <v>294.30399999999997</v>
      </c>
      <c r="BM9" s="317">
        <f t="shared" si="9"/>
        <v>3879.8800000000006</v>
      </c>
      <c r="BN9" s="318">
        <f t="shared" si="10"/>
        <v>1809.432</v>
      </c>
      <c r="BO9" s="318">
        <f t="shared" si="11"/>
        <v>2070.4479999999999</v>
      </c>
      <c r="BQ9" s="321">
        <v>376.57600000000002</v>
      </c>
      <c r="BR9" s="321">
        <v>314.827</v>
      </c>
      <c r="BS9" s="321">
        <v>315.76</v>
      </c>
      <c r="BT9" s="321">
        <v>303.053</v>
      </c>
      <c r="BU9" s="375">
        <v>260.17900000000003</v>
      </c>
      <c r="BV9" s="367">
        <v>321.02</v>
      </c>
      <c r="BW9" s="367">
        <v>304.71800000000002</v>
      </c>
      <c r="BX9" s="367">
        <v>285.52199999999999</v>
      </c>
      <c r="BY9" s="367">
        <v>292.23700000000002</v>
      </c>
      <c r="BZ9" s="367">
        <v>356.38499999999999</v>
      </c>
      <c r="CA9" s="367">
        <v>239.405</v>
      </c>
      <c r="CB9" s="367">
        <v>310.77399999999994</v>
      </c>
      <c r="CC9" s="317">
        <f t="shared" si="12"/>
        <v>3680.4560000000001</v>
      </c>
      <c r="CD9" s="318">
        <f t="shared" si="13"/>
        <v>1891.415</v>
      </c>
      <c r="CE9" s="318">
        <f t="shared" si="14"/>
        <v>1789.0409999999999</v>
      </c>
    </row>
    <row r="10" spans="1:83">
      <c r="A10" s="412" t="s">
        <v>197</v>
      </c>
      <c r="B10" s="413" t="s">
        <v>249</v>
      </c>
      <c r="C10" s="417">
        <v>213.31800000000004</v>
      </c>
      <c r="D10" s="417">
        <v>256.12799999999999</v>
      </c>
      <c r="E10" s="417">
        <v>225.184</v>
      </c>
      <c r="F10" s="417">
        <v>112.724</v>
      </c>
      <c r="G10" s="417">
        <v>239.72800000000004</v>
      </c>
      <c r="H10" s="417">
        <v>324.517</v>
      </c>
      <c r="I10" s="418">
        <v>272.512</v>
      </c>
      <c r="J10" s="418">
        <v>285.22000000000003</v>
      </c>
      <c r="K10" s="418">
        <v>333.98200000000003</v>
      </c>
      <c r="L10" s="418">
        <v>279.09856000000002</v>
      </c>
      <c r="M10" s="418">
        <v>253.90598900000003</v>
      </c>
      <c r="N10" s="418">
        <v>210.91945199999995</v>
      </c>
      <c r="O10" s="410">
        <f t="shared" si="0"/>
        <v>3007.237001</v>
      </c>
      <c r="P10" s="411">
        <f t="shared" si="1"/>
        <v>1371.5990000000002</v>
      </c>
      <c r="Q10" s="411">
        <f t="shared" si="2"/>
        <v>2537.7910010000001</v>
      </c>
      <c r="S10" s="196">
        <v>235.96899999999999</v>
      </c>
      <c r="T10" s="196">
        <v>198.12899999999999</v>
      </c>
      <c r="U10" s="196">
        <v>320.892</v>
      </c>
      <c r="V10" s="196">
        <v>194.506</v>
      </c>
      <c r="W10" s="196">
        <v>238.99100000000001</v>
      </c>
      <c r="X10" s="196">
        <v>189.23</v>
      </c>
      <c r="Y10" s="196">
        <v>231.68199999999999</v>
      </c>
      <c r="Z10" s="196">
        <v>303.93699999999995</v>
      </c>
      <c r="AA10" s="196">
        <v>268.34699999999998</v>
      </c>
      <c r="AB10" s="196"/>
      <c r="AC10" s="196"/>
      <c r="AD10" s="196"/>
      <c r="AE10" s="31">
        <f t="shared" si="3"/>
        <v>2181.683</v>
      </c>
      <c r="AF10" s="411">
        <f t="shared" si="4"/>
        <v>1377.7170000000001</v>
      </c>
      <c r="AG10" s="411">
        <f t="shared" si="5"/>
        <v>803.96599999999989</v>
      </c>
      <c r="AI10" s="438" t="s">
        <v>197</v>
      </c>
      <c r="AJ10" s="439" t="s">
        <v>249</v>
      </c>
      <c r="AK10" s="348">
        <v>154.69100000000003</v>
      </c>
      <c r="AL10" s="348">
        <v>155.28200000000001</v>
      </c>
      <c r="AM10" s="348">
        <v>227.61</v>
      </c>
      <c r="AN10" s="348">
        <v>205.815</v>
      </c>
      <c r="AO10" s="348">
        <v>197.35000000000002</v>
      </c>
      <c r="AP10" s="348">
        <v>221.33000000000007</v>
      </c>
      <c r="AQ10" s="348">
        <v>273.322</v>
      </c>
      <c r="AR10" s="348">
        <v>248.91999999999996</v>
      </c>
      <c r="AS10" s="348">
        <v>192.31800000000007</v>
      </c>
      <c r="AT10" s="348">
        <v>206.96600000000001</v>
      </c>
      <c r="AU10" s="348">
        <v>174.649</v>
      </c>
      <c r="AV10" s="348">
        <v>209.11699999999999</v>
      </c>
      <c r="AW10" s="344">
        <f t="shared" si="6"/>
        <v>2467.3700000000003</v>
      </c>
      <c r="AX10" s="345">
        <f t="shared" si="7"/>
        <v>1162.0780000000002</v>
      </c>
      <c r="AY10" s="345">
        <f t="shared" si="8"/>
        <v>1305.2920000000001</v>
      </c>
      <c r="BA10" s="321">
        <v>226.923</v>
      </c>
      <c r="BB10" s="321">
        <v>161.44000000000003</v>
      </c>
      <c r="BC10" s="321">
        <v>204.61500000000001</v>
      </c>
      <c r="BD10" s="321">
        <v>158.54699999999997</v>
      </c>
      <c r="BE10" s="375">
        <v>169.14699999999999</v>
      </c>
      <c r="BF10" s="367">
        <v>210.84800000000001</v>
      </c>
      <c r="BG10" s="367">
        <v>163.92999999999998</v>
      </c>
      <c r="BH10" s="367">
        <v>231.78600000000006</v>
      </c>
      <c r="BI10" s="367">
        <v>164.98099999999997</v>
      </c>
      <c r="BJ10" s="367">
        <v>168.08299999999994</v>
      </c>
      <c r="BK10" s="367">
        <v>162.81600000000003</v>
      </c>
      <c r="BL10" s="367">
        <v>122.12</v>
      </c>
      <c r="BM10" s="317">
        <f t="shared" si="9"/>
        <v>2145.2359999999999</v>
      </c>
      <c r="BN10" s="318">
        <f t="shared" si="10"/>
        <v>1131.52</v>
      </c>
      <c r="BO10" s="318">
        <f t="shared" si="11"/>
        <v>1013.716</v>
      </c>
      <c r="BQ10" s="321">
        <v>160.53400000000002</v>
      </c>
      <c r="BR10" s="321">
        <v>114.21899999999999</v>
      </c>
      <c r="BS10" s="321">
        <v>182.345</v>
      </c>
      <c r="BT10" s="321">
        <v>148.815</v>
      </c>
      <c r="BU10" s="375">
        <v>135.375</v>
      </c>
      <c r="BV10" s="367">
        <v>208.78899999999999</v>
      </c>
      <c r="BW10" s="367">
        <v>163.44499999999999</v>
      </c>
      <c r="BX10" s="367">
        <v>216.31399999999999</v>
      </c>
      <c r="BY10" s="367">
        <v>209.173</v>
      </c>
      <c r="BZ10" s="367">
        <v>149.92099999999999</v>
      </c>
      <c r="CA10" s="367">
        <v>120.768</v>
      </c>
      <c r="CB10" s="367">
        <v>120.29600000000001</v>
      </c>
      <c r="CC10" s="317">
        <f t="shared" si="12"/>
        <v>1929.9940000000001</v>
      </c>
      <c r="CD10" s="318">
        <f t="shared" si="13"/>
        <v>950.077</v>
      </c>
      <c r="CE10" s="318">
        <f t="shared" si="14"/>
        <v>979.91700000000014</v>
      </c>
    </row>
    <row r="11" spans="1:83">
      <c r="A11" s="412" t="s">
        <v>198</v>
      </c>
      <c r="B11" s="413" t="s">
        <v>249</v>
      </c>
      <c r="C11" s="417">
        <v>1092.0050000000001</v>
      </c>
      <c r="D11" s="417">
        <v>1357.2149999999999</v>
      </c>
      <c r="E11" s="417">
        <v>881.71506499999998</v>
      </c>
      <c r="F11" s="417">
        <v>25.856000000000002</v>
      </c>
      <c r="G11" s="417">
        <v>973.11099999999999</v>
      </c>
      <c r="H11" s="417">
        <v>1748.0168999999999</v>
      </c>
      <c r="I11" s="417">
        <v>2004.9907000000001</v>
      </c>
      <c r="J11" s="417">
        <v>1997.7339999999999</v>
      </c>
      <c r="K11" s="417">
        <v>1792.9167</v>
      </c>
      <c r="L11" s="417">
        <v>1898.3074999999999</v>
      </c>
      <c r="M11" s="417">
        <v>1723.1893</v>
      </c>
      <c r="N11" s="417">
        <v>2307.3748999999998</v>
      </c>
      <c r="O11" s="410">
        <f t="shared" si="0"/>
        <v>17802.432065000001</v>
      </c>
      <c r="P11" s="411">
        <f t="shared" si="1"/>
        <v>6077.9189649999998</v>
      </c>
      <c r="Q11" s="411">
        <f t="shared" si="2"/>
        <v>15353.212065</v>
      </c>
      <c r="S11" s="198">
        <v>1399.2349999999999</v>
      </c>
      <c r="T11" s="198">
        <v>1530.3520000000001</v>
      </c>
      <c r="U11" s="198">
        <v>1820.6089999999999</v>
      </c>
      <c r="V11" s="198">
        <v>1710.4880000000001</v>
      </c>
      <c r="W11" s="198">
        <v>1510.6130000000001</v>
      </c>
      <c r="X11" s="198">
        <v>2084.1880000000001</v>
      </c>
      <c r="Y11" s="197">
        <v>1415.2750000000001</v>
      </c>
      <c r="Z11" s="197">
        <v>2437.125</v>
      </c>
      <c r="AA11" s="197">
        <v>2218.8980000000001</v>
      </c>
      <c r="AB11" s="196">
        <v>1921.7180000000001</v>
      </c>
      <c r="AC11" s="196">
        <v>1898.943</v>
      </c>
      <c r="AD11" s="196">
        <v>2026.36</v>
      </c>
      <c r="AE11" s="31">
        <f t="shared" si="3"/>
        <v>21973.804</v>
      </c>
      <c r="AF11" s="411">
        <f t="shared" si="4"/>
        <v>10055.485000000001</v>
      </c>
      <c r="AG11" s="411">
        <f t="shared" si="5"/>
        <v>11918.319000000001</v>
      </c>
      <c r="AI11" s="438" t="s">
        <v>198</v>
      </c>
      <c r="AJ11" s="439" t="s">
        <v>249</v>
      </c>
      <c r="AK11" s="348">
        <v>1518.8610000000001</v>
      </c>
      <c r="AL11" s="348">
        <v>1847.35</v>
      </c>
      <c r="AM11" s="348">
        <v>1787.7860000000001</v>
      </c>
      <c r="AN11" s="348">
        <v>2055.2910000000002</v>
      </c>
      <c r="AO11" s="348">
        <v>2038.701</v>
      </c>
      <c r="AP11" s="348">
        <v>2285.7350000000001</v>
      </c>
      <c r="AQ11" s="348">
        <v>2239.1089999999999</v>
      </c>
      <c r="AR11" s="348">
        <v>1197.8389999999999</v>
      </c>
      <c r="AS11" s="348">
        <v>1944.086</v>
      </c>
      <c r="AT11" s="348">
        <v>1677.25</v>
      </c>
      <c r="AU11" s="348">
        <v>1895.884</v>
      </c>
      <c r="AV11" s="348">
        <v>1900.039</v>
      </c>
      <c r="AW11" s="344">
        <f t="shared" si="6"/>
        <v>22387.931</v>
      </c>
      <c r="AX11" s="345">
        <f t="shared" si="7"/>
        <v>11533.724000000002</v>
      </c>
      <c r="AY11" s="345">
        <f t="shared" si="8"/>
        <v>10854.207</v>
      </c>
      <c r="BA11" s="321"/>
      <c r="BB11" s="321"/>
      <c r="BC11" s="321"/>
      <c r="BD11" s="321"/>
      <c r="BE11" s="375"/>
      <c r="BF11" s="367"/>
      <c r="BG11" s="367"/>
      <c r="BH11" s="367"/>
      <c r="BI11" s="367"/>
      <c r="BJ11" s="367"/>
      <c r="BK11" s="367"/>
      <c r="BL11" s="367"/>
      <c r="BM11" s="317">
        <f t="shared" si="9"/>
        <v>0</v>
      </c>
      <c r="BN11" s="318">
        <f t="shared" si="10"/>
        <v>0</v>
      </c>
      <c r="BO11" s="318">
        <f t="shared" si="11"/>
        <v>0</v>
      </c>
      <c r="BQ11" s="321"/>
      <c r="BR11" s="321"/>
      <c r="BS11" s="321"/>
      <c r="BT11" s="321"/>
      <c r="BU11" s="375"/>
      <c r="BV11" s="367"/>
      <c r="BW11" s="367"/>
      <c r="BX11" s="367"/>
      <c r="BY11" s="367"/>
      <c r="BZ11" s="367"/>
      <c r="CA11" s="367"/>
      <c r="CB11" s="367"/>
      <c r="CC11" s="317">
        <f t="shared" si="12"/>
        <v>0</v>
      </c>
      <c r="CD11" s="318">
        <f t="shared" si="13"/>
        <v>0</v>
      </c>
      <c r="CE11" s="318">
        <f t="shared" si="14"/>
        <v>0</v>
      </c>
    </row>
    <row r="12" spans="1:83">
      <c r="A12" s="412" t="s">
        <v>199</v>
      </c>
      <c r="B12" s="413" t="s">
        <v>250</v>
      </c>
      <c r="C12" s="419">
        <v>218.08799999999999</v>
      </c>
      <c r="D12" s="419">
        <v>137.959</v>
      </c>
      <c r="E12" s="419">
        <v>79.521000000000001</v>
      </c>
      <c r="F12" s="419">
        <v>15.430999999999999</v>
      </c>
      <c r="G12" s="419">
        <v>189.43199999999999</v>
      </c>
      <c r="H12" s="419">
        <v>147.99700000000001</v>
      </c>
      <c r="I12" s="418">
        <v>201.07300000000001</v>
      </c>
      <c r="J12" s="418">
        <v>121.327</v>
      </c>
      <c r="K12" s="418">
        <v>118.639</v>
      </c>
      <c r="L12" s="418">
        <v>190.84100000000001</v>
      </c>
      <c r="M12" s="418">
        <v>257.286</v>
      </c>
      <c r="N12" s="418">
        <v>176.89099999999999</v>
      </c>
      <c r="O12" s="410">
        <f t="shared" si="0"/>
        <v>1854.4850000000001</v>
      </c>
      <c r="P12" s="411">
        <f t="shared" si="1"/>
        <v>788.42800000000011</v>
      </c>
      <c r="Q12" s="411">
        <f t="shared" si="2"/>
        <v>1498.4380000000001</v>
      </c>
      <c r="S12" s="198">
        <v>161.39500000000001</v>
      </c>
      <c r="T12" s="198">
        <v>217.709</v>
      </c>
      <c r="U12" s="198">
        <v>263.62299999999999</v>
      </c>
      <c r="V12" s="198">
        <v>219.839</v>
      </c>
      <c r="W12" s="198">
        <v>229.83500000000001</v>
      </c>
      <c r="X12" s="198">
        <v>235.35499999999999</v>
      </c>
      <c r="Y12" s="196">
        <v>98.385000000000005</v>
      </c>
      <c r="Z12" s="196">
        <v>219.18299999999999</v>
      </c>
      <c r="AA12" s="196">
        <v>288.54899999999998</v>
      </c>
      <c r="AB12" s="196">
        <v>265.03899999999999</v>
      </c>
      <c r="AC12" s="196">
        <v>248.55799999999999</v>
      </c>
      <c r="AD12" s="196">
        <v>103.749</v>
      </c>
      <c r="AE12" s="31">
        <f t="shared" si="3"/>
        <v>2551.2190000000001</v>
      </c>
      <c r="AF12" s="411">
        <f t="shared" si="4"/>
        <v>1327.7560000000001</v>
      </c>
      <c r="AG12" s="411">
        <f t="shared" si="5"/>
        <v>1223.463</v>
      </c>
      <c r="AI12" s="438" t="s">
        <v>199</v>
      </c>
      <c r="AJ12" s="439" t="s">
        <v>250</v>
      </c>
      <c r="AK12" s="348">
        <v>133.05500000000001</v>
      </c>
      <c r="AL12" s="348">
        <v>120.017</v>
      </c>
      <c r="AM12" s="348">
        <v>185.14400000000001</v>
      </c>
      <c r="AN12" s="348">
        <v>138.31800000000001</v>
      </c>
      <c r="AO12" s="348">
        <v>192.82499999999999</v>
      </c>
      <c r="AP12" s="348">
        <v>182.97800000000001</v>
      </c>
      <c r="AQ12" s="348">
        <v>182.97800000000001</v>
      </c>
      <c r="AR12" s="348">
        <v>189.99199999999999</v>
      </c>
      <c r="AS12" s="348">
        <v>81.099000000000004</v>
      </c>
      <c r="AT12" s="348">
        <v>184.184</v>
      </c>
      <c r="AU12" s="348">
        <v>155.26400000000001</v>
      </c>
      <c r="AV12" s="348">
        <v>275.01600000000002</v>
      </c>
      <c r="AW12" s="344">
        <f t="shared" si="6"/>
        <v>2020.87</v>
      </c>
      <c r="AX12" s="345">
        <f t="shared" si="7"/>
        <v>952.33699999999999</v>
      </c>
      <c r="AY12" s="345">
        <f t="shared" si="8"/>
        <v>1068.5330000000001</v>
      </c>
      <c r="BA12" s="321">
        <v>48.430999999999997</v>
      </c>
      <c r="BB12" s="321">
        <v>152.33199999999999</v>
      </c>
      <c r="BC12" s="321">
        <v>278.07400000000001</v>
      </c>
      <c r="BD12" s="321"/>
      <c r="BE12" s="375"/>
      <c r="BF12" s="367"/>
      <c r="BG12" s="367"/>
      <c r="BH12" s="367"/>
      <c r="BI12" s="367"/>
      <c r="BJ12" s="367"/>
      <c r="BK12" s="367"/>
      <c r="BL12" s="367"/>
      <c r="BM12" s="317">
        <f t="shared" si="9"/>
        <v>478.83699999999999</v>
      </c>
      <c r="BN12" s="318">
        <f t="shared" si="10"/>
        <v>478.83699999999999</v>
      </c>
      <c r="BO12" s="318">
        <f t="shared" si="11"/>
        <v>0</v>
      </c>
      <c r="BQ12" s="321">
        <v>147.72999999999999</v>
      </c>
      <c r="BR12" s="321">
        <v>144.76900000000001</v>
      </c>
      <c r="BS12" s="321">
        <v>68.38</v>
      </c>
      <c r="BT12" s="321">
        <v>190.56399999999999</v>
      </c>
      <c r="BU12" s="375">
        <v>184.179</v>
      </c>
      <c r="BV12" s="367">
        <v>128.30099999999999</v>
      </c>
      <c r="BW12" s="367">
        <v>83.671999999999997</v>
      </c>
      <c r="BX12" s="367">
        <v>0</v>
      </c>
      <c r="BY12" s="367"/>
      <c r="BZ12" s="367">
        <v>227.47499999999999</v>
      </c>
      <c r="CA12" s="367">
        <v>134.94499999999999</v>
      </c>
      <c r="CB12" s="367">
        <v>161.76599999999999</v>
      </c>
      <c r="CC12" s="317">
        <f t="shared" si="12"/>
        <v>1471.7809999999999</v>
      </c>
      <c r="CD12" s="318">
        <f t="shared" si="13"/>
        <v>863.923</v>
      </c>
      <c r="CE12" s="318">
        <f t="shared" si="14"/>
        <v>607.85799999999995</v>
      </c>
    </row>
    <row r="13" spans="1:83">
      <c r="A13" s="412" t="s">
        <v>200</v>
      </c>
      <c r="B13" s="413" t="s">
        <v>249</v>
      </c>
      <c r="C13" s="415">
        <v>1126</v>
      </c>
      <c r="D13" s="415">
        <v>963.19</v>
      </c>
      <c r="E13" s="415">
        <v>950.01</v>
      </c>
      <c r="F13" s="415">
        <v>672.29</v>
      </c>
      <c r="G13" s="415">
        <v>0</v>
      </c>
      <c r="H13" s="415">
        <v>169.5</v>
      </c>
      <c r="I13" s="415">
        <v>1029.5</v>
      </c>
      <c r="J13" s="415">
        <v>1121.0999999999999</v>
      </c>
      <c r="K13" s="415">
        <v>1046.8</v>
      </c>
      <c r="L13" s="415">
        <v>1071</v>
      </c>
      <c r="M13" s="415">
        <v>904</v>
      </c>
      <c r="N13" s="415">
        <v>695</v>
      </c>
      <c r="O13" s="410">
        <f t="shared" si="0"/>
        <v>9748.39</v>
      </c>
      <c r="P13" s="411">
        <f t="shared" si="1"/>
        <v>3880.99</v>
      </c>
      <c r="Q13" s="411">
        <f t="shared" si="2"/>
        <v>7659.2</v>
      </c>
      <c r="S13" s="196">
        <v>521.70000000000005</v>
      </c>
      <c r="T13" s="196">
        <v>136.5</v>
      </c>
      <c r="U13" s="196">
        <v>0</v>
      </c>
      <c r="V13" s="196">
        <v>0</v>
      </c>
      <c r="W13" s="196">
        <v>0</v>
      </c>
      <c r="X13" s="196">
        <v>0</v>
      </c>
      <c r="Y13" s="196">
        <v>476.75</v>
      </c>
      <c r="Z13" s="196">
        <v>1033.5999999999999</v>
      </c>
      <c r="AA13" s="196">
        <v>1023.05</v>
      </c>
      <c r="AB13" s="196">
        <v>1264.5899999999999</v>
      </c>
      <c r="AC13" s="196">
        <v>947.43</v>
      </c>
      <c r="AD13" s="196">
        <v>1599.12</v>
      </c>
      <c r="AE13" s="31">
        <f t="shared" si="3"/>
        <v>7002.7400000000007</v>
      </c>
      <c r="AF13" s="411">
        <f t="shared" si="4"/>
        <v>658.2</v>
      </c>
      <c r="AG13" s="411">
        <f t="shared" si="5"/>
        <v>6344.54</v>
      </c>
      <c r="AI13" s="438" t="s">
        <v>200</v>
      </c>
      <c r="AJ13" s="439" t="s">
        <v>249</v>
      </c>
      <c r="AK13" s="348">
        <v>1246</v>
      </c>
      <c r="AL13" s="348">
        <v>1196.0999999999999</v>
      </c>
      <c r="AM13" s="348">
        <v>1126.1099999999999</v>
      </c>
      <c r="AN13" s="348">
        <v>899.25</v>
      </c>
      <c r="AO13" s="348">
        <v>905</v>
      </c>
      <c r="AP13" s="348">
        <v>328</v>
      </c>
      <c r="AQ13" s="348">
        <v>629</v>
      </c>
      <c r="AR13" s="348">
        <v>1074</v>
      </c>
      <c r="AS13" s="348">
        <v>1208</v>
      </c>
      <c r="AT13" s="348">
        <v>1239.7</v>
      </c>
      <c r="AU13" s="348">
        <v>1171.05</v>
      </c>
      <c r="AV13" s="348">
        <v>1036</v>
      </c>
      <c r="AW13" s="344">
        <f t="shared" si="6"/>
        <v>12058.21</v>
      </c>
      <c r="AX13" s="345">
        <f t="shared" si="7"/>
        <v>5700.46</v>
      </c>
      <c r="AY13" s="345">
        <f t="shared" si="8"/>
        <v>6357.75</v>
      </c>
      <c r="BA13" s="321">
        <v>1057.45</v>
      </c>
      <c r="BB13" s="321">
        <v>911</v>
      </c>
      <c r="BC13" s="321">
        <v>892.2</v>
      </c>
      <c r="BD13" s="321">
        <v>916.85</v>
      </c>
      <c r="BE13" s="375">
        <v>645</v>
      </c>
      <c r="BF13" s="367">
        <v>200</v>
      </c>
      <c r="BG13" s="367">
        <v>562</v>
      </c>
      <c r="BH13" s="367">
        <v>1030</v>
      </c>
      <c r="BI13" s="367">
        <v>1039</v>
      </c>
      <c r="BJ13" s="367">
        <v>1008</v>
      </c>
      <c r="BK13" s="367">
        <v>660</v>
      </c>
      <c r="BL13" s="367">
        <v>451</v>
      </c>
      <c r="BM13" s="317">
        <f t="shared" si="9"/>
        <v>9372.5</v>
      </c>
      <c r="BN13" s="318">
        <f t="shared" si="10"/>
        <v>4622.5</v>
      </c>
      <c r="BO13" s="318">
        <f t="shared" si="11"/>
        <v>4750</v>
      </c>
      <c r="BQ13" s="321">
        <v>189.1</v>
      </c>
      <c r="BR13" s="321">
        <v>145.5</v>
      </c>
      <c r="BS13" s="321">
        <v>0</v>
      </c>
      <c r="BT13" s="321">
        <v>0</v>
      </c>
      <c r="BU13" s="375">
        <v>45.15</v>
      </c>
      <c r="BV13" s="367">
        <v>759.35</v>
      </c>
      <c r="BW13" s="367"/>
      <c r="BX13" s="367"/>
      <c r="BY13" s="367"/>
      <c r="BZ13" s="367"/>
      <c r="CA13" s="367"/>
      <c r="CB13" s="367"/>
      <c r="CC13" s="317">
        <f t="shared" si="12"/>
        <v>1139.0999999999999</v>
      </c>
      <c r="CD13" s="318">
        <f t="shared" si="13"/>
        <v>1139.0999999999999</v>
      </c>
      <c r="CE13" s="318">
        <f t="shared" si="14"/>
        <v>0</v>
      </c>
    </row>
    <row r="14" spans="1:83">
      <c r="A14" s="420" t="s">
        <v>201</v>
      </c>
      <c r="B14" s="413" t="s">
        <v>251</v>
      </c>
      <c r="C14" s="421">
        <v>73659797.399000004</v>
      </c>
      <c r="D14" s="421">
        <v>71991084.655999988</v>
      </c>
      <c r="E14" s="421">
        <v>73244586.930000007</v>
      </c>
      <c r="F14" s="421">
        <v>60773042.355000004</v>
      </c>
      <c r="G14" s="421">
        <v>71648091.024999991</v>
      </c>
      <c r="H14" s="421">
        <v>72091003.903000012</v>
      </c>
      <c r="I14" s="421">
        <v>78730400.24000001</v>
      </c>
      <c r="J14" s="421">
        <v>79124203.509000003</v>
      </c>
      <c r="K14" s="421">
        <v>77238860.795000017</v>
      </c>
      <c r="L14" s="421">
        <v>80707051.705999985</v>
      </c>
      <c r="M14" s="421">
        <v>79629817.887000009</v>
      </c>
      <c r="N14" s="421">
        <v>78823102.75</v>
      </c>
      <c r="O14" s="410">
        <f t="shared" si="0"/>
        <v>897661043.15499997</v>
      </c>
      <c r="P14" s="411">
        <f t="shared" si="1"/>
        <v>423407606.26800001</v>
      </c>
      <c r="Q14" s="411">
        <f t="shared" si="2"/>
        <v>752010161.10000002</v>
      </c>
      <c r="S14" s="113">
        <v>78403723.188999996</v>
      </c>
      <c r="T14" s="113">
        <v>71842114.859000012</v>
      </c>
      <c r="U14" s="113">
        <v>82580197.792999998</v>
      </c>
      <c r="V14" s="113">
        <v>81858220.613999993</v>
      </c>
      <c r="W14" s="113">
        <v>83971897.675000012</v>
      </c>
      <c r="X14" s="113">
        <v>85209287.070000008</v>
      </c>
      <c r="Y14" s="113">
        <v>85389416.555999994</v>
      </c>
      <c r="Z14" s="113">
        <v>84810768.241999999</v>
      </c>
      <c r="AA14" s="113">
        <v>86515078.336999997</v>
      </c>
      <c r="AB14" s="113">
        <v>90843609.99000001</v>
      </c>
      <c r="AC14" s="113">
        <v>85721485.841999993</v>
      </c>
      <c r="AD14" s="113">
        <v>87970729.738000005</v>
      </c>
      <c r="AE14" s="31">
        <f t="shared" si="3"/>
        <v>1005116529.9050001</v>
      </c>
      <c r="AF14" s="411">
        <f t="shared" si="4"/>
        <v>483865441.20000005</v>
      </c>
      <c r="AG14" s="411">
        <f t="shared" si="5"/>
        <v>521251088.70500004</v>
      </c>
      <c r="AI14" s="440" t="s">
        <v>201</v>
      </c>
      <c r="AJ14" s="439" t="s">
        <v>251</v>
      </c>
      <c r="AK14" s="349">
        <v>89042438.787999988</v>
      </c>
      <c r="AL14" s="349">
        <v>83816757.080000013</v>
      </c>
      <c r="AM14" s="349">
        <v>95848516.838</v>
      </c>
      <c r="AN14" s="349">
        <v>92397736.229000002</v>
      </c>
      <c r="AO14" s="349">
        <v>94613074.791000009</v>
      </c>
      <c r="AP14" s="349">
        <v>92610483.780000001</v>
      </c>
      <c r="AQ14" s="349">
        <v>94751266.534000024</v>
      </c>
      <c r="AR14" s="349">
        <v>98319643.260000005</v>
      </c>
      <c r="AS14" s="349">
        <v>95907108.975999996</v>
      </c>
      <c r="AT14" s="349">
        <v>102056763.15799999</v>
      </c>
      <c r="AU14" s="349">
        <v>96598054.555999994</v>
      </c>
      <c r="AV14" s="349">
        <v>95503420.729000002</v>
      </c>
      <c r="AW14" s="344">
        <f t="shared" si="6"/>
        <v>1131465264.7189999</v>
      </c>
      <c r="AX14" s="345">
        <f t="shared" si="7"/>
        <v>548329007.50599992</v>
      </c>
      <c r="AY14" s="345">
        <f t="shared" si="8"/>
        <v>583136257.21300006</v>
      </c>
      <c r="BA14" s="322">
        <v>102087492.22799999</v>
      </c>
      <c r="BB14" s="322">
        <v>94410756.170999989</v>
      </c>
      <c r="BC14" s="322">
        <v>105428742.40400001</v>
      </c>
      <c r="BD14" s="322">
        <v>102350278.54599999</v>
      </c>
      <c r="BE14" s="376">
        <v>107425933.43000001</v>
      </c>
      <c r="BF14" s="376">
        <v>104898308.303</v>
      </c>
      <c r="BG14" s="368">
        <v>108153621.74599999</v>
      </c>
      <c r="BH14" s="368">
        <v>111022329.32700001</v>
      </c>
      <c r="BI14" s="368">
        <v>105999919.13</v>
      </c>
      <c r="BJ14" s="368">
        <v>109970848.54899999</v>
      </c>
      <c r="BK14" s="368">
        <v>101261659.655</v>
      </c>
      <c r="BL14" s="368">
        <v>103916268.956</v>
      </c>
      <c r="BM14" s="317">
        <f t="shared" si="9"/>
        <v>1256926158.4450002</v>
      </c>
      <c r="BN14" s="318">
        <f t="shared" si="10"/>
        <v>616601511.08200002</v>
      </c>
      <c r="BO14" s="318">
        <f t="shared" si="11"/>
        <v>640324647.36299992</v>
      </c>
      <c r="BQ14" s="322">
        <v>111793212.546</v>
      </c>
      <c r="BR14" s="322">
        <v>108233881.71799988</v>
      </c>
      <c r="BS14" s="322">
        <v>122045722.20400003</v>
      </c>
      <c r="BT14" s="322">
        <v>118993767.12400001</v>
      </c>
      <c r="BU14" s="376">
        <v>124852772.08400001</v>
      </c>
      <c r="BV14" s="376">
        <v>122164119.01799999</v>
      </c>
      <c r="BW14" s="368">
        <v>124735542.53400001</v>
      </c>
      <c r="BX14" s="368">
        <v>131396584.72600001</v>
      </c>
      <c r="BY14" s="368">
        <v>125716356.95200001</v>
      </c>
      <c r="BZ14" s="368">
        <v>129317861.226</v>
      </c>
      <c r="CA14" s="368">
        <v>126236113.33500001</v>
      </c>
      <c r="CB14" s="368">
        <v>130961535.527</v>
      </c>
      <c r="CC14" s="317">
        <f t="shared" si="12"/>
        <v>1476447468.994</v>
      </c>
      <c r="CD14" s="318">
        <f t="shared" si="13"/>
        <v>708083474.69400001</v>
      </c>
      <c r="CE14" s="318">
        <f t="shared" si="14"/>
        <v>768363994.29999995</v>
      </c>
    </row>
    <row r="15" spans="1:83">
      <c r="A15" s="422" t="s">
        <v>202</v>
      </c>
      <c r="B15" s="413" t="s">
        <v>251</v>
      </c>
      <c r="C15" s="417">
        <v>64607097.118000001</v>
      </c>
      <c r="D15" s="417">
        <v>64519818.592999995</v>
      </c>
      <c r="E15" s="417">
        <v>66102828.575000003</v>
      </c>
      <c r="F15" s="417">
        <v>53777056.897000007</v>
      </c>
      <c r="G15" s="417">
        <v>63420053.197999999</v>
      </c>
      <c r="H15" s="417">
        <v>63980320.047000006</v>
      </c>
      <c r="I15" s="417">
        <v>70598668.879000008</v>
      </c>
      <c r="J15" s="417">
        <v>70101693.069000006</v>
      </c>
      <c r="K15" s="417">
        <v>68733012.395000011</v>
      </c>
      <c r="L15" s="417">
        <v>72131131.045999989</v>
      </c>
      <c r="M15" s="417">
        <v>70834887.247000009</v>
      </c>
      <c r="N15" s="417">
        <v>70022883.890000001</v>
      </c>
      <c r="O15" s="410">
        <f t="shared" si="0"/>
        <v>798829450.954</v>
      </c>
      <c r="P15" s="411">
        <f t="shared" si="1"/>
        <v>376407174.42800003</v>
      </c>
      <c r="Q15" s="411">
        <f t="shared" si="2"/>
        <v>669702535.24300003</v>
      </c>
      <c r="S15" s="198">
        <v>69940134.238999993</v>
      </c>
      <c r="T15" s="198">
        <v>63571143.719000012</v>
      </c>
      <c r="U15" s="198">
        <v>73222084.292999998</v>
      </c>
      <c r="V15" s="198">
        <v>73128173.813999996</v>
      </c>
      <c r="W15" s="198">
        <v>74392356.754999995</v>
      </c>
      <c r="X15" s="198">
        <v>76607087.25</v>
      </c>
      <c r="Y15" s="198">
        <v>76060669.736000001</v>
      </c>
      <c r="Z15" s="198">
        <v>77030508.912</v>
      </c>
      <c r="AA15" s="198">
        <v>80392274.937000006</v>
      </c>
      <c r="AB15" s="198">
        <v>83166871.689999998</v>
      </c>
      <c r="AC15" s="198">
        <v>78429848.761999995</v>
      </c>
      <c r="AD15" s="198">
        <v>80321312.738000005</v>
      </c>
      <c r="AE15" s="31">
        <f t="shared" si="3"/>
        <v>906262466.84500003</v>
      </c>
      <c r="AF15" s="411">
        <f t="shared" si="4"/>
        <v>430860980.06999999</v>
      </c>
      <c r="AG15" s="411">
        <f t="shared" si="5"/>
        <v>475401486.77499998</v>
      </c>
      <c r="AI15" s="441" t="s">
        <v>202</v>
      </c>
      <c r="AJ15" s="439" t="s">
        <v>251</v>
      </c>
      <c r="AK15" s="350">
        <v>81464884.708000004</v>
      </c>
      <c r="AL15" s="350">
        <v>77084312.180000007</v>
      </c>
      <c r="AM15" s="350">
        <v>89126577.838</v>
      </c>
      <c r="AN15" s="350">
        <v>85815400.029000014</v>
      </c>
      <c r="AO15" s="350">
        <v>87054539.391000003</v>
      </c>
      <c r="AP15" s="350">
        <v>85524161.879999995</v>
      </c>
      <c r="AQ15" s="350">
        <v>88123624.31400001</v>
      </c>
      <c r="AR15" s="350">
        <v>90717053.959999993</v>
      </c>
      <c r="AS15" s="350">
        <v>87861051.175999999</v>
      </c>
      <c r="AT15" s="350">
        <v>93568830.497999996</v>
      </c>
      <c r="AU15" s="350">
        <v>89687606.055999994</v>
      </c>
      <c r="AV15" s="350">
        <v>86651123.809</v>
      </c>
      <c r="AW15" s="344">
        <f t="shared" si="6"/>
        <v>1042679165.8390001</v>
      </c>
      <c r="AX15" s="345">
        <f t="shared" si="7"/>
        <v>506069876.02600002</v>
      </c>
      <c r="AY15" s="345">
        <f t="shared" si="8"/>
        <v>536609289.81299996</v>
      </c>
      <c r="BA15" s="323">
        <v>94071410.307999998</v>
      </c>
      <c r="BB15" s="323">
        <v>87421133.31099999</v>
      </c>
      <c r="BC15" s="323">
        <v>97156223.164000005</v>
      </c>
      <c r="BD15" s="323">
        <v>94352748.085999995</v>
      </c>
      <c r="BE15" s="377">
        <v>97681353.289999992</v>
      </c>
      <c r="BF15" s="369">
        <v>88713600.103000015</v>
      </c>
      <c r="BG15" s="369">
        <v>79899060.346000001</v>
      </c>
      <c r="BH15" s="369">
        <v>80026955.827000007</v>
      </c>
      <c r="BI15" s="369">
        <v>86160524.892999977</v>
      </c>
      <c r="BJ15" s="369">
        <v>94207360.748999998</v>
      </c>
      <c r="BK15" s="369">
        <v>89018263.655000001</v>
      </c>
      <c r="BL15" s="369">
        <v>88917104.788000003</v>
      </c>
      <c r="BM15" s="317">
        <f t="shared" si="9"/>
        <v>1077625738.52</v>
      </c>
      <c r="BN15" s="318">
        <f t="shared" si="10"/>
        <v>559396468.26199996</v>
      </c>
      <c r="BO15" s="318">
        <f t="shared" si="11"/>
        <v>518229270.25800002</v>
      </c>
      <c r="BQ15" s="323">
        <v>92749559.848000005</v>
      </c>
      <c r="BR15" s="323">
        <v>89051644.057999864</v>
      </c>
      <c r="BS15" s="323">
        <v>100005497.57000001</v>
      </c>
      <c r="BT15" s="323">
        <v>99584896.191</v>
      </c>
      <c r="BU15" s="377">
        <v>101804441.487</v>
      </c>
      <c r="BV15" s="369">
        <v>102634820.80799998</v>
      </c>
      <c r="BW15" s="369">
        <v>104738825.669</v>
      </c>
      <c r="BX15" s="369">
        <v>108162399.221</v>
      </c>
      <c r="BY15" s="369">
        <v>103030734.05400001</v>
      </c>
      <c r="BZ15" s="369">
        <v>105878817.15700001</v>
      </c>
      <c r="CA15" s="369">
        <v>98008253.732000008</v>
      </c>
      <c r="CB15" s="369">
        <v>101358784.118</v>
      </c>
      <c r="CC15" s="317">
        <f t="shared" si="12"/>
        <v>1207008673.9130001</v>
      </c>
      <c r="CD15" s="318">
        <f t="shared" si="13"/>
        <v>585830859.96199989</v>
      </c>
      <c r="CE15" s="318">
        <f t="shared" si="14"/>
        <v>621177813.95099998</v>
      </c>
    </row>
    <row r="16" spans="1:83">
      <c r="A16" s="423" t="s">
        <v>203</v>
      </c>
      <c r="B16" s="413" t="s">
        <v>251</v>
      </c>
      <c r="C16" s="417">
        <v>36877410.399999999</v>
      </c>
      <c r="D16" s="417">
        <v>30337512.199999999</v>
      </c>
      <c r="E16" s="417">
        <v>36154097.600000001</v>
      </c>
      <c r="F16" s="417">
        <v>33209103.699999999</v>
      </c>
      <c r="G16" s="417">
        <v>41051273.600000001</v>
      </c>
      <c r="H16" s="417">
        <v>39829891.700000003</v>
      </c>
      <c r="I16" s="417">
        <v>36621345</v>
      </c>
      <c r="J16" s="417">
        <v>33911979.600000001</v>
      </c>
      <c r="K16" s="417">
        <v>34819676.5</v>
      </c>
      <c r="L16" s="417">
        <v>41637772.213999994</v>
      </c>
      <c r="M16" s="417">
        <v>46889935.420000002</v>
      </c>
      <c r="N16" s="417">
        <v>41354081.799999997</v>
      </c>
      <c r="O16" s="410">
        <f t="shared" si="0"/>
        <v>452694079.73400003</v>
      </c>
      <c r="P16" s="411">
        <f t="shared" si="1"/>
        <v>217459289.19999999</v>
      </c>
      <c r="Q16" s="411">
        <f t="shared" si="2"/>
        <v>385479157.13400006</v>
      </c>
      <c r="S16" s="198">
        <v>44455749.200000003</v>
      </c>
      <c r="T16" s="198">
        <v>39947333.200000003</v>
      </c>
      <c r="U16" s="198">
        <v>43265037.947999999</v>
      </c>
      <c r="V16" s="198">
        <v>47284351.399999999</v>
      </c>
      <c r="W16" s="198">
        <v>49843393.100000001</v>
      </c>
      <c r="X16" s="198">
        <v>39188086.5</v>
      </c>
      <c r="Y16" s="198">
        <v>33327694.800000001</v>
      </c>
      <c r="Z16" s="198">
        <v>34582424.619000003</v>
      </c>
      <c r="AA16" s="198">
        <v>34006731.700000003</v>
      </c>
      <c r="AB16" s="198">
        <v>35681566.299999997</v>
      </c>
      <c r="AC16" s="198">
        <v>34653603.093999997</v>
      </c>
      <c r="AD16" s="198">
        <v>43010442.800000004</v>
      </c>
      <c r="AE16" s="31">
        <f t="shared" si="3"/>
        <v>479246414.66100001</v>
      </c>
      <c r="AF16" s="411">
        <f t="shared" si="4"/>
        <v>263983951.34799999</v>
      </c>
      <c r="AG16" s="411">
        <f t="shared" si="5"/>
        <v>215262463.31300002</v>
      </c>
      <c r="AI16" s="442" t="s">
        <v>203</v>
      </c>
      <c r="AJ16" s="439" t="s">
        <v>251</v>
      </c>
      <c r="AK16" s="350">
        <v>53583859.359999999</v>
      </c>
      <c r="AL16" s="350">
        <v>52586356.220000006</v>
      </c>
      <c r="AM16" s="350">
        <v>47539924.469999999</v>
      </c>
      <c r="AN16" s="350">
        <v>48391416.499999993</v>
      </c>
      <c r="AO16" s="350">
        <v>49847824.054999992</v>
      </c>
      <c r="AP16" s="350">
        <v>43132233.991000004</v>
      </c>
      <c r="AQ16" s="350">
        <v>44017756.872000009</v>
      </c>
      <c r="AR16" s="350">
        <v>49917085.534999989</v>
      </c>
      <c r="AS16" s="350">
        <v>50749915.267999999</v>
      </c>
      <c r="AT16" s="350">
        <v>44363732.465000004</v>
      </c>
      <c r="AU16" s="350">
        <v>60996284.607999995</v>
      </c>
      <c r="AV16" s="350">
        <v>56446948.329999998</v>
      </c>
      <c r="AW16" s="344">
        <f t="shared" si="6"/>
        <v>601573337.67400014</v>
      </c>
      <c r="AX16" s="345">
        <f t="shared" si="7"/>
        <v>295081614.59600002</v>
      </c>
      <c r="AY16" s="345">
        <f t="shared" si="8"/>
        <v>306491723.07800001</v>
      </c>
      <c r="BA16" s="323">
        <v>42840515.797999993</v>
      </c>
      <c r="BB16" s="323">
        <v>34901094.026999995</v>
      </c>
      <c r="BC16" s="323">
        <v>44855680.129999995</v>
      </c>
      <c r="BD16" s="323">
        <v>49658246.509999998</v>
      </c>
      <c r="BE16" s="377">
        <v>51740866.920000002</v>
      </c>
      <c r="BF16" s="369">
        <v>36728007.289999999</v>
      </c>
      <c r="BG16" s="369">
        <v>32583282.876999997</v>
      </c>
      <c r="BH16" s="369">
        <v>30393077.533</v>
      </c>
      <c r="BI16" s="369">
        <v>39123783.357999995</v>
      </c>
      <c r="BJ16" s="369">
        <v>39509634.265999995</v>
      </c>
      <c r="BK16" s="369">
        <v>45535971.428000011</v>
      </c>
      <c r="BL16" s="369">
        <v>44770461.096000001</v>
      </c>
      <c r="BM16" s="317">
        <f t="shared" si="9"/>
        <v>492640621.23299998</v>
      </c>
      <c r="BN16" s="318">
        <f t="shared" si="10"/>
        <v>260724410.67499998</v>
      </c>
      <c r="BO16" s="318">
        <f t="shared" si="11"/>
        <v>231916210.55799997</v>
      </c>
      <c r="BQ16" s="323">
        <v>55144378.346000001</v>
      </c>
      <c r="BR16" s="323">
        <v>48597651.15999987</v>
      </c>
      <c r="BS16" s="323">
        <v>44358668.900000006</v>
      </c>
      <c r="BT16" s="323">
        <v>47367626.530000009</v>
      </c>
      <c r="BU16" s="377">
        <v>49224754.670000009</v>
      </c>
      <c r="BV16" s="369">
        <v>42813075.419999994</v>
      </c>
      <c r="BW16" s="369">
        <v>35662894.399999999</v>
      </c>
      <c r="BX16" s="369">
        <v>31686222.129999999</v>
      </c>
      <c r="BY16" s="369">
        <v>29886587.240000002</v>
      </c>
      <c r="BZ16" s="369">
        <v>41442414.509999998</v>
      </c>
      <c r="CA16" s="369">
        <v>46102974.560000002</v>
      </c>
      <c r="CB16" s="369">
        <v>50757591.259999998</v>
      </c>
      <c r="CC16" s="317">
        <f t="shared" si="12"/>
        <v>523044839.12599987</v>
      </c>
      <c r="CD16" s="318">
        <f t="shared" si="13"/>
        <v>287506155.0259999</v>
      </c>
      <c r="CE16" s="318">
        <f t="shared" si="14"/>
        <v>235538684.09999999</v>
      </c>
    </row>
    <row r="17" spans="1:84">
      <c r="A17" s="423" t="s">
        <v>204</v>
      </c>
      <c r="B17" s="413" t="s">
        <v>251</v>
      </c>
      <c r="C17" s="417">
        <v>9585690</v>
      </c>
      <c r="D17" s="417">
        <v>14753544</v>
      </c>
      <c r="E17" s="417">
        <v>9761588</v>
      </c>
      <c r="F17" s="417">
        <v>1933944</v>
      </c>
      <c r="G17" s="417">
        <v>1696106</v>
      </c>
      <c r="H17" s="417">
        <v>3630626</v>
      </c>
      <c r="I17" s="417">
        <v>7355642</v>
      </c>
      <c r="J17" s="417">
        <v>6159622</v>
      </c>
      <c r="K17" s="417">
        <v>6127646</v>
      </c>
      <c r="L17" s="417">
        <v>8982598</v>
      </c>
      <c r="M17" s="417">
        <v>9982642</v>
      </c>
      <c r="N17" s="417">
        <v>10205486</v>
      </c>
      <c r="O17" s="410">
        <f t="shared" si="0"/>
        <v>90175134</v>
      </c>
      <c r="P17" s="411">
        <f t="shared" si="1"/>
        <v>41361498</v>
      </c>
      <c r="Q17" s="411">
        <f t="shared" si="2"/>
        <v>65835900</v>
      </c>
      <c r="S17" s="198">
        <v>4635232</v>
      </c>
      <c r="T17" s="198">
        <v>4992904</v>
      </c>
      <c r="U17" s="198">
        <v>8903096</v>
      </c>
      <c r="V17" s="198">
        <v>5101246</v>
      </c>
      <c r="W17" s="198">
        <v>5463382</v>
      </c>
      <c r="X17" s="198">
        <v>14802128</v>
      </c>
      <c r="Y17" s="198">
        <v>12277374</v>
      </c>
      <c r="Z17" s="198">
        <v>16195736</v>
      </c>
      <c r="AA17" s="198">
        <v>17320736</v>
      </c>
      <c r="AB17" s="198">
        <v>20381582</v>
      </c>
      <c r="AC17" s="198">
        <v>23097112</v>
      </c>
      <c r="AD17" s="198">
        <v>16380000</v>
      </c>
      <c r="AE17" s="31">
        <f t="shared" si="3"/>
        <v>149550528</v>
      </c>
      <c r="AF17" s="411">
        <f t="shared" si="4"/>
        <v>43897988</v>
      </c>
      <c r="AG17" s="411">
        <f t="shared" si="5"/>
        <v>105652540</v>
      </c>
      <c r="AI17" s="442" t="s">
        <v>204</v>
      </c>
      <c r="AJ17" s="439" t="s">
        <v>251</v>
      </c>
      <c r="AK17" s="350">
        <v>8547106</v>
      </c>
      <c r="AL17" s="350">
        <v>7381760</v>
      </c>
      <c r="AM17" s="350">
        <v>20183784</v>
      </c>
      <c r="AN17" s="350">
        <v>17226762</v>
      </c>
      <c r="AO17" s="350">
        <v>16327296</v>
      </c>
      <c r="AP17" s="350">
        <v>19191626</v>
      </c>
      <c r="AQ17" s="350">
        <v>16964842</v>
      </c>
      <c r="AR17" s="350">
        <v>12145504</v>
      </c>
      <c r="AS17" s="350">
        <v>13742110</v>
      </c>
      <c r="AT17" s="350">
        <v>24327998</v>
      </c>
      <c r="AU17" s="350">
        <v>14323958</v>
      </c>
      <c r="AV17" s="350">
        <v>13259566</v>
      </c>
      <c r="AW17" s="344">
        <f t="shared" si="6"/>
        <v>183622312</v>
      </c>
      <c r="AX17" s="345">
        <f t="shared" si="7"/>
        <v>88858334</v>
      </c>
      <c r="AY17" s="345">
        <f t="shared" si="8"/>
        <v>94763978</v>
      </c>
      <c r="BA17" s="323">
        <v>14154414</v>
      </c>
      <c r="BB17" s="323">
        <v>19710588</v>
      </c>
      <c r="BC17" s="323">
        <v>17630268</v>
      </c>
      <c r="BD17" s="323">
        <v>11124160</v>
      </c>
      <c r="BE17" s="377">
        <v>10680566</v>
      </c>
      <c r="BF17" s="369">
        <v>6368686</v>
      </c>
      <c r="BG17" s="369">
        <v>1132042</v>
      </c>
      <c r="BH17" s="369">
        <v>3063930</v>
      </c>
      <c r="BI17" s="369">
        <v>760538</v>
      </c>
      <c r="BJ17" s="369">
        <v>1133344</v>
      </c>
      <c r="BK17" s="369">
        <v>183488</v>
      </c>
      <c r="BL17" s="369">
        <v>564448</v>
      </c>
      <c r="BM17" s="317">
        <f t="shared" si="9"/>
        <v>86506472</v>
      </c>
      <c r="BN17" s="318">
        <f t="shared" si="10"/>
        <v>79668682</v>
      </c>
      <c r="BO17" s="318">
        <f t="shared" si="11"/>
        <v>6837790</v>
      </c>
      <c r="BQ17" s="323">
        <v>876096</v>
      </c>
      <c r="BR17" s="323">
        <v>1028032</v>
      </c>
      <c r="BS17" s="323">
        <v>558112</v>
      </c>
      <c r="BT17" s="323">
        <v>380960</v>
      </c>
      <c r="BU17" s="377">
        <v>842816</v>
      </c>
      <c r="BV17" s="369">
        <v>1309760</v>
      </c>
      <c r="BW17" s="369">
        <v>1233920</v>
      </c>
      <c r="BX17" s="369">
        <v>952960</v>
      </c>
      <c r="BY17" s="369">
        <v>378944</v>
      </c>
      <c r="BZ17" s="369">
        <v>990368</v>
      </c>
      <c r="CA17" s="369">
        <v>148448</v>
      </c>
      <c r="CB17" s="369">
        <v>125760</v>
      </c>
      <c r="CC17" s="317">
        <f t="shared" si="12"/>
        <v>8826176</v>
      </c>
      <c r="CD17" s="318">
        <f t="shared" si="13"/>
        <v>4995776</v>
      </c>
      <c r="CE17" s="318">
        <f t="shared" si="14"/>
        <v>3830400</v>
      </c>
    </row>
    <row r="18" spans="1:84">
      <c r="A18" s="423" t="s">
        <v>205</v>
      </c>
      <c r="B18" s="413" t="s">
        <v>251</v>
      </c>
      <c r="C18" s="417">
        <v>1356477.6</v>
      </c>
      <c r="D18" s="417">
        <v>1506013.2999999998</v>
      </c>
      <c r="E18" s="417">
        <v>1288435</v>
      </c>
      <c r="F18" s="417">
        <v>1335472.3999999999</v>
      </c>
      <c r="G18" s="417">
        <v>1645342.3</v>
      </c>
      <c r="H18" s="417">
        <v>1617060.5</v>
      </c>
      <c r="I18" s="417">
        <v>1610800.7999999998</v>
      </c>
      <c r="J18" s="417">
        <v>1629282.8</v>
      </c>
      <c r="K18" s="417">
        <v>1596092.2</v>
      </c>
      <c r="L18" s="417">
        <v>1505304.7200000002</v>
      </c>
      <c r="M18" s="417">
        <v>1421658.46</v>
      </c>
      <c r="N18" s="417">
        <v>1529910.11</v>
      </c>
      <c r="O18" s="410">
        <f t="shared" si="0"/>
        <v>18041850.189999998</v>
      </c>
      <c r="P18" s="411">
        <f t="shared" si="1"/>
        <v>8748801.0999999996</v>
      </c>
      <c r="Q18" s="411">
        <f t="shared" si="2"/>
        <v>15179359.289999999</v>
      </c>
      <c r="S18" s="198">
        <v>1378073.24</v>
      </c>
      <c r="T18" s="198">
        <v>1221478.2</v>
      </c>
      <c r="U18" s="198">
        <v>1523529.4</v>
      </c>
      <c r="V18" s="198">
        <v>1535569</v>
      </c>
      <c r="W18" s="198">
        <v>1503651.1</v>
      </c>
      <c r="X18" s="198">
        <v>1603935.3599999999</v>
      </c>
      <c r="Y18" s="198">
        <v>1674202.3900000001</v>
      </c>
      <c r="Z18" s="198">
        <v>1606931.91</v>
      </c>
      <c r="AA18" s="198">
        <v>1457710.1199999999</v>
      </c>
      <c r="AB18" s="198">
        <v>1627326.17</v>
      </c>
      <c r="AC18" s="198">
        <v>1432123.1800000002</v>
      </c>
      <c r="AD18" s="198">
        <v>1269011.22</v>
      </c>
      <c r="AE18" s="31">
        <f t="shared" si="3"/>
        <v>17833541.289999999</v>
      </c>
      <c r="AF18" s="411">
        <f t="shared" si="4"/>
        <v>8766236.2999999989</v>
      </c>
      <c r="AG18" s="411">
        <f t="shared" si="5"/>
        <v>9067304.9900000002</v>
      </c>
      <c r="AI18" s="442" t="s">
        <v>205</v>
      </c>
      <c r="AJ18" s="439" t="s">
        <v>251</v>
      </c>
      <c r="AK18" s="350">
        <v>1374497.6300000001</v>
      </c>
      <c r="AL18" s="350">
        <v>1131241.1200000001</v>
      </c>
      <c r="AM18" s="350">
        <v>1590346.48</v>
      </c>
      <c r="AN18" s="350">
        <v>1386358.65</v>
      </c>
      <c r="AO18" s="350">
        <v>1412910.98</v>
      </c>
      <c r="AP18" s="350">
        <v>1562442.7999999998</v>
      </c>
      <c r="AQ18" s="350">
        <v>1731064.54</v>
      </c>
      <c r="AR18" s="350">
        <v>1461107.83</v>
      </c>
      <c r="AS18" s="350">
        <v>1503938.52</v>
      </c>
      <c r="AT18" s="350">
        <v>1740492.2339999999</v>
      </c>
      <c r="AU18" s="350">
        <v>1382317.034</v>
      </c>
      <c r="AV18" s="350">
        <v>1391354.55</v>
      </c>
      <c r="AW18" s="344">
        <f t="shared" si="6"/>
        <v>17668072.367999997</v>
      </c>
      <c r="AX18" s="345">
        <f t="shared" si="7"/>
        <v>8457797.6600000001</v>
      </c>
      <c r="AY18" s="345">
        <f t="shared" si="8"/>
        <v>9210274.7080000006</v>
      </c>
      <c r="BA18" s="323">
        <v>1593799.5899999999</v>
      </c>
      <c r="BB18" s="323">
        <v>1249381.4300000002</v>
      </c>
      <c r="BC18" s="323">
        <v>1487336.79</v>
      </c>
      <c r="BD18" s="323">
        <v>1426213.8</v>
      </c>
      <c r="BE18" s="377">
        <v>1581726.94</v>
      </c>
      <c r="BF18" s="369">
        <v>1412837.92</v>
      </c>
      <c r="BG18" s="369">
        <v>1824317.24</v>
      </c>
      <c r="BH18" s="369">
        <v>1691267.2</v>
      </c>
      <c r="BI18" s="369">
        <v>1385059.73</v>
      </c>
      <c r="BJ18" s="369">
        <v>1536306.5899999999</v>
      </c>
      <c r="BK18" s="369">
        <v>1270190.75</v>
      </c>
      <c r="BL18" s="369">
        <v>1380454.1</v>
      </c>
      <c r="BM18" s="317">
        <f t="shared" si="9"/>
        <v>17838892.080000002</v>
      </c>
      <c r="BN18" s="318">
        <f t="shared" si="10"/>
        <v>8751296.4700000007</v>
      </c>
      <c r="BO18" s="318">
        <f t="shared" si="11"/>
        <v>9087595.6099999994</v>
      </c>
      <c r="BQ18" s="323">
        <v>1185071.77</v>
      </c>
      <c r="BR18" s="323">
        <v>1401229.29</v>
      </c>
      <c r="BS18" s="323">
        <v>1530063.48</v>
      </c>
      <c r="BT18" s="323">
        <v>410793.48</v>
      </c>
      <c r="BU18" s="377">
        <v>1615204.5</v>
      </c>
      <c r="BV18" s="369">
        <v>1731393.8399999999</v>
      </c>
      <c r="BW18" s="369">
        <v>1521599.24</v>
      </c>
      <c r="BX18" s="369">
        <v>1661601.7200000002</v>
      </c>
      <c r="BY18" s="369">
        <v>1555723.0599999998</v>
      </c>
      <c r="BZ18" s="369">
        <v>1497760.92</v>
      </c>
      <c r="CA18" s="369">
        <v>1270100.1599999999</v>
      </c>
      <c r="CB18" s="369">
        <v>1409937.82</v>
      </c>
      <c r="CC18" s="317">
        <f t="shared" si="12"/>
        <v>16790479.280000001</v>
      </c>
      <c r="CD18" s="318">
        <f t="shared" si="13"/>
        <v>7873756.3599999994</v>
      </c>
      <c r="CE18" s="318">
        <f t="shared" si="14"/>
        <v>8916722.9199999999</v>
      </c>
    </row>
    <row r="19" spans="1:84">
      <c r="A19" s="423" t="s">
        <v>206</v>
      </c>
      <c r="B19" s="413" t="s">
        <v>251</v>
      </c>
      <c r="C19" s="417">
        <v>0</v>
      </c>
      <c r="D19" s="417">
        <v>0</v>
      </c>
      <c r="E19" s="417">
        <v>0</v>
      </c>
      <c r="F19" s="417">
        <v>0</v>
      </c>
      <c r="G19" s="417">
        <v>0</v>
      </c>
      <c r="H19" s="417">
        <v>0</v>
      </c>
      <c r="I19" s="417">
        <v>0</v>
      </c>
      <c r="J19" s="417">
        <v>0</v>
      </c>
      <c r="K19" s="417">
        <v>0</v>
      </c>
      <c r="L19" s="417">
        <v>0</v>
      </c>
      <c r="M19" s="417">
        <v>0</v>
      </c>
      <c r="N19" s="417">
        <v>0</v>
      </c>
      <c r="O19" s="410">
        <f t="shared" si="0"/>
        <v>0</v>
      </c>
      <c r="P19" s="411">
        <f t="shared" si="1"/>
        <v>0</v>
      </c>
      <c r="Q19" s="411">
        <f t="shared" si="2"/>
        <v>0</v>
      </c>
      <c r="S19" s="198">
        <v>904.08</v>
      </c>
      <c r="T19" s="198">
        <v>733.2</v>
      </c>
      <c r="U19" s="198">
        <v>946</v>
      </c>
      <c r="V19" s="198">
        <v>154668.57999999999</v>
      </c>
      <c r="W19" s="198">
        <v>308789.76000000001</v>
      </c>
      <c r="X19" s="198">
        <v>120878.09</v>
      </c>
      <c r="Y19" s="198">
        <v>361945.25699999998</v>
      </c>
      <c r="Z19" s="198">
        <v>328315.95</v>
      </c>
      <c r="AA19" s="198">
        <v>322998.28000000003</v>
      </c>
      <c r="AB19" s="198">
        <v>313911.09999999998</v>
      </c>
      <c r="AC19" s="198">
        <v>207597.1</v>
      </c>
      <c r="AD19" s="198">
        <v>264759.51999999996</v>
      </c>
      <c r="AE19" s="31">
        <f t="shared" si="3"/>
        <v>2386446.9169999999</v>
      </c>
      <c r="AF19" s="411">
        <f t="shared" si="4"/>
        <v>586919.71</v>
      </c>
      <c r="AG19" s="411">
        <f t="shared" si="5"/>
        <v>1799527.2069999999</v>
      </c>
      <c r="AI19" s="442" t="s">
        <v>206</v>
      </c>
      <c r="AJ19" s="439" t="s">
        <v>251</v>
      </c>
      <c r="AK19" s="350">
        <v>1181.848</v>
      </c>
      <c r="AL19" s="350">
        <v>1124.04</v>
      </c>
      <c r="AM19" s="350">
        <v>1426.972</v>
      </c>
      <c r="AN19" s="350">
        <v>1260.2619999999999</v>
      </c>
      <c r="AO19" s="350">
        <v>1403.325</v>
      </c>
      <c r="AP19" s="350">
        <v>1423.452</v>
      </c>
      <c r="AQ19" s="350">
        <v>793.928</v>
      </c>
      <c r="AR19" s="350">
        <v>1217.768</v>
      </c>
      <c r="AS19" s="350">
        <v>2625.3229999999999</v>
      </c>
      <c r="AT19" s="350">
        <v>1743.1479999999999</v>
      </c>
      <c r="AU19" s="350">
        <v>1905.5</v>
      </c>
      <c r="AV19" s="350">
        <v>2024.492</v>
      </c>
      <c r="AW19" s="344">
        <f t="shared" si="6"/>
        <v>18130.057999999997</v>
      </c>
      <c r="AX19" s="345">
        <f t="shared" si="7"/>
        <v>7819.8989999999994</v>
      </c>
      <c r="AY19" s="345">
        <f t="shared" si="8"/>
        <v>10310.159000000001</v>
      </c>
      <c r="BA19" s="323">
        <v>0</v>
      </c>
      <c r="BB19" s="323">
        <v>0</v>
      </c>
      <c r="BC19" s="323">
        <v>0</v>
      </c>
      <c r="BD19" s="323">
        <v>0</v>
      </c>
      <c r="BE19" s="377">
        <v>0</v>
      </c>
      <c r="BF19" s="369">
        <v>0</v>
      </c>
      <c r="BG19" s="369">
        <v>0</v>
      </c>
      <c r="BH19" s="369">
        <v>0</v>
      </c>
      <c r="BI19" s="369">
        <v>0</v>
      </c>
      <c r="BJ19" s="369">
        <v>0</v>
      </c>
      <c r="BK19" s="369">
        <v>0</v>
      </c>
      <c r="BL19" s="369">
        <v>0</v>
      </c>
      <c r="BM19" s="317">
        <f t="shared" si="9"/>
        <v>0</v>
      </c>
      <c r="BN19" s="318">
        <f t="shared" si="10"/>
        <v>0</v>
      </c>
      <c r="BO19" s="318">
        <f t="shared" si="11"/>
        <v>0</v>
      </c>
      <c r="BQ19" s="323">
        <v>0</v>
      </c>
      <c r="BR19" s="323">
        <v>0</v>
      </c>
      <c r="BS19" s="323">
        <v>0</v>
      </c>
      <c r="BT19" s="323">
        <v>0</v>
      </c>
      <c r="BU19" s="377">
        <v>0</v>
      </c>
      <c r="BV19" s="369">
        <v>0</v>
      </c>
      <c r="BW19" s="369"/>
      <c r="BX19" s="369"/>
      <c r="BY19" s="369"/>
      <c r="BZ19" s="369"/>
      <c r="CA19" s="369"/>
      <c r="CB19" s="369"/>
      <c r="CC19" s="317">
        <f t="shared" si="12"/>
        <v>0</v>
      </c>
      <c r="CD19" s="318">
        <f t="shared" si="13"/>
        <v>0</v>
      </c>
      <c r="CE19" s="318">
        <f t="shared" si="14"/>
        <v>0</v>
      </c>
    </row>
    <row r="20" spans="1:84">
      <c r="A20" s="423" t="s">
        <v>207</v>
      </c>
      <c r="B20" s="413" t="s">
        <v>251</v>
      </c>
      <c r="C20" s="417">
        <v>16300687.699000001</v>
      </c>
      <c r="D20" s="417">
        <v>17473421.695999999</v>
      </c>
      <c r="E20" s="417">
        <v>18425466.329999998</v>
      </c>
      <c r="F20" s="417">
        <v>16843522.254999999</v>
      </c>
      <c r="G20" s="417">
        <v>18548017.384999998</v>
      </c>
      <c r="H20" s="417">
        <v>18436599.083000001</v>
      </c>
      <c r="I20" s="417">
        <v>15951829.100000001</v>
      </c>
      <c r="J20" s="417">
        <v>19150878.469000001</v>
      </c>
      <c r="K20" s="417">
        <v>18328827.795000002</v>
      </c>
      <c r="L20" s="417">
        <v>17882144.912</v>
      </c>
      <c r="M20" s="417">
        <v>11976741.866999999</v>
      </c>
      <c r="N20" s="417">
        <v>16374915.98</v>
      </c>
      <c r="O20" s="410">
        <f t="shared" si="0"/>
        <v>205693052.57099995</v>
      </c>
      <c r="P20" s="411">
        <f t="shared" si="1"/>
        <v>106027714.44799998</v>
      </c>
      <c r="Q20" s="411">
        <f t="shared" si="2"/>
        <v>171918943.17599997</v>
      </c>
      <c r="S20" s="198">
        <v>18921420.618999999</v>
      </c>
      <c r="T20" s="198">
        <v>16887432.919</v>
      </c>
      <c r="U20" s="198">
        <v>18881729.445</v>
      </c>
      <c r="V20" s="198">
        <v>18447525.534000002</v>
      </c>
      <c r="W20" s="198">
        <v>16606733.994999999</v>
      </c>
      <c r="X20" s="198">
        <v>17426398.199999999</v>
      </c>
      <c r="Y20" s="198">
        <v>19407363.789000001</v>
      </c>
      <c r="Z20" s="198">
        <v>18381538.732999999</v>
      </c>
      <c r="AA20" s="198">
        <v>18313301.336999997</v>
      </c>
      <c r="AB20" s="198">
        <v>18834299.719999999</v>
      </c>
      <c r="AC20" s="198">
        <v>18321662.787999999</v>
      </c>
      <c r="AD20" s="198">
        <v>18773454.098000001</v>
      </c>
      <c r="AE20" s="31">
        <f t="shared" si="3"/>
        <v>219202861.17700002</v>
      </c>
      <c r="AF20" s="411">
        <f t="shared" si="4"/>
        <v>107171240.71200001</v>
      </c>
      <c r="AG20" s="411">
        <f t="shared" si="5"/>
        <v>112031620.465</v>
      </c>
      <c r="AI20" s="442" t="s">
        <v>207</v>
      </c>
      <c r="AJ20" s="439" t="s">
        <v>251</v>
      </c>
      <c r="AK20" s="350">
        <v>17281699.869999997</v>
      </c>
      <c r="AL20" s="350">
        <v>15334509.699999999</v>
      </c>
      <c r="AM20" s="350">
        <v>19115305.916000001</v>
      </c>
      <c r="AN20" s="350">
        <v>18058482.817000002</v>
      </c>
      <c r="AO20" s="350">
        <v>18687220.431000002</v>
      </c>
      <c r="AP20" s="350">
        <v>18087558.537</v>
      </c>
      <c r="AQ20" s="350">
        <v>18116649.074000001</v>
      </c>
      <c r="AR20" s="350">
        <v>19256377.127</v>
      </c>
      <c r="AS20" s="350">
        <v>18613623.965</v>
      </c>
      <c r="AT20" s="350">
        <v>19378156.151000001</v>
      </c>
      <c r="AU20" s="350">
        <v>12136306.614</v>
      </c>
      <c r="AV20" s="350">
        <v>15355850.437000001</v>
      </c>
      <c r="AW20" s="344">
        <f t="shared" si="6"/>
        <v>209421740.639</v>
      </c>
      <c r="AX20" s="345">
        <f t="shared" si="7"/>
        <v>106564777.271</v>
      </c>
      <c r="AY20" s="345">
        <f t="shared" si="8"/>
        <v>102856963.368</v>
      </c>
      <c r="BA20" s="323">
        <v>18668808.840999998</v>
      </c>
      <c r="BB20" s="323">
        <v>15807858.146000002</v>
      </c>
      <c r="BC20" s="323">
        <v>15827110.376</v>
      </c>
      <c r="BD20" s="323">
        <v>18877121.386999998</v>
      </c>
      <c r="BE20" s="377">
        <v>25594895.530000001</v>
      </c>
      <c r="BF20" s="369">
        <v>27404506.463</v>
      </c>
      <c r="BG20" s="369">
        <v>27545609.629000001</v>
      </c>
      <c r="BH20" s="369">
        <v>23494054.594000001</v>
      </c>
      <c r="BI20" s="369">
        <v>28990094.105</v>
      </c>
      <c r="BJ20" s="369">
        <v>36463223.693000004</v>
      </c>
      <c r="BK20" s="369">
        <v>26664829.476999998</v>
      </c>
      <c r="BL20" s="369">
        <v>33917562.68</v>
      </c>
      <c r="BM20" s="317">
        <f t="shared" si="9"/>
        <v>299255674.921</v>
      </c>
      <c r="BN20" s="318">
        <f t="shared" si="10"/>
        <v>122180300.743</v>
      </c>
      <c r="BO20" s="318">
        <f t="shared" si="11"/>
        <v>177075374.17800003</v>
      </c>
      <c r="BQ20" s="323">
        <v>31359627.18</v>
      </c>
      <c r="BR20" s="323">
        <v>37159094.472000003</v>
      </c>
      <c r="BS20" s="323">
        <v>47876233.364</v>
      </c>
      <c r="BT20" s="323">
        <v>44038432.563999996</v>
      </c>
      <c r="BU20" s="377">
        <v>48038109.964000002</v>
      </c>
      <c r="BV20" s="369">
        <v>48618665.247999996</v>
      </c>
      <c r="BW20" s="369">
        <v>44699008.864</v>
      </c>
      <c r="BX20" s="369">
        <v>50099731.495999999</v>
      </c>
      <c r="BY20" s="369">
        <v>49188829.272</v>
      </c>
      <c r="BZ20" s="369">
        <v>43166335.796000004</v>
      </c>
      <c r="CA20" s="369">
        <v>34434919.615000002</v>
      </c>
      <c r="CB20" s="369">
        <v>32237138.760000002</v>
      </c>
      <c r="CC20" s="317">
        <f t="shared" si="12"/>
        <v>510916126.59499997</v>
      </c>
      <c r="CD20" s="318">
        <f t="shared" si="13"/>
        <v>257090162.79199997</v>
      </c>
      <c r="CE20" s="318">
        <f t="shared" si="14"/>
        <v>253825963.803</v>
      </c>
    </row>
    <row r="21" spans="1:84">
      <c r="A21" s="422" t="s">
        <v>208</v>
      </c>
      <c r="B21" s="413" t="s">
        <v>251</v>
      </c>
      <c r="C21" s="417">
        <v>0</v>
      </c>
      <c r="D21" s="417">
        <v>0</v>
      </c>
      <c r="E21" s="417">
        <v>0</v>
      </c>
      <c r="F21" s="417">
        <v>0</v>
      </c>
      <c r="G21" s="417">
        <v>0</v>
      </c>
      <c r="H21" s="417">
        <v>0</v>
      </c>
      <c r="I21" s="417">
        <v>8560475</v>
      </c>
      <c r="J21" s="417">
        <v>8779925</v>
      </c>
      <c r="K21" s="417">
        <v>7378250</v>
      </c>
      <c r="L21" s="417">
        <v>1585100</v>
      </c>
      <c r="M21" s="417">
        <v>0</v>
      </c>
      <c r="N21" s="417">
        <v>0</v>
      </c>
      <c r="O21" s="410">
        <f t="shared" si="0"/>
        <v>26303750</v>
      </c>
      <c r="P21" s="411">
        <f t="shared" si="1"/>
        <v>0</v>
      </c>
      <c r="Q21" s="411">
        <f t="shared" si="2"/>
        <v>26303750</v>
      </c>
      <c r="S21" s="198">
        <v>0</v>
      </c>
      <c r="T21" s="198">
        <v>0</v>
      </c>
      <c r="U21" s="198">
        <v>0</v>
      </c>
      <c r="V21" s="198">
        <v>0</v>
      </c>
      <c r="W21" s="198">
        <v>0</v>
      </c>
      <c r="X21" s="198">
        <v>2330350</v>
      </c>
      <c r="Y21" s="198">
        <v>8365500</v>
      </c>
      <c r="Z21" s="198">
        <v>5208775</v>
      </c>
      <c r="AA21" s="198">
        <v>8291525</v>
      </c>
      <c r="AB21" s="198">
        <v>5610825</v>
      </c>
      <c r="AC21" s="198"/>
      <c r="AD21" s="198"/>
      <c r="AE21" s="31">
        <f t="shared" si="3"/>
        <v>29806975</v>
      </c>
      <c r="AF21" s="411">
        <f t="shared" si="4"/>
        <v>2330350</v>
      </c>
      <c r="AG21" s="411">
        <f t="shared" si="5"/>
        <v>27476625</v>
      </c>
      <c r="AI21" s="442" t="s">
        <v>208</v>
      </c>
      <c r="AJ21" s="439" t="s">
        <v>251</v>
      </c>
      <c r="AK21" s="350">
        <v>0</v>
      </c>
      <c r="AL21" s="350">
        <v>0</v>
      </c>
      <c r="AM21" s="350">
        <v>0</v>
      </c>
      <c r="AN21" s="350">
        <v>0</v>
      </c>
      <c r="AO21" s="350">
        <v>0</v>
      </c>
      <c r="AP21" s="350">
        <v>2783825</v>
      </c>
      <c r="AQ21" s="350">
        <v>6502980</v>
      </c>
      <c r="AR21" s="350">
        <v>7162320</v>
      </c>
      <c r="AS21" s="350">
        <v>2491500</v>
      </c>
      <c r="AT21" s="350">
        <v>2947230</v>
      </c>
      <c r="AU21" s="350">
        <v>0</v>
      </c>
      <c r="AV21" s="350">
        <v>0</v>
      </c>
      <c r="AW21" s="344">
        <f t="shared" si="6"/>
        <v>21887855</v>
      </c>
      <c r="AX21" s="345">
        <f t="shared" si="7"/>
        <v>2783825</v>
      </c>
      <c r="AY21" s="345">
        <f t="shared" si="8"/>
        <v>19104030</v>
      </c>
      <c r="BA21" s="323">
        <v>15963724.579</v>
      </c>
      <c r="BB21" s="323">
        <v>14959738.107999995</v>
      </c>
      <c r="BC21" s="323">
        <v>16471662.268000007</v>
      </c>
      <c r="BD21" s="323">
        <v>12378554.888999999</v>
      </c>
      <c r="BE21" s="377">
        <v>7158360</v>
      </c>
      <c r="BF21" s="369">
        <v>15884080.630000003</v>
      </c>
      <c r="BG21" s="369">
        <v>15892710</v>
      </c>
      <c r="BH21" s="369">
        <v>20454180</v>
      </c>
      <c r="BI21" s="369">
        <v>15020250</v>
      </c>
      <c r="BJ21" s="369">
        <v>14706300</v>
      </c>
      <c r="BK21" s="369">
        <v>14474400</v>
      </c>
      <c r="BL21" s="369">
        <v>7366500</v>
      </c>
      <c r="BM21" s="317">
        <f t="shared" si="9"/>
        <v>170730460.47400001</v>
      </c>
      <c r="BN21" s="318">
        <f t="shared" si="10"/>
        <v>82816120.474000007</v>
      </c>
      <c r="BO21" s="318">
        <f t="shared" si="11"/>
        <v>87914340</v>
      </c>
      <c r="BQ21" s="323">
        <v>3280800</v>
      </c>
      <c r="BR21" s="323">
        <v>0</v>
      </c>
      <c r="BS21" s="323">
        <v>4784700</v>
      </c>
      <c r="BT21" s="323">
        <v>3841200</v>
      </c>
      <c r="BU21" s="377">
        <v>0</v>
      </c>
      <c r="BV21" s="369">
        <v>7224780</v>
      </c>
      <c r="BW21" s="369">
        <v>19702590</v>
      </c>
      <c r="BX21" s="369">
        <v>21604650</v>
      </c>
      <c r="BY21" s="369">
        <v>20418120</v>
      </c>
      <c r="BZ21" s="369">
        <v>17048100</v>
      </c>
      <c r="CA21" s="369">
        <v>14542500</v>
      </c>
      <c r="CB21" s="369">
        <v>14464200</v>
      </c>
      <c r="CC21" s="317">
        <f t="shared" si="12"/>
        <v>126911640</v>
      </c>
      <c r="CD21" s="318">
        <f t="shared" si="13"/>
        <v>19131480</v>
      </c>
      <c r="CE21" s="318">
        <f t="shared" si="14"/>
        <v>107780160</v>
      </c>
    </row>
    <row r="22" spans="1:84">
      <c r="A22" s="422" t="s">
        <v>209</v>
      </c>
      <c r="B22" s="413" t="s">
        <v>251</v>
      </c>
      <c r="C22" s="417">
        <v>9539531.6999999993</v>
      </c>
      <c r="D22" s="417">
        <v>7920593.46</v>
      </c>
      <c r="E22" s="417">
        <v>7615000</v>
      </c>
      <c r="F22" s="417">
        <v>7451000</v>
      </c>
      <c r="G22" s="417">
        <v>8707351.7400000002</v>
      </c>
      <c r="H22" s="417">
        <v>8576826.6199999992</v>
      </c>
      <c r="I22" s="417">
        <v>8630308.3399999999</v>
      </c>
      <c r="J22" s="417">
        <v>9492515.6400000006</v>
      </c>
      <c r="K22" s="417">
        <v>8988368.3000000007</v>
      </c>
      <c r="L22" s="417">
        <v>9114131.8599999994</v>
      </c>
      <c r="M22" s="417">
        <v>9358840.1400000006</v>
      </c>
      <c r="N22" s="417">
        <v>9358708.8599999994</v>
      </c>
      <c r="O22" s="410">
        <f t="shared" si="0"/>
        <v>104753176.66</v>
      </c>
      <c r="P22" s="411">
        <f t="shared" si="1"/>
        <v>49810303.519999996</v>
      </c>
      <c r="Q22" s="411">
        <f t="shared" si="2"/>
        <v>87293051.5</v>
      </c>
      <c r="S22" s="198">
        <v>9012344.0500000007</v>
      </c>
      <c r="T22" s="198">
        <v>8792233.3399999999</v>
      </c>
      <c r="U22" s="198">
        <v>10005859</v>
      </c>
      <c r="V22" s="198">
        <v>9334860.0999999996</v>
      </c>
      <c r="W22" s="198">
        <v>10245947.720000001</v>
      </c>
      <c r="X22" s="198">
        <v>9737510.9199999999</v>
      </c>
      <c r="Y22" s="198">
        <v>9975336.3200000003</v>
      </c>
      <c r="Z22" s="198">
        <v>8507046.0299999993</v>
      </c>
      <c r="AA22" s="198">
        <v>6802075.9000000004</v>
      </c>
      <c r="AB22" s="198">
        <v>8394099.6999999993</v>
      </c>
      <c r="AC22" s="198">
        <v>8009387.6799999997</v>
      </c>
      <c r="AD22" s="198">
        <v>8273062.0999999996</v>
      </c>
      <c r="AE22" s="31">
        <f t="shared" si="3"/>
        <v>107089762.86000001</v>
      </c>
      <c r="AF22" s="411">
        <f t="shared" si="4"/>
        <v>57128755.130000003</v>
      </c>
      <c r="AG22" s="411">
        <f t="shared" si="5"/>
        <v>49961007.730000004</v>
      </c>
      <c r="AI22" s="441" t="s">
        <v>209</v>
      </c>
      <c r="AJ22" s="439" t="s">
        <v>251</v>
      </c>
      <c r="AK22" s="350">
        <v>8254094.0800000001</v>
      </c>
      <c r="AL22" s="350">
        <v>7381766</v>
      </c>
      <c r="AM22" s="350">
        <v>7417729</v>
      </c>
      <c r="AN22" s="350">
        <v>7333456</v>
      </c>
      <c r="AO22" s="350">
        <v>8336420</v>
      </c>
      <c r="AP22" s="350">
        <v>7851374</v>
      </c>
      <c r="AQ22" s="350">
        <v>7417180.1200000001</v>
      </c>
      <c r="AR22" s="350">
        <v>8376031</v>
      </c>
      <c r="AS22" s="350">
        <v>8803395.9000000004</v>
      </c>
      <c r="AT22" s="350">
        <v>9297411.1600000001</v>
      </c>
      <c r="AU22" s="350">
        <v>7757282.7999999998</v>
      </c>
      <c r="AV22" s="350">
        <v>9047676.9199999999</v>
      </c>
      <c r="AW22" s="344">
        <f t="shared" si="6"/>
        <v>97273816.979999989</v>
      </c>
      <c r="AX22" s="345">
        <f t="shared" si="7"/>
        <v>46574839.079999998</v>
      </c>
      <c r="AY22" s="345">
        <f t="shared" si="8"/>
        <v>50698977.900000006</v>
      </c>
      <c r="BA22" s="323">
        <v>8866229.4199999999</v>
      </c>
      <c r="BB22" s="323">
        <v>7782096.46</v>
      </c>
      <c r="BC22" s="323">
        <v>9156684.8399999999</v>
      </c>
      <c r="BD22" s="323">
        <v>8885981.9600000009</v>
      </c>
      <c r="BE22" s="377">
        <v>10669518.039999999</v>
      </c>
      <c r="BF22" s="369">
        <v>17100190</v>
      </c>
      <c r="BG22" s="369">
        <v>29175660</v>
      </c>
      <c r="BH22" s="369">
        <v>31925820</v>
      </c>
      <c r="BI22" s="369">
        <v>20720193.936999999</v>
      </c>
      <c r="BJ22" s="369">
        <v>16622040</v>
      </c>
      <c r="BK22" s="369">
        <v>13132780</v>
      </c>
      <c r="BL22" s="369">
        <v>15916843.08</v>
      </c>
      <c r="BM22" s="317">
        <f t="shared" si="9"/>
        <v>189954037.73700002</v>
      </c>
      <c r="BN22" s="318">
        <f t="shared" si="10"/>
        <v>62460700.719999999</v>
      </c>
      <c r="BO22" s="318">
        <f t="shared" si="11"/>
        <v>127493337.017</v>
      </c>
      <c r="BQ22" s="323">
        <v>15216670.5</v>
      </c>
      <c r="BR22" s="323">
        <v>15221652.67</v>
      </c>
      <c r="BS22" s="323">
        <v>14057895.960000001</v>
      </c>
      <c r="BT22" s="323">
        <v>22954754.550000001</v>
      </c>
      <c r="BU22" s="377">
        <v>25131886.949999999</v>
      </c>
      <c r="BV22" s="369">
        <v>20466444.509999998</v>
      </c>
      <c r="BW22" s="369">
        <v>21915530.030000001</v>
      </c>
      <c r="BX22" s="369">
        <v>25391419.380000003</v>
      </c>
      <c r="BY22" s="369">
        <v>24288153.379999999</v>
      </c>
      <c r="BZ22" s="369">
        <v>25172882</v>
      </c>
      <c r="CA22" s="369">
        <v>29737171</v>
      </c>
      <c r="CB22" s="369">
        <v>31966907.686999999</v>
      </c>
      <c r="CC22" s="317">
        <f t="shared" si="12"/>
        <v>271521368.61699998</v>
      </c>
      <c r="CD22" s="318">
        <f t="shared" si="13"/>
        <v>113049305.14000002</v>
      </c>
      <c r="CE22" s="318">
        <f t="shared" si="14"/>
        <v>158472063.477</v>
      </c>
    </row>
    <row r="23" spans="1:84">
      <c r="A23" s="412" t="s">
        <v>210</v>
      </c>
      <c r="B23" s="413" t="s">
        <v>251</v>
      </c>
      <c r="C23" s="417">
        <v>486831.41899999999</v>
      </c>
      <c r="D23" s="417">
        <v>449327.39700000221</v>
      </c>
      <c r="E23" s="417">
        <v>473241.64500000002</v>
      </c>
      <c r="F23" s="417">
        <v>455014.54200000002</v>
      </c>
      <c r="G23" s="417">
        <v>479313.913</v>
      </c>
      <c r="H23" s="417">
        <v>466142.76400000078</v>
      </c>
      <c r="I23" s="417">
        <v>498576.97899999924</v>
      </c>
      <c r="J23" s="417">
        <v>470005.19999999925</v>
      </c>
      <c r="K23" s="417">
        <v>482519.89999999851</v>
      </c>
      <c r="L23" s="417">
        <v>538211.19999999925</v>
      </c>
      <c r="M23" s="417">
        <v>563909.5</v>
      </c>
      <c r="N23" s="417">
        <v>558490</v>
      </c>
      <c r="O23" s="410">
        <f t="shared" si="0"/>
        <v>5921584.4589999998</v>
      </c>
      <c r="P23" s="411">
        <f t="shared" si="1"/>
        <v>2809871.6800000034</v>
      </c>
      <c r="Q23" s="411">
        <f t="shared" si="2"/>
        <v>4985425.6429999974</v>
      </c>
      <c r="S23" s="198">
        <v>548755.1</v>
      </c>
      <c r="T23" s="198">
        <v>521262.19999999925</v>
      </c>
      <c r="U23" s="198">
        <v>647745.5</v>
      </c>
      <c r="V23" s="198">
        <v>604813.30000000075</v>
      </c>
      <c r="W23" s="198">
        <v>666406.80000000075</v>
      </c>
      <c r="X23" s="198">
        <v>1135311.1000000015</v>
      </c>
      <c r="Y23" s="198">
        <v>646589.5</v>
      </c>
      <c r="Z23" s="198">
        <v>726786.69999999925</v>
      </c>
      <c r="AA23" s="198">
        <v>679272.5</v>
      </c>
      <c r="AB23" s="198">
        <v>717361.39999999851</v>
      </c>
      <c r="AC23" s="198">
        <v>717750.59999999776</v>
      </c>
      <c r="AD23" s="198">
        <v>623645.1</v>
      </c>
      <c r="AE23" s="31">
        <f t="shared" si="3"/>
        <v>8235699.799999997</v>
      </c>
      <c r="AF23" s="411">
        <f t="shared" si="4"/>
        <v>4124294.0000000023</v>
      </c>
      <c r="AG23" s="411">
        <f t="shared" si="5"/>
        <v>4111405.7999999956</v>
      </c>
      <c r="AI23" s="441" t="s">
        <v>210</v>
      </c>
      <c r="AJ23" s="439" t="s">
        <v>251</v>
      </c>
      <c r="AK23" s="350">
        <v>676540</v>
      </c>
      <c r="AL23" s="350">
        <v>649321.10000000149</v>
      </c>
      <c r="AM23" s="350">
        <v>695790</v>
      </c>
      <c r="AN23" s="350">
        <v>751119.80000000447</v>
      </c>
      <c r="AO23" s="350">
        <v>777884.59999999404</v>
      </c>
      <c r="AP23" s="350">
        <v>765052.1</v>
      </c>
      <c r="AQ23" s="350">
        <v>789537.89999999851</v>
      </c>
      <c r="AR23" s="350">
        <v>773441.70000000298</v>
      </c>
      <c r="AS23" s="350">
        <v>757338.09999999404</v>
      </c>
      <c r="AT23" s="350">
        <v>809478.5</v>
      </c>
      <c r="AU23" s="350">
        <v>846834.30000000447</v>
      </c>
      <c r="AV23" s="350">
        <v>195380</v>
      </c>
      <c r="AW23" s="344">
        <f t="shared" si="6"/>
        <v>8487718.0999999996</v>
      </c>
      <c r="AX23" s="345">
        <f t="shared" si="7"/>
        <v>4315707.5999999996</v>
      </c>
      <c r="AY23" s="345">
        <f t="shared" si="8"/>
        <v>4172010.5</v>
      </c>
      <c r="BA23" s="323">
        <v>850147.5</v>
      </c>
      <c r="BB23" s="323">
        <v>792473.59999999404</v>
      </c>
      <c r="BC23" s="323">
        <v>884165.60000000149</v>
      </c>
      <c r="BD23" s="323">
        <v>888451.5</v>
      </c>
      <c r="BE23" s="377">
        <v>924937.89999999851</v>
      </c>
      <c r="BF23" s="369">
        <v>915481.80000000447</v>
      </c>
      <c r="BG23" s="369">
        <v>921098.60000000149</v>
      </c>
      <c r="BH23" s="369">
        <v>930446.5</v>
      </c>
      <c r="BI23" s="369">
        <v>880799.69999999553</v>
      </c>
      <c r="BJ23" s="369">
        <v>858552.20000000298</v>
      </c>
      <c r="BK23" s="369">
        <v>889384</v>
      </c>
      <c r="BL23" s="369">
        <v>917678.91200000001</v>
      </c>
      <c r="BM23" s="317">
        <f t="shared" si="9"/>
        <v>10653617.811999999</v>
      </c>
      <c r="BN23" s="318">
        <f t="shared" si="10"/>
        <v>5255657.8999999985</v>
      </c>
      <c r="BO23" s="318">
        <f t="shared" si="11"/>
        <v>5397959.9120000005</v>
      </c>
      <c r="BQ23" s="323">
        <v>903586.55200000003</v>
      </c>
      <c r="BR23" s="323">
        <v>865637.13599999552</v>
      </c>
      <c r="BS23" s="323">
        <v>897719.826</v>
      </c>
      <c r="BT23" s="323">
        <v>3545883.6169999968</v>
      </c>
      <c r="BU23" s="377">
        <v>2083556.3530000029</v>
      </c>
      <c r="BV23" s="369">
        <v>937146.29999999702</v>
      </c>
      <c r="BW23" s="369">
        <v>1918813.1649999984</v>
      </c>
      <c r="BX23" s="369">
        <v>2157233.875</v>
      </c>
      <c r="BY23" s="369">
        <v>1602530.4820000029</v>
      </c>
      <c r="BZ23" s="369">
        <v>1733837.9309999985</v>
      </c>
      <c r="CA23" s="369">
        <v>1509311.3970000015</v>
      </c>
      <c r="CB23" s="369">
        <v>2364156.2779999957</v>
      </c>
      <c r="CC23" s="317">
        <f t="shared" si="12"/>
        <v>20519412.911999989</v>
      </c>
      <c r="CD23" s="318">
        <f t="shared" si="13"/>
        <v>9233529.7839999907</v>
      </c>
      <c r="CE23" s="318">
        <f t="shared" si="14"/>
        <v>11285883.127999997</v>
      </c>
    </row>
    <row r="24" spans="1:84">
      <c r="A24" s="412" t="s">
        <v>211</v>
      </c>
      <c r="B24" s="413" t="s">
        <v>252</v>
      </c>
      <c r="C24" s="417">
        <v>4657629</v>
      </c>
      <c r="D24" s="417">
        <v>4227966</v>
      </c>
      <c r="E24" s="417">
        <v>4494087</v>
      </c>
      <c r="F24" s="417">
        <v>4196779</v>
      </c>
      <c r="G24" s="417">
        <v>4248132</v>
      </c>
      <c r="H24" s="417">
        <v>4533743</v>
      </c>
      <c r="I24" s="417">
        <v>4932858</v>
      </c>
      <c r="J24" s="417">
        <v>5029464</v>
      </c>
      <c r="K24" s="417">
        <v>4775939</v>
      </c>
      <c r="L24" s="417">
        <v>4749287</v>
      </c>
      <c r="M24" s="417">
        <v>4584416</v>
      </c>
      <c r="N24" s="417">
        <v>4963337</v>
      </c>
      <c r="O24" s="410">
        <f t="shared" si="0"/>
        <v>55393637</v>
      </c>
      <c r="P24" s="411">
        <f t="shared" si="1"/>
        <v>26358336</v>
      </c>
      <c r="Q24" s="411">
        <f t="shared" si="2"/>
        <v>46508042</v>
      </c>
      <c r="S24" s="198">
        <v>4947239</v>
      </c>
      <c r="T24" s="198">
        <v>4577597</v>
      </c>
      <c r="U24" s="198">
        <v>5154513</v>
      </c>
      <c r="V24" s="198">
        <v>4979833.05</v>
      </c>
      <c r="W24" s="198">
        <v>5119966</v>
      </c>
      <c r="X24" s="198">
        <v>5714861.1229999997</v>
      </c>
      <c r="Y24" s="198">
        <v>6226440</v>
      </c>
      <c r="Z24" s="198">
        <v>5848492</v>
      </c>
      <c r="AA24" s="198">
        <v>5324612.9399999995</v>
      </c>
      <c r="AB24" s="198">
        <v>5600170</v>
      </c>
      <c r="AC24" s="198">
        <v>5846403</v>
      </c>
      <c r="AD24" s="198">
        <v>5921643</v>
      </c>
      <c r="AE24" s="31">
        <f t="shared" si="3"/>
        <v>65261770.112999998</v>
      </c>
      <c r="AF24" s="411">
        <f t="shared" si="4"/>
        <v>30494009.173</v>
      </c>
      <c r="AG24" s="411">
        <f t="shared" si="5"/>
        <v>34767760.939999998</v>
      </c>
      <c r="AI24" s="438" t="s">
        <v>211</v>
      </c>
      <c r="AJ24" s="439" t="s">
        <v>252</v>
      </c>
      <c r="AK24" s="350">
        <v>5873739</v>
      </c>
      <c r="AL24" s="350">
        <v>5290621</v>
      </c>
      <c r="AM24" s="350">
        <v>5995233</v>
      </c>
      <c r="AN24" s="350">
        <v>5754113</v>
      </c>
      <c r="AO24" s="350">
        <v>5848211</v>
      </c>
      <c r="AP24" s="350">
        <v>5995993</v>
      </c>
      <c r="AQ24" s="350">
        <v>6450741</v>
      </c>
      <c r="AR24" s="350">
        <v>6276863</v>
      </c>
      <c r="AS24" s="350">
        <v>5969486</v>
      </c>
      <c r="AT24" s="350">
        <v>6218240</v>
      </c>
      <c r="AU24" s="350">
        <v>5876458</v>
      </c>
      <c r="AV24" s="350">
        <v>6040311</v>
      </c>
      <c r="AW24" s="344">
        <f t="shared" si="6"/>
        <v>71590009</v>
      </c>
      <c r="AX24" s="345">
        <f t="shared" si="7"/>
        <v>34757910</v>
      </c>
      <c r="AY24" s="345">
        <f t="shared" si="8"/>
        <v>36832099</v>
      </c>
      <c r="BA24" s="323">
        <v>6399224</v>
      </c>
      <c r="BB24" s="323">
        <v>5734286</v>
      </c>
      <c r="BC24" s="323">
        <v>6141794</v>
      </c>
      <c r="BD24" s="323">
        <v>5948400</v>
      </c>
      <c r="BE24" s="377">
        <v>6180284</v>
      </c>
      <c r="BF24" s="369">
        <v>6171710</v>
      </c>
      <c r="BG24" s="369">
        <v>6663685</v>
      </c>
      <c r="BH24" s="369">
        <v>6848206</v>
      </c>
      <c r="BI24" s="369">
        <v>6390463</v>
      </c>
      <c r="BJ24" s="369">
        <v>6571857</v>
      </c>
      <c r="BK24" s="369">
        <v>6263763</v>
      </c>
      <c r="BL24" s="369">
        <v>6408818.1299999999</v>
      </c>
      <c r="BM24" s="317">
        <f t="shared" si="9"/>
        <v>75722490.129999995</v>
      </c>
      <c r="BN24" s="318">
        <f t="shared" si="10"/>
        <v>36575698</v>
      </c>
      <c r="BO24" s="318">
        <f t="shared" si="11"/>
        <v>39146792.130000003</v>
      </c>
      <c r="BQ24" s="323">
        <v>6248399</v>
      </c>
      <c r="BR24" s="323">
        <v>6017264</v>
      </c>
      <c r="BS24" s="323">
        <v>6640055</v>
      </c>
      <c r="BT24" s="323">
        <v>6349772.0300000003</v>
      </c>
      <c r="BU24" s="377">
        <v>6812006</v>
      </c>
      <c r="BV24" s="369">
        <v>7118693</v>
      </c>
      <c r="BW24" s="369">
        <v>7476046</v>
      </c>
      <c r="BX24" s="369">
        <v>7635450</v>
      </c>
      <c r="BY24" s="369">
        <v>7261824</v>
      </c>
      <c r="BZ24" s="369">
        <v>7479826</v>
      </c>
      <c r="CA24" s="369">
        <v>7060213.3550000004</v>
      </c>
      <c r="CB24" s="369">
        <v>7206243.5499999998</v>
      </c>
      <c r="CC24" s="317">
        <f t="shared" si="12"/>
        <v>83305791.935000002</v>
      </c>
      <c r="CD24" s="318">
        <f t="shared" si="13"/>
        <v>39186189.030000001</v>
      </c>
      <c r="CE24" s="318">
        <f t="shared" si="14"/>
        <v>44119602.905000001</v>
      </c>
    </row>
    <row r="25" spans="1:84">
      <c r="A25" s="423" t="s">
        <v>212</v>
      </c>
      <c r="B25" s="413" t="s">
        <v>249</v>
      </c>
      <c r="C25" s="424">
        <v>1344750</v>
      </c>
      <c r="D25" s="424">
        <v>892171</v>
      </c>
      <c r="E25" s="424">
        <v>455147</v>
      </c>
      <c r="F25" s="424">
        <v>338084.5</v>
      </c>
      <c r="G25" s="424">
        <v>653843</v>
      </c>
      <c r="H25" s="424">
        <v>1795792.5</v>
      </c>
      <c r="I25" s="424">
        <v>1788934</v>
      </c>
      <c r="J25" s="424">
        <v>1873993</v>
      </c>
      <c r="K25" s="424">
        <v>2611844</v>
      </c>
      <c r="L25" s="424">
        <v>3325154</v>
      </c>
      <c r="M25" s="424">
        <v>2358876</v>
      </c>
      <c r="N25" s="424">
        <v>0</v>
      </c>
      <c r="O25" s="410">
        <f t="shared" si="0"/>
        <v>17438589</v>
      </c>
      <c r="P25" s="411">
        <f t="shared" si="1"/>
        <v>5479788</v>
      </c>
      <c r="Q25" s="411">
        <f t="shared" si="2"/>
        <v>15201668</v>
      </c>
      <c r="S25" s="198">
        <v>1786.1130000000001</v>
      </c>
      <c r="T25" s="198">
        <v>906.27200000000005</v>
      </c>
      <c r="U25" s="198">
        <v>614.63400000000001</v>
      </c>
      <c r="V25" s="198">
        <v>107.34</v>
      </c>
      <c r="W25" s="198">
        <v>516.45299999999997</v>
      </c>
      <c r="X25" s="198">
        <v>1804.711</v>
      </c>
      <c r="Y25" s="198">
        <v>1799.9575</v>
      </c>
      <c r="Z25" s="198">
        <v>1452.886</v>
      </c>
      <c r="AA25" s="198">
        <v>2161.058</v>
      </c>
      <c r="AB25" s="198">
        <v>2520.0535</v>
      </c>
      <c r="AC25" s="198">
        <v>1175.5846299999998</v>
      </c>
      <c r="AD25" s="198">
        <v>5206.7749999999996</v>
      </c>
      <c r="AE25" s="31">
        <f t="shared" si="3"/>
        <v>20051.837630000002</v>
      </c>
      <c r="AF25" s="411">
        <f t="shared" si="4"/>
        <v>5735.5230000000001</v>
      </c>
      <c r="AG25" s="411">
        <f t="shared" si="5"/>
        <v>14316.314629999999</v>
      </c>
      <c r="AI25" s="441" t="s">
        <v>212</v>
      </c>
      <c r="AJ25" s="439" t="s">
        <v>249</v>
      </c>
      <c r="AK25" s="350">
        <v>1253.6300000000001</v>
      </c>
      <c r="AL25" s="350">
        <v>499.80200000000002</v>
      </c>
      <c r="AM25" s="350">
        <v>193.691</v>
      </c>
      <c r="AN25" s="350">
        <v>412.23399999999998</v>
      </c>
      <c r="AO25" s="350">
        <v>412.36399999999998</v>
      </c>
      <c r="AP25" s="350">
        <v>2061.1120000000001</v>
      </c>
      <c r="AQ25" s="350">
        <v>2497.6060000000002</v>
      </c>
      <c r="AR25" s="350">
        <v>2268.3910000000001</v>
      </c>
      <c r="AS25" s="350">
        <v>2723.3980000000001</v>
      </c>
      <c r="AT25" s="350">
        <v>2452.252</v>
      </c>
      <c r="AU25" s="350">
        <v>2180.8989999999999</v>
      </c>
      <c r="AV25" s="350">
        <v>1990.0129999999999</v>
      </c>
      <c r="AW25" s="344">
        <f t="shared" si="6"/>
        <v>18945.392</v>
      </c>
      <c r="AX25" s="345">
        <f t="shared" si="7"/>
        <v>4832.8330000000005</v>
      </c>
      <c r="AY25" s="345">
        <f t="shared" si="8"/>
        <v>14112.559000000001</v>
      </c>
      <c r="BA25" s="323">
        <v>1825.433</v>
      </c>
      <c r="BB25" s="323">
        <v>566.95000000000005</v>
      </c>
      <c r="BC25" s="323">
        <v>837.47500000000002</v>
      </c>
      <c r="BD25" s="323">
        <v>432.608</v>
      </c>
      <c r="BE25" s="377">
        <v>935.47460000000001</v>
      </c>
      <c r="BF25" s="369">
        <v>1198.5050000000001</v>
      </c>
      <c r="BG25" s="369">
        <v>1738.183</v>
      </c>
      <c r="BH25" s="369">
        <v>3023.96</v>
      </c>
      <c r="BI25" s="369">
        <v>2072.8389999999999</v>
      </c>
      <c r="BJ25" s="369">
        <v>1889.1933999999999</v>
      </c>
      <c r="BK25" s="369">
        <v>2066.04</v>
      </c>
      <c r="BL25" s="369">
        <v>1130.857</v>
      </c>
      <c r="BM25" s="317">
        <f t="shared" si="9"/>
        <v>17717.518</v>
      </c>
      <c r="BN25" s="318">
        <f t="shared" si="10"/>
        <v>5796.4456</v>
      </c>
      <c r="BO25" s="318">
        <f t="shared" si="11"/>
        <v>11921.072400000001</v>
      </c>
      <c r="BQ25" s="323">
        <v>537.86199999999997</v>
      </c>
      <c r="BR25" s="323">
        <v>1500.0260000000001</v>
      </c>
      <c r="BS25" s="323">
        <v>565.471</v>
      </c>
      <c r="BT25" s="323">
        <v>572.69899999999996</v>
      </c>
      <c r="BU25" s="377">
        <v>518.64</v>
      </c>
      <c r="BV25" s="369">
        <v>1421.91</v>
      </c>
      <c r="BW25" s="369">
        <v>2895.904</v>
      </c>
      <c r="BX25" s="369">
        <v>2295.7060000000001</v>
      </c>
      <c r="BY25" s="369">
        <v>3171.78</v>
      </c>
      <c r="BZ25" s="369">
        <v>1534.5550000000001</v>
      </c>
      <c r="CA25" s="369">
        <v>2031.646</v>
      </c>
      <c r="CB25" s="369">
        <v>795.8</v>
      </c>
      <c r="CC25" s="317">
        <f t="shared" si="12"/>
        <v>17841.999</v>
      </c>
      <c r="CD25" s="318">
        <f t="shared" si="13"/>
        <v>5116.6080000000002</v>
      </c>
      <c r="CE25" s="318">
        <f t="shared" si="14"/>
        <v>12725.391000000001</v>
      </c>
      <c r="CF25" s="17"/>
    </row>
    <row r="26" spans="1:84">
      <c r="A26" s="425" t="s">
        <v>213</v>
      </c>
      <c r="B26" s="413" t="s">
        <v>249</v>
      </c>
      <c r="C26" s="417">
        <v>647020</v>
      </c>
      <c r="D26" s="417">
        <v>444120</v>
      </c>
      <c r="E26" s="417">
        <v>196800</v>
      </c>
      <c r="F26" s="417">
        <v>141818</v>
      </c>
      <c r="G26" s="417">
        <v>415003</v>
      </c>
      <c r="H26" s="417">
        <v>1316373</v>
      </c>
      <c r="I26" s="417">
        <v>1325496</v>
      </c>
      <c r="J26" s="417">
        <v>1775720</v>
      </c>
      <c r="K26" s="417">
        <v>2071664</v>
      </c>
      <c r="L26" s="417">
        <v>2397416</v>
      </c>
      <c r="M26" s="417">
        <v>1276454</v>
      </c>
      <c r="N26" s="417">
        <v>0</v>
      </c>
      <c r="O26" s="410">
        <f t="shared" si="0"/>
        <v>12007884</v>
      </c>
      <c r="P26" s="411">
        <f t="shared" si="1"/>
        <v>3161134</v>
      </c>
      <c r="Q26" s="411">
        <f t="shared" si="2"/>
        <v>10916744</v>
      </c>
      <c r="S26" s="198">
        <v>1033.8510000000001</v>
      </c>
      <c r="T26" s="198">
        <v>632.75</v>
      </c>
      <c r="U26" s="198">
        <v>375.48</v>
      </c>
      <c r="V26" s="198">
        <v>60.03</v>
      </c>
      <c r="W26" s="198">
        <v>346.22</v>
      </c>
      <c r="X26" s="198">
        <v>1204.56</v>
      </c>
      <c r="Y26" s="198">
        <v>1703.34</v>
      </c>
      <c r="Z26" s="198">
        <v>1370.8320000000001</v>
      </c>
      <c r="AA26" s="198">
        <v>1922998</v>
      </c>
      <c r="AB26" s="198">
        <v>2134880</v>
      </c>
      <c r="AC26" s="198">
        <v>843178.23</v>
      </c>
      <c r="AD26" s="198">
        <v>4520085</v>
      </c>
      <c r="AE26" s="31">
        <f t="shared" si="3"/>
        <v>9427868.2929999996</v>
      </c>
      <c r="AF26" s="411">
        <f t="shared" si="4"/>
        <v>3652.8910000000001</v>
      </c>
      <c r="AG26" s="411">
        <f t="shared" si="5"/>
        <v>9424215.4020000007</v>
      </c>
      <c r="AI26" s="443" t="s">
        <v>213</v>
      </c>
      <c r="AJ26" s="439" t="s">
        <v>249</v>
      </c>
      <c r="AK26" s="350">
        <v>808.649</v>
      </c>
      <c r="AL26" s="350">
        <v>358.27</v>
      </c>
      <c r="AM26" s="350">
        <v>168.447</v>
      </c>
      <c r="AN26" s="350">
        <v>401.23099999999999</v>
      </c>
      <c r="AO26" s="350">
        <v>342.4</v>
      </c>
      <c r="AP26" s="350">
        <v>1899.1010000000001</v>
      </c>
      <c r="AQ26" s="350">
        <v>2202.48</v>
      </c>
      <c r="AR26" s="350">
        <v>1854.635</v>
      </c>
      <c r="AS26" s="350">
        <v>2054.386</v>
      </c>
      <c r="AT26" s="350">
        <v>1905.528</v>
      </c>
      <c r="AU26" s="350">
        <v>1661.691</v>
      </c>
      <c r="AV26" s="350">
        <v>1333.9570000000001</v>
      </c>
      <c r="AW26" s="344">
        <f t="shared" si="6"/>
        <v>14990.775000000001</v>
      </c>
      <c r="AX26" s="345">
        <f t="shared" si="7"/>
        <v>3978.098</v>
      </c>
      <c r="AY26" s="345">
        <f t="shared" si="8"/>
        <v>11012.677000000001</v>
      </c>
      <c r="BA26" s="323">
        <v>1123.104</v>
      </c>
      <c r="BB26" s="323">
        <v>423.875</v>
      </c>
      <c r="BC26" s="323">
        <v>669.00699999999995</v>
      </c>
      <c r="BD26" s="323">
        <v>309.916</v>
      </c>
      <c r="BE26" s="377">
        <v>675</v>
      </c>
      <c r="BF26" s="369">
        <v>1041.8150000000001</v>
      </c>
      <c r="BG26" s="369">
        <v>1462.3050000000001</v>
      </c>
      <c r="BH26" s="369">
        <v>2518.7310000000002</v>
      </c>
      <c r="BI26" s="369">
        <v>1793.67</v>
      </c>
      <c r="BJ26" s="369">
        <v>1073.021</v>
      </c>
      <c r="BK26" s="369">
        <v>1608.4670000000001</v>
      </c>
      <c r="BL26" s="369">
        <v>903.36500000000001</v>
      </c>
      <c r="BM26" s="317">
        <f t="shared" si="9"/>
        <v>13602.276000000002</v>
      </c>
      <c r="BN26" s="318">
        <f t="shared" si="10"/>
        <v>4242.7170000000006</v>
      </c>
      <c r="BO26" s="318">
        <f t="shared" si="11"/>
        <v>9359.5589999999993</v>
      </c>
      <c r="BQ26" s="323">
        <v>489.6</v>
      </c>
      <c r="BR26" s="323">
        <v>781.99</v>
      </c>
      <c r="BS26" s="323">
        <v>249.31100000000001</v>
      </c>
      <c r="BT26" s="323">
        <v>300.47800000000001</v>
      </c>
      <c r="BU26" s="377">
        <v>409.44</v>
      </c>
      <c r="BV26" s="369">
        <v>1161.97</v>
      </c>
      <c r="BW26" s="369">
        <v>2660.9430000000002</v>
      </c>
      <c r="BX26" s="369">
        <v>1989.56</v>
      </c>
      <c r="BY26" s="369">
        <v>2549.7750000000001</v>
      </c>
      <c r="BZ26" s="369">
        <v>0</v>
      </c>
      <c r="CA26" s="369">
        <v>0</v>
      </c>
      <c r="CB26" s="369">
        <v>408.72</v>
      </c>
      <c r="CC26" s="317">
        <f t="shared" si="12"/>
        <v>11001.786999999998</v>
      </c>
      <c r="CD26" s="318">
        <f t="shared" si="13"/>
        <v>3392.7889999999998</v>
      </c>
      <c r="CE26" s="318">
        <f t="shared" si="14"/>
        <v>7608.9980000000005</v>
      </c>
      <c r="CF26" s="17"/>
    </row>
    <row r="27" spans="1:84">
      <c r="A27" s="425" t="s">
        <v>214</v>
      </c>
      <c r="B27" s="413" t="s">
        <v>249</v>
      </c>
      <c r="C27" s="417">
        <v>288000</v>
      </c>
      <c r="D27" s="417">
        <v>249540</v>
      </c>
      <c r="E27" s="417">
        <v>192000</v>
      </c>
      <c r="F27" s="417">
        <v>84405</v>
      </c>
      <c r="G27" s="417">
        <v>227220</v>
      </c>
      <c r="H27" s="417">
        <v>361110</v>
      </c>
      <c r="I27" s="417">
        <v>300945</v>
      </c>
      <c r="J27" s="417">
        <v>228960</v>
      </c>
      <c r="K27" s="417">
        <v>271200</v>
      </c>
      <c r="L27" s="417">
        <v>363508</v>
      </c>
      <c r="M27" s="417">
        <v>367697</v>
      </c>
      <c r="N27" s="417">
        <v>0</v>
      </c>
      <c r="O27" s="410">
        <f t="shared" si="0"/>
        <v>2934585</v>
      </c>
      <c r="P27" s="411">
        <f t="shared" si="1"/>
        <v>1402275</v>
      </c>
      <c r="Q27" s="411">
        <f t="shared" si="2"/>
        <v>2397045</v>
      </c>
      <c r="S27" s="198">
        <v>244.8</v>
      </c>
      <c r="T27" s="198">
        <v>153.6</v>
      </c>
      <c r="U27" s="198">
        <v>76.8</v>
      </c>
      <c r="V27" s="198">
        <v>0</v>
      </c>
      <c r="W27" s="198">
        <v>38.4</v>
      </c>
      <c r="X27" s="198">
        <v>43.44</v>
      </c>
      <c r="Y27" s="198">
        <v>43.2</v>
      </c>
      <c r="Z27" s="198">
        <v>0</v>
      </c>
      <c r="AA27" s="198">
        <v>30</v>
      </c>
      <c r="AB27" s="198">
        <v>38.4</v>
      </c>
      <c r="AC27" s="198">
        <v>129.38</v>
      </c>
      <c r="AD27" s="198">
        <v>278.66000000000003</v>
      </c>
      <c r="AE27" s="31">
        <f t="shared" si="3"/>
        <v>1076.68</v>
      </c>
      <c r="AF27" s="411">
        <f t="shared" si="4"/>
        <v>557.04</v>
      </c>
      <c r="AG27" s="411">
        <f t="shared" si="5"/>
        <v>519.64</v>
      </c>
      <c r="AI27" s="443" t="s">
        <v>214</v>
      </c>
      <c r="AJ27" s="439" t="s">
        <v>249</v>
      </c>
      <c r="AK27" s="350">
        <v>160.82300000000001</v>
      </c>
      <c r="AL27" s="350">
        <v>5.19</v>
      </c>
      <c r="AM27" s="350">
        <v>0</v>
      </c>
      <c r="AN27" s="350">
        <v>0</v>
      </c>
      <c r="AO27" s="350">
        <v>3.1349999999999998</v>
      </c>
      <c r="AP27" s="350">
        <v>24.812999999999999</v>
      </c>
      <c r="AQ27" s="350">
        <v>23.43</v>
      </c>
      <c r="AR27" s="350">
        <v>0.19</v>
      </c>
      <c r="AS27" s="350">
        <v>286.8</v>
      </c>
      <c r="AT27" s="350">
        <v>103.319</v>
      </c>
      <c r="AU27" s="350">
        <v>126.3</v>
      </c>
      <c r="AV27" s="350">
        <v>271.79500000000002</v>
      </c>
      <c r="AW27" s="344">
        <f t="shared" si="6"/>
        <v>1005.7949999999998</v>
      </c>
      <c r="AX27" s="345">
        <f t="shared" si="7"/>
        <v>193.96099999999998</v>
      </c>
      <c r="AY27" s="345">
        <f t="shared" si="8"/>
        <v>811.83400000000006</v>
      </c>
      <c r="BA27" s="323">
        <v>113.61499999999999</v>
      </c>
      <c r="BB27" s="323">
        <v>0</v>
      </c>
      <c r="BC27" s="323">
        <v>0</v>
      </c>
      <c r="BD27" s="323">
        <v>53</v>
      </c>
      <c r="BE27" s="377">
        <v>57.6</v>
      </c>
      <c r="BF27" s="369">
        <v>43.44</v>
      </c>
      <c r="BG27" s="369">
        <v>2.4</v>
      </c>
      <c r="BH27" s="369">
        <v>193.2</v>
      </c>
      <c r="BI27" s="369">
        <v>0</v>
      </c>
      <c r="BJ27" s="369">
        <v>218.4</v>
      </c>
      <c r="BK27" s="369">
        <v>211.2</v>
      </c>
      <c r="BL27" s="369">
        <v>21.6</v>
      </c>
      <c r="BM27" s="317">
        <f t="shared" si="9"/>
        <v>914.45500000000004</v>
      </c>
      <c r="BN27" s="318">
        <f t="shared" si="10"/>
        <v>267.65499999999997</v>
      </c>
      <c r="BO27" s="318">
        <f t="shared" si="11"/>
        <v>646.80000000000007</v>
      </c>
      <c r="BQ27" s="323">
        <v>0</v>
      </c>
      <c r="BR27" s="323">
        <v>441.9</v>
      </c>
      <c r="BS27" s="323">
        <v>192</v>
      </c>
      <c r="BT27" s="323">
        <v>19.2</v>
      </c>
      <c r="BU27" s="377">
        <v>70.8</v>
      </c>
      <c r="BV27" s="369">
        <v>57.84</v>
      </c>
      <c r="BW27" s="369">
        <v>97.998999999999995</v>
      </c>
      <c r="BX27" s="369">
        <v>91.180999999999997</v>
      </c>
      <c r="BY27" s="369">
        <v>23.94</v>
      </c>
      <c r="BZ27" s="369">
        <v>0</v>
      </c>
      <c r="CA27" s="369">
        <v>0</v>
      </c>
      <c r="CB27" s="369">
        <v>38.313000000000002</v>
      </c>
      <c r="CC27" s="317">
        <f t="shared" si="12"/>
        <v>1033.1730000000002</v>
      </c>
      <c r="CD27" s="318">
        <f t="shared" si="13"/>
        <v>781.74</v>
      </c>
      <c r="CE27" s="318">
        <f t="shared" si="14"/>
        <v>251.43299999999999</v>
      </c>
      <c r="CF27" s="17"/>
    </row>
    <row r="28" spans="1:84">
      <c r="A28" s="425" t="s">
        <v>215</v>
      </c>
      <c r="B28" s="413" t="s">
        <v>249</v>
      </c>
      <c r="C28" s="417">
        <v>244800</v>
      </c>
      <c r="D28" s="417">
        <v>189173</v>
      </c>
      <c r="E28" s="417">
        <v>64200</v>
      </c>
      <c r="F28" s="417">
        <v>106669</v>
      </c>
      <c r="G28" s="417">
        <v>9542</v>
      </c>
      <c r="H28" s="417">
        <v>114975</v>
      </c>
      <c r="I28" s="417">
        <v>154386</v>
      </c>
      <c r="J28" s="417">
        <v>-148752</v>
      </c>
      <c r="K28" s="417">
        <v>151230</v>
      </c>
      <c r="L28" s="417">
        <v>409933</v>
      </c>
      <c r="M28" s="417">
        <v>575783</v>
      </c>
      <c r="N28" s="417">
        <v>0</v>
      </c>
      <c r="O28" s="410">
        <f t="shared" si="0"/>
        <v>1871939</v>
      </c>
      <c r="P28" s="411">
        <f t="shared" si="1"/>
        <v>729359</v>
      </c>
      <c r="Q28" s="411">
        <f t="shared" si="2"/>
        <v>1437966</v>
      </c>
      <c r="S28" s="198">
        <v>137.4</v>
      </c>
      <c r="T28" s="198">
        <v>95.7</v>
      </c>
      <c r="U28" s="198">
        <v>156.14699999999999</v>
      </c>
      <c r="V28" s="198">
        <v>57.6</v>
      </c>
      <c r="W28" s="198">
        <v>307.2</v>
      </c>
      <c r="X28" s="198">
        <v>38.4</v>
      </c>
      <c r="Y28" s="198">
        <v>40.200000000000003</v>
      </c>
      <c r="Z28" s="198">
        <v>20</v>
      </c>
      <c r="AA28" s="198">
        <v>0</v>
      </c>
      <c r="AB28" s="198">
        <v>0</v>
      </c>
      <c r="AC28" s="198">
        <v>17.399999999999999</v>
      </c>
      <c r="AD28" s="198">
        <v>23.1</v>
      </c>
      <c r="AE28" s="31">
        <f t="shared" si="3"/>
        <v>893.14700000000005</v>
      </c>
      <c r="AF28" s="411">
        <f t="shared" si="4"/>
        <v>792.447</v>
      </c>
      <c r="AG28" s="411">
        <f t="shared" si="5"/>
        <v>100.69999999999999</v>
      </c>
      <c r="AI28" s="443" t="s">
        <v>215</v>
      </c>
      <c r="AJ28" s="439" t="s">
        <v>249</v>
      </c>
      <c r="AK28" s="350">
        <v>205.88200000000001</v>
      </c>
      <c r="AL28" s="350">
        <v>100.956</v>
      </c>
      <c r="AM28" s="350">
        <v>22.564</v>
      </c>
      <c r="AN28" s="350">
        <v>10</v>
      </c>
      <c r="AO28" s="350">
        <v>54.960999999999999</v>
      </c>
      <c r="AP28" s="350">
        <v>60.924999999999997</v>
      </c>
      <c r="AQ28" s="350">
        <v>214.80600000000001</v>
      </c>
      <c r="AR28" s="350">
        <v>259.38600000000002</v>
      </c>
      <c r="AS28" s="350">
        <v>274.399</v>
      </c>
      <c r="AT28" s="350">
        <v>59.222999999999999</v>
      </c>
      <c r="AU28" s="350">
        <v>170.93299999999999</v>
      </c>
      <c r="AV28" s="350">
        <v>285.28500000000003</v>
      </c>
      <c r="AW28" s="344">
        <f t="shared" si="6"/>
        <v>1719.32</v>
      </c>
      <c r="AX28" s="345">
        <f t="shared" si="7"/>
        <v>455.28800000000007</v>
      </c>
      <c r="AY28" s="345">
        <f t="shared" si="8"/>
        <v>1264.0319999999999</v>
      </c>
      <c r="BA28" s="323">
        <v>434.09300000000002</v>
      </c>
      <c r="BB28" s="323">
        <v>122.73399999999999</v>
      </c>
      <c r="BC28" s="323">
        <v>117.9</v>
      </c>
      <c r="BD28" s="323">
        <v>69.614000000000004</v>
      </c>
      <c r="BE28" s="377">
        <v>180.24</v>
      </c>
      <c r="BF28" s="369">
        <v>95.94</v>
      </c>
      <c r="BG28" s="369">
        <v>219.71799999999999</v>
      </c>
      <c r="BH28" s="369">
        <v>173.44499999999999</v>
      </c>
      <c r="BI28" s="369">
        <v>110.765</v>
      </c>
      <c r="BJ28" s="369">
        <v>295.08100000000002</v>
      </c>
      <c r="BK28" s="369">
        <v>98.132000000000005</v>
      </c>
      <c r="BL28" s="369">
        <v>155.30000000000001</v>
      </c>
      <c r="BM28" s="317">
        <f t="shared" si="9"/>
        <v>2072.9620000000004</v>
      </c>
      <c r="BN28" s="318">
        <f t="shared" si="10"/>
        <v>1020.521</v>
      </c>
      <c r="BO28" s="318">
        <f t="shared" si="11"/>
        <v>1052.441</v>
      </c>
      <c r="BQ28" s="323">
        <v>47.7</v>
      </c>
      <c r="BR28" s="323">
        <v>189.45400000000001</v>
      </c>
      <c r="BS28" s="323">
        <v>75.16</v>
      </c>
      <c r="BT28" s="323">
        <v>98.686000000000007</v>
      </c>
      <c r="BU28" s="377">
        <v>38.4</v>
      </c>
      <c r="BV28" s="369">
        <v>168.24</v>
      </c>
      <c r="BW28" s="369">
        <v>72.462999999999994</v>
      </c>
      <c r="BX28" s="369">
        <v>108.28</v>
      </c>
      <c r="BY28" s="369">
        <v>326.65199999999999</v>
      </c>
      <c r="BZ28" s="369">
        <v>0</v>
      </c>
      <c r="CA28" s="369">
        <v>0</v>
      </c>
      <c r="CB28" s="369">
        <v>293.04700000000003</v>
      </c>
      <c r="CC28" s="317">
        <f t="shared" si="12"/>
        <v>1418.0819999999999</v>
      </c>
      <c r="CD28" s="318">
        <f t="shared" si="13"/>
        <v>617.64</v>
      </c>
      <c r="CE28" s="318">
        <f t="shared" si="14"/>
        <v>800.44200000000001</v>
      </c>
      <c r="CF28" s="17"/>
    </row>
    <row r="29" spans="1:84">
      <c r="A29" s="425" t="s">
        <v>216</v>
      </c>
      <c r="B29" s="413" t="s">
        <v>249</v>
      </c>
      <c r="C29" s="417">
        <v>8340</v>
      </c>
      <c r="D29" s="417">
        <v>0</v>
      </c>
      <c r="E29" s="417">
        <v>0</v>
      </c>
      <c r="F29" s="417">
        <v>0</v>
      </c>
      <c r="G29" s="417">
        <v>0</v>
      </c>
      <c r="H29" s="417">
        <v>0</v>
      </c>
      <c r="I29" s="417">
        <v>0</v>
      </c>
      <c r="J29" s="417">
        <v>0</v>
      </c>
      <c r="K29" s="417">
        <v>5580</v>
      </c>
      <c r="L29" s="417">
        <v>29880</v>
      </c>
      <c r="M29" s="417">
        <v>19200</v>
      </c>
      <c r="N29" s="417">
        <v>0</v>
      </c>
      <c r="O29" s="410">
        <f t="shared" si="0"/>
        <v>63000</v>
      </c>
      <c r="P29" s="411">
        <f t="shared" si="1"/>
        <v>8340</v>
      </c>
      <c r="Q29" s="411">
        <f t="shared" si="2"/>
        <v>54660</v>
      </c>
      <c r="S29" s="198">
        <v>0</v>
      </c>
      <c r="T29" s="198">
        <v>0</v>
      </c>
      <c r="U29" s="198">
        <v>0</v>
      </c>
      <c r="V29" s="198">
        <v>0</v>
      </c>
      <c r="W29" s="198">
        <v>0</v>
      </c>
      <c r="X29" s="198">
        <v>0</v>
      </c>
      <c r="Y29" s="198">
        <v>0</v>
      </c>
      <c r="Z29" s="198">
        <v>0</v>
      </c>
      <c r="AA29" s="198">
        <v>2.76</v>
      </c>
      <c r="AB29" s="198">
        <v>16.62</v>
      </c>
      <c r="AC29" s="198">
        <v>10.02</v>
      </c>
      <c r="AD29" s="198">
        <v>6.12</v>
      </c>
      <c r="AE29" s="31">
        <f t="shared" si="3"/>
        <v>35.520000000000003</v>
      </c>
      <c r="AF29" s="411">
        <f t="shared" si="4"/>
        <v>0</v>
      </c>
      <c r="AG29" s="411">
        <f t="shared" si="5"/>
        <v>35.520000000000003</v>
      </c>
      <c r="AI29" s="443" t="s">
        <v>216</v>
      </c>
      <c r="AJ29" s="439" t="s">
        <v>249</v>
      </c>
      <c r="AK29" s="350">
        <v>11.49</v>
      </c>
      <c r="AL29" s="350">
        <v>0</v>
      </c>
      <c r="AM29" s="350">
        <v>0</v>
      </c>
      <c r="AN29" s="350">
        <v>0</v>
      </c>
      <c r="AO29" s="350">
        <v>0</v>
      </c>
      <c r="AP29" s="350">
        <v>0</v>
      </c>
      <c r="AQ29" s="350">
        <v>0</v>
      </c>
      <c r="AR29" s="350">
        <v>0</v>
      </c>
      <c r="AS29" s="350">
        <v>0</v>
      </c>
      <c r="AT29" s="350">
        <v>35.49</v>
      </c>
      <c r="AU29" s="350">
        <v>0</v>
      </c>
      <c r="AV29" s="350">
        <v>9.6</v>
      </c>
      <c r="AW29" s="344">
        <f t="shared" si="6"/>
        <v>56.580000000000005</v>
      </c>
      <c r="AX29" s="345">
        <f t="shared" si="7"/>
        <v>11.49</v>
      </c>
      <c r="AY29" s="345">
        <f t="shared" si="8"/>
        <v>45.09</v>
      </c>
      <c r="BA29" s="323">
        <v>0.19500000000000001</v>
      </c>
      <c r="BB29" s="323">
        <v>0</v>
      </c>
      <c r="BC29" s="323">
        <v>0.06</v>
      </c>
      <c r="BD29" s="323">
        <v>0</v>
      </c>
      <c r="BE29" s="377">
        <v>0</v>
      </c>
      <c r="BF29" s="369">
        <v>0</v>
      </c>
      <c r="BG29" s="369">
        <v>0</v>
      </c>
      <c r="BH29" s="369">
        <v>9.7059999999999995</v>
      </c>
      <c r="BI29" s="369">
        <v>0.36</v>
      </c>
      <c r="BJ29" s="369">
        <v>19.2</v>
      </c>
      <c r="BK29" s="369">
        <v>0.6</v>
      </c>
      <c r="BL29" s="369">
        <v>0</v>
      </c>
      <c r="BM29" s="317">
        <f t="shared" si="9"/>
        <v>30.121000000000002</v>
      </c>
      <c r="BN29" s="318">
        <f t="shared" si="10"/>
        <v>0.255</v>
      </c>
      <c r="BO29" s="318">
        <f t="shared" si="11"/>
        <v>29.866</v>
      </c>
      <c r="BQ29" s="323">
        <v>0</v>
      </c>
      <c r="BR29" s="323">
        <v>0.06</v>
      </c>
      <c r="BS29" s="323">
        <v>0</v>
      </c>
      <c r="BT29" s="323">
        <v>0</v>
      </c>
      <c r="BU29" s="377">
        <v>0</v>
      </c>
      <c r="BV29" s="369">
        <v>0</v>
      </c>
      <c r="BW29" s="369">
        <v>0</v>
      </c>
      <c r="BX29" s="369">
        <v>13.2</v>
      </c>
      <c r="BY29" s="369">
        <v>16.657</v>
      </c>
      <c r="BZ29" s="369">
        <v>0</v>
      </c>
      <c r="CA29" s="369">
        <v>0</v>
      </c>
      <c r="CB29" s="369">
        <v>0</v>
      </c>
      <c r="CC29" s="317">
        <f t="shared" si="12"/>
        <v>29.917000000000002</v>
      </c>
      <c r="CD29" s="318">
        <f t="shared" si="13"/>
        <v>0.06</v>
      </c>
      <c r="CE29" s="318">
        <f t="shared" si="14"/>
        <v>29.856999999999999</v>
      </c>
      <c r="CF29" s="17"/>
    </row>
    <row r="30" spans="1:84">
      <c r="A30" s="426" t="s">
        <v>456</v>
      </c>
      <c r="B30" s="427" t="s">
        <v>249</v>
      </c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10">
        <f t="shared" si="0"/>
        <v>0</v>
      </c>
      <c r="P30" s="411">
        <f t="shared" si="1"/>
        <v>0</v>
      </c>
      <c r="Q30" s="411">
        <f t="shared" si="2"/>
        <v>0</v>
      </c>
      <c r="S30" s="444"/>
      <c r="T30" s="445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  <c r="AE30" s="31">
        <f t="shared" si="3"/>
        <v>0</v>
      </c>
      <c r="AF30" s="411">
        <f t="shared" si="4"/>
        <v>0</v>
      </c>
      <c r="AG30" s="411">
        <f t="shared" si="5"/>
        <v>0</v>
      </c>
      <c r="AI30" s="444" t="s">
        <v>456</v>
      </c>
      <c r="AJ30" s="445" t="s">
        <v>249</v>
      </c>
      <c r="AK30" s="350">
        <v>0.67600000000000005</v>
      </c>
      <c r="AL30" s="350">
        <v>0.58599999999999997</v>
      </c>
      <c r="AM30" s="350">
        <v>0</v>
      </c>
      <c r="AN30" s="350">
        <v>0</v>
      </c>
      <c r="AO30" s="350">
        <v>0</v>
      </c>
      <c r="AP30" s="350">
        <v>2.1480000000000001</v>
      </c>
      <c r="AQ30" s="350">
        <v>4.8</v>
      </c>
      <c r="AR30" s="350">
        <v>12.545</v>
      </c>
      <c r="AS30" s="350">
        <v>12.728999999999999</v>
      </c>
      <c r="AT30" s="350">
        <v>45.88</v>
      </c>
      <c r="AU30" s="350">
        <v>12.795999999999999</v>
      </c>
      <c r="AV30" s="350">
        <v>50.755000000000003</v>
      </c>
      <c r="AW30" s="344">
        <f t="shared" si="6"/>
        <v>142.91499999999999</v>
      </c>
      <c r="AX30" s="345">
        <f t="shared" si="7"/>
        <v>3.41</v>
      </c>
      <c r="AY30" s="345">
        <f t="shared" si="8"/>
        <v>139.505</v>
      </c>
      <c r="BA30" s="323">
        <v>9.5489999999999995</v>
      </c>
      <c r="BB30" s="323">
        <v>0.29899999999999999</v>
      </c>
      <c r="BC30" s="323">
        <v>1.9279999999999999</v>
      </c>
      <c r="BD30" s="323">
        <v>7.8E-2</v>
      </c>
      <c r="BE30" s="377">
        <v>1.0346000000000004</v>
      </c>
      <c r="BF30" s="369">
        <v>0</v>
      </c>
      <c r="BG30" s="369">
        <v>0</v>
      </c>
      <c r="BH30" s="369">
        <v>0</v>
      </c>
      <c r="BI30" s="369">
        <v>0</v>
      </c>
      <c r="BJ30" s="369">
        <v>27.302400000000002</v>
      </c>
      <c r="BK30" s="369">
        <v>0.55000000000000004</v>
      </c>
      <c r="BL30" s="369">
        <v>1.472</v>
      </c>
      <c r="BM30" s="317">
        <f t="shared" si="9"/>
        <v>42.213000000000001</v>
      </c>
      <c r="BN30" s="318">
        <f t="shared" si="10"/>
        <v>12.8886</v>
      </c>
      <c r="BO30" s="318">
        <f t="shared" si="11"/>
        <v>29.324400000000004</v>
      </c>
      <c r="BQ30" s="323">
        <v>0</v>
      </c>
      <c r="BR30" s="323">
        <v>0.57399999999999995</v>
      </c>
      <c r="BS30" s="323">
        <v>1</v>
      </c>
      <c r="BT30" s="323">
        <v>1.825</v>
      </c>
      <c r="BU30" s="377">
        <v>0</v>
      </c>
      <c r="BV30" s="369">
        <v>0</v>
      </c>
      <c r="BW30" s="369">
        <v>1.0609999999999999</v>
      </c>
      <c r="BX30" s="369">
        <v>0.25900000000000001</v>
      </c>
      <c r="BY30" s="369">
        <v>0.82299999999999995</v>
      </c>
      <c r="BZ30" s="369">
        <v>0</v>
      </c>
      <c r="CA30" s="369">
        <v>0</v>
      </c>
      <c r="CB30" s="369">
        <v>0.45</v>
      </c>
      <c r="CC30" s="317">
        <f t="shared" si="12"/>
        <v>5.992</v>
      </c>
      <c r="CD30" s="318">
        <f t="shared" si="13"/>
        <v>3.399</v>
      </c>
      <c r="CE30" s="318">
        <f t="shared" si="14"/>
        <v>2.593</v>
      </c>
      <c r="CF30" s="17"/>
    </row>
    <row r="31" spans="1:84">
      <c r="A31" s="412" t="s">
        <v>217</v>
      </c>
      <c r="B31" s="413" t="s">
        <v>249</v>
      </c>
      <c r="C31" s="417">
        <v>156590</v>
      </c>
      <c r="D31" s="417">
        <v>9338</v>
      </c>
      <c r="E31" s="417">
        <v>2147</v>
      </c>
      <c r="F31" s="417">
        <v>5192.5</v>
      </c>
      <c r="G31" s="417">
        <v>2078</v>
      </c>
      <c r="H31" s="417">
        <v>3334.5</v>
      </c>
      <c r="I31" s="417">
        <v>8107</v>
      </c>
      <c r="J31" s="417">
        <v>18065</v>
      </c>
      <c r="K31" s="417">
        <v>112170</v>
      </c>
      <c r="L31" s="417">
        <v>124417</v>
      </c>
      <c r="M31" s="417">
        <v>119742</v>
      </c>
      <c r="N31" s="417">
        <v>0</v>
      </c>
      <c r="O31" s="410">
        <f t="shared" si="0"/>
        <v>561181</v>
      </c>
      <c r="P31" s="411">
        <f t="shared" si="1"/>
        <v>178680</v>
      </c>
      <c r="Q31" s="411">
        <f t="shared" si="2"/>
        <v>395253</v>
      </c>
      <c r="S31" s="198">
        <v>3.6190000000000002</v>
      </c>
      <c r="T31" s="198">
        <v>0.3</v>
      </c>
      <c r="U31" s="198">
        <v>1.1000000000000001</v>
      </c>
      <c r="V31" s="198">
        <v>5.6260000000000003</v>
      </c>
      <c r="W31" s="198">
        <v>25.204000000000001</v>
      </c>
      <c r="X31" s="198">
        <v>5.8529999999999998</v>
      </c>
      <c r="Y31" s="198">
        <v>3.2574999999999998</v>
      </c>
      <c r="Z31" s="198">
        <v>7.9039999999999999</v>
      </c>
      <c r="AA31" s="198">
        <v>9.06</v>
      </c>
      <c r="AB31" s="198">
        <v>3.4834999999999998</v>
      </c>
      <c r="AC31" s="198">
        <v>0.7</v>
      </c>
      <c r="AD31" s="198">
        <v>6.843</v>
      </c>
      <c r="AE31" s="31">
        <f t="shared" si="3"/>
        <v>72.950000000000017</v>
      </c>
      <c r="AF31" s="411">
        <f t="shared" si="4"/>
        <v>41.702000000000005</v>
      </c>
      <c r="AG31" s="411">
        <f t="shared" si="5"/>
        <v>31.247999999999998</v>
      </c>
      <c r="AI31" s="443" t="s">
        <v>217</v>
      </c>
      <c r="AJ31" s="439" t="s">
        <v>249</v>
      </c>
      <c r="AK31" s="350">
        <v>13.41</v>
      </c>
      <c r="AL31" s="350">
        <v>10.464</v>
      </c>
      <c r="AM31" s="350">
        <v>0.1</v>
      </c>
      <c r="AN31" s="350">
        <v>1.0029999999999999</v>
      </c>
      <c r="AO31" s="350">
        <v>1.1679999999999999</v>
      </c>
      <c r="AP31" s="350">
        <v>22.184000000000001</v>
      </c>
      <c r="AQ31" s="350">
        <v>2.16</v>
      </c>
      <c r="AR31" s="350">
        <v>7.0839999999999996</v>
      </c>
      <c r="AS31" s="350">
        <v>1.1759999999999999</v>
      </c>
      <c r="AT31" s="350">
        <v>1.5469999999999999</v>
      </c>
      <c r="AU31" s="350">
        <v>0</v>
      </c>
      <c r="AV31" s="350">
        <v>1.841</v>
      </c>
      <c r="AW31" s="344">
        <f t="shared" si="6"/>
        <v>62.137000000000008</v>
      </c>
      <c r="AX31" s="345">
        <f t="shared" si="7"/>
        <v>48.329000000000008</v>
      </c>
      <c r="AY31" s="345">
        <f t="shared" si="8"/>
        <v>13.808</v>
      </c>
      <c r="BA31" s="323">
        <v>1.38</v>
      </c>
      <c r="BB31" s="323">
        <v>5.2910000000000004</v>
      </c>
      <c r="BC31" s="323">
        <v>1</v>
      </c>
      <c r="BD31" s="323">
        <v>0</v>
      </c>
      <c r="BE31" s="377">
        <v>0</v>
      </c>
      <c r="BF31" s="369">
        <v>2.7</v>
      </c>
      <c r="BG31" s="369">
        <v>10.8</v>
      </c>
      <c r="BH31" s="369">
        <v>9.4610000000000003</v>
      </c>
      <c r="BI31" s="369">
        <v>19.943000000000001</v>
      </c>
      <c r="BJ31" s="369">
        <v>65.866</v>
      </c>
      <c r="BK31" s="369">
        <v>31.56</v>
      </c>
      <c r="BL31" s="369">
        <v>0.24</v>
      </c>
      <c r="BM31" s="317">
        <f t="shared" si="9"/>
        <v>148.24100000000001</v>
      </c>
      <c r="BN31" s="318">
        <f t="shared" si="10"/>
        <v>10.371</v>
      </c>
      <c r="BO31" s="318">
        <f t="shared" si="11"/>
        <v>137.87</v>
      </c>
      <c r="BQ31" s="323">
        <v>0</v>
      </c>
      <c r="BR31" s="323">
        <v>0.48</v>
      </c>
      <c r="BS31" s="323">
        <v>0</v>
      </c>
      <c r="BT31" s="323">
        <v>0</v>
      </c>
      <c r="BU31" s="377">
        <v>0</v>
      </c>
      <c r="BV31" s="369">
        <v>0</v>
      </c>
      <c r="BW31" s="369">
        <v>20.771999999999998</v>
      </c>
      <c r="BX31" s="369">
        <v>0</v>
      </c>
      <c r="BY31" s="369">
        <v>26.427</v>
      </c>
      <c r="BZ31" s="369">
        <v>0</v>
      </c>
      <c r="CA31" s="369">
        <v>0</v>
      </c>
      <c r="CB31" s="369">
        <v>7.3959999999999999</v>
      </c>
      <c r="CC31" s="317">
        <f t="shared" si="12"/>
        <v>55.075000000000003</v>
      </c>
      <c r="CD31" s="318">
        <f t="shared" si="13"/>
        <v>0.48</v>
      </c>
      <c r="CE31" s="318">
        <f t="shared" si="14"/>
        <v>54.594999999999999</v>
      </c>
      <c r="CF31" s="17"/>
    </row>
    <row r="32" spans="1:84">
      <c r="A32" s="426" t="s">
        <v>457</v>
      </c>
      <c r="B32" s="429" t="s">
        <v>249</v>
      </c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428"/>
      <c r="O32" s="410">
        <f t="shared" si="0"/>
        <v>0</v>
      </c>
      <c r="P32" s="411">
        <f t="shared" si="1"/>
        <v>0</v>
      </c>
      <c r="Q32" s="411">
        <f t="shared" si="2"/>
        <v>0</v>
      </c>
      <c r="S32" s="444"/>
      <c r="T32" s="445"/>
      <c r="U32" s="350"/>
      <c r="V32" s="350"/>
      <c r="W32" s="350"/>
      <c r="X32" s="350"/>
      <c r="Y32" s="350"/>
      <c r="Z32" s="350"/>
      <c r="AA32" s="350"/>
      <c r="AB32" s="350"/>
      <c r="AC32" s="350"/>
      <c r="AD32" s="350"/>
      <c r="AE32" s="31">
        <f t="shared" si="3"/>
        <v>0</v>
      </c>
      <c r="AF32" s="411">
        <f t="shared" si="4"/>
        <v>0</v>
      </c>
      <c r="AG32" s="411">
        <f t="shared" si="5"/>
        <v>0</v>
      </c>
      <c r="AI32" s="444" t="s">
        <v>457</v>
      </c>
      <c r="AJ32" s="445" t="s">
        <v>249</v>
      </c>
      <c r="AK32" s="350">
        <v>52.7</v>
      </c>
      <c r="AL32" s="350">
        <v>24.335999999999999</v>
      </c>
      <c r="AM32" s="350">
        <v>2.58</v>
      </c>
      <c r="AN32" s="350">
        <v>0</v>
      </c>
      <c r="AO32" s="350">
        <v>10.7</v>
      </c>
      <c r="AP32" s="350">
        <v>51.941000000000003</v>
      </c>
      <c r="AQ32" s="350">
        <v>49.93</v>
      </c>
      <c r="AR32" s="350">
        <v>134.55099999999999</v>
      </c>
      <c r="AS32" s="350">
        <v>93.908000000000001</v>
      </c>
      <c r="AT32" s="350">
        <v>301.26499999999999</v>
      </c>
      <c r="AU32" s="350">
        <v>209.179</v>
      </c>
      <c r="AV32" s="350">
        <v>36.78</v>
      </c>
      <c r="AW32" s="344">
        <f t="shared" si="6"/>
        <v>967.87</v>
      </c>
      <c r="AX32" s="345">
        <f t="shared" si="7"/>
        <v>142.25700000000001</v>
      </c>
      <c r="AY32" s="345">
        <f t="shared" si="8"/>
        <v>825.61299999999994</v>
      </c>
      <c r="BA32" s="323">
        <v>143.49700000000001</v>
      </c>
      <c r="BB32" s="323">
        <v>14.750999999999999</v>
      </c>
      <c r="BC32" s="323">
        <v>47.58</v>
      </c>
      <c r="BD32" s="323">
        <v>0</v>
      </c>
      <c r="BE32" s="377">
        <v>21.6</v>
      </c>
      <c r="BF32" s="369">
        <v>14.61</v>
      </c>
      <c r="BG32" s="369">
        <v>42.96</v>
      </c>
      <c r="BH32" s="369">
        <v>119.417</v>
      </c>
      <c r="BI32" s="369">
        <v>148.101</v>
      </c>
      <c r="BJ32" s="369">
        <v>190.32300000000001</v>
      </c>
      <c r="BK32" s="369">
        <v>115.53100000000001</v>
      </c>
      <c r="BL32" s="369">
        <v>48.88</v>
      </c>
      <c r="BM32" s="317">
        <f t="shared" si="9"/>
        <v>907.24999999999989</v>
      </c>
      <c r="BN32" s="318">
        <f t="shared" si="10"/>
        <v>242.03800000000001</v>
      </c>
      <c r="BO32" s="318">
        <f t="shared" si="11"/>
        <v>665.2120000000001</v>
      </c>
      <c r="BQ32" s="323">
        <v>0.56200000000000006</v>
      </c>
      <c r="BR32" s="323">
        <v>85.567999999999998</v>
      </c>
      <c r="BS32" s="323">
        <v>48</v>
      </c>
      <c r="BT32" s="323">
        <v>152.51</v>
      </c>
      <c r="BU32" s="377">
        <v>0</v>
      </c>
      <c r="BV32" s="369">
        <v>33.86</v>
      </c>
      <c r="BW32" s="369">
        <v>42.665999999999997</v>
      </c>
      <c r="BX32" s="369">
        <v>93.225999999999999</v>
      </c>
      <c r="BY32" s="369">
        <v>227.506</v>
      </c>
      <c r="BZ32" s="369">
        <v>0</v>
      </c>
      <c r="CA32" s="369">
        <v>0</v>
      </c>
      <c r="CB32" s="369">
        <v>47.874000000000002</v>
      </c>
      <c r="CC32" s="317">
        <f t="shared" si="12"/>
        <v>731.77200000000005</v>
      </c>
      <c r="CD32" s="318">
        <f t="shared" si="13"/>
        <v>320.5</v>
      </c>
      <c r="CE32" s="318">
        <f t="shared" si="14"/>
        <v>411.27200000000005</v>
      </c>
      <c r="CF32" s="17"/>
    </row>
    <row r="33" spans="1:84">
      <c r="A33" s="412" t="s">
        <v>218</v>
      </c>
      <c r="B33" s="413" t="s">
        <v>249</v>
      </c>
      <c r="C33" s="417">
        <v>3610.6992500000001</v>
      </c>
      <c r="D33" s="417">
        <v>2793.7629999999999</v>
      </c>
      <c r="E33" s="417">
        <v>3259.9949999999999</v>
      </c>
      <c r="F33" s="417">
        <v>3094.1819999999998</v>
      </c>
      <c r="G33" s="417">
        <v>2894.4830000000002</v>
      </c>
      <c r="H33" s="417">
        <v>2808.3101000000001</v>
      </c>
      <c r="I33" s="417">
        <v>2117.5479999999998</v>
      </c>
      <c r="J33" s="417">
        <v>1609.0201999999999</v>
      </c>
      <c r="K33" s="417">
        <v>1696.614</v>
      </c>
      <c r="L33" s="417">
        <v>2516.5535</v>
      </c>
      <c r="M33" s="417">
        <v>3285.2109999999998</v>
      </c>
      <c r="N33" s="417">
        <v>3524.0342500000002</v>
      </c>
      <c r="O33" s="410">
        <f t="shared" si="0"/>
        <v>33210.4133</v>
      </c>
      <c r="P33" s="411">
        <f t="shared" si="1"/>
        <v>18461.432349999999</v>
      </c>
      <c r="Q33" s="411">
        <f t="shared" si="2"/>
        <v>26805.951050000003</v>
      </c>
      <c r="S33" s="198">
        <v>3247.4771000000001</v>
      </c>
      <c r="T33" s="198">
        <v>2991.451</v>
      </c>
      <c r="U33" s="198">
        <v>3437.11</v>
      </c>
      <c r="V33" s="198">
        <v>3350.7869999999998</v>
      </c>
      <c r="W33" s="198">
        <v>3679.2579999999998</v>
      </c>
      <c r="X33" s="198">
        <v>3259.8870000000002</v>
      </c>
      <c r="Y33" s="198">
        <v>2098.5129999999999</v>
      </c>
      <c r="Z33" s="198">
        <v>1488.336</v>
      </c>
      <c r="AA33" s="198">
        <v>2115.2746499999998</v>
      </c>
      <c r="AB33" s="198">
        <v>3339.5839999999998</v>
      </c>
      <c r="AC33" s="198">
        <v>3252.2950000000001</v>
      </c>
      <c r="AD33" s="198">
        <v>3238.3989999999999</v>
      </c>
      <c r="AE33" s="31">
        <f t="shared" si="3"/>
        <v>35498.371749999991</v>
      </c>
      <c r="AF33" s="411">
        <f t="shared" si="4"/>
        <v>19965.970099999999</v>
      </c>
      <c r="AG33" s="411">
        <f t="shared" si="5"/>
        <v>15532.40165</v>
      </c>
      <c r="AI33" s="438" t="s">
        <v>218</v>
      </c>
      <c r="AJ33" s="439" t="s">
        <v>249</v>
      </c>
      <c r="AK33" s="350">
        <v>3406.7033999999999</v>
      </c>
      <c r="AL33" s="350">
        <v>2911.9337500000001</v>
      </c>
      <c r="AM33" s="350">
        <v>3638.41725</v>
      </c>
      <c r="AN33" s="350">
        <v>3831.0682999999999</v>
      </c>
      <c r="AO33" s="350">
        <v>3640.3789999999999</v>
      </c>
      <c r="AP33" s="350">
        <v>3040.4335000000001</v>
      </c>
      <c r="AQ33" s="350">
        <v>2215.08565</v>
      </c>
      <c r="AR33" s="350">
        <v>2116.7496499999997</v>
      </c>
      <c r="AS33" s="350">
        <v>2787.6657500000001</v>
      </c>
      <c r="AT33" s="350">
        <v>3810.9384</v>
      </c>
      <c r="AU33" s="350">
        <v>3655.0661</v>
      </c>
      <c r="AV33" s="350">
        <v>3348.1316400000001</v>
      </c>
      <c r="AW33" s="344">
        <f t="shared" si="6"/>
        <v>38402.572389999994</v>
      </c>
      <c r="AX33" s="345">
        <f t="shared" si="7"/>
        <v>20468.9352</v>
      </c>
      <c r="AY33" s="345">
        <f t="shared" si="8"/>
        <v>17933.637190000001</v>
      </c>
      <c r="BA33" s="323">
        <v>3863.1898999999999</v>
      </c>
      <c r="BB33" s="323">
        <v>3298.6041</v>
      </c>
      <c r="BC33" s="323">
        <v>3808.6656000000003</v>
      </c>
      <c r="BD33" s="323">
        <v>3619.6435499999998</v>
      </c>
      <c r="BE33" s="377">
        <v>4452.1255000000001</v>
      </c>
      <c r="BF33" s="369">
        <v>3914.7923499999997</v>
      </c>
      <c r="BG33" s="369">
        <v>2183.5115000000001</v>
      </c>
      <c r="BH33" s="369">
        <v>1368.09475</v>
      </c>
      <c r="BI33" s="369">
        <v>1143.76965</v>
      </c>
      <c r="BJ33" s="369">
        <v>3301.8090464625425</v>
      </c>
      <c r="BK33" s="369">
        <v>3795.2901200000006</v>
      </c>
      <c r="BL33" s="369">
        <v>3344.0183300000003</v>
      </c>
      <c r="BM33" s="317">
        <f t="shared" si="9"/>
        <v>38093.514396462539</v>
      </c>
      <c r="BN33" s="318">
        <f t="shared" si="10"/>
        <v>22957.020999999997</v>
      </c>
      <c r="BO33" s="318">
        <f t="shared" si="11"/>
        <v>15136.493396462543</v>
      </c>
      <c r="BQ33" s="323">
        <v>4554.8064699999995</v>
      </c>
      <c r="BR33" s="323">
        <v>3665.7989600000001</v>
      </c>
      <c r="BS33" s="323">
        <v>4497.6002099999996</v>
      </c>
      <c r="BT33" s="323">
        <v>4118.023502</v>
      </c>
      <c r="BU33" s="377">
        <v>4527.3636899999992</v>
      </c>
      <c r="BV33" s="369">
        <v>3499.2887199999996</v>
      </c>
      <c r="BW33" s="369">
        <v>1964.2053999999998</v>
      </c>
      <c r="BX33" s="369">
        <v>1202.3328799999999</v>
      </c>
      <c r="BY33" s="369">
        <v>1138.4487300000001</v>
      </c>
      <c r="BZ33" s="369">
        <v>2119.1610799999999</v>
      </c>
      <c r="CA33" s="369">
        <v>3674.4775800000002</v>
      </c>
      <c r="CB33" s="369">
        <v>3306.7145399999999</v>
      </c>
      <c r="CC33" s="317">
        <f>SUM(BQ33:CB33)</f>
        <v>38268.221762000001</v>
      </c>
      <c r="CD33" s="318">
        <f t="shared" si="13"/>
        <v>24862.881551999999</v>
      </c>
      <c r="CE33" s="318">
        <f t="shared" si="14"/>
        <v>13405.340209999998</v>
      </c>
      <c r="CF33" s="17"/>
    </row>
    <row r="34" spans="1:84">
      <c r="A34" s="423" t="s">
        <v>219</v>
      </c>
      <c r="B34" s="413" t="s">
        <v>249</v>
      </c>
      <c r="C34" s="424">
        <v>0</v>
      </c>
      <c r="D34" s="424">
        <v>0</v>
      </c>
      <c r="E34" s="424">
        <v>0</v>
      </c>
      <c r="F34" s="424">
        <v>0</v>
      </c>
      <c r="G34" s="424">
        <v>0</v>
      </c>
      <c r="H34" s="424">
        <v>0</v>
      </c>
      <c r="I34" s="424">
        <v>0</v>
      </c>
      <c r="J34" s="424">
        <v>0</v>
      </c>
      <c r="K34" s="424">
        <v>0</v>
      </c>
      <c r="L34" s="424">
        <v>0</v>
      </c>
      <c r="M34" s="424">
        <v>0</v>
      </c>
      <c r="N34" s="424">
        <v>0</v>
      </c>
      <c r="O34" s="410">
        <f t="shared" si="0"/>
        <v>0</v>
      </c>
      <c r="P34" s="411">
        <f t="shared" si="1"/>
        <v>0</v>
      </c>
      <c r="Q34" s="411">
        <f t="shared" si="2"/>
        <v>0</v>
      </c>
      <c r="S34" s="198">
        <v>1.5349999999999999</v>
      </c>
      <c r="T34" s="198">
        <v>0.22800000000000001</v>
      </c>
      <c r="U34" s="198">
        <v>0.30599999999999999</v>
      </c>
      <c r="V34" s="198">
        <v>0.46400000000000002</v>
      </c>
      <c r="W34" s="198">
        <v>50.231000000000002</v>
      </c>
      <c r="X34" s="198">
        <v>1.7090000000000001</v>
      </c>
      <c r="Y34" s="198">
        <v>0.315</v>
      </c>
      <c r="Z34" s="198">
        <v>0.25</v>
      </c>
      <c r="AA34" s="198">
        <v>0.61750000000000005</v>
      </c>
      <c r="AB34" s="199"/>
      <c r="AC34" s="199"/>
      <c r="AD34" s="199"/>
      <c r="AE34" s="31">
        <f t="shared" si="3"/>
        <v>55.655500000000004</v>
      </c>
      <c r="AF34" s="411">
        <f t="shared" si="4"/>
        <v>54.473000000000006</v>
      </c>
      <c r="AG34" s="411">
        <f t="shared" si="5"/>
        <v>1.1825000000000001</v>
      </c>
      <c r="AI34" s="438" t="s">
        <v>219</v>
      </c>
      <c r="AJ34" s="439" t="s">
        <v>458</v>
      </c>
      <c r="AK34" s="350">
        <v>2000</v>
      </c>
      <c r="AL34" s="350">
        <v>2000</v>
      </c>
      <c r="AM34" s="350">
        <v>3000</v>
      </c>
      <c r="AN34" s="350">
        <v>3000</v>
      </c>
      <c r="AO34" s="350">
        <v>1000</v>
      </c>
      <c r="AP34" s="350">
        <v>7390</v>
      </c>
      <c r="AQ34" s="350"/>
      <c r="AR34" s="350"/>
      <c r="AS34" s="350"/>
      <c r="AT34" s="351"/>
      <c r="AU34" s="351"/>
      <c r="AV34" s="351"/>
      <c r="AW34" s="344">
        <f t="shared" si="6"/>
        <v>18390</v>
      </c>
      <c r="AX34" s="345">
        <f t="shared" si="7"/>
        <v>18390</v>
      </c>
      <c r="AY34" s="345">
        <f t="shared" si="8"/>
        <v>0</v>
      </c>
      <c r="BA34" s="323"/>
      <c r="BB34" s="323"/>
      <c r="BC34" s="323"/>
      <c r="BD34" s="323"/>
      <c r="BE34" s="377"/>
      <c r="BF34" s="369"/>
      <c r="BG34" s="369"/>
      <c r="BH34" s="369"/>
      <c r="BI34" s="369"/>
      <c r="BJ34" s="370"/>
      <c r="BK34" s="370"/>
      <c r="BL34" s="370"/>
      <c r="BM34" s="317">
        <f t="shared" si="9"/>
        <v>0</v>
      </c>
      <c r="BN34" s="318">
        <f t="shared" si="10"/>
        <v>0</v>
      </c>
      <c r="BO34" s="318">
        <f t="shared" si="11"/>
        <v>0</v>
      </c>
      <c r="BQ34" s="323"/>
      <c r="BR34" s="323"/>
      <c r="BS34" s="323"/>
      <c r="BT34" s="323"/>
      <c r="BU34" s="377"/>
      <c r="BV34" s="369"/>
      <c r="BW34" s="369"/>
      <c r="BX34" s="369"/>
      <c r="BY34" s="369"/>
      <c r="BZ34" s="370"/>
      <c r="CA34" s="370"/>
      <c r="CB34" s="370"/>
      <c r="CC34" s="317">
        <f t="shared" si="12"/>
        <v>0</v>
      </c>
      <c r="CD34" s="318">
        <f t="shared" si="13"/>
        <v>0</v>
      </c>
      <c r="CE34" s="318">
        <f t="shared" si="14"/>
        <v>0</v>
      </c>
      <c r="CF34" s="17"/>
    </row>
    <row r="35" spans="1:84">
      <c r="A35" s="412" t="s">
        <v>220</v>
      </c>
      <c r="B35" s="413" t="s">
        <v>249</v>
      </c>
      <c r="C35" s="430">
        <v>0</v>
      </c>
      <c r="D35" s="430">
        <v>0</v>
      </c>
      <c r="E35" s="430">
        <v>0</v>
      </c>
      <c r="F35" s="430">
        <v>0</v>
      </c>
      <c r="G35" s="430">
        <v>0</v>
      </c>
      <c r="H35" s="430">
        <v>0</v>
      </c>
      <c r="I35" s="430">
        <v>0</v>
      </c>
      <c r="J35" s="430">
        <v>0</v>
      </c>
      <c r="K35" s="430">
        <v>0</v>
      </c>
      <c r="L35" s="430">
        <v>0</v>
      </c>
      <c r="M35" s="430">
        <v>0</v>
      </c>
      <c r="N35" s="430">
        <v>0</v>
      </c>
      <c r="O35" s="410">
        <f t="shared" si="0"/>
        <v>0</v>
      </c>
      <c r="P35" s="411">
        <f t="shared" si="1"/>
        <v>0</v>
      </c>
      <c r="Q35" s="411">
        <f t="shared" si="2"/>
        <v>0</v>
      </c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31">
        <f t="shared" si="3"/>
        <v>0</v>
      </c>
      <c r="AF35" s="411">
        <f t="shared" si="4"/>
        <v>0</v>
      </c>
      <c r="AG35" s="411">
        <f t="shared" si="5"/>
        <v>0</v>
      </c>
      <c r="AI35" s="442" t="s">
        <v>220</v>
      </c>
      <c r="AJ35" s="439" t="s">
        <v>249</v>
      </c>
      <c r="AK35" s="352"/>
      <c r="AL35" s="352"/>
      <c r="AM35" s="352"/>
      <c r="AN35" s="352"/>
      <c r="AO35" s="352"/>
      <c r="AP35" s="352"/>
      <c r="AQ35" s="352"/>
      <c r="AR35" s="352"/>
      <c r="AS35" s="352"/>
      <c r="AT35" s="352"/>
      <c r="AU35" s="352"/>
      <c r="AV35" s="352"/>
      <c r="AW35" s="344">
        <f t="shared" si="6"/>
        <v>0</v>
      </c>
      <c r="AX35" s="345">
        <f t="shared" si="7"/>
        <v>0</v>
      </c>
      <c r="AY35" s="345">
        <f t="shared" si="8"/>
        <v>0</v>
      </c>
      <c r="BA35" s="325"/>
      <c r="BB35" s="325"/>
      <c r="BC35" s="325"/>
      <c r="BD35" s="325"/>
      <c r="BE35" s="378"/>
      <c r="BF35" s="371"/>
      <c r="BG35" s="371"/>
      <c r="BH35" s="371"/>
      <c r="BI35" s="371"/>
      <c r="BJ35" s="371"/>
      <c r="BK35" s="371"/>
      <c r="BL35" s="371"/>
      <c r="BM35" s="317">
        <f t="shared" si="9"/>
        <v>0</v>
      </c>
      <c r="BN35" s="318">
        <f t="shared" si="10"/>
        <v>0</v>
      </c>
      <c r="BO35" s="318">
        <f t="shared" si="11"/>
        <v>0</v>
      </c>
      <c r="BQ35" s="325"/>
      <c r="BR35" s="325"/>
      <c r="BS35" s="325"/>
      <c r="BT35" s="325"/>
      <c r="BU35" s="378"/>
      <c r="BV35" s="371"/>
      <c r="BW35" s="371"/>
      <c r="BX35" s="371"/>
      <c r="BY35" s="371"/>
      <c r="BZ35" s="371"/>
      <c r="CA35" s="371"/>
      <c r="CB35" s="371"/>
      <c r="CC35" s="317">
        <f t="shared" si="12"/>
        <v>0</v>
      </c>
      <c r="CD35" s="318">
        <f t="shared" si="13"/>
        <v>0</v>
      </c>
      <c r="CE35" s="318">
        <f t="shared" si="14"/>
        <v>0</v>
      </c>
    </row>
    <row r="36" spans="1:84">
      <c r="A36" s="423" t="s">
        <v>221</v>
      </c>
      <c r="B36" s="413" t="s">
        <v>249</v>
      </c>
      <c r="C36" s="424">
        <v>508662.2</v>
      </c>
      <c r="D36" s="424">
        <v>478166</v>
      </c>
      <c r="E36" s="424">
        <v>338368.3</v>
      </c>
      <c r="F36" s="424">
        <v>165487.70000000001</v>
      </c>
      <c r="G36" s="424">
        <v>195474.5</v>
      </c>
      <c r="H36" s="424">
        <v>496567.69999999995</v>
      </c>
      <c r="I36" s="424">
        <v>0</v>
      </c>
      <c r="J36" s="424">
        <v>0</v>
      </c>
      <c r="K36" s="424">
        <v>0</v>
      </c>
      <c r="L36" s="424">
        <v>0</v>
      </c>
      <c r="M36" s="424">
        <v>0</v>
      </c>
      <c r="N36" s="424">
        <v>0</v>
      </c>
      <c r="O36" s="410">
        <f t="shared" si="0"/>
        <v>2182726.4</v>
      </c>
      <c r="P36" s="411">
        <f t="shared" si="1"/>
        <v>2182726.4</v>
      </c>
      <c r="Q36" s="411">
        <f t="shared" si="2"/>
        <v>1195898.2</v>
      </c>
      <c r="S36" s="199">
        <v>0</v>
      </c>
      <c r="T36" s="199">
        <v>0</v>
      </c>
      <c r="U36" s="199">
        <v>0</v>
      </c>
      <c r="V36" s="199">
        <v>1038</v>
      </c>
      <c r="W36" s="199">
        <v>518</v>
      </c>
      <c r="X36" s="199">
        <v>377.5</v>
      </c>
      <c r="Y36" s="199">
        <v>553.5</v>
      </c>
      <c r="Z36" s="199">
        <v>864</v>
      </c>
      <c r="AA36" s="199">
        <v>1503.5</v>
      </c>
      <c r="AB36" s="199">
        <v>0</v>
      </c>
      <c r="AC36" s="199">
        <v>0</v>
      </c>
      <c r="AD36" s="199">
        <v>0</v>
      </c>
      <c r="AE36" s="31">
        <f t="shared" si="3"/>
        <v>4854.5</v>
      </c>
      <c r="AF36" s="411">
        <f t="shared" si="4"/>
        <v>1933.5</v>
      </c>
      <c r="AG36" s="411">
        <f t="shared" si="5"/>
        <v>2921</v>
      </c>
      <c r="AI36" s="438" t="s">
        <v>221</v>
      </c>
      <c r="AJ36" s="439" t="s">
        <v>249</v>
      </c>
      <c r="AK36" s="351">
        <v>0</v>
      </c>
      <c r="AL36" s="351">
        <v>0</v>
      </c>
      <c r="AM36" s="351">
        <v>0</v>
      </c>
      <c r="AN36" s="351">
        <v>931782.7</v>
      </c>
      <c r="AO36" s="351">
        <v>1153062</v>
      </c>
      <c r="AP36" s="351">
        <v>998287.7</v>
      </c>
      <c r="AQ36" s="351">
        <v>675358.4</v>
      </c>
      <c r="AR36" s="351">
        <v>663640.9</v>
      </c>
      <c r="AS36" s="351">
        <v>0</v>
      </c>
      <c r="AT36" s="351">
        <v>0</v>
      </c>
      <c r="AU36" s="351">
        <v>0</v>
      </c>
      <c r="AV36" s="351">
        <v>0</v>
      </c>
      <c r="AW36" s="344">
        <f t="shared" si="6"/>
        <v>4422131.7</v>
      </c>
      <c r="AX36" s="345">
        <f t="shared" si="7"/>
        <v>3083132.4</v>
      </c>
      <c r="AY36" s="345">
        <f t="shared" si="8"/>
        <v>1338999.3</v>
      </c>
      <c r="BA36" s="324">
        <v>0</v>
      </c>
      <c r="BB36" s="324">
        <v>0</v>
      </c>
      <c r="BC36" s="324">
        <v>0</v>
      </c>
      <c r="BD36" s="324">
        <v>0</v>
      </c>
      <c r="BE36" s="379">
        <v>0</v>
      </c>
      <c r="BF36" s="370">
        <v>0</v>
      </c>
      <c r="BG36" s="370">
        <v>0</v>
      </c>
      <c r="BH36" s="370">
        <v>0</v>
      </c>
      <c r="BI36" s="370">
        <v>0</v>
      </c>
      <c r="BJ36" s="370">
        <v>0</v>
      </c>
      <c r="BK36" s="370">
        <v>0</v>
      </c>
      <c r="BL36" s="370">
        <v>0</v>
      </c>
      <c r="BM36" s="317">
        <f t="shared" si="9"/>
        <v>0</v>
      </c>
      <c r="BN36" s="318">
        <f t="shared" si="10"/>
        <v>0</v>
      </c>
      <c r="BO36" s="318">
        <f t="shared" si="11"/>
        <v>0</v>
      </c>
      <c r="BQ36" s="324"/>
      <c r="BR36" s="324"/>
      <c r="BS36" s="324"/>
      <c r="BT36" s="324"/>
      <c r="BU36" s="379"/>
      <c r="BV36" s="370"/>
      <c r="BW36" s="370"/>
      <c r="BX36" s="370"/>
      <c r="BY36" s="370"/>
      <c r="BZ36" s="370"/>
      <c r="CA36" s="370"/>
      <c r="CB36" s="370"/>
      <c r="CC36" s="317">
        <f t="shared" si="12"/>
        <v>0</v>
      </c>
      <c r="CD36" s="318">
        <f t="shared" si="13"/>
        <v>0</v>
      </c>
      <c r="CE36" s="318">
        <f t="shared" si="14"/>
        <v>0</v>
      </c>
    </row>
    <row r="37" spans="1:84">
      <c r="A37" s="423" t="s">
        <v>222</v>
      </c>
      <c r="B37" s="413" t="s">
        <v>249</v>
      </c>
      <c r="C37" s="417">
        <v>229419</v>
      </c>
      <c r="D37" s="417">
        <v>206582.2</v>
      </c>
      <c r="E37" s="417">
        <v>129992</v>
      </c>
      <c r="F37" s="417">
        <v>124303.5</v>
      </c>
      <c r="G37" s="417">
        <v>58218</v>
      </c>
      <c r="H37" s="417">
        <v>250627.1</v>
      </c>
      <c r="I37" s="417"/>
      <c r="J37" s="417"/>
      <c r="K37" s="417"/>
      <c r="L37" s="417"/>
      <c r="M37" s="417"/>
      <c r="N37" s="417"/>
      <c r="O37" s="410">
        <f t="shared" si="0"/>
        <v>999141.79999999993</v>
      </c>
      <c r="P37" s="411">
        <f t="shared" si="1"/>
        <v>999141.79999999993</v>
      </c>
      <c r="Q37" s="411">
        <f t="shared" si="2"/>
        <v>563140.6</v>
      </c>
      <c r="S37" s="198">
        <v>0</v>
      </c>
      <c r="T37" s="198">
        <v>0</v>
      </c>
      <c r="U37" s="198">
        <v>0</v>
      </c>
      <c r="V37" s="198">
        <v>1038</v>
      </c>
      <c r="W37" s="198">
        <v>518</v>
      </c>
      <c r="X37" s="198">
        <v>377.5</v>
      </c>
      <c r="Y37" s="198">
        <v>335.5</v>
      </c>
      <c r="Z37" s="198">
        <v>354</v>
      </c>
      <c r="AA37" s="198">
        <v>837</v>
      </c>
      <c r="AB37" s="198"/>
      <c r="AC37" s="198"/>
      <c r="AD37" s="198"/>
      <c r="AE37" s="31">
        <f t="shared" si="3"/>
        <v>3460</v>
      </c>
      <c r="AF37" s="411">
        <f t="shared" si="4"/>
        <v>1933.5</v>
      </c>
      <c r="AG37" s="411">
        <f t="shared" si="5"/>
        <v>1526.5</v>
      </c>
      <c r="AI37" s="442" t="s">
        <v>222</v>
      </c>
      <c r="AJ37" s="439" t="s">
        <v>249</v>
      </c>
      <c r="AK37" s="350"/>
      <c r="AL37" s="350"/>
      <c r="AM37" s="350"/>
      <c r="AN37" s="350">
        <v>619117</v>
      </c>
      <c r="AO37" s="350">
        <v>697118</v>
      </c>
      <c r="AP37" s="350">
        <v>527739</v>
      </c>
      <c r="AQ37" s="350">
        <v>237928.5</v>
      </c>
      <c r="AR37" s="350">
        <v>236459.3</v>
      </c>
      <c r="AS37" s="350"/>
      <c r="AT37" s="350"/>
      <c r="AU37" s="350"/>
      <c r="AV37" s="350"/>
      <c r="AW37" s="344">
        <f t="shared" si="6"/>
        <v>2318361.7999999998</v>
      </c>
      <c r="AX37" s="345">
        <f t="shared" si="7"/>
        <v>1843974</v>
      </c>
      <c r="AY37" s="345">
        <f t="shared" si="8"/>
        <v>474387.8</v>
      </c>
      <c r="BA37" s="323"/>
      <c r="BB37" s="323"/>
      <c r="BC37" s="323"/>
      <c r="BD37" s="323"/>
      <c r="BE37" s="377"/>
      <c r="BF37" s="369"/>
      <c r="BG37" s="369"/>
      <c r="BH37" s="369"/>
      <c r="BI37" s="369"/>
      <c r="BJ37" s="369"/>
      <c r="BK37" s="369"/>
      <c r="BL37" s="369"/>
      <c r="BM37" s="317">
        <f t="shared" si="9"/>
        <v>0</v>
      </c>
      <c r="BN37" s="318">
        <f t="shared" si="10"/>
        <v>0</v>
      </c>
      <c r="BO37" s="318">
        <f t="shared" si="11"/>
        <v>0</v>
      </c>
      <c r="BQ37" s="323"/>
      <c r="BR37" s="323"/>
      <c r="BS37" s="323"/>
      <c r="BT37" s="323"/>
      <c r="BU37" s="377"/>
      <c r="BV37" s="369"/>
      <c r="BW37" s="369"/>
      <c r="BX37" s="369"/>
      <c r="BY37" s="369"/>
      <c r="BZ37" s="369"/>
      <c r="CA37" s="369"/>
      <c r="CB37" s="369"/>
      <c r="CC37" s="317">
        <f t="shared" si="12"/>
        <v>0</v>
      </c>
      <c r="CD37" s="318">
        <f t="shared" si="13"/>
        <v>0</v>
      </c>
      <c r="CE37" s="318">
        <f t="shared" si="14"/>
        <v>0</v>
      </c>
    </row>
    <row r="38" spans="1:84">
      <c r="A38" s="423" t="s">
        <v>223</v>
      </c>
      <c r="B38" s="413" t="s">
        <v>249</v>
      </c>
      <c r="C38" s="417">
        <v>145527.5</v>
      </c>
      <c r="D38" s="417">
        <v>114056.4</v>
      </c>
      <c r="E38" s="417">
        <v>82829.3</v>
      </c>
      <c r="F38" s="417">
        <v>3640</v>
      </c>
      <c r="G38" s="417">
        <v>20147</v>
      </c>
      <c r="H38" s="417">
        <v>75309</v>
      </c>
      <c r="I38" s="417"/>
      <c r="J38" s="417"/>
      <c r="K38" s="417"/>
      <c r="L38" s="417"/>
      <c r="M38" s="417"/>
      <c r="N38" s="417"/>
      <c r="O38" s="410">
        <f t="shared" si="0"/>
        <v>441509.2</v>
      </c>
      <c r="P38" s="411">
        <f t="shared" si="1"/>
        <v>441509.2</v>
      </c>
      <c r="Q38" s="411">
        <f t="shared" si="2"/>
        <v>181925.3</v>
      </c>
      <c r="S38" s="198">
        <v>0</v>
      </c>
      <c r="T38" s="198">
        <v>0</v>
      </c>
      <c r="U38" s="198">
        <v>0</v>
      </c>
      <c r="V38" s="198">
        <v>0</v>
      </c>
      <c r="W38" s="198">
        <v>0</v>
      </c>
      <c r="X38" s="198">
        <v>0</v>
      </c>
      <c r="Y38" s="198">
        <v>218</v>
      </c>
      <c r="Z38" s="198">
        <v>510</v>
      </c>
      <c r="AA38" s="198">
        <v>666.5</v>
      </c>
      <c r="AB38" s="198"/>
      <c r="AC38" s="198"/>
      <c r="AD38" s="198"/>
      <c r="AE38" s="31">
        <f t="shared" si="3"/>
        <v>1394.5</v>
      </c>
      <c r="AF38" s="411">
        <f t="shared" si="4"/>
        <v>0</v>
      </c>
      <c r="AG38" s="411">
        <f>SUM(Y38:AD38)</f>
        <v>1394.5</v>
      </c>
      <c r="AI38" s="442" t="s">
        <v>223</v>
      </c>
      <c r="AJ38" s="439" t="s">
        <v>249</v>
      </c>
      <c r="AK38" s="350"/>
      <c r="AL38" s="350"/>
      <c r="AM38" s="350"/>
      <c r="AN38" s="350">
        <v>129202</v>
      </c>
      <c r="AO38" s="350">
        <v>231370.3</v>
      </c>
      <c r="AP38" s="350">
        <v>239402.5</v>
      </c>
      <c r="AQ38" s="350">
        <v>193883.4</v>
      </c>
      <c r="AR38" s="350">
        <v>143499.20000000001</v>
      </c>
      <c r="AS38" s="350"/>
      <c r="AT38" s="350"/>
      <c r="AU38" s="350"/>
      <c r="AV38" s="350"/>
      <c r="AW38" s="344">
        <f t="shared" si="6"/>
        <v>937357.40000000014</v>
      </c>
      <c r="AX38" s="345">
        <f t="shared" si="7"/>
        <v>599974.80000000005</v>
      </c>
      <c r="AY38" s="345">
        <f t="shared" si="8"/>
        <v>337382.6</v>
      </c>
      <c r="BA38" s="323"/>
      <c r="BB38" s="323"/>
      <c r="BC38" s="323"/>
      <c r="BD38" s="323"/>
      <c r="BE38" s="377"/>
      <c r="BF38" s="369"/>
      <c r="BG38" s="369"/>
      <c r="BH38" s="369"/>
      <c r="BI38" s="369"/>
      <c r="BJ38" s="369"/>
      <c r="BK38" s="369"/>
      <c r="BL38" s="369"/>
      <c r="BM38" s="317">
        <f t="shared" si="9"/>
        <v>0</v>
      </c>
      <c r="BN38" s="318">
        <f t="shared" si="10"/>
        <v>0</v>
      </c>
      <c r="BO38" s="318">
        <f t="shared" si="11"/>
        <v>0</v>
      </c>
      <c r="BQ38" s="323"/>
      <c r="BR38" s="323"/>
      <c r="BS38" s="323"/>
      <c r="BT38" s="323"/>
      <c r="BU38" s="377"/>
      <c r="BV38" s="369"/>
      <c r="BW38" s="369"/>
      <c r="BX38" s="369"/>
      <c r="BY38" s="369"/>
      <c r="BZ38" s="369"/>
      <c r="CA38" s="369"/>
      <c r="CB38" s="369"/>
      <c r="CC38" s="317">
        <f t="shared" si="12"/>
        <v>0</v>
      </c>
      <c r="CD38" s="318">
        <f t="shared" si="13"/>
        <v>0</v>
      </c>
      <c r="CE38" s="318">
        <f t="shared" si="14"/>
        <v>0</v>
      </c>
    </row>
    <row r="39" spans="1:84">
      <c r="A39" s="412" t="s">
        <v>224</v>
      </c>
      <c r="B39" s="413" t="s">
        <v>249</v>
      </c>
      <c r="C39" s="417">
        <v>133715.70000000001</v>
      </c>
      <c r="D39" s="417">
        <v>157527.4</v>
      </c>
      <c r="E39" s="417">
        <v>125547</v>
      </c>
      <c r="F39" s="417">
        <v>37544.199999999997</v>
      </c>
      <c r="G39" s="417">
        <v>117109.5</v>
      </c>
      <c r="H39" s="417">
        <v>170631.6</v>
      </c>
      <c r="I39" s="417"/>
      <c r="J39" s="417"/>
      <c r="K39" s="417"/>
      <c r="L39" s="417"/>
      <c r="M39" s="417"/>
      <c r="N39" s="417"/>
      <c r="O39" s="410">
        <f t="shared" si="0"/>
        <v>742075.4</v>
      </c>
      <c r="P39" s="411">
        <f t="shared" si="1"/>
        <v>742075.4</v>
      </c>
      <c r="Q39" s="411">
        <f t="shared" si="2"/>
        <v>450832.30000000005</v>
      </c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31">
        <f t="shared" si="3"/>
        <v>0</v>
      </c>
      <c r="AF39" s="411">
        <f t="shared" si="4"/>
        <v>0</v>
      </c>
      <c r="AG39" s="411">
        <f t="shared" si="5"/>
        <v>0</v>
      </c>
      <c r="AI39" s="442" t="s">
        <v>224</v>
      </c>
      <c r="AJ39" s="439" t="s">
        <v>249</v>
      </c>
      <c r="AK39" s="350"/>
      <c r="AL39" s="350"/>
      <c r="AM39" s="350"/>
      <c r="AN39" s="350">
        <v>183463.7</v>
      </c>
      <c r="AO39" s="350">
        <v>224573.7</v>
      </c>
      <c r="AP39" s="350">
        <v>231146.2</v>
      </c>
      <c r="AQ39" s="350">
        <v>243546.5</v>
      </c>
      <c r="AR39" s="350">
        <v>283682.40000000002</v>
      </c>
      <c r="AS39" s="350"/>
      <c r="AT39" s="350"/>
      <c r="AU39" s="350"/>
      <c r="AV39" s="350"/>
      <c r="AW39" s="344">
        <f t="shared" si="6"/>
        <v>1166412.5</v>
      </c>
      <c r="AX39" s="345">
        <f t="shared" si="7"/>
        <v>639183.60000000009</v>
      </c>
      <c r="AY39" s="345">
        <f t="shared" si="8"/>
        <v>527228.9</v>
      </c>
      <c r="BA39" s="323"/>
      <c r="BB39" s="323"/>
      <c r="BC39" s="323"/>
      <c r="BD39" s="323"/>
      <c r="BE39" s="377"/>
      <c r="BF39" s="369"/>
      <c r="BG39" s="369"/>
      <c r="BH39" s="369"/>
      <c r="BI39" s="369"/>
      <c r="BJ39" s="369"/>
      <c r="BK39" s="369"/>
      <c r="BL39" s="369"/>
      <c r="BM39" s="317">
        <f t="shared" si="9"/>
        <v>0</v>
      </c>
      <c r="BN39" s="318">
        <f t="shared" si="10"/>
        <v>0</v>
      </c>
      <c r="BO39" s="318">
        <f t="shared" si="11"/>
        <v>0</v>
      </c>
      <c r="BQ39" s="323"/>
      <c r="BR39" s="323"/>
      <c r="BS39" s="323"/>
      <c r="BT39" s="323"/>
      <c r="BU39" s="377"/>
      <c r="BV39" s="369"/>
      <c r="BW39" s="369"/>
      <c r="BX39" s="369"/>
      <c r="BY39" s="369"/>
      <c r="BZ39" s="369"/>
      <c r="CA39" s="369"/>
      <c r="CB39" s="369"/>
      <c r="CC39" s="317">
        <f t="shared" si="12"/>
        <v>0</v>
      </c>
      <c r="CD39" s="318">
        <f t="shared" si="13"/>
        <v>0</v>
      </c>
      <c r="CE39" s="318">
        <f t="shared" si="14"/>
        <v>0</v>
      </c>
    </row>
    <row r="40" spans="1:84">
      <c r="A40" s="412" t="s">
        <v>225</v>
      </c>
      <c r="B40" s="413" t="s">
        <v>249</v>
      </c>
      <c r="C40" s="417"/>
      <c r="D40" s="417"/>
      <c r="E40" s="417"/>
      <c r="F40" s="417"/>
      <c r="G40" s="417"/>
      <c r="H40" s="417"/>
      <c r="I40" s="417"/>
      <c r="J40" s="417"/>
      <c r="K40" s="417"/>
      <c r="L40" s="417"/>
      <c r="M40" s="417"/>
      <c r="N40" s="417"/>
      <c r="O40" s="410">
        <f t="shared" si="0"/>
        <v>0</v>
      </c>
      <c r="P40" s="411">
        <f t="shared" si="1"/>
        <v>0</v>
      </c>
      <c r="Q40" s="411">
        <f t="shared" si="2"/>
        <v>0</v>
      </c>
      <c r="S40" s="198">
        <v>45522.6</v>
      </c>
      <c r="T40" s="198">
        <v>57859.999999999985</v>
      </c>
      <c r="U40" s="198">
        <v>52949.599999999999</v>
      </c>
      <c r="V40" s="198">
        <v>64146.000000000007</v>
      </c>
      <c r="W40" s="198">
        <v>69750.599999999991</v>
      </c>
      <c r="X40" s="198">
        <v>78665.2</v>
      </c>
      <c r="Y40" s="198">
        <v>48761.485613999997</v>
      </c>
      <c r="Z40" s="198">
        <v>60537.558393999992</v>
      </c>
      <c r="AA40" s="198">
        <v>87709.382551000017</v>
      </c>
      <c r="AB40" s="198">
        <v>91898.4</v>
      </c>
      <c r="AC40" s="198">
        <v>59608.4</v>
      </c>
      <c r="AD40" s="198">
        <v>73645.399999999994</v>
      </c>
      <c r="AE40" s="31">
        <f t="shared" si="3"/>
        <v>791054.62655900011</v>
      </c>
      <c r="AF40" s="411">
        <f t="shared" si="4"/>
        <v>368894</v>
      </c>
      <c r="AG40" s="411">
        <f t="shared" si="5"/>
        <v>422160.626559</v>
      </c>
      <c r="AI40" s="438" t="s">
        <v>225</v>
      </c>
      <c r="AJ40" s="439" t="s">
        <v>249</v>
      </c>
      <c r="AK40" s="350">
        <v>89441.028999999995</v>
      </c>
      <c r="AL40" s="350">
        <v>64701.917999999998</v>
      </c>
      <c r="AM40" s="350">
        <v>84159.415999999997</v>
      </c>
      <c r="AN40" s="350"/>
      <c r="AO40" s="350"/>
      <c r="AP40" s="350"/>
      <c r="AQ40" s="350"/>
      <c r="AR40" s="350"/>
      <c r="AS40" s="350"/>
      <c r="AT40" s="350"/>
      <c r="AU40" s="350"/>
      <c r="AV40" s="350"/>
      <c r="AW40" s="344">
        <f t="shared" si="6"/>
        <v>238302.36299999998</v>
      </c>
      <c r="AX40" s="345">
        <f t="shared" si="7"/>
        <v>238302.36299999998</v>
      </c>
      <c r="AY40" s="345">
        <f t="shared" si="8"/>
        <v>0</v>
      </c>
      <c r="BA40" s="323"/>
      <c r="BB40" s="323"/>
      <c r="BC40" s="323"/>
      <c r="BD40" s="323"/>
      <c r="BE40" s="377"/>
      <c r="BF40" s="369"/>
      <c r="BG40" s="369"/>
      <c r="BH40" s="369"/>
      <c r="BI40" s="369"/>
      <c r="BJ40" s="369"/>
      <c r="BK40" s="369"/>
      <c r="BL40" s="369"/>
      <c r="BM40" s="317">
        <f t="shared" si="9"/>
        <v>0</v>
      </c>
      <c r="BN40" s="318">
        <f t="shared" si="10"/>
        <v>0</v>
      </c>
      <c r="BO40" s="318">
        <f t="shared" si="11"/>
        <v>0</v>
      </c>
      <c r="BQ40" s="323"/>
      <c r="BR40" s="323"/>
      <c r="BS40" s="323"/>
      <c r="BT40" s="323"/>
      <c r="BU40" s="377"/>
      <c r="BV40" s="369"/>
      <c r="BW40" s="369"/>
      <c r="BX40" s="369"/>
      <c r="BY40" s="369"/>
      <c r="BZ40" s="369"/>
      <c r="CA40" s="369"/>
      <c r="CB40" s="369"/>
      <c r="CC40" s="317">
        <f t="shared" si="12"/>
        <v>0</v>
      </c>
      <c r="CD40" s="318">
        <f t="shared" si="13"/>
        <v>0</v>
      </c>
      <c r="CE40" s="318">
        <f t="shared" si="14"/>
        <v>0</v>
      </c>
    </row>
    <row r="41" spans="1:84">
      <c r="A41" s="412" t="s">
        <v>226</v>
      </c>
      <c r="B41" s="413" t="s">
        <v>253</v>
      </c>
      <c r="C41" s="417">
        <v>975878</v>
      </c>
      <c r="D41" s="417">
        <v>1059283</v>
      </c>
      <c r="E41" s="417">
        <v>1125701</v>
      </c>
      <c r="F41" s="417">
        <v>2146140</v>
      </c>
      <c r="G41" s="417">
        <v>1685754</v>
      </c>
      <c r="H41" s="417">
        <v>1613757</v>
      </c>
      <c r="I41" s="417">
        <v>4560.25</v>
      </c>
      <c r="J41" s="417">
        <v>4491</v>
      </c>
      <c r="K41" s="417">
        <v>1881.25</v>
      </c>
      <c r="L41" s="417">
        <v>0</v>
      </c>
      <c r="M41" s="417">
        <v>0</v>
      </c>
      <c r="N41" s="417">
        <v>0</v>
      </c>
      <c r="O41" s="410">
        <f t="shared" si="0"/>
        <v>8617445.5</v>
      </c>
      <c r="P41" s="411">
        <f t="shared" si="1"/>
        <v>8606513</v>
      </c>
      <c r="Q41" s="411">
        <f t="shared" si="2"/>
        <v>6582284.5</v>
      </c>
      <c r="S41" s="198">
        <v>0</v>
      </c>
      <c r="T41" s="198">
        <v>0</v>
      </c>
      <c r="U41" s="198">
        <v>0</v>
      </c>
      <c r="V41" s="198">
        <v>93842</v>
      </c>
      <c r="W41" s="198">
        <v>95079</v>
      </c>
      <c r="X41" s="198">
        <v>100330</v>
      </c>
      <c r="Y41" s="198">
        <v>94905</v>
      </c>
      <c r="Z41" s="198">
        <v>32608</v>
      </c>
      <c r="AA41" s="198">
        <v>27040</v>
      </c>
      <c r="AB41" s="198">
        <v>46192</v>
      </c>
      <c r="AC41" s="198">
        <v>46606</v>
      </c>
      <c r="AD41" s="198">
        <v>37376</v>
      </c>
      <c r="AE41" s="31">
        <f t="shared" si="3"/>
        <v>573978</v>
      </c>
      <c r="AF41" s="411">
        <f t="shared" si="4"/>
        <v>289251</v>
      </c>
      <c r="AG41" s="411">
        <f t="shared" si="5"/>
        <v>284727</v>
      </c>
      <c r="AI41" s="438" t="s">
        <v>226</v>
      </c>
      <c r="AJ41" s="439" t="s">
        <v>253</v>
      </c>
      <c r="AK41" s="350">
        <v>1189876.5</v>
      </c>
      <c r="AL41" s="350">
        <v>1228815</v>
      </c>
      <c r="AM41" s="350">
        <v>1634109</v>
      </c>
      <c r="AN41" s="350">
        <v>1295686</v>
      </c>
      <c r="AO41" s="350">
        <v>1268467</v>
      </c>
      <c r="AP41" s="350">
        <v>1238715.8330000001</v>
      </c>
      <c r="AQ41" s="350"/>
      <c r="AR41" s="350"/>
      <c r="AS41" s="350"/>
      <c r="AT41" s="350"/>
      <c r="AU41" s="350"/>
      <c r="AV41" s="350"/>
      <c r="AW41" s="344">
        <f t="shared" si="6"/>
        <v>7855669.3330000006</v>
      </c>
      <c r="AX41" s="345">
        <f t="shared" si="7"/>
        <v>7855669.3330000006</v>
      </c>
      <c r="AY41" s="345">
        <f t="shared" si="8"/>
        <v>0</v>
      </c>
      <c r="BA41" s="323"/>
      <c r="BB41" s="323"/>
      <c r="BC41" s="323"/>
      <c r="BD41" s="323"/>
      <c r="BE41" s="377"/>
      <c r="BF41" s="369"/>
      <c r="BG41" s="369"/>
      <c r="BH41" s="369"/>
      <c r="BI41" s="369"/>
      <c r="BJ41" s="369"/>
      <c r="BK41" s="369"/>
      <c r="BL41" s="369"/>
      <c r="BM41" s="317">
        <f t="shared" si="9"/>
        <v>0</v>
      </c>
      <c r="BN41" s="318">
        <f t="shared" si="10"/>
        <v>0</v>
      </c>
      <c r="BO41" s="318">
        <f t="shared" si="11"/>
        <v>0</v>
      </c>
      <c r="BQ41" s="323"/>
      <c r="BR41" s="323"/>
      <c r="BS41" s="323"/>
      <c r="BT41" s="323"/>
      <c r="BU41" s="377"/>
      <c r="BV41" s="369"/>
      <c r="BW41" s="369"/>
      <c r="BX41" s="369"/>
      <c r="BY41" s="369"/>
      <c r="BZ41" s="369"/>
      <c r="CA41" s="369"/>
      <c r="CB41" s="369"/>
      <c r="CC41" s="317">
        <f t="shared" si="12"/>
        <v>0</v>
      </c>
      <c r="CD41" s="318">
        <f t="shared" si="13"/>
        <v>0</v>
      </c>
      <c r="CE41" s="318">
        <f t="shared" si="14"/>
        <v>0</v>
      </c>
    </row>
    <row r="42" spans="1:84">
      <c r="A42" s="412" t="s">
        <v>227</v>
      </c>
      <c r="B42" s="413" t="s">
        <v>253</v>
      </c>
      <c r="C42" s="417">
        <v>703507.6</v>
      </c>
      <c r="D42" s="417">
        <v>500821.80000000005</v>
      </c>
      <c r="E42" s="417">
        <v>581118</v>
      </c>
      <c r="F42" s="417">
        <v>439094.80000000005</v>
      </c>
      <c r="G42" s="417">
        <v>368192.6</v>
      </c>
      <c r="H42" s="417">
        <v>374806.8</v>
      </c>
      <c r="I42" s="417">
        <v>105225</v>
      </c>
      <c r="J42" s="417">
        <v>152043</v>
      </c>
      <c r="K42" s="417">
        <v>124091</v>
      </c>
      <c r="L42" s="417">
        <v>30295</v>
      </c>
      <c r="M42" s="417">
        <v>47186</v>
      </c>
      <c r="N42" s="417">
        <v>63213</v>
      </c>
      <c r="O42" s="410">
        <f t="shared" si="0"/>
        <v>3489594.6</v>
      </c>
      <c r="P42" s="411">
        <f t="shared" si="1"/>
        <v>2967541.6</v>
      </c>
      <c r="Q42" s="411">
        <f t="shared" si="2"/>
        <v>2285265.2000000002</v>
      </c>
      <c r="S42" s="198">
        <v>70906</v>
      </c>
      <c r="T42" s="198">
        <v>76618</v>
      </c>
      <c r="U42" s="198">
        <v>60563</v>
      </c>
      <c r="V42" s="198">
        <v>59995</v>
      </c>
      <c r="W42" s="198">
        <v>56147</v>
      </c>
      <c r="X42" s="198">
        <v>52699</v>
      </c>
      <c r="Y42" s="198"/>
      <c r="Z42" s="198"/>
      <c r="AA42" s="198"/>
      <c r="AB42" s="198"/>
      <c r="AC42" s="198"/>
      <c r="AD42" s="198"/>
      <c r="AE42" s="31">
        <f t="shared" si="3"/>
        <v>376928</v>
      </c>
      <c r="AF42" s="411">
        <f t="shared" si="4"/>
        <v>376928</v>
      </c>
      <c r="AG42" s="411">
        <f t="shared" si="5"/>
        <v>0</v>
      </c>
      <c r="AI42" s="438" t="s">
        <v>227</v>
      </c>
      <c r="AJ42" s="439" t="s">
        <v>253</v>
      </c>
      <c r="AK42" s="350">
        <v>395808.8</v>
      </c>
      <c r="AL42" s="350">
        <v>176911.8</v>
      </c>
      <c r="AM42" s="350">
        <v>266075</v>
      </c>
      <c r="AN42" s="350">
        <v>372755.4</v>
      </c>
      <c r="AO42" s="350">
        <v>1164940</v>
      </c>
      <c r="AP42" s="350">
        <v>1442250.4</v>
      </c>
      <c r="AQ42" s="350"/>
      <c r="AR42" s="350"/>
      <c r="AS42" s="350"/>
      <c r="AT42" s="350"/>
      <c r="AU42" s="350"/>
      <c r="AV42" s="350"/>
      <c r="AW42" s="344">
        <f t="shared" si="6"/>
        <v>3818741.4</v>
      </c>
      <c r="AX42" s="345">
        <f t="shared" si="7"/>
        <v>3818741.4</v>
      </c>
      <c r="AY42" s="345">
        <f t="shared" si="8"/>
        <v>0</v>
      </c>
      <c r="BA42" s="323"/>
      <c r="BB42" s="323"/>
      <c r="BC42" s="323"/>
      <c r="BD42" s="323"/>
      <c r="BE42" s="377"/>
      <c r="BF42" s="369"/>
      <c r="BG42" s="369"/>
      <c r="BH42" s="369"/>
      <c r="BI42" s="369"/>
      <c r="BJ42" s="369"/>
      <c r="BK42" s="369"/>
      <c r="BL42" s="369"/>
      <c r="BM42" s="317">
        <f t="shared" si="9"/>
        <v>0</v>
      </c>
      <c r="BN42" s="318">
        <f t="shared" si="10"/>
        <v>0</v>
      </c>
      <c r="BO42" s="318">
        <f t="shared" si="11"/>
        <v>0</v>
      </c>
      <c r="BQ42" s="323"/>
      <c r="BR42" s="323"/>
      <c r="BS42" s="323"/>
      <c r="BT42" s="323"/>
      <c r="BU42" s="377"/>
      <c r="BV42" s="369"/>
      <c r="BW42" s="369"/>
      <c r="BX42" s="369"/>
      <c r="BY42" s="369"/>
      <c r="BZ42" s="369"/>
      <c r="CA42" s="369"/>
      <c r="CB42" s="369"/>
      <c r="CC42" s="317">
        <f t="shared" si="12"/>
        <v>0</v>
      </c>
      <c r="CD42" s="318">
        <f t="shared" si="13"/>
        <v>0</v>
      </c>
      <c r="CE42" s="318">
        <f t="shared" si="14"/>
        <v>0</v>
      </c>
    </row>
    <row r="43" spans="1:84">
      <c r="A43" s="412" t="s">
        <v>228</v>
      </c>
      <c r="B43" s="413" t="s">
        <v>254</v>
      </c>
      <c r="C43" s="417">
        <v>5540062</v>
      </c>
      <c r="D43" s="417">
        <v>5598016</v>
      </c>
      <c r="E43" s="417">
        <v>5940176</v>
      </c>
      <c r="F43" s="417">
        <v>3984570</v>
      </c>
      <c r="G43" s="417">
        <v>3434200</v>
      </c>
      <c r="H43" s="417">
        <v>4842960</v>
      </c>
      <c r="I43" s="417">
        <v>1992224</v>
      </c>
      <c r="J43" s="417">
        <v>2201948</v>
      </c>
      <c r="K43" s="417">
        <v>2099629</v>
      </c>
      <c r="L43" s="417">
        <v>2669626</v>
      </c>
      <c r="M43" s="417">
        <v>2766755</v>
      </c>
      <c r="N43" s="417">
        <v>3124454</v>
      </c>
      <c r="O43" s="410">
        <f t="shared" si="0"/>
        <v>44194620</v>
      </c>
      <c r="P43" s="411">
        <f t="shared" si="1"/>
        <v>29339984</v>
      </c>
      <c r="Q43" s="411">
        <f t="shared" si="2"/>
        <v>33056542</v>
      </c>
      <c r="S43" s="198">
        <v>4905994</v>
      </c>
      <c r="T43" s="198">
        <v>4095012</v>
      </c>
      <c r="U43" s="198">
        <v>6768473</v>
      </c>
      <c r="V43" s="198">
        <v>5565620</v>
      </c>
      <c r="W43" s="198">
        <v>4663667</v>
      </c>
      <c r="X43" s="198">
        <v>3992339.9999999995</v>
      </c>
      <c r="Y43" s="198">
        <v>4719664</v>
      </c>
      <c r="Z43" s="198">
        <v>4893520</v>
      </c>
      <c r="AA43" s="198">
        <v>6025375</v>
      </c>
      <c r="AB43" s="198">
        <v>228500</v>
      </c>
      <c r="AC43" s="198">
        <v>264500</v>
      </c>
      <c r="AD43" s="198">
        <v>321000</v>
      </c>
      <c r="AE43" s="31">
        <f t="shared" si="3"/>
        <v>46443665</v>
      </c>
      <c r="AF43" s="411">
        <f t="shared" si="4"/>
        <v>29991106</v>
      </c>
      <c r="AG43" s="411">
        <f t="shared" si="5"/>
        <v>16452559</v>
      </c>
      <c r="AI43" s="438" t="s">
        <v>228</v>
      </c>
      <c r="AJ43" s="439" t="s">
        <v>254</v>
      </c>
      <c r="AK43" s="350">
        <v>4759479</v>
      </c>
      <c r="AL43" s="350">
        <v>5056946</v>
      </c>
      <c r="AM43" s="350">
        <v>5518406</v>
      </c>
      <c r="AN43" s="350">
        <v>4100382.9999999995</v>
      </c>
      <c r="AO43" s="350">
        <v>3790380</v>
      </c>
      <c r="AP43" s="350">
        <v>4128140</v>
      </c>
      <c r="AQ43" s="350">
        <v>3648500</v>
      </c>
      <c r="AR43" s="350">
        <v>4076800.0000000005</v>
      </c>
      <c r="AS43" s="350">
        <v>3950610</v>
      </c>
      <c r="AT43" s="350"/>
      <c r="AU43" s="350"/>
      <c r="AV43" s="350"/>
      <c r="AW43" s="344">
        <f t="shared" si="6"/>
        <v>39029644</v>
      </c>
      <c r="AX43" s="345">
        <f t="shared" si="7"/>
        <v>27353734</v>
      </c>
      <c r="AY43" s="345">
        <f t="shared" si="8"/>
        <v>11675910</v>
      </c>
      <c r="BA43" s="323">
        <v>1126369.01</v>
      </c>
      <c r="BB43" s="323">
        <v>806675.63</v>
      </c>
      <c r="BC43" s="323">
        <v>796594.92999999993</v>
      </c>
      <c r="BD43" s="323"/>
      <c r="BE43" s="377"/>
      <c r="BF43" s="369"/>
      <c r="BG43" s="369"/>
      <c r="BH43" s="369"/>
      <c r="BI43" s="369"/>
      <c r="BJ43" s="369"/>
      <c r="BK43" s="369"/>
      <c r="BL43" s="369"/>
      <c r="BM43" s="317">
        <f t="shared" si="9"/>
        <v>2729639.5700000003</v>
      </c>
      <c r="BN43" s="318">
        <f>SUM(BA43:BF43)</f>
        <v>2729639.5700000003</v>
      </c>
      <c r="BO43" s="318">
        <f>SUM(BG43:BL43)</f>
        <v>0</v>
      </c>
      <c r="BQ43" s="323"/>
      <c r="BR43" s="323"/>
      <c r="BS43" s="323"/>
      <c r="BT43" s="323"/>
      <c r="BU43" s="377"/>
      <c r="BV43" s="369"/>
      <c r="BW43" s="369"/>
      <c r="BX43" s="369"/>
      <c r="BY43" s="369"/>
      <c r="BZ43" s="369"/>
      <c r="CA43" s="369"/>
      <c r="CB43" s="369"/>
      <c r="CC43" s="317">
        <f t="shared" si="12"/>
        <v>0</v>
      </c>
      <c r="CD43" s="318">
        <f>SUM(BQ43:BV43)</f>
        <v>0</v>
      </c>
      <c r="CE43" s="318">
        <f>SUM(BW43:CB43)</f>
        <v>0</v>
      </c>
    </row>
    <row r="44" spans="1:84">
      <c r="A44" s="412" t="s">
        <v>229</v>
      </c>
      <c r="B44" s="413" t="s">
        <v>254</v>
      </c>
      <c r="C44" s="417">
        <v>16014.75</v>
      </c>
      <c r="D44" s="417">
        <v>10858.9</v>
      </c>
      <c r="E44" s="417">
        <v>14437.949999999999</v>
      </c>
      <c r="F44" s="417">
        <v>5314.9500000000007</v>
      </c>
      <c r="G44" s="417">
        <v>8920.4500000000007</v>
      </c>
      <c r="H44" s="417">
        <v>6849.4000000000005</v>
      </c>
      <c r="I44" s="417">
        <v>12143.95</v>
      </c>
      <c r="J44" s="417">
        <v>19497.300000000003</v>
      </c>
      <c r="K44" s="417">
        <v>8964.5499999999993</v>
      </c>
      <c r="L44" s="417">
        <v>18634.050000000003</v>
      </c>
      <c r="M44" s="417">
        <v>16263.849999999999</v>
      </c>
      <c r="N44" s="417">
        <v>24488.400000000001</v>
      </c>
      <c r="O44" s="410">
        <f t="shared" si="0"/>
        <v>162388.5</v>
      </c>
      <c r="P44" s="411">
        <f t="shared" si="1"/>
        <v>62396.4</v>
      </c>
      <c r="Q44" s="411">
        <f t="shared" si="2"/>
        <v>135514.85</v>
      </c>
      <c r="S44" s="198">
        <v>13332.25</v>
      </c>
      <c r="T44" s="198">
        <v>11415.050000000001</v>
      </c>
      <c r="U44" s="198">
        <v>20255.25</v>
      </c>
      <c r="V44" s="198">
        <v>34487.15</v>
      </c>
      <c r="W44" s="198">
        <v>18552.649999999998</v>
      </c>
      <c r="X44" s="198">
        <v>23426.45</v>
      </c>
      <c r="Y44" s="198">
        <v>0</v>
      </c>
      <c r="Z44" s="198">
        <v>0</v>
      </c>
      <c r="AA44" s="198">
        <v>0</v>
      </c>
      <c r="AB44" s="198">
        <v>6632</v>
      </c>
      <c r="AC44" s="198">
        <v>6664</v>
      </c>
      <c r="AD44" s="198">
        <v>6670</v>
      </c>
      <c r="AE44" s="31">
        <f t="shared" si="3"/>
        <v>141434.79999999999</v>
      </c>
      <c r="AF44" s="411">
        <f t="shared" si="4"/>
        <v>121468.8</v>
      </c>
      <c r="AG44" s="411">
        <f t="shared" si="5"/>
        <v>19966</v>
      </c>
      <c r="AI44" s="438" t="s">
        <v>229</v>
      </c>
      <c r="AJ44" s="439" t="s">
        <v>254</v>
      </c>
      <c r="AK44" s="350">
        <v>21368.15</v>
      </c>
      <c r="AL44" s="350">
        <v>21196.55</v>
      </c>
      <c r="AM44" s="350">
        <v>24842.2</v>
      </c>
      <c r="AN44" s="350">
        <v>11212.8</v>
      </c>
      <c r="AO44" s="350">
        <v>11296.45</v>
      </c>
      <c r="AP44" s="350">
        <v>24195.900000000005</v>
      </c>
      <c r="AQ44" s="350"/>
      <c r="AR44" s="350"/>
      <c r="AS44" s="350"/>
      <c r="AT44" s="350"/>
      <c r="AU44" s="350"/>
      <c r="AV44" s="350"/>
      <c r="AW44" s="344">
        <f t="shared" si="6"/>
        <v>114112.05</v>
      </c>
      <c r="AX44" s="345">
        <f t="shared" si="7"/>
        <v>114112.05</v>
      </c>
      <c r="AY44" s="345">
        <f t="shared" si="8"/>
        <v>0</v>
      </c>
      <c r="BA44" s="323"/>
      <c r="BB44" s="323"/>
      <c r="BC44" s="323"/>
      <c r="BD44" s="323"/>
      <c r="BE44" s="377"/>
      <c r="BF44" s="369"/>
      <c r="BG44" s="369"/>
      <c r="BH44" s="369"/>
      <c r="BI44" s="369"/>
      <c r="BJ44" s="369"/>
      <c r="BK44" s="369"/>
      <c r="BL44" s="369"/>
      <c r="BM44" s="317">
        <f t="shared" si="9"/>
        <v>0</v>
      </c>
      <c r="BN44" s="318">
        <f>SUM(BA44:BF44)</f>
        <v>0</v>
      </c>
      <c r="BO44" s="318">
        <f t="shared" si="11"/>
        <v>0</v>
      </c>
      <c r="BQ44" s="323"/>
      <c r="BR44" s="323"/>
      <c r="BS44" s="323"/>
      <c r="BT44" s="323"/>
      <c r="BU44" s="377"/>
      <c r="BV44" s="369"/>
      <c r="BW44" s="369"/>
      <c r="BX44" s="369"/>
      <c r="BY44" s="369"/>
      <c r="BZ44" s="369"/>
      <c r="CA44" s="369"/>
      <c r="CB44" s="369"/>
      <c r="CC44" s="317">
        <f t="shared" si="12"/>
        <v>0</v>
      </c>
      <c r="CD44" s="318">
        <f>SUM(BQ44:BV44)</f>
        <v>0</v>
      </c>
      <c r="CE44" s="318">
        <f t="shared" ref="CE44:CE63" si="15">SUM(BW44:CB44)</f>
        <v>0</v>
      </c>
    </row>
    <row r="45" spans="1:84">
      <c r="A45" s="412" t="s">
        <v>230</v>
      </c>
      <c r="B45" s="413" t="s">
        <v>254</v>
      </c>
      <c r="C45" s="417">
        <v>383370.16799999995</v>
      </c>
      <c r="D45" s="417">
        <v>310376.79200000002</v>
      </c>
      <c r="E45" s="417">
        <v>252695.88</v>
      </c>
      <c r="F45" s="417">
        <v>411205.36800000002</v>
      </c>
      <c r="G45" s="417">
        <v>284665.2</v>
      </c>
      <c r="H45" s="417">
        <v>307442.56799999997</v>
      </c>
      <c r="I45" s="417">
        <v>337391.68800000002</v>
      </c>
      <c r="J45" s="417">
        <v>267740.83199999999</v>
      </c>
      <c r="K45" s="417">
        <v>284923.75199999998</v>
      </c>
      <c r="L45" s="417">
        <v>311378.92800000001</v>
      </c>
      <c r="M45" s="417">
        <v>274784.90400000004</v>
      </c>
      <c r="N45" s="417">
        <v>357006.04800000001</v>
      </c>
      <c r="O45" s="410">
        <f t="shared" si="0"/>
        <v>3782982.1279999996</v>
      </c>
      <c r="P45" s="411">
        <f t="shared" si="1"/>
        <v>1949755.976</v>
      </c>
      <c r="Q45" s="411">
        <f t="shared" si="2"/>
        <v>3089235.1680000001</v>
      </c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31">
        <f t="shared" si="3"/>
        <v>0</v>
      </c>
      <c r="AF45" s="411">
        <f t="shared" si="4"/>
        <v>0</v>
      </c>
      <c r="AG45" s="411">
        <f t="shared" si="5"/>
        <v>0</v>
      </c>
      <c r="AI45" s="438" t="s">
        <v>230</v>
      </c>
      <c r="AJ45" s="439" t="s">
        <v>254</v>
      </c>
      <c r="AK45" s="350"/>
      <c r="AL45" s="350"/>
      <c r="AM45" s="350"/>
      <c r="AN45" s="350"/>
      <c r="AO45" s="350"/>
      <c r="AP45" s="350"/>
      <c r="AQ45" s="350"/>
      <c r="AR45" s="350"/>
      <c r="AS45" s="350"/>
      <c r="AT45" s="350"/>
      <c r="AU45" s="350"/>
      <c r="AV45" s="350"/>
      <c r="AW45" s="344">
        <f t="shared" si="6"/>
        <v>0</v>
      </c>
      <c r="AX45" s="345">
        <f t="shared" si="7"/>
        <v>0</v>
      </c>
      <c r="AY45" s="345">
        <f t="shared" si="8"/>
        <v>0</v>
      </c>
      <c r="BA45" s="323"/>
      <c r="BB45" s="323"/>
      <c r="BC45" s="323"/>
      <c r="BD45" s="323"/>
      <c r="BE45" s="377"/>
      <c r="BF45" s="369"/>
      <c r="BG45" s="369"/>
      <c r="BH45" s="369"/>
      <c r="BI45" s="369"/>
      <c r="BJ45" s="369"/>
      <c r="BK45" s="369"/>
      <c r="BL45" s="369"/>
      <c r="BM45" s="317">
        <f t="shared" si="9"/>
        <v>0</v>
      </c>
      <c r="BN45" s="318">
        <f t="shared" si="10"/>
        <v>0</v>
      </c>
      <c r="BO45" s="318">
        <f t="shared" si="11"/>
        <v>0</v>
      </c>
      <c r="BQ45" s="323"/>
      <c r="BR45" s="323"/>
      <c r="BS45" s="323"/>
      <c r="BT45" s="323"/>
      <c r="BU45" s="377"/>
      <c r="BV45" s="369"/>
      <c r="BW45" s="369"/>
      <c r="BX45" s="369"/>
      <c r="BY45" s="369"/>
      <c r="BZ45" s="369"/>
      <c r="CA45" s="369"/>
      <c r="CB45" s="369"/>
      <c r="CC45" s="317">
        <f t="shared" si="12"/>
        <v>0</v>
      </c>
      <c r="CD45" s="318">
        <f t="shared" ref="CD45:CD63" si="16">SUM(BQ45:BV45)</f>
        <v>0</v>
      </c>
      <c r="CE45" s="318">
        <f t="shared" si="15"/>
        <v>0</v>
      </c>
    </row>
    <row r="46" spans="1:84">
      <c r="A46" s="412" t="s">
        <v>231</v>
      </c>
      <c r="B46" s="413" t="s">
        <v>254</v>
      </c>
      <c r="C46" s="417">
        <v>15667359.999999998</v>
      </c>
      <c r="D46" s="417">
        <v>17394356</v>
      </c>
      <c r="E46" s="417">
        <v>17308367</v>
      </c>
      <c r="F46" s="417">
        <v>12077538.999999998</v>
      </c>
      <c r="G46" s="417">
        <v>11165029</v>
      </c>
      <c r="H46" s="417">
        <v>14778385.999999998</v>
      </c>
      <c r="I46" s="417">
        <v>15901197.999999998</v>
      </c>
      <c r="J46" s="417">
        <v>15201624</v>
      </c>
      <c r="K46" s="417">
        <v>13961614</v>
      </c>
      <c r="L46" s="417">
        <v>6905054</v>
      </c>
      <c r="M46" s="417">
        <v>4888684</v>
      </c>
      <c r="N46" s="417">
        <v>6506604</v>
      </c>
      <c r="O46" s="410">
        <f t="shared" si="0"/>
        <v>151755815</v>
      </c>
      <c r="P46" s="411">
        <f t="shared" si="1"/>
        <v>88391037</v>
      </c>
      <c r="Q46" s="411">
        <f t="shared" si="2"/>
        <v>118694099</v>
      </c>
      <c r="S46" s="198">
        <v>12060489</v>
      </c>
      <c r="T46" s="198">
        <v>11233660</v>
      </c>
      <c r="U46" s="198">
        <v>19896856</v>
      </c>
      <c r="V46" s="198">
        <v>17972310</v>
      </c>
      <c r="W46" s="198">
        <v>16463992</v>
      </c>
      <c r="X46" s="198">
        <v>15737926</v>
      </c>
      <c r="Y46" s="198">
        <v>15589357</v>
      </c>
      <c r="Z46" s="198">
        <v>16503613</v>
      </c>
      <c r="AA46" s="198">
        <v>17080768</v>
      </c>
      <c r="AB46" s="198">
        <v>1072313</v>
      </c>
      <c r="AC46" s="198">
        <v>1076030</v>
      </c>
      <c r="AD46" s="198">
        <v>1839968</v>
      </c>
      <c r="AE46" s="31">
        <f t="shared" si="3"/>
        <v>146527282</v>
      </c>
      <c r="AF46" s="411">
        <f t="shared" si="4"/>
        <v>93365233</v>
      </c>
      <c r="AG46" s="411">
        <f t="shared" si="5"/>
        <v>53162049</v>
      </c>
      <c r="AI46" s="438" t="s">
        <v>231</v>
      </c>
      <c r="AJ46" s="439" t="s">
        <v>254</v>
      </c>
      <c r="AK46" s="350">
        <v>15577841</v>
      </c>
      <c r="AL46" s="350">
        <v>16392268</v>
      </c>
      <c r="AM46" s="350">
        <v>18894986</v>
      </c>
      <c r="AN46" s="350">
        <v>14219080</v>
      </c>
      <c r="AO46" s="350">
        <v>14848902</v>
      </c>
      <c r="AP46" s="350">
        <v>15705044.999999998</v>
      </c>
      <c r="AQ46" s="350">
        <v>15673742.999999998</v>
      </c>
      <c r="AR46" s="350">
        <v>17006451</v>
      </c>
      <c r="AS46" s="350">
        <v>16488748</v>
      </c>
      <c r="AT46" s="350">
        <v>11042540</v>
      </c>
      <c r="AU46" s="350">
        <v>11780286</v>
      </c>
      <c r="AV46" s="350">
        <v>11730221.000000002</v>
      </c>
      <c r="AW46" s="344">
        <f t="shared" si="6"/>
        <v>179360111</v>
      </c>
      <c r="AX46" s="345">
        <f t="shared" si="7"/>
        <v>95638122</v>
      </c>
      <c r="AY46" s="345">
        <f t="shared" si="8"/>
        <v>83721989</v>
      </c>
      <c r="BA46" s="323">
        <v>12514015.097999999</v>
      </c>
      <c r="BB46" s="323">
        <v>11381682.355000002</v>
      </c>
      <c r="BC46" s="323">
        <v>12971465.434</v>
      </c>
      <c r="BD46" s="323"/>
      <c r="BE46" s="377"/>
      <c r="BF46" s="369"/>
      <c r="BG46" s="369"/>
      <c r="BH46" s="369"/>
      <c r="BI46" s="369"/>
      <c r="BJ46" s="369"/>
      <c r="BK46" s="369"/>
      <c r="BL46" s="369"/>
      <c r="BM46" s="317">
        <f t="shared" si="9"/>
        <v>36867162.887000002</v>
      </c>
      <c r="BN46" s="318">
        <f t="shared" si="10"/>
        <v>36867162.887000002</v>
      </c>
      <c r="BO46" s="318">
        <f t="shared" si="11"/>
        <v>0</v>
      </c>
      <c r="BQ46" s="323"/>
      <c r="BR46" s="323"/>
      <c r="BS46" s="323"/>
      <c r="BT46" s="323"/>
      <c r="BU46" s="377"/>
      <c r="BV46" s="369"/>
      <c r="BW46" s="369"/>
      <c r="BX46" s="369"/>
      <c r="BY46" s="369"/>
      <c r="BZ46" s="369"/>
      <c r="CA46" s="369"/>
      <c r="CB46" s="369"/>
      <c r="CC46" s="317">
        <f t="shared" si="12"/>
        <v>0</v>
      </c>
      <c r="CD46" s="318">
        <f t="shared" si="16"/>
        <v>0</v>
      </c>
      <c r="CE46" s="318">
        <f t="shared" si="15"/>
        <v>0</v>
      </c>
    </row>
    <row r="47" spans="1:84">
      <c r="A47" s="412" t="s">
        <v>232</v>
      </c>
      <c r="B47" s="413" t="s">
        <v>254</v>
      </c>
      <c r="C47" s="417">
        <v>1059673</v>
      </c>
      <c r="D47" s="417">
        <v>906380</v>
      </c>
      <c r="E47" s="417">
        <v>968078</v>
      </c>
      <c r="F47" s="417">
        <v>223335</v>
      </c>
      <c r="G47" s="417">
        <v>45500</v>
      </c>
      <c r="H47" s="417">
        <v>122850</v>
      </c>
      <c r="I47" s="417">
        <v>731150</v>
      </c>
      <c r="J47" s="417">
        <v>840571</v>
      </c>
      <c r="K47" s="417">
        <v>765150</v>
      </c>
      <c r="L47" s="417">
        <v>333155</v>
      </c>
      <c r="M47" s="417">
        <v>534975</v>
      </c>
      <c r="N47" s="417">
        <v>261800</v>
      </c>
      <c r="O47" s="410">
        <f t="shared" si="0"/>
        <v>6792617</v>
      </c>
      <c r="P47" s="411">
        <f t="shared" si="1"/>
        <v>3325816</v>
      </c>
      <c r="Q47" s="411">
        <f t="shared" si="2"/>
        <v>4826564</v>
      </c>
      <c r="S47" s="198">
        <v>543228</v>
      </c>
      <c r="T47" s="198">
        <v>490478</v>
      </c>
      <c r="U47" s="198">
        <v>705198</v>
      </c>
      <c r="V47" s="198">
        <v>1006566</v>
      </c>
      <c r="W47" s="198">
        <v>638725</v>
      </c>
      <c r="X47" s="198">
        <v>311450</v>
      </c>
      <c r="Y47" s="198">
        <v>807783</v>
      </c>
      <c r="Z47" s="198">
        <v>861108</v>
      </c>
      <c r="AA47" s="198">
        <v>1514464</v>
      </c>
      <c r="AB47" s="198">
        <v>1754042</v>
      </c>
      <c r="AC47" s="198">
        <v>1620773</v>
      </c>
      <c r="AD47" s="198">
        <v>42738</v>
      </c>
      <c r="AE47" s="31">
        <f t="shared" si="3"/>
        <v>10296553</v>
      </c>
      <c r="AF47" s="411">
        <f t="shared" si="4"/>
        <v>3695645</v>
      </c>
      <c r="AG47" s="411">
        <f t="shared" si="5"/>
        <v>6600908</v>
      </c>
      <c r="AI47" s="438" t="s">
        <v>232</v>
      </c>
      <c r="AJ47" s="439" t="s">
        <v>254</v>
      </c>
      <c r="AK47" s="350">
        <v>860845</v>
      </c>
      <c r="AL47" s="350">
        <v>720505</v>
      </c>
      <c r="AM47" s="350">
        <v>767395</v>
      </c>
      <c r="AN47" s="350">
        <v>979747</v>
      </c>
      <c r="AO47" s="350">
        <v>474815</v>
      </c>
      <c r="AP47" s="350">
        <v>910000</v>
      </c>
      <c r="AQ47" s="350">
        <v>1315935</v>
      </c>
      <c r="AR47" s="350">
        <v>1486622</v>
      </c>
      <c r="AS47" s="350">
        <v>1053300</v>
      </c>
      <c r="AT47" s="350">
        <v>836165</v>
      </c>
      <c r="AU47" s="350">
        <v>875890</v>
      </c>
      <c r="AV47" s="350">
        <v>1193335</v>
      </c>
      <c r="AW47" s="344">
        <f t="shared" si="6"/>
        <v>11474554</v>
      </c>
      <c r="AX47" s="345">
        <f t="shared" si="7"/>
        <v>4713307</v>
      </c>
      <c r="AY47" s="345">
        <f t="shared" si="8"/>
        <v>6761247</v>
      </c>
      <c r="BA47" s="323">
        <v>1722900</v>
      </c>
      <c r="BB47" s="323">
        <v>1638819</v>
      </c>
      <c r="BC47" s="323">
        <v>1644569</v>
      </c>
      <c r="BD47" s="323"/>
      <c r="BE47" s="377"/>
      <c r="BF47" s="369"/>
      <c r="BG47" s="369"/>
      <c r="BH47" s="369"/>
      <c r="BI47" s="369"/>
      <c r="BJ47" s="369"/>
      <c r="BK47" s="369"/>
      <c r="BL47" s="369"/>
      <c r="BM47" s="317">
        <f t="shared" si="9"/>
        <v>5006288</v>
      </c>
      <c r="BN47" s="318">
        <f t="shared" si="10"/>
        <v>5006288</v>
      </c>
      <c r="BO47" s="318">
        <f t="shared" si="11"/>
        <v>0</v>
      </c>
      <c r="BQ47" s="323"/>
      <c r="BR47" s="323"/>
      <c r="BS47" s="323"/>
      <c r="BT47" s="323"/>
      <c r="BU47" s="377"/>
      <c r="BV47" s="369"/>
      <c r="BW47" s="369"/>
      <c r="BX47" s="369"/>
      <c r="BY47" s="369"/>
      <c r="BZ47" s="369"/>
      <c r="CA47" s="369"/>
      <c r="CB47" s="369"/>
      <c r="CC47" s="317">
        <f t="shared" si="12"/>
        <v>0</v>
      </c>
      <c r="CD47" s="318">
        <f t="shared" si="16"/>
        <v>0</v>
      </c>
      <c r="CE47" s="318">
        <f t="shared" si="15"/>
        <v>0</v>
      </c>
    </row>
    <row r="48" spans="1:84">
      <c r="A48" s="412" t="s">
        <v>233</v>
      </c>
      <c r="B48" s="413" t="s">
        <v>254</v>
      </c>
      <c r="C48" s="417">
        <v>54640</v>
      </c>
      <c r="D48" s="417">
        <v>29224</v>
      </c>
      <c r="E48" s="417">
        <v>6860</v>
      </c>
      <c r="F48" s="417">
        <v>180</v>
      </c>
      <c r="G48" s="417">
        <v>620</v>
      </c>
      <c r="H48" s="417">
        <v>0</v>
      </c>
      <c r="I48" s="417">
        <v>0</v>
      </c>
      <c r="J48" s="417">
        <v>640</v>
      </c>
      <c r="K48" s="417">
        <v>0</v>
      </c>
      <c r="L48" s="417">
        <v>147698.1</v>
      </c>
      <c r="M48" s="417">
        <v>125928.7</v>
      </c>
      <c r="N48" s="417">
        <v>122613.6</v>
      </c>
      <c r="O48" s="410">
        <f t="shared" si="0"/>
        <v>488404.4</v>
      </c>
      <c r="P48" s="411">
        <f t="shared" si="1"/>
        <v>91524</v>
      </c>
      <c r="Q48" s="411">
        <f t="shared" si="2"/>
        <v>404540.4</v>
      </c>
      <c r="S48" s="198">
        <v>0</v>
      </c>
      <c r="T48" s="198">
        <v>0</v>
      </c>
      <c r="U48" s="198">
        <v>0</v>
      </c>
      <c r="V48" s="198">
        <v>0</v>
      </c>
      <c r="W48" s="198">
        <v>0</v>
      </c>
      <c r="X48" s="198">
        <v>0</v>
      </c>
      <c r="Y48" s="198">
        <v>140048.5</v>
      </c>
      <c r="Z48" s="198">
        <v>159108.9</v>
      </c>
      <c r="AA48" s="198">
        <v>201924.1</v>
      </c>
      <c r="AB48" s="198"/>
      <c r="AC48" s="198"/>
      <c r="AD48" s="198"/>
      <c r="AE48" s="31">
        <f t="shared" si="3"/>
        <v>501081.5</v>
      </c>
      <c r="AF48" s="411">
        <f t="shared" si="4"/>
        <v>0</v>
      </c>
      <c r="AG48" s="411">
        <f t="shared" si="5"/>
        <v>501081.5</v>
      </c>
      <c r="AI48" s="438" t="s">
        <v>233</v>
      </c>
      <c r="AJ48" s="439" t="s">
        <v>254</v>
      </c>
      <c r="AK48" s="350"/>
      <c r="AL48" s="350"/>
      <c r="AM48" s="350"/>
      <c r="AN48" s="350"/>
      <c r="AO48" s="350"/>
      <c r="AP48" s="350"/>
      <c r="AQ48" s="350"/>
      <c r="AR48" s="350"/>
      <c r="AS48" s="350"/>
      <c r="AT48" s="350"/>
      <c r="AU48" s="350"/>
      <c r="AV48" s="350"/>
      <c r="AW48" s="344">
        <f t="shared" si="6"/>
        <v>0</v>
      </c>
      <c r="AX48" s="345">
        <f t="shared" si="7"/>
        <v>0</v>
      </c>
      <c r="AY48" s="345">
        <f t="shared" si="8"/>
        <v>0</v>
      </c>
      <c r="BA48" s="323"/>
      <c r="BB48" s="323"/>
      <c r="BC48" s="323"/>
      <c r="BD48" s="323"/>
      <c r="BE48" s="377"/>
      <c r="BF48" s="369"/>
      <c r="BG48" s="369"/>
      <c r="BH48" s="369"/>
      <c r="BI48" s="369"/>
      <c r="BJ48" s="369"/>
      <c r="BK48" s="369"/>
      <c r="BL48" s="369"/>
      <c r="BM48" s="317">
        <f t="shared" si="9"/>
        <v>0</v>
      </c>
      <c r="BN48" s="318">
        <f t="shared" si="10"/>
        <v>0</v>
      </c>
      <c r="BO48" s="318">
        <f t="shared" si="11"/>
        <v>0</v>
      </c>
      <c r="BQ48" s="323"/>
      <c r="BR48" s="323"/>
      <c r="BS48" s="323"/>
      <c r="BT48" s="323"/>
      <c r="BU48" s="377"/>
      <c r="BV48" s="369"/>
      <c r="BW48" s="369"/>
      <c r="BX48" s="369"/>
      <c r="BY48" s="369"/>
      <c r="BZ48" s="369"/>
      <c r="CA48" s="369"/>
      <c r="CB48" s="369"/>
      <c r="CC48" s="317">
        <f t="shared" si="12"/>
        <v>0</v>
      </c>
      <c r="CD48" s="318">
        <f t="shared" si="16"/>
        <v>0</v>
      </c>
      <c r="CE48" s="318">
        <f t="shared" si="15"/>
        <v>0</v>
      </c>
    </row>
    <row r="49" spans="1:83">
      <c r="A49" s="412" t="s">
        <v>234</v>
      </c>
      <c r="B49" s="413" t="s">
        <v>254</v>
      </c>
      <c r="C49" s="417">
        <v>26571.199999999997</v>
      </c>
      <c r="D49" s="417">
        <v>20527.299999999996</v>
      </c>
      <c r="E49" s="417">
        <v>15998</v>
      </c>
      <c r="F49" s="417">
        <v>1035.2</v>
      </c>
      <c r="G49" s="417">
        <v>27504</v>
      </c>
      <c r="H49" s="417">
        <v>21920.6</v>
      </c>
      <c r="I49" s="417">
        <v>22950.799999999999</v>
      </c>
      <c r="J49" s="417">
        <v>25024.3</v>
      </c>
      <c r="K49" s="417">
        <v>21622.700000000004</v>
      </c>
      <c r="L49" s="417">
        <v>19342</v>
      </c>
      <c r="M49" s="417">
        <v>14485.6</v>
      </c>
      <c r="N49" s="417">
        <v>17592</v>
      </c>
      <c r="O49" s="410">
        <f t="shared" si="0"/>
        <v>234573.69999999998</v>
      </c>
      <c r="P49" s="411">
        <f t="shared" si="1"/>
        <v>113556.29999999999</v>
      </c>
      <c r="Q49" s="411">
        <f t="shared" si="2"/>
        <v>187475.20000000001</v>
      </c>
      <c r="S49" s="198">
        <v>20245.900000000001</v>
      </c>
      <c r="T49" s="198">
        <v>35683</v>
      </c>
      <c r="U49" s="198">
        <v>32913.200000000012</v>
      </c>
      <c r="V49" s="198">
        <v>10514.869999999999</v>
      </c>
      <c r="W49" s="198">
        <v>24335.1</v>
      </c>
      <c r="X49" s="198">
        <v>35633.699999999997</v>
      </c>
      <c r="Y49" s="198">
        <v>26044.6</v>
      </c>
      <c r="Z49" s="198">
        <v>28175.300000000003</v>
      </c>
      <c r="AA49" s="198">
        <v>34985.899999999994</v>
      </c>
      <c r="AB49" s="198">
        <v>26348</v>
      </c>
      <c r="AC49" s="198">
        <v>24167</v>
      </c>
      <c r="AD49" s="198">
        <v>18991.400000000001</v>
      </c>
      <c r="AE49" s="31">
        <f t="shared" si="3"/>
        <v>318037.97000000009</v>
      </c>
      <c r="AF49" s="411">
        <f t="shared" si="4"/>
        <v>159325.77000000002</v>
      </c>
      <c r="AG49" s="411">
        <f t="shared" si="5"/>
        <v>158712.19999999998</v>
      </c>
      <c r="AI49" s="438" t="s">
        <v>234</v>
      </c>
      <c r="AJ49" s="439" t="s">
        <v>255</v>
      </c>
      <c r="AK49" s="350">
        <v>23555.599999999999</v>
      </c>
      <c r="AL49" s="350">
        <v>21619.1</v>
      </c>
      <c r="AM49" s="350">
        <v>23035.5</v>
      </c>
      <c r="AN49" s="350">
        <v>23817.1</v>
      </c>
      <c r="AO49" s="350">
        <v>28812.600000000002</v>
      </c>
      <c r="AP49" s="350">
        <v>13722.8</v>
      </c>
      <c r="AQ49" s="350">
        <v>19561</v>
      </c>
      <c r="AR49" s="350">
        <v>23951.9</v>
      </c>
      <c r="AS49" s="350">
        <v>27688.800000000003</v>
      </c>
      <c r="AT49" s="350">
        <v>17447.5</v>
      </c>
      <c r="AU49" s="350">
        <v>23134.1</v>
      </c>
      <c r="AV49" s="350">
        <v>24993.4</v>
      </c>
      <c r="AW49" s="344">
        <f t="shared" si="6"/>
        <v>271339.39999999997</v>
      </c>
      <c r="AX49" s="345">
        <f t="shared" si="7"/>
        <v>134562.69999999998</v>
      </c>
      <c r="AY49" s="345">
        <f t="shared" si="8"/>
        <v>136776.70000000001</v>
      </c>
      <c r="BA49" s="323">
        <v>9973</v>
      </c>
      <c r="BB49" s="323">
        <v>8505</v>
      </c>
      <c r="BC49" s="323">
        <v>11175</v>
      </c>
      <c r="BD49" s="323"/>
      <c r="BE49" s="377"/>
      <c r="BF49" s="369"/>
      <c r="BG49" s="369"/>
      <c r="BH49" s="369"/>
      <c r="BI49" s="369"/>
      <c r="BJ49" s="369"/>
      <c r="BK49" s="369"/>
      <c r="BL49" s="369"/>
      <c r="BM49" s="317">
        <f t="shared" si="9"/>
        <v>29653</v>
      </c>
      <c r="BN49" s="318">
        <f t="shared" si="10"/>
        <v>29653</v>
      </c>
      <c r="BO49" s="318">
        <f t="shared" si="11"/>
        <v>0</v>
      </c>
      <c r="BQ49" s="323"/>
      <c r="BR49" s="323"/>
      <c r="BS49" s="323"/>
      <c r="BT49" s="323"/>
      <c r="BU49" s="377"/>
      <c r="BV49" s="369"/>
      <c r="BW49" s="369"/>
      <c r="BX49" s="369"/>
      <c r="BY49" s="369"/>
      <c r="BZ49" s="369"/>
      <c r="CA49" s="369"/>
      <c r="CB49" s="369"/>
      <c r="CC49" s="317">
        <f t="shared" si="12"/>
        <v>0</v>
      </c>
      <c r="CD49" s="318">
        <f t="shared" si="16"/>
        <v>0</v>
      </c>
      <c r="CE49" s="318">
        <f t="shared" si="15"/>
        <v>0</v>
      </c>
    </row>
    <row r="50" spans="1:83">
      <c r="A50" s="412" t="s">
        <v>235</v>
      </c>
      <c r="B50" s="413" t="s">
        <v>254</v>
      </c>
      <c r="C50" s="431">
        <v>402</v>
      </c>
      <c r="D50" s="431">
        <v>402</v>
      </c>
      <c r="E50" s="431">
        <v>402</v>
      </c>
      <c r="F50" s="431">
        <v>402</v>
      </c>
      <c r="G50" s="431">
        <v>402</v>
      </c>
      <c r="H50" s="431">
        <v>402</v>
      </c>
      <c r="I50" s="431">
        <v>941</v>
      </c>
      <c r="J50" s="431">
        <v>1223</v>
      </c>
      <c r="K50" s="431">
        <v>834</v>
      </c>
      <c r="L50" s="431">
        <v>525</v>
      </c>
      <c r="M50" s="431">
        <v>960</v>
      </c>
      <c r="N50" s="431">
        <v>941</v>
      </c>
      <c r="O50" s="410">
        <f t="shared" si="0"/>
        <v>7836</v>
      </c>
      <c r="P50" s="411">
        <f t="shared" si="1"/>
        <v>2412</v>
      </c>
      <c r="Q50" s="411">
        <f t="shared" si="2"/>
        <v>7032</v>
      </c>
      <c r="S50" s="201">
        <v>1020</v>
      </c>
      <c r="T50" s="201">
        <v>1328</v>
      </c>
      <c r="U50" s="201">
        <v>906</v>
      </c>
      <c r="V50" s="201">
        <v>560</v>
      </c>
      <c r="W50" s="201">
        <v>1040</v>
      </c>
      <c r="X50" s="201">
        <v>1320</v>
      </c>
      <c r="Y50" s="201"/>
      <c r="Z50" s="201"/>
      <c r="AA50" s="201"/>
      <c r="AB50" s="201"/>
      <c r="AC50" s="201"/>
      <c r="AD50" s="201"/>
      <c r="AE50" s="31">
        <f t="shared" si="3"/>
        <v>6174</v>
      </c>
      <c r="AF50" s="411">
        <f t="shared" si="4"/>
        <v>6174</v>
      </c>
      <c r="AG50" s="411">
        <f t="shared" si="5"/>
        <v>0</v>
      </c>
      <c r="AI50" s="438" t="s">
        <v>235</v>
      </c>
      <c r="AJ50" s="439" t="s">
        <v>254</v>
      </c>
      <c r="AK50" s="353"/>
      <c r="AL50" s="353"/>
      <c r="AM50" s="353"/>
      <c r="AN50" s="353"/>
      <c r="AO50" s="353"/>
      <c r="AP50" s="353"/>
      <c r="AQ50" s="353"/>
      <c r="AR50" s="353"/>
      <c r="AS50" s="353"/>
      <c r="AT50" s="353"/>
      <c r="AU50" s="353"/>
      <c r="AV50" s="353"/>
      <c r="AW50" s="344">
        <f t="shared" si="6"/>
        <v>0</v>
      </c>
      <c r="AX50" s="345">
        <f t="shared" si="7"/>
        <v>0</v>
      </c>
      <c r="AY50" s="345">
        <f t="shared" si="8"/>
        <v>0</v>
      </c>
      <c r="BA50" s="326"/>
      <c r="BB50" s="326"/>
      <c r="BC50" s="326"/>
      <c r="BD50" s="326"/>
      <c r="BE50" s="380"/>
      <c r="BF50" s="372"/>
      <c r="BG50" s="372"/>
      <c r="BH50" s="372"/>
      <c r="BI50" s="372"/>
      <c r="BJ50" s="372"/>
      <c r="BK50" s="372"/>
      <c r="BL50" s="372"/>
      <c r="BM50" s="317">
        <f t="shared" si="9"/>
        <v>0</v>
      </c>
      <c r="BN50" s="318">
        <f t="shared" si="10"/>
        <v>0</v>
      </c>
      <c r="BO50" s="318">
        <f t="shared" si="11"/>
        <v>0</v>
      </c>
      <c r="BQ50" s="326"/>
      <c r="BR50" s="326"/>
      <c r="BS50" s="326"/>
      <c r="BT50" s="326"/>
      <c r="BU50" s="380"/>
      <c r="BV50" s="372"/>
      <c r="BW50" s="372"/>
      <c r="BX50" s="372"/>
      <c r="BY50" s="372"/>
      <c r="BZ50" s="372"/>
      <c r="CA50" s="372"/>
      <c r="CB50" s="372"/>
      <c r="CC50" s="317">
        <f t="shared" si="12"/>
        <v>0</v>
      </c>
      <c r="CD50" s="318">
        <f t="shared" si="16"/>
        <v>0</v>
      </c>
      <c r="CE50" s="318">
        <f t="shared" si="15"/>
        <v>0</v>
      </c>
    </row>
    <row r="51" spans="1:83">
      <c r="A51" s="412" t="s">
        <v>236</v>
      </c>
      <c r="B51" s="413" t="s">
        <v>249</v>
      </c>
      <c r="C51" s="417">
        <v>0</v>
      </c>
      <c r="D51" s="417">
        <v>0</v>
      </c>
      <c r="E51" s="417">
        <v>0</v>
      </c>
      <c r="F51" s="417">
        <v>0</v>
      </c>
      <c r="G51" s="417">
        <v>0</v>
      </c>
      <c r="H51" s="417">
        <v>0</v>
      </c>
      <c r="I51" s="417">
        <v>0</v>
      </c>
      <c r="J51" s="417">
        <v>0</v>
      </c>
      <c r="K51" s="417">
        <v>0</v>
      </c>
      <c r="L51" s="417">
        <v>0</v>
      </c>
      <c r="M51" s="417">
        <v>0</v>
      </c>
      <c r="N51" s="417">
        <v>0</v>
      </c>
      <c r="O51" s="410">
        <f t="shared" si="0"/>
        <v>0</v>
      </c>
      <c r="P51" s="411">
        <f t="shared" si="1"/>
        <v>0</v>
      </c>
      <c r="Q51" s="411">
        <f t="shared" si="2"/>
        <v>0</v>
      </c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31">
        <f t="shared" si="3"/>
        <v>0</v>
      </c>
      <c r="AF51" s="411">
        <f t="shared" si="4"/>
        <v>0</v>
      </c>
      <c r="AG51" s="411">
        <f t="shared" si="5"/>
        <v>0</v>
      </c>
      <c r="AI51" s="438" t="s">
        <v>236</v>
      </c>
      <c r="AJ51" s="439" t="s">
        <v>249</v>
      </c>
      <c r="AK51" s="350"/>
      <c r="AL51" s="350"/>
      <c r="AM51" s="350"/>
      <c r="AN51" s="350"/>
      <c r="AO51" s="350"/>
      <c r="AP51" s="350"/>
      <c r="AQ51" s="350"/>
      <c r="AR51" s="350"/>
      <c r="AS51" s="350"/>
      <c r="AT51" s="350"/>
      <c r="AU51" s="350"/>
      <c r="AV51" s="350"/>
      <c r="AW51" s="344">
        <f t="shared" si="6"/>
        <v>0</v>
      </c>
      <c r="AX51" s="345">
        <f t="shared" si="7"/>
        <v>0</v>
      </c>
      <c r="AY51" s="345">
        <f t="shared" si="8"/>
        <v>0</v>
      </c>
      <c r="BA51" s="323"/>
      <c r="BB51" s="323"/>
      <c r="BC51" s="323"/>
      <c r="BD51" s="323"/>
      <c r="BE51" s="377"/>
      <c r="BF51" s="369"/>
      <c r="BG51" s="369"/>
      <c r="BH51" s="369"/>
      <c r="BI51" s="369"/>
      <c r="BJ51" s="369"/>
      <c r="BK51" s="369"/>
      <c r="BL51" s="369"/>
      <c r="BM51" s="317">
        <f t="shared" si="9"/>
        <v>0</v>
      </c>
      <c r="BN51" s="318">
        <f t="shared" si="10"/>
        <v>0</v>
      </c>
      <c r="BO51" s="318">
        <f t="shared" si="11"/>
        <v>0</v>
      </c>
      <c r="BQ51" s="323"/>
      <c r="BR51" s="323"/>
      <c r="BS51" s="323"/>
      <c r="BT51" s="323"/>
      <c r="BU51" s="377"/>
      <c r="BV51" s="369"/>
      <c r="BW51" s="369"/>
      <c r="BX51" s="369"/>
      <c r="BY51" s="369"/>
      <c r="BZ51" s="369"/>
      <c r="CA51" s="369"/>
      <c r="CB51" s="369"/>
      <c r="CC51" s="317">
        <f t="shared" si="12"/>
        <v>0</v>
      </c>
      <c r="CD51" s="318">
        <f t="shared" si="16"/>
        <v>0</v>
      </c>
      <c r="CE51" s="318">
        <f t="shared" si="15"/>
        <v>0</v>
      </c>
    </row>
    <row r="52" spans="1:83">
      <c r="A52" s="412" t="s">
        <v>237</v>
      </c>
      <c r="B52" s="413" t="s">
        <v>249</v>
      </c>
      <c r="C52" s="417">
        <v>0</v>
      </c>
      <c r="D52" s="417">
        <v>0</v>
      </c>
      <c r="E52" s="417">
        <v>0</v>
      </c>
      <c r="F52" s="417">
        <v>0</v>
      </c>
      <c r="G52" s="417">
        <v>0</v>
      </c>
      <c r="H52" s="417">
        <v>0</v>
      </c>
      <c r="I52" s="417">
        <v>0</v>
      </c>
      <c r="J52" s="417">
        <v>0</v>
      </c>
      <c r="K52" s="417">
        <v>0</v>
      </c>
      <c r="L52" s="417">
        <v>0</v>
      </c>
      <c r="M52" s="417">
        <v>0</v>
      </c>
      <c r="N52" s="417">
        <v>0</v>
      </c>
      <c r="O52" s="410">
        <f t="shared" si="0"/>
        <v>0</v>
      </c>
      <c r="P52" s="411">
        <f t="shared" si="1"/>
        <v>0</v>
      </c>
      <c r="Q52" s="411">
        <f t="shared" si="2"/>
        <v>0</v>
      </c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31">
        <f t="shared" si="3"/>
        <v>0</v>
      </c>
      <c r="AF52" s="411">
        <f t="shared" si="4"/>
        <v>0</v>
      </c>
      <c r="AG52" s="411">
        <f t="shared" si="5"/>
        <v>0</v>
      </c>
      <c r="AI52" s="438" t="s">
        <v>237</v>
      </c>
      <c r="AJ52" s="439" t="s">
        <v>249</v>
      </c>
      <c r="AK52" s="350"/>
      <c r="AL52" s="350"/>
      <c r="AM52" s="350"/>
      <c r="AN52" s="350"/>
      <c r="AO52" s="350"/>
      <c r="AP52" s="350"/>
      <c r="AQ52" s="350"/>
      <c r="AR52" s="350"/>
      <c r="AS52" s="350"/>
      <c r="AT52" s="350"/>
      <c r="AU52" s="350"/>
      <c r="AV52" s="350"/>
      <c r="AW52" s="344">
        <f t="shared" si="6"/>
        <v>0</v>
      </c>
      <c r="AX52" s="345">
        <f t="shared" si="7"/>
        <v>0</v>
      </c>
      <c r="AY52" s="345">
        <f t="shared" si="8"/>
        <v>0</v>
      </c>
      <c r="BA52" s="323"/>
      <c r="BB52" s="323"/>
      <c r="BC52" s="323"/>
      <c r="BD52" s="323"/>
      <c r="BE52" s="377"/>
      <c r="BF52" s="369"/>
      <c r="BG52" s="369"/>
      <c r="BH52" s="369"/>
      <c r="BI52" s="369"/>
      <c r="BJ52" s="369"/>
      <c r="BK52" s="369"/>
      <c r="BL52" s="369"/>
      <c r="BM52" s="317">
        <f t="shared" si="9"/>
        <v>0</v>
      </c>
      <c r="BN52" s="318">
        <f t="shared" si="10"/>
        <v>0</v>
      </c>
      <c r="BO52" s="318">
        <f t="shared" si="11"/>
        <v>0</v>
      </c>
      <c r="BQ52" s="323"/>
      <c r="BR52" s="323"/>
      <c r="BS52" s="323"/>
      <c r="BT52" s="323"/>
      <c r="BU52" s="377"/>
      <c r="BV52" s="369"/>
      <c r="BW52" s="369"/>
      <c r="BX52" s="369"/>
      <c r="BY52" s="369"/>
      <c r="BZ52" s="369"/>
      <c r="CA52" s="369"/>
      <c r="CB52" s="369"/>
      <c r="CC52" s="317">
        <f t="shared" si="12"/>
        <v>0</v>
      </c>
      <c r="CD52" s="318">
        <f t="shared" si="16"/>
        <v>0</v>
      </c>
      <c r="CE52" s="318">
        <f t="shared" si="15"/>
        <v>0</v>
      </c>
    </row>
    <row r="53" spans="1:83">
      <c r="A53" s="412" t="s">
        <v>238</v>
      </c>
      <c r="B53" s="413" t="s">
        <v>254</v>
      </c>
      <c r="C53" s="417">
        <v>101255</v>
      </c>
      <c r="D53" s="417">
        <v>73714</v>
      </c>
      <c r="E53" s="417">
        <v>69356</v>
      </c>
      <c r="F53" s="417">
        <v>964</v>
      </c>
      <c r="G53" s="417">
        <v>111779</v>
      </c>
      <c r="H53" s="417">
        <v>104109.5</v>
      </c>
      <c r="I53" s="417">
        <v>292407.5</v>
      </c>
      <c r="J53" s="417">
        <v>224004</v>
      </c>
      <c r="K53" s="417">
        <v>212452.9</v>
      </c>
      <c r="L53" s="417">
        <v>199974</v>
      </c>
      <c r="M53" s="417">
        <v>194014</v>
      </c>
      <c r="N53" s="417">
        <v>258000.5</v>
      </c>
      <c r="O53" s="410">
        <f t="shared" si="0"/>
        <v>1842030.4</v>
      </c>
      <c r="P53" s="411">
        <f t="shared" si="1"/>
        <v>461177.5</v>
      </c>
      <c r="Q53" s="411">
        <f t="shared" si="2"/>
        <v>1667061.4</v>
      </c>
      <c r="S53" s="198">
        <v>168169.5</v>
      </c>
      <c r="T53" s="198">
        <v>162294</v>
      </c>
      <c r="U53" s="198">
        <v>203472</v>
      </c>
      <c r="V53" s="198">
        <v>136626</v>
      </c>
      <c r="W53" s="198">
        <v>111264</v>
      </c>
      <c r="X53" s="198">
        <v>161203</v>
      </c>
      <c r="Y53" s="198">
        <v>132485</v>
      </c>
      <c r="Z53" s="198">
        <v>196427</v>
      </c>
      <c r="AA53" s="198">
        <v>178672</v>
      </c>
      <c r="AB53" s="198">
        <v>178335</v>
      </c>
      <c r="AC53" s="198">
        <v>164025</v>
      </c>
      <c r="AD53" s="198">
        <v>161193</v>
      </c>
      <c r="AE53" s="31">
        <f t="shared" si="3"/>
        <v>1954165.5</v>
      </c>
      <c r="AF53" s="411">
        <f t="shared" si="4"/>
        <v>943028.5</v>
      </c>
      <c r="AG53" s="411">
        <f t="shared" si="5"/>
        <v>1011137</v>
      </c>
      <c r="AI53" s="438" t="s">
        <v>238</v>
      </c>
      <c r="AJ53" s="439" t="s">
        <v>254</v>
      </c>
      <c r="AK53" s="350">
        <v>167.37299999999999</v>
      </c>
      <c r="AL53" s="350">
        <v>170.37799999999999</v>
      </c>
      <c r="AM53" s="350">
        <v>169.25</v>
      </c>
      <c r="AN53" s="350">
        <v>123.63800000000001</v>
      </c>
      <c r="AO53" s="350">
        <v>200.96799999999999</v>
      </c>
      <c r="AP53" s="350">
        <v>166.852</v>
      </c>
      <c r="AQ53" s="350"/>
      <c r="AR53" s="350"/>
      <c r="AS53" s="350"/>
      <c r="AT53" s="350"/>
      <c r="AU53" s="350"/>
      <c r="AV53" s="350"/>
      <c r="AW53" s="344">
        <f t="shared" si="6"/>
        <v>998.45899999999995</v>
      </c>
      <c r="AX53" s="345">
        <f t="shared" si="7"/>
        <v>998.45899999999995</v>
      </c>
      <c r="AY53" s="345">
        <f t="shared" si="8"/>
        <v>0</v>
      </c>
      <c r="BA53" s="323"/>
      <c r="BB53" s="323"/>
      <c r="BC53" s="323"/>
      <c r="BD53" s="323"/>
      <c r="BE53" s="377"/>
      <c r="BF53" s="369"/>
      <c r="BG53" s="369"/>
      <c r="BH53" s="369"/>
      <c r="BI53" s="369"/>
      <c r="BJ53" s="369"/>
      <c r="BK53" s="369"/>
      <c r="BL53" s="369"/>
      <c r="BM53" s="317">
        <f t="shared" si="9"/>
        <v>0</v>
      </c>
      <c r="BN53" s="318">
        <f t="shared" si="10"/>
        <v>0</v>
      </c>
      <c r="BO53" s="318">
        <f t="shared" si="11"/>
        <v>0</v>
      </c>
      <c r="BQ53" s="323"/>
      <c r="BR53" s="323"/>
      <c r="BS53" s="323"/>
      <c r="BT53" s="323"/>
      <c r="BU53" s="377"/>
      <c r="BV53" s="369"/>
      <c r="BW53" s="369"/>
      <c r="BX53" s="369"/>
      <c r="BY53" s="369"/>
      <c r="BZ53" s="369"/>
      <c r="CA53" s="369"/>
      <c r="CB53" s="369"/>
      <c r="CC53" s="317">
        <f t="shared" si="12"/>
        <v>0</v>
      </c>
      <c r="CD53" s="318">
        <f t="shared" si="16"/>
        <v>0</v>
      </c>
      <c r="CE53" s="318">
        <f t="shared" si="15"/>
        <v>0</v>
      </c>
    </row>
    <row r="54" spans="1:83">
      <c r="A54" s="412" t="s">
        <v>239</v>
      </c>
      <c r="B54" s="413" t="s">
        <v>253</v>
      </c>
      <c r="C54" s="417">
        <v>3878376.9999999995</v>
      </c>
      <c r="D54" s="417">
        <v>2956714.6</v>
      </c>
      <c r="E54" s="417">
        <v>3264071</v>
      </c>
      <c r="F54" s="417">
        <v>1881599</v>
      </c>
      <c r="G54" s="417">
        <v>2182962.4</v>
      </c>
      <c r="H54" s="417">
        <v>2696097</v>
      </c>
      <c r="I54" s="417">
        <v>2568965.6</v>
      </c>
      <c r="J54" s="417">
        <v>2794486</v>
      </c>
      <c r="K54" s="417">
        <v>2460075</v>
      </c>
      <c r="L54" s="417">
        <v>800819.4</v>
      </c>
      <c r="M54" s="417">
        <v>744333.9</v>
      </c>
      <c r="N54" s="417">
        <v>888782.7</v>
      </c>
      <c r="O54" s="410">
        <f t="shared" si="0"/>
        <v>27117283.599999998</v>
      </c>
      <c r="P54" s="411">
        <f t="shared" si="1"/>
        <v>16859821</v>
      </c>
      <c r="Q54" s="411">
        <f t="shared" si="2"/>
        <v>20282191.999999996</v>
      </c>
      <c r="S54" s="198">
        <v>698481</v>
      </c>
      <c r="T54" s="198">
        <v>653542</v>
      </c>
      <c r="U54" s="198">
        <v>897936.00000000012</v>
      </c>
      <c r="V54" s="198">
        <v>897082.00000000023</v>
      </c>
      <c r="W54" s="198">
        <v>948327</v>
      </c>
      <c r="X54" s="198">
        <v>1038183.0000000001</v>
      </c>
      <c r="Y54" s="198">
        <v>969763.99999999977</v>
      </c>
      <c r="Z54" s="198">
        <v>888780</v>
      </c>
      <c r="AA54" s="198">
        <v>1135086</v>
      </c>
      <c r="AB54" s="198"/>
      <c r="AC54" s="198"/>
      <c r="AD54" s="198"/>
      <c r="AE54" s="31">
        <f t="shared" si="3"/>
        <v>8127181</v>
      </c>
      <c r="AF54" s="411">
        <f t="shared" si="4"/>
        <v>5133551</v>
      </c>
      <c r="AG54" s="411">
        <f t="shared" si="5"/>
        <v>2993630</v>
      </c>
      <c r="AI54" s="438" t="s">
        <v>239</v>
      </c>
      <c r="AJ54" s="439" t="s">
        <v>253</v>
      </c>
      <c r="AK54" s="350">
        <v>3403120.0599999996</v>
      </c>
      <c r="AL54" s="350">
        <v>3201631.16</v>
      </c>
      <c r="AM54" s="350">
        <v>4312618.2999999989</v>
      </c>
      <c r="AN54" s="350">
        <v>3084296.8999999994</v>
      </c>
      <c r="AO54" s="350">
        <v>3969756.9400000004</v>
      </c>
      <c r="AP54" s="350">
        <v>4511157.34</v>
      </c>
      <c r="AQ54" s="350"/>
      <c r="AR54" s="350"/>
      <c r="AS54" s="350"/>
      <c r="AT54" s="350"/>
      <c r="AU54" s="350"/>
      <c r="AV54" s="350"/>
      <c r="AW54" s="344">
        <f t="shared" si="6"/>
        <v>22482580.699999999</v>
      </c>
      <c r="AX54" s="345">
        <f t="shared" si="7"/>
        <v>22482580.699999999</v>
      </c>
      <c r="AY54" s="345">
        <f t="shared" si="8"/>
        <v>0</v>
      </c>
      <c r="BA54" s="323"/>
      <c r="BB54" s="323"/>
      <c r="BC54" s="323"/>
      <c r="BD54" s="323"/>
      <c r="BE54" s="377"/>
      <c r="BF54" s="369"/>
      <c r="BG54" s="369"/>
      <c r="BH54" s="369"/>
      <c r="BI54" s="369"/>
      <c r="BJ54" s="369"/>
      <c r="BK54" s="369"/>
      <c r="BL54" s="369"/>
      <c r="BM54" s="317">
        <f t="shared" si="9"/>
        <v>0</v>
      </c>
      <c r="BN54" s="318">
        <f t="shared" si="10"/>
        <v>0</v>
      </c>
      <c r="BO54" s="318">
        <f t="shared" si="11"/>
        <v>0</v>
      </c>
      <c r="BQ54" s="323"/>
      <c r="BR54" s="323"/>
      <c r="BS54" s="323"/>
      <c r="BT54" s="323"/>
      <c r="BU54" s="377"/>
      <c r="BV54" s="369"/>
      <c r="BW54" s="369"/>
      <c r="BX54" s="369"/>
      <c r="BY54" s="369"/>
      <c r="BZ54" s="369"/>
      <c r="CA54" s="369"/>
      <c r="CB54" s="369"/>
      <c r="CC54" s="317">
        <f t="shared" si="12"/>
        <v>0</v>
      </c>
      <c r="CD54" s="318">
        <f t="shared" si="16"/>
        <v>0</v>
      </c>
      <c r="CE54" s="318">
        <f t="shared" si="15"/>
        <v>0</v>
      </c>
    </row>
    <row r="55" spans="1:83">
      <c r="A55" s="412" t="s">
        <v>240</v>
      </c>
      <c r="B55" s="413" t="s">
        <v>253</v>
      </c>
      <c r="C55" s="417">
        <v>272376</v>
      </c>
      <c r="D55" s="417">
        <v>248294</v>
      </c>
      <c r="E55" s="417">
        <v>189864</v>
      </c>
      <c r="F55" s="417">
        <v>7608</v>
      </c>
      <c r="G55" s="417">
        <v>12252</v>
      </c>
      <c r="H55" s="417">
        <v>14436</v>
      </c>
      <c r="I55" s="417">
        <v>260687</v>
      </c>
      <c r="J55" s="417">
        <v>278243</v>
      </c>
      <c r="K55" s="417">
        <v>285624</v>
      </c>
      <c r="L55" s="417">
        <v>295980</v>
      </c>
      <c r="M55" s="417">
        <v>251949</v>
      </c>
      <c r="N55" s="417">
        <v>314543</v>
      </c>
      <c r="O55" s="410">
        <f t="shared" si="0"/>
        <v>2431856</v>
      </c>
      <c r="P55" s="411">
        <f t="shared" si="1"/>
        <v>744830</v>
      </c>
      <c r="Q55" s="411">
        <f t="shared" si="2"/>
        <v>1911186</v>
      </c>
      <c r="S55" s="198">
        <v>258228</v>
      </c>
      <c r="T55" s="198">
        <v>270947</v>
      </c>
      <c r="U55" s="198">
        <v>359274</v>
      </c>
      <c r="V55" s="198">
        <v>410356</v>
      </c>
      <c r="W55" s="198">
        <v>416068</v>
      </c>
      <c r="X55" s="198">
        <v>425269</v>
      </c>
      <c r="Y55" s="198">
        <v>316800</v>
      </c>
      <c r="Z55" s="198">
        <v>352440</v>
      </c>
      <c r="AA55" s="198">
        <v>419760</v>
      </c>
      <c r="AB55" s="198"/>
      <c r="AC55" s="198"/>
      <c r="AD55" s="198"/>
      <c r="AE55" s="31">
        <f t="shared" si="3"/>
        <v>3229142</v>
      </c>
      <c r="AF55" s="411">
        <f t="shared" si="4"/>
        <v>2140142</v>
      </c>
      <c r="AG55" s="411">
        <f t="shared" si="5"/>
        <v>1089000</v>
      </c>
      <c r="AI55" s="438" t="s">
        <v>240</v>
      </c>
      <c r="AJ55" s="439" t="s">
        <v>253</v>
      </c>
      <c r="AK55" s="350">
        <v>314972</v>
      </c>
      <c r="AL55" s="350">
        <v>365162</v>
      </c>
      <c r="AM55" s="350">
        <v>325665</v>
      </c>
      <c r="AN55" s="350">
        <v>316461</v>
      </c>
      <c r="AO55" s="350">
        <v>298735</v>
      </c>
      <c r="AP55" s="350">
        <v>313208</v>
      </c>
      <c r="AQ55" s="350"/>
      <c r="AR55" s="350"/>
      <c r="AS55" s="350"/>
      <c r="AT55" s="350"/>
      <c r="AU55" s="350"/>
      <c r="AV55" s="350"/>
      <c r="AW55" s="344">
        <f t="shared" si="6"/>
        <v>1934203</v>
      </c>
      <c r="AX55" s="345">
        <f t="shared" si="7"/>
        <v>1934203</v>
      </c>
      <c r="AY55" s="345">
        <f t="shared" si="8"/>
        <v>0</v>
      </c>
      <c r="BA55" s="323"/>
      <c r="BB55" s="323"/>
      <c r="BC55" s="323"/>
      <c r="BD55" s="323"/>
      <c r="BE55" s="377"/>
      <c r="BF55" s="369"/>
      <c r="BG55" s="369"/>
      <c r="BH55" s="369"/>
      <c r="BI55" s="369"/>
      <c r="BJ55" s="369"/>
      <c r="BK55" s="369"/>
      <c r="BL55" s="369"/>
      <c r="BM55" s="317">
        <f t="shared" si="9"/>
        <v>0</v>
      </c>
      <c r="BN55" s="318">
        <f t="shared" si="10"/>
        <v>0</v>
      </c>
      <c r="BO55" s="318">
        <f t="shared" si="11"/>
        <v>0</v>
      </c>
      <c r="BQ55" s="323"/>
      <c r="BR55" s="323"/>
      <c r="BS55" s="323"/>
      <c r="BT55" s="323"/>
      <c r="BU55" s="377"/>
      <c r="BV55" s="369"/>
      <c r="BW55" s="369"/>
      <c r="BX55" s="369"/>
      <c r="BY55" s="369"/>
      <c r="BZ55" s="369"/>
      <c r="CA55" s="369"/>
      <c r="CB55" s="369"/>
      <c r="CC55" s="317">
        <f t="shared" si="12"/>
        <v>0</v>
      </c>
      <c r="CD55" s="318">
        <f t="shared" si="16"/>
        <v>0</v>
      </c>
      <c r="CE55" s="318">
        <f t="shared" si="15"/>
        <v>0</v>
      </c>
    </row>
    <row r="56" spans="1:83">
      <c r="A56" s="412" t="s">
        <v>241</v>
      </c>
      <c r="B56" s="413" t="s">
        <v>254</v>
      </c>
      <c r="C56" s="432">
        <v>682747</v>
      </c>
      <c r="D56" s="432">
        <v>705693</v>
      </c>
      <c r="E56" s="432">
        <v>862518</v>
      </c>
      <c r="F56" s="432">
        <v>1953689</v>
      </c>
      <c r="G56" s="432">
        <v>1406261</v>
      </c>
      <c r="H56" s="432">
        <v>1174972</v>
      </c>
      <c r="I56" s="432">
        <v>1086158</v>
      </c>
      <c r="J56" s="432">
        <v>1113665</v>
      </c>
      <c r="K56" s="432">
        <v>838437</v>
      </c>
      <c r="L56" s="432">
        <v>0</v>
      </c>
      <c r="M56" s="432">
        <v>0</v>
      </c>
      <c r="N56" s="432">
        <v>0</v>
      </c>
      <c r="O56" s="410">
        <f t="shared" si="0"/>
        <v>9824140</v>
      </c>
      <c r="P56" s="411">
        <f t="shared" si="1"/>
        <v>6785880</v>
      </c>
      <c r="Q56" s="411">
        <f t="shared" si="2"/>
        <v>8435700</v>
      </c>
      <c r="S56" s="202">
        <v>5902</v>
      </c>
      <c r="T56" s="202">
        <v>4346</v>
      </c>
      <c r="U56" s="202">
        <v>7503</v>
      </c>
      <c r="V56" s="202">
        <v>19246</v>
      </c>
      <c r="W56" s="202">
        <v>26853</v>
      </c>
      <c r="X56" s="202">
        <v>25980</v>
      </c>
      <c r="Y56" s="202">
        <v>24985</v>
      </c>
      <c r="Z56" s="202">
        <v>14081</v>
      </c>
      <c r="AA56" s="202">
        <v>14303</v>
      </c>
      <c r="AB56" s="202"/>
      <c r="AC56" s="202"/>
      <c r="AD56" s="202"/>
      <c r="AE56" s="31">
        <f t="shared" si="3"/>
        <v>143199</v>
      </c>
      <c r="AF56" s="411">
        <f t="shared" si="4"/>
        <v>89830</v>
      </c>
      <c r="AG56" s="411">
        <f t="shared" si="5"/>
        <v>53369</v>
      </c>
      <c r="AI56" s="438" t="s">
        <v>241</v>
      </c>
      <c r="AJ56" s="439" t="s">
        <v>254</v>
      </c>
      <c r="AK56" s="354">
        <v>154828.78000000003</v>
      </c>
      <c r="AL56" s="354">
        <v>143906.82</v>
      </c>
      <c r="AM56" s="354">
        <v>182118.16</v>
      </c>
      <c r="AN56" s="354">
        <v>119309.49</v>
      </c>
      <c r="AO56" s="354">
        <v>144729.23000000001</v>
      </c>
      <c r="AP56" s="354">
        <v>156679.12</v>
      </c>
      <c r="AQ56" s="354"/>
      <c r="AR56" s="354"/>
      <c r="AS56" s="354"/>
      <c r="AT56" s="354"/>
      <c r="AU56" s="354"/>
      <c r="AV56" s="354"/>
      <c r="AW56" s="344">
        <f t="shared" si="6"/>
        <v>901571.6</v>
      </c>
      <c r="AX56" s="345">
        <f t="shared" si="7"/>
        <v>901571.6</v>
      </c>
      <c r="AY56" s="345">
        <f t="shared" si="8"/>
        <v>0</v>
      </c>
      <c r="BA56" s="327"/>
      <c r="BB56" s="327"/>
      <c r="BC56" s="327"/>
      <c r="BD56" s="327"/>
      <c r="BE56" s="381"/>
      <c r="BF56" s="373"/>
      <c r="BG56" s="373"/>
      <c r="BH56" s="373"/>
      <c r="BI56" s="373"/>
      <c r="BJ56" s="373"/>
      <c r="BK56" s="373"/>
      <c r="BL56" s="373"/>
      <c r="BM56" s="317">
        <f t="shared" si="9"/>
        <v>0</v>
      </c>
      <c r="BN56" s="318">
        <f t="shared" si="10"/>
        <v>0</v>
      </c>
      <c r="BO56" s="318">
        <f t="shared" si="11"/>
        <v>0</v>
      </c>
      <c r="BQ56" s="327"/>
      <c r="BR56" s="327"/>
      <c r="BS56" s="327"/>
      <c r="BT56" s="327"/>
      <c r="BU56" s="381"/>
      <c r="BV56" s="373"/>
      <c r="BW56" s="373"/>
      <c r="BX56" s="373"/>
      <c r="BY56" s="373"/>
      <c r="BZ56" s="373"/>
      <c r="CA56" s="373"/>
      <c r="CB56" s="373"/>
      <c r="CC56" s="317">
        <f t="shared" si="12"/>
        <v>0</v>
      </c>
      <c r="CD56" s="318">
        <f t="shared" si="16"/>
        <v>0</v>
      </c>
      <c r="CE56" s="318">
        <f t="shared" si="15"/>
        <v>0</v>
      </c>
    </row>
    <row r="57" spans="1:83">
      <c r="A57" s="412" t="s">
        <v>242</v>
      </c>
      <c r="B57" s="413" t="s">
        <v>254</v>
      </c>
      <c r="C57" s="432">
        <v>594</v>
      </c>
      <c r="D57" s="432">
        <v>638</v>
      </c>
      <c r="E57" s="432">
        <v>216</v>
      </c>
      <c r="F57" s="432">
        <v>120</v>
      </c>
      <c r="G57" s="432">
        <v>336</v>
      </c>
      <c r="H57" s="432">
        <v>450</v>
      </c>
      <c r="I57" s="432">
        <v>0</v>
      </c>
      <c r="J57" s="432">
        <v>0</v>
      </c>
      <c r="K57" s="432">
        <v>0</v>
      </c>
      <c r="L57" s="432">
        <v>0</v>
      </c>
      <c r="M57" s="432">
        <v>0</v>
      </c>
      <c r="N57" s="432">
        <v>0</v>
      </c>
      <c r="O57" s="410">
        <f t="shared" si="0"/>
        <v>2354</v>
      </c>
      <c r="P57" s="411">
        <f t="shared" si="1"/>
        <v>2354</v>
      </c>
      <c r="Q57" s="411">
        <f t="shared" si="2"/>
        <v>1122</v>
      </c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31">
        <f t="shared" si="3"/>
        <v>0</v>
      </c>
      <c r="AF57" s="411">
        <f t="shared" si="4"/>
        <v>0</v>
      </c>
      <c r="AG57" s="411">
        <f t="shared" si="5"/>
        <v>0</v>
      </c>
      <c r="AI57" s="438" t="s">
        <v>242</v>
      </c>
      <c r="AJ57" s="439" t="s">
        <v>254</v>
      </c>
      <c r="AK57" s="354"/>
      <c r="AL57" s="354"/>
      <c r="AM57" s="354"/>
      <c r="AN57" s="354"/>
      <c r="AO57" s="354"/>
      <c r="AP57" s="354"/>
      <c r="AQ57" s="354"/>
      <c r="AR57" s="354"/>
      <c r="AS57" s="354"/>
      <c r="AT57" s="354"/>
      <c r="AU57" s="354"/>
      <c r="AV57" s="354"/>
      <c r="AW57" s="344">
        <f t="shared" si="6"/>
        <v>0</v>
      </c>
      <c r="AX57" s="345">
        <f t="shared" si="7"/>
        <v>0</v>
      </c>
      <c r="AY57" s="345">
        <f t="shared" si="8"/>
        <v>0</v>
      </c>
      <c r="BA57" s="327"/>
      <c r="BB57" s="327"/>
      <c r="BC57" s="327"/>
      <c r="BD57" s="327"/>
      <c r="BE57" s="381"/>
      <c r="BF57" s="373"/>
      <c r="BG57" s="373"/>
      <c r="BH57" s="373"/>
      <c r="BI57" s="373"/>
      <c r="BJ57" s="373"/>
      <c r="BK57" s="373"/>
      <c r="BL57" s="373"/>
      <c r="BM57" s="317">
        <f t="shared" si="9"/>
        <v>0</v>
      </c>
      <c r="BN57" s="318">
        <f t="shared" si="10"/>
        <v>0</v>
      </c>
      <c r="BO57" s="318">
        <f t="shared" si="11"/>
        <v>0</v>
      </c>
      <c r="BQ57" s="327"/>
      <c r="BR57" s="327"/>
      <c r="BS57" s="327"/>
      <c r="BT57" s="327"/>
      <c r="BU57" s="381"/>
      <c r="BV57" s="373"/>
      <c r="BW57" s="373"/>
      <c r="BX57" s="373"/>
      <c r="BY57" s="373"/>
      <c r="BZ57" s="373"/>
      <c r="CA57" s="373"/>
      <c r="CB57" s="373"/>
      <c r="CC57" s="317">
        <f t="shared" si="12"/>
        <v>0</v>
      </c>
      <c r="CD57" s="318">
        <f t="shared" si="16"/>
        <v>0</v>
      </c>
      <c r="CE57" s="318">
        <f t="shared" si="15"/>
        <v>0</v>
      </c>
    </row>
    <row r="58" spans="1:83">
      <c r="A58" s="412" t="s">
        <v>243</v>
      </c>
      <c r="B58" s="413" t="s">
        <v>253</v>
      </c>
      <c r="C58" s="432">
        <v>97227.36</v>
      </c>
      <c r="D58" s="432">
        <v>111035.20999999999</v>
      </c>
      <c r="E58" s="432">
        <v>96275.329999999987</v>
      </c>
      <c r="F58" s="432">
        <v>69372.899999999994</v>
      </c>
      <c r="G58" s="432">
        <v>86998.55</v>
      </c>
      <c r="H58" s="432">
        <v>79074.05</v>
      </c>
      <c r="I58" s="432">
        <v>91792.41</v>
      </c>
      <c r="J58" s="432">
        <v>92909.57</v>
      </c>
      <c r="K58" s="432">
        <v>81179.75</v>
      </c>
      <c r="L58" s="432">
        <v>59070.3</v>
      </c>
      <c r="M58" s="432">
        <v>48901.15</v>
      </c>
      <c r="N58" s="432">
        <v>53612.05</v>
      </c>
      <c r="O58" s="410">
        <f t="shared" si="0"/>
        <v>967448.63000000024</v>
      </c>
      <c r="P58" s="411">
        <f t="shared" si="1"/>
        <v>539983.4</v>
      </c>
      <c r="Q58" s="411">
        <f t="shared" si="2"/>
        <v>759186.06000000017</v>
      </c>
      <c r="S58" s="202">
        <v>1847</v>
      </c>
      <c r="T58" s="202">
        <v>1170</v>
      </c>
      <c r="U58" s="202">
        <v>3884</v>
      </c>
      <c r="V58" s="202">
        <v>16945</v>
      </c>
      <c r="W58" s="202">
        <v>22926</v>
      </c>
      <c r="X58" s="202">
        <v>23680</v>
      </c>
      <c r="Y58" s="202">
        <v>22364</v>
      </c>
      <c r="Z58" s="202">
        <v>11080</v>
      </c>
      <c r="AA58" s="202">
        <v>13301</v>
      </c>
      <c r="AB58" s="202"/>
      <c r="AC58" s="202"/>
      <c r="AD58" s="202"/>
      <c r="AE58" s="31">
        <f t="shared" si="3"/>
        <v>117197</v>
      </c>
      <c r="AF58" s="411">
        <f t="shared" si="4"/>
        <v>70452</v>
      </c>
      <c r="AG58" s="411">
        <f t="shared" si="5"/>
        <v>46745</v>
      </c>
      <c r="AI58" s="438" t="s">
        <v>243</v>
      </c>
      <c r="AJ58" s="439" t="s">
        <v>253</v>
      </c>
      <c r="AK58" s="354">
        <v>162927.78000000003</v>
      </c>
      <c r="AL58" s="354">
        <v>158354.82</v>
      </c>
      <c r="AM58" s="354">
        <v>191324.16</v>
      </c>
      <c r="AN58" s="354">
        <v>113306.49</v>
      </c>
      <c r="AO58" s="354">
        <v>138365.23000000001</v>
      </c>
      <c r="AP58" s="354">
        <v>150739.12</v>
      </c>
      <c r="AQ58" s="354"/>
      <c r="AR58" s="354"/>
      <c r="AS58" s="354"/>
      <c r="AT58" s="354"/>
      <c r="AU58" s="354"/>
      <c r="AV58" s="354"/>
      <c r="AW58" s="344">
        <f t="shared" si="6"/>
        <v>915017.6</v>
      </c>
      <c r="AX58" s="345">
        <f t="shared" si="7"/>
        <v>915017.6</v>
      </c>
      <c r="AY58" s="345">
        <f t="shared" si="8"/>
        <v>0</v>
      </c>
      <c r="BA58" s="327"/>
      <c r="BB58" s="327"/>
      <c r="BC58" s="327"/>
      <c r="BD58" s="327"/>
      <c r="BE58" s="381"/>
      <c r="BF58" s="373"/>
      <c r="BG58" s="373"/>
      <c r="BH58" s="373"/>
      <c r="BI58" s="373"/>
      <c r="BJ58" s="373"/>
      <c r="BK58" s="373"/>
      <c r="BL58" s="373"/>
      <c r="BM58" s="317">
        <f t="shared" si="9"/>
        <v>0</v>
      </c>
      <c r="BN58" s="318">
        <f t="shared" si="10"/>
        <v>0</v>
      </c>
      <c r="BO58" s="318">
        <f t="shared" si="11"/>
        <v>0</v>
      </c>
      <c r="BQ58" s="327"/>
      <c r="BR58" s="327"/>
      <c r="BS58" s="327"/>
      <c r="BT58" s="327"/>
      <c r="BU58" s="381"/>
      <c r="BV58" s="373"/>
      <c r="BW58" s="373"/>
      <c r="BX58" s="373"/>
      <c r="BY58" s="373"/>
      <c r="BZ58" s="373"/>
      <c r="CA58" s="373"/>
      <c r="CB58" s="373"/>
      <c r="CC58" s="317">
        <f t="shared" si="12"/>
        <v>0</v>
      </c>
      <c r="CD58" s="318">
        <f t="shared" si="16"/>
        <v>0</v>
      </c>
      <c r="CE58" s="318">
        <f t="shared" si="15"/>
        <v>0</v>
      </c>
    </row>
    <row r="59" spans="1:83">
      <c r="A59" s="412" t="s">
        <v>244</v>
      </c>
      <c r="B59" s="413" t="s">
        <v>255</v>
      </c>
      <c r="C59" s="432">
        <v>66541</v>
      </c>
      <c r="D59" s="432">
        <v>36815</v>
      </c>
      <c r="E59" s="432">
        <v>29570</v>
      </c>
      <c r="F59" s="432">
        <v>0</v>
      </c>
      <c r="G59" s="432">
        <v>32661</v>
      </c>
      <c r="H59" s="432">
        <v>21045</v>
      </c>
      <c r="I59" s="432">
        <v>0</v>
      </c>
      <c r="J59" s="432">
        <v>0</v>
      </c>
      <c r="K59" s="432">
        <v>0</v>
      </c>
      <c r="L59" s="432">
        <v>30581</v>
      </c>
      <c r="M59" s="432">
        <v>17637</v>
      </c>
      <c r="N59" s="432">
        <v>45129</v>
      </c>
      <c r="O59" s="410">
        <f t="shared" si="0"/>
        <v>279979</v>
      </c>
      <c r="P59" s="411">
        <f t="shared" si="1"/>
        <v>186632</v>
      </c>
      <c r="Q59" s="411">
        <f t="shared" si="2"/>
        <v>176623</v>
      </c>
      <c r="S59" s="202">
        <v>8865</v>
      </c>
      <c r="T59" s="202">
        <v>25732</v>
      </c>
      <c r="U59" s="202">
        <v>38970</v>
      </c>
      <c r="V59" s="202">
        <v>30279</v>
      </c>
      <c r="W59" s="202">
        <v>20853</v>
      </c>
      <c r="X59" s="202">
        <v>16186</v>
      </c>
      <c r="Y59" s="202">
        <v>6976</v>
      </c>
      <c r="Z59" s="202">
        <v>24873</v>
      </c>
      <c r="AA59" s="202">
        <v>48595</v>
      </c>
      <c r="AB59" s="202">
        <v>34521</v>
      </c>
      <c r="AC59" s="202">
        <v>23755</v>
      </c>
      <c r="AD59" s="202">
        <v>23162</v>
      </c>
      <c r="AE59" s="31">
        <f t="shared" si="3"/>
        <v>302767</v>
      </c>
      <c r="AF59" s="411">
        <f t="shared" si="4"/>
        <v>140885</v>
      </c>
      <c r="AG59" s="411">
        <f t="shared" si="5"/>
        <v>161882</v>
      </c>
      <c r="AI59" s="438" t="s">
        <v>244</v>
      </c>
      <c r="AJ59" s="439" t="s">
        <v>255</v>
      </c>
      <c r="AK59" s="354">
        <v>21278</v>
      </c>
      <c r="AL59" s="354">
        <v>30363</v>
      </c>
      <c r="AM59" s="354">
        <v>20363</v>
      </c>
      <c r="AN59" s="354">
        <v>20022</v>
      </c>
      <c r="AO59" s="354">
        <v>19860</v>
      </c>
      <c r="AP59" s="354">
        <v>18005</v>
      </c>
      <c r="AQ59" s="354"/>
      <c r="AR59" s="354"/>
      <c r="AS59" s="354"/>
      <c r="AT59" s="354"/>
      <c r="AU59" s="354"/>
      <c r="AV59" s="354"/>
      <c r="AW59" s="344">
        <f t="shared" si="6"/>
        <v>129891</v>
      </c>
      <c r="AX59" s="345">
        <f t="shared" si="7"/>
        <v>129891</v>
      </c>
      <c r="AY59" s="345">
        <f t="shared" si="8"/>
        <v>0</v>
      </c>
      <c r="BA59" s="327"/>
      <c r="BB59" s="327"/>
      <c r="BC59" s="327"/>
      <c r="BD59" s="327"/>
      <c r="BE59" s="381"/>
      <c r="BF59" s="373"/>
      <c r="BG59" s="373"/>
      <c r="BH59" s="373"/>
      <c r="BI59" s="373"/>
      <c r="BJ59" s="373"/>
      <c r="BK59" s="373"/>
      <c r="BL59" s="373"/>
      <c r="BM59" s="317">
        <f t="shared" si="9"/>
        <v>0</v>
      </c>
      <c r="BN59" s="318">
        <f t="shared" si="10"/>
        <v>0</v>
      </c>
      <c r="BO59" s="318">
        <f t="shared" si="11"/>
        <v>0</v>
      </c>
      <c r="BQ59" s="327"/>
      <c r="BR59" s="327"/>
      <c r="BS59" s="327"/>
      <c r="BT59" s="327"/>
      <c r="BU59" s="381"/>
      <c r="BV59" s="373"/>
      <c r="BW59" s="373"/>
      <c r="BX59" s="373"/>
      <c r="BY59" s="373"/>
      <c r="BZ59" s="373"/>
      <c r="CA59" s="373"/>
      <c r="CB59" s="373"/>
      <c r="CC59" s="317">
        <f t="shared" si="12"/>
        <v>0</v>
      </c>
      <c r="CD59" s="318">
        <f t="shared" si="16"/>
        <v>0</v>
      </c>
      <c r="CE59" s="318">
        <f t="shared" si="15"/>
        <v>0</v>
      </c>
    </row>
    <row r="60" spans="1:83">
      <c r="A60" s="412" t="s">
        <v>245</v>
      </c>
      <c r="B60" s="413" t="s">
        <v>256</v>
      </c>
      <c r="C60" s="432"/>
      <c r="D60" s="432"/>
      <c r="E60" s="432"/>
      <c r="F60" s="432"/>
      <c r="G60" s="432"/>
      <c r="H60" s="432"/>
      <c r="I60" s="432"/>
      <c r="J60" s="432"/>
      <c r="K60" s="432"/>
      <c r="L60" s="432"/>
      <c r="M60" s="432"/>
      <c r="N60" s="432"/>
      <c r="O60" s="410">
        <f t="shared" si="0"/>
        <v>0</v>
      </c>
      <c r="P60" s="411">
        <f t="shared" si="1"/>
        <v>0</v>
      </c>
      <c r="Q60" s="411">
        <f t="shared" si="2"/>
        <v>0</v>
      </c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31">
        <f t="shared" si="3"/>
        <v>0</v>
      </c>
      <c r="AF60" s="411">
        <f t="shared" si="4"/>
        <v>0</v>
      </c>
      <c r="AG60" s="411">
        <f t="shared" si="5"/>
        <v>0</v>
      </c>
      <c r="AI60" s="438" t="s">
        <v>245</v>
      </c>
      <c r="AJ60" s="439" t="s">
        <v>256</v>
      </c>
      <c r="AK60" s="354"/>
      <c r="AL60" s="354"/>
      <c r="AM60" s="354"/>
      <c r="AN60" s="354"/>
      <c r="AO60" s="354"/>
      <c r="AP60" s="354"/>
      <c r="AQ60" s="354"/>
      <c r="AR60" s="354"/>
      <c r="AS60" s="354"/>
      <c r="AT60" s="354"/>
      <c r="AU60" s="354"/>
      <c r="AV60" s="354"/>
      <c r="AW60" s="344">
        <f t="shared" si="6"/>
        <v>0</v>
      </c>
      <c r="AX60" s="345">
        <f t="shared" si="7"/>
        <v>0</v>
      </c>
      <c r="AY60" s="345">
        <f t="shared" si="8"/>
        <v>0</v>
      </c>
      <c r="BA60" s="327"/>
      <c r="BB60" s="327"/>
      <c r="BC60" s="327"/>
      <c r="BD60" s="327"/>
      <c r="BE60" s="381"/>
      <c r="BF60" s="373"/>
      <c r="BG60" s="373"/>
      <c r="BH60" s="373"/>
      <c r="BI60" s="373"/>
      <c r="BJ60" s="373"/>
      <c r="BK60" s="373"/>
      <c r="BL60" s="373"/>
      <c r="BM60" s="317">
        <f t="shared" si="9"/>
        <v>0</v>
      </c>
      <c r="BN60" s="318">
        <f t="shared" si="10"/>
        <v>0</v>
      </c>
      <c r="BO60" s="318">
        <f t="shared" si="11"/>
        <v>0</v>
      </c>
      <c r="BQ60" s="327">
        <v>4970.8779999999997</v>
      </c>
      <c r="BR60" s="327">
        <v>4148.9660000000003</v>
      </c>
      <c r="BS60" s="327">
        <v>3937.7530000000002</v>
      </c>
      <c r="BT60" s="327">
        <v>4496.62</v>
      </c>
      <c r="BU60" s="381">
        <v>3438.067</v>
      </c>
      <c r="BV60" s="373">
        <v>3887.355</v>
      </c>
      <c r="BW60" s="373"/>
      <c r="BX60" s="373"/>
      <c r="BY60" s="373"/>
      <c r="BZ60" s="373"/>
      <c r="CA60" s="373"/>
      <c r="CB60" s="373"/>
      <c r="CC60" s="317">
        <f t="shared" si="12"/>
        <v>24879.638999999999</v>
      </c>
      <c r="CD60" s="318">
        <f t="shared" si="16"/>
        <v>24879.638999999999</v>
      </c>
      <c r="CE60" s="318">
        <f t="shared" si="15"/>
        <v>0</v>
      </c>
    </row>
    <row r="61" spans="1:83">
      <c r="A61" s="412" t="s">
        <v>269</v>
      </c>
      <c r="B61" s="413" t="s">
        <v>270</v>
      </c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10">
        <f t="shared" si="0"/>
        <v>0</v>
      </c>
      <c r="P61" s="411">
        <f t="shared" si="1"/>
        <v>0</v>
      </c>
      <c r="Q61" s="411">
        <f t="shared" si="2"/>
        <v>0</v>
      </c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31">
        <f t="shared" si="3"/>
        <v>0</v>
      </c>
      <c r="AF61" s="411">
        <f t="shared" si="4"/>
        <v>0</v>
      </c>
      <c r="AG61" s="411">
        <f t="shared" si="5"/>
        <v>0</v>
      </c>
      <c r="AI61" s="438" t="s">
        <v>269</v>
      </c>
      <c r="AJ61" s="439" t="s">
        <v>270</v>
      </c>
      <c r="AK61" s="354"/>
      <c r="AL61" s="354"/>
      <c r="AM61" s="354"/>
      <c r="AN61" s="354"/>
      <c r="AO61" s="354"/>
      <c r="AP61" s="354"/>
      <c r="AQ61" s="354"/>
      <c r="AR61" s="354"/>
      <c r="AS61" s="354"/>
      <c r="AT61" s="354"/>
      <c r="AU61" s="354"/>
      <c r="AV61" s="354"/>
      <c r="AW61" s="344">
        <f t="shared" si="6"/>
        <v>0</v>
      </c>
      <c r="AX61" s="345">
        <f t="shared" si="7"/>
        <v>0</v>
      </c>
      <c r="AY61" s="345">
        <f t="shared" si="8"/>
        <v>0</v>
      </c>
      <c r="BA61" s="327"/>
      <c r="BB61" s="327"/>
      <c r="BC61" s="327"/>
      <c r="BD61" s="327"/>
      <c r="BE61" s="381"/>
      <c r="BF61" s="373"/>
      <c r="BG61" s="373"/>
      <c r="BH61" s="373"/>
      <c r="BI61" s="373"/>
      <c r="BJ61" s="373"/>
      <c r="BK61" s="373"/>
      <c r="BL61" s="373"/>
      <c r="BM61" s="317">
        <f t="shared" si="9"/>
        <v>0</v>
      </c>
      <c r="BN61" s="318">
        <f t="shared" si="10"/>
        <v>0</v>
      </c>
      <c r="BO61" s="318">
        <f t="shared" si="11"/>
        <v>0</v>
      </c>
      <c r="BQ61" s="327"/>
      <c r="BR61" s="327"/>
      <c r="BS61" s="327"/>
      <c r="BT61" s="327"/>
      <c r="BU61" s="381"/>
      <c r="BV61" s="373"/>
      <c r="BW61" s="373"/>
      <c r="BX61" s="373"/>
      <c r="BY61" s="373"/>
      <c r="BZ61" s="373"/>
      <c r="CA61" s="373"/>
      <c r="CB61" s="373"/>
      <c r="CC61" s="317">
        <f t="shared" si="12"/>
        <v>0</v>
      </c>
      <c r="CD61" s="318">
        <f t="shared" si="16"/>
        <v>0</v>
      </c>
      <c r="CE61" s="318">
        <f t="shared" si="15"/>
        <v>0</v>
      </c>
    </row>
    <row r="62" spans="1:83">
      <c r="A62" s="412" t="s">
        <v>272</v>
      </c>
      <c r="B62" s="413" t="s">
        <v>271</v>
      </c>
      <c r="C62" s="432">
        <v>0</v>
      </c>
      <c r="D62" s="432">
        <v>0</v>
      </c>
      <c r="E62" s="432">
        <v>327.60000000000002</v>
      </c>
      <c r="F62" s="432">
        <v>0</v>
      </c>
      <c r="G62" s="432">
        <v>0</v>
      </c>
      <c r="H62" s="432">
        <v>0</v>
      </c>
      <c r="I62" s="432">
        <v>694</v>
      </c>
      <c r="J62" s="432">
        <v>494.4</v>
      </c>
      <c r="K62" s="432">
        <v>609</v>
      </c>
      <c r="L62" s="432">
        <v>1413.5</v>
      </c>
      <c r="M62" s="432">
        <v>1208.2</v>
      </c>
      <c r="N62" s="432">
        <v>1310.5</v>
      </c>
      <c r="O62" s="410">
        <f t="shared" si="0"/>
        <v>6057.2</v>
      </c>
      <c r="P62" s="411">
        <f t="shared" si="1"/>
        <v>327.60000000000002</v>
      </c>
      <c r="Q62" s="411">
        <f t="shared" si="2"/>
        <v>6057.2</v>
      </c>
      <c r="S62" s="202">
        <v>559.19999999999993</v>
      </c>
      <c r="T62" s="202">
        <v>723.6</v>
      </c>
      <c r="U62" s="202">
        <v>864</v>
      </c>
      <c r="V62" s="202">
        <v>0</v>
      </c>
      <c r="W62" s="202">
        <v>0</v>
      </c>
      <c r="X62" s="202">
        <v>0</v>
      </c>
      <c r="Y62" s="202">
        <v>0</v>
      </c>
      <c r="Z62" s="202">
        <v>186</v>
      </c>
      <c r="AA62" s="202">
        <v>0</v>
      </c>
      <c r="AB62" s="202">
        <v>0</v>
      </c>
      <c r="AC62" s="202">
        <v>2300</v>
      </c>
      <c r="AD62" s="202">
        <v>0</v>
      </c>
      <c r="AE62" s="31">
        <f t="shared" si="3"/>
        <v>4632.8</v>
      </c>
      <c r="AF62" s="411">
        <f t="shared" si="4"/>
        <v>2146.8000000000002</v>
      </c>
      <c r="AG62" s="411">
        <f t="shared" si="5"/>
        <v>2486</v>
      </c>
      <c r="AI62" s="438" t="s">
        <v>272</v>
      </c>
      <c r="AJ62" s="439" t="s">
        <v>271</v>
      </c>
      <c r="AK62" s="354">
        <v>1546.8</v>
      </c>
      <c r="AL62" s="354">
        <v>2063.2800000000002</v>
      </c>
      <c r="AM62" s="354">
        <v>1903.8</v>
      </c>
      <c r="AN62" s="354">
        <v>1926</v>
      </c>
      <c r="AO62" s="354">
        <v>1767.12</v>
      </c>
      <c r="AP62" s="354">
        <v>2147.7599999999998</v>
      </c>
      <c r="AQ62" s="354">
        <v>2220</v>
      </c>
      <c r="AR62" s="354">
        <v>2189.4</v>
      </c>
      <c r="AS62" s="354">
        <v>2120.4</v>
      </c>
      <c r="AT62" s="354">
        <v>613.19999999999993</v>
      </c>
      <c r="AU62" s="354">
        <v>183.6</v>
      </c>
      <c r="AV62" s="354">
        <v>0</v>
      </c>
      <c r="AW62" s="344">
        <f t="shared" si="6"/>
        <v>18681.36</v>
      </c>
      <c r="AX62" s="345">
        <f t="shared" si="7"/>
        <v>11354.76</v>
      </c>
      <c r="AY62" s="345">
        <f t="shared" si="8"/>
        <v>7326.5999999999995</v>
      </c>
      <c r="BA62" s="327"/>
      <c r="BB62" s="327"/>
      <c r="BC62" s="327"/>
      <c r="BD62" s="327"/>
      <c r="BE62" s="381"/>
      <c r="BF62" s="373"/>
      <c r="BG62" s="373"/>
      <c r="BH62" s="373"/>
      <c r="BI62" s="373"/>
      <c r="BJ62" s="373"/>
      <c r="BK62" s="373"/>
      <c r="BL62" s="373"/>
      <c r="BM62" s="317">
        <f t="shared" si="9"/>
        <v>0</v>
      </c>
      <c r="BN62" s="318">
        <f t="shared" si="10"/>
        <v>0</v>
      </c>
      <c r="BO62" s="318">
        <f t="shared" si="11"/>
        <v>0</v>
      </c>
      <c r="BQ62" s="327"/>
      <c r="BR62" s="327"/>
      <c r="BS62" s="327"/>
      <c r="BT62" s="327"/>
      <c r="BU62" s="381"/>
      <c r="BV62" s="373"/>
      <c r="BW62" s="373"/>
      <c r="BX62" s="373"/>
      <c r="BY62" s="373"/>
      <c r="BZ62" s="373"/>
      <c r="CA62" s="373"/>
      <c r="CB62" s="373"/>
      <c r="CC62" s="317">
        <f t="shared" si="12"/>
        <v>0</v>
      </c>
      <c r="CD62" s="318">
        <f t="shared" si="16"/>
        <v>0</v>
      </c>
      <c r="CE62" s="318">
        <f t="shared" si="15"/>
        <v>0</v>
      </c>
    </row>
    <row r="63" spans="1:83">
      <c r="A63" s="412" t="s">
        <v>273</v>
      </c>
      <c r="B63" s="413" t="s">
        <v>256</v>
      </c>
      <c r="C63" s="432">
        <v>139403.76</v>
      </c>
      <c r="D63" s="432">
        <v>139951.07999999999</v>
      </c>
      <c r="E63" s="432">
        <v>109362.95999999999</v>
      </c>
      <c r="F63" s="432">
        <v>125507.52</v>
      </c>
      <c r="G63" s="432">
        <v>157160.03999999998</v>
      </c>
      <c r="H63" s="432">
        <v>162053.87999999998</v>
      </c>
      <c r="I63" s="432">
        <v>113658.48000000001</v>
      </c>
      <c r="J63" s="432">
        <v>127299.12</v>
      </c>
      <c r="K63" s="432">
        <v>83332.320000000007</v>
      </c>
      <c r="L63" s="432">
        <v>109688.28</v>
      </c>
      <c r="M63" s="432">
        <v>113266.31999999999</v>
      </c>
      <c r="N63" s="432">
        <v>104823.83999999998</v>
      </c>
      <c r="O63" s="410">
        <f t="shared" si="0"/>
        <v>1485507.6</v>
      </c>
      <c r="P63" s="411">
        <f t="shared" si="1"/>
        <v>833439.23999999987</v>
      </c>
      <c r="Q63" s="411">
        <f t="shared" si="2"/>
        <v>1206152.76</v>
      </c>
      <c r="S63" s="202">
        <v>0</v>
      </c>
      <c r="T63" s="202">
        <v>0</v>
      </c>
      <c r="U63" s="202">
        <v>0</v>
      </c>
      <c r="V63" s="202">
        <v>96349.68</v>
      </c>
      <c r="W63" s="202">
        <v>67958.759999999995</v>
      </c>
      <c r="X63" s="202">
        <v>103370.64000000001</v>
      </c>
      <c r="Y63" s="202">
        <v>39776.399999999994</v>
      </c>
      <c r="Z63" s="202">
        <v>75948.959999999992</v>
      </c>
      <c r="AA63" s="202">
        <v>85981.319999999992</v>
      </c>
      <c r="AB63" s="202">
        <v>83982.6</v>
      </c>
      <c r="AC63" s="202">
        <v>99241.439999999988</v>
      </c>
      <c r="AD63" s="202">
        <v>86324.28</v>
      </c>
      <c r="AE63" s="31">
        <f t="shared" si="3"/>
        <v>738934.08</v>
      </c>
      <c r="AF63" s="411">
        <f t="shared" si="4"/>
        <v>267679.08</v>
      </c>
      <c r="AG63" s="411">
        <f t="shared" si="5"/>
        <v>471255</v>
      </c>
      <c r="AI63" s="438" t="s">
        <v>273</v>
      </c>
      <c r="AJ63" s="439" t="s">
        <v>256</v>
      </c>
      <c r="AK63" s="354">
        <v>97750.32</v>
      </c>
      <c r="AL63" s="354">
        <v>90379.920000000013</v>
      </c>
      <c r="AM63" s="354">
        <v>94536.960000000006</v>
      </c>
      <c r="AN63" s="354">
        <v>80820.72</v>
      </c>
      <c r="AO63" s="354">
        <v>99431.16</v>
      </c>
      <c r="AP63" s="354">
        <v>100504.68000000001</v>
      </c>
      <c r="AQ63" s="354">
        <v>91037.28</v>
      </c>
      <c r="AR63" s="354">
        <v>164975.16</v>
      </c>
      <c r="AS63" s="354">
        <v>111993.96</v>
      </c>
      <c r="AT63" s="354">
        <v>74084.040000000008</v>
      </c>
      <c r="AU63" s="354">
        <v>63776.399999999994</v>
      </c>
      <c r="AV63" s="354">
        <v>57861.36</v>
      </c>
      <c r="AW63" s="344">
        <f t="shared" si="6"/>
        <v>1127151.9600000002</v>
      </c>
      <c r="AX63" s="345">
        <f t="shared" si="7"/>
        <v>563423.76000000013</v>
      </c>
      <c r="AY63" s="345">
        <f t="shared" si="8"/>
        <v>563728.20000000007</v>
      </c>
      <c r="BA63" s="327">
        <v>63193.32</v>
      </c>
      <c r="BB63" s="327">
        <v>83362.319999999992</v>
      </c>
      <c r="BC63" s="327">
        <v>82583.999999999985</v>
      </c>
      <c r="BD63" s="327">
        <v>88638.48000000001</v>
      </c>
      <c r="BE63" s="381">
        <v>92713.319999999992</v>
      </c>
      <c r="BF63" s="373">
        <v>77126.880000000005</v>
      </c>
      <c r="BG63" s="373"/>
      <c r="BH63" s="373"/>
      <c r="BI63" s="373"/>
      <c r="BJ63" s="373"/>
      <c r="BK63" s="373"/>
      <c r="BL63" s="373"/>
      <c r="BM63" s="317">
        <f t="shared" si="9"/>
        <v>487618.32</v>
      </c>
      <c r="BN63" s="318">
        <f>SUM(BA63:BF63)</f>
        <v>487618.32</v>
      </c>
      <c r="BO63" s="318">
        <f t="shared" si="11"/>
        <v>0</v>
      </c>
      <c r="BQ63" s="327"/>
      <c r="BR63" s="327"/>
      <c r="BS63" s="327"/>
      <c r="BT63" s="327"/>
      <c r="BU63" s="381"/>
      <c r="BV63" s="373"/>
      <c r="BW63" s="373"/>
      <c r="BX63" s="373"/>
      <c r="BY63" s="373"/>
      <c r="BZ63" s="373"/>
      <c r="CA63" s="373"/>
      <c r="CB63" s="373"/>
      <c r="CC63" s="317">
        <f t="shared" si="12"/>
        <v>0</v>
      </c>
      <c r="CD63" s="318">
        <f t="shared" si="16"/>
        <v>0</v>
      </c>
      <c r="CE63" s="318">
        <f t="shared" si="15"/>
        <v>0</v>
      </c>
    </row>
    <row r="64" spans="1:83" ht="15.5" thickBot="1">
      <c r="P64">
        <f t="shared" si="1"/>
        <v>0</v>
      </c>
      <c r="Q64">
        <f t="shared" si="2"/>
        <v>0</v>
      </c>
    </row>
    <row r="65" spans="1:17" ht="32.5" thickTop="1" thickBot="1">
      <c r="A65" s="446" t="s">
        <v>189</v>
      </c>
      <c r="B65" s="236" t="s">
        <v>246</v>
      </c>
      <c r="C65" s="238" t="s">
        <v>257</v>
      </c>
      <c r="D65" s="239" t="s">
        <v>258</v>
      </c>
      <c r="E65" s="239" t="s">
        <v>259</v>
      </c>
      <c r="F65" s="240" t="s">
        <v>260</v>
      </c>
      <c r="G65" s="240" t="s">
        <v>261</v>
      </c>
      <c r="H65" s="240" t="s">
        <v>262</v>
      </c>
      <c r="I65" s="240" t="s">
        <v>263</v>
      </c>
      <c r="J65" s="240" t="s">
        <v>264</v>
      </c>
      <c r="K65" s="240" t="s">
        <v>265</v>
      </c>
      <c r="L65" s="240" t="s">
        <v>266</v>
      </c>
      <c r="M65" s="240" t="s">
        <v>267</v>
      </c>
      <c r="N65" s="240" t="s">
        <v>268</v>
      </c>
      <c r="O65" s="241" t="s">
        <v>188</v>
      </c>
      <c r="P65" s="241" t="s">
        <v>488</v>
      </c>
      <c r="Q65" s="241" t="s">
        <v>489</v>
      </c>
    </row>
    <row r="66" spans="1:17" ht="16.5" thickTop="1">
      <c r="A66" s="23" t="s">
        <v>190</v>
      </c>
      <c r="B66" s="447" t="s">
        <v>247</v>
      </c>
      <c r="C66" s="29">
        <v>149678.6</v>
      </c>
      <c r="D66" s="29">
        <v>133444.04999999999</v>
      </c>
      <c r="E66" s="29">
        <v>155181.20000000001</v>
      </c>
      <c r="F66" s="29">
        <v>132461.89155204766</v>
      </c>
      <c r="G66" s="29">
        <v>151931.02674098869</v>
      </c>
      <c r="H66" s="29">
        <v>170660.59692739643</v>
      </c>
      <c r="I66" s="29">
        <v>188473.91902442576</v>
      </c>
      <c r="J66" s="29">
        <v>182757.1354699723</v>
      </c>
      <c r="K66" s="29">
        <v>177111.46881523993</v>
      </c>
      <c r="L66" s="29">
        <v>161272.00100972838</v>
      </c>
      <c r="M66" s="29">
        <v>147155.25594749447</v>
      </c>
      <c r="N66" s="29">
        <v>186348.24081698319</v>
      </c>
      <c r="O66" s="448">
        <f>SUM(C66:N66)</f>
        <v>1936475.3863042768</v>
      </c>
      <c r="P66" s="411">
        <f>SUM(C66:H66)</f>
        <v>893357.36522043287</v>
      </c>
      <c r="Q66" s="411">
        <f t="shared" si="2"/>
        <v>1653352.7363042766</v>
      </c>
    </row>
    <row r="67" spans="1:17">
      <c r="A67" s="24" t="s">
        <v>191</v>
      </c>
      <c r="B67" s="449" t="s">
        <v>247</v>
      </c>
      <c r="C67" s="30">
        <v>42229.903999999995</v>
      </c>
      <c r="D67" s="30">
        <v>35688.972000000002</v>
      </c>
      <c r="E67" s="30">
        <v>44896.517999999996</v>
      </c>
      <c r="F67" s="30">
        <v>35676.299999999996</v>
      </c>
      <c r="G67" s="30">
        <v>36655.000000000007</v>
      </c>
      <c r="H67" s="30">
        <v>42328.599999999991</v>
      </c>
      <c r="I67" s="30">
        <v>50716.299999999996</v>
      </c>
      <c r="J67" s="30">
        <v>55182.6</v>
      </c>
      <c r="K67" s="30">
        <v>44773.700000000004</v>
      </c>
      <c r="L67" s="30">
        <v>42771.31878007565</v>
      </c>
      <c r="M67" s="30">
        <v>53880.318858673971</v>
      </c>
      <c r="N67" s="30">
        <v>57910.209644674585</v>
      </c>
      <c r="O67" s="448">
        <f t="shared" ref="O67:O126" si="17">SUM(C67:N67)</f>
        <v>542709.7412834242</v>
      </c>
      <c r="P67" s="411">
        <f t="shared" ref="P67:P126" si="18">SUM(C67:H67)</f>
        <v>237475.29399999999</v>
      </c>
      <c r="Q67" s="411">
        <f t="shared" si="2"/>
        <v>464790.86528342415</v>
      </c>
    </row>
    <row r="68" spans="1:17">
      <c r="A68" s="24" t="s">
        <v>192</v>
      </c>
      <c r="B68" s="449" t="s">
        <v>247</v>
      </c>
      <c r="C68" s="30">
        <v>191908.50400000002</v>
      </c>
      <c r="D68" s="30">
        <v>169133.022</v>
      </c>
      <c r="E68" s="30">
        <v>200077.71799999999</v>
      </c>
      <c r="F68" s="30">
        <v>168138.19155204765</v>
      </c>
      <c r="G68" s="30">
        <v>188586.02674098869</v>
      </c>
      <c r="H68" s="30">
        <v>212989.19692739641</v>
      </c>
      <c r="I68" s="30">
        <v>239190.21902442575</v>
      </c>
      <c r="J68" s="30">
        <v>237939.73546997231</v>
      </c>
      <c r="K68" s="30">
        <v>221885.16881523994</v>
      </c>
      <c r="L68" s="30">
        <v>204043.31978980402</v>
      </c>
      <c r="M68" s="30">
        <v>201035.57480616844</v>
      </c>
      <c r="N68" s="30">
        <v>244258.45046165778</v>
      </c>
      <c r="O68" s="448">
        <f t="shared" si="17"/>
        <v>2479185.1275877012</v>
      </c>
      <c r="P68" s="411">
        <f t="shared" si="18"/>
        <v>1130832.6592204326</v>
      </c>
      <c r="Q68" s="411">
        <f t="shared" ref="Q68:Q126" si="19">SUM(E68:N68)</f>
        <v>2118143.6015877011</v>
      </c>
    </row>
    <row r="69" spans="1:17">
      <c r="A69" s="24" t="s">
        <v>193</v>
      </c>
      <c r="B69" s="449" t="s">
        <v>248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448">
        <f t="shared" si="17"/>
        <v>0</v>
      </c>
      <c r="P69" s="411">
        <f t="shared" si="18"/>
        <v>0</v>
      </c>
      <c r="Q69" s="411">
        <f t="shared" si="19"/>
        <v>0</v>
      </c>
    </row>
    <row r="70" spans="1:17">
      <c r="A70" s="24" t="s">
        <v>194</v>
      </c>
      <c r="B70" s="449" t="s">
        <v>249</v>
      </c>
      <c r="C70" s="260">
        <v>30385.819999999996</v>
      </c>
      <c r="D70" s="260">
        <v>28310.429999999997</v>
      </c>
      <c r="E70" s="260">
        <v>46132.18</v>
      </c>
      <c r="F70" s="260">
        <v>31748.43</v>
      </c>
      <c r="G70" s="260">
        <v>37296.339999999997</v>
      </c>
      <c r="H70" s="260">
        <v>36627.94</v>
      </c>
      <c r="I70" s="260">
        <v>40728.82</v>
      </c>
      <c r="J70" s="260">
        <v>36089.54</v>
      </c>
      <c r="K70" s="260">
        <v>40753.629999999997</v>
      </c>
      <c r="L70" s="260">
        <v>35365.64</v>
      </c>
      <c r="M70" s="260">
        <v>20647.219999999998</v>
      </c>
      <c r="N70" s="260">
        <v>31284.880000000001</v>
      </c>
      <c r="O70" s="448">
        <f t="shared" si="17"/>
        <v>415370.87</v>
      </c>
      <c r="P70" s="411">
        <f t="shared" si="18"/>
        <v>210501.13999999998</v>
      </c>
      <c r="Q70" s="411">
        <f t="shared" si="19"/>
        <v>356674.62</v>
      </c>
    </row>
    <row r="71" spans="1:17">
      <c r="A71" s="24" t="s">
        <v>195</v>
      </c>
      <c r="B71" s="449" t="s">
        <v>249</v>
      </c>
      <c r="C71" s="260">
        <v>2396.4130299999993</v>
      </c>
      <c r="D71" s="260">
        <v>2043.4919800000002</v>
      </c>
      <c r="E71" s="260">
        <v>2329.3112999999994</v>
      </c>
      <c r="F71" s="260">
        <v>910.30852400000003</v>
      </c>
      <c r="G71" s="260">
        <v>861.12687000000005</v>
      </c>
      <c r="H71" s="260">
        <v>963.28159999999991</v>
      </c>
      <c r="I71" s="260">
        <v>612.35107999999991</v>
      </c>
      <c r="J71" s="260">
        <v>933.54239999999993</v>
      </c>
      <c r="K71" s="260">
        <v>1454.1302800000001</v>
      </c>
      <c r="L71" s="260">
        <v>910.47300000000007</v>
      </c>
      <c r="M71" s="260">
        <v>683.53095000000008</v>
      </c>
      <c r="N71" s="260">
        <v>992.05250000000001</v>
      </c>
      <c r="O71" s="448">
        <f t="shared" si="17"/>
        <v>15090.013514</v>
      </c>
      <c r="P71" s="411">
        <f t="shared" si="18"/>
        <v>9503.9333040000001</v>
      </c>
      <c r="Q71" s="411">
        <f t="shared" si="19"/>
        <v>10650.108504000002</v>
      </c>
    </row>
    <row r="72" spans="1:17">
      <c r="A72" s="24" t="s">
        <v>196</v>
      </c>
      <c r="B72" s="449" t="s">
        <v>249</v>
      </c>
      <c r="C72" s="112">
        <v>519.91499999999996</v>
      </c>
      <c r="D72" s="112">
        <v>424.26400000000001</v>
      </c>
      <c r="E72" s="112">
        <v>630.07099999999991</v>
      </c>
      <c r="F72" s="112">
        <v>589.255</v>
      </c>
      <c r="G72" s="112">
        <v>847.56700000000023</v>
      </c>
      <c r="H72" s="112">
        <v>633.10900000000004</v>
      </c>
      <c r="I72" s="112">
        <v>718.69399999999996</v>
      </c>
      <c r="J72" s="112">
        <v>783.39099999999996</v>
      </c>
      <c r="K72" s="112">
        <v>715.06500000000005</v>
      </c>
      <c r="L72" s="112">
        <v>854.95</v>
      </c>
      <c r="M72" s="112">
        <v>593.16800000000001</v>
      </c>
      <c r="N72" s="112">
        <v>602.55499999999995</v>
      </c>
      <c r="O72" s="448">
        <f t="shared" si="17"/>
        <v>7912.0039999999999</v>
      </c>
      <c r="P72" s="411">
        <f t="shared" si="18"/>
        <v>3644.181</v>
      </c>
      <c r="Q72" s="411">
        <f t="shared" si="19"/>
        <v>6967.8249999999998</v>
      </c>
    </row>
    <row r="73" spans="1:17">
      <c r="A73" s="24" t="s">
        <v>197</v>
      </c>
      <c r="B73" s="32" t="s">
        <v>249</v>
      </c>
      <c r="C73" s="390">
        <v>255.02200000000008</v>
      </c>
      <c r="D73" s="390">
        <v>175.214</v>
      </c>
      <c r="E73" s="390">
        <v>185.9</v>
      </c>
      <c r="F73" s="390">
        <v>178.58199999999997</v>
      </c>
      <c r="G73" s="390">
        <v>205.471</v>
      </c>
      <c r="H73" s="390">
        <v>225.25400000000002</v>
      </c>
      <c r="I73" s="390">
        <v>253.02099999999999</v>
      </c>
      <c r="J73" s="390">
        <v>282.11200000000002</v>
      </c>
      <c r="K73" s="390">
        <v>243.46599999999998</v>
      </c>
      <c r="L73" s="390">
        <v>245.80500000000001</v>
      </c>
      <c r="M73" s="390">
        <v>250.11600000000001</v>
      </c>
      <c r="N73" s="390">
        <v>260.233</v>
      </c>
      <c r="O73" s="448">
        <f t="shared" si="17"/>
        <v>2760.1960000000004</v>
      </c>
      <c r="P73" s="411">
        <f t="shared" si="18"/>
        <v>1225.4430000000002</v>
      </c>
      <c r="Q73" s="411">
        <f t="shared" si="19"/>
        <v>2329.9600000000005</v>
      </c>
    </row>
    <row r="74" spans="1:17">
      <c r="A74" s="24" t="s">
        <v>198</v>
      </c>
      <c r="B74" s="449" t="s">
        <v>249</v>
      </c>
      <c r="C74" s="390">
        <v>1103.7619999999999</v>
      </c>
      <c r="D74" s="390">
        <v>1040.319</v>
      </c>
      <c r="E74" s="390">
        <v>1036.605</v>
      </c>
      <c r="F74" s="390">
        <v>1043.27</v>
      </c>
      <c r="G74" s="390">
        <v>1281.636</v>
      </c>
      <c r="H74" s="390">
        <v>1152.952</v>
      </c>
      <c r="I74" s="390">
        <v>1576.9480000000001</v>
      </c>
      <c r="J74" s="390">
        <v>1302.347</v>
      </c>
      <c r="K74" s="390">
        <v>1316.5630000000001</v>
      </c>
      <c r="L74" s="390">
        <v>1346.0820000000001</v>
      </c>
      <c r="M74" s="390">
        <v>1238.4780000000001</v>
      </c>
      <c r="N74" s="390">
        <v>1701.9760000000001</v>
      </c>
      <c r="O74" s="448">
        <f t="shared" si="17"/>
        <v>15140.938</v>
      </c>
      <c r="P74" s="411">
        <f t="shared" si="18"/>
        <v>6658.5440000000008</v>
      </c>
      <c r="Q74" s="411">
        <f t="shared" si="19"/>
        <v>12996.857000000002</v>
      </c>
    </row>
    <row r="75" spans="1:17">
      <c r="A75" s="24" t="s">
        <v>199</v>
      </c>
      <c r="B75" s="449" t="s">
        <v>250</v>
      </c>
      <c r="C75" s="450">
        <v>72.805000000000007</v>
      </c>
      <c r="D75" s="450">
        <v>122.267</v>
      </c>
      <c r="E75" s="450">
        <v>120.91800000000001</v>
      </c>
      <c r="F75" s="450">
        <v>84.421999999999997</v>
      </c>
      <c r="G75" s="450">
        <v>163.947</v>
      </c>
      <c r="H75" s="450">
        <v>153.75399999999999</v>
      </c>
      <c r="I75" s="450">
        <v>104.754</v>
      </c>
      <c r="J75" s="450">
        <v>52.918999999999997</v>
      </c>
      <c r="K75" s="450">
        <v>204.28200000000001</v>
      </c>
      <c r="L75" s="450">
        <v>46.280999999999999</v>
      </c>
      <c r="M75" s="450">
        <v>230.77099999999999</v>
      </c>
      <c r="N75" s="450">
        <v>161.798</v>
      </c>
      <c r="O75" s="448">
        <f t="shared" si="17"/>
        <v>1518.9179999999999</v>
      </c>
      <c r="P75" s="411">
        <f t="shared" si="18"/>
        <v>718.11300000000006</v>
      </c>
      <c r="Q75" s="411">
        <f t="shared" si="19"/>
        <v>1323.846</v>
      </c>
    </row>
    <row r="76" spans="1:17">
      <c r="A76" s="24" t="s">
        <v>200</v>
      </c>
      <c r="B76" s="449" t="s">
        <v>249</v>
      </c>
      <c r="C76" s="260">
        <v>1006.2</v>
      </c>
      <c r="D76" s="260">
        <v>769.55</v>
      </c>
      <c r="E76" s="260">
        <v>549.1</v>
      </c>
      <c r="F76" s="260">
        <v>0</v>
      </c>
      <c r="G76" s="260">
        <v>0</v>
      </c>
      <c r="H76" s="260">
        <v>0</v>
      </c>
      <c r="I76" s="260">
        <v>882.75</v>
      </c>
      <c r="J76" s="260">
        <v>861.9</v>
      </c>
      <c r="K76" s="260">
        <v>1026</v>
      </c>
      <c r="L76" s="260">
        <v>1263.5</v>
      </c>
      <c r="M76" s="260">
        <v>1311.46</v>
      </c>
      <c r="N76" s="260">
        <v>978.28</v>
      </c>
      <c r="O76" s="448">
        <f t="shared" si="17"/>
        <v>8648.74</v>
      </c>
      <c r="P76" s="411">
        <f t="shared" si="18"/>
        <v>2324.85</v>
      </c>
      <c r="Q76" s="411">
        <f t="shared" si="19"/>
        <v>6872.99</v>
      </c>
    </row>
    <row r="77" spans="1:17">
      <c r="A77" s="25" t="s">
        <v>201</v>
      </c>
      <c r="B77" s="449" t="s">
        <v>251</v>
      </c>
      <c r="C77" s="113">
        <v>71455794.650000006</v>
      </c>
      <c r="D77" s="113">
        <v>66161413.450800002</v>
      </c>
      <c r="E77" s="113">
        <v>72167694.021899998</v>
      </c>
      <c r="F77" s="113">
        <v>70759744.25029999</v>
      </c>
      <c r="G77" s="113">
        <v>75319064.495800003</v>
      </c>
      <c r="H77" s="113">
        <v>71751888.539999992</v>
      </c>
      <c r="I77" s="113">
        <v>75870523.204999998</v>
      </c>
      <c r="J77" s="113">
        <v>76223872.435000002</v>
      </c>
      <c r="K77" s="113">
        <v>74277122.825000018</v>
      </c>
      <c r="L77" s="113">
        <v>75236445.614999995</v>
      </c>
      <c r="M77" s="113">
        <v>72233918.200000003</v>
      </c>
      <c r="N77" s="113">
        <v>74646969.220000014</v>
      </c>
      <c r="O77" s="448">
        <f t="shared" si="17"/>
        <v>876104450.90880013</v>
      </c>
      <c r="P77" s="411">
        <f t="shared" si="18"/>
        <v>427615599.40880001</v>
      </c>
      <c r="Q77" s="411">
        <f t="shared" si="19"/>
        <v>738487242.80800009</v>
      </c>
    </row>
    <row r="78" spans="1:17">
      <c r="A78" s="26" t="s">
        <v>202</v>
      </c>
      <c r="B78" s="449" t="s">
        <v>251</v>
      </c>
      <c r="C78" s="390">
        <v>63426018.25</v>
      </c>
      <c r="D78" s="390">
        <v>58335652.050799996</v>
      </c>
      <c r="E78" s="390">
        <v>64231767.821900003</v>
      </c>
      <c r="F78" s="390">
        <v>63494061.610299997</v>
      </c>
      <c r="G78" s="390">
        <v>68843808.095799997</v>
      </c>
      <c r="H78" s="390">
        <v>64589414.439999998</v>
      </c>
      <c r="I78" s="390">
        <v>68573746.052000001</v>
      </c>
      <c r="J78" s="390">
        <v>68986487.513999999</v>
      </c>
      <c r="K78" s="390">
        <v>66446899.555000007</v>
      </c>
      <c r="L78" s="390">
        <v>66599278.897999994</v>
      </c>
      <c r="M78" s="390">
        <v>64473177.442000002</v>
      </c>
      <c r="N78" s="390">
        <v>66671121.000000007</v>
      </c>
      <c r="O78" s="448">
        <f t="shared" si="17"/>
        <v>784671432.72980011</v>
      </c>
      <c r="P78" s="411">
        <f t="shared" si="18"/>
        <v>382920722.26880002</v>
      </c>
      <c r="Q78" s="411">
        <f t="shared" si="19"/>
        <v>662909762.42900002</v>
      </c>
    </row>
    <row r="79" spans="1:17">
      <c r="A79" s="27" t="s">
        <v>203</v>
      </c>
      <c r="B79" s="449" t="s">
        <v>251</v>
      </c>
      <c r="C79" s="390">
        <v>31314708.100000001</v>
      </c>
      <c r="D79" s="390">
        <v>22133213.300000001</v>
      </c>
      <c r="E79" s="390">
        <v>24881510.199999999</v>
      </c>
      <c r="F79" s="390">
        <v>29433679.800000001</v>
      </c>
      <c r="G79" s="390">
        <v>36204527.5</v>
      </c>
      <c r="H79" s="390">
        <v>28160860.800000001</v>
      </c>
      <c r="I79" s="390">
        <v>23599011.219999999</v>
      </c>
      <c r="J79" s="390">
        <v>19608755.163999997</v>
      </c>
      <c r="K79" s="390">
        <v>19818512.535</v>
      </c>
      <c r="L79" s="390">
        <v>31869996.526999999</v>
      </c>
      <c r="M79" s="390">
        <v>32536607.329999998</v>
      </c>
      <c r="N79" s="390">
        <v>41368103.050000004</v>
      </c>
      <c r="O79" s="448">
        <f t="shared" si="17"/>
        <v>340929485.52600002</v>
      </c>
      <c r="P79" s="411">
        <f t="shared" si="18"/>
        <v>172128499.70000002</v>
      </c>
      <c r="Q79" s="411">
        <f t="shared" si="19"/>
        <v>287481564.12599999</v>
      </c>
    </row>
    <row r="80" spans="1:17">
      <c r="A80" s="27" t="s">
        <v>204</v>
      </c>
      <c r="B80" s="449" t="s">
        <v>251</v>
      </c>
      <c r="C80" s="390">
        <v>11506887.5</v>
      </c>
      <c r="D80" s="390">
        <v>17777246.739999998</v>
      </c>
      <c r="E80" s="390">
        <v>18981266.800000001</v>
      </c>
      <c r="F80" s="390">
        <v>15032741.790999999</v>
      </c>
      <c r="G80" s="390">
        <v>15662122.809999999</v>
      </c>
      <c r="H80" s="390">
        <v>17308253.34</v>
      </c>
      <c r="I80" s="390">
        <v>23585799.285</v>
      </c>
      <c r="J80" s="390">
        <v>22766117.201000001</v>
      </c>
      <c r="K80" s="390">
        <v>17353969.190000001</v>
      </c>
      <c r="L80" s="390">
        <v>12222879.358000001</v>
      </c>
      <c r="M80" s="390">
        <v>13074044</v>
      </c>
      <c r="N80" s="390">
        <v>5528350</v>
      </c>
      <c r="O80" s="448">
        <f t="shared" si="17"/>
        <v>190799678.01500002</v>
      </c>
      <c r="P80" s="411">
        <f t="shared" si="18"/>
        <v>96268518.981000006</v>
      </c>
      <c r="Q80" s="411">
        <f t="shared" si="19"/>
        <v>161515543.77500001</v>
      </c>
    </row>
    <row r="81" spans="1:17">
      <c r="A81" s="27" t="s">
        <v>205</v>
      </c>
      <c r="B81" s="449" t="s">
        <v>251</v>
      </c>
      <c r="C81" s="390">
        <v>1593243.85</v>
      </c>
      <c r="D81" s="390">
        <v>1411734.8108000001</v>
      </c>
      <c r="E81" s="390">
        <v>1501890.6218999999</v>
      </c>
      <c r="F81" s="390">
        <v>1470827.1192999999</v>
      </c>
      <c r="G81" s="390">
        <v>1417354.1858000001</v>
      </c>
      <c r="H81" s="390">
        <v>1414024.4</v>
      </c>
      <c r="I81" s="390">
        <v>1620532.7</v>
      </c>
      <c r="J81" s="390">
        <v>1585967.17</v>
      </c>
      <c r="K81" s="390">
        <v>1541045.34</v>
      </c>
      <c r="L81" s="390">
        <v>1440660.3</v>
      </c>
      <c r="M81" s="390">
        <v>1427242.7</v>
      </c>
      <c r="N81" s="390">
        <v>1380602.5699999998</v>
      </c>
      <c r="O81" s="448">
        <f t="shared" si="17"/>
        <v>17805125.7678</v>
      </c>
      <c r="P81" s="411">
        <f t="shared" si="18"/>
        <v>8809074.9878000002</v>
      </c>
      <c r="Q81" s="411">
        <f t="shared" si="19"/>
        <v>14800147.107000001</v>
      </c>
    </row>
    <row r="82" spans="1:17">
      <c r="A82" s="27" t="s">
        <v>206</v>
      </c>
      <c r="B82" s="449" t="s">
        <v>251</v>
      </c>
      <c r="C82" s="390">
        <v>0</v>
      </c>
      <c r="D82" s="390">
        <v>0</v>
      </c>
      <c r="E82" s="390">
        <v>0</v>
      </c>
      <c r="F82" s="390">
        <v>0</v>
      </c>
      <c r="G82" s="390">
        <v>0</v>
      </c>
      <c r="H82" s="390">
        <v>0</v>
      </c>
      <c r="I82" s="390">
        <v>0</v>
      </c>
      <c r="J82" s="390">
        <v>0</v>
      </c>
      <c r="K82" s="390">
        <v>0</v>
      </c>
      <c r="L82" s="390">
        <v>0</v>
      </c>
      <c r="M82" s="390">
        <v>0</v>
      </c>
      <c r="N82" s="390">
        <v>0</v>
      </c>
      <c r="O82" s="448">
        <f t="shared" si="17"/>
        <v>0</v>
      </c>
      <c r="P82" s="411">
        <f t="shared" si="18"/>
        <v>0</v>
      </c>
      <c r="Q82" s="411">
        <f t="shared" si="19"/>
        <v>0</v>
      </c>
    </row>
    <row r="83" spans="1:17">
      <c r="A83" s="27" t="s">
        <v>207</v>
      </c>
      <c r="B83" s="449" t="s">
        <v>251</v>
      </c>
      <c r="C83" s="390">
        <v>18634970.5</v>
      </c>
      <c r="D83" s="390">
        <v>16701060</v>
      </c>
      <c r="E83" s="390">
        <v>18533150</v>
      </c>
      <c r="F83" s="390">
        <v>17231830</v>
      </c>
      <c r="G83" s="390">
        <v>15071540</v>
      </c>
      <c r="H83" s="390">
        <v>17341750</v>
      </c>
      <c r="I83" s="390">
        <v>19290180</v>
      </c>
      <c r="J83" s="390">
        <v>18158040</v>
      </c>
      <c r="K83" s="390">
        <v>18023700</v>
      </c>
      <c r="L83" s="390">
        <v>17237760</v>
      </c>
      <c r="M83" s="390">
        <v>16975930</v>
      </c>
      <c r="N83" s="390">
        <v>17887690</v>
      </c>
      <c r="O83" s="448">
        <f t="shared" si="17"/>
        <v>211087600.5</v>
      </c>
      <c r="P83" s="411">
        <f t="shared" si="18"/>
        <v>103514300.5</v>
      </c>
      <c r="Q83" s="411">
        <f t="shared" si="19"/>
        <v>175751570</v>
      </c>
    </row>
    <row r="84" spans="1:17">
      <c r="A84" s="27" t="s">
        <v>208</v>
      </c>
      <c r="B84" s="449" t="s">
        <v>251</v>
      </c>
      <c r="C84" s="390">
        <v>0</v>
      </c>
      <c r="D84" s="390">
        <v>0</v>
      </c>
      <c r="E84" s="390">
        <v>0</v>
      </c>
      <c r="F84" s="390">
        <v>0</v>
      </c>
      <c r="G84" s="390">
        <v>118470</v>
      </c>
      <c r="H84" s="390">
        <v>0</v>
      </c>
      <c r="I84" s="390">
        <v>0</v>
      </c>
      <c r="J84" s="390">
        <v>6379450</v>
      </c>
      <c r="K84" s="390">
        <v>9263650</v>
      </c>
      <c r="L84" s="390">
        <v>3378925</v>
      </c>
      <c r="M84" s="390">
        <v>0</v>
      </c>
      <c r="N84" s="390">
        <v>0</v>
      </c>
      <c r="O84" s="448">
        <f t="shared" si="17"/>
        <v>19140495</v>
      </c>
      <c r="P84" s="411">
        <f t="shared" si="18"/>
        <v>118470</v>
      </c>
      <c r="Q84" s="411">
        <f t="shared" si="19"/>
        <v>19140495</v>
      </c>
    </row>
    <row r="85" spans="1:17">
      <c r="A85" s="26" t="s">
        <v>209</v>
      </c>
      <c r="B85" s="449" t="s">
        <v>251</v>
      </c>
      <c r="C85" s="390">
        <v>8405984.6999999993</v>
      </c>
      <c r="D85" s="390">
        <v>8138158.5999999996</v>
      </c>
      <c r="E85" s="390">
        <v>8269876.4000000004</v>
      </c>
      <c r="F85" s="390">
        <v>7590665.54</v>
      </c>
      <c r="G85" s="390">
        <v>6845050</v>
      </c>
      <c r="H85" s="390">
        <v>7527000</v>
      </c>
      <c r="I85" s="390">
        <v>7775000</v>
      </c>
      <c r="J85" s="390">
        <v>7725542.9000000004</v>
      </c>
      <c r="K85" s="390">
        <v>8276245.7599999998</v>
      </c>
      <c r="L85" s="390">
        <v>9086224.4299999997</v>
      </c>
      <c r="M85" s="390">
        <v>8220094.1699999999</v>
      </c>
      <c r="N85" s="390">
        <v>8482223.5999999996</v>
      </c>
      <c r="O85" s="448">
        <f t="shared" si="17"/>
        <v>96342066.099999979</v>
      </c>
      <c r="P85" s="411">
        <f t="shared" si="18"/>
        <v>46776735.239999995</v>
      </c>
      <c r="Q85" s="411">
        <f t="shared" si="19"/>
        <v>79797922.799999982</v>
      </c>
    </row>
    <row r="86" spans="1:17">
      <c r="A86" s="26" t="s">
        <v>210</v>
      </c>
      <c r="B86" s="449" t="s">
        <v>251</v>
      </c>
      <c r="C86" s="390">
        <v>376208.3</v>
      </c>
      <c r="D86" s="390">
        <v>312397.19999999902</v>
      </c>
      <c r="E86" s="390">
        <v>333950.2</v>
      </c>
      <c r="F86" s="390">
        <v>324982.90000000002</v>
      </c>
      <c r="G86" s="390">
        <v>369793.6</v>
      </c>
      <c r="H86" s="390">
        <v>364525.89999999851</v>
      </c>
      <c r="I86" s="390">
        <v>478222.84699999995</v>
      </c>
      <c r="J86" s="390">
        <v>488157.97899999999</v>
      </c>
      <c r="K86" s="390">
        <v>446022.49</v>
      </c>
      <c r="L86" s="390">
        <v>449057.71299999999</v>
      </c>
      <c r="M86" s="390">
        <v>459353.41200000001</v>
      </c>
      <c r="N86" s="390">
        <v>506375.38</v>
      </c>
      <c r="O86" s="448">
        <f t="shared" si="17"/>
        <v>4909047.9209999973</v>
      </c>
      <c r="P86" s="411">
        <f t="shared" si="18"/>
        <v>2081858.0999999978</v>
      </c>
      <c r="Q86" s="411">
        <f t="shared" si="19"/>
        <v>4220442.4209999982</v>
      </c>
    </row>
    <row r="87" spans="1:17">
      <c r="A87" s="24" t="s">
        <v>211</v>
      </c>
      <c r="B87" s="449" t="s">
        <v>252</v>
      </c>
      <c r="C87" s="390">
        <v>4465940</v>
      </c>
      <c r="D87" s="390">
        <v>4112313</v>
      </c>
      <c r="E87" s="390">
        <v>4416837</v>
      </c>
      <c r="F87" s="390">
        <v>4253423</v>
      </c>
      <c r="G87" s="390">
        <v>4485823</v>
      </c>
      <c r="H87" s="390">
        <v>4411024</v>
      </c>
      <c r="I87" s="390">
        <v>4777340</v>
      </c>
      <c r="J87" s="390">
        <v>4776831</v>
      </c>
      <c r="K87" s="390">
        <v>4335343</v>
      </c>
      <c r="L87" s="390">
        <v>4271452</v>
      </c>
      <c r="M87" s="390">
        <v>4379795</v>
      </c>
      <c r="N87" s="390">
        <v>4375933</v>
      </c>
      <c r="O87" s="448">
        <f t="shared" si="17"/>
        <v>53062054</v>
      </c>
      <c r="P87" s="411">
        <f t="shared" si="18"/>
        <v>26145360</v>
      </c>
      <c r="Q87" s="411">
        <f t="shared" si="19"/>
        <v>44483801</v>
      </c>
    </row>
    <row r="88" spans="1:17">
      <c r="A88" s="24" t="s">
        <v>212</v>
      </c>
      <c r="B88" s="449" t="s">
        <v>249</v>
      </c>
      <c r="C88" s="391">
        <v>1085.97</v>
      </c>
      <c r="D88" s="391">
        <v>1659.12</v>
      </c>
      <c r="E88" s="391">
        <v>1368.7510000000002</v>
      </c>
      <c r="F88" s="391">
        <v>922.08400000000006</v>
      </c>
      <c r="G88" s="391">
        <v>1456.0539999999999</v>
      </c>
      <c r="H88" s="391">
        <v>1775.8100000000002</v>
      </c>
      <c r="I88" s="391">
        <v>2780.14</v>
      </c>
      <c r="J88" s="391">
        <v>2432.52</v>
      </c>
      <c r="K88" s="391">
        <v>2861.1960000000004</v>
      </c>
      <c r="L88" s="391">
        <v>3665.2830000000004</v>
      </c>
      <c r="M88" s="391">
        <v>1842.318</v>
      </c>
      <c r="N88" s="391">
        <v>1551.941</v>
      </c>
      <c r="O88" s="448">
        <f t="shared" si="17"/>
        <v>23401.186999999998</v>
      </c>
      <c r="P88" s="411">
        <f t="shared" si="18"/>
        <v>8267.7890000000007</v>
      </c>
      <c r="Q88" s="411">
        <f t="shared" si="19"/>
        <v>20656.096999999998</v>
      </c>
    </row>
    <row r="89" spans="1:17">
      <c r="A89" s="27" t="s">
        <v>213</v>
      </c>
      <c r="B89" s="449" t="s">
        <v>249</v>
      </c>
      <c r="C89" s="390">
        <v>565.44000000000005</v>
      </c>
      <c r="D89" s="390">
        <v>790.38</v>
      </c>
      <c r="E89" s="390">
        <v>931</v>
      </c>
      <c r="F89" s="390">
        <v>557.24800000000005</v>
      </c>
      <c r="G89" s="390">
        <v>789.68</v>
      </c>
      <c r="H89" s="390">
        <v>1286.9100000000001</v>
      </c>
      <c r="I89" s="390">
        <v>1708.18</v>
      </c>
      <c r="J89" s="390">
        <v>1888.36</v>
      </c>
      <c r="K89" s="390">
        <v>2153.8960000000002</v>
      </c>
      <c r="L89" s="390">
        <v>2595.7730000000001</v>
      </c>
      <c r="M89" s="390">
        <v>1083.07</v>
      </c>
      <c r="N89" s="390">
        <v>956.39300000000003</v>
      </c>
      <c r="O89" s="448">
        <f t="shared" si="17"/>
        <v>15306.330000000002</v>
      </c>
      <c r="P89" s="411">
        <f t="shared" si="18"/>
        <v>4920.6580000000004</v>
      </c>
      <c r="Q89" s="411">
        <f t="shared" si="19"/>
        <v>13950.509999999998</v>
      </c>
    </row>
    <row r="90" spans="1:17">
      <c r="A90" s="28" t="s">
        <v>214</v>
      </c>
      <c r="B90" s="449" t="s">
        <v>249</v>
      </c>
      <c r="C90" s="390">
        <v>243.6</v>
      </c>
      <c r="D90" s="390">
        <v>582</v>
      </c>
      <c r="E90" s="390">
        <v>225.16</v>
      </c>
      <c r="F90" s="390">
        <v>152.1</v>
      </c>
      <c r="G90" s="390">
        <v>446.4</v>
      </c>
      <c r="H90" s="390">
        <v>433.2</v>
      </c>
      <c r="I90" s="390">
        <v>764.78</v>
      </c>
      <c r="J90" s="390">
        <v>330.96</v>
      </c>
      <c r="K90" s="390">
        <v>477.24</v>
      </c>
      <c r="L90" s="390">
        <v>545.34500000000003</v>
      </c>
      <c r="M90" s="390">
        <v>605.64</v>
      </c>
      <c r="N90" s="390">
        <v>368</v>
      </c>
      <c r="O90" s="448">
        <f t="shared" si="17"/>
        <v>5174.4250000000002</v>
      </c>
      <c r="P90" s="411">
        <f t="shared" si="18"/>
        <v>2082.4599999999996</v>
      </c>
      <c r="Q90" s="411">
        <f t="shared" si="19"/>
        <v>4348.8250000000007</v>
      </c>
    </row>
    <row r="91" spans="1:17">
      <c r="A91" s="28" t="s">
        <v>215</v>
      </c>
      <c r="B91" s="449" t="s">
        <v>249</v>
      </c>
      <c r="C91" s="390">
        <v>276.93</v>
      </c>
      <c r="D91" s="390">
        <v>265.14</v>
      </c>
      <c r="E91" s="390">
        <v>212.59100000000001</v>
      </c>
      <c r="F91" s="390">
        <v>212.73599999999999</v>
      </c>
      <c r="G91" s="390">
        <v>219.374</v>
      </c>
      <c r="H91" s="390">
        <v>55.7</v>
      </c>
      <c r="I91" s="390">
        <v>307.18</v>
      </c>
      <c r="J91" s="390">
        <v>213.8</v>
      </c>
      <c r="K91" s="390">
        <v>230</v>
      </c>
      <c r="L91" s="390">
        <v>513.09799999999996</v>
      </c>
      <c r="M91" s="390">
        <v>147.608</v>
      </c>
      <c r="N91" s="390">
        <v>189.148</v>
      </c>
      <c r="O91" s="448">
        <f t="shared" si="17"/>
        <v>2843.3050000000003</v>
      </c>
      <c r="P91" s="411">
        <f t="shared" si="18"/>
        <v>1242.471</v>
      </c>
      <c r="Q91" s="411">
        <f t="shared" si="19"/>
        <v>2301.2350000000001</v>
      </c>
    </row>
    <row r="92" spans="1:17">
      <c r="A92" s="28" t="s">
        <v>216</v>
      </c>
      <c r="B92" s="449" t="s">
        <v>249</v>
      </c>
      <c r="C92" s="390">
        <v>0</v>
      </c>
      <c r="D92" s="390">
        <v>21.6</v>
      </c>
      <c r="E92" s="390">
        <v>0</v>
      </c>
      <c r="F92" s="390">
        <v>0</v>
      </c>
      <c r="G92" s="390">
        <v>0.6</v>
      </c>
      <c r="H92" s="390">
        <v>0</v>
      </c>
      <c r="I92" s="390">
        <v>0</v>
      </c>
      <c r="J92" s="390">
        <v>-0.6</v>
      </c>
      <c r="K92" s="390">
        <v>0.06</v>
      </c>
      <c r="L92" s="390">
        <v>11.067</v>
      </c>
      <c r="M92" s="390">
        <v>6</v>
      </c>
      <c r="N92" s="390">
        <v>38.4</v>
      </c>
      <c r="O92" s="448">
        <f t="shared" si="17"/>
        <v>77.12700000000001</v>
      </c>
      <c r="P92" s="411">
        <f t="shared" si="18"/>
        <v>22.200000000000003</v>
      </c>
      <c r="Q92" s="411">
        <f t="shared" si="19"/>
        <v>55.527000000000001</v>
      </c>
    </row>
    <row r="93" spans="1:17">
      <c r="A93" s="28"/>
      <c r="B93" s="449"/>
      <c r="C93" s="390"/>
      <c r="D93" s="390"/>
      <c r="E93" s="390"/>
      <c r="F93" s="390"/>
      <c r="G93" s="390"/>
      <c r="H93" s="390"/>
      <c r="I93" s="390"/>
      <c r="J93" s="390"/>
      <c r="K93" s="390"/>
      <c r="L93" s="390"/>
      <c r="M93" s="390"/>
      <c r="N93" s="390"/>
      <c r="O93" s="448">
        <f t="shared" si="17"/>
        <v>0</v>
      </c>
      <c r="P93" s="411">
        <f t="shared" si="18"/>
        <v>0</v>
      </c>
      <c r="Q93" s="411">
        <f t="shared" si="19"/>
        <v>0</v>
      </c>
    </row>
    <row r="94" spans="1:17">
      <c r="A94" s="28" t="s">
        <v>217</v>
      </c>
      <c r="B94" s="32" t="s">
        <v>249</v>
      </c>
      <c r="C94" s="390">
        <v>0</v>
      </c>
      <c r="D94" s="390">
        <v>0</v>
      </c>
      <c r="E94" s="390">
        <v>0</v>
      </c>
      <c r="F94" s="390">
        <v>0</v>
      </c>
      <c r="G94" s="390">
        <v>0</v>
      </c>
      <c r="H94" s="390">
        <v>0</v>
      </c>
      <c r="I94" s="390">
        <v>0</v>
      </c>
      <c r="J94" s="390">
        <v>0</v>
      </c>
      <c r="K94" s="390">
        <v>0</v>
      </c>
      <c r="L94" s="390">
        <v>0</v>
      </c>
      <c r="M94" s="390">
        <v>0</v>
      </c>
      <c r="N94" s="390">
        <v>0</v>
      </c>
      <c r="O94" s="448">
        <f t="shared" si="17"/>
        <v>0</v>
      </c>
      <c r="P94" s="411">
        <f t="shared" si="18"/>
        <v>0</v>
      </c>
      <c r="Q94" s="411">
        <f t="shared" si="19"/>
        <v>0</v>
      </c>
    </row>
    <row r="95" spans="1:17">
      <c r="A95" s="28"/>
      <c r="B95" s="32"/>
      <c r="C95" s="390"/>
      <c r="D95" s="390"/>
      <c r="E95" s="390"/>
      <c r="F95" s="390"/>
      <c r="G95" s="390"/>
      <c r="H95" s="390"/>
      <c r="I95" s="390"/>
      <c r="J95" s="390"/>
      <c r="K95" s="390"/>
      <c r="L95" s="390"/>
      <c r="M95" s="390"/>
      <c r="N95" s="390"/>
      <c r="O95" s="448">
        <f t="shared" si="17"/>
        <v>0</v>
      </c>
      <c r="P95" s="411">
        <f t="shared" si="18"/>
        <v>0</v>
      </c>
      <c r="Q95" s="411">
        <f t="shared" si="19"/>
        <v>0</v>
      </c>
    </row>
    <row r="96" spans="1:17">
      <c r="A96" s="24" t="s">
        <v>218</v>
      </c>
      <c r="B96" s="449" t="s">
        <v>249</v>
      </c>
      <c r="C96" s="390">
        <v>3152.6244999999999</v>
      </c>
      <c r="D96" s="390">
        <v>2542.5120000000002</v>
      </c>
      <c r="E96" s="390">
        <v>2297.9070999999999</v>
      </c>
      <c r="F96" s="390">
        <v>2679.9654500000001</v>
      </c>
      <c r="G96" s="390">
        <v>3108.9474</v>
      </c>
      <c r="H96" s="390">
        <v>2342.9955</v>
      </c>
      <c r="I96" s="390">
        <v>2440.1667499999999</v>
      </c>
      <c r="J96" s="390">
        <v>2029.8240000000001</v>
      </c>
      <c r="K96" s="390">
        <v>1867.1214299999999</v>
      </c>
      <c r="L96" s="390">
        <v>2324.9647500000001</v>
      </c>
      <c r="M96" s="390">
        <v>2572.9537500000001</v>
      </c>
      <c r="N96" s="390">
        <v>2997.0601699999997</v>
      </c>
      <c r="O96" s="448">
        <f t="shared" si="17"/>
        <v>30357.042800000003</v>
      </c>
      <c r="P96" s="411">
        <f t="shared" si="18"/>
        <v>16124.951950000002</v>
      </c>
      <c r="Q96" s="411">
        <f t="shared" si="19"/>
        <v>24661.906300000002</v>
      </c>
    </row>
    <row r="97" spans="1:17">
      <c r="A97" s="24" t="s">
        <v>219</v>
      </c>
      <c r="B97" s="449" t="s">
        <v>249</v>
      </c>
      <c r="C97" s="391">
        <v>3.3325</v>
      </c>
      <c r="D97" s="391">
        <v>1.1859999999999999</v>
      </c>
      <c r="E97" s="391">
        <v>3.5405000000000002</v>
      </c>
      <c r="F97" s="391">
        <v>1.2310000000000001</v>
      </c>
      <c r="G97" s="391">
        <v>1.4590000000000001</v>
      </c>
      <c r="H97" s="391">
        <v>1.784</v>
      </c>
      <c r="I97" s="391">
        <v>1.4690000000000001</v>
      </c>
      <c r="J97" s="391">
        <v>3.41</v>
      </c>
      <c r="K97" s="391">
        <v>0.76049999999999995</v>
      </c>
      <c r="L97" s="391">
        <v>1.9650000000000001</v>
      </c>
      <c r="M97" s="391">
        <v>0.91800000000000004</v>
      </c>
      <c r="N97" s="391">
        <v>0</v>
      </c>
      <c r="O97" s="448">
        <f t="shared" si="17"/>
        <v>21.055499999999999</v>
      </c>
      <c r="P97" s="411">
        <f t="shared" si="18"/>
        <v>12.532999999999999</v>
      </c>
      <c r="Q97" s="411">
        <f t="shared" si="19"/>
        <v>16.537000000000003</v>
      </c>
    </row>
    <row r="98" spans="1:17">
      <c r="A98" s="27" t="s">
        <v>220</v>
      </c>
      <c r="B98" s="449" t="s">
        <v>249</v>
      </c>
      <c r="C98" s="392">
        <v>3.3325</v>
      </c>
      <c r="D98" s="392">
        <v>1.1859999999999999</v>
      </c>
      <c r="E98" s="392">
        <v>3.5405000000000002</v>
      </c>
      <c r="F98" s="392">
        <v>1.2310000000000001</v>
      </c>
      <c r="G98" s="392">
        <v>1.4590000000000001</v>
      </c>
      <c r="H98" s="392">
        <v>1.784</v>
      </c>
      <c r="I98" s="392">
        <v>1.4690000000000001</v>
      </c>
      <c r="J98" s="392">
        <v>3.41</v>
      </c>
      <c r="K98" s="392">
        <v>0.76049999999999995</v>
      </c>
      <c r="L98" s="392">
        <v>1.9650000000000001</v>
      </c>
      <c r="M98" s="392">
        <v>0.91800000000000004</v>
      </c>
      <c r="N98" s="392">
        <v>0</v>
      </c>
      <c r="O98" s="448">
        <f t="shared" si="17"/>
        <v>21.055499999999999</v>
      </c>
      <c r="P98" s="411">
        <f t="shared" si="18"/>
        <v>12.532999999999999</v>
      </c>
      <c r="Q98" s="411">
        <f t="shared" si="19"/>
        <v>16.537000000000003</v>
      </c>
    </row>
    <row r="99" spans="1:17">
      <c r="A99" s="24" t="s">
        <v>221</v>
      </c>
      <c r="B99" s="449" t="s">
        <v>249</v>
      </c>
      <c r="C99" s="391">
        <v>711.1576</v>
      </c>
      <c r="D99" s="391">
        <v>599.53579999999999</v>
      </c>
      <c r="E99" s="391">
        <v>539.71469999999999</v>
      </c>
      <c r="F99" s="391">
        <v>550.44860000000006</v>
      </c>
      <c r="G99" s="391">
        <v>681.26050000000009</v>
      </c>
      <c r="H99" s="391">
        <v>385.80510000000004</v>
      </c>
      <c r="I99" s="391">
        <v>446.48520000000002</v>
      </c>
      <c r="J99" s="391">
        <v>499.2604</v>
      </c>
      <c r="K99" s="391">
        <v>427.22001</v>
      </c>
      <c r="L99" s="391">
        <v>473.84159999999997</v>
      </c>
      <c r="M99" s="391">
        <v>560.98050000000001</v>
      </c>
      <c r="N99" s="391">
        <v>465.738</v>
      </c>
      <c r="O99" s="448">
        <f t="shared" si="17"/>
        <v>6341.4480100000001</v>
      </c>
      <c r="P99" s="411">
        <f t="shared" si="18"/>
        <v>3467.9223000000006</v>
      </c>
      <c r="Q99" s="411">
        <f t="shared" si="19"/>
        <v>5030.75461</v>
      </c>
    </row>
    <row r="100" spans="1:17">
      <c r="A100" s="27" t="s">
        <v>222</v>
      </c>
      <c r="B100" s="449" t="s">
        <v>249</v>
      </c>
      <c r="C100" s="390">
        <v>349.25650000000002</v>
      </c>
      <c r="D100" s="390">
        <v>291.07740000000001</v>
      </c>
      <c r="E100" s="390">
        <v>313.55059999999997</v>
      </c>
      <c r="F100" s="390">
        <v>254.01660000000001</v>
      </c>
      <c r="G100" s="390">
        <v>351.02540000000005</v>
      </c>
      <c r="H100" s="390">
        <v>203.42699999999999</v>
      </c>
      <c r="I100" s="390">
        <v>299.34899999999999</v>
      </c>
      <c r="J100" s="390">
        <v>295.30329999999998</v>
      </c>
      <c r="K100" s="390">
        <v>218.9881</v>
      </c>
      <c r="L100" s="390">
        <v>252.53800000000001</v>
      </c>
      <c r="M100" s="390">
        <v>280.065</v>
      </c>
      <c r="N100" s="390">
        <v>207.78100000000001</v>
      </c>
      <c r="O100" s="448">
        <f t="shared" si="17"/>
        <v>3316.3779</v>
      </c>
      <c r="P100" s="411">
        <f t="shared" si="18"/>
        <v>1762.3534999999999</v>
      </c>
      <c r="Q100" s="411">
        <f t="shared" si="19"/>
        <v>2676.0439999999999</v>
      </c>
    </row>
    <row r="101" spans="1:17">
      <c r="A101" s="27" t="s">
        <v>223</v>
      </c>
      <c r="B101" s="449" t="s">
        <v>249</v>
      </c>
      <c r="C101" s="390">
        <v>185.7406</v>
      </c>
      <c r="D101" s="390">
        <v>149.61410000000001</v>
      </c>
      <c r="E101" s="390">
        <v>97.164000000000001</v>
      </c>
      <c r="F101" s="390">
        <v>111.3085</v>
      </c>
      <c r="G101" s="390">
        <v>105.48780000000001</v>
      </c>
      <c r="H101" s="390">
        <v>10.62</v>
      </c>
      <c r="I101" s="390">
        <v>46.023499999999999</v>
      </c>
      <c r="J101" s="390">
        <v>75.180000000000007</v>
      </c>
      <c r="K101" s="390">
        <v>93.193510000000003</v>
      </c>
      <c r="L101" s="390">
        <v>93.971100000000007</v>
      </c>
      <c r="M101" s="390">
        <v>147.078</v>
      </c>
      <c r="N101" s="390">
        <v>100.2115</v>
      </c>
      <c r="O101" s="448">
        <f t="shared" si="17"/>
        <v>1215.5926100000001</v>
      </c>
      <c r="P101" s="411">
        <f t="shared" si="18"/>
        <v>659.93499999999995</v>
      </c>
      <c r="Q101" s="411">
        <f t="shared" si="19"/>
        <v>880.23790999999994</v>
      </c>
    </row>
    <row r="102" spans="1:17">
      <c r="A102" s="27" t="s">
        <v>224</v>
      </c>
      <c r="B102" s="449" t="s">
        <v>249</v>
      </c>
      <c r="C102" s="390">
        <v>176.16050000000001</v>
      </c>
      <c r="D102" s="390">
        <v>158.84429999999998</v>
      </c>
      <c r="E102" s="390">
        <v>129.0001</v>
      </c>
      <c r="F102" s="390">
        <v>185.12350000000001</v>
      </c>
      <c r="G102" s="390">
        <v>224.7473</v>
      </c>
      <c r="H102" s="390">
        <v>171.75810000000001</v>
      </c>
      <c r="I102" s="390">
        <v>101.1127</v>
      </c>
      <c r="J102" s="390">
        <v>128.77710000000002</v>
      </c>
      <c r="K102" s="390">
        <v>115.0384</v>
      </c>
      <c r="L102" s="390">
        <v>127.3325</v>
      </c>
      <c r="M102" s="390">
        <v>133.83750000000001</v>
      </c>
      <c r="N102" s="390">
        <v>157.74549999999999</v>
      </c>
      <c r="O102" s="448">
        <f t="shared" si="17"/>
        <v>1809.4775</v>
      </c>
      <c r="P102" s="411">
        <f t="shared" si="18"/>
        <v>1045.6338000000001</v>
      </c>
      <c r="Q102" s="411">
        <f t="shared" si="19"/>
        <v>1474.4727</v>
      </c>
    </row>
    <row r="103" spans="1:17">
      <c r="A103" s="24" t="s">
        <v>225</v>
      </c>
      <c r="B103" s="449" t="s">
        <v>249</v>
      </c>
      <c r="C103" s="390">
        <v>891.34758399999987</v>
      </c>
      <c r="D103" s="390">
        <v>639.39842599999986</v>
      </c>
      <c r="E103" s="390">
        <v>671.37284399999999</v>
      </c>
      <c r="F103" s="390">
        <v>368.79197399999998</v>
      </c>
      <c r="G103" s="390">
        <v>472.42373000000003</v>
      </c>
      <c r="H103" s="390">
        <v>426.71383400000002</v>
      </c>
      <c r="I103" s="390">
        <v>634.24975600000005</v>
      </c>
      <c r="J103" s="390">
        <v>425.27567999999997</v>
      </c>
      <c r="K103" s="390">
        <v>131.52723399999999</v>
      </c>
      <c r="L103" s="390">
        <v>337.64077400000002</v>
      </c>
      <c r="M103" s="390">
        <v>412.09093000000001</v>
      </c>
      <c r="N103" s="390">
        <v>371.235634</v>
      </c>
      <c r="O103" s="448">
        <f t="shared" si="17"/>
        <v>5782.0684000000001</v>
      </c>
      <c r="P103" s="411">
        <f t="shared" si="18"/>
        <v>3470.0483920000001</v>
      </c>
      <c r="Q103" s="411">
        <f t="shared" si="19"/>
        <v>4251.3223899999994</v>
      </c>
    </row>
    <row r="104" spans="1:17">
      <c r="A104" s="24" t="s">
        <v>226</v>
      </c>
      <c r="B104" s="449" t="s">
        <v>253</v>
      </c>
      <c r="C104" s="390">
        <v>1959752.04</v>
      </c>
      <c r="D104" s="390">
        <v>2507032.04</v>
      </c>
      <c r="E104" s="390">
        <v>1967493.5</v>
      </c>
      <c r="F104" s="390">
        <v>1624215</v>
      </c>
      <c r="G104" s="390">
        <v>4221769</v>
      </c>
      <c r="H104" s="390">
        <v>1781936.5</v>
      </c>
      <c r="I104" s="390">
        <v>2113188.9</v>
      </c>
      <c r="J104" s="390">
        <v>1914116.7</v>
      </c>
      <c r="K104" s="390">
        <v>1611295</v>
      </c>
      <c r="L104" s="390">
        <v>3434312</v>
      </c>
      <c r="M104" s="390">
        <v>3518238</v>
      </c>
      <c r="N104" s="390">
        <v>1947524</v>
      </c>
      <c r="O104" s="448">
        <f t="shared" si="17"/>
        <v>28600872.68</v>
      </c>
      <c r="P104" s="411">
        <f t="shared" si="18"/>
        <v>14062198.08</v>
      </c>
      <c r="Q104" s="411">
        <f t="shared" si="19"/>
        <v>24134088.600000001</v>
      </c>
    </row>
    <row r="105" spans="1:17">
      <c r="A105" s="24" t="s">
        <v>227</v>
      </c>
      <c r="B105" s="449" t="s">
        <v>253</v>
      </c>
      <c r="C105" s="390">
        <v>655408.19999999995</v>
      </c>
      <c r="D105" s="390">
        <v>589896.6</v>
      </c>
      <c r="E105" s="390">
        <v>514237.39760000003</v>
      </c>
      <c r="F105" s="390">
        <v>514002.6</v>
      </c>
      <c r="G105" s="390">
        <v>727558.8</v>
      </c>
      <c r="H105" s="390">
        <v>1014006.4</v>
      </c>
      <c r="I105" s="390">
        <v>453993.4</v>
      </c>
      <c r="J105" s="390">
        <v>695786</v>
      </c>
      <c r="K105" s="390">
        <v>497619.20000000001</v>
      </c>
      <c r="L105" s="390">
        <v>727128</v>
      </c>
      <c r="M105" s="390">
        <v>423201</v>
      </c>
      <c r="N105" s="390">
        <v>638744.4</v>
      </c>
      <c r="O105" s="448">
        <f t="shared" si="17"/>
        <v>7451581.9976000004</v>
      </c>
      <c r="P105" s="411">
        <f t="shared" si="18"/>
        <v>4015109.9975999999</v>
      </c>
      <c r="Q105" s="411">
        <f t="shared" si="19"/>
        <v>6206277.1976000005</v>
      </c>
    </row>
    <row r="106" spans="1:17">
      <c r="A106" s="24" t="s">
        <v>228</v>
      </c>
      <c r="B106" s="449" t="s">
        <v>254</v>
      </c>
      <c r="C106" s="390">
        <v>6211599</v>
      </c>
      <c r="D106" s="390">
        <v>5716704.2699999996</v>
      </c>
      <c r="E106" s="390">
        <v>5018302</v>
      </c>
      <c r="F106" s="390">
        <v>6294922</v>
      </c>
      <c r="G106" s="390">
        <v>5430840</v>
      </c>
      <c r="H106" s="390">
        <v>5273489</v>
      </c>
      <c r="I106" s="390">
        <v>5417572</v>
      </c>
      <c r="J106" s="390">
        <v>5450413</v>
      </c>
      <c r="K106" s="390">
        <v>5396243</v>
      </c>
      <c r="L106" s="390">
        <v>5860385</v>
      </c>
      <c r="M106" s="390">
        <v>5293523</v>
      </c>
      <c r="N106" s="390">
        <v>5188401</v>
      </c>
      <c r="O106" s="448">
        <f t="shared" si="17"/>
        <v>66552393.269999996</v>
      </c>
      <c r="P106" s="411">
        <f t="shared" si="18"/>
        <v>33945856.269999996</v>
      </c>
      <c r="Q106" s="411">
        <f t="shared" si="19"/>
        <v>54624090</v>
      </c>
    </row>
    <row r="107" spans="1:17">
      <c r="A107" s="24" t="s">
        <v>229</v>
      </c>
      <c r="B107" s="449" t="s">
        <v>254</v>
      </c>
      <c r="C107" s="390">
        <v>54217.65</v>
      </c>
      <c r="D107" s="390">
        <v>45076.4</v>
      </c>
      <c r="E107" s="390">
        <v>48345.9</v>
      </c>
      <c r="F107" s="390">
        <v>73878.850000000006</v>
      </c>
      <c r="G107" s="390">
        <v>84273.3</v>
      </c>
      <c r="H107" s="390">
        <v>77143.55</v>
      </c>
      <c r="I107" s="390">
        <v>18501.05</v>
      </c>
      <c r="J107" s="390">
        <v>16941.25</v>
      </c>
      <c r="K107" s="390">
        <v>15190.699999999999</v>
      </c>
      <c r="L107" s="390">
        <v>29171.3</v>
      </c>
      <c r="M107" s="390">
        <v>29697.5</v>
      </c>
      <c r="N107" s="390">
        <v>38486.050000000003</v>
      </c>
      <c r="O107" s="448">
        <f t="shared" si="17"/>
        <v>530923.5</v>
      </c>
      <c r="P107" s="411">
        <f t="shared" si="18"/>
        <v>382935.65</v>
      </c>
      <c r="Q107" s="411">
        <f t="shared" si="19"/>
        <v>431629.44999999995</v>
      </c>
    </row>
    <row r="108" spans="1:17">
      <c r="A108" s="24" t="s">
        <v>230</v>
      </c>
      <c r="B108" s="449" t="s">
        <v>254</v>
      </c>
      <c r="C108" s="390">
        <v>871276.26</v>
      </c>
      <c r="D108" s="390">
        <v>769456.52800000005</v>
      </c>
      <c r="E108" s="390">
        <v>813519.38399999996</v>
      </c>
      <c r="F108" s="390">
        <v>390021.03200000001</v>
      </c>
      <c r="G108" s="390">
        <v>415714.62400000001</v>
      </c>
      <c r="H108" s="390">
        <v>278734.27999999997</v>
      </c>
      <c r="I108" s="390">
        <v>0</v>
      </c>
      <c r="J108" s="390">
        <v>0</v>
      </c>
      <c r="K108" s="390">
        <v>0</v>
      </c>
      <c r="L108" s="390">
        <v>0</v>
      </c>
      <c r="M108" s="390">
        <v>0</v>
      </c>
      <c r="N108" s="390">
        <v>0</v>
      </c>
      <c r="O108" s="448">
        <f t="shared" si="17"/>
        <v>3538722.108</v>
      </c>
      <c r="P108" s="411">
        <f t="shared" si="18"/>
        <v>3538722.108</v>
      </c>
      <c r="Q108" s="411">
        <f t="shared" si="19"/>
        <v>1897989.32</v>
      </c>
    </row>
    <row r="109" spans="1:17">
      <c r="A109" s="24" t="s">
        <v>231</v>
      </c>
      <c r="B109" s="449" t="s">
        <v>254</v>
      </c>
      <c r="C109" s="390">
        <v>15266420.5</v>
      </c>
      <c r="D109" s="390">
        <v>12756216</v>
      </c>
      <c r="E109" s="390">
        <v>13782497.5</v>
      </c>
      <c r="F109" s="390">
        <v>15870936.5</v>
      </c>
      <c r="G109" s="390">
        <v>16764155.000000002</v>
      </c>
      <c r="H109" s="390">
        <v>14756897.5</v>
      </c>
      <c r="I109" s="390">
        <v>16763053</v>
      </c>
      <c r="J109" s="390">
        <v>16487464.5</v>
      </c>
      <c r="K109" s="390">
        <v>15617465.499999998</v>
      </c>
      <c r="L109" s="390">
        <v>16391380.5</v>
      </c>
      <c r="M109" s="390">
        <v>16583543.999999998</v>
      </c>
      <c r="N109" s="390">
        <v>15515668.999999998</v>
      </c>
      <c r="O109" s="448">
        <f t="shared" si="17"/>
        <v>186555699.5</v>
      </c>
      <c r="P109" s="411">
        <f t="shared" si="18"/>
        <v>89197123</v>
      </c>
      <c r="Q109" s="411">
        <f t="shared" si="19"/>
        <v>158533063</v>
      </c>
    </row>
    <row r="110" spans="1:17">
      <c r="A110" s="24" t="s">
        <v>232</v>
      </c>
      <c r="B110" s="449" t="s">
        <v>254</v>
      </c>
      <c r="C110" s="390">
        <v>2184931.5</v>
      </c>
      <c r="D110" s="390">
        <v>2615367</v>
      </c>
      <c r="E110" s="390">
        <v>2057569</v>
      </c>
      <c r="F110" s="390">
        <v>1966374.9</v>
      </c>
      <c r="G110" s="390">
        <v>1439409</v>
      </c>
      <c r="H110" s="390">
        <v>1681514</v>
      </c>
      <c r="I110" s="390">
        <v>1394944</v>
      </c>
      <c r="J110" s="390">
        <v>1615319</v>
      </c>
      <c r="K110" s="390">
        <v>1638444</v>
      </c>
      <c r="L110" s="390">
        <v>1503319</v>
      </c>
      <c r="M110" s="390">
        <v>1163894</v>
      </c>
      <c r="N110" s="390">
        <v>899594</v>
      </c>
      <c r="O110" s="448">
        <f t="shared" si="17"/>
        <v>20160679.399999999</v>
      </c>
      <c r="P110" s="411">
        <f t="shared" si="18"/>
        <v>11945165.4</v>
      </c>
      <c r="Q110" s="411">
        <f t="shared" si="19"/>
        <v>15360380.9</v>
      </c>
    </row>
    <row r="111" spans="1:17">
      <c r="A111" s="24" t="s">
        <v>233</v>
      </c>
      <c r="B111" s="449" t="s">
        <v>254</v>
      </c>
      <c r="C111" s="390">
        <v>256305.41999999998</v>
      </c>
      <c r="D111" s="390">
        <v>261874.78</v>
      </c>
      <c r="E111" s="390">
        <v>279601.90000000002</v>
      </c>
      <c r="F111" s="390">
        <v>106009</v>
      </c>
      <c r="G111" s="390">
        <v>159019.79999999999</v>
      </c>
      <c r="H111" s="390">
        <v>171461.1</v>
      </c>
      <c r="I111" s="390">
        <v>44656</v>
      </c>
      <c r="J111" s="390">
        <v>40074</v>
      </c>
      <c r="K111" s="390">
        <v>36729</v>
      </c>
      <c r="L111" s="390">
        <v>45342.762999999999</v>
      </c>
      <c r="M111" s="390">
        <v>48092.358999999997</v>
      </c>
      <c r="N111" s="390">
        <v>43504.548000000003</v>
      </c>
      <c r="O111" s="448">
        <f t="shared" si="17"/>
        <v>1492670.67</v>
      </c>
      <c r="P111" s="411">
        <f t="shared" si="18"/>
        <v>1234272</v>
      </c>
      <c r="Q111" s="411">
        <f t="shared" si="19"/>
        <v>974490.47</v>
      </c>
    </row>
    <row r="112" spans="1:17">
      <c r="A112" s="24" t="s">
        <v>234</v>
      </c>
      <c r="B112" s="449" t="s">
        <v>254</v>
      </c>
      <c r="C112" s="390">
        <v>36129.699999999997</v>
      </c>
      <c r="D112" s="390">
        <v>26413.9</v>
      </c>
      <c r="E112" s="390">
        <v>27032.2</v>
      </c>
      <c r="F112" s="390">
        <v>30241.999999999996</v>
      </c>
      <c r="G112" s="390">
        <v>26977.099999999995</v>
      </c>
      <c r="H112" s="390">
        <v>31080.899999999998</v>
      </c>
      <c r="I112" s="390">
        <v>38210.899999999994</v>
      </c>
      <c r="J112" s="390">
        <v>28817.899999999998</v>
      </c>
      <c r="K112" s="390">
        <v>23542.3</v>
      </c>
      <c r="L112" s="390">
        <v>22908.399999999998</v>
      </c>
      <c r="M112" s="390">
        <v>20535.899999999998</v>
      </c>
      <c r="N112" s="390">
        <v>26071</v>
      </c>
      <c r="O112" s="448">
        <f t="shared" si="17"/>
        <v>337962.2</v>
      </c>
      <c r="P112" s="411">
        <f t="shared" si="18"/>
        <v>177875.8</v>
      </c>
      <c r="Q112" s="411">
        <f t="shared" si="19"/>
        <v>275418.59999999998</v>
      </c>
    </row>
    <row r="113" spans="1:17">
      <c r="A113" s="24" t="s">
        <v>235</v>
      </c>
      <c r="B113" s="449" t="s">
        <v>254</v>
      </c>
      <c r="C113" s="393">
        <v>1232</v>
      </c>
      <c r="D113" s="393">
        <v>1235</v>
      </c>
      <c r="E113" s="393">
        <v>1133</v>
      </c>
      <c r="F113" s="393">
        <v>1157</v>
      </c>
      <c r="G113" s="393">
        <v>1078</v>
      </c>
      <c r="H113" s="393">
        <v>1207</v>
      </c>
      <c r="I113" s="393">
        <v>1114</v>
      </c>
      <c r="J113" s="393">
        <v>1277</v>
      </c>
      <c r="K113" s="393">
        <v>1135</v>
      </c>
      <c r="L113" s="393">
        <v>1178</v>
      </c>
      <c r="M113" s="393">
        <v>1154</v>
      </c>
      <c r="N113" s="393">
        <v>1238</v>
      </c>
      <c r="O113" s="448">
        <f t="shared" si="17"/>
        <v>14138</v>
      </c>
      <c r="P113" s="411">
        <f t="shared" si="18"/>
        <v>7042</v>
      </c>
      <c r="Q113" s="411">
        <f t="shared" si="19"/>
        <v>11671</v>
      </c>
    </row>
    <row r="114" spans="1:17">
      <c r="A114" s="24" t="s">
        <v>236</v>
      </c>
      <c r="B114" s="449" t="s">
        <v>249</v>
      </c>
      <c r="C114" s="390">
        <v>1970.11</v>
      </c>
      <c r="D114" s="390">
        <v>2497.54</v>
      </c>
      <c r="E114" s="390">
        <v>2270.8999999999996</v>
      </c>
      <c r="F114" s="390">
        <v>4041.81</v>
      </c>
      <c r="G114" s="390">
        <v>3816.2000000000003</v>
      </c>
      <c r="H114" s="390">
        <v>3494.5799999999995</v>
      </c>
      <c r="I114" s="390">
        <v>3946.598</v>
      </c>
      <c r="J114" s="390">
        <v>3744.9990000000003</v>
      </c>
      <c r="K114" s="390">
        <v>3438.0869999999995</v>
      </c>
      <c r="L114" s="390">
        <v>2324.8649999999998</v>
      </c>
      <c r="M114" s="390">
        <v>3091.404</v>
      </c>
      <c r="N114" s="390">
        <v>2626.4259999999999</v>
      </c>
      <c r="O114" s="448">
        <f t="shared" si="17"/>
        <v>37263.519</v>
      </c>
      <c r="P114" s="411">
        <f t="shared" si="18"/>
        <v>18091.14</v>
      </c>
      <c r="Q114" s="411">
        <f t="shared" si="19"/>
        <v>32795.868999999999</v>
      </c>
    </row>
    <row r="115" spans="1:17">
      <c r="A115" s="24" t="s">
        <v>237</v>
      </c>
      <c r="B115" s="449" t="s">
        <v>249</v>
      </c>
      <c r="C115" s="390">
        <v>275.351</v>
      </c>
      <c r="D115" s="390">
        <v>321.255</v>
      </c>
      <c r="E115" s="390">
        <v>454.56</v>
      </c>
      <c r="F115" s="390">
        <v>53.65</v>
      </c>
      <c r="G115" s="390">
        <v>33.11</v>
      </c>
      <c r="H115" s="390">
        <v>36.421999999999997</v>
      </c>
      <c r="I115" s="390">
        <v>0</v>
      </c>
      <c r="J115" s="390">
        <v>0</v>
      </c>
      <c r="K115" s="390">
        <v>0</v>
      </c>
      <c r="L115" s="390">
        <v>27.77</v>
      </c>
      <c r="M115" s="390">
        <v>38.234999999999999</v>
      </c>
      <c r="N115" s="390">
        <v>24.963999999999999</v>
      </c>
      <c r="O115" s="448">
        <f t="shared" si="17"/>
        <v>1265.3169999999998</v>
      </c>
      <c r="P115" s="411">
        <f t="shared" si="18"/>
        <v>1174.348</v>
      </c>
      <c r="Q115" s="411">
        <f t="shared" si="19"/>
        <v>668.71100000000001</v>
      </c>
    </row>
    <row r="116" spans="1:17">
      <c r="A116" s="24" t="s">
        <v>238</v>
      </c>
      <c r="B116" s="449" t="s">
        <v>254</v>
      </c>
      <c r="C116" s="390">
        <v>144643</v>
      </c>
      <c r="D116" s="390">
        <v>129146</v>
      </c>
      <c r="E116" s="390">
        <v>128846</v>
      </c>
      <c r="F116" s="390">
        <v>129595</v>
      </c>
      <c r="G116" s="390">
        <v>126242</v>
      </c>
      <c r="H116" s="390">
        <v>125798</v>
      </c>
      <c r="I116" s="390">
        <v>174554</v>
      </c>
      <c r="J116" s="390">
        <v>136519</v>
      </c>
      <c r="K116" s="390">
        <v>146333</v>
      </c>
      <c r="L116" s="390">
        <v>149779</v>
      </c>
      <c r="M116" s="390">
        <v>132760</v>
      </c>
      <c r="N116" s="390">
        <v>157762</v>
      </c>
      <c r="O116" s="448">
        <f t="shared" si="17"/>
        <v>1681977</v>
      </c>
      <c r="P116" s="411">
        <f t="shared" si="18"/>
        <v>784270</v>
      </c>
      <c r="Q116" s="411">
        <f t="shared" si="19"/>
        <v>1408188</v>
      </c>
    </row>
    <row r="117" spans="1:17">
      <c r="A117" s="24" t="s">
        <v>239</v>
      </c>
      <c r="B117" s="449" t="s">
        <v>253</v>
      </c>
      <c r="C117" s="390">
        <v>3403395.9399999995</v>
      </c>
      <c r="D117" s="390">
        <v>2455088.4000000004</v>
      </c>
      <c r="E117" s="390">
        <v>2928264</v>
      </c>
      <c r="F117" s="390">
        <v>3495885.8</v>
      </c>
      <c r="G117" s="390">
        <v>2665827</v>
      </c>
      <c r="H117" s="390">
        <v>2792003</v>
      </c>
      <c r="I117" s="390">
        <v>3926676.2</v>
      </c>
      <c r="J117" s="390">
        <v>4214864</v>
      </c>
      <c r="K117" s="390">
        <v>3046983.6</v>
      </c>
      <c r="L117" s="390">
        <v>3182229.999994</v>
      </c>
      <c r="M117" s="390">
        <v>3501081</v>
      </c>
      <c r="N117" s="390">
        <v>3433919</v>
      </c>
      <c r="O117" s="448">
        <f t="shared" si="17"/>
        <v>39046217.939994</v>
      </c>
      <c r="P117" s="411">
        <f t="shared" si="18"/>
        <v>17740464.140000001</v>
      </c>
      <c r="Q117" s="411">
        <f t="shared" si="19"/>
        <v>33187733.599994</v>
      </c>
    </row>
    <row r="118" spans="1:17">
      <c r="A118" s="24" t="s">
        <v>240</v>
      </c>
      <c r="B118" s="449" t="s">
        <v>253</v>
      </c>
      <c r="C118" s="390">
        <v>216496.8</v>
      </c>
      <c r="D118" s="390">
        <v>202406.63999999998</v>
      </c>
      <c r="E118" s="390">
        <v>243945.36</v>
      </c>
      <c r="F118" s="390">
        <v>250252</v>
      </c>
      <c r="G118" s="390">
        <v>259475</v>
      </c>
      <c r="H118" s="390">
        <v>297168</v>
      </c>
      <c r="I118" s="390">
        <v>292569</v>
      </c>
      <c r="J118" s="390">
        <v>251475</v>
      </c>
      <c r="K118" s="390">
        <v>267282.40000000002</v>
      </c>
      <c r="L118" s="390">
        <v>274536</v>
      </c>
      <c r="M118" s="390">
        <v>246120</v>
      </c>
      <c r="N118" s="390">
        <v>255991.2</v>
      </c>
      <c r="O118" s="448">
        <f t="shared" si="17"/>
        <v>3057717.4</v>
      </c>
      <c r="P118" s="411">
        <f t="shared" si="18"/>
        <v>1469743.7999999998</v>
      </c>
      <c r="Q118" s="411">
        <f t="shared" si="19"/>
        <v>2638813.96</v>
      </c>
    </row>
    <row r="119" spans="1:17">
      <c r="A119" s="24" t="s">
        <v>241</v>
      </c>
      <c r="B119" s="449" t="s">
        <v>254</v>
      </c>
      <c r="C119" s="394">
        <v>189774.47</v>
      </c>
      <c r="D119" s="394">
        <v>194629.46</v>
      </c>
      <c r="E119" s="394">
        <v>191141.6</v>
      </c>
      <c r="F119" s="394">
        <v>146572.45000000001</v>
      </c>
      <c r="G119" s="394">
        <v>187890.26</v>
      </c>
      <c r="H119" s="394">
        <v>186430.13</v>
      </c>
      <c r="I119" s="394">
        <v>206749.47</v>
      </c>
      <c r="J119" s="394">
        <v>210595.88999999998</v>
      </c>
      <c r="K119" s="394">
        <v>190816.30000000002</v>
      </c>
      <c r="L119" s="394">
        <v>172388.16999999998</v>
      </c>
      <c r="M119" s="394">
        <v>189109.03</v>
      </c>
      <c r="N119" s="394">
        <v>188961.84000000003</v>
      </c>
      <c r="O119" s="448">
        <f t="shared" si="17"/>
        <v>2255059.0699999998</v>
      </c>
      <c r="P119" s="411">
        <f t="shared" si="18"/>
        <v>1096438.3700000001</v>
      </c>
      <c r="Q119" s="411">
        <f t="shared" si="19"/>
        <v>1870655.1400000001</v>
      </c>
    </row>
    <row r="120" spans="1:17">
      <c r="A120" s="24" t="s">
        <v>242</v>
      </c>
      <c r="B120" s="449" t="s">
        <v>254</v>
      </c>
      <c r="C120" s="394">
        <v>521</v>
      </c>
      <c r="D120" s="394">
        <v>748</v>
      </c>
      <c r="E120" s="394">
        <v>576</v>
      </c>
      <c r="F120" s="394">
        <v>515</v>
      </c>
      <c r="G120" s="394">
        <v>703</v>
      </c>
      <c r="H120" s="394">
        <v>744</v>
      </c>
      <c r="I120" s="394">
        <v>534</v>
      </c>
      <c r="J120" s="394">
        <v>698</v>
      </c>
      <c r="K120" s="394">
        <v>504</v>
      </c>
      <c r="L120" s="394">
        <v>516</v>
      </c>
      <c r="M120" s="394">
        <v>468</v>
      </c>
      <c r="N120" s="394">
        <v>606</v>
      </c>
      <c r="O120" s="448">
        <f t="shared" si="17"/>
        <v>7133</v>
      </c>
      <c r="P120" s="411">
        <f t="shared" si="18"/>
        <v>3807</v>
      </c>
      <c r="Q120" s="411">
        <f t="shared" si="19"/>
        <v>5864</v>
      </c>
    </row>
    <row r="121" spans="1:17">
      <c r="A121" s="24" t="s">
        <v>243</v>
      </c>
      <c r="B121" s="449" t="s">
        <v>253</v>
      </c>
      <c r="C121" s="394">
        <v>153224.72</v>
      </c>
      <c r="D121" s="394">
        <v>156537.71</v>
      </c>
      <c r="E121" s="394">
        <v>148472.85</v>
      </c>
      <c r="F121" s="394">
        <v>124035.2</v>
      </c>
      <c r="G121" s="394">
        <v>135470.76</v>
      </c>
      <c r="H121" s="394">
        <v>140876.13</v>
      </c>
      <c r="I121" s="394">
        <v>188637.07</v>
      </c>
      <c r="J121" s="394">
        <v>193479.74</v>
      </c>
      <c r="K121" s="394">
        <v>174772.05000000002</v>
      </c>
      <c r="L121" s="394">
        <v>157908.87</v>
      </c>
      <c r="M121" s="394">
        <v>175693.13</v>
      </c>
      <c r="N121" s="394">
        <v>174625.04000000004</v>
      </c>
      <c r="O121" s="448">
        <f t="shared" si="17"/>
        <v>1923733.27</v>
      </c>
      <c r="P121" s="411">
        <f t="shared" si="18"/>
        <v>858617.37</v>
      </c>
      <c r="Q121" s="411">
        <f t="shared" si="19"/>
        <v>1613970.8399999999</v>
      </c>
    </row>
    <row r="122" spans="1:17">
      <c r="A122" s="24" t="s">
        <v>244</v>
      </c>
      <c r="B122" s="449" t="s">
        <v>255</v>
      </c>
      <c r="C122" s="394">
        <v>54562</v>
      </c>
      <c r="D122" s="394">
        <v>39985</v>
      </c>
      <c r="E122" s="394">
        <v>32162</v>
      </c>
      <c r="F122" s="394">
        <v>38045</v>
      </c>
      <c r="G122" s="394">
        <v>33842</v>
      </c>
      <c r="H122" s="394">
        <v>33540</v>
      </c>
      <c r="I122" s="394">
        <v>38426</v>
      </c>
      <c r="J122" s="394">
        <v>36907</v>
      </c>
      <c r="K122" s="394">
        <v>22541</v>
      </c>
      <c r="L122" s="394">
        <v>19444</v>
      </c>
      <c r="M122" s="394">
        <v>25117</v>
      </c>
      <c r="N122" s="394">
        <v>35056</v>
      </c>
      <c r="O122" s="448">
        <f t="shared" si="17"/>
        <v>409627</v>
      </c>
      <c r="P122" s="411">
        <f t="shared" si="18"/>
        <v>232136</v>
      </c>
      <c r="Q122" s="411">
        <f t="shared" si="19"/>
        <v>315080</v>
      </c>
    </row>
    <row r="123" spans="1:17">
      <c r="A123" s="24" t="s">
        <v>245</v>
      </c>
      <c r="B123" s="32" t="s">
        <v>256</v>
      </c>
      <c r="C123" s="394">
        <v>0</v>
      </c>
      <c r="D123" s="394">
        <v>0</v>
      </c>
      <c r="E123" s="394">
        <v>0</v>
      </c>
      <c r="F123" s="394">
        <v>0</v>
      </c>
      <c r="G123" s="394">
        <v>0</v>
      </c>
      <c r="H123" s="394">
        <v>0</v>
      </c>
      <c r="I123" s="394">
        <v>0</v>
      </c>
      <c r="J123" s="394">
        <v>0</v>
      </c>
      <c r="K123" s="394">
        <v>0</v>
      </c>
      <c r="L123" s="394">
        <v>0</v>
      </c>
      <c r="M123" s="394">
        <v>0</v>
      </c>
      <c r="N123" s="394">
        <v>0</v>
      </c>
      <c r="O123" s="448">
        <f t="shared" si="17"/>
        <v>0</v>
      </c>
      <c r="P123" s="411">
        <f t="shared" si="18"/>
        <v>0</v>
      </c>
      <c r="Q123" s="411">
        <f t="shared" si="19"/>
        <v>0</v>
      </c>
    </row>
    <row r="124" spans="1:17">
      <c r="A124" s="24" t="s">
        <v>269</v>
      </c>
      <c r="B124" s="32" t="s">
        <v>270</v>
      </c>
      <c r="C124" s="394">
        <v>378.01300000000003</v>
      </c>
      <c r="D124" s="394">
        <v>209.18</v>
      </c>
      <c r="E124" s="394">
        <v>185.11599999999999</v>
      </c>
      <c r="F124" s="394">
        <v>153.05000000000001</v>
      </c>
      <c r="G124" s="394">
        <v>260.87900000000002</v>
      </c>
      <c r="H124" s="394">
        <v>322.96800000000002</v>
      </c>
      <c r="I124" s="394">
        <v>0</v>
      </c>
      <c r="J124" s="394">
        <v>0</v>
      </c>
      <c r="K124" s="394">
        <v>0</v>
      </c>
      <c r="L124" s="394">
        <v>0</v>
      </c>
      <c r="M124" s="394">
        <v>0</v>
      </c>
      <c r="N124" s="394">
        <v>0</v>
      </c>
      <c r="O124" s="448">
        <f t="shared" si="17"/>
        <v>1509.2059999999999</v>
      </c>
      <c r="P124" s="411">
        <f t="shared" si="18"/>
        <v>1509.2059999999999</v>
      </c>
      <c r="Q124" s="411">
        <f t="shared" si="19"/>
        <v>922.01300000000015</v>
      </c>
    </row>
    <row r="125" spans="1:17">
      <c r="A125" s="24" t="s">
        <v>272</v>
      </c>
      <c r="B125" s="32" t="s">
        <v>271</v>
      </c>
      <c r="C125" s="394">
        <v>0</v>
      </c>
      <c r="D125" s="394">
        <v>409</v>
      </c>
      <c r="E125" s="394">
        <v>355.5</v>
      </c>
      <c r="F125" s="394">
        <v>210.7</v>
      </c>
      <c r="G125" s="394">
        <v>0</v>
      </c>
      <c r="H125" s="394">
        <v>244.5</v>
      </c>
      <c r="I125" s="394">
        <v>12340.8</v>
      </c>
      <c r="J125" s="394">
        <v>11432.4</v>
      </c>
      <c r="K125" s="394">
        <v>273.59999999999997</v>
      </c>
      <c r="L125" s="394">
        <v>303.60000000000002</v>
      </c>
      <c r="M125" s="394">
        <v>0</v>
      </c>
      <c r="N125" s="394">
        <v>294.8</v>
      </c>
      <c r="O125" s="448">
        <f t="shared" si="17"/>
        <v>25864.899999999998</v>
      </c>
      <c r="P125" s="411">
        <f t="shared" si="18"/>
        <v>1219.7</v>
      </c>
      <c r="Q125" s="411">
        <f t="shared" si="19"/>
        <v>25455.899999999998</v>
      </c>
    </row>
    <row r="126" spans="1:17">
      <c r="A126" s="24" t="s">
        <v>273</v>
      </c>
      <c r="B126" s="32" t="s">
        <v>256</v>
      </c>
      <c r="C126" s="394">
        <v>249124.91999999998</v>
      </c>
      <c r="D126" s="394">
        <v>178932.11999999997</v>
      </c>
      <c r="E126" s="394">
        <v>184354.08</v>
      </c>
      <c r="F126" s="394">
        <v>161407.07999999999</v>
      </c>
      <c r="G126" s="394">
        <v>178373.40000000002</v>
      </c>
      <c r="H126" s="394">
        <v>171327.84</v>
      </c>
      <c r="I126" s="394">
        <v>150240.35999999999</v>
      </c>
      <c r="J126" s="394">
        <v>197265.12</v>
      </c>
      <c r="K126" s="394">
        <v>129402.23999999999</v>
      </c>
      <c r="L126" s="394">
        <v>151708.91999999995</v>
      </c>
      <c r="M126" s="394">
        <v>140275.56</v>
      </c>
      <c r="N126" s="394">
        <v>117712.8</v>
      </c>
      <c r="O126" s="448">
        <f t="shared" si="17"/>
        <v>2010124.44</v>
      </c>
      <c r="P126" s="411">
        <f t="shared" si="18"/>
        <v>1123519.44</v>
      </c>
      <c r="Q126" s="411">
        <f t="shared" si="19"/>
        <v>1582067.4000000001</v>
      </c>
    </row>
  </sheetData>
  <mergeCells count="5">
    <mergeCell ref="BA1:BM1"/>
    <mergeCell ref="AK1:AW1"/>
    <mergeCell ref="S1:AE1"/>
    <mergeCell ref="A1:O1"/>
    <mergeCell ref="BQ1:C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9C4D-4209-4C68-8403-EBCADAEF057A}">
  <dimension ref="A1:CF37"/>
  <sheetViews>
    <sheetView topLeftCell="A10" zoomScale="87" zoomScaleNormal="87" workbookViewId="0">
      <pane xSplit="1" topLeftCell="CB1" activePane="topRight" state="frozen"/>
      <selection pane="topRight" activeCell="CF2" sqref="CF2"/>
    </sheetView>
  </sheetViews>
  <sheetFormatPr defaultRowHeight="14.75"/>
  <cols>
    <col min="1" max="1" width="74.7265625" bestFit="1" customWidth="1"/>
    <col min="2" max="21" width="16.26953125" bestFit="1" customWidth="1"/>
    <col min="22" max="25" width="14.7265625" bestFit="1" customWidth="1"/>
    <col min="26" max="27" width="19.7265625" bestFit="1" customWidth="1"/>
    <col min="29" max="32" width="18.08984375" bestFit="1" customWidth="1"/>
    <col min="33" max="33" width="19.6328125" bestFit="1" customWidth="1"/>
    <col min="34" max="35" width="18.08984375" bestFit="1" customWidth="1"/>
    <col min="36" max="36" width="19.6328125" bestFit="1" customWidth="1"/>
    <col min="37" max="38" width="18.08984375" customWidth="1"/>
    <col min="39" max="39" width="19.6328125" bestFit="1" customWidth="1"/>
    <col min="40" max="40" width="22" customWidth="1"/>
    <col min="41" max="41" width="21.7265625" customWidth="1"/>
    <col min="42" max="42" width="20.6328125" customWidth="1"/>
    <col min="43" max="44" width="12.7265625" customWidth="1"/>
    <col min="45" max="45" width="19.90625" bestFit="1" customWidth="1"/>
    <col min="46" max="47" width="21.36328125" bestFit="1" customWidth="1"/>
    <col min="48" max="48" width="19.90625" bestFit="1" customWidth="1"/>
    <col min="49" max="49" width="18.453125" customWidth="1"/>
    <col min="50" max="54" width="21.36328125" bestFit="1" customWidth="1"/>
    <col min="55" max="55" width="21.453125" customWidth="1"/>
    <col min="56" max="56" width="17.54296875" customWidth="1"/>
    <col min="57" max="57" width="19.36328125" customWidth="1"/>
    <col min="58" max="58" width="19.90625" bestFit="1" customWidth="1"/>
    <col min="59" max="60" width="21.36328125" bestFit="1" customWidth="1"/>
    <col min="61" max="61" width="19.90625" bestFit="1" customWidth="1"/>
    <col min="62" max="62" width="18.453125" customWidth="1"/>
    <col min="63" max="67" width="21.36328125" bestFit="1" customWidth="1"/>
    <col min="68" max="68" width="19.453125" customWidth="1"/>
    <col min="69" max="69" width="18.453125" customWidth="1"/>
    <col min="70" max="70" width="22.90625" customWidth="1"/>
    <col min="71" max="76" width="18.08984375" bestFit="1" customWidth="1"/>
    <col min="77" max="77" width="18.08984375" customWidth="1"/>
    <col min="78" max="82" width="22.6796875" customWidth="1"/>
    <col min="83" max="83" width="20.90625" style="245" customWidth="1"/>
    <col min="84" max="84" width="13.1328125" customWidth="1"/>
  </cols>
  <sheetData>
    <row r="1" spans="1:84" ht="15.5" thickBot="1">
      <c r="BF1" s="788">
        <v>2024</v>
      </c>
      <c r="BG1" s="788"/>
      <c r="BH1" s="788"/>
      <c r="BI1" s="788"/>
      <c r="BJ1" s="788"/>
      <c r="BK1" s="788"/>
      <c r="BL1" s="788"/>
      <c r="BM1" s="788"/>
      <c r="BN1" s="788"/>
      <c r="BO1" s="788"/>
      <c r="BP1" s="788"/>
      <c r="BQ1" s="788"/>
      <c r="BR1" s="682"/>
    </row>
    <row r="2" spans="1:84" ht="21.75" thickBot="1">
      <c r="A2" s="54" t="s">
        <v>790</v>
      </c>
      <c r="B2" s="140">
        <v>43831</v>
      </c>
      <c r="C2" s="140">
        <v>43862</v>
      </c>
      <c r="D2" s="140">
        <v>43891</v>
      </c>
      <c r="E2" s="140">
        <v>43922</v>
      </c>
      <c r="F2" s="140">
        <v>43952</v>
      </c>
      <c r="G2" s="140">
        <v>43983</v>
      </c>
      <c r="H2" s="140">
        <v>44013</v>
      </c>
      <c r="I2" s="140">
        <v>44044</v>
      </c>
      <c r="J2" s="140">
        <v>44075</v>
      </c>
      <c r="K2" s="140">
        <v>44105</v>
      </c>
      <c r="L2" s="140">
        <v>44136</v>
      </c>
      <c r="M2" s="140">
        <v>44166</v>
      </c>
      <c r="N2" s="140">
        <v>44197</v>
      </c>
      <c r="O2" s="140">
        <v>44228</v>
      </c>
      <c r="P2" s="140">
        <v>44256</v>
      </c>
      <c r="Q2" s="140">
        <v>44287</v>
      </c>
      <c r="R2" s="140">
        <v>44317</v>
      </c>
      <c r="S2" s="140">
        <v>44348</v>
      </c>
      <c r="T2" s="140">
        <v>44378</v>
      </c>
      <c r="U2" s="140">
        <v>44409</v>
      </c>
      <c r="V2" s="140">
        <v>44440</v>
      </c>
      <c r="W2" s="140">
        <v>44470</v>
      </c>
      <c r="X2" s="140">
        <v>44501</v>
      </c>
      <c r="Y2" s="140">
        <v>44531</v>
      </c>
      <c r="Z2" s="65" t="s">
        <v>367</v>
      </c>
      <c r="AA2" s="65" t="s">
        <v>366</v>
      </c>
      <c r="AC2" s="229">
        <v>44562</v>
      </c>
      <c r="AD2" s="229">
        <v>44593</v>
      </c>
      <c r="AE2" s="229">
        <v>44621</v>
      </c>
      <c r="AF2" s="229">
        <v>44652</v>
      </c>
      <c r="AG2" s="229">
        <v>44682</v>
      </c>
      <c r="AH2" s="229">
        <v>44713</v>
      </c>
      <c r="AI2" s="229">
        <v>44743</v>
      </c>
      <c r="AJ2" s="229">
        <v>44774</v>
      </c>
      <c r="AK2" s="229">
        <v>44805</v>
      </c>
      <c r="AL2" s="229">
        <v>44835</v>
      </c>
      <c r="AM2" s="229">
        <v>44866</v>
      </c>
      <c r="AN2" s="229">
        <v>44896</v>
      </c>
      <c r="AO2" s="255" t="s">
        <v>366</v>
      </c>
      <c r="AP2" s="255" t="s">
        <v>465</v>
      </c>
      <c r="AQ2" s="229"/>
      <c r="AR2" s="229"/>
      <c r="AS2" s="229">
        <v>44927</v>
      </c>
      <c r="AT2" s="229">
        <v>44958</v>
      </c>
      <c r="AU2" s="229">
        <v>44986</v>
      </c>
      <c r="AV2" s="229">
        <v>45017</v>
      </c>
      <c r="AW2" s="229">
        <v>45047</v>
      </c>
      <c r="AX2" s="259">
        <v>45078</v>
      </c>
      <c r="AY2" s="259">
        <v>45108</v>
      </c>
      <c r="AZ2" s="259">
        <v>45139</v>
      </c>
      <c r="BA2" s="259">
        <v>45170</v>
      </c>
      <c r="BB2" s="259">
        <v>45200</v>
      </c>
      <c r="BC2" s="259">
        <v>45231</v>
      </c>
      <c r="BD2" s="259">
        <v>45261</v>
      </c>
      <c r="BE2" s="259" t="s">
        <v>188</v>
      </c>
      <c r="BF2" s="259">
        <v>45292</v>
      </c>
      <c r="BG2" s="259">
        <v>45323</v>
      </c>
      <c r="BH2" s="259">
        <v>45352</v>
      </c>
      <c r="BI2" s="259">
        <v>45383</v>
      </c>
      <c r="BJ2" s="259">
        <v>45413</v>
      </c>
      <c r="BK2" s="259">
        <v>45444</v>
      </c>
      <c r="BL2" s="259">
        <v>45474</v>
      </c>
      <c r="BM2" s="259">
        <v>45505</v>
      </c>
      <c r="BN2" s="259">
        <v>45536</v>
      </c>
      <c r="BO2" s="259">
        <v>45566</v>
      </c>
      <c r="BP2" s="259">
        <v>45597</v>
      </c>
      <c r="BQ2" s="259">
        <v>45627</v>
      </c>
      <c r="BR2" s="259" t="s">
        <v>188</v>
      </c>
      <c r="BS2" s="140">
        <v>45658</v>
      </c>
      <c r="BT2" s="140">
        <v>45689</v>
      </c>
      <c r="BU2" s="140">
        <v>45717</v>
      </c>
      <c r="BV2" s="140">
        <v>45748</v>
      </c>
      <c r="BW2" s="140">
        <v>45778</v>
      </c>
      <c r="BX2" s="140">
        <v>45809</v>
      </c>
      <c r="BY2" s="140">
        <v>45839</v>
      </c>
      <c r="BZ2" t="s">
        <v>791</v>
      </c>
      <c r="CA2" t="s">
        <v>792</v>
      </c>
      <c r="CB2" t="s">
        <v>793</v>
      </c>
      <c r="CC2" t="s">
        <v>794</v>
      </c>
      <c r="CD2" t="s">
        <v>795</v>
      </c>
      <c r="CE2" s="245" t="s">
        <v>789</v>
      </c>
      <c r="CF2" t="s">
        <v>796</v>
      </c>
    </row>
    <row r="3" spans="1:84" ht="18.25">
      <c r="A3" s="55" t="s">
        <v>274</v>
      </c>
      <c r="B3" s="106">
        <v>191072692</v>
      </c>
      <c r="C3" s="106">
        <v>964058483</v>
      </c>
      <c r="D3" s="106">
        <v>259203330</v>
      </c>
      <c r="E3" s="106">
        <v>171671289</v>
      </c>
      <c r="F3" s="106">
        <v>685245689</v>
      </c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10"/>
      <c r="W3" s="110"/>
      <c r="X3" s="110"/>
      <c r="Y3" s="110"/>
      <c r="Z3" s="63">
        <f>SUM(B3:H3)</f>
        <v>2271251483</v>
      </c>
      <c r="AA3" s="63">
        <f>SUM(N3:U3)</f>
        <v>0</v>
      </c>
      <c r="AB3" s="67">
        <f>AA3/Z3-1</f>
        <v>-1</v>
      </c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74"/>
      <c r="AP3" s="207"/>
      <c r="BF3">
        <v>3816688520</v>
      </c>
      <c r="BG3">
        <v>4966076504</v>
      </c>
      <c r="BH3">
        <v>8328498272</v>
      </c>
      <c r="BI3">
        <v>5768996602</v>
      </c>
      <c r="BJ3">
        <v>9745392132</v>
      </c>
      <c r="BK3">
        <v>14132135498</v>
      </c>
      <c r="BL3">
        <v>8600072233</v>
      </c>
      <c r="BM3">
        <v>7386586774</v>
      </c>
      <c r="BN3">
        <v>12826198792</v>
      </c>
      <c r="BO3">
        <v>11514911871</v>
      </c>
      <c r="BP3">
        <v>12936247078</v>
      </c>
      <c r="BQ3">
        <v>15505045549</v>
      </c>
      <c r="BR3">
        <f>SUM(BF3:BQ3)</f>
        <v>115526849825</v>
      </c>
      <c r="BS3">
        <v>8146995274</v>
      </c>
      <c r="BT3">
        <v>9449196422</v>
      </c>
      <c r="BU3">
        <v>18802401236</v>
      </c>
      <c r="BV3">
        <v>10633139907</v>
      </c>
      <c r="BW3">
        <v>11517166304</v>
      </c>
      <c r="BX3">
        <v>20561157360</v>
      </c>
      <c r="BY3">
        <v>15257572730</v>
      </c>
      <c r="BZ3">
        <v>14051113606</v>
      </c>
      <c r="CA3">
        <v>20344438956</v>
      </c>
      <c r="CB3">
        <v>24019041409</v>
      </c>
      <c r="CC3">
        <v>18298504336</v>
      </c>
      <c r="CD3">
        <v>38780878421</v>
      </c>
      <c r="CE3" s="586">
        <f>SUM(BS3:CD3)</f>
        <v>209861605961</v>
      </c>
      <c r="CF3" s="17">
        <f>CE3/BR3-1</f>
        <v>0.81656131262038412</v>
      </c>
    </row>
    <row r="4" spans="1:84" ht="16.5" thickBot="1">
      <c r="A4" s="56" t="s">
        <v>274</v>
      </c>
      <c r="B4" s="107">
        <v>191072692</v>
      </c>
      <c r="C4" s="107">
        <v>964058483</v>
      </c>
      <c r="D4" s="107">
        <v>259203330</v>
      </c>
      <c r="E4" s="107">
        <v>171671289</v>
      </c>
      <c r="F4" s="107">
        <v>685245689</v>
      </c>
      <c r="G4" s="107">
        <v>307003761</v>
      </c>
      <c r="H4" s="107">
        <v>319491142</v>
      </c>
      <c r="I4" s="107">
        <v>934342690</v>
      </c>
      <c r="J4" s="107">
        <v>484979324</v>
      </c>
      <c r="K4" s="107">
        <v>407921237</v>
      </c>
      <c r="L4" s="107">
        <v>2806073156</v>
      </c>
      <c r="M4" s="107">
        <v>639826834</v>
      </c>
      <c r="N4" s="107">
        <v>195402730</v>
      </c>
      <c r="O4" s="33">
        <v>1757939888</v>
      </c>
      <c r="P4" s="33">
        <v>622733362</v>
      </c>
      <c r="Q4" s="33">
        <v>572602988</v>
      </c>
      <c r="R4" s="33">
        <v>3652728636</v>
      </c>
      <c r="S4" s="33">
        <v>2076787413</v>
      </c>
      <c r="T4" s="33">
        <v>1004400818</v>
      </c>
      <c r="U4" s="33">
        <v>7425773474</v>
      </c>
      <c r="V4" s="33">
        <v>3346320872</v>
      </c>
      <c r="W4" s="33">
        <v>2606036455</v>
      </c>
      <c r="X4" s="33">
        <v>13487604940</v>
      </c>
      <c r="Y4" s="33">
        <v>5312757335</v>
      </c>
      <c r="Z4" s="66">
        <f>SUM(B4:M4)</f>
        <v>8170889627</v>
      </c>
      <c r="AA4" s="66">
        <f>SUM(N4:Y4)</f>
        <v>42061088911</v>
      </c>
      <c r="AB4">
        <f t="shared" ref="AB4:AB36" si="0">AA4/Z4-1</f>
        <v>4.1476755691342051</v>
      </c>
      <c r="AC4" s="231"/>
      <c r="AD4" s="231"/>
      <c r="AE4" s="231"/>
      <c r="AF4" s="231"/>
      <c r="AG4" s="231"/>
      <c r="AH4" s="231"/>
      <c r="AI4" s="231"/>
      <c r="AJ4" s="231"/>
      <c r="AK4" s="231"/>
      <c r="AL4" s="231"/>
      <c r="AM4" s="231"/>
      <c r="AN4" s="231"/>
      <c r="AO4" s="274"/>
      <c r="AP4" s="207"/>
      <c r="BF4">
        <v>3816688520</v>
      </c>
      <c r="BG4">
        <v>4966076504</v>
      </c>
      <c r="BH4">
        <v>8328498272</v>
      </c>
      <c r="BI4">
        <v>5768996602</v>
      </c>
      <c r="BJ4">
        <v>9745392132</v>
      </c>
      <c r="BK4">
        <v>14132135498</v>
      </c>
      <c r="BL4">
        <v>8600072233</v>
      </c>
      <c r="BM4">
        <v>7386586774</v>
      </c>
      <c r="BN4">
        <v>12826198792</v>
      </c>
      <c r="BO4">
        <v>11514911871</v>
      </c>
      <c r="BP4">
        <v>12936247078</v>
      </c>
      <c r="BQ4">
        <v>15505045549</v>
      </c>
      <c r="BR4">
        <f t="shared" ref="BR4:BR36" si="1">SUM(BF4:BQ4)</f>
        <v>115526849825</v>
      </c>
      <c r="BS4" s="708">
        <v>8146995274</v>
      </c>
      <c r="BT4" s="708">
        <v>9449196422</v>
      </c>
      <c r="BU4" s="708">
        <v>18802401236</v>
      </c>
      <c r="BV4" s="708">
        <v>10633139907</v>
      </c>
      <c r="BW4" s="708">
        <v>11517166304</v>
      </c>
      <c r="BX4" s="711">
        <v>20561157360</v>
      </c>
      <c r="BY4" s="719">
        <v>15257572730</v>
      </c>
      <c r="BZ4" s="141">
        <v>14051113606</v>
      </c>
      <c r="CA4">
        <v>20344438956</v>
      </c>
      <c r="CB4">
        <v>24019041409</v>
      </c>
      <c r="CC4">
        <v>18298504336</v>
      </c>
      <c r="CD4">
        <v>38780878421</v>
      </c>
      <c r="CE4" s="586">
        <f t="shared" ref="CE4:CE36" si="2">SUM(BS4:CD4)</f>
        <v>209861605961</v>
      </c>
      <c r="CF4" s="17">
        <f t="shared" ref="CF4:CF36" si="3">CE4/BR4-1</f>
        <v>0.81656131262038412</v>
      </c>
    </row>
    <row r="5" spans="1:84" ht="19" thickTop="1">
      <c r="A5" s="57" t="s">
        <v>275</v>
      </c>
      <c r="B5" s="108">
        <v>135178427725</v>
      </c>
      <c r="C5" s="108">
        <v>185323334827</v>
      </c>
      <c r="D5" s="108">
        <v>170072139718</v>
      </c>
      <c r="E5" s="108">
        <v>110306582600</v>
      </c>
      <c r="F5" s="108">
        <v>174027299140</v>
      </c>
      <c r="G5" s="108">
        <v>164766269857</v>
      </c>
      <c r="H5" s="108">
        <v>179376974735</v>
      </c>
      <c r="I5" s="108">
        <v>203803391234</v>
      </c>
      <c r="J5" s="108">
        <v>182913216542</v>
      </c>
      <c r="K5" s="108">
        <v>191369532919</v>
      </c>
      <c r="L5" s="108">
        <v>234481739952</v>
      </c>
      <c r="M5" s="108">
        <v>195183505346</v>
      </c>
      <c r="N5" s="108">
        <v>171596403302</v>
      </c>
      <c r="O5" s="33">
        <v>191157535103</v>
      </c>
      <c r="P5" s="33">
        <v>201530068362</v>
      </c>
      <c r="Q5" s="33">
        <v>200987208706</v>
      </c>
      <c r="R5" s="33">
        <v>249084300326</v>
      </c>
      <c r="S5" s="33">
        <v>196487412006</v>
      </c>
      <c r="T5" s="33">
        <v>175811580948</v>
      </c>
      <c r="U5" s="33">
        <v>273493539685</v>
      </c>
      <c r="V5" s="33">
        <v>233129210687</v>
      </c>
      <c r="W5" s="33">
        <v>224561339758</v>
      </c>
      <c r="X5" s="33">
        <v>274240879443</v>
      </c>
      <c r="Y5" s="33">
        <v>264235096033</v>
      </c>
      <c r="Z5" s="64">
        <f t="shared" ref="Z5:Z36" si="4">SUM(B5:M5)</f>
        <v>2126802414595</v>
      </c>
      <c r="AA5" s="64">
        <f>SUM(N5:Y5)</f>
        <v>2656314574359</v>
      </c>
      <c r="AB5" s="67">
        <f t="shared" si="0"/>
        <v>0.24897101683271949</v>
      </c>
      <c r="AC5" s="232">
        <v>213565389741</v>
      </c>
      <c r="AD5" s="232">
        <v>282941074194</v>
      </c>
      <c r="AE5" s="232">
        <v>229962872890</v>
      </c>
      <c r="AF5" s="232">
        <v>239845699378</v>
      </c>
      <c r="AG5" s="232">
        <v>288169468581</v>
      </c>
      <c r="AH5" s="232">
        <v>263301105427</v>
      </c>
      <c r="AI5" s="232">
        <v>273545755087</v>
      </c>
      <c r="AJ5" s="232">
        <v>327153312121</v>
      </c>
      <c r="AK5" s="232">
        <v>268024591256</v>
      </c>
      <c r="AL5" s="232">
        <v>273207762509</v>
      </c>
      <c r="AM5" s="232">
        <v>330210775616</v>
      </c>
      <c r="AN5" s="232">
        <v>341676446100</v>
      </c>
      <c r="AO5" s="275">
        <f>SUM(N5:Y5)</f>
        <v>2656314574359</v>
      </c>
      <c r="AP5" s="271">
        <f>SUM(AC5:AN5)</f>
        <v>3331604252900</v>
      </c>
      <c r="AS5" s="580">
        <v>264526090909</v>
      </c>
      <c r="AT5" s="580">
        <v>337711778903</v>
      </c>
      <c r="AU5" s="580">
        <v>286637080245</v>
      </c>
      <c r="AV5" s="580">
        <v>271100641837</v>
      </c>
      <c r="AW5" s="580">
        <v>391950277657</v>
      </c>
      <c r="AX5" s="580">
        <v>316445683381</v>
      </c>
      <c r="AY5" s="580">
        <v>345308562582</v>
      </c>
      <c r="AZ5" s="580">
        <v>345857855984</v>
      </c>
      <c r="BA5" s="580">
        <v>413954948684</v>
      </c>
      <c r="BB5" s="580">
        <v>367799678335</v>
      </c>
      <c r="BC5" s="580">
        <v>308244784669</v>
      </c>
      <c r="BD5" s="580">
        <v>503308767138</v>
      </c>
      <c r="BE5" s="580">
        <f>SUM(AS5:BD5)</f>
        <v>4152846150324</v>
      </c>
      <c r="BF5" s="580">
        <v>325780670935</v>
      </c>
      <c r="BG5" s="580">
        <v>299374628844</v>
      </c>
      <c r="BH5" s="580">
        <v>357276030864</v>
      </c>
      <c r="BI5" s="580">
        <v>385360626871</v>
      </c>
      <c r="BJ5" s="580">
        <v>359741026687</v>
      </c>
      <c r="BK5" s="580">
        <v>408388239982</v>
      </c>
      <c r="BL5" s="580">
        <v>385529593163</v>
      </c>
      <c r="BM5" s="580">
        <v>389675107770</v>
      </c>
      <c r="BN5" s="580">
        <v>467992814464</v>
      </c>
      <c r="BO5" s="710">
        <v>446980507716</v>
      </c>
      <c r="BP5" s="710">
        <v>409487785819</v>
      </c>
      <c r="BQ5" s="710">
        <v>543219697452</v>
      </c>
      <c r="BR5">
        <f t="shared" si="1"/>
        <v>4778806730567</v>
      </c>
      <c r="BS5" s="713">
        <v>391935781122</v>
      </c>
      <c r="BT5" s="713">
        <v>372506199740</v>
      </c>
      <c r="BU5" s="713">
        <v>470215091537</v>
      </c>
      <c r="BV5" s="713">
        <v>411458822659</v>
      </c>
      <c r="BW5" s="713">
        <v>439170797795</v>
      </c>
      <c r="BX5" s="713">
        <v>615851087185</v>
      </c>
      <c r="BY5" s="713">
        <v>486632867657</v>
      </c>
      <c r="BZ5" s="586">
        <v>464583399613</v>
      </c>
      <c r="CA5">
        <v>580297731532</v>
      </c>
      <c r="CB5">
        <v>581448616284</v>
      </c>
      <c r="CC5">
        <v>709195209594</v>
      </c>
      <c r="CD5">
        <v>703137769707</v>
      </c>
      <c r="CE5" s="586">
        <f t="shared" si="2"/>
        <v>6226433374425</v>
      </c>
      <c r="CF5" s="17">
        <f t="shared" si="3"/>
        <v>0.30292638423697893</v>
      </c>
    </row>
    <row r="6" spans="1:84" ht="15.75">
      <c r="A6" s="56" t="s">
        <v>276</v>
      </c>
      <c r="B6" s="107">
        <v>7140550101</v>
      </c>
      <c r="C6" s="107">
        <v>7485305819</v>
      </c>
      <c r="D6" s="107">
        <v>4363453644</v>
      </c>
      <c r="E6" s="107">
        <v>2346102918</v>
      </c>
      <c r="F6" s="107">
        <v>3214111590</v>
      </c>
      <c r="G6" s="107">
        <v>6819490191</v>
      </c>
      <c r="H6" s="107">
        <v>6873259836</v>
      </c>
      <c r="I6" s="107">
        <v>4611959623</v>
      </c>
      <c r="J6" s="107">
        <v>7498852983</v>
      </c>
      <c r="K6" s="107">
        <v>7326851307</v>
      </c>
      <c r="L6" s="107">
        <v>8837728941</v>
      </c>
      <c r="M6" s="107">
        <v>9622806653</v>
      </c>
      <c r="N6" s="107">
        <v>5350920595</v>
      </c>
      <c r="O6" s="203">
        <v>8821479140</v>
      </c>
      <c r="P6" s="203">
        <v>10898880133</v>
      </c>
      <c r="Q6" s="203">
        <v>9878119118</v>
      </c>
      <c r="R6" s="203">
        <v>13419096879</v>
      </c>
      <c r="S6" s="203">
        <v>13223055380</v>
      </c>
      <c r="T6" s="203">
        <v>5529287697</v>
      </c>
      <c r="U6" s="203">
        <v>15920688275</v>
      </c>
      <c r="V6" s="203">
        <v>14965170619</v>
      </c>
      <c r="W6" s="203">
        <v>13337643093</v>
      </c>
      <c r="X6" s="203">
        <v>14394092988</v>
      </c>
      <c r="Y6" s="203">
        <v>17693925216</v>
      </c>
      <c r="Z6" s="66">
        <f t="shared" si="4"/>
        <v>76140473606</v>
      </c>
      <c r="AA6" s="66">
        <f>SUM(N6:Y6)</f>
        <v>143432359133</v>
      </c>
      <c r="AB6" s="205">
        <f>AA6/Z6-1</f>
        <v>0.88378601209143626</v>
      </c>
      <c r="AC6" s="231">
        <v>13313482567</v>
      </c>
      <c r="AD6" s="231">
        <v>19427283869</v>
      </c>
      <c r="AE6" s="231">
        <v>17809962108</v>
      </c>
      <c r="AF6" s="231">
        <v>17441783089</v>
      </c>
      <c r="AG6" s="231">
        <v>20414285144</v>
      </c>
      <c r="AH6" s="231">
        <v>17890432331</v>
      </c>
      <c r="AI6" s="231">
        <v>19106913449</v>
      </c>
      <c r="AJ6" s="231">
        <v>20883306690</v>
      </c>
      <c r="AK6" s="231">
        <v>10877921748</v>
      </c>
      <c r="AL6" s="231">
        <v>14824042851</v>
      </c>
      <c r="AM6" s="231">
        <v>16254686415</v>
      </c>
      <c r="AN6" s="231">
        <v>16647122222</v>
      </c>
      <c r="AO6" s="276">
        <f t="shared" ref="AO6:AO36" si="5">SUM(N6:Y6)</f>
        <v>143432359133</v>
      </c>
      <c r="AP6" s="272">
        <f t="shared" ref="AP6:AP36" si="6">SUM(AC6:AN6)</f>
        <v>204891222483</v>
      </c>
      <c r="AS6" s="581">
        <v>12467179949</v>
      </c>
      <c r="AT6" s="581">
        <v>22230596492</v>
      </c>
      <c r="AU6" s="581">
        <v>18071935360</v>
      </c>
      <c r="AV6" s="581">
        <v>13599122851</v>
      </c>
      <c r="AW6" s="581">
        <v>24343564114</v>
      </c>
      <c r="AX6" s="581">
        <v>18936551872</v>
      </c>
      <c r="AY6" s="581">
        <v>16745865143</v>
      </c>
      <c r="AZ6" s="581">
        <v>21012449235</v>
      </c>
      <c r="BA6" s="581">
        <v>26428312810</v>
      </c>
      <c r="BB6" s="581">
        <v>18021483908</v>
      </c>
      <c r="BC6" s="581">
        <v>16713964117</v>
      </c>
      <c r="BD6" s="581">
        <v>22715834712</v>
      </c>
      <c r="BE6" s="581">
        <f t="shared" ref="BE6:BE36" si="7">SUM(AS6:BD6)</f>
        <v>231286860563</v>
      </c>
      <c r="BF6" s="581">
        <v>18592845558</v>
      </c>
      <c r="BG6" s="581">
        <v>13897743211</v>
      </c>
      <c r="BH6" s="581">
        <v>27915568905</v>
      </c>
      <c r="BI6" s="581">
        <v>20828133386</v>
      </c>
      <c r="BJ6" s="581">
        <v>20292531927</v>
      </c>
      <c r="BK6" s="581">
        <v>23754881136</v>
      </c>
      <c r="BL6" s="581">
        <v>26041761238</v>
      </c>
      <c r="BM6" s="581">
        <v>18284956153</v>
      </c>
      <c r="BN6" s="581">
        <v>26353472404</v>
      </c>
      <c r="BO6" s="709">
        <v>22765121863</v>
      </c>
      <c r="BP6" s="709">
        <v>25764307477</v>
      </c>
      <c r="BQ6" s="709">
        <v>31428332340</v>
      </c>
      <c r="BR6">
        <f t="shared" si="1"/>
        <v>275919655598</v>
      </c>
      <c r="BS6" s="709">
        <v>20183929030</v>
      </c>
      <c r="BT6" s="709">
        <v>26383458465</v>
      </c>
      <c r="BU6" s="709">
        <v>32469223513</v>
      </c>
      <c r="BV6" s="709">
        <v>27663779156</v>
      </c>
      <c r="BW6" s="709">
        <v>32821190030</v>
      </c>
      <c r="BX6" s="709">
        <v>40877330470</v>
      </c>
      <c r="BY6" s="33">
        <v>36062818807</v>
      </c>
      <c r="BZ6" s="586">
        <v>40069430046</v>
      </c>
      <c r="CA6">
        <v>48217885830</v>
      </c>
      <c r="CB6">
        <v>58336603617</v>
      </c>
      <c r="CC6">
        <v>211589647532</v>
      </c>
      <c r="CD6">
        <v>107836577843</v>
      </c>
      <c r="CE6" s="586">
        <f t="shared" si="2"/>
        <v>682511874339</v>
      </c>
      <c r="CF6" s="17">
        <f t="shared" si="3"/>
        <v>1.4735891789216455</v>
      </c>
    </row>
    <row r="7" spans="1:84" ht="15.75">
      <c r="A7" s="56" t="s">
        <v>277</v>
      </c>
      <c r="B7" s="109">
        <v>81569636029</v>
      </c>
      <c r="C7" s="109">
        <v>103612277777</v>
      </c>
      <c r="D7" s="109">
        <v>77810732420</v>
      </c>
      <c r="E7" s="109">
        <v>55447232463</v>
      </c>
      <c r="F7" s="109">
        <v>104307064231</v>
      </c>
      <c r="G7" s="109">
        <v>100247601262</v>
      </c>
      <c r="H7" s="109">
        <v>104675843293</v>
      </c>
      <c r="I7" s="109">
        <v>127244370090</v>
      </c>
      <c r="J7" s="109">
        <v>106472025496</v>
      </c>
      <c r="K7" s="109">
        <v>113065438248</v>
      </c>
      <c r="L7" s="109">
        <v>125310847919</v>
      </c>
      <c r="M7" s="109">
        <v>118074764358</v>
      </c>
      <c r="N7" s="109">
        <v>85560585088</v>
      </c>
      <c r="O7" s="33">
        <v>107363560419</v>
      </c>
      <c r="P7" s="33">
        <v>121242303350</v>
      </c>
      <c r="Q7" s="33">
        <v>112793353045</v>
      </c>
      <c r="R7" s="33">
        <v>136050210742</v>
      </c>
      <c r="S7" s="33">
        <v>118827316058</v>
      </c>
      <c r="T7" s="33">
        <v>106952502292</v>
      </c>
      <c r="U7" s="33">
        <v>155981682081</v>
      </c>
      <c r="V7" s="33">
        <v>130365607022</v>
      </c>
      <c r="W7" s="33">
        <v>133370862557</v>
      </c>
      <c r="X7" s="33">
        <v>158316751115</v>
      </c>
      <c r="Y7" s="33">
        <v>147825416650</v>
      </c>
      <c r="Z7" s="66">
        <f t="shared" si="4"/>
        <v>1217837833586</v>
      </c>
      <c r="AA7" s="66">
        <f>SUM(N7:Y7)</f>
        <v>1514650150419</v>
      </c>
      <c r="AB7" s="205">
        <f t="shared" si="0"/>
        <v>0.2437207226179019</v>
      </c>
      <c r="AC7" s="231">
        <v>120728610462</v>
      </c>
      <c r="AD7" s="231">
        <v>143671183194</v>
      </c>
      <c r="AE7" s="231">
        <v>142205516326</v>
      </c>
      <c r="AF7" s="231">
        <v>131974197892</v>
      </c>
      <c r="AG7" s="231">
        <v>166529748856</v>
      </c>
      <c r="AH7" s="231">
        <v>148632324326</v>
      </c>
      <c r="AI7" s="231">
        <v>160429063494</v>
      </c>
      <c r="AJ7" s="231">
        <v>197574728975</v>
      </c>
      <c r="AK7" s="231">
        <v>158460942492</v>
      </c>
      <c r="AL7" s="231">
        <v>156793213307</v>
      </c>
      <c r="AM7" s="231">
        <v>197653016353</v>
      </c>
      <c r="AN7" s="231">
        <v>181533705657</v>
      </c>
      <c r="AO7" s="276">
        <f t="shared" si="5"/>
        <v>1514650150419</v>
      </c>
      <c r="AP7" s="272">
        <f t="shared" si="6"/>
        <v>1906186251334</v>
      </c>
      <c r="AS7" s="581">
        <v>166193677909</v>
      </c>
      <c r="AT7" s="581">
        <v>194776152366</v>
      </c>
      <c r="AU7" s="581">
        <v>173700588825</v>
      </c>
      <c r="AV7" s="581">
        <v>155769041372</v>
      </c>
      <c r="AW7" s="581">
        <v>227839102261</v>
      </c>
      <c r="AX7" s="581">
        <v>181821240604</v>
      </c>
      <c r="AY7" s="581">
        <v>189932825597</v>
      </c>
      <c r="AZ7" s="581">
        <v>217239582355</v>
      </c>
      <c r="BA7" s="581">
        <v>230357382530</v>
      </c>
      <c r="BB7" s="581">
        <v>183409912237</v>
      </c>
      <c r="BC7" s="581">
        <v>183696697831</v>
      </c>
      <c r="BD7" s="581">
        <v>249200478226</v>
      </c>
      <c r="BE7" s="581">
        <f t="shared" si="7"/>
        <v>2353936682113</v>
      </c>
      <c r="BF7" s="581">
        <v>186444915158</v>
      </c>
      <c r="BG7" s="581">
        <v>188615980704</v>
      </c>
      <c r="BH7" s="581">
        <v>213760164766</v>
      </c>
      <c r="BI7" s="581">
        <v>211818561088</v>
      </c>
      <c r="BJ7" s="581">
        <v>209796089729</v>
      </c>
      <c r="BK7" s="581">
        <v>227459656532</v>
      </c>
      <c r="BL7" s="581">
        <v>220666300814</v>
      </c>
      <c r="BM7" s="581">
        <v>240196866341</v>
      </c>
      <c r="BN7" s="581">
        <v>286759011040</v>
      </c>
      <c r="BO7" s="709">
        <v>246852035858</v>
      </c>
      <c r="BP7" s="709">
        <v>235468951532</v>
      </c>
      <c r="BQ7" s="709">
        <v>303692669669</v>
      </c>
      <c r="BR7">
        <f t="shared" si="1"/>
        <v>2771531203231</v>
      </c>
      <c r="BS7" s="709">
        <v>226501884461</v>
      </c>
      <c r="BT7" s="709">
        <v>223129193990</v>
      </c>
      <c r="BU7" s="709">
        <v>263270421424</v>
      </c>
      <c r="BV7" s="709">
        <v>245574028628</v>
      </c>
      <c r="BW7" s="709">
        <v>273990944722</v>
      </c>
      <c r="BX7" s="709">
        <v>303639020513</v>
      </c>
      <c r="BY7" s="33">
        <v>298570442460</v>
      </c>
      <c r="BZ7" s="586">
        <v>293697797482</v>
      </c>
      <c r="CA7">
        <v>339942980344</v>
      </c>
      <c r="CB7">
        <v>303732202089</v>
      </c>
      <c r="CC7">
        <v>310592614994</v>
      </c>
      <c r="CD7">
        <v>372629676214</v>
      </c>
      <c r="CE7" s="586">
        <f t="shared" si="2"/>
        <v>3455271207321</v>
      </c>
      <c r="CF7" s="17">
        <f t="shared" si="3"/>
        <v>0.24670117489310917</v>
      </c>
    </row>
    <row r="8" spans="1:84">
      <c r="A8" s="58" t="s">
        <v>278</v>
      </c>
      <c r="B8" s="107">
        <v>19863089691</v>
      </c>
      <c r="C8" s="107">
        <v>17619905718</v>
      </c>
      <c r="D8" s="107">
        <v>13773602751</v>
      </c>
      <c r="E8" s="107">
        <v>10665670324</v>
      </c>
      <c r="F8" s="107">
        <v>13642592596</v>
      </c>
      <c r="G8" s="107">
        <v>17638564334</v>
      </c>
      <c r="H8" s="107">
        <v>19761613240</v>
      </c>
      <c r="I8" s="107">
        <v>20572490061</v>
      </c>
      <c r="J8" s="107">
        <v>18522808428</v>
      </c>
      <c r="K8" s="107">
        <v>18346254398</v>
      </c>
      <c r="L8" s="107">
        <v>19046350043</v>
      </c>
      <c r="M8" s="107">
        <v>22196744559</v>
      </c>
      <c r="N8" s="107">
        <v>18170856819</v>
      </c>
      <c r="O8" s="33">
        <v>15921142074</v>
      </c>
      <c r="P8" s="33">
        <v>20164336518</v>
      </c>
      <c r="Q8" s="33">
        <v>19231969003</v>
      </c>
      <c r="R8" s="33">
        <v>21726621156</v>
      </c>
      <c r="S8" s="33">
        <v>21075050490</v>
      </c>
      <c r="T8" s="33">
        <v>20533565723</v>
      </c>
      <c r="U8" s="33">
        <v>21968593046</v>
      </c>
      <c r="V8" s="33">
        <v>23201319766</v>
      </c>
      <c r="W8" s="33">
        <v>24193352006</v>
      </c>
      <c r="X8" s="33">
        <v>22883638652</v>
      </c>
      <c r="Y8" s="33">
        <v>23198660230</v>
      </c>
      <c r="Z8" s="66">
        <f t="shared" si="4"/>
        <v>211649686143</v>
      </c>
      <c r="AA8" s="66">
        <f t="shared" ref="AA8:AA36" si="8">SUM(N8:Y8)</f>
        <v>252269105483</v>
      </c>
      <c r="AB8" s="205">
        <f t="shared" si="0"/>
        <v>0.19191816477608992</v>
      </c>
      <c r="AC8" s="231">
        <v>24129414950</v>
      </c>
      <c r="AD8" s="231">
        <v>22702197962</v>
      </c>
      <c r="AE8" s="231">
        <v>25302917247</v>
      </c>
      <c r="AF8" s="231">
        <v>23696248893</v>
      </c>
      <c r="AG8" s="231">
        <v>25330480023</v>
      </c>
      <c r="AH8" s="231">
        <v>26355762283</v>
      </c>
      <c r="AI8" s="231">
        <v>31138133058</v>
      </c>
      <c r="AJ8" s="231">
        <v>30926295936</v>
      </c>
      <c r="AK8" s="231">
        <v>26860414512</v>
      </c>
      <c r="AL8" s="231">
        <v>24355330450</v>
      </c>
      <c r="AM8" s="231">
        <v>24271929237</v>
      </c>
      <c r="AN8" s="231">
        <v>29393828622</v>
      </c>
      <c r="AO8" s="276">
        <f t="shared" si="5"/>
        <v>252269105483</v>
      </c>
      <c r="AP8" s="272">
        <f t="shared" si="6"/>
        <v>314462953173</v>
      </c>
      <c r="AS8" s="581">
        <v>29210874935</v>
      </c>
      <c r="AT8" s="581">
        <v>26291541324</v>
      </c>
      <c r="AU8" s="581">
        <v>28797712673</v>
      </c>
      <c r="AV8" s="581">
        <v>26138436455</v>
      </c>
      <c r="AW8" s="581">
        <v>26862744038</v>
      </c>
      <c r="AX8" s="581">
        <v>30724137564</v>
      </c>
      <c r="AY8" s="581">
        <v>33685210993</v>
      </c>
      <c r="AZ8" s="581">
        <v>35723254655</v>
      </c>
      <c r="BA8" s="581">
        <v>32172113181</v>
      </c>
      <c r="BB8" s="581">
        <v>28923967764</v>
      </c>
      <c r="BC8" s="581">
        <v>27416781151</v>
      </c>
      <c r="BD8" s="581">
        <v>32272250502</v>
      </c>
      <c r="BE8" s="581">
        <f t="shared" si="7"/>
        <v>358219025235</v>
      </c>
      <c r="BF8" s="581">
        <v>30832055856</v>
      </c>
      <c r="BG8" s="581">
        <v>30182543867</v>
      </c>
      <c r="BH8" s="581">
        <v>32446433647</v>
      </c>
      <c r="BI8" s="581">
        <v>30614170568</v>
      </c>
      <c r="BJ8" s="581">
        <v>34345829601</v>
      </c>
      <c r="BK8" s="581">
        <v>33753222699</v>
      </c>
      <c r="BL8" s="581">
        <v>32946318334</v>
      </c>
      <c r="BM8" s="581">
        <v>40613490577</v>
      </c>
      <c r="BN8" s="581">
        <v>38447112261</v>
      </c>
      <c r="BO8" s="709">
        <v>36050241180</v>
      </c>
      <c r="BP8" s="709">
        <v>32777667344</v>
      </c>
      <c r="BQ8" s="709">
        <v>40329835916</v>
      </c>
      <c r="BR8">
        <f t="shared" si="1"/>
        <v>413338921850</v>
      </c>
      <c r="BS8" s="709">
        <v>37784510868</v>
      </c>
      <c r="BT8" s="709">
        <v>34839689975</v>
      </c>
      <c r="BU8" s="709">
        <v>40782132617</v>
      </c>
      <c r="BV8" s="709">
        <v>39705299617</v>
      </c>
      <c r="BW8" s="709">
        <v>42428856353</v>
      </c>
      <c r="BX8" s="709">
        <v>44620354691</v>
      </c>
      <c r="BY8" s="33">
        <v>49128834796</v>
      </c>
      <c r="BZ8" s="586">
        <v>47846838286</v>
      </c>
      <c r="CA8">
        <v>46386782673</v>
      </c>
      <c r="CB8">
        <v>42380724086</v>
      </c>
      <c r="CC8">
        <v>41144946018</v>
      </c>
      <c r="CD8">
        <v>46189555591</v>
      </c>
      <c r="CE8" s="586">
        <f t="shared" si="2"/>
        <v>513238525571</v>
      </c>
      <c r="CF8" s="17">
        <f t="shared" si="3"/>
        <v>0.24168932186176595</v>
      </c>
    </row>
    <row r="9" spans="1:84">
      <c r="A9" s="59" t="s">
        <v>279</v>
      </c>
      <c r="B9" s="107">
        <v>61706546338</v>
      </c>
      <c r="C9" s="107">
        <v>85992372059</v>
      </c>
      <c r="D9" s="107">
        <v>64037129669</v>
      </c>
      <c r="E9" s="107">
        <v>44781562139</v>
      </c>
      <c r="F9" s="107">
        <v>90664471635</v>
      </c>
      <c r="G9" s="107">
        <v>82609036928</v>
      </c>
      <c r="H9" s="107">
        <v>84914230053</v>
      </c>
      <c r="I9" s="107">
        <v>106671880029</v>
      </c>
      <c r="J9" s="107">
        <v>87949217068</v>
      </c>
      <c r="K9" s="107">
        <v>94719183850</v>
      </c>
      <c r="L9" s="107">
        <v>106264497876</v>
      </c>
      <c r="M9" s="107">
        <v>95878019799</v>
      </c>
      <c r="N9" s="107">
        <v>67389728269</v>
      </c>
      <c r="O9" s="203">
        <v>91442418345</v>
      </c>
      <c r="P9" s="203">
        <v>101077966832</v>
      </c>
      <c r="Q9" s="203">
        <v>93561384042</v>
      </c>
      <c r="R9" s="203">
        <v>114323589586</v>
      </c>
      <c r="S9" s="203">
        <v>97752265568</v>
      </c>
      <c r="T9" s="203">
        <v>86418936569</v>
      </c>
      <c r="U9" s="203">
        <v>134013089035</v>
      </c>
      <c r="V9" s="203">
        <v>107164287256</v>
      </c>
      <c r="W9" s="203">
        <v>109177510551</v>
      </c>
      <c r="X9" s="203">
        <v>135433112463</v>
      </c>
      <c r="Y9" s="203">
        <v>124626756420</v>
      </c>
      <c r="Z9" s="66">
        <f t="shared" si="4"/>
        <v>1006188147443</v>
      </c>
      <c r="AA9" s="66">
        <f t="shared" si="8"/>
        <v>1262381044936</v>
      </c>
      <c r="AB9" s="205">
        <f t="shared" si="0"/>
        <v>0.25461728817225326</v>
      </c>
      <c r="AC9" s="231">
        <v>96599195512</v>
      </c>
      <c r="AD9" s="231">
        <v>120968985232</v>
      </c>
      <c r="AE9" s="231">
        <v>116902599079</v>
      </c>
      <c r="AF9" s="231">
        <v>108277948999</v>
      </c>
      <c r="AG9" s="231">
        <v>141199268833</v>
      </c>
      <c r="AH9" s="231">
        <v>122276562043</v>
      </c>
      <c r="AI9" s="231">
        <v>129290930436</v>
      </c>
      <c r="AJ9" s="231">
        <v>166648433039</v>
      </c>
      <c r="AK9" s="231">
        <v>131600527980</v>
      </c>
      <c r="AL9" s="231">
        <v>132437882857</v>
      </c>
      <c r="AM9" s="231">
        <v>173381087116</v>
      </c>
      <c r="AN9" s="231">
        <v>152139877035</v>
      </c>
      <c r="AO9" s="276">
        <f t="shared" si="5"/>
        <v>1262381044936</v>
      </c>
      <c r="AP9" s="272">
        <f t="shared" si="6"/>
        <v>1591723298161</v>
      </c>
      <c r="AS9" s="581">
        <v>136982802974</v>
      </c>
      <c r="AT9" s="581">
        <v>168484611042</v>
      </c>
      <c r="AU9" s="581">
        <v>144902876152</v>
      </c>
      <c r="AV9" s="581">
        <v>129630604917</v>
      </c>
      <c r="AW9" s="581">
        <v>200976358223</v>
      </c>
      <c r="AX9" s="581">
        <v>151097103040</v>
      </c>
      <c r="AY9" s="581">
        <v>156247614604</v>
      </c>
      <c r="AZ9" s="581">
        <v>181516327700</v>
      </c>
      <c r="BA9" s="581">
        <v>198185269349</v>
      </c>
      <c r="BB9" s="581">
        <v>154485944473</v>
      </c>
      <c r="BC9" s="581">
        <v>156279916680</v>
      </c>
      <c r="BD9" s="581">
        <v>216928227724</v>
      </c>
      <c r="BE9" s="581">
        <f t="shared" si="7"/>
        <v>1995717656878</v>
      </c>
      <c r="BF9" s="581">
        <v>155612859302</v>
      </c>
      <c r="BG9" s="581">
        <v>158433436837</v>
      </c>
      <c r="BH9" s="581">
        <v>181313731119</v>
      </c>
      <c r="BI9" s="581">
        <v>181204390520</v>
      </c>
      <c r="BJ9" s="581">
        <v>175450260128</v>
      </c>
      <c r="BK9" s="581">
        <v>193706433833</v>
      </c>
      <c r="BL9" s="581">
        <v>187719982480</v>
      </c>
      <c r="BM9" s="581">
        <v>199583375764</v>
      </c>
      <c r="BN9" s="581">
        <v>248311898779</v>
      </c>
      <c r="BO9" s="709">
        <v>210801794678</v>
      </c>
      <c r="BP9" s="709">
        <v>202691284188</v>
      </c>
      <c r="BQ9" s="709">
        <v>263362833753</v>
      </c>
      <c r="BR9">
        <f t="shared" si="1"/>
        <v>2358192281381</v>
      </c>
      <c r="BS9" s="709">
        <v>188717373593</v>
      </c>
      <c r="BT9" s="709">
        <v>188289504015</v>
      </c>
      <c r="BU9" s="709">
        <v>222488288807</v>
      </c>
      <c r="BV9" s="709">
        <v>205868729011</v>
      </c>
      <c r="BW9" s="709">
        <v>231562088369</v>
      </c>
      <c r="BX9" s="709">
        <v>259018665822</v>
      </c>
      <c r="BY9" s="33">
        <v>249441607664</v>
      </c>
      <c r="BZ9" s="586">
        <v>245850959196</v>
      </c>
      <c r="CA9">
        <v>293556197671</v>
      </c>
      <c r="CB9">
        <v>261351478003</v>
      </c>
      <c r="CC9">
        <v>269447668976</v>
      </c>
      <c r="CD9">
        <v>326440120623</v>
      </c>
      <c r="CE9" s="586">
        <f t="shared" si="2"/>
        <v>2942032681750</v>
      </c>
      <c r="CF9" s="17">
        <f t="shared" si="3"/>
        <v>0.24757964182084957</v>
      </c>
    </row>
    <row r="10" spans="1:84" ht="15.75">
      <c r="A10" s="56" t="s">
        <v>280</v>
      </c>
      <c r="B10" s="109">
        <v>18867531461</v>
      </c>
      <c r="C10" s="109">
        <v>21662742545</v>
      </c>
      <c r="D10" s="109">
        <v>20029816272</v>
      </c>
      <c r="E10" s="109">
        <v>14757495659</v>
      </c>
      <c r="F10" s="109">
        <v>16675135062</v>
      </c>
      <c r="G10" s="109">
        <v>19353677841</v>
      </c>
      <c r="H10" s="109">
        <v>23930160334</v>
      </c>
      <c r="I10" s="109">
        <v>23662761103</v>
      </c>
      <c r="J10" s="109">
        <v>25087695175</v>
      </c>
      <c r="K10" s="109">
        <v>25284664425</v>
      </c>
      <c r="L10" s="109">
        <v>24359923883</v>
      </c>
      <c r="M10" s="109">
        <v>23413650876</v>
      </c>
      <c r="N10" s="109">
        <v>27718520229</v>
      </c>
      <c r="O10" s="33">
        <v>21831788566</v>
      </c>
      <c r="P10" s="33">
        <v>26990417745</v>
      </c>
      <c r="Q10" s="33">
        <v>31283078161</v>
      </c>
      <c r="R10" s="33">
        <v>32342954003</v>
      </c>
      <c r="S10" s="33">
        <v>23214646198</v>
      </c>
      <c r="T10" s="33">
        <v>23240750705</v>
      </c>
      <c r="U10" s="33">
        <v>36230904918</v>
      </c>
      <c r="V10" s="33">
        <v>33229342469</v>
      </c>
      <c r="W10" s="33">
        <v>29676963193</v>
      </c>
      <c r="X10" s="33">
        <v>32292991097</v>
      </c>
      <c r="Y10" s="33">
        <v>29596516850</v>
      </c>
      <c r="Z10" s="66">
        <f t="shared" si="4"/>
        <v>257085254636</v>
      </c>
      <c r="AA10" s="66">
        <f t="shared" si="8"/>
        <v>347648874134</v>
      </c>
      <c r="AB10" s="205">
        <f t="shared" si="0"/>
        <v>0.35227076568909621</v>
      </c>
      <c r="AC10" s="231">
        <v>23996648214</v>
      </c>
      <c r="AD10" s="231">
        <v>34964342064</v>
      </c>
      <c r="AE10" s="231">
        <v>25278918525</v>
      </c>
      <c r="AF10" s="231">
        <v>27413308998</v>
      </c>
      <c r="AG10" s="231">
        <v>34965251702</v>
      </c>
      <c r="AH10" s="231">
        <v>30996778738</v>
      </c>
      <c r="AI10" s="231">
        <v>30640401257</v>
      </c>
      <c r="AJ10" s="231">
        <v>34474192896</v>
      </c>
      <c r="AK10" s="231">
        <v>30052060220</v>
      </c>
      <c r="AL10" s="231">
        <v>31519703126</v>
      </c>
      <c r="AM10" s="231">
        <v>36454859451</v>
      </c>
      <c r="AN10" s="231">
        <v>53734232762</v>
      </c>
      <c r="AO10" s="276">
        <f t="shared" si="5"/>
        <v>347648874134</v>
      </c>
      <c r="AP10" s="272">
        <f t="shared" si="6"/>
        <v>394490697953</v>
      </c>
      <c r="AS10" s="581">
        <v>33752257948</v>
      </c>
      <c r="AT10" s="581">
        <v>42266558195</v>
      </c>
      <c r="AU10" s="581">
        <v>29297571781</v>
      </c>
      <c r="AV10" s="581">
        <v>28627012032</v>
      </c>
      <c r="AW10" s="581">
        <v>44443399232</v>
      </c>
      <c r="AX10" s="581">
        <v>29073060318</v>
      </c>
      <c r="AY10" s="581">
        <v>32576940036</v>
      </c>
      <c r="AZ10" s="581">
        <v>37100485986</v>
      </c>
      <c r="BA10" s="581">
        <v>46512107728</v>
      </c>
      <c r="BB10" s="581">
        <v>40013784871</v>
      </c>
      <c r="BC10" s="581">
        <v>41058770945</v>
      </c>
      <c r="BD10" s="581">
        <v>54570672927</v>
      </c>
      <c r="BE10" s="581">
        <f t="shared" si="7"/>
        <v>459292621999</v>
      </c>
      <c r="BF10" s="581">
        <v>33694813089</v>
      </c>
      <c r="BG10" s="581">
        <v>39523111345</v>
      </c>
      <c r="BH10" s="581">
        <v>39645515265</v>
      </c>
      <c r="BI10" s="581">
        <v>43258688830</v>
      </c>
      <c r="BJ10" s="581">
        <v>68831402220</v>
      </c>
      <c r="BK10" s="581">
        <v>47769545397</v>
      </c>
      <c r="BL10" s="581">
        <v>40728082646</v>
      </c>
      <c r="BM10" s="581">
        <v>44407027186</v>
      </c>
      <c r="BN10" s="581">
        <v>46490267143</v>
      </c>
      <c r="BO10" s="709">
        <v>59480835145</v>
      </c>
      <c r="BP10" s="709">
        <v>48337821156</v>
      </c>
      <c r="BQ10" s="709">
        <v>51188926925</v>
      </c>
      <c r="BR10">
        <f t="shared" si="1"/>
        <v>563356036347</v>
      </c>
      <c r="BS10" s="709">
        <v>45572325284</v>
      </c>
      <c r="BT10" s="709">
        <v>38335573535</v>
      </c>
      <c r="BU10" s="709">
        <v>41453122008</v>
      </c>
      <c r="BV10" s="709">
        <v>46289879072</v>
      </c>
      <c r="BW10" s="709">
        <v>49124896839</v>
      </c>
      <c r="BX10" s="709">
        <v>47612583643</v>
      </c>
      <c r="BY10" s="33">
        <v>44939265527</v>
      </c>
      <c r="BZ10" s="586">
        <v>48836996156</v>
      </c>
      <c r="CA10">
        <v>58884663905</v>
      </c>
      <c r="CB10">
        <v>57435011438</v>
      </c>
      <c r="CC10">
        <v>73270598894</v>
      </c>
      <c r="CD10">
        <v>62674958839</v>
      </c>
      <c r="CE10" s="586">
        <f t="shared" si="2"/>
        <v>614429875140</v>
      </c>
      <c r="CF10" s="17">
        <f t="shared" si="3"/>
        <v>9.065996545307442E-2</v>
      </c>
    </row>
    <row r="11" spans="1:84">
      <c r="A11" s="59" t="s">
        <v>281</v>
      </c>
      <c r="B11" s="107">
        <v>15853107116</v>
      </c>
      <c r="C11" s="107">
        <v>18510325459</v>
      </c>
      <c r="D11" s="107">
        <v>17255741324</v>
      </c>
      <c r="E11" s="107">
        <v>13122526604</v>
      </c>
      <c r="F11" s="107">
        <v>14588807452</v>
      </c>
      <c r="G11" s="107">
        <v>16829152119</v>
      </c>
      <c r="H11" s="107">
        <v>21438523678</v>
      </c>
      <c r="I11" s="107">
        <v>20305159356</v>
      </c>
      <c r="J11" s="107">
        <v>22002104828</v>
      </c>
      <c r="K11" s="107">
        <v>22888439143</v>
      </c>
      <c r="L11" s="107">
        <v>21279093322</v>
      </c>
      <c r="M11" s="107">
        <v>20453486862</v>
      </c>
      <c r="N11" s="107">
        <v>25514070171</v>
      </c>
      <c r="O11" s="33">
        <v>18875780987</v>
      </c>
      <c r="P11" s="33">
        <v>25196489289</v>
      </c>
      <c r="Q11" s="33">
        <v>28363295456</v>
      </c>
      <c r="R11" s="33">
        <v>29526449293</v>
      </c>
      <c r="S11" s="33">
        <v>20695523958</v>
      </c>
      <c r="T11" s="33">
        <v>20413818616</v>
      </c>
      <c r="U11" s="33">
        <v>31621455055</v>
      </c>
      <c r="V11" s="33">
        <v>24283961762</v>
      </c>
      <c r="W11" s="33">
        <v>25604061231</v>
      </c>
      <c r="X11" s="33">
        <v>28077942398</v>
      </c>
      <c r="Y11" s="33">
        <v>25380108545</v>
      </c>
      <c r="Z11" s="66">
        <f t="shared" si="4"/>
        <v>224526467263</v>
      </c>
      <c r="AA11" s="66">
        <f t="shared" si="8"/>
        <v>303552956761</v>
      </c>
      <c r="AB11" s="205">
        <f t="shared" si="0"/>
        <v>0.35196959388058247</v>
      </c>
      <c r="AC11" s="231">
        <v>20283094527</v>
      </c>
      <c r="AD11" s="231">
        <v>30352327681</v>
      </c>
      <c r="AE11" s="231">
        <v>21840253027</v>
      </c>
      <c r="AF11" s="231">
        <v>23510595062</v>
      </c>
      <c r="AG11" s="231">
        <v>30416417724</v>
      </c>
      <c r="AH11" s="231">
        <v>27059495561</v>
      </c>
      <c r="AI11" s="231">
        <v>26315017056</v>
      </c>
      <c r="AJ11" s="231">
        <v>28911457637</v>
      </c>
      <c r="AK11" s="231">
        <v>25813133108</v>
      </c>
      <c r="AL11" s="231">
        <v>27473428838</v>
      </c>
      <c r="AM11" s="231">
        <v>31547805597</v>
      </c>
      <c r="AN11" s="231">
        <v>49951439674</v>
      </c>
      <c r="AO11" s="276">
        <f t="shared" si="5"/>
        <v>303552956761</v>
      </c>
      <c r="AP11" s="272">
        <f t="shared" si="6"/>
        <v>343474465492</v>
      </c>
      <c r="AS11" s="581">
        <v>29821016783</v>
      </c>
      <c r="AT11" s="581">
        <v>37305360619</v>
      </c>
      <c r="AU11" s="581">
        <v>25447846158</v>
      </c>
      <c r="AV11" s="581">
        <v>24696352757</v>
      </c>
      <c r="AW11" s="581">
        <v>39525803236</v>
      </c>
      <c r="AX11" s="581">
        <v>24542030314</v>
      </c>
      <c r="AY11" s="581">
        <v>27976159667</v>
      </c>
      <c r="AZ11" s="581">
        <v>31743130044</v>
      </c>
      <c r="BA11" s="581">
        <v>40112841912</v>
      </c>
      <c r="BB11" s="581">
        <v>35755288522</v>
      </c>
      <c r="BC11" s="581">
        <v>36760945374</v>
      </c>
      <c r="BD11" s="581">
        <v>48726169891</v>
      </c>
      <c r="BE11" s="581">
        <f t="shared" si="7"/>
        <v>402412945277</v>
      </c>
      <c r="BF11" s="581">
        <v>29199954242</v>
      </c>
      <c r="BG11" s="581">
        <v>34892003189</v>
      </c>
      <c r="BH11" s="581">
        <v>34070738667</v>
      </c>
      <c r="BI11" s="581">
        <v>38895252831</v>
      </c>
      <c r="BJ11" s="581">
        <v>64396561591</v>
      </c>
      <c r="BK11" s="581">
        <v>40836306548</v>
      </c>
      <c r="BL11" s="581">
        <v>35372291150</v>
      </c>
      <c r="BM11" s="581">
        <v>38286586164</v>
      </c>
      <c r="BN11" s="581">
        <v>38918094569</v>
      </c>
      <c r="BO11" s="709">
        <v>54186054106</v>
      </c>
      <c r="BP11" s="709">
        <v>42137711913</v>
      </c>
      <c r="BQ11" s="709">
        <v>44931412752</v>
      </c>
      <c r="BR11">
        <f t="shared" si="1"/>
        <v>496122967722</v>
      </c>
      <c r="BS11" s="709">
        <v>40221056776</v>
      </c>
      <c r="BT11" s="709">
        <v>32648978251</v>
      </c>
      <c r="BU11" s="709">
        <v>34924879697</v>
      </c>
      <c r="BV11" s="709">
        <v>40662573466</v>
      </c>
      <c r="BW11" s="709">
        <v>43668921563</v>
      </c>
      <c r="BX11" s="709">
        <v>40915387254</v>
      </c>
      <c r="BY11" s="33">
        <v>40106213193</v>
      </c>
      <c r="BZ11" s="586">
        <v>41456650758</v>
      </c>
      <c r="CA11">
        <v>51157672197</v>
      </c>
      <c r="CB11">
        <v>50027516573</v>
      </c>
      <c r="CC11">
        <v>67110707468</v>
      </c>
      <c r="CD11">
        <v>55521449004</v>
      </c>
      <c r="CE11" s="586">
        <f t="shared" si="2"/>
        <v>538422006200</v>
      </c>
      <c r="CF11" s="17">
        <f t="shared" si="3"/>
        <v>8.5259182158448299E-2</v>
      </c>
    </row>
    <row r="12" spans="1:84">
      <c r="A12" s="59" t="s">
        <v>282</v>
      </c>
      <c r="B12" s="107">
        <v>3014424345</v>
      </c>
      <c r="C12" s="107">
        <v>3152417086</v>
      </c>
      <c r="D12" s="107">
        <v>2774074948</v>
      </c>
      <c r="E12" s="107">
        <v>1634969055</v>
      </c>
      <c r="F12" s="107">
        <v>2086327610</v>
      </c>
      <c r="G12" s="107">
        <v>2524525722</v>
      </c>
      <c r="H12" s="107">
        <v>2491636656</v>
      </c>
      <c r="I12" s="107">
        <v>3357601747</v>
      </c>
      <c r="J12" s="107">
        <v>3085590347</v>
      </c>
      <c r="K12" s="107">
        <v>2396225282</v>
      </c>
      <c r="L12" s="107">
        <v>3080830561</v>
      </c>
      <c r="M12" s="107">
        <v>2960164014</v>
      </c>
      <c r="N12" s="107">
        <v>2204450058</v>
      </c>
      <c r="O12" s="33">
        <v>2956007579</v>
      </c>
      <c r="P12" s="33">
        <v>1793928456</v>
      </c>
      <c r="Q12" s="33">
        <v>2919782705</v>
      </c>
      <c r="R12" s="33">
        <v>2816504710</v>
      </c>
      <c r="S12" s="33">
        <v>2519122240</v>
      </c>
      <c r="T12" s="33">
        <v>2826932089</v>
      </c>
      <c r="U12" s="33">
        <v>4609449863</v>
      </c>
      <c r="V12" s="33">
        <v>8945380707</v>
      </c>
      <c r="W12" s="33">
        <v>4072901962</v>
      </c>
      <c r="X12" s="33">
        <v>4215048699</v>
      </c>
      <c r="Y12" s="33">
        <v>4216408305</v>
      </c>
      <c r="Z12" s="66">
        <f t="shared" si="4"/>
        <v>32558787373</v>
      </c>
      <c r="AA12" s="66">
        <f t="shared" si="8"/>
        <v>44095917373</v>
      </c>
      <c r="AB12" s="205">
        <f t="shared" si="0"/>
        <v>0.3543476563739405</v>
      </c>
      <c r="AC12" s="231">
        <v>3713553687</v>
      </c>
      <c r="AD12" s="231">
        <v>4612014383</v>
      </c>
      <c r="AE12" s="231">
        <v>3438665498</v>
      </c>
      <c r="AF12" s="231">
        <v>3902713936</v>
      </c>
      <c r="AG12" s="231">
        <v>4548833978</v>
      </c>
      <c r="AH12" s="231">
        <v>3937283177</v>
      </c>
      <c r="AI12" s="231">
        <v>4325384201</v>
      </c>
      <c r="AJ12" s="231">
        <v>5562735259</v>
      </c>
      <c r="AK12" s="231">
        <v>4238927112</v>
      </c>
      <c r="AL12" s="231">
        <v>4046274288</v>
      </c>
      <c r="AM12" s="231">
        <v>4907053854</v>
      </c>
      <c r="AN12" s="231">
        <v>3782793088</v>
      </c>
      <c r="AO12" s="276">
        <f t="shared" si="5"/>
        <v>44095917373</v>
      </c>
      <c r="AP12" s="272">
        <f t="shared" si="6"/>
        <v>51016232461</v>
      </c>
      <c r="AS12" s="581">
        <v>3931241165</v>
      </c>
      <c r="AT12" s="581">
        <v>4961197576</v>
      </c>
      <c r="AU12" s="581">
        <v>3849725623</v>
      </c>
      <c r="AV12" s="581">
        <v>3930659275</v>
      </c>
      <c r="AW12" s="581">
        <v>4917595996</v>
      </c>
      <c r="AX12" s="581">
        <v>4531030004</v>
      </c>
      <c r="AY12" s="581">
        <v>4600780369</v>
      </c>
      <c r="AZ12" s="581">
        <v>5357355942</v>
      </c>
      <c r="BA12" s="581">
        <v>6399265816</v>
      </c>
      <c r="BB12" s="581">
        <v>4258496349</v>
      </c>
      <c r="BC12" s="581">
        <v>4297825571</v>
      </c>
      <c r="BD12" s="581">
        <v>5844503036</v>
      </c>
      <c r="BE12" s="581">
        <f t="shared" si="7"/>
        <v>56879676722</v>
      </c>
      <c r="BF12" s="581">
        <v>4494858847</v>
      </c>
      <c r="BG12" s="581">
        <v>4631108156</v>
      </c>
      <c r="BH12" s="581">
        <v>5574776598</v>
      </c>
      <c r="BI12" s="581">
        <v>4363435999</v>
      </c>
      <c r="BJ12" s="581">
        <v>4434840629</v>
      </c>
      <c r="BK12" s="581">
        <v>6933238849</v>
      </c>
      <c r="BL12" s="581">
        <v>5355791496</v>
      </c>
      <c r="BM12" s="581">
        <v>6120441022</v>
      </c>
      <c r="BN12" s="581">
        <v>7572172574</v>
      </c>
      <c r="BO12" s="709">
        <v>5294781039</v>
      </c>
      <c r="BP12" s="709">
        <v>6200109243</v>
      </c>
      <c r="BQ12" s="709">
        <v>6257514173</v>
      </c>
      <c r="BR12">
        <f t="shared" si="1"/>
        <v>67233068625</v>
      </c>
      <c r="BS12" s="709">
        <v>5351268508</v>
      </c>
      <c r="BT12" s="709">
        <v>5686595284</v>
      </c>
      <c r="BU12" s="709">
        <v>6528242311</v>
      </c>
      <c r="BV12" s="709">
        <v>5627305606</v>
      </c>
      <c r="BW12" s="709">
        <v>5455975276</v>
      </c>
      <c r="BX12" s="709">
        <v>6697196389</v>
      </c>
      <c r="BY12" s="33">
        <v>4833052334</v>
      </c>
      <c r="BZ12" s="586">
        <v>7380345398</v>
      </c>
      <c r="CA12">
        <v>7726991708</v>
      </c>
      <c r="CB12">
        <v>7407494865</v>
      </c>
      <c r="CC12">
        <v>6159891426</v>
      </c>
      <c r="CD12">
        <v>7153509835</v>
      </c>
      <c r="CE12" s="586">
        <f t="shared" si="2"/>
        <v>76007868940</v>
      </c>
      <c r="CF12" s="17">
        <f t="shared" si="3"/>
        <v>0.13051316107468547</v>
      </c>
    </row>
    <row r="13" spans="1:84" ht="15.75">
      <c r="A13" s="56" t="s">
        <v>283</v>
      </c>
      <c r="B13" s="107">
        <v>27600710134</v>
      </c>
      <c r="C13" s="107">
        <v>52563008686</v>
      </c>
      <c r="D13" s="107">
        <v>67868137382</v>
      </c>
      <c r="E13" s="107">
        <v>37755751560</v>
      </c>
      <c r="F13" s="107">
        <v>49830988257</v>
      </c>
      <c r="G13" s="107">
        <v>38345500563</v>
      </c>
      <c r="H13" s="107">
        <v>43897711272</v>
      </c>
      <c r="I13" s="107">
        <v>48284300418</v>
      </c>
      <c r="J13" s="107">
        <v>43854642888</v>
      </c>
      <c r="K13" s="107">
        <v>45692578939</v>
      </c>
      <c r="L13" s="107">
        <v>75973239209</v>
      </c>
      <c r="M13" s="107">
        <v>44072283459</v>
      </c>
      <c r="N13" s="107">
        <v>52966377390</v>
      </c>
      <c r="O13" s="203">
        <v>53140706978</v>
      </c>
      <c r="P13" s="203">
        <v>42398467134</v>
      </c>
      <c r="Q13" s="203">
        <v>47032658382</v>
      </c>
      <c r="R13" s="203">
        <v>67272038702</v>
      </c>
      <c r="S13" s="203">
        <v>41222394370</v>
      </c>
      <c r="T13" s="203">
        <v>40089040254</v>
      </c>
      <c r="U13" s="203">
        <v>65360264411</v>
      </c>
      <c r="V13" s="203">
        <v>54569090577</v>
      </c>
      <c r="W13" s="203">
        <v>48175870915</v>
      </c>
      <c r="X13" s="203">
        <v>69237044243</v>
      </c>
      <c r="Y13" s="203">
        <v>69119237317</v>
      </c>
      <c r="Z13" s="66">
        <f t="shared" si="4"/>
        <v>575738852767</v>
      </c>
      <c r="AA13" s="66">
        <f t="shared" si="8"/>
        <v>650583190673</v>
      </c>
      <c r="AB13" s="205">
        <f t="shared" si="0"/>
        <v>0.12999702477312103</v>
      </c>
      <c r="AC13" s="231">
        <v>55526648498</v>
      </c>
      <c r="AD13" s="231">
        <v>84878265067</v>
      </c>
      <c r="AE13" s="231">
        <v>44668475931</v>
      </c>
      <c r="AF13" s="231">
        <v>63016409399</v>
      </c>
      <c r="AG13" s="231">
        <v>66260182879</v>
      </c>
      <c r="AH13" s="231">
        <v>65781570032</v>
      </c>
      <c r="AI13" s="231">
        <v>63369376887</v>
      </c>
      <c r="AJ13" s="231">
        <v>74221083560</v>
      </c>
      <c r="AK13" s="231">
        <v>68633666796</v>
      </c>
      <c r="AL13" s="231">
        <v>70070803225</v>
      </c>
      <c r="AM13" s="231">
        <v>79848213397</v>
      </c>
      <c r="AN13" s="231">
        <v>89761385459</v>
      </c>
      <c r="AO13" s="276">
        <f t="shared" si="5"/>
        <v>650583190673</v>
      </c>
      <c r="AP13" s="272">
        <f t="shared" si="6"/>
        <v>826036081130</v>
      </c>
      <c r="AS13" s="581">
        <v>52112975103</v>
      </c>
      <c r="AT13" s="581">
        <v>78438471850</v>
      </c>
      <c r="AU13" s="581">
        <v>65566984279</v>
      </c>
      <c r="AV13" s="581">
        <v>73105465582</v>
      </c>
      <c r="AW13" s="581">
        <v>95324212050</v>
      </c>
      <c r="AX13" s="581">
        <v>86614830587</v>
      </c>
      <c r="AY13" s="581">
        <v>106052931806</v>
      </c>
      <c r="AZ13" s="581">
        <v>70505338408</v>
      </c>
      <c r="BA13" s="581">
        <v>110657145616</v>
      </c>
      <c r="BB13" s="581">
        <v>126354497319</v>
      </c>
      <c r="BC13" s="581">
        <v>66775351776</v>
      </c>
      <c r="BD13" s="581">
        <v>176821781273</v>
      </c>
      <c r="BE13" s="581">
        <f t="shared" si="7"/>
        <v>1108329985649</v>
      </c>
      <c r="BF13" s="581">
        <v>87048097130</v>
      </c>
      <c r="BG13" s="581">
        <v>57337793584</v>
      </c>
      <c r="BH13" s="581">
        <v>75954781928</v>
      </c>
      <c r="BI13" s="581">
        <v>109455243567</v>
      </c>
      <c r="BJ13" s="581">
        <v>60821002811</v>
      </c>
      <c r="BK13" s="581">
        <v>109404156917</v>
      </c>
      <c r="BL13" s="581">
        <v>98093448465</v>
      </c>
      <c r="BM13" s="581">
        <v>86786258090</v>
      </c>
      <c r="BN13" s="581">
        <v>108390063877</v>
      </c>
      <c r="BO13" s="709">
        <v>117882514850</v>
      </c>
      <c r="BP13" s="709">
        <v>99916705654</v>
      </c>
      <c r="BQ13" s="709">
        <v>156909768518</v>
      </c>
      <c r="BR13">
        <f t="shared" si="1"/>
        <v>1167999835391</v>
      </c>
      <c r="BS13" s="709">
        <v>99677642347</v>
      </c>
      <c r="BT13" s="709">
        <v>84657973750</v>
      </c>
      <c r="BU13" s="709">
        <v>133022324592</v>
      </c>
      <c r="BV13" s="709">
        <v>91931135803</v>
      </c>
      <c r="BW13" s="709">
        <v>83233766204</v>
      </c>
      <c r="BX13" s="709">
        <v>223722152559</v>
      </c>
      <c r="BY13" s="33">
        <v>107060340863</v>
      </c>
      <c r="BZ13" s="586">
        <v>81979175929</v>
      </c>
      <c r="CA13">
        <v>133252201453</v>
      </c>
      <c r="CB13">
        <v>161944799140</v>
      </c>
      <c r="CC13">
        <v>113742348174</v>
      </c>
      <c r="CD13">
        <v>159996556811</v>
      </c>
      <c r="CE13" s="586">
        <f t="shared" si="2"/>
        <v>1474220417625</v>
      </c>
      <c r="CF13" s="17">
        <f t="shared" si="3"/>
        <v>0.26217519297122971</v>
      </c>
    </row>
    <row r="14" spans="1:84" ht="18.25">
      <c r="A14" s="60" t="s">
        <v>284</v>
      </c>
      <c r="B14" s="108">
        <v>390202119728</v>
      </c>
      <c r="C14" s="108">
        <v>494495224001</v>
      </c>
      <c r="D14" s="108">
        <v>349567130482</v>
      </c>
      <c r="E14" s="108">
        <v>239399637069.00003</v>
      </c>
      <c r="F14" s="108">
        <v>409897463891</v>
      </c>
      <c r="G14" s="108">
        <v>390867018054</v>
      </c>
      <c r="H14" s="108">
        <v>386079615683</v>
      </c>
      <c r="I14" s="108">
        <v>562307824936</v>
      </c>
      <c r="J14" s="108">
        <v>398502397083</v>
      </c>
      <c r="K14" s="108">
        <v>417874904146</v>
      </c>
      <c r="L14" s="108">
        <v>584411194527</v>
      </c>
      <c r="M14" s="108">
        <v>497010769214</v>
      </c>
      <c r="N14" s="108">
        <v>336897279973</v>
      </c>
      <c r="O14" s="33">
        <v>543032721122</v>
      </c>
      <c r="P14" s="33">
        <v>446619235214</v>
      </c>
      <c r="Q14" s="33">
        <v>455707414109</v>
      </c>
      <c r="R14" s="33">
        <v>681362881200</v>
      </c>
      <c r="S14" s="33">
        <v>475526896641</v>
      </c>
      <c r="T14" s="33">
        <v>396761630631</v>
      </c>
      <c r="U14" s="33">
        <v>704565040129</v>
      </c>
      <c r="V14" s="33">
        <v>489044606277</v>
      </c>
      <c r="W14" s="33">
        <v>490768124749</v>
      </c>
      <c r="X14" s="33">
        <v>737986926122</v>
      </c>
      <c r="Y14" s="33">
        <v>595260516375</v>
      </c>
      <c r="Z14" s="64">
        <f t="shared" si="4"/>
        <v>5120615298814</v>
      </c>
      <c r="AA14" s="64">
        <f t="shared" si="8"/>
        <v>6353533272542</v>
      </c>
      <c r="AB14" s="67">
        <f t="shared" si="0"/>
        <v>0.24077535643295822</v>
      </c>
      <c r="AC14" s="232">
        <v>494061909376</v>
      </c>
      <c r="AD14" s="232">
        <v>698942227770</v>
      </c>
      <c r="AE14" s="232">
        <v>583298940246</v>
      </c>
      <c r="AF14" s="232">
        <v>559072459544</v>
      </c>
      <c r="AG14" s="232">
        <v>820150141728</v>
      </c>
      <c r="AH14" s="232">
        <v>680235051967</v>
      </c>
      <c r="AI14" s="232">
        <v>631971144067</v>
      </c>
      <c r="AJ14" s="232">
        <v>929322538342</v>
      </c>
      <c r="AK14" s="232">
        <v>689253559252</v>
      </c>
      <c r="AL14" s="232">
        <v>666605571123</v>
      </c>
      <c r="AM14" s="232">
        <v>984440646345</v>
      </c>
      <c r="AN14" s="232">
        <v>816401438528</v>
      </c>
      <c r="AO14" s="275">
        <f t="shared" si="5"/>
        <v>6353533272542</v>
      </c>
      <c r="AP14" s="271">
        <f t="shared" si="6"/>
        <v>8553755628288</v>
      </c>
      <c r="AS14" s="580">
        <v>687190068588</v>
      </c>
      <c r="AT14" s="580">
        <v>926446092611</v>
      </c>
      <c r="AU14" s="580">
        <v>742370574683</v>
      </c>
      <c r="AV14" s="580">
        <v>661220229082</v>
      </c>
      <c r="AW14" s="580">
        <v>1057539647982</v>
      </c>
      <c r="AX14" s="580">
        <v>759531286164</v>
      </c>
      <c r="AY14" s="580">
        <v>757363320725</v>
      </c>
      <c r="AZ14" s="580">
        <v>988120265841</v>
      </c>
      <c r="BA14" s="580">
        <v>1131088246573</v>
      </c>
      <c r="BB14" s="580">
        <v>923418191935</v>
      </c>
      <c r="BC14" s="580">
        <v>865335045705</v>
      </c>
      <c r="BD14" s="580">
        <v>1307502449719</v>
      </c>
      <c r="BE14" s="580">
        <f t="shared" si="7"/>
        <v>10807125419608</v>
      </c>
      <c r="BF14" s="580">
        <v>866280100131</v>
      </c>
      <c r="BG14" s="580">
        <v>818667801383</v>
      </c>
      <c r="BH14" s="580">
        <v>1062980300190</v>
      </c>
      <c r="BI14" s="580">
        <v>871772654289</v>
      </c>
      <c r="BJ14" s="580">
        <v>941717733788</v>
      </c>
      <c r="BK14" s="580">
        <v>1247976970787</v>
      </c>
      <c r="BL14" s="580">
        <v>996286590282</v>
      </c>
      <c r="BM14" s="580">
        <v>991583789725</v>
      </c>
      <c r="BN14" s="580">
        <v>1294843068513</v>
      </c>
      <c r="BO14" s="711">
        <v>1085997863333</v>
      </c>
      <c r="BP14" s="711">
        <v>1013547732220</v>
      </c>
      <c r="BQ14" s="711">
        <v>1629949738715</v>
      </c>
      <c r="BR14">
        <f t="shared" si="1"/>
        <v>12821604343356</v>
      </c>
      <c r="BS14" s="713">
        <v>1023800537223</v>
      </c>
      <c r="BT14" s="713">
        <v>950965217306</v>
      </c>
      <c r="BU14" s="713">
        <v>1300942791718</v>
      </c>
      <c r="BV14" s="713">
        <v>1052241940553</v>
      </c>
      <c r="BW14" s="713">
        <v>1048558561087</v>
      </c>
      <c r="BX14" s="713">
        <v>1530772991145</v>
      </c>
      <c r="BY14" s="713">
        <v>1215349416699</v>
      </c>
      <c r="BZ14" s="586">
        <v>1174670955030</v>
      </c>
      <c r="CA14">
        <v>1675361620272</v>
      </c>
      <c r="CB14">
        <v>1362363966425</v>
      </c>
      <c r="CC14">
        <v>1152884900296</v>
      </c>
      <c r="CD14">
        <v>1940133714809</v>
      </c>
      <c r="CE14" s="586">
        <f t="shared" si="2"/>
        <v>15428046612563</v>
      </c>
      <c r="CF14" s="17">
        <f t="shared" si="3"/>
        <v>0.20328518954475672</v>
      </c>
    </row>
    <row r="15" spans="1:84" ht="15.75">
      <c r="A15" s="56" t="s">
        <v>285</v>
      </c>
      <c r="B15" s="109">
        <v>243153592208</v>
      </c>
      <c r="C15" s="109">
        <v>317854576064</v>
      </c>
      <c r="D15" s="109">
        <v>215997045470</v>
      </c>
      <c r="E15" s="109">
        <v>148945544406.00003</v>
      </c>
      <c r="F15" s="109">
        <v>275794974978</v>
      </c>
      <c r="G15" s="109">
        <v>264426290034</v>
      </c>
      <c r="H15" s="109">
        <v>265095062343</v>
      </c>
      <c r="I15" s="109">
        <v>371323220388</v>
      </c>
      <c r="J15" s="109">
        <v>270431947262</v>
      </c>
      <c r="K15" s="109">
        <v>266601494341</v>
      </c>
      <c r="L15" s="109">
        <v>387280695998</v>
      </c>
      <c r="M15" s="109">
        <v>321747507373</v>
      </c>
      <c r="N15" s="109">
        <v>203632385795</v>
      </c>
      <c r="O15" s="33">
        <v>375136420655</v>
      </c>
      <c r="P15" s="33">
        <v>291982278864</v>
      </c>
      <c r="Q15" s="33">
        <v>286347992438</v>
      </c>
      <c r="R15" s="33">
        <v>469789476139</v>
      </c>
      <c r="S15" s="33">
        <v>307063928497</v>
      </c>
      <c r="T15" s="33">
        <v>248079986017</v>
      </c>
      <c r="U15" s="33">
        <v>478016149400</v>
      </c>
      <c r="V15" s="33">
        <v>322223423659</v>
      </c>
      <c r="W15" s="33">
        <v>322453502710</v>
      </c>
      <c r="X15" s="33">
        <v>498488632121</v>
      </c>
      <c r="Y15" s="33">
        <v>378097181248</v>
      </c>
      <c r="Z15" s="66">
        <f t="shared" si="4"/>
        <v>3348651950865</v>
      </c>
      <c r="AA15" s="66">
        <f t="shared" si="8"/>
        <v>4181311357543</v>
      </c>
      <c r="AB15" s="17">
        <f t="shared" si="0"/>
        <v>0.2486551062623612</v>
      </c>
      <c r="AC15" s="231">
        <v>314681460254</v>
      </c>
      <c r="AD15" s="231">
        <v>459805256452</v>
      </c>
      <c r="AE15" s="231">
        <v>374157339390</v>
      </c>
      <c r="AF15" s="231">
        <v>366944717896</v>
      </c>
      <c r="AG15" s="231">
        <v>530619058885</v>
      </c>
      <c r="AH15" s="231">
        <v>436779432209</v>
      </c>
      <c r="AI15" s="231">
        <v>405399947084</v>
      </c>
      <c r="AJ15" s="231">
        <v>615671645502</v>
      </c>
      <c r="AK15" s="231">
        <v>441191708412</v>
      </c>
      <c r="AL15" s="231">
        <v>415306569434</v>
      </c>
      <c r="AM15" s="231">
        <v>613256746240</v>
      </c>
      <c r="AN15" s="231">
        <v>540374539703</v>
      </c>
      <c r="AO15" s="276">
        <f t="shared" si="5"/>
        <v>4181311357543</v>
      </c>
      <c r="AP15" s="272">
        <f t="shared" si="6"/>
        <v>5514188421461</v>
      </c>
      <c r="AS15" s="581">
        <v>424306639043</v>
      </c>
      <c r="AT15" s="581">
        <v>620831540715</v>
      </c>
      <c r="AU15" s="581">
        <v>483280226484</v>
      </c>
      <c r="AV15" s="581">
        <v>421416395015</v>
      </c>
      <c r="AW15" s="581">
        <v>710666738229</v>
      </c>
      <c r="AX15" s="581">
        <v>496735913309</v>
      </c>
      <c r="AY15" s="581">
        <v>481414290986</v>
      </c>
      <c r="AZ15" s="581">
        <v>657058201175</v>
      </c>
      <c r="BA15" s="581">
        <v>751130114948</v>
      </c>
      <c r="BB15" s="581">
        <v>565812594811</v>
      </c>
      <c r="BC15" s="581">
        <v>557295193949</v>
      </c>
      <c r="BD15" s="581">
        <v>853091580891</v>
      </c>
      <c r="BE15" s="581">
        <f t="shared" si="7"/>
        <v>7023039429555</v>
      </c>
      <c r="BF15" s="581">
        <v>549875514089</v>
      </c>
      <c r="BG15" s="581">
        <v>532840693105</v>
      </c>
      <c r="BH15" s="581">
        <v>697381550438</v>
      </c>
      <c r="BI15" s="581">
        <v>572694239861</v>
      </c>
      <c r="BJ15" s="581">
        <v>615902998920</v>
      </c>
      <c r="BK15" s="581">
        <v>788967486320</v>
      </c>
      <c r="BL15" s="581">
        <v>625247422221</v>
      </c>
      <c r="BM15" s="581">
        <v>640909405812</v>
      </c>
      <c r="BN15" s="581">
        <v>834133744526</v>
      </c>
      <c r="BO15" s="709">
        <v>673881038471</v>
      </c>
      <c r="BP15" s="709">
        <v>659622896878</v>
      </c>
      <c r="BQ15" s="709">
        <v>996660718230</v>
      </c>
      <c r="BR15">
        <f t="shared" si="1"/>
        <v>8188117708871</v>
      </c>
      <c r="BS15" s="709">
        <v>635266469588</v>
      </c>
      <c r="BT15" s="709">
        <v>601168652328</v>
      </c>
      <c r="BU15" s="709">
        <v>835192599102</v>
      </c>
      <c r="BV15" s="709">
        <v>678692008824</v>
      </c>
      <c r="BW15" s="709">
        <v>682821775442</v>
      </c>
      <c r="BX15" s="709">
        <v>994174179315</v>
      </c>
      <c r="BY15" s="33">
        <v>791371781041</v>
      </c>
      <c r="BZ15" s="586">
        <v>744027029411</v>
      </c>
      <c r="CA15">
        <v>1057592455163</v>
      </c>
      <c r="CB15">
        <v>860397202568</v>
      </c>
      <c r="CC15">
        <v>719919903395</v>
      </c>
      <c r="CD15">
        <v>1151093501387</v>
      </c>
      <c r="CE15" s="586">
        <f t="shared" si="2"/>
        <v>9751717557564</v>
      </c>
      <c r="CF15" s="17">
        <f t="shared" si="3"/>
        <v>0.19095962030430957</v>
      </c>
    </row>
    <row r="16" spans="1:84">
      <c r="A16" s="59" t="s">
        <v>286</v>
      </c>
      <c r="B16" s="107">
        <v>193299925328</v>
      </c>
      <c r="C16" s="107">
        <v>270559257439</v>
      </c>
      <c r="D16" s="107">
        <v>163937645288</v>
      </c>
      <c r="E16" s="107">
        <v>104100691258.00003</v>
      </c>
      <c r="F16" s="107">
        <v>243236828690</v>
      </c>
      <c r="G16" s="107">
        <v>203340436287</v>
      </c>
      <c r="H16" s="107">
        <v>203688357933</v>
      </c>
      <c r="I16" s="107">
        <v>322604869384</v>
      </c>
      <c r="J16" s="107">
        <v>224788619164</v>
      </c>
      <c r="K16" s="107">
        <v>220545588897</v>
      </c>
      <c r="L16" s="107">
        <v>341546353028</v>
      </c>
      <c r="M16" s="107">
        <v>265944342507</v>
      </c>
      <c r="N16" s="107">
        <v>168541605154</v>
      </c>
      <c r="O16" s="33">
        <v>331502018219</v>
      </c>
      <c r="P16" s="33">
        <v>236521545051</v>
      </c>
      <c r="Q16" s="33">
        <v>234089908196</v>
      </c>
      <c r="R16" s="33">
        <v>402078368320</v>
      </c>
      <c r="S16" s="33">
        <v>246571482156</v>
      </c>
      <c r="T16" s="33">
        <v>202476295955</v>
      </c>
      <c r="U16" s="33">
        <v>410098190721</v>
      </c>
      <c r="V16" s="33">
        <v>258486645078</v>
      </c>
      <c r="W16" s="33">
        <v>252318406248</v>
      </c>
      <c r="X16" s="33">
        <v>428011186497</v>
      </c>
      <c r="Y16" s="33">
        <v>298898645128</v>
      </c>
      <c r="Z16" s="66">
        <f t="shared" si="4"/>
        <v>2757592915203</v>
      </c>
      <c r="AA16" s="66">
        <f t="shared" si="8"/>
        <v>3469594296723</v>
      </c>
      <c r="AB16" s="17">
        <f t="shared" si="0"/>
        <v>0.25819669668957856</v>
      </c>
      <c r="AC16" s="231">
        <v>244030204283</v>
      </c>
      <c r="AD16" s="231">
        <v>397195045642</v>
      </c>
      <c r="AE16" s="231">
        <v>281443657933</v>
      </c>
      <c r="AF16" s="231">
        <v>262154380119</v>
      </c>
      <c r="AG16" s="231">
        <v>433425240938</v>
      </c>
      <c r="AH16" s="231">
        <v>321475168569</v>
      </c>
      <c r="AI16" s="231">
        <v>296725437870</v>
      </c>
      <c r="AJ16" s="231">
        <v>497751165677</v>
      </c>
      <c r="AK16" s="231">
        <v>332930946424</v>
      </c>
      <c r="AL16" s="231">
        <v>318074961538</v>
      </c>
      <c r="AM16" s="231">
        <v>511006330611</v>
      </c>
      <c r="AN16" s="231">
        <v>423167824213</v>
      </c>
      <c r="AO16" s="276">
        <f t="shared" si="5"/>
        <v>3469594296723</v>
      </c>
      <c r="AP16" s="272">
        <f t="shared" si="6"/>
        <v>4319380363817</v>
      </c>
      <c r="AS16" s="581">
        <v>332060763755</v>
      </c>
      <c r="AT16" s="581">
        <v>525124659449</v>
      </c>
      <c r="AU16" s="581">
        <v>364489809822</v>
      </c>
      <c r="AV16" s="581">
        <v>326171997760</v>
      </c>
      <c r="AW16" s="581">
        <v>591937347593</v>
      </c>
      <c r="AX16" s="581">
        <v>392921040726</v>
      </c>
      <c r="AY16" s="581">
        <v>379523802539</v>
      </c>
      <c r="AZ16" s="581">
        <v>516037755025</v>
      </c>
      <c r="BA16" s="581">
        <v>643027131544</v>
      </c>
      <c r="BB16" s="581">
        <v>448565654976</v>
      </c>
      <c r="BC16" s="581">
        <v>436551151567</v>
      </c>
      <c r="BD16" s="581">
        <v>726978891242</v>
      </c>
      <c r="BE16" s="581">
        <f t="shared" si="7"/>
        <v>5683390005998</v>
      </c>
      <c r="BF16" s="581">
        <v>432840066496</v>
      </c>
      <c r="BG16" s="581">
        <v>420521533615</v>
      </c>
      <c r="BH16" s="581">
        <v>578575429677</v>
      </c>
      <c r="BI16" s="581">
        <v>438101165100</v>
      </c>
      <c r="BJ16" s="581">
        <v>490006491188</v>
      </c>
      <c r="BK16" s="581">
        <v>668191124983</v>
      </c>
      <c r="BL16" s="581">
        <v>490752134803</v>
      </c>
      <c r="BM16" s="581">
        <v>505812859627</v>
      </c>
      <c r="BN16" s="581">
        <v>700935769519</v>
      </c>
      <c r="BO16" s="709">
        <v>541230594889</v>
      </c>
      <c r="BP16" s="709">
        <v>537060464748</v>
      </c>
      <c r="BQ16" s="709">
        <v>832133014927</v>
      </c>
      <c r="BR16">
        <f t="shared" si="1"/>
        <v>6636160649572</v>
      </c>
      <c r="BS16" s="709">
        <v>509012439704</v>
      </c>
      <c r="BT16" s="709">
        <v>481180826459</v>
      </c>
      <c r="BU16" s="709">
        <v>720150221275</v>
      </c>
      <c r="BV16" s="709">
        <v>542876230026</v>
      </c>
      <c r="BW16" s="709">
        <v>567716774312</v>
      </c>
      <c r="BX16" s="709">
        <v>841317303276</v>
      </c>
      <c r="BY16" s="33">
        <v>655152421749</v>
      </c>
      <c r="BZ16" s="586">
        <v>621799293924</v>
      </c>
      <c r="CA16">
        <v>919308287038</v>
      </c>
      <c r="CB16">
        <v>720813659858</v>
      </c>
      <c r="CC16">
        <v>592735650056</v>
      </c>
      <c r="CD16">
        <v>996823862167</v>
      </c>
      <c r="CE16" s="586">
        <f t="shared" si="2"/>
        <v>8168886969844</v>
      </c>
      <c r="CF16" s="17">
        <f t="shared" si="3"/>
        <v>0.2309658251523572</v>
      </c>
    </row>
    <row r="17" spans="1:84">
      <c r="A17" s="59" t="s">
        <v>738</v>
      </c>
      <c r="B17" s="107">
        <v>49853666880</v>
      </c>
      <c r="C17" s="107">
        <v>47295318625</v>
      </c>
      <c r="D17" s="107">
        <v>52059400182</v>
      </c>
      <c r="E17" s="107">
        <v>44844853148</v>
      </c>
      <c r="F17" s="107">
        <v>32558146288</v>
      </c>
      <c r="G17" s="107">
        <v>61085853747</v>
      </c>
      <c r="H17" s="107">
        <v>61406704410</v>
      </c>
      <c r="I17" s="107">
        <v>48718351004</v>
      </c>
      <c r="J17" s="107">
        <v>45643328098</v>
      </c>
      <c r="K17" s="107">
        <v>46055905444</v>
      </c>
      <c r="L17" s="107">
        <v>45734342970</v>
      </c>
      <c r="M17" s="107">
        <v>55803164866</v>
      </c>
      <c r="N17" s="107">
        <v>35090780641</v>
      </c>
      <c r="O17" s="203">
        <v>43634402436</v>
      </c>
      <c r="P17" s="203">
        <v>55460733813</v>
      </c>
      <c r="Q17" s="203">
        <v>52258084242</v>
      </c>
      <c r="R17" s="203">
        <v>67711107819</v>
      </c>
      <c r="S17" s="203">
        <v>60492446341</v>
      </c>
      <c r="T17" s="203">
        <v>45603690062</v>
      </c>
      <c r="U17" s="203">
        <v>67917958679</v>
      </c>
      <c r="V17" s="203">
        <v>63736778581</v>
      </c>
      <c r="W17" s="203">
        <v>70135096462</v>
      </c>
      <c r="X17" s="203">
        <v>70477445624</v>
      </c>
      <c r="Y17" s="203">
        <v>79198536120</v>
      </c>
      <c r="Z17" s="66">
        <f t="shared" si="4"/>
        <v>591059035662</v>
      </c>
      <c r="AA17" s="66">
        <f t="shared" si="8"/>
        <v>711717060820</v>
      </c>
      <c r="AB17" s="17">
        <f t="shared" si="0"/>
        <v>0.20413870337479945</v>
      </c>
      <c r="AC17" s="231">
        <v>70651255971</v>
      </c>
      <c r="AD17" s="231">
        <v>62610210810</v>
      </c>
      <c r="AE17" s="231">
        <v>92713681457</v>
      </c>
      <c r="AF17" s="231">
        <v>104790337777</v>
      </c>
      <c r="AG17" s="231">
        <v>97193817947</v>
      </c>
      <c r="AH17" s="231">
        <v>115304263640</v>
      </c>
      <c r="AI17" s="231">
        <v>108674509214</v>
      </c>
      <c r="AJ17" s="231">
        <v>117920479825</v>
      </c>
      <c r="AK17" s="231">
        <v>108260761988</v>
      </c>
      <c r="AL17" s="231">
        <v>97231607896</v>
      </c>
      <c r="AM17" s="231">
        <v>102250415629</v>
      </c>
      <c r="AN17" s="231">
        <v>117206715490</v>
      </c>
      <c r="AO17" s="276">
        <f t="shared" si="5"/>
        <v>711717060820</v>
      </c>
      <c r="AP17" s="272">
        <f t="shared" si="6"/>
        <v>1194808057644</v>
      </c>
      <c r="AS17" s="581">
        <v>92245875288</v>
      </c>
      <c r="AT17" s="581">
        <v>95706881266</v>
      </c>
      <c r="AU17" s="581">
        <v>118790416662</v>
      </c>
      <c r="AV17" s="581">
        <v>95244397255</v>
      </c>
      <c r="AW17" s="581">
        <v>118729390636</v>
      </c>
      <c r="AX17" s="581">
        <v>103814872583</v>
      </c>
      <c r="AY17" s="581">
        <v>101890488447</v>
      </c>
      <c r="AZ17" s="581">
        <v>141020446150</v>
      </c>
      <c r="BA17" s="581">
        <v>108102983404</v>
      </c>
      <c r="BB17" s="581">
        <v>117246939835</v>
      </c>
      <c r="BC17" s="581">
        <v>120744042382</v>
      </c>
      <c r="BD17" s="581">
        <v>126112689649</v>
      </c>
      <c r="BE17" s="581">
        <f t="shared" si="7"/>
        <v>1339649423557</v>
      </c>
      <c r="BF17" s="581">
        <v>117035447593</v>
      </c>
      <c r="BG17" s="581">
        <v>112319159490</v>
      </c>
      <c r="BH17" s="581">
        <v>118806120761</v>
      </c>
      <c r="BI17" s="581">
        <v>134593074761</v>
      </c>
      <c r="BJ17" s="581">
        <v>125896507732</v>
      </c>
      <c r="BK17" s="581">
        <v>120776361337</v>
      </c>
      <c r="BL17" s="581">
        <v>134495287418</v>
      </c>
      <c r="BM17" s="581">
        <v>135096546185</v>
      </c>
      <c r="BN17" s="581">
        <v>133197975007</v>
      </c>
      <c r="BO17" s="709">
        <v>132650443582</v>
      </c>
      <c r="BP17" s="709">
        <v>122562432130</v>
      </c>
      <c r="BQ17" s="709">
        <v>164527703303</v>
      </c>
      <c r="BR17">
        <f t="shared" si="1"/>
        <v>1551957059299</v>
      </c>
      <c r="BS17" s="709">
        <v>126254029884</v>
      </c>
      <c r="BT17" s="709">
        <v>119987825869</v>
      </c>
      <c r="BU17" s="709">
        <v>115042377827</v>
      </c>
      <c r="BV17" s="709">
        <v>135815778798</v>
      </c>
      <c r="BW17" s="709">
        <v>115105001130</v>
      </c>
      <c r="BX17" s="709">
        <v>152856876039</v>
      </c>
      <c r="BY17" s="33">
        <v>136219359292</v>
      </c>
      <c r="BZ17" s="586">
        <v>122227735487</v>
      </c>
      <c r="CA17">
        <v>138284168125</v>
      </c>
      <c r="CB17">
        <v>139583542710</v>
      </c>
      <c r="CC17">
        <v>127184253339</v>
      </c>
      <c r="CD17">
        <v>154269639220</v>
      </c>
      <c r="CE17" s="586">
        <f t="shared" si="2"/>
        <v>1582830587720</v>
      </c>
      <c r="CF17" s="17">
        <f t="shared" si="3"/>
        <v>1.9893287791702852E-2</v>
      </c>
    </row>
    <row r="18" spans="1:84" ht="15.75">
      <c r="A18" s="56" t="s">
        <v>287</v>
      </c>
      <c r="B18" s="107">
        <v>24859968877</v>
      </c>
      <c r="C18" s="107">
        <v>34976362076</v>
      </c>
      <c r="D18" s="107">
        <v>25206154044</v>
      </c>
      <c r="E18" s="107">
        <v>8575884791</v>
      </c>
      <c r="F18" s="107">
        <v>15272719951</v>
      </c>
      <c r="G18" s="107">
        <v>11801097654</v>
      </c>
      <c r="H18" s="107">
        <v>15601339228</v>
      </c>
      <c r="I18" s="107">
        <v>28757540919</v>
      </c>
      <c r="J18" s="107">
        <v>20996033578</v>
      </c>
      <c r="K18" s="107">
        <v>27589718832</v>
      </c>
      <c r="L18" s="107">
        <v>39176114091</v>
      </c>
      <c r="M18" s="107">
        <v>34482700090</v>
      </c>
      <c r="N18" s="107">
        <v>24281153500</v>
      </c>
      <c r="O18" s="33">
        <v>32343295399</v>
      </c>
      <c r="P18" s="33">
        <v>26338152089</v>
      </c>
      <c r="Q18" s="33">
        <v>29121879612</v>
      </c>
      <c r="R18" s="33">
        <v>35102823443</v>
      </c>
      <c r="S18" s="33">
        <v>28917645708</v>
      </c>
      <c r="T18" s="33">
        <v>24673430620</v>
      </c>
      <c r="U18" s="33">
        <v>36935046564</v>
      </c>
      <c r="V18" s="33">
        <v>36033738822</v>
      </c>
      <c r="W18" s="33">
        <v>33440525865</v>
      </c>
      <c r="X18" s="33">
        <v>45242687429</v>
      </c>
      <c r="Y18" s="33">
        <v>42594302748</v>
      </c>
      <c r="Z18" s="66">
        <f t="shared" si="4"/>
        <v>287295634131</v>
      </c>
      <c r="AA18" s="66">
        <f t="shared" si="8"/>
        <v>395024681799</v>
      </c>
      <c r="AB18" s="68">
        <f t="shared" si="0"/>
        <v>0.37497627833382974</v>
      </c>
      <c r="AC18" s="231">
        <v>33603984963</v>
      </c>
      <c r="AD18" s="231">
        <v>44984273113</v>
      </c>
      <c r="AE18" s="231">
        <v>48339891209</v>
      </c>
      <c r="AF18" s="231">
        <v>40238329743</v>
      </c>
      <c r="AG18" s="231">
        <v>56000076486</v>
      </c>
      <c r="AH18" s="231">
        <v>60027401799</v>
      </c>
      <c r="AI18" s="231">
        <v>52660987733</v>
      </c>
      <c r="AJ18" s="231">
        <v>60407070861</v>
      </c>
      <c r="AK18" s="231">
        <v>57647713606</v>
      </c>
      <c r="AL18" s="231">
        <v>62924524442</v>
      </c>
      <c r="AM18" s="231">
        <v>78329817205</v>
      </c>
      <c r="AN18" s="231">
        <v>58782084041</v>
      </c>
      <c r="AO18" s="276">
        <f t="shared" si="5"/>
        <v>395024681799</v>
      </c>
      <c r="AP18" s="272">
        <f t="shared" si="6"/>
        <v>653946155201</v>
      </c>
      <c r="AS18" s="581">
        <v>46950419751</v>
      </c>
      <c r="AT18" s="581">
        <v>58403004684</v>
      </c>
      <c r="AU18" s="581">
        <v>49822138917</v>
      </c>
      <c r="AV18" s="581">
        <v>42850547675</v>
      </c>
      <c r="AW18" s="581">
        <v>61060647398</v>
      </c>
      <c r="AX18" s="581">
        <v>52897002029</v>
      </c>
      <c r="AY18" s="581">
        <v>51678478750</v>
      </c>
      <c r="AZ18" s="581">
        <v>65969029236</v>
      </c>
      <c r="BA18" s="581">
        <v>70911483662</v>
      </c>
      <c r="BB18" s="581">
        <v>57487816812</v>
      </c>
      <c r="BC18" s="581">
        <v>61104953542</v>
      </c>
      <c r="BD18" s="581">
        <v>81331453765</v>
      </c>
      <c r="BE18" s="581">
        <f t="shared" si="7"/>
        <v>700466976221</v>
      </c>
      <c r="BF18" s="581">
        <v>58278771030</v>
      </c>
      <c r="BG18" s="581">
        <v>57166995807</v>
      </c>
      <c r="BH18" s="581">
        <v>58665407055</v>
      </c>
      <c r="BI18" s="581">
        <v>52888290666</v>
      </c>
      <c r="BJ18" s="581">
        <v>61070912568</v>
      </c>
      <c r="BK18" s="581">
        <v>114210837639</v>
      </c>
      <c r="BL18" s="581">
        <v>90489413188</v>
      </c>
      <c r="BM18" s="581">
        <v>83222251915</v>
      </c>
      <c r="BN18" s="581">
        <v>79302201948</v>
      </c>
      <c r="BO18" s="709">
        <v>81947766313</v>
      </c>
      <c r="BP18" s="709">
        <v>73916351512</v>
      </c>
      <c r="BQ18" s="709">
        <v>111985028918</v>
      </c>
      <c r="BR18">
        <f t="shared" si="1"/>
        <v>923144228559</v>
      </c>
      <c r="BS18" s="709">
        <v>75141699277</v>
      </c>
      <c r="BT18" s="709">
        <v>79434165981</v>
      </c>
      <c r="BU18" s="709">
        <v>79605436150</v>
      </c>
      <c r="BV18" s="709">
        <v>71079967527</v>
      </c>
      <c r="BW18" s="709">
        <v>72635535218</v>
      </c>
      <c r="BX18" s="709">
        <v>96304659124</v>
      </c>
      <c r="BY18" s="33">
        <v>82855532954</v>
      </c>
      <c r="BZ18" s="586">
        <v>101258733352</v>
      </c>
      <c r="CA18">
        <v>121796581366</v>
      </c>
      <c r="CB18">
        <v>116615130489</v>
      </c>
      <c r="CC18">
        <v>98565855223</v>
      </c>
      <c r="CD18">
        <v>142558704997</v>
      </c>
      <c r="CE18" s="586">
        <f t="shared" si="2"/>
        <v>1137852001658</v>
      </c>
      <c r="CF18" s="17">
        <f t="shared" si="3"/>
        <v>0.23258312889433563</v>
      </c>
    </row>
    <row r="19" spans="1:84" ht="15.75">
      <c r="A19" s="56" t="s">
        <v>288</v>
      </c>
      <c r="B19" s="109">
        <v>9631261289</v>
      </c>
      <c r="C19" s="109">
        <v>15097840183</v>
      </c>
      <c r="D19" s="109">
        <v>7142956096</v>
      </c>
      <c r="E19" s="109">
        <v>2628978116</v>
      </c>
      <c r="F19" s="109">
        <v>5545024571</v>
      </c>
      <c r="G19" s="109">
        <v>4750634822</v>
      </c>
      <c r="H19" s="109">
        <v>4126496146</v>
      </c>
      <c r="I19" s="109">
        <v>8021015126</v>
      </c>
      <c r="J19" s="109">
        <v>5279902832</v>
      </c>
      <c r="K19" s="109">
        <v>6232256532</v>
      </c>
      <c r="L19" s="109">
        <v>10244771314</v>
      </c>
      <c r="M19" s="109">
        <v>8203163205</v>
      </c>
      <c r="N19" s="109">
        <v>3893414416</v>
      </c>
      <c r="O19" s="33">
        <v>7167915280</v>
      </c>
      <c r="P19" s="33">
        <v>5705691345</v>
      </c>
      <c r="Q19" s="33">
        <v>5942106494</v>
      </c>
      <c r="R19" s="33">
        <v>16204633785</v>
      </c>
      <c r="S19" s="33">
        <v>9198087500</v>
      </c>
      <c r="T19" s="33">
        <v>5749400300</v>
      </c>
      <c r="U19" s="33">
        <v>14100777912</v>
      </c>
      <c r="V19" s="33">
        <v>9907336555</v>
      </c>
      <c r="W19" s="33">
        <v>11950458383</v>
      </c>
      <c r="X19" s="33">
        <v>19348644610</v>
      </c>
      <c r="Y19" s="33">
        <v>13012835808</v>
      </c>
      <c r="Z19" s="66">
        <f t="shared" si="4"/>
        <v>86904300232</v>
      </c>
      <c r="AA19" s="66">
        <f t="shared" si="8"/>
        <v>122181302388</v>
      </c>
      <c r="AB19" s="68">
        <f t="shared" si="0"/>
        <v>0.40592930455483112</v>
      </c>
      <c r="AC19" s="231">
        <v>8804539477</v>
      </c>
      <c r="AD19" s="231">
        <v>15698636329</v>
      </c>
      <c r="AE19" s="231">
        <v>12625659455</v>
      </c>
      <c r="AF19" s="231">
        <v>9824902658</v>
      </c>
      <c r="AG19" s="231">
        <v>22806357489</v>
      </c>
      <c r="AH19" s="231">
        <v>24992577644</v>
      </c>
      <c r="AI19" s="231">
        <v>18876424777</v>
      </c>
      <c r="AJ19" s="231">
        <v>29642003903</v>
      </c>
      <c r="AK19" s="231">
        <v>20862709929</v>
      </c>
      <c r="AL19" s="231">
        <v>20560783699</v>
      </c>
      <c r="AM19" s="231">
        <v>25820335670</v>
      </c>
      <c r="AN19" s="231">
        <v>20926373473</v>
      </c>
      <c r="AO19" s="276">
        <f t="shared" si="5"/>
        <v>122181302388</v>
      </c>
      <c r="AP19" s="272">
        <f t="shared" si="6"/>
        <v>231441304503</v>
      </c>
      <c r="AQ19" s="235"/>
      <c r="AR19" s="235"/>
      <c r="AS19" s="581">
        <v>15523798568</v>
      </c>
      <c r="AT19" s="581">
        <v>26442869352</v>
      </c>
      <c r="AU19" s="581">
        <v>24511834866</v>
      </c>
      <c r="AV19" s="581">
        <v>14602661586</v>
      </c>
      <c r="AW19" s="581">
        <v>32069647706</v>
      </c>
      <c r="AX19" s="581">
        <v>23112382688</v>
      </c>
      <c r="AY19" s="581">
        <v>25688149194</v>
      </c>
      <c r="AZ19" s="581">
        <v>29030871332</v>
      </c>
      <c r="BA19" s="581">
        <v>34514132593</v>
      </c>
      <c r="BB19" s="581">
        <v>29098524086</v>
      </c>
      <c r="BC19" s="581">
        <v>28124565464</v>
      </c>
      <c r="BD19" s="581">
        <v>39965623820</v>
      </c>
      <c r="BE19" s="581">
        <f t="shared" si="7"/>
        <v>322685061255</v>
      </c>
      <c r="BF19" s="581">
        <v>22717686165</v>
      </c>
      <c r="BG19" s="581">
        <v>22281126504</v>
      </c>
      <c r="BH19" s="581">
        <v>36480597568</v>
      </c>
      <c r="BI19" s="581">
        <v>22026916831</v>
      </c>
      <c r="BJ19" s="581">
        <v>30249842032</v>
      </c>
      <c r="BK19" s="581">
        <v>42355396705</v>
      </c>
      <c r="BL19" s="581">
        <v>27778473333</v>
      </c>
      <c r="BM19" s="581">
        <v>30690649133</v>
      </c>
      <c r="BN19" s="581">
        <v>44061047618</v>
      </c>
      <c r="BO19" s="709">
        <v>27723658342</v>
      </c>
      <c r="BP19" s="709">
        <v>27010082471</v>
      </c>
      <c r="BQ19" s="709">
        <v>45812832457</v>
      </c>
      <c r="BR19">
        <f t="shared" si="1"/>
        <v>379188309159</v>
      </c>
      <c r="BS19" s="709">
        <v>28076138764</v>
      </c>
      <c r="BT19" s="709">
        <v>27970840618</v>
      </c>
      <c r="BU19" s="709">
        <v>43372665955</v>
      </c>
      <c r="BV19" s="709">
        <v>22682050404</v>
      </c>
      <c r="BW19" s="709">
        <v>29814327951</v>
      </c>
      <c r="BX19" s="709">
        <v>46520618056</v>
      </c>
      <c r="BY19" s="33">
        <v>33840150117</v>
      </c>
      <c r="BZ19" s="586">
        <v>41109208219</v>
      </c>
      <c r="CA19">
        <v>56658762826</v>
      </c>
      <c r="CB19">
        <v>36534260641</v>
      </c>
      <c r="CC19">
        <v>29489366475</v>
      </c>
      <c r="CD19">
        <v>55776461034</v>
      </c>
      <c r="CE19" s="586">
        <f t="shared" si="2"/>
        <v>451844851060</v>
      </c>
      <c r="CF19" s="17">
        <f t="shared" si="3"/>
        <v>0.19161071200255253</v>
      </c>
    </row>
    <row r="20" spans="1:84">
      <c r="A20" s="59" t="s">
        <v>289</v>
      </c>
      <c r="B20" s="107">
        <v>8529848844</v>
      </c>
      <c r="C20" s="107">
        <v>11068086700</v>
      </c>
      <c r="D20" s="107">
        <v>5095821519</v>
      </c>
      <c r="E20" s="107">
        <v>1509384033</v>
      </c>
      <c r="F20" s="107">
        <v>4046192796</v>
      </c>
      <c r="G20" s="107">
        <v>4009357813</v>
      </c>
      <c r="H20" s="107">
        <v>3246812760</v>
      </c>
      <c r="I20" s="107">
        <v>5463213397</v>
      </c>
      <c r="J20" s="107">
        <v>4386055566</v>
      </c>
      <c r="K20" s="107">
        <v>5092727208</v>
      </c>
      <c r="L20" s="107">
        <v>6701718641</v>
      </c>
      <c r="M20" s="107">
        <v>6959686197</v>
      </c>
      <c r="N20" s="107">
        <v>3208431224</v>
      </c>
      <c r="O20" s="33">
        <v>4059825786</v>
      </c>
      <c r="P20" s="33">
        <v>4774786410</v>
      </c>
      <c r="Q20" s="33">
        <v>4860971092</v>
      </c>
      <c r="R20" s="33">
        <v>11426989382</v>
      </c>
      <c r="S20" s="33">
        <v>8141090149</v>
      </c>
      <c r="T20" s="33">
        <v>5226941143</v>
      </c>
      <c r="U20" s="33">
        <v>9276798041</v>
      </c>
      <c r="V20" s="33">
        <v>8595064734</v>
      </c>
      <c r="W20" s="33">
        <v>10419164399</v>
      </c>
      <c r="X20" s="33">
        <v>12670737161</v>
      </c>
      <c r="Y20" s="33">
        <v>10644429306</v>
      </c>
      <c r="Z20" s="66">
        <f t="shared" si="4"/>
        <v>66108905474</v>
      </c>
      <c r="AA20" s="66">
        <f t="shared" si="8"/>
        <v>93305228827</v>
      </c>
      <c r="AB20" s="17">
        <f t="shared" si="0"/>
        <v>0.41138668320104088</v>
      </c>
      <c r="AC20" s="231">
        <v>7092262991</v>
      </c>
      <c r="AD20" s="231">
        <v>10205329218</v>
      </c>
      <c r="AE20" s="231">
        <v>10882662587</v>
      </c>
      <c r="AF20" s="231">
        <v>8121904925</v>
      </c>
      <c r="AG20" s="231">
        <v>15801288848</v>
      </c>
      <c r="AH20" s="231">
        <v>22413857303</v>
      </c>
      <c r="AI20" s="231">
        <v>16332706261</v>
      </c>
      <c r="AJ20" s="231">
        <v>18471233376</v>
      </c>
      <c r="AK20" s="231">
        <v>17960309494</v>
      </c>
      <c r="AL20" s="231">
        <v>17638910295</v>
      </c>
      <c r="AM20" s="231">
        <v>16351848731</v>
      </c>
      <c r="AN20" s="231">
        <v>17292032538</v>
      </c>
      <c r="AO20" s="276">
        <f t="shared" si="5"/>
        <v>93305228827</v>
      </c>
      <c r="AP20" s="272">
        <f t="shared" si="6"/>
        <v>178564346567</v>
      </c>
      <c r="AS20" s="581">
        <v>12593789945</v>
      </c>
      <c r="AT20" s="581">
        <v>16596681454</v>
      </c>
      <c r="AU20" s="581">
        <v>21308777902</v>
      </c>
      <c r="AV20" s="581">
        <v>12067248133</v>
      </c>
      <c r="AW20" s="581">
        <v>21125384438</v>
      </c>
      <c r="AX20" s="581">
        <v>19901134809</v>
      </c>
      <c r="AY20" s="581">
        <v>22322386603</v>
      </c>
      <c r="AZ20" s="581">
        <v>21458678635</v>
      </c>
      <c r="BA20" s="581">
        <v>22489790044</v>
      </c>
      <c r="BB20" s="581">
        <v>23071970051</v>
      </c>
      <c r="BC20" s="581">
        <v>21051471251</v>
      </c>
      <c r="BD20" s="581">
        <v>22826543021</v>
      </c>
      <c r="BE20" s="581">
        <f t="shared" si="7"/>
        <v>236813856286</v>
      </c>
      <c r="BF20" s="581">
        <v>17390578087</v>
      </c>
      <c r="BG20" s="581">
        <v>17212008484</v>
      </c>
      <c r="BH20" s="581">
        <v>23150011541</v>
      </c>
      <c r="BI20" s="581">
        <v>16346766298</v>
      </c>
      <c r="BJ20" s="581">
        <v>23758115599</v>
      </c>
      <c r="BK20" s="581">
        <v>27421571095</v>
      </c>
      <c r="BL20" s="581">
        <v>22195091274</v>
      </c>
      <c r="BM20" s="581">
        <v>24663323513</v>
      </c>
      <c r="BN20" s="581">
        <v>28038130071</v>
      </c>
      <c r="BO20" s="709">
        <v>20425765673</v>
      </c>
      <c r="BP20" s="709">
        <v>18827096852</v>
      </c>
      <c r="BQ20" s="709">
        <v>26770559821</v>
      </c>
      <c r="BR20">
        <f t="shared" si="1"/>
        <v>266199018308</v>
      </c>
      <c r="BS20" s="709">
        <v>19647532013</v>
      </c>
      <c r="BT20" s="709">
        <v>20518594152</v>
      </c>
      <c r="BU20" s="709">
        <v>21609135128</v>
      </c>
      <c r="BV20" s="709">
        <v>15275784023</v>
      </c>
      <c r="BW20" s="709">
        <v>21185835867</v>
      </c>
      <c r="BX20" s="709">
        <v>27556526962</v>
      </c>
      <c r="BY20" s="33">
        <v>25037946733</v>
      </c>
      <c r="BZ20" s="586">
        <v>31437448476</v>
      </c>
      <c r="CA20">
        <v>34635985975</v>
      </c>
      <c r="CB20">
        <v>26842725159</v>
      </c>
      <c r="CC20">
        <v>21083353515</v>
      </c>
      <c r="CD20">
        <v>30634597656</v>
      </c>
      <c r="CE20" s="586">
        <f t="shared" si="2"/>
        <v>295465465659</v>
      </c>
      <c r="CF20" s="17">
        <f t="shared" si="3"/>
        <v>0.10994198076695327</v>
      </c>
    </row>
    <row r="21" spans="1:84">
      <c r="A21" t="s">
        <v>290</v>
      </c>
      <c r="B21" s="107">
        <v>1101412445</v>
      </c>
      <c r="C21" s="107">
        <v>4029753483</v>
      </c>
      <c r="D21" s="107">
        <v>2047134577</v>
      </c>
      <c r="E21" s="107">
        <v>1119594083</v>
      </c>
      <c r="F21" s="107">
        <v>1498831775</v>
      </c>
      <c r="G21" s="107">
        <v>741277009</v>
      </c>
      <c r="H21" s="107">
        <v>879683386</v>
      </c>
      <c r="I21" s="107">
        <v>2557801729</v>
      </c>
      <c r="J21" s="107">
        <v>893847266</v>
      </c>
      <c r="K21" s="107">
        <v>1139529324</v>
      </c>
      <c r="L21" s="107">
        <v>3543052673</v>
      </c>
      <c r="M21" s="107">
        <v>1243477008</v>
      </c>
      <c r="N21" s="107">
        <v>684983192</v>
      </c>
      <c r="O21" s="203">
        <v>3108089494</v>
      </c>
      <c r="P21" s="203">
        <v>930904935</v>
      </c>
      <c r="Q21" s="203">
        <v>1081135402</v>
      </c>
      <c r="R21" s="203">
        <v>4777644403</v>
      </c>
      <c r="S21" s="203">
        <v>1056997351</v>
      </c>
      <c r="T21" s="203">
        <v>522459157</v>
      </c>
      <c r="U21" s="203">
        <v>4823979871</v>
      </c>
      <c r="V21" s="203">
        <v>1312271821</v>
      </c>
      <c r="W21" s="203">
        <v>1531293984</v>
      </c>
      <c r="X21" s="203">
        <v>6677907449</v>
      </c>
      <c r="Y21" s="203">
        <v>2368406502</v>
      </c>
      <c r="Z21" s="66">
        <f t="shared" si="4"/>
        <v>20795394758</v>
      </c>
      <c r="AA21" s="66">
        <f t="shared" si="8"/>
        <v>28876073561</v>
      </c>
      <c r="AB21" s="17">
        <f t="shared" si="0"/>
        <v>0.38858020715819097</v>
      </c>
      <c r="AC21" s="231">
        <v>1712276486</v>
      </c>
      <c r="AD21" s="231">
        <v>5493307111</v>
      </c>
      <c r="AE21" s="231">
        <v>1742996868</v>
      </c>
      <c r="AF21" s="231">
        <v>1702997733</v>
      </c>
      <c r="AG21" s="231">
        <v>7005068641</v>
      </c>
      <c r="AH21" s="231">
        <v>2578720341</v>
      </c>
      <c r="AI21" s="231">
        <v>2543718516</v>
      </c>
      <c r="AJ21" s="231">
        <v>11170770527</v>
      </c>
      <c r="AK21" s="231">
        <v>2902400435</v>
      </c>
      <c r="AL21" s="231">
        <v>2921873404</v>
      </c>
      <c r="AM21" s="231">
        <v>9468486939</v>
      </c>
      <c r="AN21" s="231">
        <v>3634340935</v>
      </c>
      <c r="AO21" s="276">
        <f t="shared" si="5"/>
        <v>28876073561</v>
      </c>
      <c r="AP21" s="272">
        <f t="shared" si="6"/>
        <v>52876957936</v>
      </c>
      <c r="AS21" s="581">
        <v>2930008623</v>
      </c>
      <c r="AT21" s="581">
        <v>9846187898</v>
      </c>
      <c r="AU21" s="581">
        <v>3203056964</v>
      </c>
      <c r="AV21" s="581">
        <v>2535413453</v>
      </c>
      <c r="AW21" s="581">
        <v>10944263268</v>
      </c>
      <c r="AX21" s="581">
        <v>3211247879</v>
      </c>
      <c r="AY21" s="581">
        <v>3365762591</v>
      </c>
      <c r="AZ21" s="581">
        <v>7572192697</v>
      </c>
      <c r="BA21" s="581">
        <v>12024342549</v>
      </c>
      <c r="BB21" s="581">
        <v>6026554035</v>
      </c>
      <c r="BC21" s="581">
        <v>7073094213</v>
      </c>
      <c r="BD21" s="581">
        <v>17139080799</v>
      </c>
      <c r="BE21" s="581">
        <f t="shared" si="7"/>
        <v>85871204969</v>
      </c>
      <c r="BF21" s="581">
        <v>5327108078</v>
      </c>
      <c r="BG21" s="581">
        <v>5069118020</v>
      </c>
      <c r="BH21" s="581">
        <v>13330586027</v>
      </c>
      <c r="BI21" s="581">
        <v>5680150533</v>
      </c>
      <c r="BJ21" s="581">
        <v>6491726433</v>
      </c>
      <c r="BK21" s="581">
        <v>14933825610</v>
      </c>
      <c r="BL21" s="581">
        <v>5583382059</v>
      </c>
      <c r="BM21" s="581">
        <v>6027325620</v>
      </c>
      <c r="BN21" s="581">
        <v>16022917547</v>
      </c>
      <c r="BO21" s="709">
        <v>7297892669</v>
      </c>
      <c r="BP21" s="709">
        <v>8182985619</v>
      </c>
      <c r="BQ21" s="709">
        <v>19042272636</v>
      </c>
      <c r="BR21">
        <f t="shared" si="1"/>
        <v>112989290851</v>
      </c>
      <c r="BS21" s="709">
        <v>8428606751</v>
      </c>
      <c r="BT21" s="709">
        <v>7452246466</v>
      </c>
      <c r="BU21" s="709">
        <v>21763530827</v>
      </c>
      <c r="BV21" s="709">
        <v>7406266381</v>
      </c>
      <c r="BW21" s="709">
        <v>8628492084</v>
      </c>
      <c r="BX21" s="709">
        <v>18964091094</v>
      </c>
      <c r="BY21" s="33">
        <v>8802203384</v>
      </c>
      <c r="BZ21" s="586">
        <v>9671759743</v>
      </c>
      <c r="CA21">
        <v>22022776851</v>
      </c>
      <c r="CB21">
        <v>9691535482</v>
      </c>
      <c r="CC21">
        <v>8406012960</v>
      </c>
      <c r="CD21">
        <v>25141863378</v>
      </c>
      <c r="CE21" s="586">
        <f t="shared" si="2"/>
        <v>156379385401</v>
      </c>
      <c r="CF21" s="17">
        <f t="shared" si="3"/>
        <v>0.38401953161400848</v>
      </c>
    </row>
    <row r="22" spans="1:84" ht="15.75">
      <c r="A22" s="56" t="s">
        <v>291</v>
      </c>
      <c r="B22" s="107">
        <v>22490987294</v>
      </c>
      <c r="C22" s="107">
        <v>27192048815</v>
      </c>
      <c r="D22" s="107">
        <v>24830452369</v>
      </c>
      <c r="E22" s="107">
        <v>21884288287</v>
      </c>
      <c r="F22" s="107">
        <v>27499306448</v>
      </c>
      <c r="G22" s="107">
        <v>28801514564</v>
      </c>
      <c r="H22" s="107">
        <v>25982350365</v>
      </c>
      <c r="I22" s="107">
        <v>34125206440</v>
      </c>
      <c r="J22" s="107">
        <v>27289318165</v>
      </c>
      <c r="K22" s="107">
        <v>27772647510</v>
      </c>
      <c r="L22" s="107">
        <v>30935025503</v>
      </c>
      <c r="M22" s="107">
        <v>30406841826</v>
      </c>
      <c r="N22" s="107">
        <v>25067409741</v>
      </c>
      <c r="O22" s="33">
        <v>28592658040</v>
      </c>
      <c r="P22" s="33">
        <v>29403356745</v>
      </c>
      <c r="Q22" s="33">
        <v>41535595981</v>
      </c>
      <c r="R22" s="33">
        <v>36231431137</v>
      </c>
      <c r="S22" s="33">
        <v>36383223846</v>
      </c>
      <c r="T22" s="33">
        <v>28723130202</v>
      </c>
      <c r="U22" s="33">
        <v>37551317617</v>
      </c>
      <c r="V22" s="33">
        <v>30770331425</v>
      </c>
      <c r="W22" s="33">
        <v>30300495887</v>
      </c>
      <c r="X22" s="33">
        <v>34792247802</v>
      </c>
      <c r="Y22" s="33">
        <v>37557211921</v>
      </c>
      <c r="Z22" s="66">
        <f t="shared" si="4"/>
        <v>329209987586</v>
      </c>
      <c r="AA22" s="66">
        <f t="shared" si="8"/>
        <v>396908410344</v>
      </c>
      <c r="AB22" s="68">
        <f t="shared" si="0"/>
        <v>0.20563903074269585</v>
      </c>
      <c r="AC22" s="231">
        <v>26154491805</v>
      </c>
      <c r="AD22" s="231">
        <v>32718380066</v>
      </c>
      <c r="AE22" s="231">
        <v>29374474145</v>
      </c>
      <c r="AF22" s="231">
        <v>28061125932</v>
      </c>
      <c r="AG22" s="231">
        <v>35754747964</v>
      </c>
      <c r="AH22" s="231">
        <v>32055457618</v>
      </c>
      <c r="AI22" s="231">
        <v>34382516985</v>
      </c>
      <c r="AJ22" s="231">
        <v>36976680834</v>
      </c>
      <c r="AK22" s="231">
        <v>33559182195</v>
      </c>
      <c r="AL22" s="231">
        <v>31878607831</v>
      </c>
      <c r="AM22" s="231">
        <v>40387240772</v>
      </c>
      <c r="AN22" s="231">
        <v>35196108497</v>
      </c>
      <c r="AO22" s="276">
        <f t="shared" si="5"/>
        <v>396908410344</v>
      </c>
      <c r="AP22" s="272">
        <f t="shared" si="6"/>
        <v>396499014644</v>
      </c>
      <c r="AS22" s="581">
        <v>42917943476</v>
      </c>
      <c r="AT22" s="581">
        <v>38040679081</v>
      </c>
      <c r="AU22" s="581">
        <v>33104415324</v>
      </c>
      <c r="AV22" s="581">
        <v>36262182830</v>
      </c>
      <c r="AW22" s="581">
        <v>44375049253</v>
      </c>
      <c r="AX22" s="581">
        <v>34394401338</v>
      </c>
      <c r="AY22" s="581">
        <v>32179692678</v>
      </c>
      <c r="AZ22" s="581">
        <v>42318997426</v>
      </c>
      <c r="BA22" s="581">
        <v>43458722666</v>
      </c>
      <c r="BB22" s="581">
        <v>44489590112</v>
      </c>
      <c r="BC22" s="581">
        <v>41445507320</v>
      </c>
      <c r="BD22" s="581">
        <v>58196863736</v>
      </c>
      <c r="BE22" s="581">
        <f t="shared" si="7"/>
        <v>491184045240</v>
      </c>
      <c r="BF22" s="581">
        <v>41356955899</v>
      </c>
      <c r="BG22" s="581">
        <v>35291343075</v>
      </c>
      <c r="BH22" s="581">
        <v>43491857009</v>
      </c>
      <c r="BI22" s="581">
        <v>40248676849</v>
      </c>
      <c r="BJ22" s="581">
        <v>42939753814</v>
      </c>
      <c r="BK22" s="581">
        <v>44974193387</v>
      </c>
      <c r="BL22" s="581">
        <v>41342268342</v>
      </c>
      <c r="BM22" s="581">
        <v>41130427156</v>
      </c>
      <c r="BN22" s="581">
        <v>44058305777</v>
      </c>
      <c r="BO22" s="709">
        <v>43497483830</v>
      </c>
      <c r="BP22" s="709">
        <v>50140105252</v>
      </c>
      <c r="BQ22" s="709">
        <v>65870554490</v>
      </c>
      <c r="BR22">
        <f t="shared" si="1"/>
        <v>534341924880</v>
      </c>
      <c r="BS22" s="709">
        <v>51913101722</v>
      </c>
      <c r="BT22" s="709">
        <v>33576493367</v>
      </c>
      <c r="BU22" s="709">
        <v>47848427086</v>
      </c>
      <c r="BV22" s="709">
        <v>43550867566</v>
      </c>
      <c r="BW22" s="709">
        <v>37613053268</v>
      </c>
      <c r="BX22" s="709">
        <v>52642434135</v>
      </c>
      <c r="BY22" s="33">
        <v>44536015086</v>
      </c>
      <c r="BZ22" s="586">
        <v>50841547896</v>
      </c>
      <c r="CA22">
        <v>52484298024</v>
      </c>
      <c r="CB22">
        <v>53081561356</v>
      </c>
      <c r="CC22">
        <v>45531365315</v>
      </c>
      <c r="CD22">
        <v>69975096540</v>
      </c>
      <c r="CE22" s="586">
        <f t="shared" si="2"/>
        <v>583594261361</v>
      </c>
      <c r="CF22" s="17">
        <f t="shared" si="3"/>
        <v>9.2173820147204211E-2</v>
      </c>
    </row>
    <row r="23" spans="1:84" ht="15.75">
      <c r="A23" s="56" t="s">
        <v>292</v>
      </c>
      <c r="B23" s="109">
        <v>51891254029</v>
      </c>
      <c r="C23" s="109">
        <v>49529686832</v>
      </c>
      <c r="D23" s="109">
        <v>54081900530</v>
      </c>
      <c r="E23" s="109">
        <v>44022376231</v>
      </c>
      <c r="F23" s="109">
        <v>46244545022</v>
      </c>
      <c r="G23" s="109">
        <v>53818531919</v>
      </c>
      <c r="H23" s="109">
        <v>51709543936</v>
      </c>
      <c r="I23" s="109">
        <v>55198047716</v>
      </c>
      <c r="J23" s="109">
        <v>48149982387</v>
      </c>
      <c r="K23" s="109">
        <v>63219881399</v>
      </c>
      <c r="L23" s="109">
        <v>59705579035</v>
      </c>
      <c r="M23" s="109">
        <v>68316261162</v>
      </c>
      <c r="N23" s="109">
        <v>58982658939</v>
      </c>
      <c r="O23" s="33">
        <v>50544754566</v>
      </c>
      <c r="P23" s="33">
        <v>63372385652</v>
      </c>
      <c r="Q23" s="33">
        <v>65286873450</v>
      </c>
      <c r="R23" s="33">
        <v>63431087720</v>
      </c>
      <c r="S23" s="33">
        <v>62126239430</v>
      </c>
      <c r="T23" s="33">
        <v>64939059553</v>
      </c>
      <c r="U23" s="33">
        <v>70852077750</v>
      </c>
      <c r="V23" s="33">
        <v>61188779052</v>
      </c>
      <c r="W23" s="33">
        <v>62630654327</v>
      </c>
      <c r="X23" s="33">
        <v>70629665039</v>
      </c>
      <c r="Y23" s="33">
        <v>79925130406</v>
      </c>
      <c r="Z23" s="66">
        <f t="shared" si="4"/>
        <v>645887590198</v>
      </c>
      <c r="AA23" s="66">
        <f t="shared" si="8"/>
        <v>773909365884</v>
      </c>
      <c r="AB23" s="68">
        <f t="shared" si="0"/>
        <v>0.19821061377995242</v>
      </c>
      <c r="AC23" s="231">
        <v>78570046309</v>
      </c>
      <c r="AD23" s="231">
        <v>74316671807</v>
      </c>
      <c r="AE23" s="231">
        <v>76004859593</v>
      </c>
      <c r="AF23" s="231">
        <v>74394407014</v>
      </c>
      <c r="AG23" s="231">
        <v>84879760044</v>
      </c>
      <c r="AH23" s="231">
        <v>78240801210</v>
      </c>
      <c r="AI23" s="231">
        <v>78694481540</v>
      </c>
      <c r="AJ23" s="231">
        <v>90393062715</v>
      </c>
      <c r="AK23" s="231">
        <v>89708489849</v>
      </c>
      <c r="AL23" s="231">
        <v>90339070574</v>
      </c>
      <c r="AM23" s="231">
        <v>124911553301</v>
      </c>
      <c r="AN23" s="231">
        <v>95295747319</v>
      </c>
      <c r="AO23" s="276">
        <f t="shared" si="5"/>
        <v>773909365884</v>
      </c>
      <c r="AP23" s="272">
        <f t="shared" si="6"/>
        <v>1035748951275</v>
      </c>
      <c r="AS23" s="581">
        <v>91690730231</v>
      </c>
      <c r="AT23" s="581">
        <v>81290782099</v>
      </c>
      <c r="AU23" s="581">
        <v>97530890836</v>
      </c>
      <c r="AV23" s="581">
        <v>93230869684</v>
      </c>
      <c r="AW23" s="581">
        <v>96744031111</v>
      </c>
      <c r="AX23" s="581">
        <v>98775475327</v>
      </c>
      <c r="AY23" s="581">
        <v>108559194324</v>
      </c>
      <c r="AZ23" s="581">
        <v>109760888123</v>
      </c>
      <c r="BA23" s="581">
        <v>106803460259</v>
      </c>
      <c r="BB23" s="581">
        <v>119157770914</v>
      </c>
      <c r="BC23" s="581">
        <v>110847220054</v>
      </c>
      <c r="BD23" s="581">
        <v>124473877851</v>
      </c>
      <c r="BE23" s="581">
        <f t="shared" si="7"/>
        <v>1238865190813</v>
      </c>
      <c r="BF23" s="581">
        <v>122825651114</v>
      </c>
      <c r="BG23" s="581">
        <v>110603358548</v>
      </c>
      <c r="BH23" s="581">
        <v>113319257297</v>
      </c>
      <c r="BI23" s="581">
        <v>113019909682</v>
      </c>
      <c r="BJ23" s="581">
        <v>118294434353</v>
      </c>
      <c r="BK23" s="581">
        <v>124704600485</v>
      </c>
      <c r="BL23" s="581">
        <v>125037511279</v>
      </c>
      <c r="BM23" s="581">
        <v>115733808442</v>
      </c>
      <c r="BN23" s="581">
        <v>129773820208</v>
      </c>
      <c r="BO23" s="709">
        <v>140447655935</v>
      </c>
      <c r="BP23" s="709">
        <v>123485511800</v>
      </c>
      <c r="BQ23" s="709">
        <v>156456847693</v>
      </c>
      <c r="BR23">
        <f t="shared" si="1"/>
        <v>1493702366836</v>
      </c>
      <c r="BS23" s="709">
        <v>155138733024</v>
      </c>
      <c r="BT23" s="709">
        <v>123638642770</v>
      </c>
      <c r="BU23" s="709">
        <v>141013757392</v>
      </c>
      <c r="BV23" s="709">
        <v>136055978484</v>
      </c>
      <c r="BW23" s="709">
        <v>136867372061</v>
      </c>
      <c r="BX23" s="709">
        <v>146341323398</v>
      </c>
      <c r="BY23" s="33">
        <v>142866430169</v>
      </c>
      <c r="BZ23" s="586">
        <v>144228265082</v>
      </c>
      <c r="CA23">
        <v>164055603867</v>
      </c>
      <c r="CB23">
        <v>164926265145</v>
      </c>
      <c r="CC23">
        <v>155754758335</v>
      </c>
      <c r="CD23">
        <v>215788122796</v>
      </c>
      <c r="CE23" s="586">
        <f t="shared" si="2"/>
        <v>1826675252523</v>
      </c>
      <c r="CF23" s="17">
        <f t="shared" si="3"/>
        <v>0.22291782692445761</v>
      </c>
    </row>
    <row r="24" spans="1:84">
      <c r="A24" s="59" t="s">
        <v>293</v>
      </c>
      <c r="B24" s="107">
        <v>39919632566</v>
      </c>
      <c r="C24" s="107">
        <v>33524490195</v>
      </c>
      <c r="D24" s="107">
        <v>44316352889</v>
      </c>
      <c r="E24" s="107">
        <v>34754383914</v>
      </c>
      <c r="F24" s="107">
        <v>34468049797</v>
      </c>
      <c r="G24" s="107">
        <v>41112302837</v>
      </c>
      <c r="H24" s="107">
        <v>38866457782</v>
      </c>
      <c r="I24" s="107">
        <v>43210541698</v>
      </c>
      <c r="J24" s="107">
        <v>32859362960</v>
      </c>
      <c r="K24" s="107">
        <v>48358449646</v>
      </c>
      <c r="L24" s="107">
        <v>43414411888</v>
      </c>
      <c r="M24" s="107">
        <v>50581753155</v>
      </c>
      <c r="N24" s="107">
        <v>45339018199</v>
      </c>
      <c r="O24" s="33">
        <v>36227363703</v>
      </c>
      <c r="P24" s="33">
        <v>46190175756</v>
      </c>
      <c r="Q24" s="33">
        <v>48753270256</v>
      </c>
      <c r="R24" s="33">
        <v>47805208322</v>
      </c>
      <c r="S24" s="33">
        <v>46713490187</v>
      </c>
      <c r="T24" s="33">
        <v>49443398651</v>
      </c>
      <c r="U24" s="33">
        <v>52659328122</v>
      </c>
      <c r="V24" s="33">
        <v>45289257278</v>
      </c>
      <c r="W24" s="33">
        <v>47023704245</v>
      </c>
      <c r="X24" s="33">
        <v>53734721021</v>
      </c>
      <c r="Y24" s="33">
        <v>60177809017</v>
      </c>
      <c r="Z24" s="66">
        <f t="shared" si="4"/>
        <v>485386189327</v>
      </c>
      <c r="AA24" s="66">
        <f t="shared" si="8"/>
        <v>579356744757</v>
      </c>
      <c r="AB24" s="17">
        <f t="shared" si="0"/>
        <v>0.19359956565779624</v>
      </c>
      <c r="AC24" s="231">
        <v>57966047098</v>
      </c>
      <c r="AD24" s="231">
        <v>47866330643</v>
      </c>
      <c r="AE24" s="231">
        <v>52933401928</v>
      </c>
      <c r="AF24" s="231">
        <v>51208923268</v>
      </c>
      <c r="AG24" s="231">
        <v>58711089870</v>
      </c>
      <c r="AH24" s="231">
        <v>52559091981</v>
      </c>
      <c r="AI24" s="231">
        <v>54965248747</v>
      </c>
      <c r="AJ24" s="231">
        <v>65329666158</v>
      </c>
      <c r="AK24" s="231">
        <v>64316634194</v>
      </c>
      <c r="AL24" s="231">
        <v>64526193225</v>
      </c>
      <c r="AM24" s="231">
        <v>91713660700</v>
      </c>
      <c r="AN24" s="231">
        <v>61797108400</v>
      </c>
      <c r="AO24" s="276">
        <f t="shared" si="5"/>
        <v>579356744757</v>
      </c>
      <c r="AP24" s="272">
        <f t="shared" si="6"/>
        <v>723893396212</v>
      </c>
      <c r="AS24" s="581">
        <v>60862525564</v>
      </c>
      <c r="AT24" s="581">
        <v>52013461377</v>
      </c>
      <c r="AU24" s="581">
        <v>66531350577</v>
      </c>
      <c r="AV24" s="581">
        <v>65904750899</v>
      </c>
      <c r="AW24" s="581">
        <v>64680063414</v>
      </c>
      <c r="AX24" s="581">
        <v>64929192606</v>
      </c>
      <c r="AY24" s="581">
        <v>76990141961</v>
      </c>
      <c r="AZ24" s="581">
        <v>73153302910</v>
      </c>
      <c r="BA24" s="581">
        <v>70426653203</v>
      </c>
      <c r="BB24" s="581">
        <v>85050862221</v>
      </c>
      <c r="BC24" s="581">
        <v>72805352751</v>
      </c>
      <c r="BD24" s="581">
        <v>82636440558</v>
      </c>
      <c r="BE24" s="581">
        <f t="shared" si="7"/>
        <v>835984098041</v>
      </c>
      <c r="BF24" s="581">
        <v>79790028449</v>
      </c>
      <c r="BG24" s="581">
        <v>73943016909</v>
      </c>
      <c r="BH24" s="581">
        <v>73982027212</v>
      </c>
      <c r="BI24" s="581">
        <v>77457462142</v>
      </c>
      <c r="BJ24" s="581">
        <v>79891292855</v>
      </c>
      <c r="BK24" s="581">
        <v>73554314708</v>
      </c>
      <c r="BL24" s="581">
        <v>83680241058</v>
      </c>
      <c r="BM24" s="581">
        <v>81330833525</v>
      </c>
      <c r="BN24" s="581">
        <v>84475104741</v>
      </c>
      <c r="BO24" s="709">
        <v>94224174688</v>
      </c>
      <c r="BP24" s="709">
        <v>86349271361</v>
      </c>
      <c r="BQ24" s="709">
        <v>96167267842</v>
      </c>
      <c r="BR24">
        <f t="shared" si="1"/>
        <v>984845035490</v>
      </c>
      <c r="BS24" s="709">
        <v>84995232620</v>
      </c>
      <c r="BT24" s="709">
        <v>80604807294</v>
      </c>
      <c r="BU24" s="709">
        <v>92471747029</v>
      </c>
      <c r="BV24" s="709">
        <v>89344599749</v>
      </c>
      <c r="BW24" s="709">
        <v>94171773702</v>
      </c>
      <c r="BX24" s="709">
        <v>95075604440</v>
      </c>
      <c r="BY24" s="33">
        <v>94946891109</v>
      </c>
      <c r="BZ24" s="586">
        <v>94725547865</v>
      </c>
      <c r="CA24">
        <v>97920573019</v>
      </c>
      <c r="CB24">
        <v>98837417980</v>
      </c>
      <c r="CC24">
        <v>100642536915</v>
      </c>
      <c r="CD24">
        <v>107342315152</v>
      </c>
      <c r="CE24" s="586">
        <f t="shared" si="2"/>
        <v>1131079046874</v>
      </c>
      <c r="CF24" s="17">
        <f t="shared" si="3"/>
        <v>0.14848428546044579</v>
      </c>
    </row>
    <row r="25" spans="1:84">
      <c r="A25" s="59" t="s">
        <v>294</v>
      </c>
      <c r="B25" s="107">
        <v>2072205549</v>
      </c>
      <c r="C25" s="107">
        <v>4743672813</v>
      </c>
      <c r="D25" s="107">
        <v>3729007909</v>
      </c>
      <c r="E25" s="107">
        <v>2966070970</v>
      </c>
      <c r="F25" s="107">
        <v>4230329006</v>
      </c>
      <c r="G25" s="107">
        <v>3446737579</v>
      </c>
      <c r="H25" s="107">
        <v>4002566800</v>
      </c>
      <c r="I25" s="107">
        <v>3564005391</v>
      </c>
      <c r="J25" s="107">
        <v>4393584153</v>
      </c>
      <c r="K25" s="107">
        <v>3785224528</v>
      </c>
      <c r="L25" s="107">
        <v>6283367599</v>
      </c>
      <c r="M25" s="107">
        <v>4902209196</v>
      </c>
      <c r="N25" s="107">
        <v>2588720810</v>
      </c>
      <c r="O25" s="33">
        <v>4654858595</v>
      </c>
      <c r="P25" s="33">
        <v>4663214315</v>
      </c>
      <c r="Q25" s="33">
        <v>4574534412</v>
      </c>
      <c r="R25" s="33">
        <v>4971030253</v>
      </c>
      <c r="S25" s="33">
        <v>3907302721</v>
      </c>
      <c r="T25" s="33">
        <v>4006206765</v>
      </c>
      <c r="U25" s="33">
        <v>4641533912</v>
      </c>
      <c r="V25" s="33">
        <v>4602214750</v>
      </c>
      <c r="W25" s="33">
        <v>4716165139</v>
      </c>
      <c r="X25" s="33">
        <v>5019887713</v>
      </c>
      <c r="Y25" s="33">
        <v>5025478041</v>
      </c>
      <c r="Z25" s="66">
        <f t="shared" si="4"/>
        <v>48118981493</v>
      </c>
      <c r="AA25" s="66">
        <f t="shared" si="8"/>
        <v>53371147426</v>
      </c>
      <c r="AB25" s="17">
        <f t="shared" si="0"/>
        <v>0.10914956572312429</v>
      </c>
      <c r="AC25" s="231">
        <v>4688841023</v>
      </c>
      <c r="AD25" s="231">
        <v>4434667891</v>
      </c>
      <c r="AE25" s="231">
        <v>4826389274</v>
      </c>
      <c r="AF25" s="231">
        <v>4742047416</v>
      </c>
      <c r="AG25" s="231">
        <v>5185315112</v>
      </c>
      <c r="AH25" s="231">
        <v>4950117796</v>
      </c>
      <c r="AI25" s="231">
        <v>4794819599</v>
      </c>
      <c r="AJ25" s="231">
        <v>5814917459</v>
      </c>
      <c r="AK25" s="231">
        <v>5172981853</v>
      </c>
      <c r="AL25" s="231">
        <v>4751006607</v>
      </c>
      <c r="AM25" s="231">
        <v>6360548528</v>
      </c>
      <c r="AN25" s="231">
        <v>5345724365</v>
      </c>
      <c r="AO25" s="276">
        <f t="shared" si="5"/>
        <v>53371147426</v>
      </c>
      <c r="AP25" s="272">
        <f t="shared" si="6"/>
        <v>61067376923</v>
      </c>
      <c r="AS25" s="581">
        <v>5048642020</v>
      </c>
      <c r="AT25" s="581">
        <v>5431576111</v>
      </c>
      <c r="AU25" s="581">
        <v>6625255920</v>
      </c>
      <c r="AV25" s="581">
        <v>5802962667</v>
      </c>
      <c r="AW25" s="581">
        <v>6992670888</v>
      </c>
      <c r="AX25" s="581">
        <v>6279073128</v>
      </c>
      <c r="AY25" s="581">
        <v>6216848910</v>
      </c>
      <c r="AZ25" s="581">
        <v>6837451013</v>
      </c>
      <c r="BA25" s="581">
        <v>7231521702</v>
      </c>
      <c r="BB25" s="581">
        <v>5169699278</v>
      </c>
      <c r="BC25" s="581">
        <v>9140098828</v>
      </c>
      <c r="BD25" s="581">
        <v>8876624532</v>
      </c>
      <c r="BE25" s="581">
        <f t="shared" si="7"/>
        <v>79652424997</v>
      </c>
      <c r="BF25" s="581">
        <v>6811306155</v>
      </c>
      <c r="BG25" s="581">
        <v>6754846240</v>
      </c>
      <c r="BH25" s="581">
        <v>8049902431</v>
      </c>
      <c r="BI25" s="581">
        <v>7026317264</v>
      </c>
      <c r="BJ25" s="581">
        <v>7233966059</v>
      </c>
      <c r="BK25" s="581">
        <v>9452194996</v>
      </c>
      <c r="BL25" s="581">
        <v>7913395326</v>
      </c>
      <c r="BM25" s="581">
        <v>8116625397</v>
      </c>
      <c r="BN25" s="581">
        <v>9002994866</v>
      </c>
      <c r="BO25" s="709">
        <v>8340447217</v>
      </c>
      <c r="BP25" s="709">
        <v>7948523991</v>
      </c>
      <c r="BQ25" s="709">
        <v>10148997986</v>
      </c>
      <c r="BR25">
        <f t="shared" si="1"/>
        <v>96799517928</v>
      </c>
      <c r="BS25" s="709">
        <v>7969246900</v>
      </c>
      <c r="BT25" s="709">
        <v>8279498315</v>
      </c>
      <c r="BU25" s="709">
        <v>10249049177</v>
      </c>
      <c r="BV25" s="709">
        <v>8789516218</v>
      </c>
      <c r="BW25" s="709">
        <v>9011656570</v>
      </c>
      <c r="BX25" s="709">
        <v>11086239008</v>
      </c>
      <c r="BY25" s="33">
        <v>9862636755</v>
      </c>
      <c r="BZ25" s="586">
        <v>9195410093</v>
      </c>
      <c r="CA25">
        <v>13419974359</v>
      </c>
      <c r="CB25">
        <v>11065400429</v>
      </c>
      <c r="CC25">
        <v>10344427372</v>
      </c>
      <c r="CD25">
        <v>12366101277</v>
      </c>
      <c r="CE25" s="586">
        <f t="shared" si="2"/>
        <v>121639156473</v>
      </c>
      <c r="CF25" s="17">
        <f t="shared" si="3"/>
        <v>0.25660911414327359</v>
      </c>
    </row>
    <row r="26" spans="1:84">
      <c r="A26" t="s">
        <v>295</v>
      </c>
      <c r="B26" s="107">
        <v>35273759</v>
      </c>
      <c r="C26" s="107">
        <v>178660108</v>
      </c>
      <c r="D26" s="107">
        <v>322366190</v>
      </c>
      <c r="E26" s="107">
        <v>344289408</v>
      </c>
      <c r="F26" s="107">
        <v>355561551</v>
      </c>
      <c r="G26" s="107">
        <v>315140350</v>
      </c>
      <c r="H26" s="107">
        <v>126212155</v>
      </c>
      <c r="I26" s="107">
        <v>822043396</v>
      </c>
      <c r="J26" s="107">
        <v>591174631</v>
      </c>
      <c r="K26" s="107">
        <v>803930692</v>
      </c>
      <c r="L26" s="107">
        <v>991713497</v>
      </c>
      <c r="M26" s="107">
        <v>594307089</v>
      </c>
      <c r="N26" s="107">
        <v>711626542</v>
      </c>
      <c r="O26" s="33">
        <v>863338376</v>
      </c>
      <c r="P26" s="33">
        <v>437784265</v>
      </c>
      <c r="Q26" s="33">
        <v>1530036928</v>
      </c>
      <c r="R26" s="33">
        <v>1088083345</v>
      </c>
      <c r="S26" s="33">
        <v>1376903254</v>
      </c>
      <c r="T26" s="33">
        <v>730310431</v>
      </c>
      <c r="U26" s="33">
        <v>1204168395</v>
      </c>
      <c r="V26" s="33">
        <v>1299969508</v>
      </c>
      <c r="W26" s="33">
        <v>1068971457</v>
      </c>
      <c r="X26" s="33">
        <v>1222050687</v>
      </c>
      <c r="Y26" s="33">
        <v>1399356839</v>
      </c>
      <c r="Z26" s="66">
        <f t="shared" si="4"/>
        <v>5480672826</v>
      </c>
      <c r="AA26" s="66">
        <f t="shared" si="8"/>
        <v>12932600027</v>
      </c>
      <c r="AB26" s="17">
        <f t="shared" si="0"/>
        <v>1.3596737914455468</v>
      </c>
      <c r="AC26" s="231">
        <v>318799570</v>
      </c>
      <c r="AD26" s="231">
        <v>10860720420</v>
      </c>
      <c r="AE26" s="231">
        <v>6008263812</v>
      </c>
      <c r="AF26" s="231">
        <v>7669171802</v>
      </c>
      <c r="AG26" s="231">
        <v>8109149411</v>
      </c>
      <c r="AH26" s="231">
        <v>8271390221</v>
      </c>
      <c r="AI26" s="231">
        <v>7882305098</v>
      </c>
      <c r="AJ26" s="231">
        <v>7735550998</v>
      </c>
      <c r="AK26" s="231">
        <v>8331724523</v>
      </c>
      <c r="AL26" s="231">
        <v>8126099701</v>
      </c>
      <c r="AM26" s="231">
        <v>10144836076</v>
      </c>
      <c r="AN26" s="231">
        <v>11510580149</v>
      </c>
      <c r="AO26" s="276">
        <f t="shared" si="5"/>
        <v>12932600027</v>
      </c>
      <c r="AP26" s="272">
        <f t="shared" si="6"/>
        <v>94968591781</v>
      </c>
      <c r="AS26" s="581">
        <v>8730319525</v>
      </c>
      <c r="AT26" s="581">
        <v>10185306107</v>
      </c>
      <c r="AU26" s="581">
        <v>9045990251</v>
      </c>
      <c r="AV26" s="581">
        <v>8767028768</v>
      </c>
      <c r="AW26" s="581">
        <v>10997252438</v>
      </c>
      <c r="AX26" s="581">
        <v>12238300878</v>
      </c>
      <c r="AY26" s="581">
        <v>11026643124</v>
      </c>
      <c r="AZ26" s="581">
        <v>11390562893</v>
      </c>
      <c r="BA26" s="581">
        <v>13765326857</v>
      </c>
      <c r="BB26" s="581">
        <v>11292279516</v>
      </c>
      <c r="BC26" s="581">
        <v>13115825656</v>
      </c>
      <c r="BD26" s="581">
        <v>14894923226</v>
      </c>
      <c r="BE26" s="581">
        <f t="shared" si="7"/>
        <v>135449759239</v>
      </c>
      <c r="BF26" s="581">
        <v>12146845312</v>
      </c>
      <c r="BG26" s="581">
        <v>12224236442</v>
      </c>
      <c r="BH26" s="581">
        <v>14020831904</v>
      </c>
      <c r="BI26" s="581">
        <v>11199196746</v>
      </c>
      <c r="BJ26" s="581">
        <v>15021919078</v>
      </c>
      <c r="BK26" s="581">
        <v>23018630321</v>
      </c>
      <c r="BL26" s="581">
        <v>12561360957</v>
      </c>
      <c r="BM26" s="581">
        <v>12655847732</v>
      </c>
      <c r="BN26" s="581">
        <v>15053560056</v>
      </c>
      <c r="BO26" s="709">
        <v>19528158803</v>
      </c>
      <c r="BP26" s="709">
        <v>13853743570</v>
      </c>
      <c r="BQ26" s="709">
        <v>20561022254</v>
      </c>
      <c r="BR26">
        <f t="shared" si="1"/>
        <v>181845353175</v>
      </c>
      <c r="BS26" s="709">
        <v>28942183792</v>
      </c>
      <c r="BT26" s="709">
        <v>12807433733</v>
      </c>
      <c r="BU26" s="709">
        <v>19543214314</v>
      </c>
      <c r="BV26" s="709">
        <v>16846266118</v>
      </c>
      <c r="BW26" s="709">
        <v>14032700794</v>
      </c>
      <c r="BX26" s="709">
        <v>19229102861</v>
      </c>
      <c r="BY26" s="33">
        <v>15325677698</v>
      </c>
      <c r="BZ26" s="586">
        <v>16360574298</v>
      </c>
      <c r="CA26">
        <v>31216757102</v>
      </c>
      <c r="CB26">
        <v>27494891112</v>
      </c>
      <c r="CC26">
        <v>24461974411</v>
      </c>
      <c r="CD26">
        <v>70031786592</v>
      </c>
      <c r="CE26" s="586">
        <f t="shared" si="2"/>
        <v>296292562825</v>
      </c>
      <c r="CF26" s="17">
        <f t="shared" si="3"/>
        <v>0.6293655991300533</v>
      </c>
    </row>
    <row r="27" spans="1:84">
      <c r="A27" s="59" t="s">
        <v>296</v>
      </c>
      <c r="B27" s="107">
        <v>9864142155</v>
      </c>
      <c r="C27" s="107">
        <v>11082863716</v>
      </c>
      <c r="D27" s="107">
        <v>5714173542</v>
      </c>
      <c r="E27" s="107">
        <v>5957631939</v>
      </c>
      <c r="F27" s="107">
        <v>7190604668</v>
      </c>
      <c r="G27" s="107">
        <v>8944351153</v>
      </c>
      <c r="H27" s="107">
        <v>8714307199</v>
      </c>
      <c r="I27" s="107">
        <v>7601457231</v>
      </c>
      <c r="J27" s="107">
        <v>10305860643</v>
      </c>
      <c r="K27" s="107">
        <v>10272276533</v>
      </c>
      <c r="L27" s="107">
        <v>9016086051</v>
      </c>
      <c r="M27" s="107">
        <v>12237991722</v>
      </c>
      <c r="N27" s="107">
        <v>10343293388</v>
      </c>
      <c r="O27" s="33">
        <v>8799193892</v>
      </c>
      <c r="P27" s="33">
        <v>12081211316</v>
      </c>
      <c r="Q27" s="33">
        <v>10429031854</v>
      </c>
      <c r="R27" s="33">
        <v>9566765800</v>
      </c>
      <c r="S27" s="33">
        <v>10128543268</v>
      </c>
      <c r="T27" s="33">
        <v>10759143706</v>
      </c>
      <c r="U27" s="33">
        <v>12347047321</v>
      </c>
      <c r="V27" s="33">
        <v>9997337516</v>
      </c>
      <c r="W27" s="33">
        <v>9821813486</v>
      </c>
      <c r="X27" s="33">
        <v>10653005618</v>
      </c>
      <c r="Y27" s="33">
        <v>13322486509</v>
      </c>
      <c r="Z27" s="66">
        <f t="shared" si="4"/>
        <v>106901746552</v>
      </c>
      <c r="AA27" s="66">
        <f t="shared" si="8"/>
        <v>128248873674</v>
      </c>
      <c r="AB27" s="17">
        <f t="shared" si="0"/>
        <v>0.1996892268885071</v>
      </c>
      <c r="AC27" s="231">
        <v>15596358618</v>
      </c>
      <c r="AD27" s="231">
        <v>11154952853</v>
      </c>
      <c r="AE27" s="231">
        <v>12236804579</v>
      </c>
      <c r="AF27" s="231">
        <v>10774264528</v>
      </c>
      <c r="AG27" s="231">
        <v>12874205651</v>
      </c>
      <c r="AH27" s="231">
        <v>12460201212</v>
      </c>
      <c r="AI27" s="231">
        <v>11052108096</v>
      </c>
      <c r="AJ27" s="231">
        <v>11512928100</v>
      </c>
      <c r="AK27" s="231">
        <v>11887149279</v>
      </c>
      <c r="AL27" s="231">
        <v>12935771041</v>
      </c>
      <c r="AM27" s="231">
        <v>16692507997</v>
      </c>
      <c r="AN27" s="231">
        <v>16642334405</v>
      </c>
      <c r="AO27" s="276">
        <f t="shared" si="5"/>
        <v>128248873674</v>
      </c>
      <c r="AP27" s="272">
        <f t="shared" si="6"/>
        <v>155819586359</v>
      </c>
      <c r="AS27" s="581">
        <v>17049243122</v>
      </c>
      <c r="AT27" s="581">
        <v>13660438504</v>
      </c>
      <c r="AU27" s="581">
        <v>15328294088</v>
      </c>
      <c r="AV27" s="581">
        <v>12756127350</v>
      </c>
      <c r="AW27" s="581">
        <v>14074044371</v>
      </c>
      <c r="AX27" s="581">
        <v>15328908715</v>
      </c>
      <c r="AY27" s="581">
        <v>14325560329</v>
      </c>
      <c r="AZ27" s="581">
        <v>18379571307</v>
      </c>
      <c r="BA27" s="581">
        <v>15379958497</v>
      </c>
      <c r="BB27" s="581">
        <v>17644929899</v>
      </c>
      <c r="BC27" s="581">
        <v>15785942819</v>
      </c>
      <c r="BD27" s="581">
        <v>18065889535</v>
      </c>
      <c r="BE27" s="581">
        <f t="shared" si="7"/>
        <v>187778908536</v>
      </c>
      <c r="BF27" s="581">
        <v>24077471198</v>
      </c>
      <c r="BG27" s="581">
        <v>17681258957</v>
      </c>
      <c r="BH27" s="581">
        <v>17266495750</v>
      </c>
      <c r="BI27" s="581">
        <v>17336933530</v>
      </c>
      <c r="BJ27" s="581">
        <v>16147256361</v>
      </c>
      <c r="BK27" s="581">
        <v>18679460460</v>
      </c>
      <c r="BL27" s="581">
        <v>20882513938</v>
      </c>
      <c r="BM27" s="581">
        <v>13630501788</v>
      </c>
      <c r="BN27" s="581">
        <v>21242160545</v>
      </c>
      <c r="BO27" s="709">
        <v>18354875227</v>
      </c>
      <c r="BP27" s="709">
        <v>15333972878</v>
      </c>
      <c r="BQ27" s="709">
        <v>29579559611</v>
      </c>
      <c r="BR27">
        <f t="shared" si="1"/>
        <v>230212460243</v>
      </c>
      <c r="BS27" s="709">
        <v>33232069712</v>
      </c>
      <c r="BT27" s="709">
        <v>21946903428</v>
      </c>
      <c r="BU27" s="709">
        <v>18749746872</v>
      </c>
      <c r="BV27" s="709">
        <v>21075596399</v>
      </c>
      <c r="BW27" s="709">
        <v>19651240995</v>
      </c>
      <c r="BX27" s="709">
        <v>20950377089</v>
      </c>
      <c r="BY27" s="33">
        <v>22731224607</v>
      </c>
      <c r="BZ27" s="586">
        <v>23946732826</v>
      </c>
      <c r="CA27">
        <v>21498299387</v>
      </c>
      <c r="CB27">
        <v>27528555624</v>
      </c>
      <c r="CC27">
        <v>20305819637</v>
      </c>
      <c r="CD27">
        <v>26047919775</v>
      </c>
      <c r="CE27" s="586">
        <f t="shared" si="2"/>
        <v>277664486351</v>
      </c>
      <c r="CF27" s="17">
        <f t="shared" si="3"/>
        <v>0.20612275312080053</v>
      </c>
    </row>
    <row r="28" spans="1:84" ht="15.75">
      <c r="A28" s="56" t="s">
        <v>297</v>
      </c>
      <c r="B28" s="107">
        <v>3246018700</v>
      </c>
      <c r="C28" s="107">
        <v>8452611660</v>
      </c>
      <c r="D28" s="107">
        <v>3698306629</v>
      </c>
      <c r="E28" s="107">
        <v>1248059155</v>
      </c>
      <c r="F28" s="107">
        <v>6731022361</v>
      </c>
      <c r="G28" s="107">
        <v>4488237178</v>
      </c>
      <c r="H28" s="107">
        <v>5624849720</v>
      </c>
      <c r="I28" s="107">
        <v>6953346623</v>
      </c>
      <c r="J28" s="107">
        <v>5588568284</v>
      </c>
      <c r="K28" s="107">
        <v>6934510703</v>
      </c>
      <c r="L28" s="107">
        <v>15723958554</v>
      </c>
      <c r="M28" s="107">
        <v>5772848824</v>
      </c>
      <c r="N28" s="107">
        <v>4326790618</v>
      </c>
      <c r="O28" s="33">
        <v>7049553548</v>
      </c>
      <c r="P28" s="33">
        <v>7326065598</v>
      </c>
      <c r="Q28" s="33">
        <v>5885901607</v>
      </c>
      <c r="R28" s="33">
        <v>7029492301</v>
      </c>
      <c r="S28" s="33">
        <v>6468869704</v>
      </c>
      <c r="T28" s="33">
        <v>4846379662</v>
      </c>
      <c r="U28" s="33">
        <v>11769352789</v>
      </c>
      <c r="V28" s="33">
        <v>6172772913</v>
      </c>
      <c r="W28" s="33">
        <v>6205603220</v>
      </c>
      <c r="X28" s="33">
        <v>8039388039</v>
      </c>
      <c r="Y28" s="33">
        <v>7035389760</v>
      </c>
      <c r="Z28" s="66">
        <f t="shared" si="4"/>
        <v>74462338391</v>
      </c>
      <c r="AA28" s="66">
        <f t="shared" si="8"/>
        <v>82155559759</v>
      </c>
      <c r="AB28" s="68">
        <f t="shared" si="0"/>
        <v>0.1033169456430858</v>
      </c>
      <c r="AC28" s="231">
        <v>7913627970</v>
      </c>
      <c r="AD28" s="231">
        <v>10297122707</v>
      </c>
      <c r="AE28" s="231">
        <v>6837495841</v>
      </c>
      <c r="AF28" s="231">
        <v>8270128884</v>
      </c>
      <c r="AG28" s="231">
        <v>9788805207</v>
      </c>
      <c r="AH28" s="231">
        <v>5972804408</v>
      </c>
      <c r="AI28" s="231">
        <v>8507971143</v>
      </c>
      <c r="AJ28" s="231">
        <v>9847018397</v>
      </c>
      <c r="AK28" s="231">
        <v>7055664753</v>
      </c>
      <c r="AL28" s="231">
        <v>9201557778</v>
      </c>
      <c r="AM28" s="231">
        <v>10361778890</v>
      </c>
      <c r="AN28" s="231">
        <v>7591764301</v>
      </c>
      <c r="AO28" s="276">
        <f t="shared" si="5"/>
        <v>82155559759</v>
      </c>
      <c r="AP28" s="272">
        <f t="shared" si="6"/>
        <v>101645740279</v>
      </c>
      <c r="AS28" s="581">
        <v>29933483647</v>
      </c>
      <c r="AT28" s="581">
        <v>12507524183</v>
      </c>
      <c r="AU28" s="581">
        <v>7276358492</v>
      </c>
      <c r="AV28" s="581">
        <v>8084933284</v>
      </c>
      <c r="AW28" s="581">
        <v>10650046826</v>
      </c>
      <c r="AX28" s="581">
        <v>6810993044</v>
      </c>
      <c r="AY28" s="581">
        <v>9900493958</v>
      </c>
      <c r="AZ28" s="581">
        <v>9138344909</v>
      </c>
      <c r="BA28" s="581">
        <v>11645867474</v>
      </c>
      <c r="BB28" s="581">
        <v>10066915299</v>
      </c>
      <c r="BC28" s="581">
        <v>9002917580</v>
      </c>
      <c r="BD28" s="581">
        <v>16157704832</v>
      </c>
      <c r="BE28" s="581">
        <f t="shared" si="7"/>
        <v>141175583528</v>
      </c>
      <c r="BF28" s="581">
        <v>12617125112</v>
      </c>
      <c r="BG28" s="581">
        <v>6579474614</v>
      </c>
      <c r="BH28" s="581">
        <v>12278207228</v>
      </c>
      <c r="BI28" s="581">
        <v>9868461163</v>
      </c>
      <c r="BJ28" s="581">
        <v>8494746957</v>
      </c>
      <c r="BK28" s="581">
        <v>11273494351</v>
      </c>
      <c r="BL28" s="581">
        <v>11958320074</v>
      </c>
      <c r="BM28" s="581">
        <v>9396018279</v>
      </c>
      <c r="BN28" s="581">
        <v>13504134111</v>
      </c>
      <c r="BO28" s="709">
        <v>47840936253</v>
      </c>
      <c r="BP28" s="709">
        <v>10113677074</v>
      </c>
      <c r="BQ28" s="709">
        <v>37979819892</v>
      </c>
      <c r="BR28">
        <f t="shared" si="1"/>
        <v>191904415108</v>
      </c>
      <c r="BS28" s="709">
        <v>11776945098</v>
      </c>
      <c r="BT28" s="709">
        <v>8858567224</v>
      </c>
      <c r="BU28" s="709">
        <v>21204813326</v>
      </c>
      <c r="BV28" s="709">
        <v>14057023931</v>
      </c>
      <c r="BW28" s="709">
        <v>11145274794</v>
      </c>
      <c r="BX28" s="709">
        <v>13698458441</v>
      </c>
      <c r="BY28" s="33">
        <v>14461612878</v>
      </c>
      <c r="BZ28" s="586">
        <v>12013194135</v>
      </c>
      <c r="CA28">
        <v>15994974746</v>
      </c>
      <c r="CB28">
        <v>16018265354</v>
      </c>
      <c r="CC28">
        <v>10025100346</v>
      </c>
      <c r="CD28">
        <v>17951884372</v>
      </c>
      <c r="CE28" s="586">
        <f t="shared" si="2"/>
        <v>167206114645</v>
      </c>
      <c r="CF28" s="17">
        <f t="shared" si="3"/>
        <v>-0.12870105385069064</v>
      </c>
    </row>
    <row r="29" spans="1:84" ht="15.5">
      <c r="A29" s="61" t="s">
        <v>298</v>
      </c>
      <c r="B29" s="107">
        <v>14667344430</v>
      </c>
      <c r="C29" s="107">
        <v>18242403985</v>
      </c>
      <c r="D29" s="107">
        <v>7610675054</v>
      </c>
      <c r="E29" s="107">
        <v>5552120228</v>
      </c>
      <c r="F29" s="107">
        <v>11863631865</v>
      </c>
      <c r="G29" s="107">
        <v>6940904349</v>
      </c>
      <c r="H29" s="107">
        <v>5724385199</v>
      </c>
      <c r="I29" s="107">
        <v>13378431334</v>
      </c>
      <c r="J29" s="107">
        <v>8771331951</v>
      </c>
      <c r="K29" s="107">
        <v>7823772089</v>
      </c>
      <c r="L29" s="107">
        <v>16585705657</v>
      </c>
      <c r="M29" s="107">
        <v>11570762001</v>
      </c>
      <c r="N29" s="107">
        <v>6639847562</v>
      </c>
      <c r="O29" s="33">
        <v>17689686524</v>
      </c>
      <c r="P29" s="33">
        <v>8353381668</v>
      </c>
      <c r="Q29" s="33">
        <v>7257948215</v>
      </c>
      <c r="R29" s="33">
        <v>21943888388</v>
      </c>
      <c r="S29" s="33">
        <v>10293744414</v>
      </c>
      <c r="T29" s="33">
        <v>7188661182</v>
      </c>
      <c r="U29" s="33">
        <v>19642159814</v>
      </c>
      <c r="V29" s="33">
        <v>8621426987</v>
      </c>
      <c r="W29" s="33">
        <v>7356701437</v>
      </c>
      <c r="X29" s="33">
        <v>19623804914</v>
      </c>
      <c r="Y29" s="33">
        <v>13836941952</v>
      </c>
      <c r="Z29" s="66">
        <f t="shared" si="4"/>
        <v>128731468142</v>
      </c>
      <c r="AA29" s="66">
        <f t="shared" si="8"/>
        <v>148448193057</v>
      </c>
      <c r="AB29" s="68">
        <f t="shared" si="0"/>
        <v>0.15316165658307446</v>
      </c>
      <c r="AC29" s="231">
        <v>8814951342</v>
      </c>
      <c r="AD29" s="231">
        <v>17860776869</v>
      </c>
      <c r="AE29" s="231">
        <v>9374245308</v>
      </c>
      <c r="AF29" s="231">
        <v>9970431523</v>
      </c>
      <c r="AG29" s="231">
        <v>24694547482</v>
      </c>
      <c r="AH29" s="231">
        <v>11403258033</v>
      </c>
      <c r="AI29" s="231">
        <v>9198752047</v>
      </c>
      <c r="AJ29" s="231">
        <v>26140912673</v>
      </c>
      <c r="AK29" s="231">
        <v>11032612511</v>
      </c>
      <c r="AL29" s="231">
        <v>8863853785</v>
      </c>
      <c r="AM29" s="231">
        <v>23521838476</v>
      </c>
      <c r="AN29" s="231">
        <v>18196867287</v>
      </c>
      <c r="AO29" s="276">
        <f t="shared" si="5"/>
        <v>148448193057</v>
      </c>
      <c r="AP29" s="272">
        <f t="shared" si="6"/>
        <v>179073047336</v>
      </c>
      <c r="AS29" s="581">
        <v>8829620167</v>
      </c>
      <c r="AT29" s="581">
        <v>23458832099</v>
      </c>
      <c r="AU29" s="581">
        <v>12784553041</v>
      </c>
      <c r="AV29" s="581">
        <v>12510836043</v>
      </c>
      <c r="AW29" s="581">
        <v>25973275354</v>
      </c>
      <c r="AX29" s="581">
        <v>12969586022</v>
      </c>
      <c r="AY29" s="581">
        <v>11426857545</v>
      </c>
      <c r="AZ29" s="581">
        <v>22570044523</v>
      </c>
      <c r="BA29" s="581">
        <v>28705327511</v>
      </c>
      <c r="BB29" s="581">
        <v>16192424026</v>
      </c>
      <c r="BC29" s="581">
        <v>17199785212</v>
      </c>
      <c r="BD29" s="581">
        <v>34944669326</v>
      </c>
      <c r="BE29" s="581">
        <f t="shared" si="7"/>
        <v>227565810869</v>
      </c>
      <c r="BF29" s="581">
        <v>13122732700</v>
      </c>
      <c r="BG29" s="581">
        <v>12063857087</v>
      </c>
      <c r="BH29" s="581">
        <v>23294355026</v>
      </c>
      <c r="BI29" s="581">
        <v>19673462090</v>
      </c>
      <c r="BJ29" s="581">
        <v>15512368920</v>
      </c>
      <c r="BK29" s="581">
        <v>31913337210</v>
      </c>
      <c r="BL29" s="581">
        <v>15522709243</v>
      </c>
      <c r="BM29" s="581">
        <v>14234278326</v>
      </c>
      <c r="BN29" s="581">
        <v>31796736063</v>
      </c>
      <c r="BO29" s="709">
        <v>16230352238</v>
      </c>
      <c r="BP29" s="709">
        <v>18334590948</v>
      </c>
      <c r="BQ29" s="709">
        <v>38741637961</v>
      </c>
      <c r="BR29">
        <f t="shared" si="1"/>
        <v>250440417812</v>
      </c>
      <c r="BS29" s="709">
        <v>18017993347</v>
      </c>
      <c r="BT29" s="709">
        <v>16903442299</v>
      </c>
      <c r="BU29" s="709">
        <v>36842300936</v>
      </c>
      <c r="BV29" s="709">
        <v>19436502930</v>
      </c>
      <c r="BW29" s="709">
        <v>18376420538</v>
      </c>
      <c r="BX29" s="709">
        <v>38986092444</v>
      </c>
      <c r="BY29" s="33">
        <v>19478058970</v>
      </c>
      <c r="BZ29" s="586">
        <v>19194394414</v>
      </c>
      <c r="CA29">
        <v>43378391971</v>
      </c>
      <c r="CB29">
        <v>24525002870</v>
      </c>
      <c r="CC29">
        <v>23788700656</v>
      </c>
      <c r="CD29">
        <v>56469198414</v>
      </c>
      <c r="CE29" s="586">
        <f t="shared" si="2"/>
        <v>335396499789</v>
      </c>
      <c r="CF29" s="17">
        <f t="shared" si="3"/>
        <v>0.33922672194539549</v>
      </c>
    </row>
    <row r="30" spans="1:84" ht="15.5">
      <c r="A30" s="61" t="s">
        <v>299</v>
      </c>
      <c r="B30" s="107">
        <v>3664071765</v>
      </c>
      <c r="C30" s="107">
        <v>4267266724</v>
      </c>
      <c r="D30" s="107">
        <v>5056862316</v>
      </c>
      <c r="E30" s="107">
        <v>5389819783</v>
      </c>
      <c r="F30" s="107">
        <v>7156316637</v>
      </c>
      <c r="G30" s="107">
        <v>6971530052</v>
      </c>
      <c r="H30" s="107">
        <v>6607998542</v>
      </c>
      <c r="I30" s="107">
        <v>6739661306</v>
      </c>
      <c r="J30" s="107">
        <v>6448257682</v>
      </c>
      <c r="K30" s="107">
        <v>6067959122</v>
      </c>
      <c r="L30" s="107">
        <v>6227887037</v>
      </c>
      <c r="M30" s="107">
        <v>8226990062</v>
      </c>
      <c r="N30" s="107">
        <v>5421707631</v>
      </c>
      <c r="O30" s="33">
        <v>6787389138</v>
      </c>
      <c r="P30" s="33">
        <v>6330964610</v>
      </c>
      <c r="Q30" s="33">
        <v>7469853979</v>
      </c>
      <c r="R30" s="33">
        <v>9229322237</v>
      </c>
      <c r="S30" s="33">
        <v>6925886358</v>
      </c>
      <c r="T30" s="33">
        <v>5663236254</v>
      </c>
      <c r="U30" s="33">
        <v>10182553200</v>
      </c>
      <c r="V30" s="33">
        <v>7082075181</v>
      </c>
      <c r="W30" s="33">
        <v>6632317691</v>
      </c>
      <c r="X30" s="33">
        <v>13134035866</v>
      </c>
      <c r="Y30" s="33">
        <v>10664089268</v>
      </c>
      <c r="Z30" s="66">
        <f t="shared" si="4"/>
        <v>72824621028</v>
      </c>
      <c r="AA30" s="66">
        <f t="shared" si="8"/>
        <v>95523431413</v>
      </c>
      <c r="AB30" s="68">
        <f t="shared" si="0"/>
        <v>0.31169143161448987</v>
      </c>
      <c r="AC30" s="231">
        <v>6375899433</v>
      </c>
      <c r="AD30" s="231">
        <v>12789276372</v>
      </c>
      <c r="AE30" s="231">
        <v>9147236424</v>
      </c>
      <c r="AF30" s="231">
        <v>9316667437</v>
      </c>
      <c r="AG30" s="231">
        <v>21622135866</v>
      </c>
      <c r="AH30" s="231">
        <v>13286376378</v>
      </c>
      <c r="AI30" s="231">
        <v>9687406848</v>
      </c>
      <c r="AJ30" s="231">
        <v>17524536630</v>
      </c>
      <c r="AK30" s="231">
        <v>11624827836</v>
      </c>
      <c r="AL30" s="231">
        <v>12744814440</v>
      </c>
      <c r="AM30" s="231">
        <v>23276841364</v>
      </c>
      <c r="AN30" s="231">
        <v>17633133738</v>
      </c>
      <c r="AO30" s="276">
        <f t="shared" si="5"/>
        <v>95523431413</v>
      </c>
      <c r="AP30" s="272">
        <f t="shared" si="6"/>
        <v>165029152766</v>
      </c>
      <c r="AS30" s="581">
        <v>10994653995</v>
      </c>
      <c r="AT30" s="581">
        <v>20818524361</v>
      </c>
      <c r="AU30" s="581">
        <v>13677368330</v>
      </c>
      <c r="AV30" s="581">
        <v>12311449616</v>
      </c>
      <c r="AW30" s="581">
        <v>21576045184</v>
      </c>
      <c r="AX30" s="581">
        <v>13472391568</v>
      </c>
      <c r="AY30" s="581">
        <v>14226135362</v>
      </c>
      <c r="AZ30" s="581">
        <v>17541355109</v>
      </c>
      <c r="BA30" s="581">
        <v>26732261128</v>
      </c>
      <c r="BB30" s="581">
        <v>18067375399</v>
      </c>
      <c r="BC30" s="581">
        <v>16923517323</v>
      </c>
      <c r="BD30" s="581">
        <v>32095832937</v>
      </c>
      <c r="BE30" s="581">
        <f t="shared" si="7"/>
        <v>218436910312</v>
      </c>
      <c r="BF30" s="581">
        <v>15143324016</v>
      </c>
      <c r="BG30" s="581">
        <v>13630962930</v>
      </c>
      <c r="BH30" s="581">
        <v>21624483347</v>
      </c>
      <c r="BI30" s="581">
        <v>13193227541</v>
      </c>
      <c r="BJ30" s="581">
        <v>17010437329</v>
      </c>
      <c r="BK30" s="581">
        <v>25963410559</v>
      </c>
      <c r="BL30" s="581">
        <v>31879716339</v>
      </c>
      <c r="BM30" s="581">
        <v>20291113678</v>
      </c>
      <c r="BN30" s="581">
        <v>26562131013</v>
      </c>
      <c r="BO30" s="709">
        <v>18851823483</v>
      </c>
      <c r="BP30" s="709">
        <v>19545491218</v>
      </c>
      <c r="BQ30" s="709">
        <v>32480999594</v>
      </c>
      <c r="BR30">
        <f t="shared" si="1"/>
        <v>256177121047</v>
      </c>
      <c r="BS30" s="709">
        <v>16183569671</v>
      </c>
      <c r="BT30" s="709">
        <v>16827091516</v>
      </c>
      <c r="BU30" s="709">
        <v>22262163970</v>
      </c>
      <c r="BV30" s="709">
        <v>15578618229</v>
      </c>
      <c r="BW30" s="709">
        <v>18779426643</v>
      </c>
      <c r="BX30" s="709">
        <v>45972610524</v>
      </c>
      <c r="BY30" s="33">
        <v>21569976986</v>
      </c>
      <c r="BZ30" s="586">
        <v>26027921304</v>
      </c>
      <c r="CA30">
        <v>34264745684</v>
      </c>
      <c r="CB30">
        <v>33486629823</v>
      </c>
      <c r="CC30">
        <v>20566487180</v>
      </c>
      <c r="CD30">
        <v>40437296735</v>
      </c>
      <c r="CE30" s="586">
        <f t="shared" si="2"/>
        <v>311956538265</v>
      </c>
      <c r="CF30" s="17">
        <f t="shared" si="3"/>
        <v>0.21773770034587248</v>
      </c>
    </row>
    <row r="31" spans="1:84" ht="15.75">
      <c r="A31" s="56" t="s">
        <v>300</v>
      </c>
      <c r="B31" s="107">
        <v>2293012867</v>
      </c>
      <c r="C31" s="107">
        <v>1786426365</v>
      </c>
      <c r="D31" s="107">
        <v>531406736</v>
      </c>
      <c r="E31" s="107">
        <v>123525835</v>
      </c>
      <c r="F31" s="107">
        <v>268079402</v>
      </c>
      <c r="G31" s="107">
        <v>377951623</v>
      </c>
      <c r="H31" s="107">
        <v>334833015</v>
      </c>
      <c r="I31" s="107">
        <v>474078645</v>
      </c>
      <c r="J31" s="107">
        <v>332687005</v>
      </c>
      <c r="K31" s="107">
        <v>644753650</v>
      </c>
      <c r="L31" s="107">
        <v>884187801</v>
      </c>
      <c r="M31" s="107">
        <v>665916926</v>
      </c>
      <c r="N31" s="107">
        <v>346528769</v>
      </c>
      <c r="O31" s="33">
        <v>386973623</v>
      </c>
      <c r="P31" s="33">
        <v>679570104</v>
      </c>
      <c r="Q31" s="33">
        <v>774579879</v>
      </c>
      <c r="R31" s="33">
        <v>751838770</v>
      </c>
      <c r="S31" s="33">
        <v>752176829</v>
      </c>
      <c r="T31" s="33">
        <v>1358214459</v>
      </c>
      <c r="U31" s="33">
        <v>1046882153</v>
      </c>
      <c r="V31" s="33">
        <v>833993446</v>
      </c>
      <c r="W31" s="33">
        <v>1591366094</v>
      </c>
      <c r="X31" s="33">
        <v>1133609705</v>
      </c>
      <c r="Y31" s="33">
        <v>1171075083</v>
      </c>
      <c r="Z31" s="66">
        <f t="shared" si="4"/>
        <v>8716859870</v>
      </c>
      <c r="AA31" s="66">
        <f t="shared" si="8"/>
        <v>10826808914</v>
      </c>
      <c r="AB31" s="68">
        <f t="shared" si="0"/>
        <v>0.24205379866913024</v>
      </c>
      <c r="AC31" s="231">
        <v>1261543870</v>
      </c>
      <c r="AD31" s="231">
        <v>2100559074</v>
      </c>
      <c r="AE31" s="231">
        <v>5450397511</v>
      </c>
      <c r="AF31" s="231">
        <v>2724926702</v>
      </c>
      <c r="AG31" s="231">
        <v>2183065767</v>
      </c>
      <c r="AH31" s="231">
        <v>2464726605</v>
      </c>
      <c r="AI31" s="231">
        <v>4242359885</v>
      </c>
      <c r="AJ31" s="231">
        <v>4659877059</v>
      </c>
      <c r="AK31" s="231">
        <v>2492775827</v>
      </c>
      <c r="AL31" s="231">
        <v>2108399920</v>
      </c>
      <c r="AM31" s="231">
        <v>2578737167</v>
      </c>
      <c r="AN31" s="231">
        <v>1846494155</v>
      </c>
      <c r="AO31" s="276">
        <f t="shared" si="5"/>
        <v>10826808914</v>
      </c>
      <c r="AP31" s="272">
        <f t="shared" si="6"/>
        <v>34113863542</v>
      </c>
      <c r="AS31" s="581">
        <v>3991672065</v>
      </c>
      <c r="AT31" s="581">
        <v>2300218295</v>
      </c>
      <c r="AU31" s="581">
        <v>3424372786</v>
      </c>
      <c r="AV31" s="581">
        <v>3049652523</v>
      </c>
      <c r="AW31" s="581">
        <v>4686376186</v>
      </c>
      <c r="AX31" s="581">
        <v>5279496267</v>
      </c>
      <c r="AY31" s="581">
        <v>4577650024</v>
      </c>
      <c r="AZ31" s="581">
        <v>3784342988</v>
      </c>
      <c r="BA31" s="581">
        <v>3005128382</v>
      </c>
      <c r="BB31" s="581">
        <v>3603384816</v>
      </c>
      <c r="BC31" s="581">
        <v>3763148103</v>
      </c>
      <c r="BD31" s="581">
        <v>4052458184</v>
      </c>
      <c r="BE31" s="581">
        <f t="shared" si="7"/>
        <v>45517900619</v>
      </c>
      <c r="BF31" s="581">
        <v>4467587482</v>
      </c>
      <c r="BG31" s="581">
        <v>6048239056</v>
      </c>
      <c r="BH31" s="581">
        <v>5165136271</v>
      </c>
      <c r="BI31" s="581">
        <v>4201118325</v>
      </c>
      <c r="BJ31" s="581">
        <v>5238897817</v>
      </c>
      <c r="BK31" s="581">
        <v>4538461439</v>
      </c>
      <c r="BL31" s="581">
        <v>4494549755</v>
      </c>
      <c r="BM31" s="581">
        <v>4117628129</v>
      </c>
      <c r="BN31" s="581">
        <v>3701834512</v>
      </c>
      <c r="BO31" s="709">
        <v>4156309338</v>
      </c>
      <c r="BP31" s="709">
        <v>4110126110</v>
      </c>
      <c r="BQ31" s="709">
        <v>3850979872</v>
      </c>
      <c r="BR31">
        <f t="shared" si="1"/>
        <v>54090868106</v>
      </c>
      <c r="BS31" s="709">
        <v>4639459697</v>
      </c>
      <c r="BT31" s="709">
        <v>5167179934</v>
      </c>
      <c r="BU31" s="709">
        <v>4290267873</v>
      </c>
      <c r="BV31" s="709">
        <v>3785475445</v>
      </c>
      <c r="BW31" s="709">
        <v>5566809893</v>
      </c>
      <c r="BX31" s="709">
        <v>4638890363</v>
      </c>
      <c r="BY31" s="33">
        <v>4883113409</v>
      </c>
      <c r="BZ31" s="586">
        <v>3797089386</v>
      </c>
      <c r="CA31">
        <v>4716300027</v>
      </c>
      <c r="CB31">
        <v>6225533484</v>
      </c>
      <c r="CC31">
        <v>4669107806</v>
      </c>
      <c r="CD31">
        <v>4582077525</v>
      </c>
      <c r="CE31" s="586">
        <f t="shared" si="2"/>
        <v>56961304842</v>
      </c>
      <c r="CF31" s="17">
        <f t="shared" si="3"/>
        <v>5.3066937849377993E-2</v>
      </c>
    </row>
    <row r="32" spans="1:84" ht="15.75">
      <c r="A32" s="56" t="s">
        <v>15</v>
      </c>
      <c r="B32" s="107">
        <v>22824745</v>
      </c>
      <c r="C32" s="107">
        <v>535487593</v>
      </c>
      <c r="D32" s="107">
        <v>12548984</v>
      </c>
      <c r="E32" s="107">
        <v>23932126</v>
      </c>
      <c r="F32" s="107">
        <v>685043172</v>
      </c>
      <c r="G32" s="107">
        <v>420206508</v>
      </c>
      <c r="H32" s="107">
        <v>355137971</v>
      </c>
      <c r="I32" s="107">
        <v>195988536</v>
      </c>
      <c r="J32" s="107">
        <v>396008294</v>
      </c>
      <c r="K32" s="107">
        <v>343194105</v>
      </c>
      <c r="L32" s="107">
        <v>599221319</v>
      </c>
      <c r="M32" s="107">
        <v>384289592</v>
      </c>
      <c r="N32" s="107">
        <v>291241937</v>
      </c>
      <c r="O32" s="33">
        <v>533796623</v>
      </c>
      <c r="P32" s="33">
        <v>196054388</v>
      </c>
      <c r="Q32" s="33">
        <v>288892532</v>
      </c>
      <c r="R32" s="33">
        <v>1164375717</v>
      </c>
      <c r="S32" s="33">
        <v>357879006</v>
      </c>
      <c r="T32" s="33">
        <v>387642958</v>
      </c>
      <c r="U32" s="33">
        <v>1429588257</v>
      </c>
      <c r="V32" s="33">
        <v>422407764</v>
      </c>
      <c r="W32" s="33">
        <v>296560793</v>
      </c>
      <c r="X32" s="33">
        <v>1856941352</v>
      </c>
      <c r="Y32" s="33">
        <v>760410066</v>
      </c>
      <c r="Z32" s="66">
        <f t="shared" si="4"/>
        <v>3973882945</v>
      </c>
      <c r="AA32" s="66">
        <f t="shared" si="8"/>
        <v>7985791393</v>
      </c>
      <c r="AB32" s="68">
        <f t="shared" si="0"/>
        <v>1.0095688533170923</v>
      </c>
      <c r="AC32" s="231">
        <v>504582175</v>
      </c>
      <c r="AD32" s="231">
        <v>846589856</v>
      </c>
      <c r="AE32" s="231">
        <v>434259685</v>
      </c>
      <c r="AF32" s="231">
        <v>206762805</v>
      </c>
      <c r="AG32" s="231">
        <v>1994497112</v>
      </c>
      <c r="AH32" s="231">
        <v>724463384</v>
      </c>
      <c r="AI32" s="231">
        <v>424892519</v>
      </c>
      <c r="AJ32" s="231">
        <v>888049352</v>
      </c>
      <c r="AK32" s="231">
        <v>530709556</v>
      </c>
      <c r="AL32" s="231">
        <v>316221405</v>
      </c>
      <c r="AM32" s="231">
        <v>1676436929</v>
      </c>
      <c r="AN32" s="231">
        <v>1508989190</v>
      </c>
      <c r="AO32" s="276">
        <f t="shared" si="5"/>
        <v>7985791393</v>
      </c>
      <c r="AP32" s="272">
        <f t="shared" si="6"/>
        <v>10056453968</v>
      </c>
      <c r="AS32" s="581">
        <v>301288676</v>
      </c>
      <c r="AT32" s="581">
        <v>2302870317</v>
      </c>
      <c r="AU32" s="581">
        <v>686228282</v>
      </c>
      <c r="AV32" s="581">
        <v>954526011</v>
      </c>
      <c r="AW32" s="581">
        <v>1406017457</v>
      </c>
      <c r="AX32" s="581">
        <v>732140752</v>
      </c>
      <c r="AY32" s="581">
        <v>1183695493</v>
      </c>
      <c r="AZ32" s="581">
        <v>1510196496</v>
      </c>
      <c r="BA32" s="581">
        <v>2135268376</v>
      </c>
      <c r="BB32" s="581">
        <v>710042632</v>
      </c>
      <c r="BC32" s="581">
        <v>996961628</v>
      </c>
      <c r="BD32" s="581">
        <v>4583033530</v>
      </c>
      <c r="BE32" s="581">
        <f t="shared" si="7"/>
        <v>17502269650</v>
      </c>
      <c r="BF32" s="581">
        <v>502545837</v>
      </c>
      <c r="BG32" s="581">
        <v>698230088</v>
      </c>
      <c r="BH32" s="581">
        <v>2435045221</v>
      </c>
      <c r="BI32" s="581">
        <v>1811129718</v>
      </c>
      <c r="BJ32" s="581">
        <v>1004175858</v>
      </c>
      <c r="BK32" s="581">
        <v>4628193142</v>
      </c>
      <c r="BL32" s="581">
        <v>335940713</v>
      </c>
      <c r="BM32" s="581">
        <v>1005793652</v>
      </c>
      <c r="BN32" s="581">
        <v>3839746291</v>
      </c>
      <c r="BO32" s="709">
        <v>968106983</v>
      </c>
      <c r="BP32" s="709">
        <v>896448505</v>
      </c>
      <c r="BQ32" s="709">
        <v>5808627833</v>
      </c>
      <c r="BR32">
        <f t="shared" si="1"/>
        <v>23933983841</v>
      </c>
      <c r="BS32" s="709">
        <v>521599928</v>
      </c>
      <c r="BT32" s="709">
        <v>476805003</v>
      </c>
      <c r="BU32" s="709">
        <v>3538095311</v>
      </c>
      <c r="BV32" s="709">
        <v>638528306</v>
      </c>
      <c r="BW32" s="709">
        <v>1351249589</v>
      </c>
      <c r="BX32" s="709">
        <v>4384220571</v>
      </c>
      <c r="BY32" s="33">
        <v>1029468887</v>
      </c>
      <c r="BZ32" s="586">
        <v>994470712</v>
      </c>
      <c r="CA32">
        <v>4589623318</v>
      </c>
      <c r="CB32">
        <v>2256619955</v>
      </c>
      <c r="CC32">
        <v>1636566089</v>
      </c>
      <c r="CD32">
        <v>5599401159</v>
      </c>
      <c r="CE32" s="586">
        <f t="shared" si="2"/>
        <v>27016648828</v>
      </c>
      <c r="CF32" s="17">
        <f t="shared" si="3"/>
        <v>0.12879865748548114</v>
      </c>
    </row>
    <row r="33" spans="1:84" ht="15.75">
      <c r="A33" s="56" t="s">
        <v>301</v>
      </c>
      <c r="B33" s="107">
        <v>778979419</v>
      </c>
      <c r="C33" s="107">
        <v>779082687</v>
      </c>
      <c r="D33" s="107">
        <v>596464150</v>
      </c>
      <c r="E33" s="107">
        <v>76697370</v>
      </c>
      <c r="F33" s="107">
        <v>929188429</v>
      </c>
      <c r="G33" s="107">
        <v>522906879</v>
      </c>
      <c r="H33" s="107">
        <v>553421882</v>
      </c>
      <c r="I33" s="107">
        <v>960976653</v>
      </c>
      <c r="J33" s="107">
        <v>301449602</v>
      </c>
      <c r="K33" s="107">
        <v>502889883</v>
      </c>
      <c r="L33" s="107">
        <v>1004889713</v>
      </c>
      <c r="M33" s="107">
        <v>389331113</v>
      </c>
      <c r="N33" s="107">
        <v>395328478</v>
      </c>
      <c r="O33" s="33">
        <v>1020403243</v>
      </c>
      <c r="P33" s="33">
        <v>567190415</v>
      </c>
      <c r="Q33" s="33">
        <v>727100706</v>
      </c>
      <c r="R33" s="33">
        <v>984175996</v>
      </c>
      <c r="S33" s="33">
        <v>929713776</v>
      </c>
      <c r="T33" s="33">
        <v>663002077</v>
      </c>
      <c r="U33" s="33">
        <v>1272476158</v>
      </c>
      <c r="V33" s="33">
        <v>349686208</v>
      </c>
      <c r="W33" s="33">
        <v>348130118</v>
      </c>
      <c r="X33" s="33">
        <v>1846266677</v>
      </c>
      <c r="Y33" s="33">
        <v>1127630502</v>
      </c>
      <c r="Z33" s="66">
        <f t="shared" si="4"/>
        <v>7396277780</v>
      </c>
      <c r="AA33" s="66">
        <f t="shared" si="8"/>
        <v>10231104354</v>
      </c>
      <c r="AB33" s="68">
        <f t="shared" si="0"/>
        <v>0.38327746176131305</v>
      </c>
      <c r="AC33" s="231">
        <v>761886957</v>
      </c>
      <c r="AD33" s="231">
        <v>1291876307</v>
      </c>
      <c r="AE33" s="231">
        <v>800227679</v>
      </c>
      <c r="AF33" s="231">
        <v>909419853</v>
      </c>
      <c r="AG33" s="231">
        <v>1376350492</v>
      </c>
      <c r="AH33" s="231">
        <v>867757894</v>
      </c>
      <c r="AI33" s="231">
        <v>1049115860</v>
      </c>
      <c r="AJ33" s="231">
        <v>2138575273</v>
      </c>
      <c r="AK33" s="231">
        <v>1912847397</v>
      </c>
      <c r="AL33" s="231">
        <v>1071462760</v>
      </c>
      <c r="AM33" s="231">
        <v>2149067020</v>
      </c>
      <c r="AN33" s="231">
        <v>1393134266</v>
      </c>
      <c r="AO33" s="276">
        <f t="shared" si="5"/>
        <v>10231104354</v>
      </c>
      <c r="AP33" s="272">
        <f t="shared" si="6"/>
        <v>15721721758</v>
      </c>
      <c r="AS33" s="581">
        <v>1102926093</v>
      </c>
      <c r="AT33" s="581">
        <v>1794336093</v>
      </c>
      <c r="AU33" s="581">
        <v>868582024</v>
      </c>
      <c r="AV33" s="581">
        <v>449401581</v>
      </c>
      <c r="AW33" s="581">
        <v>1932325556</v>
      </c>
      <c r="AX33" s="581">
        <v>728627961</v>
      </c>
      <c r="AY33" s="581">
        <v>765189523</v>
      </c>
      <c r="AZ33" s="581">
        <v>1385613540</v>
      </c>
      <c r="BA33" s="581">
        <v>2319853218</v>
      </c>
      <c r="BB33" s="581">
        <v>1135453799</v>
      </c>
      <c r="BC33" s="581">
        <v>1073779439</v>
      </c>
      <c r="BD33" s="581">
        <v>2457995957</v>
      </c>
      <c r="BE33" s="581">
        <f t="shared" si="7"/>
        <v>16014084784</v>
      </c>
      <c r="BF33" s="581">
        <v>1542092302</v>
      </c>
      <c r="BG33" s="581">
        <v>1266289387</v>
      </c>
      <c r="BH33" s="581">
        <v>2096856404</v>
      </c>
      <c r="BI33" s="581">
        <v>2046006060</v>
      </c>
      <c r="BJ33" s="581">
        <v>1360542180</v>
      </c>
      <c r="BK33" s="581">
        <v>2699409752</v>
      </c>
      <c r="BL33" s="581">
        <v>1235177104</v>
      </c>
      <c r="BM33" s="581">
        <v>1740946373</v>
      </c>
      <c r="BN33" s="581">
        <v>4765132590</v>
      </c>
      <c r="BO33" s="709">
        <v>3456402098</v>
      </c>
      <c r="BP33" s="709">
        <v>1919482699</v>
      </c>
      <c r="BQ33" s="709">
        <v>3942290368</v>
      </c>
      <c r="BR33">
        <f t="shared" si="1"/>
        <v>28070627317</v>
      </c>
      <c r="BS33" s="709">
        <v>2740011079</v>
      </c>
      <c r="BT33" s="709">
        <v>1636071027</v>
      </c>
      <c r="BU33" s="709">
        <v>3380762865</v>
      </c>
      <c r="BV33" s="709">
        <v>2219713429</v>
      </c>
      <c r="BW33" s="709">
        <v>2208949300</v>
      </c>
      <c r="BX33" s="709">
        <v>2808228843</v>
      </c>
      <c r="BY33">
        <v>2119318977</v>
      </c>
      <c r="BZ33" s="586">
        <v>2461253206</v>
      </c>
      <c r="CA33">
        <v>4355708945</v>
      </c>
      <c r="CB33">
        <v>4450676098</v>
      </c>
      <c r="CC33">
        <v>5354232963</v>
      </c>
      <c r="CD33">
        <v>7440946522</v>
      </c>
      <c r="CE33" s="586">
        <f t="shared" si="2"/>
        <v>41175873254</v>
      </c>
      <c r="CF33" s="17">
        <f t="shared" si="3"/>
        <v>0.46686687080424671</v>
      </c>
    </row>
    <row r="34" spans="1:84" ht="15.75">
      <c r="A34" s="56" t="s">
        <v>302</v>
      </c>
      <c r="B34" s="107">
        <v>193398104</v>
      </c>
      <c r="C34" s="107">
        <v>791008218</v>
      </c>
      <c r="D34" s="107">
        <v>250386756</v>
      </c>
      <c r="E34" s="107">
        <v>13048765</v>
      </c>
      <c r="F34" s="107">
        <v>241584875</v>
      </c>
      <c r="G34" s="107">
        <v>151988432</v>
      </c>
      <c r="H34" s="107">
        <v>181168003</v>
      </c>
      <c r="I34" s="107">
        <v>220007997</v>
      </c>
      <c r="J34" s="107">
        <v>147929443</v>
      </c>
      <c r="K34" s="107">
        <v>168345236</v>
      </c>
      <c r="L34" s="107">
        <v>415319558</v>
      </c>
      <c r="M34" s="107">
        <v>223208811</v>
      </c>
      <c r="N34" s="107">
        <v>58226248</v>
      </c>
      <c r="O34" s="107">
        <v>737369433</v>
      </c>
      <c r="P34" s="107">
        <v>258734982</v>
      </c>
      <c r="Q34" s="107">
        <v>228462976</v>
      </c>
      <c r="R34" s="107">
        <v>1084724843</v>
      </c>
      <c r="S34" s="107">
        <v>227508319</v>
      </c>
      <c r="T34" s="107">
        <v>365648641</v>
      </c>
      <c r="U34" s="107">
        <v>1235241593</v>
      </c>
      <c r="V34" s="110">
        <v>381231933</v>
      </c>
      <c r="W34" s="110">
        <v>470049024</v>
      </c>
      <c r="X34" s="110">
        <v>2426424748</v>
      </c>
      <c r="Y34" s="110">
        <v>659188326</v>
      </c>
      <c r="Z34" s="66">
        <f t="shared" si="4"/>
        <v>2997394198</v>
      </c>
      <c r="AA34" s="66">
        <f t="shared" si="8"/>
        <v>8132811066</v>
      </c>
      <c r="AB34" s="68">
        <f t="shared" si="0"/>
        <v>1.7132937907955474</v>
      </c>
      <c r="AC34" s="231">
        <v>255811265</v>
      </c>
      <c r="AD34" s="231">
        <v>1739084493</v>
      </c>
      <c r="AE34" s="231">
        <v>368982568</v>
      </c>
      <c r="AF34" s="231">
        <v>542392754</v>
      </c>
      <c r="AG34" s="231">
        <v>2158417509</v>
      </c>
      <c r="AH34" s="231">
        <v>1705480258</v>
      </c>
      <c r="AI34" s="231">
        <v>845860936</v>
      </c>
      <c r="AJ34" s="231">
        <v>2821105895</v>
      </c>
      <c r="AK34" s="231">
        <v>1404809751</v>
      </c>
      <c r="AL34" s="231">
        <v>1380050217</v>
      </c>
      <c r="AM34" s="231">
        <v>4018055492</v>
      </c>
      <c r="AN34" s="231">
        <v>2013845006</v>
      </c>
      <c r="AO34" s="276">
        <f t="shared" si="5"/>
        <v>8132811066</v>
      </c>
      <c r="AP34" s="272">
        <f t="shared" si="6"/>
        <v>19253896144</v>
      </c>
      <c r="AS34" s="581">
        <v>915327219</v>
      </c>
      <c r="AT34" s="581">
        <v>2660353469</v>
      </c>
      <c r="AU34" s="581">
        <v>1668914721</v>
      </c>
      <c r="AV34" s="581">
        <v>775522656</v>
      </c>
      <c r="AW34" s="581">
        <v>3353584399</v>
      </c>
      <c r="AX34" s="581">
        <v>867790245</v>
      </c>
      <c r="AY34" s="581">
        <v>1169130920</v>
      </c>
      <c r="AZ34" s="581">
        <v>2554332040</v>
      </c>
      <c r="BA34" s="581">
        <v>4917687772</v>
      </c>
      <c r="BB34" s="581">
        <v>41028309754</v>
      </c>
      <c r="BC34" s="581">
        <v>1300371681</v>
      </c>
      <c r="BD34" s="581">
        <v>6106369638</v>
      </c>
      <c r="BE34" s="581">
        <f t="shared" si="7"/>
        <v>67317694514</v>
      </c>
      <c r="BF34" s="581">
        <v>1268706078</v>
      </c>
      <c r="BG34" s="581">
        <v>1324980162</v>
      </c>
      <c r="BH34" s="581">
        <v>3168868133</v>
      </c>
      <c r="BI34" s="581">
        <v>1509796616</v>
      </c>
      <c r="BJ34" s="581">
        <v>1079498524</v>
      </c>
      <c r="BK34" s="581">
        <v>4284029050</v>
      </c>
      <c r="BL34" s="581">
        <v>3042098850</v>
      </c>
      <c r="BM34" s="581">
        <v>6795467319</v>
      </c>
      <c r="BN34" s="581">
        <v>22071029435</v>
      </c>
      <c r="BO34" s="709">
        <v>4595937231</v>
      </c>
      <c r="BP34" s="709">
        <v>1594118118</v>
      </c>
      <c r="BQ34" s="709">
        <v>64472552375</v>
      </c>
      <c r="BR34">
        <f t="shared" si="1"/>
        <v>115207081891</v>
      </c>
      <c r="BS34" s="709">
        <v>1519147694</v>
      </c>
      <c r="BT34" s="709">
        <v>13912602256</v>
      </c>
      <c r="BU34" s="709">
        <v>5841406950</v>
      </c>
      <c r="BV34" s="709">
        <v>20852961237</v>
      </c>
      <c r="BW34" s="709">
        <v>7258405283</v>
      </c>
      <c r="BX34" s="709">
        <v>20728276485</v>
      </c>
      <c r="BY34">
        <v>26169081619</v>
      </c>
      <c r="BZ34" s="586">
        <v>4457901206</v>
      </c>
      <c r="CA34">
        <v>31311959441</v>
      </c>
      <c r="CB34">
        <v>8323738539</v>
      </c>
      <c r="CC34">
        <v>7921822963</v>
      </c>
      <c r="CD34">
        <v>70818933735</v>
      </c>
      <c r="CE34" s="586">
        <f t="shared" si="2"/>
        <v>219116237408</v>
      </c>
      <c r="CF34" s="17">
        <f t="shared" si="3"/>
        <v>0.90193375104588425</v>
      </c>
    </row>
    <row r="35" spans="1:84" ht="15.75">
      <c r="A35" s="56" t="s">
        <v>303</v>
      </c>
      <c r="B35" s="107">
        <v>13309406001</v>
      </c>
      <c r="C35" s="107">
        <v>14990422799</v>
      </c>
      <c r="D35" s="107">
        <v>4551971348</v>
      </c>
      <c r="E35" s="107">
        <v>915361976</v>
      </c>
      <c r="F35" s="107">
        <v>11666026180</v>
      </c>
      <c r="G35" s="107">
        <v>7395224040</v>
      </c>
      <c r="H35" s="107">
        <v>4183029333</v>
      </c>
      <c r="I35" s="107">
        <v>35960303253</v>
      </c>
      <c r="J35" s="107">
        <v>4368980598</v>
      </c>
      <c r="K35" s="107">
        <v>3973480744</v>
      </c>
      <c r="L35" s="107">
        <v>15627838947</v>
      </c>
      <c r="M35" s="107">
        <v>6620948229</v>
      </c>
      <c r="N35" s="107">
        <v>3560586339</v>
      </c>
      <c r="O35" s="107">
        <v>15042505050</v>
      </c>
      <c r="P35" s="107">
        <v>6105408754</v>
      </c>
      <c r="Q35" s="107">
        <v>4840226240</v>
      </c>
      <c r="R35" s="107">
        <v>18415610724</v>
      </c>
      <c r="S35" s="107">
        <v>5881993254</v>
      </c>
      <c r="T35" s="107">
        <v>4123838706</v>
      </c>
      <c r="U35" s="107">
        <v>20531416922</v>
      </c>
      <c r="V35" s="110">
        <v>5057402332</v>
      </c>
      <c r="W35" s="110">
        <v>7091759200</v>
      </c>
      <c r="X35" s="110">
        <v>21424577820</v>
      </c>
      <c r="Y35" s="110">
        <v>8819129287</v>
      </c>
      <c r="Z35" s="66">
        <f t="shared" si="4"/>
        <v>123562993448</v>
      </c>
      <c r="AA35" s="66">
        <f t="shared" si="8"/>
        <v>120894454628</v>
      </c>
      <c r="AB35" s="68">
        <f t="shared" si="0"/>
        <v>-2.1596586045182109E-2</v>
      </c>
      <c r="AC35" s="231">
        <v>6359083556</v>
      </c>
      <c r="AD35" s="231">
        <v>24493724325</v>
      </c>
      <c r="AE35" s="231">
        <v>10383871438</v>
      </c>
      <c r="AF35" s="231">
        <v>7668246343</v>
      </c>
      <c r="AG35" s="231">
        <v>26272321425</v>
      </c>
      <c r="AH35" s="231">
        <v>11714514527</v>
      </c>
      <c r="AI35" s="231">
        <v>8000426710</v>
      </c>
      <c r="AJ35" s="231">
        <v>32211999248</v>
      </c>
      <c r="AK35" s="231">
        <v>10229507630</v>
      </c>
      <c r="AL35" s="231">
        <v>9909654838</v>
      </c>
      <c r="AM35" s="231">
        <v>34152197819</v>
      </c>
      <c r="AN35" s="231">
        <v>15642357552</v>
      </c>
      <c r="AO35" s="276">
        <f t="shared" si="5"/>
        <v>120894454628</v>
      </c>
      <c r="AP35" s="272">
        <f t="shared" si="6"/>
        <v>197037905411</v>
      </c>
      <c r="AS35" s="581">
        <v>9731565657</v>
      </c>
      <c r="AT35" s="581">
        <v>35594557863</v>
      </c>
      <c r="AU35" s="581">
        <v>13734690580</v>
      </c>
      <c r="AV35" s="581">
        <v>14721250578</v>
      </c>
      <c r="AW35" s="581">
        <v>43045863323</v>
      </c>
      <c r="AX35" s="581">
        <v>12755085614</v>
      </c>
      <c r="AY35" s="581">
        <v>14594361968</v>
      </c>
      <c r="AZ35" s="581">
        <v>25498048944</v>
      </c>
      <c r="BA35" s="581">
        <v>44808938584</v>
      </c>
      <c r="BB35" s="581">
        <v>16567989475</v>
      </c>
      <c r="BC35" s="581">
        <v>16257124410</v>
      </c>
      <c r="BD35" s="581">
        <v>50044985252</v>
      </c>
      <c r="BE35" s="581">
        <f t="shared" si="7"/>
        <v>297354462248</v>
      </c>
      <c r="BF35" s="581">
        <v>22561408307</v>
      </c>
      <c r="BG35" s="581">
        <v>18872251020</v>
      </c>
      <c r="BH35" s="581">
        <v>43578679193</v>
      </c>
      <c r="BI35" s="581">
        <v>18591418887</v>
      </c>
      <c r="BJ35" s="581">
        <v>23559124516</v>
      </c>
      <c r="BK35" s="581">
        <v>47464120748</v>
      </c>
      <c r="BL35" s="581">
        <v>17922989841</v>
      </c>
      <c r="BM35" s="581">
        <v>22316001511</v>
      </c>
      <c r="BN35" s="581">
        <v>57273204421</v>
      </c>
      <c r="BO35" s="709">
        <v>22400392818</v>
      </c>
      <c r="BP35" s="709">
        <v>22858849635</v>
      </c>
      <c r="BQ35" s="709">
        <v>65886849032</v>
      </c>
      <c r="BR35">
        <f t="shared" si="1"/>
        <v>383285289929</v>
      </c>
      <c r="BS35" s="709">
        <v>22865668334</v>
      </c>
      <c r="BT35" s="709">
        <v>21394662983</v>
      </c>
      <c r="BU35" s="709">
        <v>56550094802</v>
      </c>
      <c r="BV35" s="709">
        <v>23612244241</v>
      </c>
      <c r="BW35" s="709">
        <v>24119961107</v>
      </c>
      <c r="BX35" s="709">
        <v>63572999446</v>
      </c>
      <c r="BY35">
        <v>30168875606</v>
      </c>
      <c r="BZ35" s="586">
        <v>24259946707</v>
      </c>
      <c r="CA35">
        <v>84162214894</v>
      </c>
      <c r="CB35">
        <v>35523080103</v>
      </c>
      <c r="CC35">
        <v>29661633550</v>
      </c>
      <c r="CD35">
        <v>101642089593</v>
      </c>
      <c r="CE35" s="586">
        <f t="shared" si="2"/>
        <v>517533471366</v>
      </c>
      <c r="CF35" s="17">
        <f t="shared" si="3"/>
        <v>0.35025654509691262</v>
      </c>
    </row>
    <row r="36" spans="1:84" ht="19" thickBot="1">
      <c r="A36" s="62" t="s">
        <v>304</v>
      </c>
      <c r="B36" s="109">
        <v>525571620145</v>
      </c>
      <c r="C36" s="109">
        <v>680782617311</v>
      </c>
      <c r="D36" s="109">
        <v>519898473530</v>
      </c>
      <c r="E36" s="109">
        <v>349877890958</v>
      </c>
      <c r="F36" s="109">
        <v>584610008720</v>
      </c>
      <c r="G36" s="109">
        <v>555940291672</v>
      </c>
      <c r="H36" s="109">
        <v>565776081560</v>
      </c>
      <c r="I36" s="109">
        <v>767045558860</v>
      </c>
      <c r="J36" s="109">
        <v>581900592949</v>
      </c>
      <c r="K36" s="109">
        <v>609652358302</v>
      </c>
      <c r="L36" s="109">
        <v>821699007635</v>
      </c>
      <c r="M36" s="109">
        <v>692834101394</v>
      </c>
      <c r="N36" s="109">
        <v>508689086005</v>
      </c>
      <c r="O36" s="109">
        <v>735948196113</v>
      </c>
      <c r="P36" s="109">
        <v>648772036938</v>
      </c>
      <c r="Q36" s="109">
        <v>657267225803</v>
      </c>
      <c r="R36" s="109">
        <v>934099910162</v>
      </c>
      <c r="S36" s="109">
        <v>674091096060</v>
      </c>
      <c r="T36" s="109">
        <v>573577612397</v>
      </c>
      <c r="U36" s="109">
        <v>985484353288</v>
      </c>
      <c r="V36" s="111">
        <v>725520137836</v>
      </c>
      <c r="W36" s="111">
        <v>717935500962</v>
      </c>
      <c r="X36" s="111">
        <v>1025715410505</v>
      </c>
      <c r="Y36" s="111">
        <v>864808369743</v>
      </c>
      <c r="Z36" s="66">
        <f t="shared" si="4"/>
        <v>7255588603036</v>
      </c>
      <c r="AA36" s="66">
        <f t="shared" si="8"/>
        <v>9051908935812</v>
      </c>
      <c r="AB36" s="67">
        <f t="shared" si="0"/>
        <v>0.24757747869336955</v>
      </c>
      <c r="AC36" s="232">
        <v>707627299117</v>
      </c>
      <c r="AD36" s="232">
        <v>981883301964</v>
      </c>
      <c r="AE36" s="232">
        <v>813261813136</v>
      </c>
      <c r="AF36" s="232">
        <v>798918158922</v>
      </c>
      <c r="AG36" s="232">
        <v>1108319610309</v>
      </c>
      <c r="AH36" s="232">
        <v>943536157394</v>
      </c>
      <c r="AI36" s="232">
        <v>905516899154</v>
      </c>
      <c r="AJ36" s="232">
        <v>1256475850463</v>
      </c>
      <c r="AK36" s="232">
        <v>957278150508</v>
      </c>
      <c r="AL36" s="232">
        <v>939813333632</v>
      </c>
      <c r="AM36" s="232">
        <v>1314651421961</v>
      </c>
      <c r="AN36" s="232">
        <v>1158077884628</v>
      </c>
      <c r="AO36" s="277">
        <f t="shared" si="5"/>
        <v>9051908935812</v>
      </c>
      <c r="AP36" s="273">
        <f t="shared" si="6"/>
        <v>11885359881188</v>
      </c>
      <c r="AS36" s="580">
        <v>951716159497</v>
      </c>
      <c r="AT36" s="580">
        <v>1264157871514</v>
      </c>
      <c r="AU36" s="580">
        <v>1029007654928</v>
      </c>
      <c r="AV36" s="580">
        <v>932320870919</v>
      </c>
      <c r="AW36" s="580">
        <v>1449489925639</v>
      </c>
      <c r="AX36" s="580">
        <v>1075976969545</v>
      </c>
      <c r="AY36" s="580">
        <v>1102671883307</v>
      </c>
      <c r="AZ36" s="580">
        <v>1343006365580</v>
      </c>
      <c r="BA36" s="580">
        <v>1555438947763</v>
      </c>
      <c r="BB36" s="580">
        <v>1298587168463</v>
      </c>
      <c r="BC36" s="580">
        <v>1173579830374</v>
      </c>
      <c r="BD36" s="580">
        <v>1810811216857</v>
      </c>
      <c r="BE36" s="580">
        <f t="shared" si="7"/>
        <v>14986764864386</v>
      </c>
      <c r="BF36" s="580">
        <v>1195877459586</v>
      </c>
      <c r="BG36" s="580">
        <v>1123008506731</v>
      </c>
      <c r="BH36" s="580">
        <v>1428584829326</v>
      </c>
      <c r="BI36" s="580">
        <v>1262902277762</v>
      </c>
      <c r="BJ36" s="580">
        <v>1311204152607</v>
      </c>
      <c r="BK36" s="580">
        <v>1670497346267</v>
      </c>
      <c r="BL36" s="580">
        <v>1390416255678</v>
      </c>
      <c r="BM36" s="580">
        <v>1388645484269</v>
      </c>
      <c r="BN36" s="580">
        <v>1775662081769</v>
      </c>
      <c r="BO36" s="712">
        <v>1544493282920</v>
      </c>
      <c r="BP36" s="712">
        <v>1435971765117</v>
      </c>
      <c r="BQ36" s="712">
        <v>2188674481716</v>
      </c>
      <c r="BR36">
        <f t="shared" si="1"/>
        <v>17715937923748</v>
      </c>
      <c r="BS36" s="713">
        <v>1423883313619</v>
      </c>
      <c r="BT36" s="713">
        <v>1332920613468</v>
      </c>
      <c r="BU36" s="713">
        <v>1789960284491</v>
      </c>
      <c r="BV36" s="713">
        <v>1474333903119</v>
      </c>
      <c r="BW36" s="713">
        <v>1499246525186</v>
      </c>
      <c r="BX36" s="713">
        <v>2167185235690</v>
      </c>
      <c r="BY36" s="713">
        <v>1717239857086</v>
      </c>
      <c r="BZ36" s="586">
        <v>1653305468249</v>
      </c>
      <c r="CA36">
        <v>2276003790760</v>
      </c>
      <c r="CB36">
        <v>1967831624118</v>
      </c>
      <c r="CC36">
        <v>1880378614226</v>
      </c>
      <c r="CD36">
        <v>2682052362937</v>
      </c>
      <c r="CE36" s="586">
        <f t="shared" si="2"/>
        <v>21864341592949</v>
      </c>
      <c r="CF36" s="17">
        <f t="shared" si="3"/>
        <v>0.23416223781412748</v>
      </c>
    </row>
    <row r="37" spans="1:84" ht="15.5" thickTop="1">
      <c r="CE37" s="586"/>
    </row>
  </sheetData>
  <mergeCells count="1">
    <mergeCell ref="BF1:BQ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7"/>
  <sheetViews>
    <sheetView topLeftCell="C1" zoomScale="94" zoomScaleNormal="94" workbookViewId="0">
      <pane xSplit="1" topLeftCell="V1" activePane="topRight" state="frozen"/>
      <selection activeCell="C1" sqref="C1"/>
      <selection pane="topRight" activeCell="AK7" sqref="AK7"/>
    </sheetView>
  </sheetViews>
  <sheetFormatPr defaultColWidth="8.7265625" defaultRowHeight="14.75"/>
  <cols>
    <col min="1" max="2" width="0" hidden="1" customWidth="1"/>
    <col min="3" max="3" width="32.453125" bestFit="1" customWidth="1"/>
    <col min="4" max="17" width="10" customWidth="1"/>
    <col min="18" max="18" width="12.453125" customWidth="1"/>
    <col min="19" max="24" width="10" customWidth="1"/>
    <col min="25" max="25" width="15.453125" customWidth="1"/>
    <col min="26" max="26" width="15.90625" customWidth="1"/>
    <col min="27" max="27" width="16.453125" customWidth="1"/>
    <col min="29" max="29" width="9.453125" bestFit="1" customWidth="1"/>
    <col min="30" max="30" width="8.36328125" bestFit="1" customWidth="1"/>
  </cols>
  <sheetData>
    <row r="1" spans="1:30" ht="15.5" thickBot="1">
      <c r="C1" s="206" t="s">
        <v>368</v>
      </c>
      <c r="D1">
        <v>17</v>
      </c>
      <c r="E1">
        <v>19</v>
      </c>
      <c r="G1" s="245">
        <v>21</v>
      </c>
      <c r="H1" s="245">
        <v>23</v>
      </c>
      <c r="I1" s="245"/>
      <c r="J1" s="245">
        <v>26</v>
      </c>
      <c r="K1" s="245">
        <v>28</v>
      </c>
      <c r="L1" s="245"/>
      <c r="M1" s="245">
        <v>30</v>
      </c>
      <c r="N1" s="245"/>
      <c r="O1" s="245"/>
      <c r="P1" s="245">
        <v>30</v>
      </c>
      <c r="Q1" s="245"/>
      <c r="R1" s="245"/>
      <c r="S1" s="311"/>
      <c r="T1" s="311"/>
      <c r="U1" s="311"/>
      <c r="V1" s="245"/>
      <c r="W1" s="245"/>
      <c r="X1" s="245"/>
    </row>
    <row r="2" spans="1:30" ht="15.5" thickBot="1">
      <c r="C2" s="206"/>
      <c r="D2" s="790">
        <v>2017</v>
      </c>
      <c r="E2" s="791"/>
      <c r="F2" s="312" t="s">
        <v>369</v>
      </c>
      <c r="G2" s="791">
        <v>2018</v>
      </c>
      <c r="H2" s="791"/>
      <c r="I2" s="312" t="s">
        <v>370</v>
      </c>
      <c r="J2" s="791">
        <v>2019</v>
      </c>
      <c r="K2" s="791"/>
      <c r="L2" s="312" t="s">
        <v>371</v>
      </c>
      <c r="M2" s="791">
        <v>2020</v>
      </c>
      <c r="N2" s="791"/>
      <c r="O2" s="312" t="s">
        <v>372</v>
      </c>
      <c r="P2" s="793">
        <v>2021</v>
      </c>
      <c r="Q2" s="793"/>
      <c r="R2" s="355" t="s">
        <v>373</v>
      </c>
      <c r="S2" s="792">
        <v>2022</v>
      </c>
      <c r="T2" s="792"/>
      <c r="U2" s="356" t="s">
        <v>461</v>
      </c>
      <c r="V2" s="789">
        <v>2023</v>
      </c>
      <c r="W2" s="789"/>
      <c r="X2" s="356" t="s">
        <v>481</v>
      </c>
      <c r="Y2" s="789">
        <v>2024</v>
      </c>
      <c r="Z2" s="789"/>
      <c r="AA2" s="356" t="s">
        <v>760</v>
      </c>
      <c r="AB2" s="789">
        <v>2025</v>
      </c>
      <c r="AC2" s="789"/>
      <c r="AD2" s="356" t="s">
        <v>761</v>
      </c>
    </row>
    <row r="3" spans="1:30" ht="16.25" thickTop="1" thickBot="1">
      <c r="C3" s="207" t="s">
        <v>374</v>
      </c>
      <c r="D3" s="313" t="s">
        <v>375</v>
      </c>
      <c r="E3" s="313" t="s">
        <v>376</v>
      </c>
      <c r="F3" s="313" t="s">
        <v>377</v>
      </c>
      <c r="G3" s="313" t="s">
        <v>375</v>
      </c>
      <c r="H3" s="313" t="s">
        <v>376</v>
      </c>
      <c r="I3" s="313" t="s">
        <v>377</v>
      </c>
      <c r="J3" s="313" t="s">
        <v>375</v>
      </c>
      <c r="K3" s="313" t="s">
        <v>376</v>
      </c>
      <c r="L3" s="313" t="s">
        <v>377</v>
      </c>
      <c r="M3" s="313" t="s">
        <v>375</v>
      </c>
      <c r="N3" s="313" t="s">
        <v>376</v>
      </c>
      <c r="O3" s="313" t="s">
        <v>377</v>
      </c>
      <c r="P3" s="357" t="s">
        <v>375</v>
      </c>
      <c r="Q3" s="357" t="s">
        <v>376</v>
      </c>
      <c r="R3" s="357" t="s">
        <v>377</v>
      </c>
      <c r="S3" s="358" t="s">
        <v>375</v>
      </c>
      <c r="T3" s="358" t="s">
        <v>376</v>
      </c>
      <c r="U3" s="358" t="s">
        <v>377</v>
      </c>
      <c r="V3" s="358" t="s">
        <v>375</v>
      </c>
      <c r="W3" s="359" t="s">
        <v>376</v>
      </c>
      <c r="X3" s="358" t="s">
        <v>377</v>
      </c>
      <c r="Y3" s="358" t="s">
        <v>375</v>
      </c>
      <c r="Z3" s="359" t="s">
        <v>376</v>
      </c>
      <c r="AA3" s="358" t="s">
        <v>377</v>
      </c>
      <c r="AB3" s="358" t="s">
        <v>375</v>
      </c>
      <c r="AC3" s="359" t="s">
        <v>376</v>
      </c>
      <c r="AD3" s="358" t="s">
        <v>377</v>
      </c>
    </row>
    <row r="4" spans="1:30">
      <c r="C4" s="209" t="s">
        <v>19</v>
      </c>
      <c r="D4" s="210">
        <f t="shared" ref="D4:W4" si="0">D5+D11+D16+D20+D24+D25</f>
        <v>700.35504792839663</v>
      </c>
      <c r="E4" s="210">
        <f t="shared" si="0"/>
        <v>669.85513603381116</v>
      </c>
      <c r="F4" s="210">
        <f t="shared" si="0"/>
        <v>1370.210183962208</v>
      </c>
      <c r="G4" s="210">
        <f t="shared" si="0"/>
        <v>758.07299984081521</v>
      </c>
      <c r="H4" s="210">
        <f t="shared" si="0"/>
        <v>693.58326873192368</v>
      </c>
      <c r="I4" s="210">
        <f t="shared" si="0"/>
        <v>1451.656268572739</v>
      </c>
      <c r="J4" s="210">
        <f t="shared" si="0"/>
        <v>785.29495758731798</v>
      </c>
      <c r="K4" s="210">
        <f t="shared" si="0"/>
        <v>724.14596826971933</v>
      </c>
      <c r="L4" s="210">
        <f t="shared" si="0"/>
        <v>1509.4409258570374</v>
      </c>
      <c r="M4" s="210">
        <f t="shared" si="0"/>
        <v>770.66335749693042</v>
      </c>
      <c r="N4" s="210">
        <f t="shared" si="0"/>
        <v>742.55864922633646</v>
      </c>
      <c r="O4" s="210">
        <f t="shared" si="0"/>
        <v>1513.222006723267</v>
      </c>
      <c r="P4" s="210">
        <f t="shared" si="0"/>
        <v>824.89494678358949</v>
      </c>
      <c r="Q4" s="210">
        <f t="shared" si="0"/>
        <v>790.02135424416849</v>
      </c>
      <c r="R4" s="210">
        <f t="shared" si="0"/>
        <v>1614.916301027758</v>
      </c>
      <c r="S4" s="210">
        <f t="shared" si="0"/>
        <v>815.05606545906585</v>
      </c>
      <c r="T4" s="210">
        <f t="shared" si="0"/>
        <v>785.77778609402446</v>
      </c>
      <c r="U4" s="720">
        <f t="shared" si="0"/>
        <v>1600.8338515530904</v>
      </c>
      <c r="V4" s="723">
        <f t="shared" si="0"/>
        <v>788.56344247515528</v>
      </c>
      <c r="W4" s="210">
        <f t="shared" si="0"/>
        <v>811.483716548281</v>
      </c>
      <c r="X4" s="720">
        <f>X5+X11+X16+X20+X24+X25</f>
        <v>1600.0471590234365</v>
      </c>
      <c r="Y4" s="210">
        <f>Y5+Y11+Y16+Y20+Y24+Y25</f>
        <v>855.80057388533578</v>
      </c>
      <c r="Z4" s="210">
        <f t="shared" ref="Z4" si="1">Z5+Z11+Z16+Z20+Z24+Z25</f>
        <v>830.75268350577142</v>
      </c>
      <c r="AA4" s="720">
        <f>AA5+AA11+AA16+AA20+AA24+AA25</f>
        <v>1686.5532573911071</v>
      </c>
      <c r="AB4" s="210">
        <f t="shared" ref="AB4:AC4" si="2">AB5+AB11+AB16+AB20+AB24+AB25</f>
        <v>847.80614611146234</v>
      </c>
      <c r="AC4" s="210">
        <f t="shared" si="2"/>
        <v>0</v>
      </c>
      <c r="AD4" s="720">
        <f>AD5+AD11+AD16+AD20+AD24+AD25</f>
        <v>847.80614611146234</v>
      </c>
    </row>
    <row r="5" spans="1:30">
      <c r="A5" s="211"/>
      <c r="B5" s="211"/>
      <c r="C5" s="212" t="s">
        <v>378</v>
      </c>
      <c r="D5" s="210">
        <f>SUM(D6:D10)</f>
        <v>118.63876500251604</v>
      </c>
      <c r="E5" s="210">
        <f>SUM(E6:E10)</f>
        <v>88.037246247612686</v>
      </c>
      <c r="F5" s="210">
        <f>SUM(D5:E5)</f>
        <v>206.67601125012874</v>
      </c>
      <c r="G5" s="210">
        <f>SUM(G6:G10)</f>
        <v>130.89807779203602</v>
      </c>
      <c r="H5" s="210">
        <f>SUM(H6:H10)</f>
        <v>88.297441463946754</v>
      </c>
      <c r="I5" s="210">
        <f>SUM(G5:H5)</f>
        <v>219.19551925598279</v>
      </c>
      <c r="J5" s="210">
        <f>SUM(J6:J10)</f>
        <v>131.51221481944904</v>
      </c>
      <c r="K5" s="210">
        <f>SUM(K6:K10)</f>
        <v>96.945068539081461</v>
      </c>
      <c r="L5" s="210">
        <f>SUM(J5:K5)</f>
        <v>228.4572833585305</v>
      </c>
      <c r="M5" s="210">
        <f>SUM(M6:M10)</f>
        <v>134.94061424956047</v>
      </c>
      <c r="N5" s="210">
        <f>SUM(N6:N10)</f>
        <v>96.375004412797779</v>
      </c>
      <c r="O5" s="210">
        <f>SUM(M5:N5)</f>
        <v>231.31561866235825</v>
      </c>
      <c r="P5" s="210">
        <f>SUM(P6:P10)</f>
        <v>147.75835579697988</v>
      </c>
      <c r="Q5" s="210">
        <f>SUM(Q6:Q10)</f>
        <v>102.53127565831799</v>
      </c>
      <c r="R5" s="210">
        <f>SUM(P5:Q5)</f>
        <v>250.28963145529787</v>
      </c>
      <c r="S5" s="210">
        <f>SUM(S6:S10)</f>
        <v>142.09340776141335</v>
      </c>
      <c r="T5" s="210">
        <f>SUM(T6:T10)</f>
        <v>109.51431982234013</v>
      </c>
      <c r="U5" s="720">
        <f t="shared" ref="U5:U25" si="3">SUM(S5:T5)</f>
        <v>251.60772758375347</v>
      </c>
      <c r="V5" s="723">
        <f>SUM(V6:V10)</f>
        <v>151.67185640231662</v>
      </c>
      <c r="W5" s="210">
        <f>SUM(W6:W10)</f>
        <v>110.05500279518404</v>
      </c>
      <c r="X5" s="720">
        <f t="shared" ref="X5:X25" si="4">SUM(V5:W5)</f>
        <v>261.72685919750063</v>
      </c>
      <c r="Y5" s="210">
        <f>SUM(Y6:Y10)</f>
        <v>186.44014958368541</v>
      </c>
      <c r="Z5" s="210">
        <f>SUM(Z6:Z10)</f>
        <v>111.97430652630786</v>
      </c>
      <c r="AA5" s="720">
        <f t="shared" ref="AA5:AA25" si="5">SUM(Y5:Z5)</f>
        <v>298.41445610999324</v>
      </c>
      <c r="AB5" s="210">
        <f>SUM(AB6:AB10)</f>
        <v>181.51816748842745</v>
      </c>
      <c r="AC5" s="210">
        <f>SUM(AC6:AC10)</f>
        <v>0</v>
      </c>
      <c r="AD5" s="720">
        <f t="shared" ref="AD5:AD25" si="6">SUM(AB5:AC5)</f>
        <v>181.51816748842745</v>
      </c>
    </row>
    <row r="6" spans="1:30">
      <c r="A6" s="211" t="s">
        <v>379</v>
      </c>
      <c r="B6" s="211" t="s">
        <v>380</v>
      </c>
      <c r="C6" s="212" t="s">
        <v>381</v>
      </c>
      <c r="D6" s="213">
        <v>1.0644288441711234</v>
      </c>
      <c r="E6" s="213">
        <v>2.1885320093604039</v>
      </c>
      <c r="F6" s="213">
        <f t="shared" ref="F6:F27" si="7">SUM(D6:E6)</f>
        <v>3.2529608535315271</v>
      </c>
      <c r="G6" s="213">
        <v>1.7714672146881285</v>
      </c>
      <c r="H6" s="213">
        <v>2.2403482772461771</v>
      </c>
      <c r="I6" s="213">
        <f t="shared" ref="I6:I27" si="8">SUM(G6:H6)</f>
        <v>4.0118154919343052</v>
      </c>
      <c r="J6" s="213">
        <v>2.1083544375581726</v>
      </c>
      <c r="K6" s="213">
        <v>2.5617515062908272</v>
      </c>
      <c r="L6" s="213">
        <f t="shared" ref="L6:L27" si="9">SUM(J6:K6)</f>
        <v>4.6701059438490002</v>
      </c>
      <c r="M6" s="213">
        <v>1.2318539033756262</v>
      </c>
      <c r="N6" s="213">
        <v>2.582246289297573</v>
      </c>
      <c r="O6" s="213">
        <f t="shared" ref="O6:O27" si="10">SUM(M6:N6)</f>
        <v>3.814100192673199</v>
      </c>
      <c r="P6" s="213">
        <v>1.3396417804145124</v>
      </c>
      <c r="Q6" s="213">
        <v>2.7342976784120081</v>
      </c>
      <c r="R6" s="213">
        <f t="shared" ref="R6:R27" si="11">SUM(P6:Q6)</f>
        <v>4.073939458826521</v>
      </c>
      <c r="S6" s="213">
        <v>13.426578553612128</v>
      </c>
      <c r="T6" s="213">
        <v>43.967553551222728</v>
      </c>
      <c r="U6" s="721">
        <f t="shared" si="3"/>
        <v>57.394132104834853</v>
      </c>
      <c r="V6" s="724">
        <v>13.808305819702541</v>
      </c>
      <c r="W6" s="213">
        <v>41.585463121668553</v>
      </c>
      <c r="X6" s="721">
        <f t="shared" si="4"/>
        <v>55.393768941371093</v>
      </c>
      <c r="Y6" s="213">
        <v>14.153331185050204</v>
      </c>
      <c r="Z6" s="213">
        <v>41.850631505410028</v>
      </c>
      <c r="AA6" s="721">
        <f>SUM(Y6:Z6)</f>
        <v>56.003962690460234</v>
      </c>
      <c r="AB6" s="213">
        <v>16.402667940893249</v>
      </c>
      <c r="AC6" s="213"/>
      <c r="AD6" s="721">
        <f t="shared" si="6"/>
        <v>16.402667940893249</v>
      </c>
    </row>
    <row r="7" spans="1:30">
      <c r="A7" s="211" t="s">
        <v>382</v>
      </c>
      <c r="B7" s="211" t="s">
        <v>383</v>
      </c>
      <c r="C7" s="212" t="s">
        <v>384</v>
      </c>
      <c r="D7" s="213">
        <v>74.515435624833017</v>
      </c>
      <c r="E7" s="213">
        <v>23.56490257926783</v>
      </c>
      <c r="F7" s="213">
        <f t="shared" si="7"/>
        <v>98.080338204100855</v>
      </c>
      <c r="G7" s="213">
        <v>91.034577682822828</v>
      </c>
      <c r="H7" s="213">
        <v>25.048134453405215</v>
      </c>
      <c r="I7" s="213">
        <f t="shared" si="8"/>
        <v>116.08271213622804</v>
      </c>
      <c r="J7" s="213">
        <v>90.602388563970507</v>
      </c>
      <c r="K7" s="213">
        <v>24.663351091324888</v>
      </c>
      <c r="L7" s="213">
        <f t="shared" si="9"/>
        <v>115.26573965529539</v>
      </c>
      <c r="M7" s="213">
        <v>96.871193424187098</v>
      </c>
      <c r="N7" s="213">
        <v>25.896339037880423</v>
      </c>
      <c r="O7" s="213">
        <f t="shared" si="10"/>
        <v>122.76753246206752</v>
      </c>
      <c r="P7" s="213">
        <v>103.61446016615376</v>
      </c>
      <c r="Q7" s="213">
        <v>28.470798047459201</v>
      </c>
      <c r="R7" s="213">
        <f>SUM(P7:Q7)</f>
        <v>132.08525821361297</v>
      </c>
      <c r="S7" s="213">
        <v>95.477878021792904</v>
      </c>
      <c r="T7" s="213">
        <v>29.996014357734516</v>
      </c>
      <c r="U7" s="721">
        <f t="shared" si="3"/>
        <v>125.47389237952743</v>
      </c>
      <c r="V7" s="724">
        <v>106.96343105038447</v>
      </c>
      <c r="W7" s="213">
        <v>32.184650069268962</v>
      </c>
      <c r="X7" s="721">
        <f t="shared" si="4"/>
        <v>139.14808111965343</v>
      </c>
      <c r="Y7" s="213">
        <v>139.00932651597188</v>
      </c>
      <c r="Z7" s="213">
        <v>32.591876381579553</v>
      </c>
      <c r="AA7" s="721">
        <f t="shared" si="5"/>
        <v>171.60120289755145</v>
      </c>
      <c r="AB7" s="213">
        <v>131.69219868063269</v>
      </c>
      <c r="AC7" s="213"/>
      <c r="AD7" s="721">
        <f t="shared" si="6"/>
        <v>131.69219868063269</v>
      </c>
    </row>
    <row r="8" spans="1:30">
      <c r="A8" s="211" t="s">
        <v>385</v>
      </c>
      <c r="B8" s="211" t="s">
        <v>386</v>
      </c>
      <c r="C8" s="212" t="s">
        <v>387</v>
      </c>
      <c r="D8" s="213">
        <v>30.59434542127925</v>
      </c>
      <c r="E8" s="213">
        <v>29.286311521550516</v>
      </c>
      <c r="F8" s="213">
        <f t="shared" si="7"/>
        <v>59.880656942829766</v>
      </c>
      <c r="G8" s="213">
        <v>26.674434814819307</v>
      </c>
      <c r="H8" s="213">
        <v>25.759042214043184</v>
      </c>
      <c r="I8" s="213">
        <f t="shared" si="8"/>
        <v>52.433477028862491</v>
      </c>
      <c r="J8" s="213">
        <v>27.296891515090284</v>
      </c>
      <c r="K8" s="213">
        <v>33.284472592602263</v>
      </c>
      <c r="L8" s="213">
        <f t="shared" si="9"/>
        <v>60.581364107692551</v>
      </c>
      <c r="M8" s="213">
        <v>24.045654778911565</v>
      </c>
      <c r="N8" s="213">
        <v>29.595913317536144</v>
      </c>
      <c r="O8" s="213">
        <f t="shared" si="10"/>
        <v>53.641568096447713</v>
      </c>
      <c r="P8" s="213">
        <v>29.444442514020931</v>
      </c>
      <c r="Q8" s="213">
        <v>31.220597957360944</v>
      </c>
      <c r="R8" s="213">
        <f t="shared" si="11"/>
        <v>60.665040471381872</v>
      </c>
      <c r="S8" s="213">
        <v>1.1966466179293618</v>
      </c>
      <c r="T8" s="213">
        <v>2.9348903089610392</v>
      </c>
      <c r="U8" s="721">
        <f t="shared" si="3"/>
        <v>4.1315369268904014</v>
      </c>
      <c r="V8" s="724">
        <v>1.0499542952680865</v>
      </c>
      <c r="W8" s="213">
        <v>3.9088275825263792</v>
      </c>
      <c r="X8" s="721">
        <f t="shared" si="4"/>
        <v>4.9587818777944657</v>
      </c>
      <c r="Y8" s="213">
        <v>1.0036555359285286</v>
      </c>
      <c r="Z8" s="213">
        <v>3.8838844392180403</v>
      </c>
      <c r="AA8" s="721">
        <f t="shared" si="5"/>
        <v>4.8875399751465691</v>
      </c>
      <c r="AB8" s="213">
        <v>0.9359151788392116</v>
      </c>
      <c r="AC8" s="213"/>
      <c r="AD8" s="721">
        <f t="shared" si="6"/>
        <v>0.9359151788392116</v>
      </c>
    </row>
    <row r="9" spans="1:30">
      <c r="A9" s="211" t="s">
        <v>388</v>
      </c>
      <c r="B9" s="211" t="s">
        <v>389</v>
      </c>
      <c r="C9" s="212" t="s">
        <v>390</v>
      </c>
      <c r="D9" s="213">
        <v>12.216625559320869</v>
      </c>
      <c r="E9" s="213">
        <v>32.954609315158415</v>
      </c>
      <c r="F9" s="213">
        <f t="shared" si="7"/>
        <v>45.171234874479282</v>
      </c>
      <c r="G9" s="213">
        <v>10.910747289869622</v>
      </c>
      <c r="H9" s="213">
        <v>35.228150034274215</v>
      </c>
      <c r="I9" s="213">
        <f t="shared" si="8"/>
        <v>46.138897324143841</v>
      </c>
      <c r="J9" s="213">
        <v>11.210036166395508</v>
      </c>
      <c r="K9" s="213">
        <v>36.400636669430945</v>
      </c>
      <c r="L9" s="213">
        <f t="shared" si="9"/>
        <v>47.610672835826449</v>
      </c>
      <c r="M9" s="213">
        <v>12.595976006487192</v>
      </c>
      <c r="N9" s="213">
        <v>38.254810851461173</v>
      </c>
      <c r="O9" s="213">
        <f t="shared" si="10"/>
        <v>50.850786857948364</v>
      </c>
      <c r="P9" s="213">
        <v>13.135291231731912</v>
      </c>
      <c r="Q9" s="213">
        <v>40.066139721764941</v>
      </c>
      <c r="R9" s="213">
        <f t="shared" si="11"/>
        <v>53.201430953496853</v>
      </c>
      <c r="S9" s="213">
        <v>30.849646150039817</v>
      </c>
      <c r="T9" s="213">
        <v>31.342220481515369</v>
      </c>
      <c r="U9" s="721">
        <f t="shared" si="3"/>
        <v>62.191866631555186</v>
      </c>
      <c r="V9" s="724">
        <v>29.323393212693208</v>
      </c>
      <c r="W9" s="213">
        <v>32.202359239287425</v>
      </c>
      <c r="X9" s="721">
        <f t="shared" si="4"/>
        <v>61.525752451980637</v>
      </c>
      <c r="Y9" s="213">
        <v>31.814465969499718</v>
      </c>
      <c r="Z9" s="213">
        <v>33.534840869780233</v>
      </c>
      <c r="AA9" s="721">
        <f t="shared" si="5"/>
        <v>65.349306839279947</v>
      </c>
      <c r="AB9" s="213">
        <v>32.082491068704364</v>
      </c>
      <c r="AC9" s="213"/>
      <c r="AD9" s="721">
        <f t="shared" si="6"/>
        <v>32.082491068704364</v>
      </c>
    </row>
    <row r="10" spans="1:30">
      <c r="A10" s="211" t="s">
        <v>391</v>
      </c>
      <c r="B10" s="211" t="s">
        <v>392</v>
      </c>
      <c r="C10" s="212" t="s">
        <v>392</v>
      </c>
      <c r="D10" s="213">
        <v>0.24792955291177954</v>
      </c>
      <c r="E10" s="213">
        <v>4.2890822275509416E-2</v>
      </c>
      <c r="F10" s="213">
        <f t="shared" si="7"/>
        <v>0.29082037518728898</v>
      </c>
      <c r="G10" s="213">
        <v>0.50685078983613863</v>
      </c>
      <c r="H10" s="213">
        <v>2.1766484977965492E-2</v>
      </c>
      <c r="I10" s="213">
        <f t="shared" si="8"/>
        <v>0.52861727481410414</v>
      </c>
      <c r="J10" s="213">
        <v>0.29454413643459376</v>
      </c>
      <c r="K10" s="213">
        <v>3.4856679432530534E-2</v>
      </c>
      <c r="L10" s="213">
        <f t="shared" si="9"/>
        <v>0.32940081586712427</v>
      </c>
      <c r="M10" s="213">
        <v>0.19593613659898637</v>
      </c>
      <c r="N10" s="213">
        <v>4.5694916622472354E-2</v>
      </c>
      <c r="O10" s="213">
        <f t="shared" si="10"/>
        <v>0.24163105322145872</v>
      </c>
      <c r="P10" s="213">
        <v>0.22452010465877575</v>
      </c>
      <c r="Q10" s="213">
        <v>3.9442253320906347E-2</v>
      </c>
      <c r="R10" s="213">
        <f t="shared" si="11"/>
        <v>0.26396235797968209</v>
      </c>
      <c r="S10" s="213">
        <v>1.1426584180391284</v>
      </c>
      <c r="T10" s="213">
        <v>1.2736411229064728</v>
      </c>
      <c r="U10" s="721">
        <f t="shared" si="3"/>
        <v>2.4162995409456012</v>
      </c>
      <c r="V10" s="724">
        <v>0.52677202426832814</v>
      </c>
      <c r="W10" s="213">
        <v>0.17370278243271911</v>
      </c>
      <c r="X10" s="721">
        <f t="shared" si="4"/>
        <v>0.70047480670104723</v>
      </c>
      <c r="Y10" s="213">
        <v>0.45937037723509938</v>
      </c>
      <c r="Z10" s="213">
        <v>0.11307333032001465</v>
      </c>
      <c r="AA10" s="721">
        <f t="shared" si="5"/>
        <v>0.57244370755511409</v>
      </c>
      <c r="AB10" s="213">
        <v>0.40489461935792126</v>
      </c>
      <c r="AC10" s="213"/>
      <c r="AD10" s="721">
        <f t="shared" si="6"/>
        <v>0.40489461935792126</v>
      </c>
    </row>
    <row r="11" spans="1:30">
      <c r="A11" s="211"/>
      <c r="B11" s="211"/>
      <c r="C11" s="212" t="s">
        <v>393</v>
      </c>
      <c r="D11" s="210">
        <f>SUM(D12:D15)</f>
        <v>222.86561837464131</v>
      </c>
      <c r="E11" s="210">
        <f>SUM(E12:E15)</f>
        <v>245.2807182343391</v>
      </c>
      <c r="F11" s="210">
        <f t="shared" si="7"/>
        <v>468.14633660898039</v>
      </c>
      <c r="G11" s="210">
        <f>SUM(G12:G15)</f>
        <v>246.39893173407029</v>
      </c>
      <c r="H11" s="210">
        <f>SUM(H12:H15)</f>
        <v>255.80780020885052</v>
      </c>
      <c r="I11" s="210">
        <f t="shared" si="8"/>
        <v>502.20673194292078</v>
      </c>
      <c r="J11" s="210">
        <f>SUM(J12:J15)</f>
        <v>258.54603916218332</v>
      </c>
      <c r="K11" s="210">
        <f>SUM(K12:K15)</f>
        <v>270.6594622988805</v>
      </c>
      <c r="L11" s="210">
        <f t="shared" si="9"/>
        <v>529.20550146106382</v>
      </c>
      <c r="M11" s="210">
        <f>SUM(M12:M15)</f>
        <v>252.73808736661977</v>
      </c>
      <c r="N11" s="210">
        <f>SUM(N12:N15)</f>
        <v>270.62062692698095</v>
      </c>
      <c r="O11" s="210">
        <f t="shared" si="10"/>
        <v>523.35871429360077</v>
      </c>
      <c r="P11" s="210">
        <f>SUM(P12:P15)</f>
        <v>268.06395064184738</v>
      </c>
      <c r="Q11" s="210">
        <f>SUM(Q12:Q15)</f>
        <v>284.66673375588647</v>
      </c>
      <c r="R11" s="210">
        <f t="shared" si="11"/>
        <v>552.73068439773385</v>
      </c>
      <c r="S11" s="210">
        <f>SUM(S12:S15)</f>
        <v>279.95864848879694</v>
      </c>
      <c r="T11" s="210">
        <f>SUM(T12:T15)</f>
        <v>279.88345163493852</v>
      </c>
      <c r="U11" s="720">
        <f t="shared" si="3"/>
        <v>559.84210012373546</v>
      </c>
      <c r="V11" s="723">
        <f>SUM(V12:V15)</f>
        <v>266.32709603166393</v>
      </c>
      <c r="W11" s="210">
        <f>SUM(W12:W15)</f>
        <v>271.7818674988622</v>
      </c>
      <c r="X11" s="720">
        <f t="shared" si="4"/>
        <v>538.10896353052613</v>
      </c>
      <c r="Y11" s="210">
        <f>SUM(Y12:Y15)</f>
        <v>260.84875533340437</v>
      </c>
      <c r="Z11" s="210">
        <f>SUM(Z12:Z15)</f>
        <v>280.20584371653769</v>
      </c>
      <c r="AA11" s="720">
        <f t="shared" si="5"/>
        <v>541.054599049942</v>
      </c>
      <c r="AB11" s="210">
        <f>SUM(AB12:AB15)</f>
        <v>260.84913602599784</v>
      </c>
      <c r="AC11" s="210">
        <f>SUM(AC12:AC15)</f>
        <v>0</v>
      </c>
      <c r="AD11" s="720">
        <f t="shared" si="6"/>
        <v>260.84913602599784</v>
      </c>
    </row>
    <row r="12" spans="1:30">
      <c r="A12" s="211" t="s">
        <v>394</v>
      </c>
      <c r="B12" s="211" t="s">
        <v>395</v>
      </c>
      <c r="C12" s="212" t="s">
        <v>396</v>
      </c>
      <c r="D12" s="213">
        <v>75.96363179792489</v>
      </c>
      <c r="E12" s="213">
        <v>94.08362306039966</v>
      </c>
      <c r="F12" s="213">
        <f t="shared" si="7"/>
        <v>170.04725485832455</v>
      </c>
      <c r="G12" s="213">
        <v>88.323267505053835</v>
      </c>
      <c r="H12" s="213">
        <v>95.766556262821837</v>
      </c>
      <c r="I12" s="213">
        <f t="shared" si="8"/>
        <v>184.08982376787566</v>
      </c>
      <c r="J12" s="213">
        <v>94.235289681807032</v>
      </c>
      <c r="K12" s="213">
        <v>101.37860415031032</v>
      </c>
      <c r="L12" s="213">
        <f t="shared" si="9"/>
        <v>195.61389383211736</v>
      </c>
      <c r="M12" s="213">
        <v>85.903673028852694</v>
      </c>
      <c r="N12" s="213">
        <v>86.622946093575919</v>
      </c>
      <c r="O12" s="213">
        <f t="shared" si="10"/>
        <v>172.5266191224286</v>
      </c>
      <c r="P12" s="213">
        <v>93.156319225331657</v>
      </c>
      <c r="Q12" s="213">
        <v>95.398375956357611</v>
      </c>
      <c r="R12" s="213">
        <f t="shared" si="11"/>
        <v>188.55469518168928</v>
      </c>
      <c r="S12" s="213">
        <v>97.680589174403082</v>
      </c>
      <c r="T12" s="213">
        <v>84.790516031915914</v>
      </c>
      <c r="U12" s="721">
        <f t="shared" si="3"/>
        <v>182.47110520631901</v>
      </c>
      <c r="V12" s="724">
        <v>91.306424397552277</v>
      </c>
      <c r="W12" s="213">
        <v>82.524889103599392</v>
      </c>
      <c r="X12" s="721">
        <f t="shared" si="4"/>
        <v>173.83131350115167</v>
      </c>
      <c r="Y12" s="213">
        <v>92.60733414433966</v>
      </c>
      <c r="Z12" s="213">
        <v>75.360196989575812</v>
      </c>
      <c r="AA12" s="721">
        <f t="shared" si="5"/>
        <v>167.96753113391549</v>
      </c>
      <c r="AB12" s="213">
        <v>95.612694460175334</v>
      </c>
      <c r="AC12" s="213"/>
      <c r="AD12" s="721">
        <f t="shared" si="6"/>
        <v>95.612694460175334</v>
      </c>
    </row>
    <row r="13" spans="1:30">
      <c r="A13" s="211" t="s">
        <v>397</v>
      </c>
      <c r="B13" s="211" t="s">
        <v>398</v>
      </c>
      <c r="C13" s="212" t="s">
        <v>399</v>
      </c>
      <c r="D13" s="213">
        <v>80.299984724812262</v>
      </c>
      <c r="E13" s="213">
        <v>71.078462962056363</v>
      </c>
      <c r="F13" s="213">
        <f t="shared" si="7"/>
        <v>151.37844768686864</v>
      </c>
      <c r="G13" s="213">
        <v>92.819193832719108</v>
      </c>
      <c r="H13" s="213">
        <v>73.677577623592853</v>
      </c>
      <c r="I13" s="213">
        <f t="shared" si="8"/>
        <v>166.49677145631196</v>
      </c>
      <c r="J13" s="213">
        <v>94.597352798021291</v>
      </c>
      <c r="K13" s="213">
        <v>80.436976466585634</v>
      </c>
      <c r="L13" s="213">
        <f t="shared" si="9"/>
        <v>175.03432926460692</v>
      </c>
      <c r="M13" s="213">
        <v>89.090636042789953</v>
      </c>
      <c r="N13" s="213">
        <v>89.876305576168093</v>
      </c>
      <c r="O13" s="213">
        <f t="shared" si="10"/>
        <v>178.96694161895806</v>
      </c>
      <c r="P13" s="213">
        <v>93.627671686330686</v>
      </c>
      <c r="Q13" s="213">
        <v>92.592054637123368</v>
      </c>
      <c r="R13" s="213">
        <f t="shared" si="11"/>
        <v>186.21972632345404</v>
      </c>
      <c r="S13" s="213">
        <v>97.412137197090829</v>
      </c>
      <c r="T13" s="213">
        <v>95.182144680458805</v>
      </c>
      <c r="U13" s="721">
        <f t="shared" si="3"/>
        <v>192.59428187754963</v>
      </c>
      <c r="V13" s="724">
        <v>93.663149165092875</v>
      </c>
      <c r="W13" s="213">
        <v>90.46164127140932</v>
      </c>
      <c r="X13" s="721">
        <f t="shared" si="4"/>
        <v>184.1247904365022</v>
      </c>
      <c r="Y13" s="213">
        <v>97.219254188728655</v>
      </c>
      <c r="Z13" s="213">
        <v>99.900426155596406</v>
      </c>
      <c r="AA13" s="721">
        <f t="shared" si="5"/>
        <v>197.11968034432505</v>
      </c>
      <c r="AB13" s="213">
        <v>92.080858432572299</v>
      </c>
      <c r="AC13" s="213"/>
      <c r="AD13" s="721">
        <f t="shared" si="6"/>
        <v>92.080858432572299</v>
      </c>
    </row>
    <row r="14" spans="1:30">
      <c r="A14" s="211" t="s">
        <v>400</v>
      </c>
      <c r="B14" s="211" t="s">
        <v>401</v>
      </c>
      <c r="C14" s="212" t="s">
        <v>402</v>
      </c>
      <c r="D14" s="213">
        <v>54.195042695350267</v>
      </c>
      <c r="E14" s="213">
        <v>71.209794166125988</v>
      </c>
      <c r="F14" s="213">
        <f t="shared" si="7"/>
        <v>125.40483686147626</v>
      </c>
      <c r="G14" s="213">
        <v>58.543941008657299</v>
      </c>
      <c r="H14" s="213">
        <v>77.116497398673303</v>
      </c>
      <c r="I14" s="213">
        <f t="shared" si="8"/>
        <v>135.66043840733062</v>
      </c>
      <c r="J14" s="213">
        <v>62.958029042337238</v>
      </c>
      <c r="K14" s="213">
        <v>79.276676909153466</v>
      </c>
      <c r="L14" s="213">
        <f t="shared" si="9"/>
        <v>142.2347059514907</v>
      </c>
      <c r="M14" s="213">
        <v>69.628840640715197</v>
      </c>
      <c r="N14" s="213">
        <v>84.370991938541891</v>
      </c>
      <c r="O14" s="213">
        <f t="shared" si="10"/>
        <v>153.99983257925709</v>
      </c>
      <c r="P14" s="213">
        <v>72.366425543574209</v>
      </c>
      <c r="Q14" s="213">
        <v>86.506984146956739</v>
      </c>
      <c r="R14" s="213">
        <f t="shared" si="11"/>
        <v>158.87340969053093</v>
      </c>
      <c r="S14" s="213">
        <v>76.767052448492606</v>
      </c>
      <c r="T14" s="213">
        <v>88.733431796845537</v>
      </c>
      <c r="U14" s="721">
        <f t="shared" si="3"/>
        <v>165.50048424533816</v>
      </c>
      <c r="V14" s="724">
        <v>73.257250774651979</v>
      </c>
      <c r="W14" s="213">
        <v>88.661432991204293</v>
      </c>
      <c r="X14" s="721">
        <f t="shared" si="4"/>
        <v>161.91868376585626</v>
      </c>
      <c r="Y14" s="213">
        <v>62.347473080245599</v>
      </c>
      <c r="Z14" s="213">
        <v>94.269208494418834</v>
      </c>
      <c r="AA14" s="721">
        <f t="shared" si="5"/>
        <v>156.61668157466443</v>
      </c>
      <c r="AB14" s="213">
        <v>65.335834289372727</v>
      </c>
      <c r="AC14" s="213"/>
      <c r="AD14" s="721">
        <f t="shared" si="6"/>
        <v>65.335834289372727</v>
      </c>
    </row>
    <row r="15" spans="1:30">
      <c r="A15" s="211" t="s">
        <v>403</v>
      </c>
      <c r="B15" s="211" t="s">
        <v>404</v>
      </c>
      <c r="C15" s="212" t="s">
        <v>405</v>
      </c>
      <c r="D15" s="213">
        <v>12.406959156553924</v>
      </c>
      <c r="E15" s="213">
        <v>8.9088380457570864</v>
      </c>
      <c r="F15" s="213">
        <f t="shared" si="7"/>
        <v>21.31579720231101</v>
      </c>
      <c r="G15" s="213">
        <v>6.7125293876400418</v>
      </c>
      <c r="H15" s="213">
        <v>9.2471689237625192</v>
      </c>
      <c r="I15" s="213">
        <f t="shared" si="8"/>
        <v>15.959698311402562</v>
      </c>
      <c r="J15" s="213">
        <v>6.7553676400177283</v>
      </c>
      <c r="K15" s="213">
        <v>9.5672047728310705</v>
      </c>
      <c r="L15" s="213">
        <f t="shared" si="9"/>
        <v>16.3225724128488</v>
      </c>
      <c r="M15" s="213">
        <v>8.1149376542619134</v>
      </c>
      <c r="N15" s="213">
        <v>9.750383318695004</v>
      </c>
      <c r="O15" s="213">
        <f t="shared" si="10"/>
        <v>17.865320972956916</v>
      </c>
      <c r="P15" s="213">
        <v>8.9135341866108302</v>
      </c>
      <c r="Q15" s="213">
        <v>10.169319015448695</v>
      </c>
      <c r="R15" s="213">
        <f t="shared" si="11"/>
        <v>19.082853202059525</v>
      </c>
      <c r="S15" s="213">
        <v>8.0988696688104138</v>
      </c>
      <c r="T15" s="213">
        <v>11.17735912571829</v>
      </c>
      <c r="U15" s="721">
        <f t="shared" si="3"/>
        <v>19.276228794528706</v>
      </c>
      <c r="V15" s="724">
        <v>8.1002716943667501</v>
      </c>
      <c r="W15" s="213">
        <v>10.133904132649151</v>
      </c>
      <c r="X15" s="721">
        <f t="shared" si="4"/>
        <v>18.234175827015903</v>
      </c>
      <c r="Y15" s="213">
        <v>8.6746939200904443</v>
      </c>
      <c r="Z15" s="213">
        <v>10.676012076946613</v>
      </c>
      <c r="AA15" s="721">
        <f t="shared" si="5"/>
        <v>19.350705997037057</v>
      </c>
      <c r="AB15" s="213">
        <v>7.8197488438775205</v>
      </c>
      <c r="AC15" s="213"/>
      <c r="AD15" s="721">
        <f t="shared" si="6"/>
        <v>7.8197488438775205</v>
      </c>
    </row>
    <row r="16" spans="1:30">
      <c r="A16" s="211"/>
      <c r="B16" s="211"/>
      <c r="C16" s="212" t="s">
        <v>406</v>
      </c>
      <c r="D16" s="210">
        <f>SUM(D17:D19)</f>
        <v>185.94258991254594</v>
      </c>
      <c r="E16" s="210">
        <f>SUM(E17:E19)</f>
        <v>210.84728657772348</v>
      </c>
      <c r="F16" s="210">
        <f t="shared" si="7"/>
        <v>396.78987649026942</v>
      </c>
      <c r="G16" s="210">
        <f>SUM(G17:G19)</f>
        <v>216.67967240017487</v>
      </c>
      <c r="H16" s="210">
        <f>SUM(H17:H19)</f>
        <v>212.84078482617724</v>
      </c>
      <c r="I16" s="210">
        <f t="shared" si="8"/>
        <v>429.52045722635211</v>
      </c>
      <c r="J16" s="210">
        <f>SUM(J17:J19)</f>
        <v>217.25277000978238</v>
      </c>
      <c r="K16" s="210">
        <f>SUM(K17:K19)</f>
        <v>215.29403138386991</v>
      </c>
      <c r="L16" s="210">
        <f t="shared" si="9"/>
        <v>432.54680139365229</v>
      </c>
      <c r="M16" s="210">
        <f>SUM(M17:M19)</f>
        <v>201.03355734411883</v>
      </c>
      <c r="N16" s="210">
        <f>SUM(N17:N19)</f>
        <v>217.97195474533004</v>
      </c>
      <c r="O16" s="210">
        <f t="shared" si="10"/>
        <v>419.00551208944887</v>
      </c>
      <c r="P16" s="210">
        <f>SUM(P17:P19)</f>
        <v>218.41260387294278</v>
      </c>
      <c r="Q16" s="210">
        <f>SUM(Q17:Q19)</f>
        <v>235.56569972159167</v>
      </c>
      <c r="R16" s="210">
        <f t="shared" si="11"/>
        <v>453.97830359453445</v>
      </c>
      <c r="S16" s="210">
        <f>SUM(S17:S19)</f>
        <v>198.0535953866783</v>
      </c>
      <c r="T16" s="210">
        <f>SUM(T17:T19)</f>
        <v>223.73255495628439</v>
      </c>
      <c r="U16" s="720">
        <f t="shared" si="3"/>
        <v>421.78615034296269</v>
      </c>
      <c r="V16" s="723">
        <f>SUM(V17:V19)</f>
        <v>172.0333163472078</v>
      </c>
      <c r="W16" s="210">
        <f>SUM(W17:W19)</f>
        <v>246.38910286846539</v>
      </c>
      <c r="X16" s="720">
        <f t="shared" si="4"/>
        <v>418.42241921567319</v>
      </c>
      <c r="Y16" s="210">
        <f>SUM(Y17:Y19)</f>
        <v>196.04333048027758</v>
      </c>
      <c r="Z16" s="210">
        <f>SUM(Z17:Z19)</f>
        <v>247.12750557122129</v>
      </c>
      <c r="AA16" s="720">
        <f t="shared" si="5"/>
        <v>443.1708360514989</v>
      </c>
      <c r="AB16" s="210">
        <f>SUM(AB17:AB19)</f>
        <v>194.74577066439917</v>
      </c>
      <c r="AC16" s="210">
        <f>SUM(AC17:AC19)</f>
        <v>0</v>
      </c>
      <c r="AD16" s="720">
        <f t="shared" si="6"/>
        <v>194.74577066439917</v>
      </c>
    </row>
    <row r="17" spans="1:30">
      <c r="A17" s="211" t="s">
        <v>407</v>
      </c>
      <c r="B17" s="211" t="s">
        <v>408</v>
      </c>
      <c r="C17" s="212" t="s">
        <v>409</v>
      </c>
      <c r="D17" s="213">
        <v>111.42799498822801</v>
      </c>
      <c r="E17" s="213">
        <v>114.21073426623319</v>
      </c>
      <c r="F17" s="213">
        <f t="shared" si="7"/>
        <v>225.6387292544612</v>
      </c>
      <c r="G17" s="213">
        <v>124.34232365260651</v>
      </c>
      <c r="H17" s="213">
        <v>116.11394528472954</v>
      </c>
      <c r="I17" s="213">
        <f t="shared" si="8"/>
        <v>240.45626893733606</v>
      </c>
      <c r="J17" s="213">
        <v>125.02551588405875</v>
      </c>
      <c r="K17" s="213">
        <v>114.6861327194006</v>
      </c>
      <c r="L17" s="213">
        <f t="shared" si="9"/>
        <v>239.71164860345937</v>
      </c>
      <c r="M17" s="213">
        <v>112.15577934415923</v>
      </c>
      <c r="N17" s="213">
        <v>105.02513466023267</v>
      </c>
      <c r="O17" s="213">
        <f t="shared" si="10"/>
        <v>217.18091400439189</v>
      </c>
      <c r="P17" s="213">
        <v>128.13504589769124</v>
      </c>
      <c r="Q17" s="213">
        <v>115.40029322409427</v>
      </c>
      <c r="R17" s="213">
        <f t="shared" si="11"/>
        <v>243.53533912178551</v>
      </c>
      <c r="S17" s="213">
        <v>116.73353757173207</v>
      </c>
      <c r="T17" s="213">
        <v>105.77048296322059</v>
      </c>
      <c r="U17" s="721">
        <f t="shared" si="3"/>
        <v>222.50402053495264</v>
      </c>
      <c r="V17" s="724">
        <v>97.622766188885976</v>
      </c>
      <c r="W17" s="213">
        <v>122.60501959670346</v>
      </c>
      <c r="X17" s="721">
        <f t="shared" si="4"/>
        <v>220.22778578558945</v>
      </c>
      <c r="Y17" s="213">
        <v>115.40890864446327</v>
      </c>
      <c r="Z17" s="213">
        <v>121.44867605097522</v>
      </c>
      <c r="AA17" s="721">
        <f t="shared" si="5"/>
        <v>236.8575846954385</v>
      </c>
      <c r="AB17" s="213">
        <v>114.07922353142496</v>
      </c>
      <c r="AC17" s="213"/>
      <c r="AD17" s="721">
        <f t="shared" si="6"/>
        <v>114.07922353142496</v>
      </c>
    </row>
    <row r="18" spans="1:30">
      <c r="A18" s="211" t="s">
        <v>410</v>
      </c>
      <c r="B18" s="211" t="s">
        <v>411</v>
      </c>
      <c r="C18" s="214" t="s">
        <v>412</v>
      </c>
      <c r="D18" s="213">
        <v>12.005377769093327</v>
      </c>
      <c r="E18" s="213">
        <v>10.057760715996968</v>
      </c>
      <c r="F18" s="213">
        <f t="shared" si="7"/>
        <v>22.063138485090295</v>
      </c>
      <c r="G18" s="213">
        <v>15.99036603831947</v>
      </c>
      <c r="H18" s="213">
        <v>10.350423795414109</v>
      </c>
      <c r="I18" s="213">
        <f t="shared" si="8"/>
        <v>26.340789833733581</v>
      </c>
      <c r="J18" s="213">
        <v>16.192651169544678</v>
      </c>
      <c r="K18" s="213">
        <v>11.16647055828181</v>
      </c>
      <c r="L18" s="213">
        <f t="shared" si="9"/>
        <v>27.359121727826491</v>
      </c>
      <c r="M18" s="213">
        <v>14.093441512177725</v>
      </c>
      <c r="N18" s="213">
        <v>10.695147396317854</v>
      </c>
      <c r="O18" s="213">
        <f t="shared" si="10"/>
        <v>24.788588908495576</v>
      </c>
      <c r="P18" s="213">
        <v>15.307830476860374</v>
      </c>
      <c r="Q18" s="213">
        <v>12.466946833319671</v>
      </c>
      <c r="R18" s="213">
        <f t="shared" si="11"/>
        <v>27.774777310180045</v>
      </c>
      <c r="S18" s="213">
        <v>14.650799901130073</v>
      </c>
      <c r="T18" s="213">
        <v>10.336544885788216</v>
      </c>
      <c r="U18" s="721">
        <f t="shared" si="3"/>
        <v>24.987344786918289</v>
      </c>
      <c r="V18" s="724">
        <v>12.141432808102389</v>
      </c>
      <c r="W18" s="213">
        <v>9.3862653645886382</v>
      </c>
      <c r="X18" s="721">
        <f t="shared" si="4"/>
        <v>21.527698172691025</v>
      </c>
      <c r="Y18" s="213">
        <v>12.509681294427544</v>
      </c>
      <c r="Z18" s="213">
        <v>9.2514245801692994</v>
      </c>
      <c r="AA18" s="721">
        <f t="shared" si="5"/>
        <v>21.761105874596844</v>
      </c>
      <c r="AB18" s="213">
        <v>10.630204219875694</v>
      </c>
      <c r="AC18" s="213"/>
      <c r="AD18" s="721">
        <f t="shared" si="6"/>
        <v>10.630204219875694</v>
      </c>
    </row>
    <row r="19" spans="1:30">
      <c r="A19" s="211" t="s">
        <v>413</v>
      </c>
      <c r="B19" s="211" t="s">
        <v>414</v>
      </c>
      <c r="C19" s="214" t="s">
        <v>415</v>
      </c>
      <c r="D19" s="213">
        <v>62.50921715522459</v>
      </c>
      <c r="E19" s="213">
        <v>86.578791595493328</v>
      </c>
      <c r="F19" s="213">
        <f t="shared" si="7"/>
        <v>149.0880087507179</v>
      </c>
      <c r="G19" s="213">
        <v>76.346982709248906</v>
      </c>
      <c r="H19" s="213">
        <v>86.376415746033601</v>
      </c>
      <c r="I19" s="213">
        <f t="shared" si="8"/>
        <v>162.72339845528251</v>
      </c>
      <c r="J19" s="213">
        <v>76.034602956178958</v>
      </c>
      <c r="K19" s="213">
        <v>89.441428106187487</v>
      </c>
      <c r="L19" s="213">
        <f t="shared" si="9"/>
        <v>165.47603106236645</v>
      </c>
      <c r="M19" s="213">
        <v>74.784336487781886</v>
      </c>
      <c r="N19" s="213">
        <v>102.25167268877951</v>
      </c>
      <c r="O19" s="213">
        <f t="shared" si="10"/>
        <v>177.03600917656138</v>
      </c>
      <c r="P19" s="213">
        <v>74.969727498391165</v>
      </c>
      <c r="Q19" s="213">
        <v>107.69845966417775</v>
      </c>
      <c r="R19" s="213">
        <f t="shared" si="11"/>
        <v>182.66818716256893</v>
      </c>
      <c r="S19" s="213">
        <v>66.669257913816168</v>
      </c>
      <c r="T19" s="213">
        <v>107.62552710727557</v>
      </c>
      <c r="U19" s="721">
        <f t="shared" si="3"/>
        <v>174.29478502109174</v>
      </c>
      <c r="V19" s="724">
        <v>62.269117350219425</v>
      </c>
      <c r="W19" s="213">
        <v>114.39781790717331</v>
      </c>
      <c r="X19" s="721">
        <f t="shared" si="4"/>
        <v>176.66693525739274</v>
      </c>
      <c r="Y19" s="213">
        <v>68.124740541386771</v>
      </c>
      <c r="Z19" s="213">
        <v>116.42740494007677</v>
      </c>
      <c r="AA19" s="721">
        <f t="shared" si="5"/>
        <v>184.55214548146353</v>
      </c>
      <c r="AB19" s="213">
        <v>70.036342913098508</v>
      </c>
      <c r="AC19" s="213"/>
      <c r="AD19" s="721">
        <f t="shared" si="6"/>
        <v>70.036342913098508</v>
      </c>
    </row>
    <row r="20" spans="1:30">
      <c r="A20" s="211"/>
      <c r="B20" s="211"/>
      <c r="C20" s="212" t="s">
        <v>416</v>
      </c>
      <c r="D20" s="210">
        <f>SUM(D21:D23)</f>
        <v>145.44954859846371</v>
      </c>
      <c r="E20" s="210">
        <f>SUM(E21:E23)</f>
        <v>112.83656128160068</v>
      </c>
      <c r="F20" s="210">
        <f t="shared" si="7"/>
        <v>258.28610988006437</v>
      </c>
      <c r="G20" s="210">
        <f>SUM(G21:G23)</f>
        <v>142.80820030118591</v>
      </c>
      <c r="H20" s="210">
        <f>SUM(H21:H23)</f>
        <v>123.34790969903793</v>
      </c>
      <c r="I20" s="210">
        <f t="shared" si="8"/>
        <v>266.15611000022386</v>
      </c>
      <c r="J20" s="210">
        <f>SUM(J21:J23)</f>
        <v>154.97966858267407</v>
      </c>
      <c r="K20" s="210">
        <f>SUM(K21:K23)</f>
        <v>125.72448434301826</v>
      </c>
      <c r="L20" s="210">
        <f t="shared" si="9"/>
        <v>280.70415292569231</v>
      </c>
      <c r="M20" s="210">
        <f>SUM(M21:M23)</f>
        <v>168.20555334114181</v>
      </c>
      <c r="N20" s="210">
        <f>SUM(N21:N23)</f>
        <v>141.46871050136588</v>
      </c>
      <c r="O20" s="210">
        <f t="shared" si="10"/>
        <v>309.67426384250768</v>
      </c>
      <c r="P20" s="210">
        <f>SUM(P21:P23)</f>
        <v>176.46081722564205</v>
      </c>
      <c r="Q20" s="210">
        <f>SUM(Q21:Q23)</f>
        <v>150.60609731817914</v>
      </c>
      <c r="R20" s="210">
        <f t="shared" si="11"/>
        <v>327.06691454382121</v>
      </c>
      <c r="S20" s="210">
        <f t="shared" ref="S20:T20" si="12">SUM(S21:S23)</f>
        <v>182.28902565797597</v>
      </c>
      <c r="T20" s="210">
        <f t="shared" si="12"/>
        <v>154.48087952954364</v>
      </c>
      <c r="U20" s="720">
        <f t="shared" si="3"/>
        <v>336.76990518751961</v>
      </c>
      <c r="V20" s="723">
        <f t="shared" ref="V20:W20" si="13">SUM(V21:V23)</f>
        <v>186.22164591617286</v>
      </c>
      <c r="W20" s="210">
        <f t="shared" si="13"/>
        <v>166.61177430817349</v>
      </c>
      <c r="X20" s="720">
        <f t="shared" si="4"/>
        <v>352.83342022434636</v>
      </c>
      <c r="Y20" s="210">
        <f t="shared" ref="Y20:Z20" si="14">SUM(Y21:Y23)</f>
        <v>197.41905095469426</v>
      </c>
      <c r="Z20" s="210">
        <f t="shared" si="14"/>
        <v>174.23289841118651</v>
      </c>
      <c r="AA20" s="720">
        <f t="shared" si="5"/>
        <v>371.6519493658808</v>
      </c>
      <c r="AB20" s="210">
        <f t="shared" ref="AB20:AC20" si="15">SUM(AB21:AB23)</f>
        <v>195.78918931606754</v>
      </c>
      <c r="AC20" s="210">
        <f t="shared" si="15"/>
        <v>0</v>
      </c>
      <c r="AD20" s="720">
        <f t="shared" si="6"/>
        <v>195.78918931606754</v>
      </c>
    </row>
    <row r="21" spans="1:30">
      <c r="A21" s="211" t="s">
        <v>417</v>
      </c>
      <c r="B21" s="211" t="s">
        <v>418</v>
      </c>
      <c r="C21" s="212" t="s">
        <v>419</v>
      </c>
      <c r="D21" s="213">
        <v>47.611830835054981</v>
      </c>
      <c r="E21" s="213">
        <v>34.357769475074505</v>
      </c>
      <c r="F21" s="213">
        <f t="shared" si="7"/>
        <v>81.969600310129493</v>
      </c>
      <c r="G21" s="213">
        <v>45.619957367224309</v>
      </c>
      <c r="H21" s="213">
        <v>36.371961754946028</v>
      </c>
      <c r="I21" s="213">
        <f t="shared" si="8"/>
        <v>81.991919122170344</v>
      </c>
      <c r="J21" s="213">
        <v>47.352630547631335</v>
      </c>
      <c r="K21" s="213">
        <v>36.216572141649891</v>
      </c>
      <c r="L21" s="213">
        <f t="shared" si="9"/>
        <v>83.569202689281227</v>
      </c>
      <c r="M21" s="213">
        <v>50.01910287882292</v>
      </c>
      <c r="N21" s="213">
        <v>40.293412095229066</v>
      </c>
      <c r="O21" s="213">
        <f t="shared" si="10"/>
        <v>90.312514974051993</v>
      </c>
      <c r="P21" s="213">
        <v>52.307634009874405</v>
      </c>
      <c r="Q21" s="213">
        <v>43.052766604855613</v>
      </c>
      <c r="R21" s="213">
        <f t="shared" si="11"/>
        <v>95.360400614730025</v>
      </c>
      <c r="S21" s="213">
        <v>54.604971304149217</v>
      </c>
      <c r="T21" s="213">
        <v>44.107524684371789</v>
      </c>
      <c r="U21" s="721">
        <f t="shared" si="3"/>
        <v>98.712495988520999</v>
      </c>
      <c r="V21" s="724">
        <v>56.092188204819479</v>
      </c>
      <c r="W21" s="213">
        <v>46.86870320371078</v>
      </c>
      <c r="X21" s="721">
        <f t="shared" si="4"/>
        <v>102.96089140853026</v>
      </c>
      <c r="Y21" s="213">
        <v>60.222087032337896</v>
      </c>
      <c r="Z21" s="213">
        <v>49.534872636921847</v>
      </c>
      <c r="AA21" s="721">
        <f t="shared" si="5"/>
        <v>109.75695966925974</v>
      </c>
      <c r="AB21" s="213">
        <v>59.127918675071847</v>
      </c>
      <c r="AC21" s="213"/>
      <c r="AD21" s="721">
        <f t="shared" si="6"/>
        <v>59.127918675071847</v>
      </c>
    </row>
    <row r="22" spans="1:30">
      <c r="A22" s="211" t="s">
        <v>420</v>
      </c>
      <c r="B22" s="211" t="s">
        <v>421</v>
      </c>
      <c r="C22" s="212" t="s">
        <v>422</v>
      </c>
      <c r="D22" s="213">
        <v>84.239326957457891</v>
      </c>
      <c r="E22" s="213">
        <v>65.010584161232529</v>
      </c>
      <c r="F22" s="213">
        <f t="shared" si="7"/>
        <v>149.24991111869042</v>
      </c>
      <c r="G22" s="213">
        <v>83.617659729863533</v>
      </c>
      <c r="H22" s="213">
        <v>72.828478728735107</v>
      </c>
      <c r="I22" s="213">
        <f t="shared" si="8"/>
        <v>156.44613845859863</v>
      </c>
      <c r="J22" s="213">
        <v>93.977424388453557</v>
      </c>
      <c r="K22" s="213">
        <v>74.581459287025012</v>
      </c>
      <c r="L22" s="213">
        <f t="shared" si="9"/>
        <v>168.55888367547857</v>
      </c>
      <c r="M22" s="213">
        <v>103.57829612607226</v>
      </c>
      <c r="N22" s="213">
        <v>84.485705328369846</v>
      </c>
      <c r="O22" s="213">
        <f t="shared" si="10"/>
        <v>188.06400145444212</v>
      </c>
      <c r="P22" s="213">
        <v>109.10060535450874</v>
      </c>
      <c r="Q22" s="213">
        <v>90.361421901875914</v>
      </c>
      <c r="R22" s="213">
        <f t="shared" si="11"/>
        <v>199.46202725638466</v>
      </c>
      <c r="S22" s="213">
        <v>112.35436523491252</v>
      </c>
      <c r="T22" s="213">
        <v>92.75763796904512</v>
      </c>
      <c r="U22" s="721">
        <f t="shared" si="3"/>
        <v>205.11200320395764</v>
      </c>
      <c r="V22" s="724">
        <v>114.49377420987474</v>
      </c>
      <c r="W22" s="213">
        <v>101.70275401219625</v>
      </c>
      <c r="X22" s="721">
        <f t="shared" si="4"/>
        <v>216.19652822207098</v>
      </c>
      <c r="Y22" s="213">
        <v>121.08431710510001</v>
      </c>
      <c r="Z22" s="213">
        <v>106.21959088242922</v>
      </c>
      <c r="AA22" s="721">
        <f t="shared" si="5"/>
        <v>227.30390798752921</v>
      </c>
      <c r="AB22" s="213">
        <v>121.55207339981128</v>
      </c>
      <c r="AC22" s="213"/>
      <c r="AD22" s="721">
        <f t="shared" si="6"/>
        <v>121.55207339981128</v>
      </c>
    </row>
    <row r="23" spans="1:30">
      <c r="A23" s="211" t="s">
        <v>423</v>
      </c>
      <c r="B23" s="211" t="s">
        <v>424</v>
      </c>
      <c r="C23" s="212" t="s">
        <v>425</v>
      </c>
      <c r="D23" s="213">
        <v>13.598390805950828</v>
      </c>
      <c r="E23" s="213">
        <v>13.468207645293649</v>
      </c>
      <c r="F23" s="213">
        <f t="shared" si="7"/>
        <v>27.066598451244477</v>
      </c>
      <c r="G23" s="213">
        <v>13.570583204098067</v>
      </c>
      <c r="H23" s="213">
        <v>14.147469215356789</v>
      </c>
      <c r="I23" s="213">
        <f t="shared" si="8"/>
        <v>27.718052419454857</v>
      </c>
      <c r="J23" s="213">
        <v>13.6496136465892</v>
      </c>
      <c r="K23" s="213">
        <v>14.926452914343352</v>
      </c>
      <c r="L23" s="213">
        <f t="shared" si="9"/>
        <v>28.576066560932553</v>
      </c>
      <c r="M23" s="213">
        <v>14.608154336246621</v>
      </c>
      <c r="N23" s="213">
        <v>16.689593077766961</v>
      </c>
      <c r="O23" s="213">
        <f t="shared" si="10"/>
        <v>31.297747414013582</v>
      </c>
      <c r="P23" s="213">
        <v>15.052577861258893</v>
      </c>
      <c r="Q23" s="213">
        <v>17.1919088114476</v>
      </c>
      <c r="R23" s="213">
        <f t="shared" si="11"/>
        <v>32.244486672706493</v>
      </c>
      <c r="S23" s="213">
        <v>15.329689118914233</v>
      </c>
      <c r="T23" s="213">
        <v>17.615716876126719</v>
      </c>
      <c r="U23" s="721">
        <f t="shared" si="3"/>
        <v>32.94540599504095</v>
      </c>
      <c r="V23" s="724">
        <v>15.63568350147863</v>
      </c>
      <c r="W23" s="213">
        <v>18.040317092266463</v>
      </c>
      <c r="X23" s="721">
        <f t="shared" si="4"/>
        <v>33.676000593745094</v>
      </c>
      <c r="Y23" s="213">
        <v>16.112646817256344</v>
      </c>
      <c r="Z23" s="213">
        <v>18.478434891835441</v>
      </c>
      <c r="AA23" s="721">
        <f t="shared" si="5"/>
        <v>34.591081709091782</v>
      </c>
      <c r="AB23" s="213">
        <v>15.109197241184395</v>
      </c>
      <c r="AC23" s="213"/>
      <c r="AD23" s="721">
        <f t="shared" si="6"/>
        <v>15.109197241184395</v>
      </c>
    </row>
    <row r="24" spans="1:30">
      <c r="A24" s="211" t="s">
        <v>426</v>
      </c>
      <c r="B24" s="211" t="s">
        <v>427</v>
      </c>
      <c r="C24" s="214" t="s">
        <v>428</v>
      </c>
      <c r="D24" s="210">
        <v>19.30762720398852</v>
      </c>
      <c r="E24" s="210">
        <v>6.0023382570108854</v>
      </c>
      <c r="F24" s="210">
        <f t="shared" si="7"/>
        <v>25.309965460999408</v>
      </c>
      <c r="G24" s="210">
        <v>12.560977792185469</v>
      </c>
      <c r="H24" s="210">
        <v>6.3290567140506431</v>
      </c>
      <c r="I24" s="210">
        <f t="shared" si="8"/>
        <v>18.890034506236113</v>
      </c>
      <c r="J24" s="210">
        <v>15.784614695275431</v>
      </c>
      <c r="K24" s="210">
        <v>8.2720529044435693</v>
      </c>
      <c r="L24" s="210">
        <f t="shared" si="9"/>
        <v>24.056667599718999</v>
      </c>
      <c r="M24" s="210">
        <v>8.6992732641391797</v>
      </c>
      <c r="N24" s="210">
        <v>8.5852098501638974</v>
      </c>
      <c r="O24" s="210">
        <f t="shared" si="10"/>
        <v>17.284483114303079</v>
      </c>
      <c r="P24" s="210">
        <v>8.549730552715328</v>
      </c>
      <c r="Q24" s="210">
        <v>8.82494001178401</v>
      </c>
      <c r="R24" s="210">
        <f t="shared" si="11"/>
        <v>17.37467056449934</v>
      </c>
      <c r="S24" s="210">
        <v>7.5623919680394236</v>
      </c>
      <c r="T24" s="210">
        <v>9.4705586190703972</v>
      </c>
      <c r="U24" s="720">
        <f t="shared" si="3"/>
        <v>17.03295058710982</v>
      </c>
      <c r="V24" s="723">
        <v>7.9293407188641218</v>
      </c>
      <c r="W24" s="210">
        <v>9.238680612621577</v>
      </c>
      <c r="X24" s="720">
        <f t="shared" si="4"/>
        <v>17.168021331485697</v>
      </c>
      <c r="Y24" s="210">
        <v>9.1729053373135176</v>
      </c>
      <c r="Z24" s="210">
        <v>9.5501168673309902</v>
      </c>
      <c r="AA24" s="720">
        <f t="shared" si="5"/>
        <v>18.723022204644508</v>
      </c>
      <c r="AB24" s="210">
        <v>9.9266408238922033</v>
      </c>
      <c r="AC24" s="210"/>
      <c r="AD24" s="720">
        <f t="shared" si="6"/>
        <v>9.9266408238922033</v>
      </c>
    </row>
    <row r="25" spans="1:30">
      <c r="C25" s="214" t="s">
        <v>429</v>
      </c>
      <c r="D25" s="210">
        <f>SUM(D26:D27)</f>
        <v>8.1508988362410939</v>
      </c>
      <c r="E25" s="210">
        <f>SUM(E26:E27)</f>
        <v>6.8509854355242901</v>
      </c>
      <c r="F25" s="210">
        <f t="shared" si="7"/>
        <v>15.001884271765384</v>
      </c>
      <c r="G25" s="210">
        <f>SUM(G26:G27)</f>
        <v>8.727139821162762</v>
      </c>
      <c r="H25" s="210">
        <f>SUM(H26:H27)</f>
        <v>6.9602758198604739</v>
      </c>
      <c r="I25" s="210">
        <f t="shared" si="8"/>
        <v>15.687415641023236</v>
      </c>
      <c r="J25" s="210">
        <f>SUM(J26:J27)</f>
        <v>7.2196503179537661</v>
      </c>
      <c r="K25" s="210">
        <f>SUM(K26:K27)</f>
        <v>7.2508688004256534</v>
      </c>
      <c r="L25" s="210">
        <f t="shared" si="9"/>
        <v>14.47051911837942</v>
      </c>
      <c r="M25" s="210">
        <f>SUM(M26:M27)</f>
        <v>5.0462719313503568</v>
      </c>
      <c r="N25" s="210">
        <f>SUM(N26:N27)</f>
        <v>7.5371427896979784</v>
      </c>
      <c r="O25" s="210">
        <f t="shared" si="10"/>
        <v>12.583414721048335</v>
      </c>
      <c r="P25" s="210">
        <f>SUM(P26:P27)</f>
        <v>5.6494886934620752</v>
      </c>
      <c r="Q25" s="210">
        <f>SUM(Q26:Q27)</f>
        <v>7.8266077784091115</v>
      </c>
      <c r="R25" s="210">
        <f t="shared" si="11"/>
        <v>13.476096471871188</v>
      </c>
      <c r="S25" s="210">
        <f>SUM(S26:S27)</f>
        <v>5.098996196161913</v>
      </c>
      <c r="T25" s="210">
        <f>SUM(T26:T27)</f>
        <v>8.6960215318474461</v>
      </c>
      <c r="U25" s="720">
        <f t="shared" si="3"/>
        <v>13.795017728009359</v>
      </c>
      <c r="V25" s="725">
        <f>SUM(V26:V27)</f>
        <v>4.3801870589300442</v>
      </c>
      <c r="W25" s="210">
        <f>SUM(W26:W27)</f>
        <v>7.4072884649743793</v>
      </c>
      <c r="X25" s="720">
        <f t="shared" si="4"/>
        <v>11.787475523904423</v>
      </c>
      <c r="Y25" s="210">
        <f>SUM(Y26:Y27)</f>
        <v>5.8763821959605327</v>
      </c>
      <c r="Z25" s="210">
        <f>SUM(Z26:Z27)</f>
        <v>7.6620124131871332</v>
      </c>
      <c r="AA25" s="720">
        <f t="shared" si="5"/>
        <v>13.538394609147666</v>
      </c>
      <c r="AB25" s="210">
        <f>SUM(AB26:AB27)</f>
        <v>4.9772417926781696</v>
      </c>
      <c r="AC25" s="210">
        <f>SUM(AC26:AC27)</f>
        <v>0</v>
      </c>
      <c r="AD25" s="720">
        <f t="shared" si="6"/>
        <v>4.9772417926781696</v>
      </c>
    </row>
    <row r="26" spans="1:30">
      <c r="A26" s="211" t="s">
        <v>430</v>
      </c>
      <c r="B26" s="211" t="s">
        <v>431</v>
      </c>
      <c r="C26" s="212" t="s">
        <v>432</v>
      </c>
      <c r="D26" s="213">
        <v>1.665179833991151</v>
      </c>
      <c r="E26" s="213">
        <v>2.0426482236143539</v>
      </c>
      <c r="F26" s="213">
        <f t="shared" si="7"/>
        <v>3.7078280576055049</v>
      </c>
      <c r="G26" s="213">
        <v>1.8831396344803644</v>
      </c>
      <c r="H26" s="213">
        <v>1.6504868121075593</v>
      </c>
      <c r="I26" s="213">
        <f t="shared" si="8"/>
        <v>3.5336264465879239</v>
      </c>
      <c r="J26" s="213">
        <v>2.1127877741936905</v>
      </c>
      <c r="K26" s="213">
        <v>1.6867133302981177</v>
      </c>
      <c r="L26" s="213">
        <f t="shared" si="9"/>
        <v>3.7995011044918083</v>
      </c>
      <c r="M26" s="213">
        <v>1.9030553301180673</v>
      </c>
      <c r="N26" s="213">
        <v>1.7770293217296962</v>
      </c>
      <c r="O26" s="213">
        <f t="shared" si="10"/>
        <v>3.6800846518477632</v>
      </c>
      <c r="P26" s="213">
        <v>2.2056214892318997</v>
      </c>
      <c r="Q26" s="213">
        <v>1.9550347178975489</v>
      </c>
      <c r="R26" s="213">
        <f t="shared" si="11"/>
        <v>4.1606562071294491</v>
      </c>
      <c r="S26" s="213">
        <v>2.9702333672307057</v>
      </c>
      <c r="T26" s="213">
        <v>5.548896611150794</v>
      </c>
      <c r="U26" s="721">
        <f>SUM(S26:T26)</f>
        <v>8.5191299783814998</v>
      </c>
      <c r="V26" s="724">
        <v>2.5565751385496323</v>
      </c>
      <c r="W26" s="213">
        <v>4.6418963651867511</v>
      </c>
      <c r="X26" s="721">
        <f>SUM(V26:W26)</f>
        <v>7.1984715037363838</v>
      </c>
      <c r="Y26" s="213">
        <v>2.9064789237830038</v>
      </c>
      <c r="Z26" s="213">
        <v>4.9456332687163549</v>
      </c>
      <c r="AA26" s="721">
        <f>SUM(Y26:Z26)</f>
        <v>7.8521121924993587</v>
      </c>
      <c r="AB26" s="213">
        <v>2.5517156035853041</v>
      </c>
      <c r="AC26" s="213"/>
      <c r="AD26" s="721">
        <f>SUM(AB26:AC26)</f>
        <v>2.5517156035853041</v>
      </c>
    </row>
    <row r="27" spans="1:30" ht="15.5" thickBot="1">
      <c r="A27" s="211" t="s">
        <v>433</v>
      </c>
      <c r="B27" s="211" t="s">
        <v>434</v>
      </c>
      <c r="C27" s="212" t="s">
        <v>435</v>
      </c>
      <c r="D27" s="215">
        <v>6.4857190022499438</v>
      </c>
      <c r="E27" s="215">
        <v>4.8083372119099366</v>
      </c>
      <c r="F27" s="215">
        <f t="shared" si="7"/>
        <v>11.29405621415988</v>
      </c>
      <c r="G27" s="215">
        <v>6.8440001866823978</v>
      </c>
      <c r="H27" s="215">
        <v>5.3097890077529142</v>
      </c>
      <c r="I27" s="215">
        <f t="shared" si="8"/>
        <v>12.153789194435312</v>
      </c>
      <c r="J27" s="215">
        <v>5.1068625437600756</v>
      </c>
      <c r="K27" s="215">
        <v>5.5641554701275355</v>
      </c>
      <c r="L27" s="215">
        <f t="shared" si="9"/>
        <v>10.671018013887611</v>
      </c>
      <c r="M27" s="215">
        <v>3.1432166012322895</v>
      </c>
      <c r="N27" s="215">
        <v>5.7601134679682824</v>
      </c>
      <c r="O27" s="215">
        <f t="shared" si="10"/>
        <v>8.903330069200571</v>
      </c>
      <c r="P27" s="215">
        <v>3.4438672042301759</v>
      </c>
      <c r="Q27" s="215">
        <v>5.8715730605115626</v>
      </c>
      <c r="R27" s="215">
        <f t="shared" si="11"/>
        <v>9.3154402647417385</v>
      </c>
      <c r="S27" s="215">
        <v>2.1287628289312073</v>
      </c>
      <c r="T27" s="215">
        <v>3.1471249206966516</v>
      </c>
      <c r="U27" s="722">
        <f>SUM(S27:T27)</f>
        <v>5.2758877496278593</v>
      </c>
      <c r="V27" s="726">
        <v>1.8236119203804115</v>
      </c>
      <c r="W27" s="215">
        <v>2.7653920997876282</v>
      </c>
      <c r="X27" s="722">
        <f>SUM(V27:W27)</f>
        <v>4.5890040201680398</v>
      </c>
      <c r="Y27" s="215">
        <v>2.9699032721775294</v>
      </c>
      <c r="Z27" s="215">
        <v>2.7163791444707783</v>
      </c>
      <c r="AA27" s="722">
        <f>SUM(Y27:Z27)</f>
        <v>5.6862824166483072</v>
      </c>
      <c r="AB27" s="215">
        <v>2.4255261890928654</v>
      </c>
      <c r="AC27" s="215"/>
      <c r="AD27" s="722">
        <f>SUM(AB27:AC27)</f>
        <v>2.4255261890928654</v>
      </c>
    </row>
    <row r="28" spans="1:30">
      <c r="C28" s="209" t="s">
        <v>21</v>
      </c>
      <c r="D28" s="216"/>
      <c r="W28">
        <v>5.8715730605115626</v>
      </c>
      <c r="Y28" s="208"/>
      <c r="Z28" s="208"/>
      <c r="AA28" s="208"/>
    </row>
    <row r="29" spans="1:30">
      <c r="C29" s="217" t="s">
        <v>436</v>
      </c>
      <c r="D29" s="216"/>
      <c r="Q29" s="213"/>
    </row>
    <row r="30" spans="1:30">
      <c r="C30" s="217" t="s">
        <v>218</v>
      </c>
    </row>
    <row r="31" spans="1:30">
      <c r="C31" s="217" t="s">
        <v>437</v>
      </c>
    </row>
    <row r="32" spans="1:30">
      <c r="C32" s="217" t="s">
        <v>438</v>
      </c>
    </row>
    <row r="33" spans="3:18">
      <c r="C33" s="217" t="s">
        <v>439</v>
      </c>
    </row>
    <row r="34" spans="3:18">
      <c r="C34" s="217" t="s">
        <v>440</v>
      </c>
    </row>
    <row r="35" spans="3:18">
      <c r="C35" s="217" t="s">
        <v>441</v>
      </c>
    </row>
    <row r="36" spans="3:18">
      <c r="C36" s="217" t="s">
        <v>442</v>
      </c>
    </row>
    <row r="37" spans="3:18">
      <c r="C37" s="217" t="s">
        <v>443</v>
      </c>
    </row>
    <row r="38" spans="3:18">
      <c r="C38" s="217" t="s">
        <v>444</v>
      </c>
    </row>
    <row r="39" spans="3:18">
      <c r="C39" s="218" t="s">
        <v>23</v>
      </c>
    </row>
    <row r="40" spans="3:18">
      <c r="C40" s="214" t="s">
        <v>445</v>
      </c>
    </row>
    <row r="41" spans="3:18">
      <c r="C41" s="214" t="s">
        <v>446</v>
      </c>
    </row>
    <row r="42" spans="3:18">
      <c r="C42" s="214" t="s">
        <v>447</v>
      </c>
    </row>
    <row r="43" spans="3:18">
      <c r="C43" s="214" t="s">
        <v>448</v>
      </c>
    </row>
    <row r="44" spans="3:18">
      <c r="C44" s="214" t="s">
        <v>449</v>
      </c>
    </row>
    <row r="45" spans="3:18">
      <c r="C45" s="214" t="s">
        <v>450</v>
      </c>
    </row>
    <row r="46" spans="3:18">
      <c r="C46" s="214" t="s">
        <v>451</v>
      </c>
    </row>
    <row r="47" spans="3:18" ht="15.5" thickBot="1">
      <c r="C47" s="219" t="s">
        <v>452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</row>
  </sheetData>
  <mergeCells count="9">
    <mergeCell ref="Y2:Z2"/>
    <mergeCell ref="AB2:AC2"/>
    <mergeCell ref="D2:E2"/>
    <mergeCell ref="S2:T2"/>
    <mergeCell ref="V2:W2"/>
    <mergeCell ref="P2:Q2"/>
    <mergeCell ref="M2:N2"/>
    <mergeCell ref="J2:K2"/>
    <mergeCell ref="G2:H2"/>
  </mergeCells>
  <phoneticPr fontId="6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CD3D-266F-4193-B2F6-E56F4C661DA8}">
  <dimension ref="A1:D8"/>
  <sheetViews>
    <sheetView workbookViewId="0">
      <selection activeCell="A16" sqref="A16"/>
    </sheetView>
  </sheetViews>
  <sheetFormatPr defaultRowHeight="14.75"/>
  <sheetData>
    <row r="1" spans="1:4" ht="15.5" thickBot="1"/>
    <row r="2" spans="1:4">
      <c r="A2" s="249"/>
      <c r="B2" s="250"/>
      <c r="C2" s="251" t="s">
        <v>740</v>
      </c>
    </row>
    <row r="3" spans="1:4">
      <c r="A3" s="252">
        <v>2023</v>
      </c>
      <c r="B3" t="s">
        <v>136</v>
      </c>
      <c r="C3" s="222">
        <v>9.1999999999999993</v>
      </c>
      <c r="D3" t="s">
        <v>467</v>
      </c>
    </row>
    <row r="4" spans="1:4">
      <c r="A4" s="221"/>
      <c r="B4" t="s">
        <v>137</v>
      </c>
      <c r="C4" s="222">
        <v>6.2</v>
      </c>
      <c r="D4" t="s">
        <v>467</v>
      </c>
    </row>
    <row r="5" spans="1:4">
      <c r="A5" s="221"/>
      <c r="B5" t="s">
        <v>138</v>
      </c>
      <c r="C5" s="254">
        <v>7.4</v>
      </c>
      <c r="D5" t="s">
        <v>467</v>
      </c>
    </row>
    <row r="6" spans="1:4">
      <c r="A6" s="221"/>
      <c r="B6" t="s">
        <v>308</v>
      </c>
      <c r="C6" s="261">
        <v>9.5</v>
      </c>
    </row>
    <row r="7" spans="1:4" ht="15.5" thickBot="1">
      <c r="A7" s="195"/>
      <c r="B7" s="97" t="s">
        <v>464</v>
      </c>
      <c r="C7" s="253">
        <f>AVERAGE(C3:C6)</f>
        <v>8.0749999999999993</v>
      </c>
    </row>
    <row r="8" spans="1:4">
      <c r="A8">
        <v>2024</v>
      </c>
      <c r="B8" t="s">
        <v>739</v>
      </c>
      <c r="C8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CPI</vt:lpstr>
      <vt:lpstr>PPI</vt:lpstr>
      <vt:lpstr>GDP</vt:lpstr>
      <vt:lpstr>Quarterly IIP_Manu</vt:lpstr>
      <vt:lpstr>IIP_Manu_Ann</vt:lpstr>
      <vt:lpstr>R_GDP Details 2023_ann</vt:lpstr>
      <vt:lpstr>Cement import</vt:lpstr>
      <vt:lpstr>Ann Ind Production</vt:lpstr>
      <vt:lpstr>Large Ind Prod</vt:lpstr>
      <vt:lpstr>Turnovers</vt:lpstr>
      <vt:lpstr>Agric Prod KP</vt:lpstr>
      <vt:lpstr>Nowcasting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</dc:creator>
  <cp:lastModifiedBy>Evariste MANIRUMVA</cp:lastModifiedBy>
  <dcterms:created xsi:type="dcterms:W3CDTF">2017-01-24T09:25:59Z</dcterms:created>
  <dcterms:modified xsi:type="dcterms:W3CDTF">2026-02-18T19:22:37Z</dcterms:modified>
</cp:coreProperties>
</file>