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esktop\MINECOFIN\Macro\IntMF&amp;IMF-Mission\Preparations\March 2026\Baseline\Real\March16\"/>
    </mc:Choice>
  </mc:AlternateContent>
  <xr:revisionPtr revIDLastSave="0" documentId="13_ncr:1_{6FCFA268-160F-49D0-A813-D3439D127E1E}" xr6:coauthVersionLast="47" xr6:coauthVersionMax="47" xr10:uidLastSave="{00000000-0000-0000-0000-000000000000}"/>
  <bookViews>
    <workbookView xWindow="-90" yWindow="-90" windowWidth="19380" windowHeight="11460" xr2:uid="{CE6DC904-39C8-4ACA-BF54-D83F8FBBE609}"/>
  </bookViews>
  <sheets>
    <sheet name="ForREFOTO" sheetId="5" r:id="rId1"/>
    <sheet name="2025Qo" sheetId="6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6" l="1"/>
  <c r="E7" i="6" s="1"/>
  <c r="F6" i="6"/>
  <c r="E6" i="6" s="1"/>
  <c r="F5" i="6"/>
  <c r="E5" i="6" s="1"/>
  <c r="F4" i="6"/>
  <c r="E4" i="6" s="1"/>
  <c r="F3" i="6"/>
  <c r="E3" i="6" s="1"/>
  <c r="F2" i="6"/>
  <c r="E2" i="6"/>
</calcChain>
</file>

<file path=xl/sharedStrings.xml><?xml version="1.0" encoding="utf-8"?>
<sst xmlns="http://schemas.openxmlformats.org/spreadsheetml/2006/main" count="33" uniqueCount="26">
  <si>
    <t>XI.d REAL_REFOTO</t>
  </si>
  <si>
    <t>GDP (% Change)</t>
  </si>
  <si>
    <t>Exchange rate (period average)</t>
  </si>
  <si>
    <t>Govt. Consumption (incl. wages; NA definition, current prices)</t>
  </si>
  <si>
    <t>Private consumption (NA, residual)</t>
  </si>
  <si>
    <t>Population growth rate (2002-12 average; ³  projection)</t>
  </si>
  <si>
    <t>GDP (Constant prices 2024=100, Billion RWF, supply)</t>
  </si>
  <si>
    <t>GDP (Curent prices, Billion RWF, supply)</t>
  </si>
  <si>
    <t>GDP Manufacturing (beverages and tobacco)</t>
  </si>
  <si>
    <t>DGP Deflator (Supply)</t>
  </si>
  <si>
    <t>GDP Non-agriculture (Excl. Agriculture sector)</t>
  </si>
  <si>
    <t>BOP_REFOTO</t>
  </si>
  <si>
    <t>Imports (cif, Million USD)</t>
  </si>
  <si>
    <t>o/w: imports of food</t>
  </si>
  <si>
    <t xml:space="preserve">           Consumer goods</t>
  </si>
  <si>
    <t xml:space="preserve">           Energy products (cif)</t>
  </si>
  <si>
    <t>Petroleum products imports (Volume, tons)</t>
  </si>
  <si>
    <t>Exports minerals (Coltan, Walfram, Casserite) (Voume, tons)</t>
  </si>
  <si>
    <t>Exports other minerals (Volume,tons)</t>
  </si>
  <si>
    <t>Tourism receipts (Million USD)</t>
  </si>
  <si>
    <t>2025 (Est.)</t>
  </si>
  <si>
    <t>2025 Q4 (Est.)</t>
  </si>
  <si>
    <t>2025 Q3</t>
  </si>
  <si>
    <t>2025 Q2</t>
  </si>
  <si>
    <t>2025 Q1</t>
  </si>
  <si>
    <t>(in billion Rwf)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</si>
</sst>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_(* #,##0.0_);_(* \(#,##0.0\);_(* &quot;-&quot;??_);_(@_)"/>
    <numFmt numFmtId="168" formatCode="_-* #,##0.00\ _€_-;\-* #,##0.00\ _€_-;_-* &quot;-&quot;??\ _€_-;_-@_-"/>
    <numFmt numFmtId="169" formatCode="#,##0_ ;[Red]\-#,##0\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Bahnschrift"/>
      <family val="2"/>
    </font>
    <font>
      <b/>
      <sz val="11"/>
      <color rgb="FF000000"/>
      <name val="Bahnschrift"/>
      <family val="2"/>
    </font>
    <font>
      <b/>
      <sz val="12"/>
      <color rgb="FF000000"/>
      <name val="Bahnschrift"/>
      <family val="2"/>
    </font>
    <font>
      <b/>
      <sz val="10"/>
      <color rgb="FF000000"/>
      <name val="Bahnschrift"/>
      <family val="2"/>
    </font>
    <font>
      <b/>
      <sz val="11"/>
      <color theme="1"/>
      <name val="Bahnschrift"/>
      <family val="2"/>
    </font>
    <font>
      <b/>
      <sz val="11"/>
      <color theme="1"/>
      <name val="Bahnschrift Light"/>
      <family val="2"/>
    </font>
    <font>
      <sz val="11"/>
      <color theme="1"/>
      <name val="Bahnschrift Light"/>
      <family val="2"/>
    </font>
    <font>
      <sz val="10"/>
      <name val="Arial"/>
      <family val="2"/>
    </font>
    <font>
      <sz val="10"/>
      <name val="Calibri Light"/>
      <family val="1"/>
      <scheme val="major"/>
    </font>
    <font>
      <sz val="10"/>
      <color rgb="FFC00000"/>
      <name val="Calibri Light"/>
      <family val="1"/>
      <scheme val="major"/>
    </font>
    <font>
      <b/>
      <sz val="10"/>
      <name val="Calibri Light"/>
      <family val="1"/>
      <scheme val="major"/>
    </font>
    <font>
      <b/>
      <sz val="10"/>
      <color rgb="FFC00000"/>
      <name val="Calibri Light"/>
      <family val="1"/>
      <scheme val="major"/>
    </font>
    <font>
      <b/>
      <i/>
      <sz val="11"/>
      <name val="Calibri Light"/>
      <family val="1"/>
      <scheme val="major"/>
    </font>
    <font>
      <b/>
      <sz val="11"/>
      <color theme="1"/>
      <name val="Calibri"/>
      <family val="2"/>
      <scheme val="minor"/>
    </font>
    <font>
      <b/>
      <sz val="12"/>
      <color theme="1"/>
      <name val="Bahnschrift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Bahnschrift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C5FFC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5FDC1"/>
        <bgColor rgb="FF000000"/>
      </patternFill>
    </fill>
    <fill>
      <patternFill patternType="solid">
        <fgColor rgb="FFCCFFCC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DashDot">
        <color indexed="64"/>
      </right>
      <top style="medium">
        <color indexed="64"/>
      </top>
      <bottom style="double">
        <color indexed="64"/>
      </bottom>
      <diagonal/>
    </border>
    <border>
      <left/>
      <right style="mediumDashDot">
        <color indexed="64"/>
      </right>
      <top/>
      <bottom/>
      <diagonal/>
    </border>
    <border>
      <left/>
      <right style="mediumDashDot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2" fillId="0" borderId="0"/>
    <xf numFmtId="9" fontId="1" fillId="0" borderId="0" applyFont="0" applyFill="0" applyBorder="0" applyAlignment="0" applyProtection="0"/>
    <xf numFmtId="168" fontId="12" fillId="0" borderId="0" applyFont="0" applyFill="0" applyBorder="0" applyAlignment="0" applyProtection="0"/>
  </cellStyleXfs>
  <cellXfs count="52">
    <xf numFmtId="0" fontId="0" fillId="0" borderId="0" xfId="0"/>
    <xf numFmtId="0" fontId="5" fillId="0" borderId="0" xfId="0" applyFont="1"/>
    <xf numFmtId="0" fontId="7" fillId="2" borderId="1" xfId="0" applyFont="1" applyFill="1" applyBorder="1"/>
    <xf numFmtId="0" fontId="7" fillId="2" borderId="1" xfId="0" applyFont="1" applyFill="1" applyBorder="1" applyAlignment="1">
      <alignment horizontal="right"/>
    </xf>
    <xf numFmtId="0" fontId="0" fillId="0" borderId="2" xfId="0" applyBorder="1"/>
    <xf numFmtId="164" fontId="10" fillId="2" borderId="0" xfId="1" applyNumberFormat="1" applyFont="1" applyFill="1" applyBorder="1"/>
    <xf numFmtId="164" fontId="10" fillId="2" borderId="0" xfId="1" applyNumberFormat="1" applyFont="1" applyFill="1" applyBorder="1" applyAlignment="1">
      <alignment horizontal="right"/>
    </xf>
    <xf numFmtId="164" fontId="11" fillId="2" borderId="0" xfId="1" applyNumberFormat="1" applyFont="1" applyFill="1" applyBorder="1" applyAlignment="1">
      <alignment horizontal="right"/>
    </xf>
    <xf numFmtId="166" fontId="5" fillId="3" borderId="3" xfId="0" applyNumberFormat="1" applyFont="1" applyFill="1" applyBorder="1" applyAlignment="1">
      <alignment horizontal="left"/>
    </xf>
    <xf numFmtId="0" fontId="5" fillId="2" borderId="3" xfId="0" applyFont="1" applyFill="1" applyBorder="1"/>
    <xf numFmtId="167" fontId="11" fillId="2" borderId="0" xfId="1" applyNumberFormat="1" applyFont="1" applyFill="1" applyBorder="1" applyAlignment="1">
      <alignment horizontal="right"/>
    </xf>
    <xf numFmtId="1" fontId="11" fillId="2" borderId="4" xfId="0" applyNumberFormat="1" applyFont="1" applyFill="1" applyBorder="1"/>
    <xf numFmtId="1" fontId="11" fillId="2" borderId="4" xfId="0" applyNumberFormat="1" applyFont="1" applyFill="1" applyBorder="1" applyAlignment="1">
      <alignment horizontal="right"/>
    </xf>
    <xf numFmtId="0" fontId="6" fillId="2" borderId="5" xfId="0" applyFont="1" applyFill="1" applyBorder="1"/>
    <xf numFmtId="0" fontId="8" fillId="2" borderId="3" xfId="0" applyFont="1" applyFill="1" applyBorder="1"/>
    <xf numFmtId="0" fontId="9" fillId="2" borderId="3" xfId="0" applyFont="1" applyFill="1" applyBorder="1"/>
    <xf numFmtId="0" fontId="5" fillId="2" borderId="3" xfId="0" applyFont="1" applyFill="1" applyBorder="1" applyAlignment="1">
      <alignment horizontal="left" indent="1"/>
    </xf>
    <xf numFmtId="0" fontId="5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1" fontId="4" fillId="2" borderId="0" xfId="0" applyNumberFormat="1" applyFont="1" applyFill="1" applyAlignment="1">
      <alignment horizontal="right"/>
    </xf>
    <xf numFmtId="165" fontId="11" fillId="2" borderId="0" xfId="0" applyNumberFormat="1" applyFont="1" applyFill="1" applyAlignment="1">
      <alignment horizontal="right"/>
    </xf>
    <xf numFmtId="1" fontId="11" fillId="2" borderId="0" xfId="0" applyNumberFormat="1" applyFont="1" applyFill="1" applyAlignment="1">
      <alignment horizontal="right"/>
    </xf>
    <xf numFmtId="0" fontId="7" fillId="2" borderId="10" xfId="0" applyFont="1" applyFill="1" applyBorder="1" applyAlignment="1">
      <alignment horizontal="right"/>
    </xf>
    <xf numFmtId="164" fontId="11" fillId="2" borderId="11" xfId="1" applyNumberFormat="1" applyFont="1" applyFill="1" applyBorder="1" applyAlignment="1">
      <alignment horizontal="right"/>
    </xf>
    <xf numFmtId="0" fontId="2" fillId="2" borderId="11" xfId="0" applyFont="1" applyFill="1" applyBorder="1" applyAlignment="1">
      <alignment horizontal="right"/>
    </xf>
    <xf numFmtId="164" fontId="10" fillId="2" borderId="11" xfId="1" applyNumberFormat="1" applyFont="1" applyFill="1" applyBorder="1"/>
    <xf numFmtId="165" fontId="11" fillId="2" borderId="11" xfId="0" applyNumberFormat="1" applyFont="1" applyFill="1" applyBorder="1" applyAlignment="1">
      <alignment horizontal="right"/>
    </xf>
    <xf numFmtId="164" fontId="10" fillId="2" borderId="11" xfId="1" applyNumberFormat="1" applyFont="1" applyFill="1" applyBorder="1" applyAlignment="1">
      <alignment horizontal="right"/>
    </xf>
    <xf numFmtId="1" fontId="11" fillId="2" borderId="11" xfId="0" applyNumberFormat="1" applyFont="1" applyFill="1" applyBorder="1" applyAlignment="1">
      <alignment horizontal="right"/>
    </xf>
    <xf numFmtId="167" fontId="11" fillId="2" borderId="11" xfId="1" applyNumberFormat="1" applyFont="1" applyFill="1" applyBorder="1" applyAlignment="1">
      <alignment horizontal="right"/>
    </xf>
    <xf numFmtId="1" fontId="11" fillId="2" borderId="12" xfId="0" applyNumberFormat="1" applyFont="1" applyFill="1" applyBorder="1" applyAlignment="1">
      <alignment horizontal="right"/>
    </xf>
    <xf numFmtId="3" fontId="13" fillId="0" borderId="0" xfId="2" applyNumberFormat="1" applyFont="1"/>
    <xf numFmtId="3" fontId="14" fillId="0" borderId="0" xfId="2" applyNumberFormat="1" applyFont="1"/>
    <xf numFmtId="3" fontId="15" fillId="5" borderId="0" xfId="3" applyNumberFormat="1" applyFont="1" applyFill="1" applyBorder="1" applyAlignment="1"/>
    <xf numFmtId="3" fontId="16" fillId="5" borderId="0" xfId="3" applyNumberFormat="1" applyFont="1" applyFill="1" applyBorder="1" applyAlignment="1"/>
    <xf numFmtId="0" fontId="15" fillId="0" borderId="13" xfId="4" applyNumberFormat="1" applyFont="1" applyBorder="1" applyAlignment="1">
      <alignment horizontal="center" vertical="center" wrapText="1"/>
    </xf>
    <xf numFmtId="169" fontId="17" fillId="0" borderId="0" xfId="2" applyNumberFormat="1" applyFont="1"/>
    <xf numFmtId="0" fontId="6" fillId="4" borderId="0" xfId="0" applyFont="1" applyFill="1"/>
    <xf numFmtId="0" fontId="5" fillId="4" borderId="0" xfId="0" applyFont="1" applyFill="1"/>
    <xf numFmtId="0" fontId="9" fillId="4" borderId="0" xfId="0" applyFont="1" applyFill="1"/>
    <xf numFmtId="0" fontId="18" fillId="0" borderId="0" xfId="0" applyFont="1"/>
    <xf numFmtId="0" fontId="19" fillId="4" borderId="0" xfId="0" applyFont="1" applyFill="1"/>
    <xf numFmtId="0" fontId="20" fillId="0" borderId="0" xfId="0" applyFont="1"/>
    <xf numFmtId="164" fontId="21" fillId="2" borderId="0" xfId="1" applyNumberFormat="1" applyFont="1" applyFill="1" applyBorder="1" applyAlignment="1">
      <alignment horizontal="right"/>
    </xf>
    <xf numFmtId="164" fontId="21" fillId="2" borderId="11" xfId="1" applyNumberFormat="1" applyFont="1" applyFill="1" applyBorder="1" applyAlignment="1">
      <alignment horizontal="right"/>
    </xf>
    <xf numFmtId="164" fontId="11" fillId="3" borderId="0" xfId="1" applyNumberFormat="1" applyFont="1" applyFill="1" applyBorder="1" applyAlignment="1">
      <alignment horizontal="right"/>
    </xf>
    <xf numFmtId="0" fontId="18" fillId="0" borderId="8" xfId="0" applyFont="1" applyBorder="1"/>
  </cellXfs>
  <cellStyles count="5">
    <cellStyle name="Comma" xfId="1" builtinId="3"/>
    <cellStyle name="Comma 4" xfId="4" xr:uid="{943FD786-9773-409F-A755-3E73442B9B7C}"/>
    <cellStyle name="Normal" xfId="0" builtinId="0"/>
    <cellStyle name="Normal 2" xfId="2" xr:uid="{8B5AED4A-B3FA-4108-9A23-AB7943F14E8B}"/>
    <cellStyle name="Percent 2" xfId="3" xr:uid="{5C490AEC-8068-4ABC-AAA4-FF7A5284D1D5}"/>
  </cellStyles>
  <dxfs count="3">
    <dxf>
      <fill>
        <patternFill>
          <bgColor theme="7" tint="0.79998168889431442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59F1-EA98-44AD-9B18-077EBE0A336A}">
  <sheetPr codeName="Sheet5"/>
  <dimension ref="A1:AA27"/>
  <sheetViews>
    <sheetView tabSelected="1" topLeftCell="N7" workbookViewId="0">
      <selection activeCell="R18" sqref="R18:U18"/>
    </sheetView>
  </sheetViews>
  <sheetFormatPr defaultRowHeight="14.75" x14ac:dyDescent="0.75"/>
  <cols>
    <col min="1" max="1" width="60.40625" customWidth="1"/>
    <col min="3" max="9" width="10.5" customWidth="1"/>
    <col min="10" max="10" width="10.90625" customWidth="1"/>
    <col min="11" max="11" width="10.76953125" customWidth="1"/>
    <col min="12" max="14" width="10.5" customWidth="1"/>
    <col min="15" max="15" width="11.31640625" customWidth="1"/>
    <col min="16" max="16" width="10.76953125" customWidth="1"/>
    <col min="17" max="18" width="10.5" customWidth="1"/>
    <col min="19" max="19" width="11.86328125" customWidth="1"/>
    <col min="20" max="20" width="12.26953125" customWidth="1"/>
    <col min="21" max="21" width="11.453125" customWidth="1"/>
    <col min="22" max="22" width="11.58984375" customWidth="1"/>
    <col min="23" max="23" width="12.1328125" customWidth="1"/>
    <col min="24" max="24" width="11.453125" customWidth="1"/>
    <col min="25" max="25" width="10.6328125" customWidth="1"/>
    <col min="26" max="27" width="11.04296875" customWidth="1"/>
  </cols>
  <sheetData>
    <row r="1" spans="1:27" ht="15.5" thickBot="1" x14ac:dyDescent="0.9">
      <c r="A1" s="1"/>
    </row>
    <row r="2" spans="1:27" ht="16.5" thickBot="1" x14ac:dyDescent="0.9">
      <c r="A2" s="42" t="s">
        <v>11</v>
      </c>
      <c r="C2" s="2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2">
        <v>2018</v>
      </c>
      <c r="K2" s="3">
        <v>2019</v>
      </c>
      <c r="L2" s="3">
        <v>2020</v>
      </c>
      <c r="M2" s="3">
        <v>2021</v>
      </c>
      <c r="N2" s="3">
        <v>2022</v>
      </c>
      <c r="O2" s="3">
        <v>2023</v>
      </c>
      <c r="P2" s="3">
        <v>2024</v>
      </c>
      <c r="Q2" s="27">
        <v>2025</v>
      </c>
      <c r="R2" s="3">
        <v>2026</v>
      </c>
      <c r="S2" s="3">
        <v>2027</v>
      </c>
      <c r="T2" s="3">
        <v>2028</v>
      </c>
      <c r="U2" s="3">
        <v>2029</v>
      </c>
      <c r="V2" s="3">
        <v>2030</v>
      </c>
      <c r="W2" s="3">
        <v>2031</v>
      </c>
    </row>
    <row r="3" spans="1:27" s="47" customFormat="1" ht="16.75" thickTop="1" x14ac:dyDescent="0.8">
      <c r="A3" s="46" t="s">
        <v>12</v>
      </c>
      <c r="C3" s="48">
        <v>1890.581270573294</v>
      </c>
      <c r="D3" s="48">
        <v>2199.9687608938075</v>
      </c>
      <c r="E3" s="48">
        <v>2247.4095805393881</v>
      </c>
      <c r="F3" s="48">
        <v>2386.91589400167</v>
      </c>
      <c r="G3" s="48">
        <v>2311.243256007625</v>
      </c>
      <c r="H3" s="48">
        <v>2223.2957901254381</v>
      </c>
      <c r="I3" s="48">
        <v>2211.8280389140896</v>
      </c>
      <c r="J3" s="48">
        <v>2466.2717773100003</v>
      </c>
      <c r="K3" s="48">
        <v>2659.2781329723011</v>
      </c>
      <c r="L3" s="48">
        <v>2541.6763749889669</v>
      </c>
      <c r="M3" s="48">
        <v>2895.0730804107761</v>
      </c>
      <c r="N3" s="48">
        <v>3612.757414311814</v>
      </c>
      <c r="O3" s="48">
        <v>3857.3152703487262</v>
      </c>
      <c r="P3" s="48">
        <v>4102.1873290917338</v>
      </c>
      <c r="Q3" s="49">
        <v>4376.0351966846538</v>
      </c>
      <c r="R3" s="48">
        <v>4525.7396597486349</v>
      </c>
      <c r="S3" s="48">
        <v>4694.3457190177496</v>
      </c>
      <c r="T3" s="48">
        <v>4882.6496995924344</v>
      </c>
      <c r="U3" s="48">
        <v>5080.965557294192</v>
      </c>
      <c r="V3" s="48">
        <v>5315.4457921831581</v>
      </c>
      <c r="W3" s="48">
        <v>5485.5747815356244</v>
      </c>
    </row>
    <row r="4" spans="1:27" x14ac:dyDescent="0.75">
      <c r="A4" s="43" t="s">
        <v>13</v>
      </c>
      <c r="C4" s="7">
        <v>207.62630271805133</v>
      </c>
      <c r="D4" s="7">
        <v>227.8885643694654</v>
      </c>
      <c r="E4" s="7">
        <v>230.18488969758295</v>
      </c>
      <c r="F4" s="7">
        <v>230.53352154417047</v>
      </c>
      <c r="G4" s="7">
        <v>252.092716050159</v>
      </c>
      <c r="H4" s="7">
        <v>282.91902888175366</v>
      </c>
      <c r="I4" s="7">
        <v>323.64078506130261</v>
      </c>
      <c r="J4" s="7">
        <v>323.06602852000003</v>
      </c>
      <c r="K4" s="7">
        <v>297.93062160812758</v>
      </c>
      <c r="L4" s="7">
        <v>345.20668041434971</v>
      </c>
      <c r="M4" s="7">
        <v>399.32342371923909</v>
      </c>
      <c r="N4" s="7">
        <v>492.96446619926945</v>
      </c>
      <c r="O4" s="7">
        <v>683.27263446611107</v>
      </c>
      <c r="P4" s="7">
        <v>728.4113858481802</v>
      </c>
      <c r="Q4" s="28">
        <v>828.54887876347686</v>
      </c>
      <c r="R4" s="7">
        <v>891.89045400924715</v>
      </c>
      <c r="S4" s="7">
        <v>935.21159700572559</v>
      </c>
      <c r="T4" s="7">
        <v>956.4436754309836</v>
      </c>
      <c r="U4" s="7">
        <v>958.54414167177504</v>
      </c>
      <c r="V4" s="7">
        <v>972.37585400655701</v>
      </c>
      <c r="W4" s="7">
        <v>939.49532098094767</v>
      </c>
    </row>
    <row r="5" spans="1:27" x14ac:dyDescent="0.75">
      <c r="A5" s="43" t="s">
        <v>14</v>
      </c>
      <c r="C5" s="7">
        <v>345.48402472328235</v>
      </c>
      <c r="D5" s="7">
        <v>398.40184759354781</v>
      </c>
      <c r="E5" s="7">
        <v>403.43128969811079</v>
      </c>
      <c r="F5" s="7">
        <v>425.64190501307093</v>
      </c>
      <c r="G5" s="7">
        <v>442.04050994513295</v>
      </c>
      <c r="H5" s="7">
        <v>440.10088399139909</v>
      </c>
      <c r="I5" s="7">
        <v>333.28620808744745</v>
      </c>
      <c r="J5" s="7">
        <v>366.93557398000002</v>
      </c>
      <c r="K5" s="7">
        <v>416.71332421895505</v>
      </c>
      <c r="L5" s="7">
        <v>425.80219389432381</v>
      </c>
      <c r="M5" s="7">
        <v>480.71122596392081</v>
      </c>
      <c r="N5" s="7">
        <v>577.55691581841688</v>
      </c>
      <c r="O5" s="7">
        <v>541.75319568895702</v>
      </c>
      <c r="P5" s="7">
        <v>559.57839532283811</v>
      </c>
      <c r="Q5" s="28">
        <v>676.0250224712272</v>
      </c>
      <c r="R5" s="7">
        <v>665.18127754291697</v>
      </c>
      <c r="S5" s="7">
        <v>663.77916456046512</v>
      </c>
      <c r="T5" s="7">
        <v>663.34746407176704</v>
      </c>
      <c r="U5" s="7">
        <v>667.69340163568563</v>
      </c>
      <c r="V5" s="7">
        <v>678.09249677036598</v>
      </c>
      <c r="W5" s="7">
        <v>677.23690169697352</v>
      </c>
    </row>
    <row r="6" spans="1:27" x14ac:dyDescent="0.75">
      <c r="A6" s="43" t="s">
        <v>15</v>
      </c>
      <c r="C6" s="7">
        <v>345.5688214580112</v>
      </c>
      <c r="D6" s="7">
        <v>361.55247478086255</v>
      </c>
      <c r="E6" s="7">
        <v>384.59796367716024</v>
      </c>
      <c r="F6" s="7">
        <v>368.49615218262363</v>
      </c>
      <c r="G6" s="7">
        <v>282.07954107669298</v>
      </c>
      <c r="H6" s="7">
        <v>226.39659381096908</v>
      </c>
      <c r="I6" s="7">
        <v>487.13386603290525</v>
      </c>
      <c r="J6" s="7">
        <v>562.26818792999995</v>
      </c>
      <c r="K6" s="7">
        <v>521.493398091936</v>
      </c>
      <c r="L6" s="7">
        <v>348.74189688909951</v>
      </c>
      <c r="M6" s="7">
        <v>397.26150612744345</v>
      </c>
      <c r="N6" s="7">
        <v>763.05873521715762</v>
      </c>
      <c r="O6" s="7">
        <v>679.96951332810363</v>
      </c>
      <c r="P6" s="7">
        <v>740.13166217804962</v>
      </c>
      <c r="Q6" s="28">
        <v>645.51973122726622</v>
      </c>
      <c r="R6" s="7">
        <v>649.54405467577681</v>
      </c>
      <c r="S6" s="7">
        <v>666.59108409854719</v>
      </c>
      <c r="T6" s="7">
        <v>704.76549526003623</v>
      </c>
      <c r="U6" s="7">
        <v>750.60742941562114</v>
      </c>
      <c r="V6" s="7">
        <v>799.15926845711476</v>
      </c>
      <c r="W6" s="7">
        <v>841.78181246021825</v>
      </c>
    </row>
    <row r="7" spans="1:27" s="45" customFormat="1" x14ac:dyDescent="0.75">
      <c r="A7" s="44" t="s">
        <v>16</v>
      </c>
      <c r="C7" s="6">
        <v>0</v>
      </c>
      <c r="D7" s="6">
        <v>0</v>
      </c>
      <c r="E7" s="6">
        <v>0</v>
      </c>
      <c r="F7" s="6">
        <v>270411.94500000001</v>
      </c>
      <c r="G7" s="6">
        <v>276956.39168999996</v>
      </c>
      <c r="H7" s="6">
        <v>267183</v>
      </c>
      <c r="I7" s="6">
        <v>662918.34925999993</v>
      </c>
      <c r="J7" s="6">
        <v>725339.51312000002</v>
      </c>
      <c r="K7" s="6">
        <v>745532.51297000004</v>
      </c>
      <c r="L7" s="6">
        <v>627416.92625999998</v>
      </c>
      <c r="M7" s="6">
        <v>633888.96921999997</v>
      </c>
      <c r="N7" s="6">
        <v>790079.92506000004</v>
      </c>
      <c r="O7" s="6">
        <v>734498.31530999998</v>
      </c>
      <c r="P7" s="6">
        <v>848594.80564000004</v>
      </c>
      <c r="Q7" s="32">
        <v>697221.70880999987</v>
      </c>
      <c r="R7" s="6">
        <v>970649.84389184194</v>
      </c>
      <c r="S7" s="6">
        <v>1024870.5902561649</v>
      </c>
      <c r="T7" s="6">
        <v>1074806.2318786536</v>
      </c>
      <c r="U7" s="6">
        <v>1127131.8665893695</v>
      </c>
      <c r="V7" s="6">
        <v>1186147.112614712</v>
      </c>
      <c r="W7" s="6">
        <v>1234946.3732970429</v>
      </c>
    </row>
    <row r="8" spans="1:27" x14ac:dyDescent="0.75">
      <c r="A8" s="43" t="s">
        <v>17</v>
      </c>
      <c r="C8" s="7">
        <v>151.42677189844926</v>
      </c>
      <c r="D8" s="7">
        <v>136.07097313718566</v>
      </c>
      <c r="E8" s="7">
        <v>225.69987494973122</v>
      </c>
      <c r="F8" s="7">
        <v>203.3182655808873</v>
      </c>
      <c r="G8" s="7">
        <v>117.80669559463368</v>
      </c>
      <c r="H8" s="7">
        <v>86.424093277594437</v>
      </c>
      <c r="I8" s="7">
        <v>123.6809372959932</v>
      </c>
      <c r="J8" s="7">
        <v>142.99183080454571</v>
      </c>
      <c r="K8" s="7">
        <v>100.32776262985463</v>
      </c>
      <c r="L8" s="7">
        <v>83.149746543495297</v>
      </c>
      <c r="M8" s="7">
        <v>149.45351661204421</v>
      </c>
      <c r="N8" s="7">
        <v>203.79222498491765</v>
      </c>
      <c r="O8" s="7">
        <v>201.36166246024169</v>
      </c>
      <c r="P8" s="7">
        <v>231.34806366289354</v>
      </c>
      <c r="Q8" s="28">
        <v>338.22707444821611</v>
      </c>
      <c r="R8" s="7">
        <v>441.04405582106676</v>
      </c>
      <c r="S8" s="7">
        <v>459.99188925961755</v>
      </c>
      <c r="T8" s="7">
        <v>480.82096389218248</v>
      </c>
      <c r="U8" s="7">
        <v>502.24401827130202</v>
      </c>
      <c r="V8" s="7">
        <v>526.12119524475668</v>
      </c>
      <c r="W8" s="7">
        <v>543.70392304004508</v>
      </c>
    </row>
    <row r="9" spans="1:27" x14ac:dyDescent="0.75">
      <c r="A9" s="43" t="s">
        <v>18</v>
      </c>
      <c r="C9" s="7">
        <v>0</v>
      </c>
      <c r="D9" s="7">
        <v>0</v>
      </c>
      <c r="E9" s="7">
        <v>0</v>
      </c>
      <c r="F9" s="7">
        <v>0</v>
      </c>
      <c r="G9" s="7">
        <v>31.275750264540573</v>
      </c>
      <c r="H9" s="7">
        <v>80.057527532402602</v>
      </c>
      <c r="I9" s="7">
        <v>158.03864383325856</v>
      </c>
      <c r="J9" s="7">
        <v>131.38635920567842</v>
      </c>
      <c r="K9" s="7">
        <v>37.400433960727383</v>
      </c>
      <c r="L9" s="7">
        <v>2.2570868859405442</v>
      </c>
      <c r="M9" s="7">
        <v>3.5235349063438157</v>
      </c>
      <c r="N9" s="7">
        <v>13.028563570340655</v>
      </c>
      <c r="O9" s="7">
        <v>19.692751649989368</v>
      </c>
      <c r="P9" s="7">
        <v>14.57908623456575</v>
      </c>
      <c r="Q9" s="28">
        <v>14.662559006543766</v>
      </c>
      <c r="R9" s="7">
        <v>40.255033591520196</v>
      </c>
      <c r="S9" s="7">
        <v>46.712075455038359</v>
      </c>
      <c r="T9" s="7">
        <v>49.560572715861738</v>
      </c>
      <c r="U9" s="7">
        <v>55.355686356361815</v>
      </c>
      <c r="V9" s="7">
        <v>55.291228017448226</v>
      </c>
      <c r="W9" s="7">
        <v>55.226844736360249</v>
      </c>
    </row>
    <row r="10" spans="1:27" x14ac:dyDescent="0.75">
      <c r="A10" s="43" t="s">
        <v>19</v>
      </c>
      <c r="C10" s="7">
        <v>251.8</v>
      </c>
      <c r="D10" s="7">
        <v>281.8</v>
      </c>
      <c r="E10" s="7">
        <v>293.60000000000002</v>
      </c>
      <c r="F10" s="7">
        <v>303.7</v>
      </c>
      <c r="G10" s="7">
        <v>338.06716604040901</v>
      </c>
      <c r="H10" s="7">
        <v>363.04844521815846</v>
      </c>
      <c r="I10" s="7">
        <v>381.07383339468572</v>
      </c>
      <c r="J10" s="7">
        <v>392</v>
      </c>
      <c r="K10" s="7">
        <v>458</v>
      </c>
      <c r="L10" s="7">
        <v>120.45744574748632</v>
      </c>
      <c r="M10" s="7">
        <v>149.89658754037657</v>
      </c>
      <c r="N10" s="7">
        <v>400.24686820857499</v>
      </c>
      <c r="O10" s="7">
        <v>563.80000000000007</v>
      </c>
      <c r="P10" s="7">
        <v>577.4</v>
      </c>
      <c r="Q10" s="28">
        <v>604.49477844476428</v>
      </c>
      <c r="R10" s="7">
        <v>658.89930850479311</v>
      </c>
      <c r="S10" s="7">
        <v>718.20024627022451</v>
      </c>
      <c r="T10" s="7">
        <v>782.83826843454483</v>
      </c>
      <c r="U10" s="7">
        <v>853.29371259365394</v>
      </c>
      <c r="V10" s="7">
        <v>840.54295611244754</v>
      </c>
      <c r="W10" s="7">
        <v>916.19182216256786</v>
      </c>
    </row>
    <row r="11" spans="1:27" x14ac:dyDescent="0.75">
      <c r="A11" s="43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28"/>
      <c r="R11" s="7"/>
      <c r="S11" s="7"/>
      <c r="T11" s="7"/>
      <c r="U11" s="7"/>
      <c r="V11" s="7"/>
      <c r="W11" s="7"/>
    </row>
    <row r="13" spans="1:27" ht="15.5" thickBot="1" x14ac:dyDescent="0.9"/>
    <row r="14" spans="1:27" s="4" customFormat="1" ht="16.5" thickBot="1" x14ac:dyDescent="0.9">
      <c r="A14" s="13" t="s">
        <v>0</v>
      </c>
      <c r="B14" s="18"/>
      <c r="C14" s="2">
        <v>2011</v>
      </c>
      <c r="D14" s="3">
        <v>2012</v>
      </c>
      <c r="E14" s="3">
        <v>2013</v>
      </c>
      <c r="F14" s="3">
        <v>2014</v>
      </c>
      <c r="G14" s="3">
        <v>2015</v>
      </c>
      <c r="H14" s="3">
        <v>2016</v>
      </c>
      <c r="I14" s="3">
        <v>2017</v>
      </c>
      <c r="J14" s="2">
        <v>2018</v>
      </c>
      <c r="K14" s="3">
        <v>2019</v>
      </c>
      <c r="L14" s="3">
        <v>2020</v>
      </c>
      <c r="M14" s="3">
        <v>2021</v>
      </c>
      <c r="N14" s="3">
        <v>2022</v>
      </c>
      <c r="O14" s="3">
        <v>2023</v>
      </c>
      <c r="P14" s="3">
        <v>2024</v>
      </c>
      <c r="Q14" s="27">
        <v>2025</v>
      </c>
      <c r="R14" s="3">
        <v>2026</v>
      </c>
      <c r="S14" s="3">
        <v>2027</v>
      </c>
      <c r="T14" s="3">
        <v>2028</v>
      </c>
      <c r="U14" s="3">
        <v>2029</v>
      </c>
      <c r="V14" s="3">
        <v>2030</v>
      </c>
      <c r="W14" s="3">
        <v>2031</v>
      </c>
      <c r="X14" s="3">
        <v>2032</v>
      </c>
      <c r="Y14" s="3">
        <v>2033</v>
      </c>
      <c r="Z14" s="3">
        <v>2034</v>
      </c>
      <c r="AA14" s="3">
        <v>2035</v>
      </c>
    </row>
    <row r="15" spans="1:27" ht="15.5" thickTop="1" x14ac:dyDescent="0.75">
      <c r="A15" s="14"/>
      <c r="B15" s="19"/>
      <c r="C15" s="21"/>
      <c r="D15" s="22"/>
      <c r="E15" s="22"/>
      <c r="F15" s="22"/>
      <c r="G15" s="23"/>
      <c r="H15" s="22"/>
      <c r="I15" s="24"/>
      <c r="J15" s="21"/>
      <c r="K15" s="22"/>
      <c r="L15" s="22"/>
      <c r="M15" s="22"/>
      <c r="N15" s="22"/>
      <c r="O15" s="22"/>
      <c r="P15" s="22"/>
      <c r="Q15" s="29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x14ac:dyDescent="0.75">
      <c r="A16" s="15" t="s">
        <v>6</v>
      </c>
      <c r="B16" s="19"/>
      <c r="C16" s="5">
        <v>8643.9647122466977</v>
      </c>
      <c r="D16" s="5">
        <v>9390.9336279317704</v>
      </c>
      <c r="E16" s="5">
        <v>9834.1714744299261</v>
      </c>
      <c r="F16" s="5">
        <v>10391.616915701008</v>
      </c>
      <c r="G16" s="5">
        <v>11313.391528313743</v>
      </c>
      <c r="H16" s="5">
        <v>11953.58760102242</v>
      </c>
      <c r="I16" s="5">
        <v>12515.876519878899</v>
      </c>
      <c r="J16" s="5">
        <v>13526.013207083997</v>
      </c>
      <c r="K16" s="5">
        <v>14782.056901374637</v>
      </c>
      <c r="L16" s="5">
        <v>14371.543681509447</v>
      </c>
      <c r="M16" s="5">
        <v>15580.392351523211</v>
      </c>
      <c r="N16" s="5">
        <v>17111.16184084928</v>
      </c>
      <c r="O16" s="5">
        <v>18575.816195395932</v>
      </c>
      <c r="P16" s="5">
        <v>19918.322202651048</v>
      </c>
      <c r="Q16" s="30">
        <v>21785.823925504126</v>
      </c>
      <c r="R16" s="5">
        <v>23407.413718786374</v>
      </c>
      <c r="S16" s="5">
        <v>25219.334010794893</v>
      </c>
      <c r="T16" s="5">
        <v>27040.049863588356</v>
      </c>
      <c r="U16" s="5">
        <v>28946.684092257339</v>
      </c>
      <c r="V16" s="5">
        <v>30967.85216717091</v>
      </c>
      <c r="W16" s="5">
        <v>33170.68094994784</v>
      </c>
      <c r="X16" s="5">
        <v>35127.380001404614</v>
      </c>
      <c r="Y16" s="5">
        <v>37249.279308034653</v>
      </c>
      <c r="Z16" s="5">
        <v>39556.400621111228</v>
      </c>
      <c r="AA16" s="5">
        <v>41998.82302253235</v>
      </c>
    </row>
    <row r="17" spans="1:27" x14ac:dyDescent="0.75">
      <c r="A17" s="16" t="s">
        <v>1</v>
      </c>
      <c r="B17" s="19"/>
      <c r="C17" s="25">
        <v>0.08</v>
      </c>
      <c r="D17" s="25">
        <v>8.6415081568620211E-2</v>
      </c>
      <c r="E17" s="25">
        <v>4.7198485694736281E-2</v>
      </c>
      <c r="F17" s="25">
        <v>5.6684535420244542E-2</v>
      </c>
      <c r="G17" s="25">
        <v>8.8703675288491324E-2</v>
      </c>
      <c r="H17" s="25">
        <v>5.6587458420976011E-2</v>
      </c>
      <c r="I17" s="25">
        <v>4.7039343971376768E-2</v>
      </c>
      <c r="J17" s="25">
        <v>8.0708425462707511E-2</v>
      </c>
      <c r="K17" s="25">
        <v>9.2861338744872013E-2</v>
      </c>
      <c r="L17" s="25">
        <v>-2.7771048549205313E-2</v>
      </c>
      <c r="M17" s="25">
        <v>8.4114044865554627E-2</v>
      </c>
      <c r="N17" s="25">
        <v>9.8249739466696573E-2</v>
      </c>
      <c r="O17" s="25">
        <v>8.5596429288051112E-2</v>
      </c>
      <c r="P17" s="25">
        <v>7.2271710332053152E-2</v>
      </c>
      <c r="Q17" s="31">
        <v>9.3757983421139723E-2</v>
      </c>
      <c r="R17" s="25">
        <v>7.4433255259347478E-2</v>
      </c>
      <c r="S17" s="25">
        <v>7.7407966286950528E-2</v>
      </c>
      <c r="T17" s="25">
        <v>7.2195239256283406E-2</v>
      </c>
      <c r="U17" s="25">
        <v>7.0511490854771777E-2</v>
      </c>
      <c r="V17" s="25">
        <v>6.9823820527139147E-2</v>
      </c>
      <c r="W17" s="25">
        <v>7.1132759575497931E-2</v>
      </c>
      <c r="X17" s="25">
        <v>5.8988811668029689E-2</v>
      </c>
      <c r="Y17" s="25">
        <v>6.0405851690196993E-2</v>
      </c>
      <c r="Z17" s="25">
        <v>6.1937340961625814E-2</v>
      </c>
      <c r="AA17" s="25">
        <v>6.1745314615850103E-2</v>
      </c>
    </row>
    <row r="18" spans="1:27" s="45" customFormat="1" x14ac:dyDescent="0.75">
      <c r="A18" s="15" t="s">
        <v>7</v>
      </c>
      <c r="B18" s="51"/>
      <c r="C18" s="6">
        <v>4083.6906404112769</v>
      </c>
      <c r="D18" s="6">
        <v>4642.0276830857829</v>
      </c>
      <c r="E18" s="6">
        <v>4988.3289696728434</v>
      </c>
      <c r="F18" s="6">
        <v>5548.208684458883</v>
      </c>
      <c r="G18" s="6">
        <v>6080.6997973200214</v>
      </c>
      <c r="H18" s="6">
        <v>6767.8535207461027</v>
      </c>
      <c r="I18" s="6">
        <v>7620.6512265938172</v>
      </c>
      <c r="J18" s="6">
        <v>8309.6901791273267</v>
      </c>
      <c r="K18" s="6">
        <v>9460.5127807163335</v>
      </c>
      <c r="L18" s="6">
        <v>9892.294847019637</v>
      </c>
      <c r="M18" s="6">
        <v>11124.891058123296</v>
      </c>
      <c r="N18" s="6">
        <v>14164.065283607491</v>
      </c>
      <c r="O18" s="6">
        <v>17177.002980138641</v>
      </c>
      <c r="P18" s="6">
        <v>19918.322202651048</v>
      </c>
      <c r="Q18" s="32">
        <v>23387.236301518624</v>
      </c>
      <c r="R18" s="6">
        <v>27398.668335893024</v>
      </c>
      <c r="S18" s="6">
        <v>30990.215973191382</v>
      </c>
      <c r="T18" s="6">
        <v>34891.630476386643</v>
      </c>
      <c r="U18" s="6">
        <v>39215.685454756807</v>
      </c>
      <c r="V18" s="6">
        <v>44056.005799947299</v>
      </c>
      <c r="W18" s="6">
        <v>49545.069511784728</v>
      </c>
      <c r="X18" s="6">
        <v>54196.741431597693</v>
      </c>
      <c r="Y18" s="6">
        <v>60414.642469468359</v>
      </c>
      <c r="Z18" s="6">
        <v>67503.84344367194</v>
      </c>
      <c r="AA18" s="6">
        <v>75321.232187367059</v>
      </c>
    </row>
    <row r="19" spans="1:27" x14ac:dyDescent="0.75">
      <c r="A19" s="16" t="s">
        <v>1</v>
      </c>
      <c r="B19" s="19"/>
      <c r="C19" s="25">
        <v>8.0000000000000071E-2</v>
      </c>
      <c r="D19" s="25">
        <v>0.13672363845324842</v>
      </c>
      <c r="E19" s="25">
        <v>7.4601297154879731E-2</v>
      </c>
      <c r="F19" s="25">
        <v>0.11223792941281485</v>
      </c>
      <c r="G19" s="25">
        <v>9.5975321611946995E-2</v>
      </c>
      <c r="H19" s="25">
        <v>0.11300569775356029</v>
      </c>
      <c r="I19" s="25">
        <v>0.12600711632330075</v>
      </c>
      <c r="J19" s="25">
        <v>9.0417332068546408E-2</v>
      </c>
      <c r="K19" s="25">
        <v>0.13849163768821349</v>
      </c>
      <c r="L19" s="25">
        <v>4.5640450608916083E-2</v>
      </c>
      <c r="M19" s="25">
        <v>0.12460164503436899</v>
      </c>
      <c r="N19" s="25">
        <v>0.27318687523371454</v>
      </c>
      <c r="O19" s="25">
        <v>0.21271701564508572</v>
      </c>
      <c r="P19" s="25">
        <v>0.15959240536210717</v>
      </c>
      <c r="Q19" s="31">
        <v>0.17415694271708682</v>
      </c>
      <c r="R19" s="25">
        <v>0.17152227747893067</v>
      </c>
      <c r="S19" s="25">
        <v>0.13108475175756373</v>
      </c>
      <c r="T19" s="25">
        <v>0.12589181393799409</v>
      </c>
      <c r="U19" s="25">
        <v>0.12392814320604839</v>
      </c>
      <c r="V19" s="25">
        <v>0.1234281713824632</v>
      </c>
      <c r="W19" s="25">
        <v>0.12459285884341331</v>
      </c>
      <c r="X19" s="25">
        <v>9.3887685811128385E-2</v>
      </c>
      <c r="Y19" s="25">
        <v>0.11472831896578772</v>
      </c>
      <c r="Z19" s="25">
        <v>0.11734243031871361</v>
      </c>
      <c r="AA19" s="25">
        <v>0.1158065725578763</v>
      </c>
    </row>
    <row r="20" spans="1:27" x14ac:dyDescent="0.75">
      <c r="A20" s="16" t="s">
        <v>10</v>
      </c>
      <c r="B20" s="19"/>
      <c r="C20" s="7">
        <v>3147.8531861710571</v>
      </c>
      <c r="D20" s="7">
        <v>3537.7419444380039</v>
      </c>
      <c r="E20" s="7">
        <v>3796.5318622957702</v>
      </c>
      <c r="F20" s="7">
        <v>4234.4608252706839</v>
      </c>
      <c r="G20" s="7">
        <v>4675.4019221968483</v>
      </c>
      <c r="H20" s="7">
        <v>5123.5710981071916</v>
      </c>
      <c r="I20" s="7">
        <v>5667.154510160115</v>
      </c>
      <c r="J20" s="7">
        <v>6376.5031073619648</v>
      </c>
      <c r="K20" s="7">
        <v>7420.9861968593341</v>
      </c>
      <c r="L20" s="7">
        <v>7499.4308879116443</v>
      </c>
      <c r="M20" s="7">
        <v>8740.6452660286941</v>
      </c>
      <c r="N20" s="7">
        <v>11058.090616399115</v>
      </c>
      <c r="O20" s="7">
        <v>13202.707280175211</v>
      </c>
      <c r="P20" s="7">
        <v>15776.648282778009</v>
      </c>
      <c r="Q20" s="28">
        <v>18638.767013882483</v>
      </c>
      <c r="R20" s="7">
        <v>21964.757607168252</v>
      </c>
      <c r="S20" s="7">
        <v>25052.038515715725</v>
      </c>
      <c r="T20" s="7">
        <v>28364.663754311223</v>
      </c>
      <c r="U20" s="7">
        <v>32041.947502737487</v>
      </c>
      <c r="V20" s="7">
        <v>36132.181271576846</v>
      </c>
      <c r="W20" s="7">
        <v>40851.130943378259</v>
      </c>
      <c r="X20" s="7">
        <v>44599.721907166597</v>
      </c>
      <c r="Y20" s="7">
        <v>49811.499073286315</v>
      </c>
      <c r="Z20" s="7">
        <v>55850.656723931184</v>
      </c>
      <c r="AA20" s="7">
        <v>62582.656979651409</v>
      </c>
    </row>
    <row r="21" spans="1:27" x14ac:dyDescent="0.75">
      <c r="A21" s="16" t="s">
        <v>8</v>
      </c>
      <c r="B21" s="19"/>
      <c r="C21" s="7">
        <v>84.294095036609207</v>
      </c>
      <c r="D21" s="7">
        <v>98.123691799846171</v>
      </c>
      <c r="E21" s="7">
        <v>108.47845056820711</v>
      </c>
      <c r="F21" s="7">
        <v>122.45258529416267</v>
      </c>
      <c r="G21" s="7">
        <v>130.56836881238519</v>
      </c>
      <c r="H21" s="7">
        <v>140.03413815914965</v>
      </c>
      <c r="I21" s="7">
        <v>159.33875095735544</v>
      </c>
      <c r="J21" s="7">
        <v>176.62403901048262</v>
      </c>
      <c r="K21" s="7">
        <v>192.02735535873137</v>
      </c>
      <c r="L21" s="7">
        <v>208.86985183184115</v>
      </c>
      <c r="M21" s="7">
        <v>249.70523835641245</v>
      </c>
      <c r="N21" s="7">
        <v>301.96551839347171</v>
      </c>
      <c r="O21" s="7">
        <v>366.68503117514189</v>
      </c>
      <c r="P21" s="7">
        <v>485.92000156355277</v>
      </c>
      <c r="Q21" s="28">
        <v>578.8975835191643</v>
      </c>
      <c r="R21" s="7">
        <v>669.6568503256085</v>
      </c>
      <c r="S21" s="7">
        <v>734.91231936319798</v>
      </c>
      <c r="T21" s="7">
        <v>813.06441320841839</v>
      </c>
      <c r="U21" s="7">
        <v>892.85252055885633</v>
      </c>
      <c r="V21" s="7">
        <v>983.16711792771764</v>
      </c>
      <c r="W21" s="7">
        <v>1074.8548529981354</v>
      </c>
      <c r="X21" s="7">
        <v>1189.6849894548145</v>
      </c>
      <c r="Y21" s="7">
        <v>1315.6852957224426</v>
      </c>
      <c r="Z21" s="7">
        <v>1441.5788685076709</v>
      </c>
      <c r="AA21" s="7">
        <v>1567.6334187028451</v>
      </c>
    </row>
    <row r="22" spans="1:27" x14ac:dyDescent="0.75">
      <c r="A22" s="8" t="s">
        <v>2</v>
      </c>
      <c r="B22" s="19"/>
      <c r="C22" s="7">
        <v>600.29320604267491</v>
      </c>
      <c r="D22" s="7">
        <v>614.29431630039051</v>
      </c>
      <c r="E22" s="7">
        <v>646.63949334820143</v>
      </c>
      <c r="F22" s="7">
        <v>682.43779531147175</v>
      </c>
      <c r="G22" s="7">
        <v>719.54</v>
      </c>
      <c r="H22" s="7">
        <v>787.2270116761639</v>
      </c>
      <c r="I22" s="7">
        <v>831.42755121763093</v>
      </c>
      <c r="J22" s="7">
        <v>861.08210413925633</v>
      </c>
      <c r="K22" s="7">
        <v>901.2008004999999</v>
      </c>
      <c r="L22" s="7">
        <v>945.1922248333334</v>
      </c>
      <c r="M22" s="7">
        <v>990.36278749999985</v>
      </c>
      <c r="N22" s="7">
        <v>1032.9918769999999</v>
      </c>
      <c r="O22" s="7">
        <v>1168.1139727499999</v>
      </c>
      <c r="P22" s="7">
        <v>1322.7254919166669</v>
      </c>
      <c r="Q22" s="28">
        <v>1428.4782755016431</v>
      </c>
      <c r="R22" s="7">
        <v>1487.8197300000002</v>
      </c>
      <c r="S22" s="7">
        <v>1555.5035715000001</v>
      </c>
      <c r="T22" s="7">
        <v>1633.2787500750003</v>
      </c>
      <c r="U22" s="7">
        <v>1706.5771134930005</v>
      </c>
      <c r="V22" s="7">
        <v>1766.1400009835406</v>
      </c>
      <c r="W22" s="7">
        <v>1819.1242010130468</v>
      </c>
      <c r="X22" s="7">
        <v>1873.6979270434381</v>
      </c>
      <c r="Y22" s="7">
        <v>1929.9088648547413</v>
      </c>
      <c r="Z22" s="7">
        <v>1987.8061308003837</v>
      </c>
      <c r="AA22" s="7">
        <v>2047.4403147243952</v>
      </c>
    </row>
    <row r="23" spans="1:27" x14ac:dyDescent="0.75">
      <c r="A23" s="9" t="s">
        <v>3</v>
      </c>
      <c r="B23" s="19"/>
      <c r="C23" s="26">
        <v>497</v>
      </c>
      <c r="D23" s="26">
        <v>609</v>
      </c>
      <c r="E23" s="26">
        <v>650</v>
      </c>
      <c r="F23" s="26">
        <v>803</v>
      </c>
      <c r="G23" s="26">
        <v>852</v>
      </c>
      <c r="H23" s="26">
        <v>1031</v>
      </c>
      <c r="I23" s="26">
        <v>1156</v>
      </c>
      <c r="J23" s="26">
        <v>1157.2308403149225</v>
      </c>
      <c r="K23" s="26">
        <v>1391.7024484833055</v>
      </c>
      <c r="L23" s="26">
        <v>1486.2474517770083</v>
      </c>
      <c r="M23" s="26">
        <v>1963.0862926032801</v>
      </c>
      <c r="N23" s="26">
        <v>2446.0476778694369</v>
      </c>
      <c r="O23" s="26">
        <v>2833.7764745389295</v>
      </c>
      <c r="P23" s="26">
        <v>3333.1980201759725</v>
      </c>
      <c r="Q23" s="33">
        <v>3521.3770808382355</v>
      </c>
      <c r="R23" s="26">
        <v>3902.4479946780652</v>
      </c>
      <c r="S23" s="26">
        <v>4426.4452791222084</v>
      </c>
      <c r="T23" s="26">
        <v>4987.6887775448549</v>
      </c>
      <c r="U23" s="26">
        <v>5653.8602890190832</v>
      </c>
      <c r="V23" s="26">
        <v>6354.6368156116787</v>
      </c>
      <c r="W23" s="26">
        <v>7084.5274895450166</v>
      </c>
      <c r="X23" s="26">
        <v>11303.361943304044</v>
      </c>
      <c r="Y23" s="26">
        <v>12874.631396452802</v>
      </c>
      <c r="Z23" s="26">
        <v>15824.237241423267</v>
      </c>
      <c r="AA23" s="26">
        <v>20506.493508511343</v>
      </c>
    </row>
    <row r="24" spans="1:27" x14ac:dyDescent="0.75">
      <c r="A24" s="9" t="s">
        <v>4</v>
      </c>
      <c r="B24" s="19"/>
      <c r="C24" s="7">
        <v>3319.6906404112769</v>
      </c>
      <c r="D24" s="7">
        <v>3714.0276830857829</v>
      </c>
      <c r="E24" s="7">
        <v>3898.3289696728434</v>
      </c>
      <c r="F24" s="7">
        <v>4347.208684458883</v>
      </c>
      <c r="G24" s="7">
        <v>4890.6997973200214</v>
      </c>
      <c r="H24" s="7">
        <v>5239.8535207461027</v>
      </c>
      <c r="I24" s="7">
        <v>5599.6512265938172</v>
      </c>
      <c r="J24" s="7">
        <v>6055.9501392674028</v>
      </c>
      <c r="K24" s="7">
        <v>6476.4597995413706</v>
      </c>
      <c r="L24" s="7">
        <v>7300.9325503851524</v>
      </c>
      <c r="M24" s="7">
        <v>8248.1781066949716</v>
      </c>
      <c r="N24" s="7">
        <v>8829.3189684718091</v>
      </c>
      <c r="O24" s="7">
        <v>11101.720690192471</v>
      </c>
      <c r="P24" s="7">
        <v>12626.057145304319</v>
      </c>
      <c r="Q24" s="28">
        <v>15057.001077564417</v>
      </c>
      <c r="R24" s="7">
        <v>17760.43019631652</v>
      </c>
      <c r="S24" s="7">
        <v>19393.711922470731</v>
      </c>
      <c r="T24" s="7">
        <v>21229.039748190917</v>
      </c>
      <c r="U24" s="7">
        <v>22847.980127548719</v>
      </c>
      <c r="V24" s="50">
        <v>24651.02165637193</v>
      </c>
      <c r="W24" s="7">
        <v>27632.139325467419</v>
      </c>
      <c r="X24" s="7">
        <v>25899.264502916612</v>
      </c>
      <c r="Y24" s="7">
        <v>27639.806145221279</v>
      </c>
      <c r="Z24" s="7">
        <v>27894.229643499024</v>
      </c>
      <c r="AA24" s="7">
        <v>26009.161402028567</v>
      </c>
    </row>
    <row r="25" spans="1:27" x14ac:dyDescent="0.75">
      <c r="A25" s="9" t="s">
        <v>5</v>
      </c>
      <c r="B25" s="19"/>
      <c r="C25" s="25">
        <v>2.0000000000000018E-2</v>
      </c>
      <c r="D25" s="25">
        <v>2.941176470588247E-2</v>
      </c>
      <c r="E25" s="25">
        <v>1.904761904761898E-2</v>
      </c>
      <c r="F25" s="25">
        <v>2.8037383177570208E-2</v>
      </c>
      <c r="G25" s="25">
        <v>2.7272727272727337E-2</v>
      </c>
      <c r="H25" s="25">
        <v>1.7699115044247815E-2</v>
      </c>
      <c r="I25" s="25">
        <v>2.6086956521739202E-2</v>
      </c>
      <c r="J25" s="25">
        <v>2.5423728813559254E-2</v>
      </c>
      <c r="K25" s="25">
        <v>2.4793388429752206E-2</v>
      </c>
      <c r="L25" s="25">
        <v>2.4193548387096753E-2</v>
      </c>
      <c r="M25" s="25">
        <v>2.3622047244094446E-2</v>
      </c>
      <c r="N25" s="25">
        <v>2.3076923076923217E-2</v>
      </c>
      <c r="O25" s="25">
        <v>2.2556390977443552E-2</v>
      </c>
      <c r="P25" s="25">
        <v>2.2058823529411908E-2</v>
      </c>
      <c r="Q25" s="31">
        <v>2.1582733812949506E-2</v>
      </c>
      <c r="R25" s="25">
        <v>1.5362323943661993E-2</v>
      </c>
      <c r="S25" s="25">
        <v>2.2170535807484182E-2</v>
      </c>
      <c r="T25" s="25">
        <v>2.21089262761891E-2</v>
      </c>
      <c r="U25" s="25">
        <v>2.201984380933153E-2</v>
      </c>
      <c r="V25" s="25">
        <v>2.1908578953669045E-2</v>
      </c>
      <c r="W25" s="25">
        <v>2.1779703824453156E-2</v>
      </c>
      <c r="X25" s="25">
        <v>2.1634645142439402E-2</v>
      </c>
      <c r="Y25" s="25">
        <v>2.1472485280456866E-2</v>
      </c>
      <c r="Z25" s="25">
        <v>2.1292156491994119E-2</v>
      </c>
      <c r="AA25" s="25">
        <v>2.108925056991251E-2</v>
      </c>
    </row>
    <row r="26" spans="1:27" x14ac:dyDescent="0.75">
      <c r="A26" s="9" t="s">
        <v>9</v>
      </c>
      <c r="B26" s="19"/>
      <c r="C26" s="10">
        <v>0</v>
      </c>
      <c r="D26" s="10">
        <v>4.630693897583793</v>
      </c>
      <c r="E26" s="10">
        <v>2.6167734039420409</v>
      </c>
      <c r="F26" s="10">
        <v>5.2573300857929439</v>
      </c>
      <c r="G26" s="10">
        <v>0.66791786309796652</v>
      </c>
      <c r="H26" s="10">
        <v>5.3396658159182264</v>
      </c>
      <c r="I26" s="10">
        <v>7.5420062108079389</v>
      </c>
      <c r="J26" s="10">
        <v>0.89838353963807016</v>
      </c>
      <c r="K26" s="10">
        <v>4.1753054413789403</v>
      </c>
      <c r="L26" s="10">
        <v>7.5508447931502021</v>
      </c>
      <c r="M26" s="10">
        <v>3.7346255553617036</v>
      </c>
      <c r="N26" s="10">
        <v>15.928720898396609</v>
      </c>
      <c r="O26" s="10">
        <v>11.709746175234038</v>
      </c>
      <c r="P26" s="10">
        <v>8.143523156366129</v>
      </c>
      <c r="Q26" s="34">
        <v>7.3507083390119687</v>
      </c>
      <c r="R26" s="10">
        <v>9.0363009283576101</v>
      </c>
      <c r="S26" s="10">
        <v>4.98202975569213</v>
      </c>
      <c r="T26" s="10">
        <v>5.0080967267637444</v>
      </c>
      <c r="U26" s="10">
        <v>4.989825219776467</v>
      </c>
      <c r="V26" s="10">
        <v>5.0105774265627456</v>
      </c>
      <c r="W26" s="10">
        <v>4.9909872319750859</v>
      </c>
      <c r="X26" s="10">
        <v>3.2954903544381242</v>
      </c>
      <c r="Y26" s="10">
        <v>5.1227996515678775</v>
      </c>
      <c r="Z26" s="10">
        <v>5.2173595578545173</v>
      </c>
      <c r="AA26" s="10">
        <v>5.0917350138329764</v>
      </c>
    </row>
    <row r="27" spans="1:27" ht="15.5" thickBot="1" x14ac:dyDescent="0.9">
      <c r="A27" s="17"/>
      <c r="B27" s="20"/>
      <c r="C27" s="11"/>
      <c r="D27" s="12"/>
      <c r="E27" s="12"/>
      <c r="F27" s="12"/>
      <c r="G27" s="12"/>
      <c r="H27" s="12"/>
      <c r="I27" s="12"/>
      <c r="J27" s="11"/>
      <c r="K27" s="12"/>
      <c r="L27" s="12"/>
      <c r="M27" s="12"/>
      <c r="N27" s="12"/>
      <c r="O27" s="12"/>
      <c r="P27" s="12"/>
      <c r="Q27" s="35"/>
      <c r="R27" s="12"/>
      <c r="S27" s="12"/>
      <c r="T27" s="12"/>
      <c r="U27" s="12"/>
      <c r="V27" s="12"/>
      <c r="W27" s="12"/>
      <c r="X27" s="12"/>
      <c r="Y27" s="12"/>
      <c r="Z27" s="12"/>
      <c r="AA2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2C69-934F-4414-873B-7F9677E29BA3}">
  <sheetPr codeName="Sheet1"/>
  <dimension ref="A1:F7"/>
  <sheetViews>
    <sheetView workbookViewId="0">
      <selection activeCell="A8" sqref="A8"/>
    </sheetView>
  </sheetViews>
  <sheetFormatPr defaultRowHeight="14.75" x14ac:dyDescent="0.75"/>
  <cols>
    <col min="1" max="1" width="57.40625" customWidth="1"/>
    <col min="5" max="5" width="13.76953125" customWidth="1"/>
    <col min="6" max="6" width="10.26953125" customWidth="1"/>
  </cols>
  <sheetData>
    <row r="1" spans="1:6" ht="24.5" customHeight="1" thickTop="1" thickBot="1" x14ac:dyDescent="0.9">
      <c r="A1" s="41" t="s">
        <v>25</v>
      </c>
      <c r="B1" s="40" t="s">
        <v>24</v>
      </c>
      <c r="C1" s="40" t="s">
        <v>23</v>
      </c>
      <c r="D1" s="40" t="s">
        <v>22</v>
      </c>
      <c r="E1" s="40" t="s">
        <v>21</v>
      </c>
      <c r="F1" s="40" t="s">
        <v>20</v>
      </c>
    </row>
    <row r="2" spans="1:6" ht="15.5" thickTop="1" x14ac:dyDescent="0.75">
      <c r="A2" s="15" t="s">
        <v>6</v>
      </c>
      <c r="B2" s="38">
        <v>5052</v>
      </c>
      <c r="C2" s="38">
        <v>5540</v>
      </c>
      <c r="D2" s="38">
        <v>5089</v>
      </c>
      <c r="E2" s="39">
        <f t="shared" ref="E2:E7" si="0">F2-SUM(B2:D2)</f>
        <v>6104.8239255041262</v>
      </c>
      <c r="F2" s="38">
        <f>ForREFOTO!Q16</f>
        <v>21785.823925504126</v>
      </c>
    </row>
    <row r="3" spans="1:6" x14ac:dyDescent="0.75">
      <c r="A3" s="15" t="s">
        <v>7</v>
      </c>
      <c r="B3" s="38">
        <v>5276</v>
      </c>
      <c r="C3" s="38">
        <v>5799</v>
      </c>
      <c r="D3" s="38">
        <v>5525</v>
      </c>
      <c r="E3" s="39">
        <f t="shared" si="0"/>
        <v>6787.2363015186238</v>
      </c>
      <c r="F3" s="38">
        <f>ForREFOTO!Q18</f>
        <v>23387.236301518624</v>
      </c>
    </row>
    <row r="4" spans="1:6" x14ac:dyDescent="0.75">
      <c r="A4" s="16" t="s">
        <v>10</v>
      </c>
      <c r="B4" s="38">
        <v>4196</v>
      </c>
      <c r="C4" s="38">
        <v>4458</v>
      </c>
      <c r="D4" s="38">
        <v>4713</v>
      </c>
      <c r="E4" s="39">
        <f t="shared" si="0"/>
        <v>5271.7670138824833</v>
      </c>
      <c r="F4" s="38">
        <f>ForREFOTO!Q20</f>
        <v>18638.767013882483</v>
      </c>
    </row>
    <row r="5" spans="1:6" x14ac:dyDescent="0.75">
      <c r="A5" s="16" t="s">
        <v>8</v>
      </c>
      <c r="B5" s="36">
        <v>180</v>
      </c>
      <c r="C5" s="36">
        <v>119</v>
      </c>
      <c r="D5" s="36">
        <v>120</v>
      </c>
      <c r="E5" s="37">
        <f t="shared" si="0"/>
        <v>159.8975835191643</v>
      </c>
      <c r="F5" s="36">
        <f>ForREFOTO!Q21</f>
        <v>578.8975835191643</v>
      </c>
    </row>
    <row r="6" spans="1:6" x14ac:dyDescent="0.75">
      <c r="A6" s="9" t="s">
        <v>3</v>
      </c>
      <c r="B6" s="36">
        <v>837</v>
      </c>
      <c r="C6" s="36">
        <v>912</v>
      </c>
      <c r="D6" s="36">
        <v>864</v>
      </c>
      <c r="E6" s="37">
        <f t="shared" si="0"/>
        <v>908.37708083823554</v>
      </c>
      <c r="F6" s="36">
        <f>ForREFOTO!Q23</f>
        <v>3521.3770808382355</v>
      </c>
    </row>
    <row r="7" spans="1:6" x14ac:dyDescent="0.75">
      <c r="A7" s="9" t="s">
        <v>4</v>
      </c>
      <c r="B7" s="36">
        <v>3234</v>
      </c>
      <c r="C7" s="36">
        <v>3916</v>
      </c>
      <c r="D7" s="36">
        <v>3305</v>
      </c>
      <c r="E7" s="37">
        <f t="shared" si="0"/>
        <v>4602.0010775644168</v>
      </c>
      <c r="F7" s="36">
        <f>ForREFOTO!Q24</f>
        <v>15057.001077564417</v>
      </c>
    </row>
  </sheetData>
  <conditionalFormatting sqref="B3:B7 D7:F7">
    <cfRule type="cellIs" dxfId="2" priority="10" operator="lessThan">
      <formula>0</formula>
    </cfRule>
  </conditionalFormatting>
  <conditionalFormatting sqref="B2:F7">
    <cfRule type="cellIs" dxfId="1" priority="2" operator="lessThan">
      <formula>0</formula>
    </cfRule>
  </conditionalFormatting>
  <conditionalFormatting sqref="B4:F7">
    <cfRule type="expression" dxfId="0" priority="1">
      <formula>B$54=1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ForREFOTO</vt:lpstr>
      <vt:lpstr>2025Qo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Evariste MANIRUMVA</dc:creator>
  <cp:lastModifiedBy>Evariste MANIRUMVA</cp:lastModifiedBy>
  <dcterms:created xsi:type="dcterms:W3CDTF">2026-02-25T15:38:37Z</dcterms:created>
  <dcterms:modified xsi:type="dcterms:W3CDTF">2026-03-18T16:54:54Z</dcterms:modified>
</cp:coreProperties>
</file>