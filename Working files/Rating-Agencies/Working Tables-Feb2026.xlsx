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1.xml" ContentType="application/vnd.openxmlformats-officedocument.themeOverrid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cuments\GitHub\MISC\Working files\Rating-Agencies\"/>
    </mc:Choice>
  </mc:AlternateContent>
  <xr:revisionPtr revIDLastSave="0" documentId="13_ncr:1_{DAF737CE-C0B8-4495-8DE5-87323E5DB5EE}" xr6:coauthVersionLast="47" xr6:coauthVersionMax="47" xr10:uidLastSave="{00000000-0000-0000-0000-000000000000}"/>
  <bookViews>
    <workbookView xWindow="-28920" yWindow="2025" windowWidth="29040" windowHeight="15720" activeTab="1" xr2:uid="{BFCAC876-2B89-4281-95D3-F76E7D27FE8F}"/>
  </bookViews>
  <sheets>
    <sheet name="HFIs" sheetId="2" r:id="rId1"/>
    <sheet name="QGDP_Gr" sheetId="1" r:id="rId2"/>
    <sheet name="Charts" sheetId="3" r:id="rId3"/>
    <sheet name="BOP" sheetId="5" r:id="rId4"/>
    <sheet name="Turnovers" sheetId="7" r:id="rId5"/>
    <sheet name="CIEA" sheetId="4" r:id="rId6"/>
    <sheet name="Tax" sheetId="6" r:id="rId7"/>
  </sheets>
  <externalReferences>
    <externalReference r:id="rId8"/>
    <externalReference r:id="rId9"/>
  </externalReferences>
  <definedNames>
    <definedName name="_xlnm.Print_Area" localSheetId="1">QGDP_Gr!$B$1:$BM$49</definedName>
    <definedName name="_xlnm.Print_Titles" localSheetId="1">QGDP_Gr!$5:$6</definedName>
    <definedName name="Products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09" i="7" l="1"/>
  <c r="C109" i="4"/>
  <c r="F38" i="4" s="1"/>
  <c r="F39" i="4"/>
  <c r="H38" i="4" s="1"/>
  <c r="G39" i="7"/>
  <c r="I38" i="7" s="1"/>
  <c r="F70" i="1"/>
  <c r="E70" i="1"/>
  <c r="F63" i="1"/>
  <c r="F58" i="1"/>
  <c r="F54" i="1"/>
  <c r="F52" i="1"/>
  <c r="E63" i="1"/>
  <c r="E58" i="1"/>
  <c r="E54" i="1"/>
  <c r="E52" i="1"/>
  <c r="H39" i="7" l="1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H7" i="4"/>
  <c r="I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J38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J36" i="7"/>
  <c r="J37" i="7"/>
  <c r="J39" i="7"/>
  <c r="J7" i="7"/>
  <c r="I7" i="7"/>
  <c r="H5" i="7"/>
  <c r="I11" i="7"/>
  <c r="I12" i="7"/>
  <c r="I13" i="7"/>
  <c r="I23" i="7"/>
  <c r="I24" i="7"/>
  <c r="I25" i="7"/>
  <c r="I26" i="7"/>
  <c r="I27" i="7"/>
  <c r="I31" i="7"/>
  <c r="I33" i="7"/>
  <c r="G4" i="7"/>
  <c r="G5" i="7"/>
  <c r="G6" i="7"/>
  <c r="G7" i="7"/>
  <c r="G8" i="7"/>
  <c r="G9" i="7"/>
  <c r="I8" i="7" s="1"/>
  <c r="G10" i="7"/>
  <c r="I9" i="7" s="1"/>
  <c r="G38" i="7"/>
  <c r="I37" i="7" s="1"/>
  <c r="G37" i="7"/>
  <c r="I36" i="7" s="1"/>
  <c r="G36" i="7"/>
  <c r="I35" i="7" s="1"/>
  <c r="G35" i="7"/>
  <c r="I34" i="7" s="1"/>
  <c r="G34" i="7"/>
  <c r="G33" i="7"/>
  <c r="G32" i="7"/>
  <c r="G31" i="7"/>
  <c r="I30" i="7" s="1"/>
  <c r="G30" i="7"/>
  <c r="I29" i="7" s="1"/>
  <c r="G29" i="7"/>
  <c r="I28" i="7" s="1"/>
  <c r="G28" i="7"/>
  <c r="G27" i="7"/>
  <c r="G26" i="7"/>
  <c r="G25" i="7"/>
  <c r="G24" i="7"/>
  <c r="G23" i="7"/>
  <c r="G22" i="7"/>
  <c r="G21" i="7"/>
  <c r="I20" i="7" s="1"/>
  <c r="G20" i="7"/>
  <c r="I19" i="7" s="1"/>
  <c r="G19" i="7"/>
  <c r="I18" i="7" s="1"/>
  <c r="G18" i="7"/>
  <c r="I17" i="7" s="1"/>
  <c r="G17" i="7"/>
  <c r="I16" i="7" s="1"/>
  <c r="G16" i="7"/>
  <c r="I15" i="7" s="1"/>
  <c r="G15" i="7"/>
  <c r="I14" i="7" s="1"/>
  <c r="G14" i="7"/>
  <c r="G13" i="7"/>
  <c r="G12" i="7"/>
  <c r="G11" i="7"/>
  <c r="I10" i="7" s="1"/>
  <c r="G38" i="4"/>
  <c r="F4" i="4"/>
  <c r="I22" i="7" l="1"/>
  <c r="I21" i="7"/>
  <c r="I32" i="7"/>
  <c r="H16" i="7"/>
  <c r="H15" i="7"/>
  <c r="H25" i="7"/>
  <c r="H35" i="7"/>
  <c r="H20" i="7"/>
  <c r="H8" i="7"/>
  <c r="H30" i="7"/>
  <c r="H14" i="7"/>
  <c r="H24" i="7"/>
  <c r="H34" i="7"/>
  <c r="H18" i="7"/>
  <c r="H19" i="7"/>
  <c r="H29" i="7"/>
  <c r="H13" i="7"/>
  <c r="H10" i="7"/>
  <c r="H11" i="7"/>
  <c r="H33" i="7"/>
  <c r="H21" i="7"/>
  <c r="H36" i="7"/>
  <c r="H26" i="7"/>
  <c r="H28" i="7"/>
  <c r="H6" i="7"/>
  <c r="H9" i="7"/>
  <c r="H38" i="7"/>
  <c r="H23" i="7"/>
  <c r="H31" i="7"/>
  <c r="H7" i="7"/>
  <c r="H12" i="7"/>
  <c r="H17" i="7"/>
  <c r="H22" i="7"/>
  <c r="H27" i="7"/>
  <c r="H37" i="7"/>
  <c r="H32" i="7"/>
  <c r="CF7" i="1" l="1"/>
  <c r="F37" i="4"/>
  <c r="F36" i="4"/>
  <c r="G36" i="4" s="1"/>
  <c r="F35" i="4"/>
  <c r="F34" i="4"/>
  <c r="F33" i="4"/>
  <c r="F32" i="4"/>
  <c r="F31" i="4"/>
  <c r="G31" i="4" s="1"/>
  <c r="F30" i="4"/>
  <c r="F29" i="4"/>
  <c r="F28" i="4"/>
  <c r="F27" i="4"/>
  <c r="F26" i="4"/>
  <c r="G26" i="4" s="1"/>
  <c r="F25" i="4"/>
  <c r="F24" i="4"/>
  <c r="F23" i="4"/>
  <c r="F22" i="4"/>
  <c r="F21" i="4"/>
  <c r="G21" i="4" s="1"/>
  <c r="F20" i="4"/>
  <c r="F19" i="4"/>
  <c r="F18" i="4"/>
  <c r="F17" i="4"/>
  <c r="F16" i="4"/>
  <c r="G16" i="4" s="1"/>
  <c r="F15" i="4"/>
  <c r="F14" i="4"/>
  <c r="F13" i="4"/>
  <c r="F12" i="4"/>
  <c r="F11" i="4"/>
  <c r="G11" i="4" s="1"/>
  <c r="F10" i="4"/>
  <c r="F9" i="4"/>
  <c r="F8" i="4"/>
  <c r="F7" i="4"/>
  <c r="F6" i="4"/>
  <c r="G6" i="4" s="1"/>
  <c r="F5" i="4"/>
  <c r="G5" i="4" s="1"/>
  <c r="S15" i="2"/>
  <c r="R15" i="2"/>
  <c r="P15" i="2"/>
  <c r="O15" i="2"/>
  <c r="N15" i="2"/>
  <c r="T32" i="2" s="1"/>
  <c r="M15" i="2"/>
  <c r="L15" i="2"/>
  <c r="K15" i="2"/>
  <c r="J15" i="2"/>
  <c r="I15" i="2"/>
  <c r="H15" i="2"/>
  <c r="G15" i="2"/>
  <c r="F15" i="2"/>
  <c r="P14" i="2"/>
  <c r="O14" i="2"/>
  <c r="N14" i="2"/>
  <c r="M14" i="2"/>
  <c r="L14" i="2"/>
  <c r="K14" i="2"/>
  <c r="J14" i="2"/>
  <c r="I14" i="2"/>
  <c r="H14" i="2"/>
  <c r="G14" i="2"/>
  <c r="F14" i="2"/>
  <c r="P13" i="2"/>
  <c r="O13" i="2"/>
  <c r="N13" i="2"/>
  <c r="M13" i="2"/>
  <c r="L13" i="2"/>
  <c r="K13" i="2"/>
  <c r="J13" i="2"/>
  <c r="I13" i="2"/>
  <c r="H13" i="2"/>
  <c r="G13" i="2"/>
  <c r="F13" i="2"/>
  <c r="P12" i="2"/>
  <c r="O12" i="2"/>
  <c r="N12" i="2"/>
  <c r="M12" i="2"/>
  <c r="L12" i="2"/>
  <c r="K12" i="2"/>
  <c r="J12" i="2"/>
  <c r="T29" i="2" s="1"/>
  <c r="I12" i="2"/>
  <c r="H12" i="2"/>
  <c r="G12" i="2"/>
  <c r="F12" i="2"/>
  <c r="P11" i="2"/>
  <c r="U28" i="2" s="1"/>
  <c r="O11" i="2"/>
  <c r="N11" i="2"/>
  <c r="M11" i="2"/>
  <c r="L11" i="2"/>
  <c r="K11" i="2"/>
  <c r="J11" i="2"/>
  <c r="I11" i="2"/>
  <c r="H11" i="2"/>
  <c r="G11" i="2"/>
  <c r="F11" i="2"/>
  <c r="P10" i="2"/>
  <c r="O10" i="2"/>
  <c r="N10" i="2"/>
  <c r="M10" i="2"/>
  <c r="L10" i="2"/>
  <c r="T10" i="2" s="1"/>
  <c r="K10" i="2"/>
  <c r="S10" i="2" s="1"/>
  <c r="J10" i="2"/>
  <c r="I10" i="2"/>
  <c r="H10" i="2"/>
  <c r="G10" i="2"/>
  <c r="F10" i="2"/>
  <c r="P9" i="2"/>
  <c r="O9" i="2"/>
  <c r="N9" i="2"/>
  <c r="M9" i="2"/>
  <c r="L9" i="2"/>
  <c r="K9" i="2"/>
  <c r="J9" i="2"/>
  <c r="I9" i="2"/>
  <c r="H9" i="2"/>
  <c r="G9" i="2"/>
  <c r="F9" i="2"/>
  <c r="P8" i="2"/>
  <c r="O8" i="2"/>
  <c r="N8" i="2"/>
  <c r="T25" i="2" s="1"/>
  <c r="M8" i="2"/>
  <c r="U8" i="2" s="1"/>
  <c r="L8" i="2"/>
  <c r="K8" i="2"/>
  <c r="J8" i="2"/>
  <c r="I8" i="2"/>
  <c r="H8" i="2"/>
  <c r="G8" i="2"/>
  <c r="F8" i="2"/>
  <c r="P7" i="2"/>
  <c r="O7" i="2"/>
  <c r="N7" i="2"/>
  <c r="M7" i="2"/>
  <c r="L7" i="2"/>
  <c r="K7" i="2"/>
  <c r="J7" i="2"/>
  <c r="I7" i="2"/>
  <c r="H7" i="2"/>
  <c r="G7" i="2"/>
  <c r="F7" i="2"/>
  <c r="T6" i="2"/>
  <c r="P6" i="2"/>
  <c r="U23" i="2" s="1"/>
  <c r="O6" i="2"/>
  <c r="N6" i="2"/>
  <c r="M6" i="2"/>
  <c r="L6" i="2"/>
  <c r="K6" i="2"/>
  <c r="J6" i="2"/>
  <c r="I6" i="2"/>
  <c r="H6" i="2"/>
  <c r="G6" i="2"/>
  <c r="F6" i="2"/>
  <c r="S23" i="2" s="1"/>
  <c r="P5" i="2"/>
  <c r="O5" i="2"/>
  <c r="N5" i="2"/>
  <c r="M5" i="2"/>
  <c r="L5" i="2"/>
  <c r="K5" i="2"/>
  <c r="J5" i="2"/>
  <c r="I5" i="2"/>
  <c r="U5" i="2" s="1"/>
  <c r="H5" i="2"/>
  <c r="G5" i="2"/>
  <c r="F5" i="2"/>
  <c r="U32" i="2" l="1"/>
  <c r="T27" i="2"/>
  <c r="S22" i="2"/>
  <c r="R14" i="2"/>
  <c r="S5" i="2"/>
  <c r="T5" i="2"/>
  <c r="U29" i="2"/>
  <c r="S28" i="2"/>
  <c r="S30" i="2"/>
  <c r="U13" i="2"/>
  <c r="U9" i="2"/>
  <c r="T26" i="2"/>
  <c r="T15" i="2"/>
  <c r="V15" i="2" s="1"/>
  <c r="T22" i="2"/>
  <c r="S24" i="2"/>
  <c r="U12" i="2"/>
  <c r="S14" i="2"/>
  <c r="U22" i="2"/>
  <c r="R5" i="2"/>
  <c r="S11" i="2"/>
  <c r="V11" i="2" s="1"/>
  <c r="U26" i="2"/>
  <c r="U11" i="2"/>
  <c r="T28" i="2"/>
  <c r="S32" i="2"/>
  <c r="U6" i="2"/>
  <c r="S25" i="2"/>
  <c r="U10" i="2"/>
  <c r="V10" i="2" s="1"/>
  <c r="V5" i="2"/>
  <c r="U31" i="2"/>
  <c r="T11" i="2"/>
  <c r="S13" i="2"/>
  <c r="T13" i="2"/>
  <c r="T8" i="2"/>
  <c r="S27" i="2"/>
  <c r="U15" i="2"/>
  <c r="S31" i="2"/>
  <c r="U30" i="2"/>
  <c r="U27" i="2"/>
  <c r="S7" i="2"/>
  <c r="R10" i="2"/>
  <c r="S26" i="2"/>
  <c r="S9" i="2"/>
  <c r="T24" i="2"/>
  <c r="T12" i="2"/>
  <c r="U24" i="2"/>
  <c r="T14" i="2"/>
  <c r="R6" i="2"/>
  <c r="U14" i="2"/>
  <c r="T7" i="2"/>
  <c r="U7" i="2"/>
  <c r="T9" i="2"/>
  <c r="S6" i="2"/>
  <c r="V6" i="2" s="1"/>
  <c r="T31" i="2"/>
  <c r="R9" i="2"/>
  <c r="R11" i="2"/>
  <c r="S12" i="2"/>
  <c r="S8" i="2"/>
  <c r="U25" i="2"/>
  <c r="T30" i="2"/>
  <c r="G18" i="4"/>
  <c r="G8" i="4"/>
  <c r="G13" i="4"/>
  <c r="G23" i="4"/>
  <c r="G28" i="4"/>
  <c r="G33" i="4"/>
  <c r="G9" i="4"/>
  <c r="G14" i="4"/>
  <c r="G19" i="4"/>
  <c r="G24" i="4"/>
  <c r="G29" i="4"/>
  <c r="G34" i="4"/>
  <c r="G10" i="4"/>
  <c r="G15" i="4"/>
  <c r="G20" i="4"/>
  <c r="G25" i="4"/>
  <c r="G30" i="4"/>
  <c r="G35" i="4"/>
  <c r="G37" i="4"/>
  <c r="G7" i="4"/>
  <c r="G12" i="4"/>
  <c r="G17" i="4"/>
  <c r="G22" i="4"/>
  <c r="G27" i="4"/>
  <c r="G32" i="4"/>
  <c r="S29" i="2"/>
  <c r="R7" i="2"/>
  <c r="R12" i="2"/>
  <c r="R8" i="2"/>
  <c r="R13" i="2"/>
  <c r="T23" i="2"/>
  <c r="V14" i="2" l="1"/>
  <c r="V13" i="2"/>
  <c r="V8" i="2"/>
  <c r="V7" i="2"/>
  <c r="V12" i="2"/>
  <c r="V9" i="2"/>
  <c r="D70" i="1"/>
  <c r="D68" i="1"/>
  <c r="D67" i="1"/>
  <c r="D66" i="1"/>
  <c r="D65" i="1"/>
  <c r="D64" i="1"/>
  <c r="D63" i="1"/>
  <c r="D61" i="1"/>
  <c r="E60" i="1"/>
  <c r="D60" i="1"/>
  <c r="D59" i="1"/>
  <c r="D58" i="1"/>
  <c r="D56" i="1"/>
  <c r="E55" i="1"/>
  <c r="D55" i="1"/>
  <c r="BF54" i="1"/>
  <c r="BE54" i="1"/>
  <c r="BE56" i="1" s="1"/>
  <c r="BD54" i="1"/>
  <c r="BD56" i="1" s="1"/>
  <c r="BC54" i="1"/>
  <c r="BC56" i="1" s="1"/>
  <c r="BB54" i="1"/>
  <c r="BB56" i="1" s="1"/>
  <c r="BA54" i="1"/>
  <c r="BA56" i="1" s="1"/>
  <c r="AZ54" i="1"/>
  <c r="AZ56" i="1" s="1"/>
  <c r="AY54" i="1"/>
  <c r="AY56" i="1" s="1"/>
  <c r="AX54" i="1"/>
  <c r="AX56" i="1" s="1"/>
  <c r="D54" i="1"/>
  <c r="D52" i="1"/>
  <c r="BF51" i="1"/>
  <c r="BE51" i="1"/>
  <c r="BE53" i="1" s="1"/>
  <c r="BD51" i="1"/>
  <c r="BD53" i="1" s="1"/>
  <c r="BC51" i="1"/>
  <c r="BC53" i="1" s="1"/>
  <c r="BB51" i="1"/>
  <c r="BB53" i="1" s="1"/>
  <c r="BA51" i="1"/>
  <c r="BA53" i="1" s="1"/>
  <c r="AZ51" i="1"/>
  <c r="AZ53" i="1" s="1"/>
  <c r="AY51" i="1"/>
  <c r="AY53" i="1" s="1"/>
  <c r="AX51" i="1"/>
  <c r="AX53" i="1" s="1"/>
  <c r="B49" i="1"/>
  <c r="B48" i="1"/>
  <c r="CH46" i="1"/>
  <c r="CG46" i="1"/>
  <c r="CF46" i="1"/>
  <c r="CH44" i="1"/>
  <c r="CG44" i="1"/>
  <c r="CF44" i="1"/>
  <c r="CH43" i="1"/>
  <c r="CG43" i="1"/>
  <c r="CF43" i="1"/>
  <c r="CH42" i="1"/>
  <c r="CG42" i="1"/>
  <c r="CF42" i="1"/>
  <c r="CH41" i="1"/>
  <c r="CG41" i="1"/>
  <c r="CF41" i="1"/>
  <c r="CH40" i="1"/>
  <c r="CG40" i="1"/>
  <c r="CF40" i="1"/>
  <c r="CH39" i="1"/>
  <c r="CG39" i="1"/>
  <c r="CF39" i="1"/>
  <c r="CH38" i="1"/>
  <c r="CG38" i="1"/>
  <c r="CF38" i="1"/>
  <c r="CH37" i="1"/>
  <c r="CG37" i="1"/>
  <c r="CF37" i="1"/>
  <c r="CH36" i="1"/>
  <c r="E68" i="1" s="1"/>
  <c r="CG36" i="1"/>
  <c r="CF36" i="1"/>
  <c r="CH35" i="1"/>
  <c r="CG35" i="1"/>
  <c r="CF35" i="1"/>
  <c r="CH34" i="1"/>
  <c r="E67" i="1" s="1"/>
  <c r="CG34" i="1"/>
  <c r="CF34" i="1"/>
  <c r="CH33" i="1"/>
  <c r="CG33" i="1"/>
  <c r="CF33" i="1"/>
  <c r="CH32" i="1"/>
  <c r="E66" i="1" s="1"/>
  <c r="CG32" i="1"/>
  <c r="CF32" i="1"/>
  <c r="CH31" i="1"/>
  <c r="E65" i="1" s="1"/>
  <c r="CG31" i="1"/>
  <c r="CF31" i="1"/>
  <c r="CH30" i="1"/>
  <c r="E64" i="1" s="1"/>
  <c r="CG30" i="1"/>
  <c r="CF30" i="1"/>
  <c r="CH29" i="1"/>
  <c r="CG29" i="1"/>
  <c r="CF29" i="1"/>
  <c r="CH28" i="1"/>
  <c r="E61" i="1" s="1"/>
  <c r="CG28" i="1"/>
  <c r="CF28" i="1"/>
  <c r="CH27" i="1"/>
  <c r="CG27" i="1"/>
  <c r="CF27" i="1"/>
  <c r="CH26" i="1"/>
  <c r="CG26" i="1"/>
  <c r="CF26" i="1"/>
  <c r="CH25" i="1"/>
  <c r="CG25" i="1"/>
  <c r="CF25" i="1"/>
  <c r="CH24" i="1"/>
  <c r="CG24" i="1"/>
  <c r="CF24" i="1"/>
  <c r="CH23" i="1"/>
  <c r="CG23" i="1"/>
  <c r="CF23" i="1"/>
  <c r="CH22" i="1"/>
  <c r="CG22" i="1"/>
  <c r="CF22" i="1"/>
  <c r="CH21" i="1"/>
  <c r="CG21" i="1"/>
  <c r="CF21" i="1"/>
  <c r="CH20" i="1"/>
  <c r="CG20" i="1"/>
  <c r="CF20" i="1"/>
  <c r="CH19" i="1"/>
  <c r="CG19" i="1"/>
  <c r="CF19" i="1"/>
  <c r="CH18" i="1"/>
  <c r="CG18" i="1"/>
  <c r="CF18" i="1"/>
  <c r="CH17" i="1"/>
  <c r="CG17" i="1"/>
  <c r="CF17" i="1"/>
  <c r="CH16" i="1"/>
  <c r="E59" i="1" s="1"/>
  <c r="CG16" i="1"/>
  <c r="CF16" i="1"/>
  <c r="CH15" i="1"/>
  <c r="CG15" i="1"/>
  <c r="CF15" i="1"/>
  <c r="CH14" i="1"/>
  <c r="CG14" i="1"/>
  <c r="CF14" i="1"/>
  <c r="CH13" i="1"/>
  <c r="CG13" i="1"/>
  <c r="CF13" i="1"/>
  <c r="CH12" i="1"/>
  <c r="CG12" i="1"/>
  <c r="CF12" i="1"/>
  <c r="CH11" i="1"/>
  <c r="E56" i="1" s="1"/>
  <c r="CG11" i="1"/>
  <c r="CF11" i="1"/>
  <c r="CH10" i="1"/>
  <c r="CG10" i="1"/>
  <c r="CF10" i="1"/>
  <c r="CH9" i="1"/>
  <c r="CG9" i="1"/>
  <c r="CF9" i="1"/>
  <c r="CH7" i="1"/>
  <c r="CG7" i="1"/>
</calcChain>
</file>

<file path=xl/sharedStrings.xml><?xml version="1.0" encoding="utf-8"?>
<sst xmlns="http://schemas.openxmlformats.org/spreadsheetml/2006/main" count="374" uniqueCount="236">
  <si>
    <t>Table 2A</t>
  </si>
  <si>
    <t>Gross Domestic Product by Kind of Activity</t>
  </si>
  <si>
    <t>Growthrates at constant 2024 prices</t>
  </si>
  <si>
    <t>(Percentage change from the previous year)</t>
  </si>
  <si>
    <t>Activity description</t>
  </si>
  <si>
    <t>ISIC4</t>
  </si>
  <si>
    <t>2006 Q1</t>
  </si>
  <si>
    <t>2006 Q2</t>
  </si>
  <si>
    <t>2006 Q3</t>
  </si>
  <si>
    <t>2006 Q4</t>
  </si>
  <si>
    <t>2007 Q1</t>
  </si>
  <si>
    <t>2007 Q2</t>
  </si>
  <si>
    <t>2007 Q3</t>
  </si>
  <si>
    <t>2007 Q4</t>
  </si>
  <si>
    <t>2008 Q1</t>
  </si>
  <si>
    <t>2008 Q2</t>
  </si>
  <si>
    <t>2008 Q3</t>
  </si>
  <si>
    <t>2008 Q4</t>
  </si>
  <si>
    <t>2009 Q1</t>
  </si>
  <si>
    <t>2009 Q2</t>
  </si>
  <si>
    <t>2009 Q3</t>
  </si>
  <si>
    <t>2009 Q4</t>
  </si>
  <si>
    <t>2010 Q1</t>
  </si>
  <si>
    <t>2010 Q2</t>
  </si>
  <si>
    <t>2010 Q3</t>
  </si>
  <si>
    <t>2010 Q4</t>
  </si>
  <si>
    <t>2011 Q1</t>
  </si>
  <si>
    <t>2011 Q2</t>
  </si>
  <si>
    <t>2011 Q3</t>
  </si>
  <si>
    <t>2011 Q4</t>
  </si>
  <si>
    <t>2012 Q1</t>
  </si>
  <si>
    <t>2012 Q2</t>
  </si>
  <si>
    <t>2012 Q3</t>
  </si>
  <si>
    <t>2012 Q4</t>
  </si>
  <si>
    <t>2013 Q1</t>
  </si>
  <si>
    <t>2013 Q2</t>
  </si>
  <si>
    <t>2013 Q3</t>
  </si>
  <si>
    <t>2013 Q4</t>
  </si>
  <si>
    <t>2014 Q1</t>
  </si>
  <si>
    <t>2014 Q2</t>
  </si>
  <si>
    <t>2014 Q3</t>
  </si>
  <si>
    <t>2014 Q4</t>
  </si>
  <si>
    <t>2015 Q1</t>
  </si>
  <si>
    <t>2015 Q2</t>
  </si>
  <si>
    <t>2015 Q3</t>
  </si>
  <si>
    <t>2015 Q4</t>
  </si>
  <si>
    <t>2016 Q1</t>
  </si>
  <si>
    <t>2016 Q2</t>
  </si>
  <si>
    <t>2016 Q3</t>
  </si>
  <si>
    <t>2016 Q4</t>
  </si>
  <si>
    <t>2017 Q1</t>
  </si>
  <si>
    <t>2017 Q2</t>
  </si>
  <si>
    <t>2017 Q3</t>
  </si>
  <si>
    <t>2017 Q4</t>
  </si>
  <si>
    <t>2018 Q1</t>
  </si>
  <si>
    <t>2018 Q2</t>
  </si>
  <si>
    <t>2018 Q3</t>
  </si>
  <si>
    <t>2018 Q4</t>
  </si>
  <si>
    <t>2019 Q1</t>
  </si>
  <si>
    <t>2019 Q2</t>
  </si>
  <si>
    <t>2019 Q3</t>
  </si>
  <si>
    <t>2019 Q4</t>
  </si>
  <si>
    <t>2020 Q1</t>
  </si>
  <si>
    <t>2020 Q2</t>
  </si>
  <si>
    <t>2020 Q3</t>
  </si>
  <si>
    <t>2020 Q4</t>
  </si>
  <si>
    <t>2021 Q1</t>
  </si>
  <si>
    <t>2021 Q2</t>
  </si>
  <si>
    <t>2021 Q3</t>
  </si>
  <si>
    <t>2021 Q4</t>
  </si>
  <si>
    <t>2022 Q1</t>
  </si>
  <si>
    <t>2022 Q2</t>
  </si>
  <si>
    <t>2022 Q3</t>
  </si>
  <si>
    <t>2022 Q4</t>
  </si>
  <si>
    <t>2023 Q1</t>
  </si>
  <si>
    <t>2023 Q2</t>
  </si>
  <si>
    <t>2023 Q3</t>
  </si>
  <si>
    <t>2023 Q4</t>
  </si>
  <si>
    <t>2024 Q1</t>
  </si>
  <si>
    <t>2024 Q2</t>
  </si>
  <si>
    <t>2024 Q3</t>
  </si>
  <si>
    <t>2024 Q4</t>
  </si>
  <si>
    <t>2025 Q1</t>
  </si>
  <si>
    <t>2025 Q2</t>
  </si>
  <si>
    <t>H1</t>
  </si>
  <si>
    <t>GROSS DOMESTIC PRODUCT (GDP)</t>
  </si>
  <si>
    <t>AGRICULTURE, FORESTRY &amp; FISHING</t>
  </si>
  <si>
    <t>A</t>
  </si>
  <si>
    <t>Food crops</t>
  </si>
  <si>
    <t>AA</t>
  </si>
  <si>
    <t>Export crops</t>
  </si>
  <si>
    <t>AB</t>
  </si>
  <si>
    <t>Livestock &amp; livestock products</t>
  </si>
  <si>
    <t>AC</t>
  </si>
  <si>
    <t>Forestry</t>
  </si>
  <si>
    <t>AD</t>
  </si>
  <si>
    <t>Fishing</t>
  </si>
  <si>
    <t>AE</t>
  </si>
  <si>
    <t>INDUSTRY</t>
  </si>
  <si>
    <t>B-F</t>
  </si>
  <si>
    <t>Mining &amp; quarrying</t>
  </si>
  <si>
    <t>B</t>
  </si>
  <si>
    <t>TOTAL MANUFACTURING</t>
  </si>
  <si>
    <t>C</t>
  </si>
  <si>
    <t>Of which: Food</t>
  </si>
  <si>
    <t>CA</t>
  </si>
  <si>
    <t xml:space="preserve">              Beverages &amp; tobacco</t>
  </si>
  <si>
    <t>CB</t>
  </si>
  <si>
    <t xml:space="preserve">             Textiles, clothing &amp; leather goods</t>
  </si>
  <si>
    <t>CC</t>
  </si>
  <si>
    <t xml:space="preserve">             Wood &amp; paper; printing</t>
  </si>
  <si>
    <t>CD</t>
  </si>
  <si>
    <t xml:space="preserve">             Chemicals, rubber &amp; plastic products</t>
  </si>
  <si>
    <t>CE</t>
  </si>
  <si>
    <t xml:space="preserve">             Non-metallic mineral products</t>
  </si>
  <si>
    <t>CF</t>
  </si>
  <si>
    <t xml:space="preserve">             Metal products, machinery &amp; equipment</t>
  </si>
  <si>
    <t>CG</t>
  </si>
  <si>
    <t xml:space="preserve">             Furniture &amp; other manufacturing </t>
  </si>
  <si>
    <t>CH</t>
  </si>
  <si>
    <t>Electricity</t>
  </si>
  <si>
    <t>D</t>
  </si>
  <si>
    <t>Water &amp; waste management</t>
  </si>
  <si>
    <t>E</t>
  </si>
  <si>
    <t>Construction</t>
  </si>
  <si>
    <t>F</t>
  </si>
  <si>
    <t>SERVICES</t>
  </si>
  <si>
    <t>G-T</t>
  </si>
  <si>
    <t>TRADE &amp;TRANSPORT</t>
  </si>
  <si>
    <t>G-H</t>
  </si>
  <si>
    <t>Maintenance &amp; repair of motor vehicles</t>
  </si>
  <si>
    <t>GA</t>
  </si>
  <si>
    <t>Wholesale &amp; retail trade</t>
  </si>
  <si>
    <t>GB</t>
  </si>
  <si>
    <t>Transport</t>
  </si>
  <si>
    <t>HA</t>
  </si>
  <si>
    <t>OTHER SERVICES</t>
  </si>
  <si>
    <t>I-T</t>
  </si>
  <si>
    <t>Hotels &amp; restaurants</t>
  </si>
  <si>
    <t>I</t>
  </si>
  <si>
    <t>Information &amp; communication</t>
  </si>
  <si>
    <t>J</t>
  </si>
  <si>
    <t>Financial services</t>
  </si>
  <si>
    <t>K</t>
  </si>
  <si>
    <t>Real estate activities</t>
  </si>
  <si>
    <t>L</t>
  </si>
  <si>
    <t>Professional, scientific &amp; technical activities</t>
  </si>
  <si>
    <t>M</t>
  </si>
  <si>
    <t>Administrative &amp; support service activities</t>
  </si>
  <si>
    <t>N</t>
  </si>
  <si>
    <t>Public administration &amp; defense; compulsory social security</t>
  </si>
  <si>
    <t>O</t>
  </si>
  <si>
    <t>Education</t>
  </si>
  <si>
    <t>P</t>
  </si>
  <si>
    <t>Human health &amp; social work activities</t>
  </si>
  <si>
    <t>Q</t>
  </si>
  <si>
    <t>Cultural, domestic &amp; other services</t>
  </si>
  <si>
    <t>R-T</t>
  </si>
  <si>
    <t>Taxes less subsidies on products</t>
  </si>
  <si>
    <t>Rebased 2024=100</t>
  </si>
  <si>
    <t>2025 (Q1,Q2)</t>
  </si>
  <si>
    <t>Q1</t>
  </si>
  <si>
    <t>Growth rates</t>
  </si>
  <si>
    <t>Real</t>
  </si>
  <si>
    <t>GDP, KP (rebased), 2024=100</t>
  </si>
  <si>
    <t>GDP, KP, 2017=100</t>
  </si>
  <si>
    <t>Deviation</t>
  </si>
  <si>
    <t>Levels</t>
  </si>
  <si>
    <t>Nominal</t>
  </si>
  <si>
    <t>GDP rebased, 2024=100</t>
  </si>
  <si>
    <t>GDP 2017=100</t>
  </si>
  <si>
    <t>Q1(Jan-Mar)</t>
  </si>
  <si>
    <t>Q2</t>
  </si>
  <si>
    <t>July-Aug</t>
  </si>
  <si>
    <t>Jan-Aug</t>
  </si>
  <si>
    <t>Jul-Aug</t>
  </si>
  <si>
    <t>Average(Jan-Aug)</t>
  </si>
  <si>
    <t>Real CIEA</t>
  </si>
  <si>
    <t>Real CIEA^</t>
  </si>
  <si>
    <t>Total turnovers (Real)</t>
  </si>
  <si>
    <t>Industry</t>
  </si>
  <si>
    <t>Mining and Quarrying</t>
  </si>
  <si>
    <t>Services</t>
  </si>
  <si>
    <t>Wholesale and Retail trade</t>
  </si>
  <si>
    <t>Wholesale and Retail trade*</t>
  </si>
  <si>
    <t>Accomodation and Food Services Activities</t>
  </si>
  <si>
    <t>Accomodation and food services</t>
  </si>
  <si>
    <t>Total turnovers (Nominal)</t>
  </si>
  <si>
    <t>*Wholesale and Retail trade; Repair of motor vehicles and motorcycles</t>
  </si>
  <si>
    <t>^Real Composite Index of economic activity</t>
  </si>
  <si>
    <t>%Change (YoY)</t>
  </si>
  <si>
    <t>Qo1 (Jan-Mar)</t>
  </si>
  <si>
    <t>Jan-August</t>
  </si>
  <si>
    <t>Total Turnovers (Nominal)</t>
  </si>
  <si>
    <t>Date</t>
  </si>
  <si>
    <t>Q3</t>
  </si>
  <si>
    <t>Q4</t>
  </si>
  <si>
    <t>Goods</t>
  </si>
  <si>
    <t xml:space="preserve">Goods </t>
  </si>
  <si>
    <t>Gross official reserves</t>
  </si>
  <si>
    <t>Current Account (- deficit)</t>
  </si>
  <si>
    <t>Exports (G&amp;S)</t>
  </si>
  <si>
    <t>Imports (G&amp;S)</t>
  </si>
  <si>
    <t xml:space="preserve">Reserves months of imports </t>
  </si>
  <si>
    <t>Tax Policy</t>
  </si>
  <si>
    <t>Actual collection</t>
  </si>
  <si>
    <t>Target</t>
  </si>
  <si>
    <t>Jul-Sep 2025 Performance</t>
  </si>
  <si>
    <t>Excise Tax on Beer</t>
  </si>
  <si>
    <t>Excise on Cigarettes</t>
  </si>
  <si>
    <t>Excise Tax on Airtime</t>
  </si>
  <si>
    <t>Excise on Cosmetic and beauty product</t>
  </si>
  <si>
    <t>Other Policies on Excise</t>
  </si>
  <si>
    <t>Vat on Telephones</t>
  </si>
  <si>
    <t>Vat on ICT Equipment</t>
  </si>
  <si>
    <t>Vat on Fossil Fuel</t>
  </si>
  <si>
    <t>Tax on Hybrid Vehicles</t>
  </si>
  <si>
    <t>Fuel levy</t>
  </si>
  <si>
    <t>Strategic Reserve Levies</t>
  </si>
  <si>
    <t>Capital Gains Tax</t>
  </si>
  <si>
    <t>Tourism Tax</t>
  </si>
  <si>
    <t>Environmental Levy</t>
  </si>
  <si>
    <t>Motor Vehicle Registration Fees</t>
  </si>
  <si>
    <t>Annual motor vehicle road user charge</t>
  </si>
  <si>
    <t>VAT on transport service of goods by road</t>
  </si>
  <si>
    <t>VAT on fee-based financial services</t>
  </si>
  <si>
    <t>Total</t>
  </si>
  <si>
    <t>2025 Q3</t>
  </si>
  <si>
    <t>Turnovers(Real)</t>
  </si>
  <si>
    <t>Scale to Million</t>
  </si>
  <si>
    <t>GDP(Real)</t>
  </si>
  <si>
    <t>CIEA(Real)</t>
  </si>
  <si>
    <t>YoY% change</t>
  </si>
  <si>
    <t>Qoq %Change</t>
  </si>
  <si>
    <t>QoQ% change</t>
  </si>
  <si>
    <t>YoY %change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</si>
</sst>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#,##0_ ;[Red]\-#,##0\ "/>
    <numFmt numFmtId="165" formatCode="#,##0.0_ ;[Red]\-#,##0.0\ "/>
    <numFmt numFmtId="166" formatCode="_-* #,##0.00\ _€_-;\-* #,##0.00\ _€_-;_-* &quot;-&quot;??\ _€_-;_-@_-"/>
    <numFmt numFmtId="167" formatCode="0.0%"/>
    <numFmt numFmtId="168" formatCode="[$-409]mmmm\ d\,\ yyyy;@"/>
    <numFmt numFmtId="169" formatCode="_(* #,##0.0_);_(* \(#,##0.0\);_(* &quot;-&quot;??_);_(@_)"/>
    <numFmt numFmtId="170" formatCode="0.0"/>
    <numFmt numFmtId="171" formatCode="_(* #,##0_);_(* \(#,##0\);_(* &quot;-&quot;??_);_(@_)"/>
  </numFmts>
  <fonts count="4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Cambria"/>
      <family val="1"/>
      <scheme val="major"/>
    </font>
    <font>
      <b/>
      <sz val="11"/>
      <name val="Cambria"/>
      <family val="1"/>
      <scheme val="major"/>
    </font>
    <font>
      <sz val="10"/>
      <name val="Cambria"/>
      <family val="1"/>
      <scheme val="major"/>
    </font>
    <font>
      <sz val="9"/>
      <name val="Cambria"/>
      <family val="1"/>
      <scheme val="major"/>
    </font>
    <font>
      <sz val="14"/>
      <name val="Cambria"/>
      <family val="1"/>
      <scheme val="major"/>
    </font>
    <font>
      <b/>
      <sz val="12"/>
      <name val="Cambria"/>
      <family val="1"/>
      <scheme val="major"/>
    </font>
    <font>
      <b/>
      <i/>
      <sz val="11"/>
      <name val="Cambria"/>
      <family val="1"/>
      <scheme val="major"/>
    </font>
    <font>
      <b/>
      <sz val="16"/>
      <name val="Cambria"/>
      <family val="1"/>
      <scheme val="major"/>
    </font>
    <font>
      <b/>
      <sz val="10"/>
      <name val="Cambria"/>
      <family val="1"/>
      <scheme val="major"/>
    </font>
    <font>
      <sz val="9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i/>
      <sz val="14"/>
      <name val="Cambria"/>
      <family val="1"/>
      <scheme val="major"/>
    </font>
    <font>
      <i/>
      <sz val="10"/>
      <name val="Cambria"/>
      <family val="1"/>
      <scheme val="major"/>
    </font>
    <font>
      <i/>
      <sz val="9.5"/>
      <name val="Cambria"/>
      <family val="1"/>
      <scheme val="major"/>
    </font>
    <font>
      <i/>
      <sz val="11"/>
      <color theme="1"/>
      <name val="Cambria"/>
      <family val="1"/>
      <scheme val="major"/>
    </font>
    <font>
      <i/>
      <sz val="9"/>
      <color theme="1"/>
      <name val="Cambria"/>
      <family val="1"/>
      <scheme val="major"/>
    </font>
    <font>
      <b/>
      <i/>
      <sz val="9"/>
      <name val="Cambria"/>
      <family val="1"/>
      <scheme val="major"/>
    </font>
    <font>
      <i/>
      <sz val="8"/>
      <name val="Cambria"/>
      <family val="1"/>
      <scheme val="major"/>
    </font>
    <font>
      <sz val="14"/>
      <color theme="1"/>
      <name val="Bahnschrift"/>
      <family val="2"/>
    </font>
    <font>
      <b/>
      <sz val="11"/>
      <color theme="1"/>
      <name val="Bahnschrift"/>
      <family val="2"/>
    </font>
    <font>
      <b/>
      <sz val="11"/>
      <color theme="1"/>
      <name val="Cambria"/>
      <family val="1"/>
      <scheme val="major"/>
    </font>
    <font>
      <b/>
      <sz val="10"/>
      <name val="Bahnschrift"/>
      <family val="2"/>
    </font>
    <font>
      <b/>
      <sz val="11"/>
      <name val="Bahnschrift"/>
      <family val="2"/>
    </font>
    <font>
      <sz val="11"/>
      <color theme="5" tint="-0.499984740745262"/>
      <name val="Cambria"/>
      <family val="1"/>
      <scheme val="major"/>
    </font>
    <font>
      <sz val="11"/>
      <color rgb="FFC00000"/>
      <name val="Cambria"/>
      <family val="1"/>
      <scheme val="major"/>
    </font>
    <font>
      <sz val="10"/>
      <name val="Bahnschrift"/>
      <family val="2"/>
    </font>
    <font>
      <b/>
      <sz val="14"/>
      <name val="Bahnschrift"/>
      <family val="2"/>
    </font>
    <font>
      <sz val="11"/>
      <color theme="1"/>
      <name val="Bahnschrift"/>
      <family val="2"/>
    </font>
    <font>
      <sz val="11"/>
      <color theme="1"/>
      <name val="Calibri"/>
      <family val="2"/>
      <charset val="1"/>
      <scheme val="minor"/>
    </font>
    <font>
      <b/>
      <sz val="9"/>
      <color rgb="FF000000"/>
      <name val="Bahnschrift"/>
      <family val="2"/>
    </font>
    <font>
      <b/>
      <sz val="11"/>
      <color rgb="FF002465"/>
      <name val="Bahnschrift"/>
      <family val="2"/>
    </font>
    <font>
      <b/>
      <sz val="9"/>
      <color rgb="FF002465"/>
      <name val="Bahnschrift"/>
      <family val="2"/>
    </font>
    <font>
      <sz val="9"/>
      <color rgb="FF000000"/>
      <name val="Bahnschrift"/>
      <family val="2"/>
    </font>
    <font>
      <sz val="11"/>
      <color theme="1"/>
      <name val="Bahnschrift Light"/>
      <family val="2"/>
    </font>
    <font>
      <b/>
      <sz val="11"/>
      <color theme="1"/>
      <name val="Calibri"/>
      <family val="2"/>
      <scheme val="minor"/>
    </font>
    <font>
      <sz val="11"/>
      <color theme="1"/>
      <name val="Cambria"/>
      <family val="2"/>
      <scheme val="major"/>
    </font>
    <font>
      <sz val="10"/>
      <color theme="1"/>
      <name val="Arial"/>
      <family val="2"/>
    </font>
    <font>
      <sz val="11"/>
      <name val="Cambria"/>
      <family val="2"/>
      <scheme val="major"/>
    </font>
    <font>
      <b/>
      <sz val="10"/>
      <color theme="1"/>
      <name val="Arial"/>
      <family val="2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11"/>
      <name val="Arial"/>
      <family val="2"/>
    </font>
    <font>
      <b/>
      <sz val="11"/>
      <color rgb="FF1F1F1F"/>
      <name val="Bahnschrift"/>
      <family val="2"/>
    </font>
    <font>
      <sz val="11"/>
      <color rgb="FF1F1F1F"/>
      <name val="Bahnschrift"/>
      <family val="2"/>
    </font>
    <font>
      <sz val="8"/>
      <name val="Calibri"/>
      <family val="2"/>
      <scheme val="minor"/>
    </font>
    <font>
      <sz val="11"/>
      <color rgb="FFFF0000"/>
      <name val="Cambria"/>
      <family val="2"/>
      <scheme val="major"/>
    </font>
  </fonts>
  <fills count="11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2" fillId="0" borderId="0"/>
    <xf numFmtId="166" fontId="2" fillId="0" borderId="0" applyFont="0" applyFill="0" applyBorder="0" applyAlignment="0" applyProtection="0"/>
    <xf numFmtId="0" fontId="31" fillId="0" borderId="0"/>
    <xf numFmtId="43" fontId="3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77">
    <xf numFmtId="0" fontId="0" fillId="0" borderId="0" xfId="0"/>
    <xf numFmtId="164" fontId="3" fillId="0" borderId="0" xfId="2" applyNumberFormat="1" applyFont="1"/>
    <xf numFmtId="164" fontId="4" fillId="0" borderId="0" xfId="2" applyNumberFormat="1" applyFont="1"/>
    <xf numFmtId="164" fontId="5" fillId="0" borderId="0" xfId="2" applyNumberFormat="1" applyFont="1" applyAlignment="1">
      <alignment horizontal="center"/>
    </xf>
    <xf numFmtId="164" fontId="5" fillId="0" borderId="0" xfId="2" applyNumberFormat="1" applyFont="1"/>
    <xf numFmtId="164" fontId="6" fillId="0" borderId="0" xfId="2" applyNumberFormat="1" applyFont="1"/>
    <xf numFmtId="164" fontId="3" fillId="0" borderId="0" xfId="2" applyNumberFormat="1" applyFont="1" applyAlignment="1">
      <alignment vertical="center"/>
    </xf>
    <xf numFmtId="164" fontId="3" fillId="0" borderId="0" xfId="2" applyNumberFormat="1" applyFont="1" applyAlignment="1">
      <alignment horizontal="center" vertical="center"/>
    </xf>
    <xf numFmtId="164" fontId="7" fillId="0" borderId="0" xfId="2" applyNumberFormat="1" applyFont="1" applyAlignment="1">
      <alignment vertical="center"/>
    </xf>
    <xf numFmtId="164" fontId="6" fillId="0" borderId="0" xfId="2" applyNumberFormat="1" applyFont="1" applyAlignment="1">
      <alignment vertical="center"/>
    </xf>
    <xf numFmtId="165" fontId="6" fillId="0" borderId="0" xfId="2" applyNumberFormat="1" applyFont="1" applyAlignment="1">
      <alignment vertical="center"/>
    </xf>
    <xf numFmtId="165" fontId="7" fillId="0" borderId="0" xfId="2" applyNumberFormat="1" applyFont="1" applyAlignment="1">
      <alignment vertical="center"/>
    </xf>
    <xf numFmtId="0" fontId="8" fillId="0" borderId="0" xfId="3" applyFont="1"/>
    <xf numFmtId="164" fontId="3" fillId="0" borderId="0" xfId="2" applyNumberFormat="1" applyFont="1" applyAlignment="1">
      <alignment horizontal="center"/>
    </xf>
    <xf numFmtId="164" fontId="7" fillId="0" borderId="0" xfId="2" applyNumberFormat="1" applyFont="1"/>
    <xf numFmtId="164" fontId="9" fillId="0" borderId="0" xfId="2" applyNumberFormat="1" applyFont="1"/>
    <xf numFmtId="49" fontId="10" fillId="0" borderId="1" xfId="4" applyNumberFormat="1" applyFont="1" applyBorder="1" applyAlignment="1">
      <alignment horizontal="center" vertical="center" wrapText="1"/>
    </xf>
    <xf numFmtId="49" fontId="4" fillId="0" borderId="1" xfId="4" applyNumberFormat="1" applyFont="1" applyBorder="1" applyAlignment="1">
      <alignment horizontal="center" vertical="center" wrapText="1"/>
    </xf>
    <xf numFmtId="0" fontId="11" fillId="0" borderId="1" xfId="4" applyNumberFormat="1" applyFont="1" applyBorder="1" applyAlignment="1">
      <alignment horizontal="center" vertical="center" wrapText="1"/>
    </xf>
    <xf numFmtId="164" fontId="6" fillId="0" borderId="0" xfId="2" applyNumberFormat="1" applyFont="1" applyAlignment="1">
      <alignment vertical="center" wrapText="1"/>
    </xf>
    <xf numFmtId="164" fontId="5" fillId="0" borderId="0" xfId="2" applyNumberFormat="1" applyFont="1" applyAlignment="1">
      <alignment vertical="center" wrapText="1"/>
    </xf>
    <xf numFmtId="164" fontId="4" fillId="0" borderId="0" xfId="2" applyNumberFormat="1" applyFont="1" applyAlignment="1">
      <alignment vertical="center" wrapText="1"/>
    </xf>
    <xf numFmtId="164" fontId="4" fillId="0" borderId="0" xfId="2" applyNumberFormat="1" applyFont="1" applyAlignment="1">
      <alignment horizontal="center" vertical="center" wrapText="1"/>
    </xf>
    <xf numFmtId="164" fontId="11" fillId="2" borderId="0" xfId="2" applyNumberFormat="1" applyFont="1" applyFill="1"/>
    <xf numFmtId="164" fontId="11" fillId="2" borderId="0" xfId="2" applyNumberFormat="1" applyFont="1" applyFill="1" applyAlignment="1">
      <alignment horizontal="center"/>
    </xf>
    <xf numFmtId="167" fontId="11" fillId="2" borderId="0" xfId="1" applyNumberFormat="1" applyFont="1" applyFill="1" applyBorder="1" applyAlignment="1"/>
    <xf numFmtId="167" fontId="11" fillId="3" borderId="0" xfId="1" applyNumberFormat="1" applyFont="1" applyFill="1" applyBorder="1" applyAlignment="1"/>
    <xf numFmtId="0" fontId="12" fillId="0" borderId="0" xfId="0" applyFont="1"/>
    <xf numFmtId="0" fontId="13" fillId="0" borderId="0" xfId="0" applyFont="1"/>
    <xf numFmtId="9" fontId="3" fillId="0" borderId="0" xfId="1" applyFont="1" applyBorder="1" applyAlignment="1"/>
    <xf numFmtId="9" fontId="11" fillId="2" borderId="0" xfId="1" applyFont="1" applyFill="1" applyBorder="1" applyAlignment="1"/>
    <xf numFmtId="9" fontId="13" fillId="0" borderId="0" xfId="1" applyFont="1" applyFill="1"/>
    <xf numFmtId="9" fontId="5" fillId="0" borderId="0" xfId="1" applyFont="1" applyFill="1" applyBorder="1" applyAlignment="1"/>
    <xf numFmtId="9" fontId="11" fillId="0" borderId="0" xfId="1" applyFont="1" applyFill="1" applyBorder="1" applyAlignment="1"/>
    <xf numFmtId="164" fontId="11" fillId="0" borderId="0" xfId="2" applyNumberFormat="1" applyFont="1"/>
    <xf numFmtId="164" fontId="11" fillId="0" borderId="0" xfId="2" applyNumberFormat="1" applyFont="1" applyAlignment="1">
      <alignment horizontal="center"/>
    </xf>
    <xf numFmtId="164" fontId="14" fillId="0" borderId="0" xfId="2" applyNumberFormat="1" applyFont="1"/>
    <xf numFmtId="164" fontId="15" fillId="0" borderId="0" xfId="2" applyNumberFormat="1" applyFont="1"/>
    <xf numFmtId="164" fontId="16" fillId="0" borderId="0" xfId="2" applyNumberFormat="1" applyFont="1" applyAlignment="1">
      <alignment horizontal="center"/>
    </xf>
    <xf numFmtId="9" fontId="15" fillId="0" borderId="0" xfId="1" applyFont="1" applyFill="1" applyBorder="1" applyAlignment="1"/>
    <xf numFmtId="0" fontId="17" fillId="0" borderId="0" xfId="0" applyFont="1"/>
    <xf numFmtId="0" fontId="18" fillId="0" borderId="0" xfId="0" applyFont="1"/>
    <xf numFmtId="3" fontId="3" fillId="0" borderId="0" xfId="2" applyNumberFormat="1" applyFont="1"/>
    <xf numFmtId="0" fontId="13" fillId="0" borderId="2" xfId="0" applyFont="1" applyBorder="1"/>
    <xf numFmtId="0" fontId="13" fillId="0" borderId="2" xfId="0" applyFont="1" applyBorder="1" applyAlignment="1">
      <alignment horizontal="center"/>
    </xf>
    <xf numFmtId="164" fontId="19" fillId="0" borderId="0" xfId="2" applyNumberFormat="1" applyFont="1"/>
    <xf numFmtId="164" fontId="20" fillId="0" borderId="0" xfId="2" applyNumberFormat="1" applyFont="1"/>
    <xf numFmtId="0" fontId="18" fillId="0" borderId="0" xfId="0" applyFont="1" applyAlignment="1">
      <alignment horizontal="center"/>
    </xf>
    <xf numFmtId="168" fontId="20" fillId="0" borderId="0" xfId="2" applyNumberFormat="1" applyFont="1" applyAlignment="1">
      <alignment horizontal="left"/>
    </xf>
    <xf numFmtId="0" fontId="23" fillId="0" borderId="0" xfId="0" applyFont="1"/>
    <xf numFmtId="164" fontId="22" fillId="0" borderId="7" xfId="0" applyNumberFormat="1" applyFont="1" applyBorder="1" applyAlignment="1">
      <alignment horizontal="center"/>
    </xf>
    <xf numFmtId="164" fontId="22" fillId="0" borderId="8" xfId="0" applyNumberFormat="1" applyFont="1" applyBorder="1" applyAlignment="1">
      <alignment horizontal="center"/>
    </xf>
    <xf numFmtId="0" fontId="13" fillId="0" borderId="0" xfId="0" applyFont="1" applyAlignment="1">
      <alignment horizontal="center"/>
    </xf>
    <xf numFmtId="0" fontId="23" fillId="0" borderId="0" xfId="0" applyFont="1" applyAlignment="1">
      <alignment horizontal="center" vertical="center"/>
    </xf>
    <xf numFmtId="167" fontId="13" fillId="0" borderId="0" xfId="0" applyNumberFormat="1" applyFont="1" applyAlignment="1">
      <alignment horizontal="center"/>
    </xf>
    <xf numFmtId="164" fontId="24" fillId="2" borderId="9" xfId="2" applyNumberFormat="1" applyFont="1" applyFill="1" applyBorder="1" applyAlignment="1">
      <alignment vertical="center"/>
    </xf>
    <xf numFmtId="167" fontId="11" fillId="2" borderId="0" xfId="1" applyNumberFormat="1" applyFont="1" applyFill="1" applyBorder="1" applyAlignment="1">
      <alignment vertical="center"/>
    </xf>
    <xf numFmtId="167" fontId="11" fillId="2" borderId="10" xfId="1" applyNumberFormat="1" applyFont="1" applyFill="1" applyBorder="1" applyAlignment="1">
      <alignment vertical="center"/>
    </xf>
    <xf numFmtId="164" fontId="13" fillId="0" borderId="0" xfId="0" applyNumberFormat="1" applyFont="1" applyAlignment="1">
      <alignment horizontal="center"/>
    </xf>
    <xf numFmtId="164" fontId="25" fillId="0" borderId="9" xfId="2" applyNumberFormat="1" applyFont="1" applyBorder="1" applyAlignment="1">
      <alignment vertical="center" wrapText="1"/>
    </xf>
    <xf numFmtId="164" fontId="4" fillId="0" borderId="10" xfId="2" applyNumberFormat="1" applyFont="1" applyBorder="1" applyAlignment="1">
      <alignment horizontal="center" vertical="center" wrapText="1"/>
    </xf>
    <xf numFmtId="0" fontId="26" fillId="3" borderId="0" xfId="0" applyFont="1" applyFill="1"/>
    <xf numFmtId="167" fontId="27" fillId="3" borderId="0" xfId="0" applyNumberFormat="1" applyFont="1" applyFill="1"/>
    <xf numFmtId="9" fontId="24" fillId="2" borderId="9" xfId="1" applyFont="1" applyFill="1" applyBorder="1" applyAlignment="1">
      <alignment vertical="center"/>
    </xf>
    <xf numFmtId="9" fontId="11" fillId="2" borderId="0" xfId="1" applyFont="1" applyFill="1" applyBorder="1" applyAlignment="1">
      <alignment vertical="center"/>
    </xf>
    <xf numFmtId="9" fontId="11" fillId="2" borderId="10" xfId="1" applyFont="1" applyFill="1" applyBorder="1" applyAlignment="1">
      <alignment vertical="center"/>
    </xf>
    <xf numFmtId="3" fontId="13" fillId="0" borderId="0" xfId="0" applyNumberFormat="1" applyFont="1"/>
    <xf numFmtId="164" fontId="28" fillId="0" borderId="9" xfId="2" applyNumberFormat="1" applyFont="1" applyBorder="1" applyAlignment="1">
      <alignment vertical="center"/>
    </xf>
    <xf numFmtId="9" fontId="5" fillId="0" borderId="0" xfId="1" applyFont="1" applyFill="1" applyBorder="1" applyAlignment="1">
      <alignment vertical="center"/>
    </xf>
    <xf numFmtId="9" fontId="5" fillId="0" borderId="10" xfId="1" applyFont="1" applyFill="1" applyBorder="1" applyAlignment="1">
      <alignment vertical="center"/>
    </xf>
    <xf numFmtId="3" fontId="27" fillId="3" borderId="0" xfId="0" applyNumberFormat="1" applyFont="1" applyFill="1"/>
    <xf numFmtId="164" fontId="24" fillId="0" borderId="9" xfId="2" applyNumberFormat="1" applyFont="1" applyBorder="1" applyAlignment="1">
      <alignment vertical="center"/>
    </xf>
    <xf numFmtId="9" fontId="11" fillId="0" borderId="0" xfId="1" applyFont="1" applyFill="1" applyBorder="1" applyAlignment="1">
      <alignment vertical="center"/>
    </xf>
    <xf numFmtId="9" fontId="11" fillId="0" borderId="10" xfId="1" applyFont="1" applyFill="1" applyBorder="1" applyAlignment="1">
      <alignment vertical="center"/>
    </xf>
    <xf numFmtId="164" fontId="28" fillId="2" borderId="9" xfId="2" applyNumberFormat="1" applyFont="1" applyFill="1" applyBorder="1" applyAlignment="1">
      <alignment vertical="center"/>
    </xf>
    <xf numFmtId="9" fontId="5" fillId="2" borderId="0" xfId="1" applyFont="1" applyFill="1" applyBorder="1" applyAlignment="1">
      <alignment vertical="center"/>
    </xf>
    <xf numFmtId="9" fontId="5" fillId="2" borderId="10" xfId="1" applyFont="1" applyFill="1" applyBorder="1" applyAlignment="1">
      <alignment vertical="center"/>
    </xf>
    <xf numFmtId="164" fontId="29" fillId="0" borderId="9" xfId="2" applyNumberFormat="1" applyFont="1" applyBorder="1" applyAlignment="1">
      <alignment vertical="center"/>
    </xf>
    <xf numFmtId="3" fontId="3" fillId="0" borderId="0" xfId="2" applyNumberFormat="1" applyFont="1" applyAlignment="1">
      <alignment vertical="center"/>
    </xf>
    <xf numFmtId="3" fontId="3" fillId="0" borderId="10" xfId="2" applyNumberFormat="1" applyFont="1" applyBorder="1" applyAlignment="1">
      <alignment vertical="center"/>
    </xf>
    <xf numFmtId="0" fontId="30" fillId="0" borderId="6" xfId="0" applyFont="1" applyBorder="1" applyAlignment="1">
      <alignment vertical="center"/>
    </xf>
    <xf numFmtId="0" fontId="13" fillId="0" borderId="7" xfId="0" applyFont="1" applyBorder="1" applyAlignment="1">
      <alignment vertical="center"/>
    </xf>
    <xf numFmtId="0" fontId="13" fillId="0" borderId="8" xfId="0" applyFont="1" applyBorder="1" applyAlignment="1">
      <alignment vertical="center"/>
    </xf>
    <xf numFmtId="0" fontId="31" fillId="0" borderId="0" xfId="5"/>
    <xf numFmtId="0" fontId="32" fillId="0" borderId="11" xfId="5" applyFont="1" applyBorder="1" applyAlignment="1">
      <alignment horizontal="right" vertical="center"/>
    </xf>
    <xf numFmtId="0" fontId="33" fillId="0" borderId="11" xfId="5" applyFont="1" applyBorder="1" applyAlignment="1">
      <alignment horizontal="center"/>
    </xf>
    <xf numFmtId="0" fontId="32" fillId="4" borderId="14" xfId="5" applyFont="1" applyFill="1" applyBorder="1" applyAlignment="1">
      <alignment horizontal="right" vertical="center"/>
    </xf>
    <xf numFmtId="17" fontId="32" fillId="5" borderId="13" xfId="5" applyNumberFormat="1" applyFont="1" applyFill="1" applyBorder="1" applyAlignment="1">
      <alignment horizontal="right" vertical="center"/>
    </xf>
    <xf numFmtId="0" fontId="32" fillId="4" borderId="15" xfId="5" applyFont="1" applyFill="1" applyBorder="1" applyAlignment="1">
      <alignment horizontal="right" vertical="center"/>
    </xf>
    <xf numFmtId="0" fontId="34" fillId="4" borderId="14" xfId="5" applyFont="1" applyFill="1" applyBorder="1" applyAlignment="1">
      <alignment horizontal="center" vertical="center"/>
    </xf>
    <xf numFmtId="17" fontId="34" fillId="5" borderId="13" xfId="5" applyNumberFormat="1" applyFont="1" applyFill="1" applyBorder="1" applyAlignment="1">
      <alignment horizontal="center" vertical="center"/>
    </xf>
    <xf numFmtId="17" fontId="34" fillId="5" borderId="14" xfId="5" applyNumberFormat="1" applyFont="1" applyFill="1" applyBorder="1" applyAlignment="1">
      <alignment horizontal="center" vertical="center"/>
    </xf>
    <xf numFmtId="0" fontId="34" fillId="4" borderId="15" xfId="5" applyFont="1" applyFill="1" applyBorder="1" applyAlignment="1">
      <alignment horizontal="center" vertical="center"/>
    </xf>
    <xf numFmtId="0" fontId="32" fillId="5" borderId="9" xfId="5" applyFont="1" applyFill="1" applyBorder="1" applyAlignment="1">
      <alignment horizontal="left" vertical="center"/>
    </xf>
    <xf numFmtId="43" fontId="32" fillId="4" borderId="10" xfId="6" applyFont="1" applyFill="1" applyBorder="1" applyAlignment="1">
      <alignment horizontal="center" vertical="center"/>
    </xf>
    <xf numFmtId="43" fontId="35" fillId="5" borderId="0" xfId="6" applyFont="1" applyFill="1" applyBorder="1" applyAlignment="1">
      <alignment horizontal="right" vertical="center"/>
    </xf>
    <xf numFmtId="43" fontId="32" fillId="4" borderId="10" xfId="6" applyFont="1" applyFill="1" applyBorder="1" applyAlignment="1">
      <alignment horizontal="right" vertical="center"/>
    </xf>
    <xf numFmtId="10" fontId="32" fillId="4" borderId="16" xfId="5" applyNumberFormat="1" applyFont="1" applyFill="1" applyBorder="1" applyAlignment="1">
      <alignment horizontal="center" vertical="center"/>
    </xf>
    <xf numFmtId="10" fontId="32" fillId="5" borderId="0" xfId="5" applyNumberFormat="1" applyFont="1" applyFill="1" applyAlignment="1">
      <alignment horizontal="center" vertical="center"/>
    </xf>
    <xf numFmtId="43" fontId="32" fillId="4" borderId="16" xfId="6" applyFont="1" applyFill="1" applyBorder="1" applyAlignment="1">
      <alignment horizontal="left" vertical="center"/>
    </xf>
    <xf numFmtId="43" fontId="32" fillId="4" borderId="16" xfId="6" applyFont="1" applyFill="1" applyBorder="1" applyAlignment="1">
      <alignment horizontal="right" vertical="center"/>
    </xf>
    <xf numFmtId="169" fontId="32" fillId="4" borderId="10" xfId="5" applyNumberFormat="1" applyFont="1" applyFill="1" applyBorder="1" applyAlignment="1">
      <alignment horizontal="right" vertical="center"/>
    </xf>
    <xf numFmtId="169" fontId="32" fillId="4" borderId="10" xfId="5" applyNumberFormat="1" applyFont="1" applyFill="1" applyBorder="1" applyAlignment="1">
      <alignment horizontal="center" vertical="center"/>
    </xf>
    <xf numFmtId="0" fontId="35" fillId="5" borderId="9" xfId="5" applyFont="1" applyFill="1" applyBorder="1" applyAlignment="1">
      <alignment horizontal="left" vertical="center"/>
    </xf>
    <xf numFmtId="10" fontId="35" fillId="4" borderId="16" xfId="5" applyNumberFormat="1" applyFont="1" applyFill="1" applyBorder="1" applyAlignment="1">
      <alignment horizontal="center" vertical="center"/>
    </xf>
    <xf numFmtId="10" fontId="35" fillId="5" borderId="0" xfId="5" applyNumberFormat="1" applyFont="1" applyFill="1" applyAlignment="1">
      <alignment horizontal="center" vertical="center"/>
    </xf>
    <xf numFmtId="0" fontId="35" fillId="5" borderId="9" xfId="5" applyFont="1" applyFill="1" applyBorder="1" applyAlignment="1">
      <alignment horizontal="left" vertical="center" indent="1"/>
    </xf>
    <xf numFmtId="0" fontId="35" fillId="5" borderId="6" xfId="5" applyFont="1" applyFill="1" applyBorder="1" applyAlignment="1">
      <alignment horizontal="left" vertical="center"/>
    </xf>
    <xf numFmtId="10" fontId="35" fillId="4" borderId="17" xfId="5" applyNumberFormat="1" applyFont="1" applyFill="1" applyBorder="1" applyAlignment="1">
      <alignment horizontal="center" vertical="center"/>
    </xf>
    <xf numFmtId="10" fontId="35" fillId="5" borderId="7" xfId="5" applyNumberFormat="1" applyFont="1" applyFill="1" applyBorder="1" applyAlignment="1">
      <alignment horizontal="center" vertical="center"/>
    </xf>
    <xf numFmtId="0" fontId="32" fillId="5" borderId="6" xfId="5" applyFont="1" applyFill="1" applyBorder="1" applyAlignment="1">
      <alignment horizontal="left" vertical="center"/>
    </xf>
    <xf numFmtId="10" fontId="32" fillId="4" borderId="17" xfId="5" applyNumberFormat="1" applyFont="1" applyFill="1" applyBorder="1" applyAlignment="1">
      <alignment horizontal="center" vertical="center"/>
    </xf>
    <xf numFmtId="0" fontId="38" fillId="6" borderId="16" xfId="0" applyFont="1" applyFill="1" applyBorder="1" applyAlignment="1">
      <alignment wrapText="1"/>
    </xf>
    <xf numFmtId="3" fontId="38" fillId="3" borderId="0" xfId="0" applyNumberFormat="1" applyFont="1" applyFill="1" applyAlignment="1">
      <alignment wrapText="1"/>
    </xf>
    <xf numFmtId="17" fontId="38" fillId="7" borderId="16" xfId="0" applyNumberFormat="1" applyFont="1" applyFill="1" applyBorder="1" applyAlignment="1">
      <alignment wrapText="1"/>
    </xf>
    <xf numFmtId="170" fontId="39" fillId="0" borderId="0" xfId="0" applyNumberFormat="1" applyFont="1"/>
    <xf numFmtId="17" fontId="38" fillId="0" borderId="16" xfId="0" applyNumberFormat="1" applyFont="1" applyBorder="1" applyAlignment="1">
      <alignment wrapText="1"/>
    </xf>
    <xf numFmtId="0" fontId="37" fillId="0" borderId="0" xfId="0" applyFont="1"/>
    <xf numFmtId="17" fontId="40" fillId="0" borderId="16" xfId="0" applyNumberFormat="1" applyFont="1" applyBorder="1" applyAlignment="1">
      <alignment wrapText="1"/>
    </xf>
    <xf numFmtId="170" fontId="0" fillId="0" borderId="0" xfId="0" applyNumberFormat="1"/>
    <xf numFmtId="170" fontId="41" fillId="0" borderId="0" xfId="0" applyNumberFormat="1" applyFont="1"/>
    <xf numFmtId="167" fontId="0" fillId="0" borderId="0" xfId="1" applyNumberFormat="1" applyFont="1"/>
    <xf numFmtId="1" fontId="0" fillId="0" borderId="0" xfId="0" applyNumberFormat="1"/>
    <xf numFmtId="17" fontId="38" fillId="8" borderId="16" xfId="0" applyNumberFormat="1" applyFont="1" applyFill="1" applyBorder="1" applyAlignment="1">
      <alignment wrapText="1"/>
    </xf>
    <xf numFmtId="17" fontId="38" fillId="0" borderId="0" xfId="0" applyNumberFormat="1" applyFont="1"/>
    <xf numFmtId="0" fontId="38" fillId="0" borderId="0" xfId="0" applyFont="1"/>
    <xf numFmtId="0" fontId="42" fillId="0" borderId="0" xfId="0" applyFont="1" applyAlignment="1">
      <alignment vertical="center" wrapText="1" readingOrder="1"/>
    </xf>
    <xf numFmtId="0" fontId="43" fillId="0" borderId="0" xfId="0" applyFont="1" applyAlignment="1">
      <alignment vertical="center" wrapText="1" readingOrder="1"/>
    </xf>
    <xf numFmtId="0" fontId="0" fillId="0" borderId="0" xfId="0" applyAlignment="1">
      <alignment vertical="center"/>
    </xf>
    <xf numFmtId="170" fontId="42" fillId="0" borderId="0" xfId="0" applyNumberFormat="1" applyFont="1" applyAlignment="1">
      <alignment vertical="center" wrapText="1" readingOrder="1"/>
    </xf>
    <xf numFmtId="2" fontId="43" fillId="0" borderId="0" xfId="0" applyNumberFormat="1" applyFont="1" applyAlignment="1">
      <alignment vertical="center" wrapText="1" readingOrder="1"/>
    </xf>
    <xf numFmtId="0" fontId="44" fillId="9" borderId="3" xfId="0" applyFont="1" applyFill="1" applyBorder="1" applyAlignment="1">
      <alignment vertical="center" wrapText="1" readingOrder="1"/>
    </xf>
    <xf numFmtId="170" fontId="43" fillId="0" borderId="0" xfId="0" applyNumberFormat="1" applyFont="1" applyAlignment="1">
      <alignment vertical="center" wrapText="1" readingOrder="1"/>
    </xf>
    <xf numFmtId="0" fontId="44" fillId="9" borderId="18" xfId="0" applyFont="1" applyFill="1" applyBorder="1" applyAlignment="1">
      <alignment horizontal="right" vertical="center" wrapText="1" readingOrder="1"/>
    </xf>
    <xf numFmtId="0" fontId="44" fillId="9" borderId="19" xfId="0" applyFont="1" applyFill="1" applyBorder="1" applyAlignment="1">
      <alignment horizontal="right" vertical="center" wrapText="1" readingOrder="1"/>
    </xf>
    <xf numFmtId="0" fontId="44" fillId="9" borderId="20" xfId="0" applyFont="1" applyFill="1" applyBorder="1" applyAlignment="1">
      <alignment horizontal="right" vertical="center" wrapText="1" readingOrder="1"/>
    </xf>
    <xf numFmtId="170" fontId="43" fillId="10" borderId="7" xfId="0" applyNumberFormat="1" applyFont="1" applyFill="1" applyBorder="1" applyAlignment="1">
      <alignment horizontal="right" vertical="center" wrapText="1" readingOrder="1"/>
    </xf>
    <xf numFmtId="171" fontId="43" fillId="10" borderId="0" xfId="7" applyNumberFormat="1" applyFont="1" applyFill="1" applyBorder="1" applyAlignment="1">
      <alignment horizontal="right" vertical="center" wrapText="1" readingOrder="1"/>
    </xf>
    <xf numFmtId="171" fontId="43" fillId="10" borderId="10" xfId="7" applyNumberFormat="1" applyFont="1" applyFill="1" applyBorder="1" applyAlignment="1">
      <alignment horizontal="right" vertical="center" wrapText="1" readingOrder="1"/>
    </xf>
    <xf numFmtId="171" fontId="42" fillId="0" borderId="0" xfId="7" applyNumberFormat="1" applyFont="1" applyBorder="1" applyAlignment="1">
      <alignment horizontal="right" vertical="center" wrapText="1" readingOrder="1"/>
    </xf>
    <xf numFmtId="171" fontId="42" fillId="0" borderId="10" xfId="7" applyNumberFormat="1" applyFont="1" applyBorder="1" applyAlignment="1">
      <alignment horizontal="right" vertical="center" wrapText="1" readingOrder="1"/>
    </xf>
    <xf numFmtId="170" fontId="43" fillId="10" borderId="8" xfId="0" applyNumberFormat="1" applyFont="1" applyFill="1" applyBorder="1" applyAlignment="1">
      <alignment horizontal="right" vertical="center" wrapText="1" readingOrder="1"/>
    </xf>
    <xf numFmtId="0" fontId="45" fillId="10" borderId="9" xfId="0" applyFont="1" applyFill="1" applyBorder="1" applyAlignment="1">
      <alignment vertical="center" wrapText="1" readingOrder="1"/>
    </xf>
    <xf numFmtId="0" fontId="46" fillId="0" borderId="9" xfId="0" applyFont="1" applyBorder="1" applyAlignment="1">
      <alignment vertical="center" wrapText="1" readingOrder="1"/>
    </xf>
    <xf numFmtId="0" fontId="45" fillId="10" borderId="6" xfId="0" applyFont="1" applyFill="1" applyBorder="1" applyAlignment="1">
      <alignment vertical="center" wrapText="1" readingOrder="1"/>
    </xf>
    <xf numFmtId="0" fontId="46" fillId="0" borderId="0" xfId="0" applyFont="1" applyAlignment="1">
      <alignment vertical="center" wrapText="1" readingOrder="1"/>
    </xf>
    <xf numFmtId="170" fontId="45" fillId="10" borderId="0" xfId="0" applyNumberFormat="1" applyFont="1" applyFill="1" applyAlignment="1">
      <alignment vertical="center" wrapText="1" readingOrder="1"/>
    </xf>
    <xf numFmtId="170" fontId="46" fillId="0" borderId="0" xfId="0" applyNumberFormat="1" applyFont="1" applyAlignment="1">
      <alignment vertical="center" wrapText="1" readingOrder="1"/>
    </xf>
    <xf numFmtId="2" fontId="37" fillId="0" borderId="21" xfId="0" applyNumberFormat="1" applyFont="1" applyBorder="1" applyAlignment="1">
      <alignment horizontal="center" vertical="top"/>
    </xf>
    <xf numFmtId="0" fontId="37" fillId="0" borderId="21" xfId="0" applyFont="1" applyBorder="1" applyAlignment="1">
      <alignment horizontal="center" vertical="top"/>
    </xf>
    <xf numFmtId="2" fontId="0" fillId="0" borderId="0" xfId="0" applyNumberFormat="1"/>
    <xf numFmtId="9" fontId="0" fillId="0" borderId="0" xfId="1" applyFont="1"/>
    <xf numFmtId="169" fontId="0" fillId="0" borderId="0" xfId="6" applyNumberFormat="1" applyFont="1"/>
    <xf numFmtId="43" fontId="0" fillId="0" borderId="0" xfId="7" applyFont="1"/>
    <xf numFmtId="43" fontId="0" fillId="0" borderId="0" xfId="0" applyNumberFormat="1"/>
    <xf numFmtId="43" fontId="38" fillId="0" borderId="0" xfId="0" applyNumberFormat="1" applyFont="1"/>
    <xf numFmtId="0" fontId="48" fillId="0" borderId="0" xfId="0" applyFont="1"/>
    <xf numFmtId="0" fontId="32" fillId="0" borderId="3" xfId="5" applyFont="1" applyBorder="1" applyAlignment="1">
      <alignment horizontal="center" vertical="center"/>
    </xf>
    <xf numFmtId="0" fontId="32" fillId="0" borderId="6" xfId="5" applyFont="1" applyBorder="1" applyAlignment="1">
      <alignment horizontal="center" vertical="center"/>
    </xf>
    <xf numFmtId="0" fontId="30" fillId="0" borderId="12" xfId="5" applyFont="1" applyBorder="1" applyAlignment="1">
      <alignment horizontal="center"/>
    </xf>
    <xf numFmtId="0" fontId="30" fillId="0" borderId="13" xfId="5" applyFont="1" applyBorder="1" applyAlignment="1">
      <alignment horizontal="center"/>
    </xf>
    <xf numFmtId="0" fontId="30" fillId="0" borderId="14" xfId="5" applyFont="1" applyBorder="1" applyAlignment="1">
      <alignment horizontal="center"/>
    </xf>
    <xf numFmtId="0" fontId="30" fillId="0" borderId="15" xfId="5" applyFont="1" applyBorder="1" applyAlignment="1">
      <alignment horizontal="center"/>
    </xf>
    <xf numFmtId="0" fontId="33" fillId="0" borderId="12" xfId="5" applyFont="1" applyBorder="1" applyAlignment="1">
      <alignment horizontal="center"/>
    </xf>
    <xf numFmtId="0" fontId="33" fillId="0" borderId="13" xfId="5" applyFont="1" applyBorder="1" applyAlignment="1">
      <alignment horizontal="center"/>
    </xf>
    <xf numFmtId="0" fontId="33" fillId="0" borderId="15" xfId="5" applyFont="1" applyBorder="1" applyAlignment="1">
      <alignment horizontal="center"/>
    </xf>
    <xf numFmtId="0" fontId="36" fillId="0" borderId="4" xfId="5" applyFont="1" applyBorder="1" applyAlignment="1">
      <alignment horizontal="center"/>
    </xf>
    <xf numFmtId="0" fontId="36" fillId="0" borderId="0" xfId="5" applyFont="1" applyAlignment="1">
      <alignment horizontal="center"/>
    </xf>
    <xf numFmtId="0" fontId="33" fillId="0" borderId="14" xfId="5" applyFont="1" applyBorder="1" applyAlignment="1">
      <alignment horizontal="center"/>
    </xf>
    <xf numFmtId="0" fontId="13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164" fontId="4" fillId="0" borderId="0" xfId="2" applyNumberFormat="1" applyFont="1" applyAlignment="1">
      <alignment horizontal="center" vertical="center" wrapText="1"/>
    </xf>
    <xf numFmtId="0" fontId="21" fillId="0" borderId="3" xfId="0" applyFont="1" applyBorder="1" applyAlignment="1">
      <alignment horizontal="center" vertical="center"/>
    </xf>
    <xf numFmtId="0" fontId="21" fillId="0" borderId="6" xfId="0" applyFont="1" applyBorder="1" applyAlignment="1">
      <alignment horizontal="center" vertical="center"/>
    </xf>
    <xf numFmtId="0" fontId="22" fillId="0" borderId="4" xfId="0" applyFont="1" applyBorder="1" applyAlignment="1">
      <alignment horizontal="center"/>
    </xf>
    <xf numFmtId="0" fontId="22" fillId="0" borderId="5" xfId="0" applyFont="1" applyBorder="1" applyAlignment="1">
      <alignment horizontal="center"/>
    </xf>
    <xf numFmtId="0" fontId="13" fillId="0" borderId="0" xfId="0" applyFont="1" applyAlignment="1">
      <alignment horizontal="center" vertical="center" wrapText="1"/>
    </xf>
  </cellXfs>
  <cellStyles count="8">
    <cellStyle name="Comma" xfId="7" builtinId="3"/>
    <cellStyle name="Comma 2" xfId="6" xr:uid="{6F508705-B4E3-454F-873C-01F3C0D0DCC8}"/>
    <cellStyle name="Comma 4" xfId="4" xr:uid="{270C1D5A-6B86-4349-9E57-E47E37D60C18}"/>
    <cellStyle name="Normal" xfId="0" builtinId="0"/>
    <cellStyle name="Normal 2" xfId="2" xr:uid="{25DC91C8-B085-4E5F-8557-78883D5A2BC3}"/>
    <cellStyle name="Normal 4" xfId="5" xr:uid="{D2D0B26F-CA01-4762-A24B-358A12430A33}"/>
    <cellStyle name="Normal 5" xfId="3" xr:uid="{CDDA0316-1495-4BE2-86DB-E967281D26C1}"/>
    <cellStyle name="Percent" xfId="1" builtinId="5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QGDP_Gr!$C$52</c:f>
              <c:strCache>
                <c:ptCount val="1"/>
                <c:pt idx="0">
                  <c:v>GROSS DOMESTIC PRODUCT (GDP)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QGDP_Gr!$D$50:$F$51</c:f>
              <c:multiLvlStrCache>
                <c:ptCount val="3"/>
                <c:lvl>
                  <c:pt idx="0">
                    <c:v>Q1</c:v>
                  </c:pt>
                  <c:pt idx="1">
                    <c:v>Q2</c:v>
                  </c:pt>
                  <c:pt idx="2">
                    <c:v>Q3</c:v>
                  </c:pt>
                </c:lvl>
                <c:lvl>
                  <c:pt idx="0">
                    <c:v>2025</c:v>
                  </c:pt>
                </c:lvl>
              </c:multiLvlStrCache>
            </c:multiLvlStrRef>
          </c:cat>
          <c:val>
            <c:numRef>
              <c:f>QGDP_Gr!$D$52:$F$52</c:f>
              <c:numCache>
                <c:formatCode>0.0%</c:formatCode>
                <c:ptCount val="3"/>
                <c:pt idx="0">
                  <c:v>7.8E-2</c:v>
                </c:pt>
                <c:pt idx="1">
                  <c:v>7.8E-2</c:v>
                </c:pt>
                <c:pt idx="2">
                  <c:v>0.11799999999999999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10-4B26-8610-5A95E445DEF2}"/>
            </c:ext>
          </c:extLst>
        </c:ser>
        <c:ser>
          <c:idx val="2"/>
          <c:order val="1"/>
          <c:tx>
            <c:strRef>
              <c:f>QGDP_Gr!$C$54</c:f>
              <c:strCache>
                <c:ptCount val="1"/>
                <c:pt idx="0">
                  <c:v>AGRICULTURE, FORESTRY &amp; FISHING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QGDP_Gr!$D$50:$F$51</c:f>
              <c:multiLvlStrCache>
                <c:ptCount val="3"/>
                <c:lvl>
                  <c:pt idx="0">
                    <c:v>Q1</c:v>
                  </c:pt>
                  <c:pt idx="1">
                    <c:v>Q2</c:v>
                  </c:pt>
                  <c:pt idx="2">
                    <c:v>Q3</c:v>
                  </c:pt>
                </c:lvl>
                <c:lvl>
                  <c:pt idx="0">
                    <c:v>2025</c:v>
                  </c:pt>
                </c:lvl>
              </c:multiLvlStrCache>
            </c:multiLvlStrRef>
          </c:cat>
          <c:val>
            <c:numRef>
              <c:f>QGDP_Gr!$D$54:$F$54</c:f>
              <c:numCache>
                <c:formatCode>0%</c:formatCode>
                <c:ptCount val="3"/>
                <c:pt idx="0">
                  <c:v>0.08</c:v>
                </c:pt>
                <c:pt idx="1">
                  <c:v>0.08</c:v>
                </c:pt>
                <c:pt idx="2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10-4B26-8610-5A95E445DEF2}"/>
            </c:ext>
          </c:extLst>
        </c:ser>
        <c:ser>
          <c:idx val="6"/>
          <c:order val="5"/>
          <c:tx>
            <c:strRef>
              <c:f>QGDP_Gr!$C$58</c:f>
              <c:strCache>
                <c:ptCount val="1"/>
                <c:pt idx="0">
                  <c:v>INDUSTRY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QGDP_Gr!$D$50:$F$51</c:f>
              <c:multiLvlStrCache>
                <c:ptCount val="3"/>
                <c:lvl>
                  <c:pt idx="0">
                    <c:v>Q1</c:v>
                  </c:pt>
                  <c:pt idx="1">
                    <c:v>Q2</c:v>
                  </c:pt>
                  <c:pt idx="2">
                    <c:v>Q3</c:v>
                  </c:pt>
                </c:lvl>
                <c:lvl>
                  <c:pt idx="0">
                    <c:v>2025</c:v>
                  </c:pt>
                </c:lvl>
              </c:multiLvlStrCache>
            </c:multiLvlStrRef>
          </c:cat>
          <c:val>
            <c:numRef>
              <c:f>QGDP_Gr!$D$58:$F$58</c:f>
              <c:numCache>
                <c:formatCode>0%</c:formatCode>
                <c:ptCount val="3"/>
                <c:pt idx="0">
                  <c:v>7.0000000000000007E-2</c:v>
                </c:pt>
                <c:pt idx="1">
                  <c:v>7.0000000000000007E-2</c:v>
                </c:pt>
                <c:pt idx="2">
                  <c:v>0.17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710-4B26-8610-5A95E445DEF2}"/>
            </c:ext>
          </c:extLst>
        </c:ser>
        <c:ser>
          <c:idx val="11"/>
          <c:order val="10"/>
          <c:tx>
            <c:strRef>
              <c:f>QGDP_Gr!$C$63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QGDP_Gr!$D$50:$F$51</c:f>
              <c:multiLvlStrCache>
                <c:ptCount val="3"/>
                <c:lvl>
                  <c:pt idx="0">
                    <c:v>Q1</c:v>
                  </c:pt>
                  <c:pt idx="1">
                    <c:v>Q2</c:v>
                  </c:pt>
                  <c:pt idx="2">
                    <c:v>Q3</c:v>
                  </c:pt>
                </c:lvl>
                <c:lvl>
                  <c:pt idx="0">
                    <c:v>2025</c:v>
                  </c:pt>
                </c:lvl>
              </c:multiLvlStrCache>
            </c:multiLvlStrRef>
          </c:cat>
          <c:val>
            <c:numRef>
              <c:f>QGDP_Gr!$D$63:$F$63</c:f>
              <c:numCache>
                <c:formatCode>0%</c:formatCode>
                <c:ptCount val="3"/>
                <c:pt idx="0">
                  <c:v>0.09</c:v>
                </c:pt>
                <c:pt idx="1">
                  <c:v>7.0000000000000007E-2</c:v>
                </c:pt>
                <c:pt idx="2">
                  <c:v>0.06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9710-4B26-8610-5A95E445DEF2}"/>
            </c:ext>
          </c:extLst>
        </c:ser>
        <c:ser>
          <c:idx val="18"/>
          <c:order val="17"/>
          <c:tx>
            <c:strRef>
              <c:f>QGDP_Gr!$C$70</c:f>
              <c:strCache>
                <c:ptCount val="1"/>
                <c:pt idx="0">
                  <c:v>Taxes less subsidies on products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QGDP_Gr!$D$50:$F$51</c:f>
              <c:multiLvlStrCache>
                <c:ptCount val="3"/>
                <c:lvl>
                  <c:pt idx="0">
                    <c:v>Q1</c:v>
                  </c:pt>
                  <c:pt idx="1">
                    <c:v>Q2</c:v>
                  </c:pt>
                  <c:pt idx="2">
                    <c:v>Q3</c:v>
                  </c:pt>
                </c:lvl>
                <c:lvl>
                  <c:pt idx="0">
                    <c:v>2025</c:v>
                  </c:pt>
                </c:lvl>
              </c:multiLvlStrCache>
            </c:multiLvlStrRef>
          </c:cat>
          <c:val>
            <c:numRef>
              <c:f>QGDP_Gr!$D$70:$E$70</c:f>
              <c:numCache>
                <c:formatCode>0%</c:formatCode>
                <c:ptCount val="2"/>
                <c:pt idx="0">
                  <c:v>0.06</c:v>
                </c:pt>
                <c:pt idx="1">
                  <c:v>0.06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9710-4B26-8610-5A95E445DE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44566664"/>
        <c:axId val="644567384"/>
        <c:extLst>
          <c:ext xmlns:c15="http://schemas.microsoft.com/office/drawing/2012/chart" uri="{02D57815-91ED-43cb-92C2-25804820EDAC}">
            <c15:filteredBarSeries>
              <c15:ser>
                <c:idx val="3"/>
                <c:order val="2"/>
                <c:tx>
                  <c:strRef>
                    <c:extLst>
                      <c:ext uri="{02D57815-91ED-43cb-92C2-25804820EDAC}">
                        <c15:formulaRef>
                          <c15:sqref>QGDP_Gr!$C$55</c15:sqref>
                        </c15:formulaRef>
                      </c:ext>
                    </c:extLst>
                    <c:strCache>
                      <c:ptCount val="1"/>
                      <c:pt idx="0">
                        <c:v>Food crops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>
                      <c:ext uri="{02D57815-91ED-43cb-92C2-25804820EDAC}">
                        <c15:formulaRef>
                          <c15:sqref>QGDP_Gr!$D$50:$F$51</c15:sqref>
                        </c15:formulaRef>
                      </c:ext>
                    </c:extLst>
                    <c:multiLvlStrCache>
                      <c:ptCount val="3"/>
                      <c:lvl>
                        <c:pt idx="0">
                          <c:v>Q1</c:v>
                        </c:pt>
                        <c:pt idx="1">
                          <c:v>Q2</c:v>
                        </c:pt>
                        <c:pt idx="2">
                          <c:v>Q3</c:v>
                        </c:pt>
                      </c:lvl>
                      <c:lvl>
                        <c:pt idx="0">
                          <c:v>2025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ormulaRef>
                          <c15:sqref>QGDP_Gr!$D$55:$E$55</c15:sqref>
                        </c15:formulaRef>
                      </c:ext>
                    </c:extLst>
                    <c:numCache>
                      <c:formatCode>0%</c:formatCode>
                      <c:ptCount val="2"/>
                      <c:pt idx="0">
                        <c:v>0.03</c:v>
                      </c:pt>
                      <c:pt idx="1">
                        <c:v>2.5000000000000001E-2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9710-4B26-8610-5A95E445DEF2}"/>
                  </c:ext>
                </c:extLst>
              </c15:ser>
            </c15:filteredBarSeries>
            <c15:filteredBarSeries>
              <c15:ser>
                <c:idx val="4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QGDP_Gr!$C$56</c15:sqref>
                        </c15:formulaRef>
                      </c:ext>
                    </c:extLst>
                    <c:strCache>
                      <c:ptCount val="1"/>
                      <c:pt idx="0">
                        <c:v>Export crops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QGDP_Gr!$D$50:$F$51</c15:sqref>
                        </c15:formulaRef>
                      </c:ext>
                    </c:extLst>
                    <c:multiLvlStrCache>
                      <c:ptCount val="3"/>
                      <c:lvl>
                        <c:pt idx="0">
                          <c:v>Q1</c:v>
                        </c:pt>
                        <c:pt idx="1">
                          <c:v>Q2</c:v>
                        </c:pt>
                        <c:pt idx="2">
                          <c:v>Q3</c:v>
                        </c:pt>
                      </c:lvl>
                      <c:lvl>
                        <c:pt idx="0">
                          <c:v>2025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QGDP_Gr!$D$56:$E$56</c15:sqref>
                        </c15:formulaRef>
                      </c:ext>
                    </c:extLst>
                    <c:numCache>
                      <c:formatCode>0%</c:formatCode>
                      <c:ptCount val="2"/>
                      <c:pt idx="0">
                        <c:v>0.42</c:v>
                      </c:pt>
                      <c:pt idx="1">
                        <c:v>0.215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9710-4B26-8610-5A95E445DEF2}"/>
                  </c:ext>
                </c:extLst>
              </c15:ser>
            </c15:filteredBarSeries>
            <c15:filteredBarSeries>
              <c15:ser>
                <c:idx val="5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QGDP_Gr!$C$57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QGDP_Gr!$D$50:$F$51</c15:sqref>
                        </c15:formulaRef>
                      </c:ext>
                    </c:extLst>
                    <c:multiLvlStrCache>
                      <c:ptCount val="3"/>
                      <c:lvl>
                        <c:pt idx="0">
                          <c:v>Q1</c:v>
                        </c:pt>
                        <c:pt idx="1">
                          <c:v>Q2</c:v>
                        </c:pt>
                        <c:pt idx="2">
                          <c:v>Q3</c:v>
                        </c:pt>
                      </c:lvl>
                      <c:lvl>
                        <c:pt idx="0">
                          <c:v>2025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QGDP_Gr!$D$57:$E$57</c15:sqref>
                        </c15:formulaRef>
                      </c:ext>
                    </c:extLst>
                    <c:numCache>
                      <c:formatCode>0%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9710-4B26-8610-5A95E445DEF2}"/>
                  </c:ext>
                </c:extLst>
              </c15:ser>
            </c15:filteredBarSeries>
            <c15:filteredBarSeries>
              <c15:ser>
                <c:idx val="7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QGDP_Gr!$C$59</c15:sqref>
                        </c15:formulaRef>
                      </c:ext>
                    </c:extLst>
                    <c:strCache>
                      <c:ptCount val="1"/>
                      <c:pt idx="0">
                        <c:v>Mining &amp; quarrying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QGDP_Gr!$D$50:$F$51</c15:sqref>
                        </c15:formulaRef>
                      </c:ext>
                    </c:extLst>
                    <c:multiLvlStrCache>
                      <c:ptCount val="3"/>
                      <c:lvl>
                        <c:pt idx="0">
                          <c:v>Q1</c:v>
                        </c:pt>
                        <c:pt idx="1">
                          <c:v>Q2</c:v>
                        </c:pt>
                        <c:pt idx="2">
                          <c:v>Q3</c:v>
                        </c:pt>
                      </c:lvl>
                      <c:lvl>
                        <c:pt idx="0">
                          <c:v>2025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QGDP_Gr!$D$59:$E$59</c15:sqref>
                        </c15:formulaRef>
                      </c:ext>
                    </c:extLst>
                    <c:numCache>
                      <c:formatCode>0%</c:formatCode>
                      <c:ptCount val="2"/>
                      <c:pt idx="0">
                        <c:v>0.12</c:v>
                      </c:pt>
                      <c:pt idx="1">
                        <c:v>5.5E-2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9710-4B26-8610-5A95E445DEF2}"/>
                  </c:ext>
                </c:extLst>
              </c15:ser>
            </c15:filteredBarSeries>
            <c15:filteredBarSeries>
              <c15:ser>
                <c:idx val="8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QGDP_Gr!$C$60</c15:sqref>
                        </c15:formulaRef>
                      </c:ext>
                    </c:extLst>
                    <c:strCache>
                      <c:ptCount val="1"/>
                      <c:pt idx="0">
                        <c:v>TOTAL MANUFACTURING</c:v>
                      </c:pt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QGDP_Gr!$D$50:$F$51</c15:sqref>
                        </c15:formulaRef>
                      </c:ext>
                    </c:extLst>
                    <c:multiLvlStrCache>
                      <c:ptCount val="3"/>
                      <c:lvl>
                        <c:pt idx="0">
                          <c:v>Q1</c:v>
                        </c:pt>
                        <c:pt idx="1">
                          <c:v>Q2</c:v>
                        </c:pt>
                        <c:pt idx="2">
                          <c:v>Q3</c:v>
                        </c:pt>
                      </c:lvl>
                      <c:lvl>
                        <c:pt idx="0">
                          <c:v>2025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QGDP_Gr!$D$60:$E$60</c15:sqref>
                        </c15:formulaRef>
                      </c:ext>
                    </c:extLst>
                    <c:numCache>
                      <c:formatCode>0%</c:formatCode>
                      <c:ptCount val="2"/>
                      <c:pt idx="0">
                        <c:v>0.08</c:v>
                      </c:pt>
                      <c:pt idx="1">
                        <c:v>8.4999999999999992E-2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9710-4B26-8610-5A95E445DEF2}"/>
                  </c:ext>
                </c:extLst>
              </c15:ser>
            </c15:filteredBarSeries>
            <c15:filteredBarSeries>
              <c15:ser>
                <c:idx val="9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QGDP_Gr!$C$61</c15:sqref>
                        </c15:formulaRef>
                      </c:ext>
                    </c:extLst>
                    <c:strCache>
                      <c:ptCount val="1"/>
                      <c:pt idx="0">
                        <c:v>Construction</c:v>
                      </c:pt>
                    </c:strCache>
                  </c:strRef>
                </c:tx>
                <c:spPr>
                  <a:solidFill>
                    <a:schemeClr val="accent4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QGDP_Gr!$D$50:$F$51</c15:sqref>
                        </c15:formulaRef>
                      </c:ext>
                    </c:extLst>
                    <c:multiLvlStrCache>
                      <c:ptCount val="3"/>
                      <c:lvl>
                        <c:pt idx="0">
                          <c:v>Q1</c:v>
                        </c:pt>
                        <c:pt idx="1">
                          <c:v>Q2</c:v>
                        </c:pt>
                        <c:pt idx="2">
                          <c:v>Q3</c:v>
                        </c:pt>
                      </c:lvl>
                      <c:lvl>
                        <c:pt idx="0">
                          <c:v>2025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QGDP_Gr!$D$61:$E$61</c15:sqref>
                        </c15:formulaRef>
                      </c:ext>
                    </c:extLst>
                    <c:numCache>
                      <c:formatCode>0%</c:formatCode>
                      <c:ptCount val="2"/>
                      <c:pt idx="0">
                        <c:v>0.05</c:v>
                      </c:pt>
                      <c:pt idx="1">
                        <c:v>3.5000000000000003E-2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9710-4B26-8610-5A95E445DEF2}"/>
                  </c:ext>
                </c:extLst>
              </c15:ser>
            </c15:filteredBarSeries>
            <c15:filteredBarSeries>
              <c15:ser>
                <c:idx val="10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QGDP_Gr!$C$62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5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QGDP_Gr!$D$50:$F$51</c15:sqref>
                        </c15:formulaRef>
                      </c:ext>
                    </c:extLst>
                    <c:multiLvlStrCache>
                      <c:ptCount val="3"/>
                      <c:lvl>
                        <c:pt idx="0">
                          <c:v>Q1</c:v>
                        </c:pt>
                        <c:pt idx="1">
                          <c:v>Q2</c:v>
                        </c:pt>
                        <c:pt idx="2">
                          <c:v>Q3</c:v>
                        </c:pt>
                      </c:lvl>
                      <c:lvl>
                        <c:pt idx="0">
                          <c:v>2025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QGDP_Gr!$D$62:$E$62</c15:sqref>
                        </c15:formulaRef>
                      </c:ext>
                    </c:extLst>
                    <c:numCache>
                      <c:formatCode>0%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9710-4B26-8610-5A95E445DEF2}"/>
                  </c:ext>
                </c:extLst>
              </c15:ser>
            </c15:filteredBarSeries>
            <c15:filteredBarSeries>
              <c15:ser>
                <c:idx val="12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QGDP_Gr!$C$64</c15:sqref>
                        </c15:formulaRef>
                      </c:ext>
                    </c:extLst>
                    <c:strCache>
                      <c:ptCount val="1"/>
                      <c:pt idx="0">
                        <c:v>TRADE &amp;TRANSPORT</c:v>
                      </c:pt>
                    </c:strCache>
                  </c:strRef>
                </c:tx>
                <c:spPr>
                  <a:solidFill>
                    <a:schemeClr val="accent1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QGDP_Gr!$D$50:$F$51</c15:sqref>
                        </c15:formulaRef>
                      </c:ext>
                    </c:extLst>
                    <c:multiLvlStrCache>
                      <c:ptCount val="3"/>
                      <c:lvl>
                        <c:pt idx="0">
                          <c:v>Q1</c:v>
                        </c:pt>
                        <c:pt idx="1">
                          <c:v>Q2</c:v>
                        </c:pt>
                        <c:pt idx="2">
                          <c:v>Q3</c:v>
                        </c:pt>
                      </c:lvl>
                      <c:lvl>
                        <c:pt idx="0">
                          <c:v>2025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QGDP_Gr!$D$64:$E$64</c15:sqref>
                        </c15:formulaRef>
                      </c:ext>
                    </c:extLst>
                    <c:numCache>
                      <c:formatCode>0%</c:formatCode>
                      <c:ptCount val="2"/>
                      <c:pt idx="0">
                        <c:v>0.1</c:v>
                      </c:pt>
                      <c:pt idx="1">
                        <c:v>9.5000000000000001E-2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9710-4B26-8610-5A95E445DEF2}"/>
                  </c:ext>
                </c:extLst>
              </c15:ser>
            </c15:filteredBarSeries>
            <c15:filteredBarSeries>
              <c15:ser>
                <c:idx val="13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QGDP_Gr!$C$65</c15:sqref>
                        </c15:formulaRef>
                      </c:ext>
                    </c:extLst>
                    <c:strCache>
                      <c:ptCount val="1"/>
                      <c:pt idx="0">
                        <c:v>Maintenance &amp; repair of motor vehicles</c:v>
                      </c:pt>
                    </c:strCache>
                  </c:strRef>
                </c:tx>
                <c:spPr>
                  <a:solidFill>
                    <a:schemeClr val="accent2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QGDP_Gr!$D$50:$F$51</c15:sqref>
                        </c15:formulaRef>
                      </c:ext>
                    </c:extLst>
                    <c:multiLvlStrCache>
                      <c:ptCount val="3"/>
                      <c:lvl>
                        <c:pt idx="0">
                          <c:v>Q1</c:v>
                        </c:pt>
                        <c:pt idx="1">
                          <c:v>Q2</c:v>
                        </c:pt>
                        <c:pt idx="2">
                          <c:v>Q3</c:v>
                        </c:pt>
                      </c:lvl>
                      <c:lvl>
                        <c:pt idx="0">
                          <c:v>2025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QGDP_Gr!$D$65:$E$65</c15:sqref>
                        </c15:formulaRef>
                      </c:ext>
                    </c:extLst>
                    <c:numCache>
                      <c:formatCode>0%</c:formatCode>
                      <c:ptCount val="2"/>
                      <c:pt idx="0">
                        <c:v>0.34</c:v>
                      </c:pt>
                      <c:pt idx="1">
                        <c:v>0.34499999999999997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9710-4B26-8610-5A95E445DEF2}"/>
                  </c:ext>
                </c:extLst>
              </c15:ser>
            </c15:filteredBarSeries>
            <c15:filteredBarSeries>
              <c15:ser>
                <c:idx val="14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QGDP_Gr!$C$66</c15:sqref>
                        </c15:formulaRef>
                      </c:ext>
                    </c:extLst>
                    <c:strCache>
                      <c:ptCount val="1"/>
                      <c:pt idx="0">
                        <c:v>Wholesale &amp; retail trade</c:v>
                      </c:pt>
                    </c:strCache>
                  </c:strRef>
                </c:tx>
                <c:spPr>
                  <a:solidFill>
                    <a:schemeClr val="accent3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QGDP_Gr!$D$50:$F$51</c15:sqref>
                        </c15:formulaRef>
                      </c:ext>
                    </c:extLst>
                    <c:multiLvlStrCache>
                      <c:ptCount val="3"/>
                      <c:lvl>
                        <c:pt idx="0">
                          <c:v>Q1</c:v>
                        </c:pt>
                        <c:pt idx="1">
                          <c:v>Q2</c:v>
                        </c:pt>
                        <c:pt idx="2">
                          <c:v>Q3</c:v>
                        </c:pt>
                      </c:lvl>
                      <c:lvl>
                        <c:pt idx="0">
                          <c:v>2025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QGDP_Gr!$D$66:$E$66</c15:sqref>
                        </c15:formulaRef>
                      </c:ext>
                    </c:extLst>
                    <c:numCache>
                      <c:formatCode>0%</c:formatCode>
                      <c:ptCount val="2"/>
                      <c:pt idx="0">
                        <c:v>0.13</c:v>
                      </c:pt>
                      <c:pt idx="1">
                        <c:v>0.13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9710-4B26-8610-5A95E445DEF2}"/>
                  </c:ext>
                </c:extLst>
              </c15:ser>
            </c15:filteredBarSeries>
            <c15:filteredBarSeries>
              <c15:ser>
                <c:idx val="15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QGDP_Gr!$C$67</c15:sqref>
                        </c15:formulaRef>
                      </c:ext>
                    </c:extLst>
                    <c:strCache>
                      <c:ptCount val="1"/>
                      <c:pt idx="0">
                        <c:v>OTHER SERVICES</c:v>
                      </c:pt>
                    </c:strCache>
                  </c:strRef>
                </c:tx>
                <c:spPr>
                  <a:solidFill>
                    <a:schemeClr val="accent4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QGDP_Gr!$D$50:$F$51</c15:sqref>
                        </c15:formulaRef>
                      </c:ext>
                    </c:extLst>
                    <c:multiLvlStrCache>
                      <c:ptCount val="3"/>
                      <c:lvl>
                        <c:pt idx="0">
                          <c:v>Q1</c:v>
                        </c:pt>
                        <c:pt idx="1">
                          <c:v>Q2</c:v>
                        </c:pt>
                        <c:pt idx="2">
                          <c:v>Q3</c:v>
                        </c:pt>
                      </c:lvl>
                      <c:lvl>
                        <c:pt idx="0">
                          <c:v>2025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QGDP_Gr!$D$67:$E$67</c15:sqref>
                        </c15:formulaRef>
                      </c:ext>
                    </c:extLst>
                    <c:numCache>
                      <c:formatCode>0%</c:formatCode>
                      <c:ptCount val="2"/>
                      <c:pt idx="0">
                        <c:v>0.08</c:v>
                      </c:pt>
                      <c:pt idx="1">
                        <c:v>0.08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9710-4B26-8610-5A95E445DEF2}"/>
                  </c:ext>
                </c:extLst>
              </c15:ser>
            </c15:filteredBarSeries>
            <c15:filteredBarSeries>
              <c15:ser>
                <c:idx val="16"/>
                <c:order val="1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QGDP_Gr!$C$68</c15:sqref>
                        </c15:formulaRef>
                      </c:ext>
                    </c:extLst>
                    <c:strCache>
                      <c:ptCount val="1"/>
                      <c:pt idx="0">
                        <c:v>Information &amp; communication</c:v>
                      </c:pt>
                    </c:strCache>
                  </c:strRef>
                </c:tx>
                <c:spPr>
                  <a:solidFill>
                    <a:schemeClr val="accent5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QGDP_Gr!$D$50:$F$51</c15:sqref>
                        </c15:formulaRef>
                      </c:ext>
                    </c:extLst>
                    <c:multiLvlStrCache>
                      <c:ptCount val="3"/>
                      <c:lvl>
                        <c:pt idx="0">
                          <c:v>Q1</c:v>
                        </c:pt>
                        <c:pt idx="1">
                          <c:v>Q2</c:v>
                        </c:pt>
                        <c:pt idx="2">
                          <c:v>Q3</c:v>
                        </c:pt>
                      </c:lvl>
                      <c:lvl>
                        <c:pt idx="0">
                          <c:v>2025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QGDP_Gr!$D$68:$E$68</c15:sqref>
                        </c15:formulaRef>
                      </c:ext>
                    </c:extLst>
                    <c:numCache>
                      <c:formatCode>0%</c:formatCode>
                      <c:ptCount val="2"/>
                      <c:pt idx="0">
                        <c:v>0.11</c:v>
                      </c:pt>
                      <c:pt idx="1">
                        <c:v>0.11499999999999999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9710-4B26-8610-5A95E445DEF2}"/>
                  </c:ext>
                </c:extLst>
              </c15:ser>
            </c15:filteredBarSeries>
            <c15:filteredBarSeries>
              <c15:ser>
                <c:idx val="17"/>
                <c:order val="1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QGDP_Gr!$C$69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6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QGDP_Gr!$D$50:$F$51</c15:sqref>
                        </c15:formulaRef>
                      </c:ext>
                    </c:extLst>
                    <c:multiLvlStrCache>
                      <c:ptCount val="3"/>
                      <c:lvl>
                        <c:pt idx="0">
                          <c:v>Q1</c:v>
                        </c:pt>
                        <c:pt idx="1">
                          <c:v>Q2</c:v>
                        </c:pt>
                        <c:pt idx="2">
                          <c:v>Q3</c:v>
                        </c:pt>
                      </c:lvl>
                      <c:lvl>
                        <c:pt idx="0">
                          <c:v>2025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QGDP_Gr!$D$69:$E$69</c15:sqref>
                        </c15:formulaRef>
                      </c:ext>
                    </c:extLst>
                    <c:numCache>
                      <c:formatCode>#,##0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9710-4B26-8610-5A95E445DEF2}"/>
                  </c:ext>
                </c:extLst>
              </c15:ser>
            </c15:filteredBarSeries>
          </c:ext>
        </c:extLst>
      </c:barChart>
      <c:catAx>
        <c:axId val="644566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RW"/>
          </a:p>
        </c:txPr>
        <c:crossAx val="644567384"/>
        <c:crosses val="autoZero"/>
        <c:auto val="1"/>
        <c:lblAlgn val="ctr"/>
        <c:lblOffset val="100"/>
        <c:noMultiLvlLbl val="0"/>
      </c:catAx>
      <c:valAx>
        <c:axId val="644567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RW"/>
          </a:p>
        </c:txPr>
        <c:crossAx val="644566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6.2025418865652535E-2"/>
          <c:y val="0.76947058962991066"/>
          <c:w val="0.90462299739414298"/>
          <c:h val="0.2054379351494029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R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R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2"/>
          <c:order val="1"/>
          <c:tx>
            <c:strRef>
              <c:f>QGDP_Gr!$C$54</c:f>
              <c:strCache>
                <c:ptCount val="1"/>
                <c:pt idx="0">
                  <c:v>AGRICULTURE, FORESTRY &amp; FISHING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QGDP_Gr!$D$50:$E$51</c:f>
              <c:multiLvlStrCache>
                <c:ptCount val="2"/>
                <c:lvl>
                  <c:pt idx="0">
                    <c:v>Q1</c:v>
                  </c:pt>
                  <c:pt idx="1">
                    <c:v>Q2</c:v>
                  </c:pt>
                </c:lvl>
                <c:lvl>
                  <c:pt idx="0">
                    <c:v>2025</c:v>
                  </c:pt>
                </c:lvl>
              </c:multiLvlStrCache>
            </c:multiLvlStrRef>
          </c:cat>
          <c:val>
            <c:numRef>
              <c:f>QGDP_Gr!$D$54:$E$54</c:f>
              <c:numCache>
                <c:formatCode>0%</c:formatCode>
                <c:ptCount val="2"/>
                <c:pt idx="0">
                  <c:v>0.08</c:v>
                </c:pt>
                <c:pt idx="1">
                  <c:v>0.08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506-4B00-BF1E-4B4F9ACC7171}"/>
            </c:ext>
          </c:extLst>
        </c:ser>
        <c:ser>
          <c:idx val="3"/>
          <c:order val="2"/>
          <c:tx>
            <c:strRef>
              <c:f>QGDP_Gr!$C$55</c:f>
              <c:strCache>
                <c:ptCount val="1"/>
                <c:pt idx="0">
                  <c:v>Food crops</c:v>
                </c:pt>
              </c:strCache>
              <c:extLst xmlns:c15="http://schemas.microsoft.com/office/drawing/2012/chart"/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QGDP_Gr!$D$50:$E$51</c:f>
              <c:multiLvlStrCache>
                <c:ptCount val="2"/>
                <c:lvl>
                  <c:pt idx="0">
                    <c:v>Q1</c:v>
                  </c:pt>
                  <c:pt idx="1">
                    <c:v>Q2</c:v>
                  </c:pt>
                </c:lvl>
                <c:lvl>
                  <c:pt idx="0">
                    <c:v>2025</c:v>
                  </c:pt>
                </c:lvl>
              </c:multiLvlStrCache>
              <c:extLst xmlns:c15="http://schemas.microsoft.com/office/drawing/2012/chart"/>
            </c:multiLvlStrRef>
          </c:cat>
          <c:val>
            <c:numRef>
              <c:f>QGDP_Gr!$D$55:$E$55</c:f>
              <c:numCache>
                <c:formatCode>0%</c:formatCode>
                <c:ptCount val="2"/>
                <c:pt idx="0">
                  <c:v>0.03</c:v>
                </c:pt>
                <c:pt idx="1">
                  <c:v>2.5000000000000001E-2</c:v>
                </c:pt>
              </c:numCache>
              <c:extLst xmlns:c15="http://schemas.microsoft.com/office/drawing/2012/chart"/>
            </c:numRef>
          </c:val>
          <c:extLst>
            <c:ext xmlns:c16="http://schemas.microsoft.com/office/drawing/2014/chart" uri="{C3380CC4-5D6E-409C-BE32-E72D297353CC}">
              <c16:uniqueId val="{00000005-8506-4B00-BF1E-4B4F9ACC7171}"/>
            </c:ext>
          </c:extLst>
        </c:ser>
        <c:ser>
          <c:idx val="4"/>
          <c:order val="3"/>
          <c:tx>
            <c:strRef>
              <c:f>QGDP_Gr!$C$56</c:f>
              <c:strCache>
                <c:ptCount val="1"/>
                <c:pt idx="0">
                  <c:v>Export crops</c:v>
                </c:pt>
              </c:strCache>
              <c:extLst xmlns:c15="http://schemas.microsoft.com/office/drawing/2012/chart"/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QGDP_Gr!$D$50:$E$51</c:f>
              <c:multiLvlStrCache>
                <c:ptCount val="2"/>
                <c:lvl>
                  <c:pt idx="0">
                    <c:v>Q1</c:v>
                  </c:pt>
                  <c:pt idx="1">
                    <c:v>Q2</c:v>
                  </c:pt>
                </c:lvl>
                <c:lvl>
                  <c:pt idx="0">
                    <c:v>2025</c:v>
                  </c:pt>
                </c:lvl>
              </c:multiLvlStrCache>
              <c:extLst xmlns:c15="http://schemas.microsoft.com/office/drawing/2012/chart"/>
            </c:multiLvlStrRef>
          </c:cat>
          <c:val>
            <c:numRef>
              <c:f>QGDP_Gr!$D$56:$E$56</c:f>
              <c:numCache>
                <c:formatCode>0%</c:formatCode>
                <c:ptCount val="2"/>
                <c:pt idx="0">
                  <c:v>0.42</c:v>
                </c:pt>
                <c:pt idx="1">
                  <c:v>0.215</c:v>
                </c:pt>
              </c:numCache>
              <c:extLst xmlns:c15="http://schemas.microsoft.com/office/drawing/2012/chart"/>
            </c:numRef>
          </c:val>
          <c:extLst>
            <c:ext xmlns:c16="http://schemas.microsoft.com/office/drawing/2014/chart" uri="{C3380CC4-5D6E-409C-BE32-E72D297353CC}">
              <c16:uniqueId val="{00000006-8506-4B00-BF1E-4B4F9ACC7171}"/>
            </c:ext>
          </c:extLst>
        </c:ser>
        <c:ser>
          <c:idx val="6"/>
          <c:order val="5"/>
          <c:tx>
            <c:strRef>
              <c:f>QGDP_Gr!$C$58</c:f>
              <c:strCache>
                <c:ptCount val="1"/>
                <c:pt idx="0">
                  <c:v>INDUSTRY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QGDP_Gr!$D$50:$E$51</c:f>
              <c:multiLvlStrCache>
                <c:ptCount val="2"/>
                <c:lvl>
                  <c:pt idx="0">
                    <c:v>Q1</c:v>
                  </c:pt>
                  <c:pt idx="1">
                    <c:v>Q2</c:v>
                  </c:pt>
                </c:lvl>
                <c:lvl>
                  <c:pt idx="0">
                    <c:v>2025</c:v>
                  </c:pt>
                </c:lvl>
              </c:multiLvlStrCache>
            </c:multiLvlStrRef>
          </c:cat>
          <c:val>
            <c:numRef>
              <c:f>QGDP_Gr!$D$58:$E$58</c:f>
              <c:numCache>
                <c:formatCode>0%</c:formatCode>
                <c:ptCount val="2"/>
                <c:pt idx="0">
                  <c:v>7.0000000000000007E-2</c:v>
                </c:pt>
                <c:pt idx="1">
                  <c:v>7.0000000000000007E-2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506-4B00-BF1E-4B4F9ACC7171}"/>
            </c:ext>
          </c:extLst>
        </c:ser>
        <c:ser>
          <c:idx val="7"/>
          <c:order val="6"/>
          <c:tx>
            <c:strRef>
              <c:f>QGDP_Gr!$C$59</c:f>
              <c:strCache>
                <c:ptCount val="1"/>
                <c:pt idx="0">
                  <c:v>Mining &amp; quarrying</c:v>
                </c:pt>
              </c:strCache>
              <c:extLst xmlns:c15="http://schemas.microsoft.com/office/drawing/2012/chart"/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QGDP_Gr!$D$50:$E$51</c:f>
              <c:multiLvlStrCache>
                <c:ptCount val="2"/>
                <c:lvl>
                  <c:pt idx="0">
                    <c:v>Q1</c:v>
                  </c:pt>
                  <c:pt idx="1">
                    <c:v>Q2</c:v>
                  </c:pt>
                </c:lvl>
                <c:lvl>
                  <c:pt idx="0">
                    <c:v>2025</c:v>
                  </c:pt>
                </c:lvl>
              </c:multiLvlStrCache>
              <c:extLst xmlns:c15="http://schemas.microsoft.com/office/drawing/2012/chart"/>
            </c:multiLvlStrRef>
          </c:cat>
          <c:val>
            <c:numRef>
              <c:f>QGDP_Gr!$D$59:$E$59</c:f>
              <c:numCache>
                <c:formatCode>0%</c:formatCode>
                <c:ptCount val="2"/>
                <c:pt idx="0">
                  <c:v>0.12</c:v>
                </c:pt>
                <c:pt idx="1">
                  <c:v>5.5E-2</c:v>
                </c:pt>
              </c:numCache>
              <c:extLst xmlns:c15="http://schemas.microsoft.com/office/drawing/2012/chart"/>
            </c:numRef>
          </c:val>
          <c:extLst>
            <c:ext xmlns:c16="http://schemas.microsoft.com/office/drawing/2014/chart" uri="{C3380CC4-5D6E-409C-BE32-E72D297353CC}">
              <c16:uniqueId val="{00000008-8506-4B00-BF1E-4B4F9ACC7171}"/>
            </c:ext>
          </c:extLst>
        </c:ser>
        <c:ser>
          <c:idx val="8"/>
          <c:order val="7"/>
          <c:tx>
            <c:strRef>
              <c:f>QGDP_Gr!$C$60</c:f>
              <c:strCache>
                <c:ptCount val="1"/>
                <c:pt idx="0">
                  <c:v>TOTAL MANUFACTURING</c:v>
                </c:pt>
              </c:strCache>
              <c:extLst xmlns:c15="http://schemas.microsoft.com/office/drawing/2012/chart"/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QGDP_Gr!$D$50:$E$51</c:f>
              <c:multiLvlStrCache>
                <c:ptCount val="2"/>
                <c:lvl>
                  <c:pt idx="0">
                    <c:v>Q1</c:v>
                  </c:pt>
                  <c:pt idx="1">
                    <c:v>Q2</c:v>
                  </c:pt>
                </c:lvl>
                <c:lvl>
                  <c:pt idx="0">
                    <c:v>2025</c:v>
                  </c:pt>
                </c:lvl>
              </c:multiLvlStrCache>
              <c:extLst xmlns:c15="http://schemas.microsoft.com/office/drawing/2012/chart"/>
            </c:multiLvlStrRef>
          </c:cat>
          <c:val>
            <c:numRef>
              <c:f>QGDP_Gr!$D$60:$E$60</c:f>
              <c:numCache>
                <c:formatCode>0%</c:formatCode>
                <c:ptCount val="2"/>
                <c:pt idx="0">
                  <c:v>0.08</c:v>
                </c:pt>
                <c:pt idx="1">
                  <c:v>8.4999999999999992E-2</c:v>
                </c:pt>
              </c:numCache>
              <c:extLst xmlns:c15="http://schemas.microsoft.com/office/drawing/2012/chart"/>
            </c:numRef>
          </c:val>
          <c:extLst>
            <c:ext xmlns:c16="http://schemas.microsoft.com/office/drawing/2014/chart" uri="{C3380CC4-5D6E-409C-BE32-E72D297353CC}">
              <c16:uniqueId val="{00000009-8506-4B00-BF1E-4B4F9ACC7171}"/>
            </c:ext>
          </c:extLst>
        </c:ser>
        <c:ser>
          <c:idx val="11"/>
          <c:order val="10"/>
          <c:tx>
            <c:strRef>
              <c:f>QGDP_Gr!$C$63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QGDP_Gr!$D$50:$E$51</c:f>
              <c:multiLvlStrCache>
                <c:ptCount val="2"/>
                <c:lvl>
                  <c:pt idx="0">
                    <c:v>Q1</c:v>
                  </c:pt>
                  <c:pt idx="1">
                    <c:v>Q2</c:v>
                  </c:pt>
                </c:lvl>
                <c:lvl>
                  <c:pt idx="0">
                    <c:v>2025</c:v>
                  </c:pt>
                </c:lvl>
              </c:multiLvlStrCache>
            </c:multiLvlStrRef>
          </c:cat>
          <c:val>
            <c:numRef>
              <c:f>QGDP_Gr!$D$63:$E$63</c:f>
              <c:numCache>
                <c:formatCode>0%</c:formatCode>
                <c:ptCount val="2"/>
                <c:pt idx="0">
                  <c:v>0.09</c:v>
                </c:pt>
                <c:pt idx="1">
                  <c:v>7.0000000000000007E-2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506-4B00-BF1E-4B4F9ACC7171}"/>
            </c:ext>
          </c:extLst>
        </c:ser>
        <c:ser>
          <c:idx val="12"/>
          <c:order val="11"/>
          <c:tx>
            <c:strRef>
              <c:f>QGDP_Gr!$C$64</c:f>
              <c:strCache>
                <c:ptCount val="1"/>
                <c:pt idx="0">
                  <c:v>TRADE &amp;TRANSPORT</c:v>
                </c:pt>
              </c:strCache>
              <c:extLst xmlns:c15="http://schemas.microsoft.com/office/drawing/2012/chart"/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QGDP_Gr!$D$50:$E$51</c:f>
              <c:multiLvlStrCache>
                <c:ptCount val="2"/>
                <c:lvl>
                  <c:pt idx="0">
                    <c:v>Q1</c:v>
                  </c:pt>
                  <c:pt idx="1">
                    <c:v>Q2</c:v>
                  </c:pt>
                </c:lvl>
                <c:lvl>
                  <c:pt idx="0">
                    <c:v>2025</c:v>
                  </c:pt>
                </c:lvl>
              </c:multiLvlStrCache>
              <c:extLst xmlns:c15="http://schemas.microsoft.com/office/drawing/2012/chart"/>
            </c:multiLvlStrRef>
          </c:cat>
          <c:val>
            <c:numRef>
              <c:f>QGDP_Gr!$D$64:$E$64</c:f>
              <c:numCache>
                <c:formatCode>0%</c:formatCode>
                <c:ptCount val="2"/>
                <c:pt idx="0">
                  <c:v>0.1</c:v>
                </c:pt>
                <c:pt idx="1">
                  <c:v>9.5000000000000001E-2</c:v>
                </c:pt>
              </c:numCache>
              <c:extLst xmlns:c15="http://schemas.microsoft.com/office/drawing/2012/chart"/>
            </c:numRef>
          </c:val>
          <c:extLst>
            <c:ext xmlns:c16="http://schemas.microsoft.com/office/drawing/2014/chart" uri="{C3380CC4-5D6E-409C-BE32-E72D297353CC}">
              <c16:uniqueId val="{0000000C-8506-4B00-BF1E-4B4F9ACC7171}"/>
            </c:ext>
          </c:extLst>
        </c:ser>
        <c:ser>
          <c:idx val="15"/>
          <c:order val="14"/>
          <c:tx>
            <c:strRef>
              <c:f>QGDP_Gr!$C$67</c:f>
              <c:strCache>
                <c:ptCount val="1"/>
                <c:pt idx="0">
                  <c:v>OTHER SERVICES</c:v>
                </c:pt>
              </c:strCache>
              <c:extLst xmlns:c15="http://schemas.microsoft.com/office/drawing/2012/chart"/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QGDP_Gr!$D$50:$E$51</c:f>
              <c:multiLvlStrCache>
                <c:ptCount val="2"/>
                <c:lvl>
                  <c:pt idx="0">
                    <c:v>Q1</c:v>
                  </c:pt>
                  <c:pt idx="1">
                    <c:v>Q2</c:v>
                  </c:pt>
                </c:lvl>
                <c:lvl>
                  <c:pt idx="0">
                    <c:v>2025</c:v>
                  </c:pt>
                </c:lvl>
              </c:multiLvlStrCache>
              <c:extLst xmlns:c15="http://schemas.microsoft.com/office/drawing/2012/chart"/>
            </c:multiLvlStrRef>
          </c:cat>
          <c:val>
            <c:numRef>
              <c:f>QGDP_Gr!$D$67:$E$67</c:f>
              <c:numCache>
                <c:formatCode>0%</c:formatCode>
                <c:ptCount val="2"/>
                <c:pt idx="0">
                  <c:v>0.08</c:v>
                </c:pt>
                <c:pt idx="1">
                  <c:v>0.08</c:v>
                </c:pt>
              </c:numCache>
              <c:extLst xmlns:c15="http://schemas.microsoft.com/office/drawing/2012/chart"/>
            </c:numRef>
          </c:val>
          <c:extLst>
            <c:ext xmlns:c16="http://schemas.microsoft.com/office/drawing/2014/chart" uri="{C3380CC4-5D6E-409C-BE32-E72D297353CC}">
              <c16:uniqueId val="{0000000F-8506-4B00-BF1E-4B4F9ACC7171}"/>
            </c:ext>
          </c:extLst>
        </c:ser>
        <c:ser>
          <c:idx val="18"/>
          <c:order val="17"/>
          <c:tx>
            <c:strRef>
              <c:f>QGDP_Gr!$C$70</c:f>
              <c:strCache>
                <c:ptCount val="1"/>
                <c:pt idx="0">
                  <c:v>Taxes less subsidies on products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QGDP_Gr!$D$50:$E$51</c:f>
              <c:multiLvlStrCache>
                <c:ptCount val="2"/>
                <c:lvl>
                  <c:pt idx="0">
                    <c:v>Q1</c:v>
                  </c:pt>
                  <c:pt idx="1">
                    <c:v>Q2</c:v>
                  </c:pt>
                </c:lvl>
                <c:lvl>
                  <c:pt idx="0">
                    <c:v>2025</c:v>
                  </c:pt>
                </c:lvl>
              </c:multiLvlStrCache>
            </c:multiLvlStrRef>
          </c:cat>
          <c:val>
            <c:numRef>
              <c:f>QGDP_Gr!$D$70:$E$70</c:f>
              <c:numCache>
                <c:formatCode>0%</c:formatCode>
                <c:ptCount val="2"/>
                <c:pt idx="0">
                  <c:v>0.06</c:v>
                </c:pt>
                <c:pt idx="1">
                  <c:v>0.06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506-4B00-BF1E-4B4F9ACC71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44566664"/>
        <c:axId val="644567384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QGDP_Gr!$C$52</c15:sqref>
                        </c15:formulaRef>
                      </c:ext>
                    </c:extLst>
                    <c:strCache>
                      <c:ptCount val="1"/>
                      <c:pt idx="0">
                        <c:v>GROSS DOMESTIC PRODUCT (GDP)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>
                      <c:ext uri="{02D57815-91ED-43cb-92C2-25804820EDAC}">
                        <c15:formulaRef>
                          <c15:sqref>QGDP_Gr!$D$50:$E$51</c15:sqref>
                        </c15:formulaRef>
                      </c:ext>
                    </c:extLst>
                    <c:multiLvlStrCache>
                      <c:ptCount val="2"/>
                      <c:lvl>
                        <c:pt idx="0">
                          <c:v>Q1</c:v>
                        </c:pt>
                        <c:pt idx="1">
                          <c:v>Q2</c:v>
                        </c:pt>
                      </c:lvl>
                      <c:lvl>
                        <c:pt idx="0">
                          <c:v>2025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ormulaRef>
                          <c15:sqref>QGDP_Gr!$D$52:$E$52</c15:sqref>
                        </c15:formulaRef>
                      </c:ext>
                    </c:extLst>
                    <c:numCache>
                      <c:formatCode>0.0%</c:formatCode>
                      <c:ptCount val="2"/>
                      <c:pt idx="0">
                        <c:v>7.8E-2</c:v>
                      </c:pt>
                      <c:pt idx="1">
                        <c:v>7.8E-2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8506-4B00-BF1E-4B4F9ACC7171}"/>
                  </c:ext>
                </c:extLst>
              </c15:ser>
            </c15:filteredBarSeries>
            <c15:filteredBarSeries>
              <c15:ser>
                <c:idx val="5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QGDP_Gr!$C$57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QGDP_Gr!$D$50:$E$51</c15:sqref>
                        </c15:formulaRef>
                      </c:ext>
                    </c:extLst>
                    <c:multiLvlStrCache>
                      <c:ptCount val="2"/>
                      <c:lvl>
                        <c:pt idx="0">
                          <c:v>Q1</c:v>
                        </c:pt>
                        <c:pt idx="1">
                          <c:v>Q2</c:v>
                        </c:pt>
                      </c:lvl>
                      <c:lvl>
                        <c:pt idx="0">
                          <c:v>2025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QGDP_Gr!$D$57:$E$57</c15:sqref>
                        </c15:formulaRef>
                      </c:ext>
                    </c:extLst>
                    <c:numCache>
                      <c:formatCode>0%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8506-4B00-BF1E-4B4F9ACC7171}"/>
                  </c:ext>
                </c:extLst>
              </c15:ser>
            </c15:filteredBarSeries>
            <c15:filteredBarSeries>
              <c15:ser>
                <c:idx val="9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QGDP_Gr!$C$61</c15:sqref>
                        </c15:formulaRef>
                      </c:ext>
                    </c:extLst>
                    <c:strCache>
                      <c:ptCount val="1"/>
                      <c:pt idx="0">
                        <c:v>Construction</c:v>
                      </c:pt>
                    </c:strCache>
                  </c:strRef>
                </c:tx>
                <c:spPr>
                  <a:solidFill>
                    <a:schemeClr val="accent4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QGDP_Gr!$D$50:$E$51</c15:sqref>
                        </c15:formulaRef>
                      </c:ext>
                    </c:extLst>
                    <c:multiLvlStrCache>
                      <c:ptCount val="2"/>
                      <c:lvl>
                        <c:pt idx="0">
                          <c:v>Q1</c:v>
                        </c:pt>
                        <c:pt idx="1">
                          <c:v>Q2</c:v>
                        </c:pt>
                      </c:lvl>
                      <c:lvl>
                        <c:pt idx="0">
                          <c:v>2025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QGDP_Gr!$D$61:$E$61</c15:sqref>
                        </c15:formulaRef>
                      </c:ext>
                    </c:extLst>
                    <c:numCache>
                      <c:formatCode>0%</c:formatCode>
                      <c:ptCount val="2"/>
                      <c:pt idx="0">
                        <c:v>0.05</c:v>
                      </c:pt>
                      <c:pt idx="1">
                        <c:v>3.5000000000000003E-2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8506-4B00-BF1E-4B4F9ACC7171}"/>
                  </c:ext>
                </c:extLst>
              </c15:ser>
            </c15:filteredBarSeries>
            <c15:filteredBarSeries>
              <c15:ser>
                <c:idx val="10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QGDP_Gr!$C$62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5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QGDP_Gr!$D$50:$E$51</c15:sqref>
                        </c15:formulaRef>
                      </c:ext>
                    </c:extLst>
                    <c:multiLvlStrCache>
                      <c:ptCount val="2"/>
                      <c:lvl>
                        <c:pt idx="0">
                          <c:v>Q1</c:v>
                        </c:pt>
                        <c:pt idx="1">
                          <c:v>Q2</c:v>
                        </c:pt>
                      </c:lvl>
                      <c:lvl>
                        <c:pt idx="0">
                          <c:v>2025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QGDP_Gr!$D$62:$E$62</c15:sqref>
                        </c15:formulaRef>
                      </c:ext>
                    </c:extLst>
                    <c:numCache>
                      <c:formatCode>0%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8506-4B00-BF1E-4B4F9ACC7171}"/>
                  </c:ext>
                </c:extLst>
              </c15:ser>
            </c15:filteredBarSeries>
            <c15:filteredBarSeries>
              <c15:ser>
                <c:idx val="13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QGDP_Gr!$C$65</c15:sqref>
                        </c15:formulaRef>
                      </c:ext>
                    </c:extLst>
                    <c:strCache>
                      <c:ptCount val="1"/>
                      <c:pt idx="0">
                        <c:v>Maintenance &amp; repair of motor vehicles</c:v>
                      </c:pt>
                    </c:strCache>
                  </c:strRef>
                </c:tx>
                <c:spPr>
                  <a:solidFill>
                    <a:schemeClr val="accent2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QGDP_Gr!$D$50:$E$51</c15:sqref>
                        </c15:formulaRef>
                      </c:ext>
                    </c:extLst>
                    <c:multiLvlStrCache>
                      <c:ptCount val="2"/>
                      <c:lvl>
                        <c:pt idx="0">
                          <c:v>Q1</c:v>
                        </c:pt>
                        <c:pt idx="1">
                          <c:v>Q2</c:v>
                        </c:pt>
                      </c:lvl>
                      <c:lvl>
                        <c:pt idx="0">
                          <c:v>2025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QGDP_Gr!$D$65:$E$65</c15:sqref>
                        </c15:formulaRef>
                      </c:ext>
                    </c:extLst>
                    <c:numCache>
                      <c:formatCode>0%</c:formatCode>
                      <c:ptCount val="2"/>
                      <c:pt idx="0">
                        <c:v>0.34</c:v>
                      </c:pt>
                      <c:pt idx="1">
                        <c:v>0.34499999999999997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8506-4B00-BF1E-4B4F9ACC7171}"/>
                  </c:ext>
                </c:extLst>
              </c15:ser>
            </c15:filteredBarSeries>
            <c15:filteredBarSeries>
              <c15:ser>
                <c:idx val="14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QGDP_Gr!$C$66</c15:sqref>
                        </c15:formulaRef>
                      </c:ext>
                    </c:extLst>
                    <c:strCache>
                      <c:ptCount val="1"/>
                      <c:pt idx="0">
                        <c:v>Wholesale &amp; retail trade</c:v>
                      </c:pt>
                    </c:strCache>
                  </c:strRef>
                </c:tx>
                <c:spPr>
                  <a:solidFill>
                    <a:schemeClr val="accent3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QGDP_Gr!$D$50:$E$51</c15:sqref>
                        </c15:formulaRef>
                      </c:ext>
                    </c:extLst>
                    <c:multiLvlStrCache>
                      <c:ptCount val="2"/>
                      <c:lvl>
                        <c:pt idx="0">
                          <c:v>Q1</c:v>
                        </c:pt>
                        <c:pt idx="1">
                          <c:v>Q2</c:v>
                        </c:pt>
                      </c:lvl>
                      <c:lvl>
                        <c:pt idx="0">
                          <c:v>2025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QGDP_Gr!$D$66:$E$66</c15:sqref>
                        </c15:formulaRef>
                      </c:ext>
                    </c:extLst>
                    <c:numCache>
                      <c:formatCode>0%</c:formatCode>
                      <c:ptCount val="2"/>
                      <c:pt idx="0">
                        <c:v>0.13</c:v>
                      </c:pt>
                      <c:pt idx="1">
                        <c:v>0.13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8506-4B00-BF1E-4B4F9ACC7171}"/>
                  </c:ext>
                </c:extLst>
              </c15:ser>
            </c15:filteredBarSeries>
            <c15:filteredBarSeries>
              <c15:ser>
                <c:idx val="16"/>
                <c:order val="1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QGDP_Gr!$C$68</c15:sqref>
                        </c15:formulaRef>
                      </c:ext>
                    </c:extLst>
                    <c:strCache>
                      <c:ptCount val="1"/>
                      <c:pt idx="0">
                        <c:v>Information &amp; communication</c:v>
                      </c:pt>
                    </c:strCache>
                  </c:strRef>
                </c:tx>
                <c:spPr>
                  <a:solidFill>
                    <a:schemeClr val="accent5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QGDP_Gr!$D$50:$E$51</c15:sqref>
                        </c15:formulaRef>
                      </c:ext>
                    </c:extLst>
                    <c:multiLvlStrCache>
                      <c:ptCount val="2"/>
                      <c:lvl>
                        <c:pt idx="0">
                          <c:v>Q1</c:v>
                        </c:pt>
                        <c:pt idx="1">
                          <c:v>Q2</c:v>
                        </c:pt>
                      </c:lvl>
                      <c:lvl>
                        <c:pt idx="0">
                          <c:v>2025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QGDP_Gr!$D$68:$E$68</c15:sqref>
                        </c15:formulaRef>
                      </c:ext>
                    </c:extLst>
                    <c:numCache>
                      <c:formatCode>0%</c:formatCode>
                      <c:ptCount val="2"/>
                      <c:pt idx="0">
                        <c:v>0.11</c:v>
                      </c:pt>
                      <c:pt idx="1">
                        <c:v>0.11499999999999999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8506-4B00-BF1E-4B4F9ACC7171}"/>
                  </c:ext>
                </c:extLst>
              </c15:ser>
            </c15:filteredBarSeries>
            <c15:filteredBarSeries>
              <c15:ser>
                <c:idx val="17"/>
                <c:order val="1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QGDP_Gr!$C$69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6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QGDP_Gr!$D$50:$E$51</c15:sqref>
                        </c15:formulaRef>
                      </c:ext>
                    </c:extLst>
                    <c:multiLvlStrCache>
                      <c:ptCount val="2"/>
                      <c:lvl>
                        <c:pt idx="0">
                          <c:v>Q1</c:v>
                        </c:pt>
                        <c:pt idx="1">
                          <c:v>Q2</c:v>
                        </c:pt>
                      </c:lvl>
                      <c:lvl>
                        <c:pt idx="0">
                          <c:v>2025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QGDP_Gr!$D$69:$E$69</c15:sqref>
                        </c15:formulaRef>
                      </c:ext>
                    </c:extLst>
                    <c:numCache>
                      <c:formatCode>#,##0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8506-4B00-BF1E-4B4F9ACC7171}"/>
                  </c:ext>
                </c:extLst>
              </c15:ser>
            </c15:filteredBarSeries>
          </c:ext>
        </c:extLst>
      </c:barChart>
      <c:catAx>
        <c:axId val="644566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RW"/>
          </a:p>
        </c:txPr>
        <c:crossAx val="644567384"/>
        <c:crosses val="autoZero"/>
        <c:auto val="1"/>
        <c:lblAlgn val="ctr"/>
        <c:lblOffset val="100"/>
        <c:noMultiLvlLbl val="0"/>
      </c:catAx>
      <c:valAx>
        <c:axId val="644567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RW"/>
          </a:p>
        </c:txPr>
        <c:crossAx val="644566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6.2025418865652535E-2"/>
          <c:y val="0.76947058962991066"/>
          <c:w val="0.90462299739414298"/>
          <c:h val="0.2054379351494029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R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R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ysClr val="windowText" lastClr="000000"/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r>
              <a:rPr lang="en-US" sz="1800" b="0" i="0" u="none" strike="noStrike" kern="1200" spc="0" baseline="0" dirty="0">
                <a:solidFill>
                  <a:sysClr val="windowText" lastClr="000000"/>
                </a:solidFill>
                <a:latin typeface="Bahnschrift" panose="020B0502040204020203" pitchFamily="34" charset="0"/>
              </a:rPr>
              <a:t>GDP &amp; HFIs (YoY, %Change)</a:t>
            </a:r>
            <a:endParaRPr lang="sl-SI" sz="1800" b="0" i="0" u="none" strike="noStrike" kern="1200" spc="0" baseline="0" dirty="0">
              <a:solidFill>
                <a:sysClr val="windowText" lastClr="000000"/>
              </a:solidFill>
              <a:latin typeface="Bahnschrift" panose="020B05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ysClr val="windowText" lastClr="000000"/>
              </a:solidFill>
              <a:latin typeface="Bahnschrift" panose="020B0502040204020203" pitchFamily="34" charset="0"/>
              <a:ea typeface="+mn-ea"/>
              <a:cs typeface="+mn-cs"/>
            </a:defRPr>
          </a:pPr>
          <a:endParaRPr lang="sl-SI"/>
        </a:p>
      </c:txPr>
    </c:title>
    <c:autoTitleDeleted val="0"/>
    <c:plotArea>
      <c:layout>
        <c:manualLayout>
          <c:layoutTarget val="inner"/>
          <c:xMode val="edge"/>
          <c:yMode val="edge"/>
          <c:x val="6.8391525662243921E-2"/>
          <c:y val="0.15124020042949174"/>
          <c:w val="0.92030702481892368"/>
          <c:h val="0.74900997375328082"/>
        </c:manualLayout>
      </c:layout>
      <c:lineChart>
        <c:grouping val="standard"/>
        <c:varyColors val="0"/>
        <c:ser>
          <c:idx val="0"/>
          <c:order val="0"/>
          <c:tx>
            <c:strRef>
              <c:f>QGDP_Gr!$B$7</c:f>
              <c:strCache>
                <c:ptCount val="1"/>
                <c:pt idx="0">
                  <c:v>GDP(Real)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rgbClr val="203864"/>
              </a:solidFill>
              <a:ln w="9525">
                <a:noFill/>
              </a:ln>
              <a:effectLst/>
            </c:spPr>
          </c:marker>
          <c:dPt>
            <c:idx val="30"/>
            <c:marker>
              <c:symbol val="circle"/>
              <c:size val="6"/>
              <c:spPr>
                <a:solidFill>
                  <a:sysClr val="window" lastClr="FFFFFF"/>
                </a:solidFill>
                <a:ln w="9525">
                  <a:noFill/>
                </a:ln>
                <a:effectLst/>
              </c:spPr>
            </c:marker>
            <c:bubble3D val="0"/>
            <c:spPr>
              <a:ln w="28575" cap="rnd">
                <a:solidFill>
                  <a:sysClr val="window" lastClr="FFFFFF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A68A-476A-9216-34A9F3C896CF}"/>
              </c:ext>
            </c:extLst>
          </c:dPt>
          <c:cat>
            <c:strRef>
              <c:f>Turnovers!$J$7:$J$38</c:f>
              <c:strCache>
                <c:ptCount val="32"/>
                <c:pt idx="0">
                  <c:v>2018Q1</c:v>
                </c:pt>
                <c:pt idx="1">
                  <c:v>2018Q2</c:v>
                </c:pt>
                <c:pt idx="2">
                  <c:v>2018Q3</c:v>
                </c:pt>
                <c:pt idx="3">
                  <c:v>2018Q4</c:v>
                </c:pt>
                <c:pt idx="4">
                  <c:v>2019Q1</c:v>
                </c:pt>
                <c:pt idx="5">
                  <c:v>2019Q2</c:v>
                </c:pt>
                <c:pt idx="6">
                  <c:v>2019Q3</c:v>
                </c:pt>
                <c:pt idx="7">
                  <c:v>2019Q4</c:v>
                </c:pt>
                <c:pt idx="8">
                  <c:v>2020Q1</c:v>
                </c:pt>
                <c:pt idx="9">
                  <c:v>2020Q2</c:v>
                </c:pt>
                <c:pt idx="10">
                  <c:v>2020Q3</c:v>
                </c:pt>
                <c:pt idx="11">
                  <c:v>2020Q4</c:v>
                </c:pt>
                <c:pt idx="12">
                  <c:v>2021Q1</c:v>
                </c:pt>
                <c:pt idx="13">
                  <c:v>2021Q2</c:v>
                </c:pt>
                <c:pt idx="14">
                  <c:v>2021Q3</c:v>
                </c:pt>
                <c:pt idx="15">
                  <c:v>2021Q4</c:v>
                </c:pt>
                <c:pt idx="16">
                  <c:v>2022Q1</c:v>
                </c:pt>
                <c:pt idx="17">
                  <c:v>2022Q2</c:v>
                </c:pt>
                <c:pt idx="18">
                  <c:v>2022Q3</c:v>
                </c:pt>
                <c:pt idx="19">
                  <c:v>2022Q4</c:v>
                </c:pt>
                <c:pt idx="20">
                  <c:v>2023Q1</c:v>
                </c:pt>
                <c:pt idx="21">
                  <c:v>2023Q2</c:v>
                </c:pt>
                <c:pt idx="22">
                  <c:v>2023Q3</c:v>
                </c:pt>
                <c:pt idx="23">
                  <c:v>2023Q4</c:v>
                </c:pt>
                <c:pt idx="24">
                  <c:v>2024Q1</c:v>
                </c:pt>
                <c:pt idx="25">
                  <c:v>2024Q2</c:v>
                </c:pt>
                <c:pt idx="26">
                  <c:v>2024Q3</c:v>
                </c:pt>
                <c:pt idx="27">
                  <c:v>2024Q4</c:v>
                </c:pt>
                <c:pt idx="28">
                  <c:v>2025Q1</c:v>
                </c:pt>
                <c:pt idx="29">
                  <c:v>2025Q2</c:v>
                </c:pt>
                <c:pt idx="30">
                  <c:v>2025Q3</c:v>
                </c:pt>
                <c:pt idx="31">
                  <c:v>2025Q4</c:v>
                </c:pt>
              </c:strCache>
            </c:strRef>
          </c:cat>
          <c:val>
            <c:numRef>
              <c:f>QGDP_Gr!$AZ$7:$CE$7</c:f>
              <c:numCache>
                <c:formatCode>0.0%</c:formatCode>
                <c:ptCount val="32"/>
                <c:pt idx="0">
                  <c:v>7.0000000000000007E-2</c:v>
                </c:pt>
                <c:pt idx="1">
                  <c:v>8.2000000000000003E-2</c:v>
                </c:pt>
                <c:pt idx="2">
                  <c:v>6.8000000000000005E-2</c:v>
                </c:pt>
                <c:pt idx="3">
                  <c:v>7.8E-2</c:v>
                </c:pt>
                <c:pt idx="4">
                  <c:v>9.2999999999999999E-2</c:v>
                </c:pt>
                <c:pt idx="5">
                  <c:v>6.3E-2</c:v>
                </c:pt>
                <c:pt idx="6">
                  <c:v>0.13200000000000001</c:v>
                </c:pt>
                <c:pt idx="7">
                  <c:v>0.11799999999999999</c:v>
                </c:pt>
                <c:pt idx="8">
                  <c:v>6.4000000000000001E-2</c:v>
                </c:pt>
                <c:pt idx="9">
                  <c:v>4.3999999999999997E-2</c:v>
                </c:pt>
                <c:pt idx="10">
                  <c:v>-0.112</c:v>
                </c:pt>
                <c:pt idx="11">
                  <c:v>-3.6999999999999998E-2</c:v>
                </c:pt>
                <c:pt idx="12">
                  <c:v>-1E-3</c:v>
                </c:pt>
                <c:pt idx="13">
                  <c:v>2.4E-2</c:v>
                </c:pt>
                <c:pt idx="14">
                  <c:v>0.17899999999999999</c:v>
                </c:pt>
                <c:pt idx="15">
                  <c:v>0.06</c:v>
                </c:pt>
                <c:pt idx="16">
                  <c:v>7.5999999999999998E-2</c:v>
                </c:pt>
                <c:pt idx="17">
                  <c:v>9.9000000000000005E-2</c:v>
                </c:pt>
                <c:pt idx="18">
                  <c:v>0.11600000000000001</c:v>
                </c:pt>
                <c:pt idx="19">
                  <c:v>0.115</c:v>
                </c:pt>
                <c:pt idx="20">
                  <c:v>6.7000000000000004E-2</c:v>
                </c:pt>
                <c:pt idx="21">
                  <c:v>7.6999999999999999E-2</c:v>
                </c:pt>
                <c:pt idx="22">
                  <c:v>2.5999999999999999E-2</c:v>
                </c:pt>
                <c:pt idx="23">
                  <c:v>0.106</c:v>
                </c:pt>
                <c:pt idx="24">
                  <c:v>0.13500000000000001</c:v>
                </c:pt>
                <c:pt idx="25">
                  <c:v>8.1000000000000003E-2</c:v>
                </c:pt>
                <c:pt idx="26">
                  <c:v>0.10199999999999999</c:v>
                </c:pt>
                <c:pt idx="27">
                  <c:v>6.8000000000000005E-2</c:v>
                </c:pt>
                <c:pt idx="28">
                  <c:v>4.1000000000000002E-2</c:v>
                </c:pt>
                <c:pt idx="29">
                  <c:v>6.5000000000000002E-2</c:v>
                </c:pt>
                <c:pt idx="30">
                  <c:v>7.8E-2</c:v>
                </c:pt>
                <c:pt idx="31">
                  <c:v>0.11799999999999999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E-0BAB-4B78-A81F-22D0802B1EB1}"/>
            </c:ext>
          </c:extLst>
        </c:ser>
        <c:ser>
          <c:idx val="1"/>
          <c:order val="1"/>
          <c:tx>
            <c:strRef>
              <c:f>CIEA!$C$1</c:f>
              <c:strCache>
                <c:ptCount val="1"/>
                <c:pt idx="0">
                  <c:v>CIEA(Real)</c:v>
                </c:pt>
              </c:strCache>
            </c:strRef>
          </c:tx>
          <c:spPr>
            <a:ln w="28575" cap="rnd">
              <a:solidFill>
                <a:srgbClr val="4BACC6">
                  <a:lumMod val="60000"/>
                  <a:lumOff val="40000"/>
                </a:srgb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4BACC6">
                  <a:lumMod val="60000"/>
                  <a:lumOff val="40000"/>
                </a:srgbClr>
              </a:solidFill>
              <a:ln w="9525">
                <a:solidFill>
                  <a:srgbClr val="4BACC6">
                    <a:lumMod val="60000"/>
                    <a:lumOff val="40000"/>
                  </a:srgbClr>
                </a:solidFill>
              </a:ln>
              <a:effectLst/>
            </c:spPr>
          </c:marker>
          <c:cat>
            <c:strRef>
              <c:f>Turnovers!$J$7:$J$38</c:f>
              <c:strCache>
                <c:ptCount val="32"/>
                <c:pt idx="0">
                  <c:v>2018Q1</c:v>
                </c:pt>
                <c:pt idx="1">
                  <c:v>2018Q2</c:v>
                </c:pt>
                <c:pt idx="2">
                  <c:v>2018Q3</c:v>
                </c:pt>
                <c:pt idx="3">
                  <c:v>2018Q4</c:v>
                </c:pt>
                <c:pt idx="4">
                  <c:v>2019Q1</c:v>
                </c:pt>
                <c:pt idx="5">
                  <c:v>2019Q2</c:v>
                </c:pt>
                <c:pt idx="6">
                  <c:v>2019Q3</c:v>
                </c:pt>
                <c:pt idx="7">
                  <c:v>2019Q4</c:v>
                </c:pt>
                <c:pt idx="8">
                  <c:v>2020Q1</c:v>
                </c:pt>
                <c:pt idx="9">
                  <c:v>2020Q2</c:v>
                </c:pt>
                <c:pt idx="10">
                  <c:v>2020Q3</c:v>
                </c:pt>
                <c:pt idx="11">
                  <c:v>2020Q4</c:v>
                </c:pt>
                <c:pt idx="12">
                  <c:v>2021Q1</c:v>
                </c:pt>
                <c:pt idx="13">
                  <c:v>2021Q2</c:v>
                </c:pt>
                <c:pt idx="14">
                  <c:v>2021Q3</c:v>
                </c:pt>
                <c:pt idx="15">
                  <c:v>2021Q4</c:v>
                </c:pt>
                <c:pt idx="16">
                  <c:v>2022Q1</c:v>
                </c:pt>
                <c:pt idx="17">
                  <c:v>2022Q2</c:v>
                </c:pt>
                <c:pt idx="18">
                  <c:v>2022Q3</c:v>
                </c:pt>
                <c:pt idx="19">
                  <c:v>2022Q4</c:v>
                </c:pt>
                <c:pt idx="20">
                  <c:v>2023Q1</c:v>
                </c:pt>
                <c:pt idx="21">
                  <c:v>2023Q2</c:v>
                </c:pt>
                <c:pt idx="22">
                  <c:v>2023Q3</c:v>
                </c:pt>
                <c:pt idx="23">
                  <c:v>2023Q4</c:v>
                </c:pt>
                <c:pt idx="24">
                  <c:v>2024Q1</c:v>
                </c:pt>
                <c:pt idx="25">
                  <c:v>2024Q2</c:v>
                </c:pt>
                <c:pt idx="26">
                  <c:v>2024Q3</c:v>
                </c:pt>
                <c:pt idx="27">
                  <c:v>2024Q4</c:v>
                </c:pt>
                <c:pt idx="28">
                  <c:v>2025Q1</c:v>
                </c:pt>
                <c:pt idx="29">
                  <c:v>2025Q2</c:v>
                </c:pt>
                <c:pt idx="30">
                  <c:v>2025Q3</c:v>
                </c:pt>
                <c:pt idx="31">
                  <c:v>2025Q4</c:v>
                </c:pt>
              </c:strCache>
            </c:strRef>
          </c:cat>
          <c:val>
            <c:numRef>
              <c:f>CIEA!$H$7:$H$38</c:f>
              <c:numCache>
                <c:formatCode>0.0%</c:formatCode>
                <c:ptCount val="32"/>
                <c:pt idx="0">
                  <c:v>0.11226616855700478</c:v>
                </c:pt>
                <c:pt idx="1">
                  <c:v>8.9110284163178122E-2</c:v>
                </c:pt>
                <c:pt idx="2">
                  <c:v>0.10503389951286657</c:v>
                </c:pt>
                <c:pt idx="3">
                  <c:v>0.11134075564378754</c:v>
                </c:pt>
                <c:pt idx="4">
                  <c:v>0.15118300929890993</c:v>
                </c:pt>
                <c:pt idx="5">
                  <c:v>0.19579308239578586</c:v>
                </c:pt>
                <c:pt idx="6">
                  <c:v>0.18630047506738867</c:v>
                </c:pt>
                <c:pt idx="7">
                  <c:v>0.13416424720014319</c:v>
                </c:pt>
                <c:pt idx="8">
                  <c:v>5.1844876175563881E-2</c:v>
                </c:pt>
                <c:pt idx="9">
                  <c:v>-9.0513320294898336E-2</c:v>
                </c:pt>
                <c:pt idx="10">
                  <c:v>6.748253178539354E-2</c:v>
                </c:pt>
                <c:pt idx="11">
                  <c:v>0.11061119350752291</c:v>
                </c:pt>
                <c:pt idx="12">
                  <c:v>0.1211434548927699</c:v>
                </c:pt>
                <c:pt idx="13">
                  <c:v>0.31701030367549099</c:v>
                </c:pt>
                <c:pt idx="14">
                  <c:v>0.10152872065075336</c:v>
                </c:pt>
                <c:pt idx="15">
                  <c:v>0.12536536611682325</c:v>
                </c:pt>
                <c:pt idx="16">
                  <c:v>0.13604096771406082</c:v>
                </c:pt>
                <c:pt idx="17">
                  <c:v>0.11070625297082803</c:v>
                </c:pt>
                <c:pt idx="18">
                  <c:v>0.17338585206720714</c:v>
                </c:pt>
                <c:pt idx="19">
                  <c:v>8.2810871472669634E-2</c:v>
                </c:pt>
                <c:pt idx="20">
                  <c:v>0.14711703286075983</c:v>
                </c:pt>
                <c:pt idx="21">
                  <c:v>6.2073902647790113E-2</c:v>
                </c:pt>
                <c:pt idx="22">
                  <c:v>4.9036968570941974E-2</c:v>
                </c:pt>
                <c:pt idx="23">
                  <c:v>7.229705414609211E-2</c:v>
                </c:pt>
                <c:pt idx="24">
                  <c:v>8.4333505726506663E-2</c:v>
                </c:pt>
                <c:pt idx="25">
                  <c:v>0.1776774154102152</c:v>
                </c:pt>
                <c:pt idx="26">
                  <c:v>0.14208261039533165</c:v>
                </c:pt>
                <c:pt idx="27">
                  <c:v>0.14309475223997947</c:v>
                </c:pt>
                <c:pt idx="28">
                  <c:v>9.6568494094241064E-2</c:v>
                </c:pt>
                <c:pt idx="29">
                  <c:v>0.12446675409179297</c:v>
                </c:pt>
                <c:pt idx="30">
                  <c:v>0.14930987856654832</c:v>
                </c:pt>
                <c:pt idx="31">
                  <c:v>0.16502820653329264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CA9-4370-A658-98B3C877002E}"/>
            </c:ext>
          </c:extLst>
        </c:ser>
        <c:ser>
          <c:idx val="2"/>
          <c:order val="2"/>
          <c:tx>
            <c:strRef>
              <c:f>Turnovers!$C$1</c:f>
              <c:strCache>
                <c:ptCount val="1"/>
                <c:pt idx="0">
                  <c:v>Turnovers(Real)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Turnovers!$J$7:$J$38</c:f>
              <c:strCache>
                <c:ptCount val="32"/>
                <c:pt idx="0">
                  <c:v>2018Q1</c:v>
                </c:pt>
                <c:pt idx="1">
                  <c:v>2018Q2</c:v>
                </c:pt>
                <c:pt idx="2">
                  <c:v>2018Q3</c:v>
                </c:pt>
                <c:pt idx="3">
                  <c:v>2018Q4</c:v>
                </c:pt>
                <c:pt idx="4">
                  <c:v>2019Q1</c:v>
                </c:pt>
                <c:pt idx="5">
                  <c:v>2019Q2</c:v>
                </c:pt>
                <c:pt idx="6">
                  <c:v>2019Q3</c:v>
                </c:pt>
                <c:pt idx="7">
                  <c:v>2019Q4</c:v>
                </c:pt>
                <c:pt idx="8">
                  <c:v>2020Q1</c:v>
                </c:pt>
                <c:pt idx="9">
                  <c:v>2020Q2</c:v>
                </c:pt>
                <c:pt idx="10">
                  <c:v>2020Q3</c:v>
                </c:pt>
                <c:pt idx="11">
                  <c:v>2020Q4</c:v>
                </c:pt>
                <c:pt idx="12">
                  <c:v>2021Q1</c:v>
                </c:pt>
                <c:pt idx="13">
                  <c:v>2021Q2</c:v>
                </c:pt>
                <c:pt idx="14">
                  <c:v>2021Q3</c:v>
                </c:pt>
                <c:pt idx="15">
                  <c:v>2021Q4</c:v>
                </c:pt>
                <c:pt idx="16">
                  <c:v>2022Q1</c:v>
                </c:pt>
                <c:pt idx="17">
                  <c:v>2022Q2</c:v>
                </c:pt>
                <c:pt idx="18">
                  <c:v>2022Q3</c:v>
                </c:pt>
                <c:pt idx="19">
                  <c:v>2022Q4</c:v>
                </c:pt>
                <c:pt idx="20">
                  <c:v>2023Q1</c:v>
                </c:pt>
                <c:pt idx="21">
                  <c:v>2023Q2</c:v>
                </c:pt>
                <c:pt idx="22">
                  <c:v>2023Q3</c:v>
                </c:pt>
                <c:pt idx="23">
                  <c:v>2023Q4</c:v>
                </c:pt>
                <c:pt idx="24">
                  <c:v>2024Q1</c:v>
                </c:pt>
                <c:pt idx="25">
                  <c:v>2024Q2</c:v>
                </c:pt>
                <c:pt idx="26">
                  <c:v>2024Q3</c:v>
                </c:pt>
                <c:pt idx="27">
                  <c:v>2024Q4</c:v>
                </c:pt>
                <c:pt idx="28">
                  <c:v>2025Q1</c:v>
                </c:pt>
                <c:pt idx="29">
                  <c:v>2025Q2</c:v>
                </c:pt>
                <c:pt idx="30">
                  <c:v>2025Q3</c:v>
                </c:pt>
                <c:pt idx="31">
                  <c:v>2025Q4</c:v>
                </c:pt>
              </c:strCache>
            </c:strRef>
          </c:cat>
          <c:val>
            <c:numRef>
              <c:f>Turnovers!$I$7:$I$38</c:f>
              <c:numCache>
                <c:formatCode>0.0%</c:formatCode>
                <c:ptCount val="32"/>
                <c:pt idx="0">
                  <c:v>0.13147117422977361</c:v>
                </c:pt>
                <c:pt idx="1">
                  <c:v>9.3667775805459597E-2</c:v>
                </c:pt>
                <c:pt idx="2">
                  <c:v>7.013344531647614E-2</c:v>
                </c:pt>
                <c:pt idx="3">
                  <c:v>0.16674228127728741</c:v>
                </c:pt>
                <c:pt idx="4">
                  <c:v>0.20468568935565434</c:v>
                </c:pt>
                <c:pt idx="5">
                  <c:v>0.19847706754323835</c:v>
                </c:pt>
                <c:pt idx="6">
                  <c:v>0.17480508159072627</c:v>
                </c:pt>
                <c:pt idx="7">
                  <c:v>7.6732188681137625E-2</c:v>
                </c:pt>
                <c:pt idx="8">
                  <c:v>-6.6634533722782496E-2</c:v>
                </c:pt>
                <c:pt idx="9">
                  <c:v>-0.22071520412128542</c:v>
                </c:pt>
                <c:pt idx="10">
                  <c:v>-4.2866420725417687E-2</c:v>
                </c:pt>
                <c:pt idx="11">
                  <c:v>7.4150574180192663E-2</c:v>
                </c:pt>
                <c:pt idx="12">
                  <c:v>7.3824284797606055E-2</c:v>
                </c:pt>
                <c:pt idx="13">
                  <c:v>0.51732221137297629</c:v>
                </c:pt>
                <c:pt idx="14">
                  <c:v>0.20047019080629269</c:v>
                </c:pt>
                <c:pt idx="15">
                  <c:v>0.21373694348385452</c:v>
                </c:pt>
                <c:pt idx="16">
                  <c:v>0.25591392707856775</c:v>
                </c:pt>
                <c:pt idx="17">
                  <c:v>0.12772892361215349</c:v>
                </c:pt>
                <c:pt idx="18">
                  <c:v>0.18067160962679041</c:v>
                </c:pt>
                <c:pt idx="19">
                  <c:v>8.6771123051763377E-2</c:v>
                </c:pt>
                <c:pt idx="20">
                  <c:v>7.6679254350102699E-2</c:v>
                </c:pt>
                <c:pt idx="21">
                  <c:v>5.7154122453815459E-2</c:v>
                </c:pt>
                <c:pt idx="22">
                  <c:v>0.13039970564357217</c:v>
                </c:pt>
                <c:pt idx="23">
                  <c:v>0.15438484982371992</c:v>
                </c:pt>
                <c:pt idx="24">
                  <c:v>9.7859018022380173E-2</c:v>
                </c:pt>
                <c:pt idx="25">
                  <c:v>0.15853111993328151</c:v>
                </c:pt>
                <c:pt idx="26">
                  <c:v>0.21344499291811458</c:v>
                </c:pt>
                <c:pt idx="27">
                  <c:v>0.13888729071198669</c:v>
                </c:pt>
                <c:pt idx="28">
                  <c:v>0.13639312518107372</c:v>
                </c:pt>
                <c:pt idx="29">
                  <c:v>0.1343746649187203</c:v>
                </c:pt>
                <c:pt idx="30">
                  <c:v>4.1635208330306428E-2</c:v>
                </c:pt>
                <c:pt idx="31">
                  <c:v>0.25374207593991427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68A-476A-9216-34A9F3C896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80768064"/>
        <c:axId val="1280769504"/>
      </c:lineChart>
      <c:catAx>
        <c:axId val="1280768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en-US"/>
          </a:p>
        </c:txPr>
        <c:crossAx val="1280769504"/>
        <c:crosses val="autoZero"/>
        <c:auto val="1"/>
        <c:lblAlgn val="ctr"/>
        <c:lblOffset val="100"/>
        <c:noMultiLvlLbl val="0"/>
      </c:catAx>
      <c:valAx>
        <c:axId val="1280769504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0768064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r"/>
      <c:layout>
        <c:manualLayout>
          <c:xMode val="edge"/>
          <c:yMode val="edge"/>
          <c:x val="0.4852369640943453"/>
          <c:y val="0.79956466596418008"/>
          <c:w val="0.45206141256855842"/>
          <c:h val="0.1448507992294954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RW"/>
        </a:p>
      </c:txPr>
    </c:legend>
    <c:plotVisOnly val="1"/>
    <c:dispBlanksAs val="gap"/>
    <c:showDLblsOverMax val="0"/>
  </c:chart>
  <c:spPr>
    <a:noFill/>
    <a:ln w="9525" cap="flat" cmpd="sng" algn="ctr">
      <a:solidFill>
        <a:sysClr val="window" lastClr="FFFFFF">
          <a:lumMod val="95000"/>
        </a:sys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  <a:latin typeface="Bahnschrift" panose="020B0502040204020203" pitchFamily="34" charset="0"/>
              </a:rPr>
              <a:t>External trade</a:t>
            </a:r>
            <a:r>
              <a:rPr lang="en-US" baseline="0">
                <a:solidFill>
                  <a:sysClr val="windowText" lastClr="000000"/>
                </a:solidFill>
                <a:latin typeface="Bahnschrift" panose="020B0502040204020203" pitchFamily="34" charset="0"/>
              </a:rPr>
              <a:t> </a:t>
            </a:r>
            <a:r>
              <a:rPr lang="en-US">
                <a:solidFill>
                  <a:sysClr val="windowText" lastClr="000000"/>
                </a:solidFill>
                <a:latin typeface="Bahnschrift" panose="020B0502040204020203" pitchFamily="34" charset="0"/>
              </a:rPr>
              <a:t>balance</a:t>
            </a:r>
            <a:r>
              <a:rPr lang="en-US" baseline="0">
                <a:solidFill>
                  <a:sysClr val="windowText" lastClr="000000"/>
                </a:solidFill>
                <a:latin typeface="Bahnschrift" panose="020B0502040204020203" pitchFamily="34" charset="0"/>
              </a:rPr>
              <a:t> (Million USD)</a:t>
            </a:r>
            <a:endParaRPr lang="sl-SI">
              <a:solidFill>
                <a:sysClr val="windowText" lastClr="000000"/>
              </a:solidFill>
              <a:latin typeface="Bahnschrift" panose="020B05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Bahnschrift" panose="020B0502040204020203" pitchFamily="34" charset="0"/>
              <a:ea typeface="+mn-ea"/>
              <a:cs typeface="+mn-cs"/>
            </a:defRPr>
          </a:pPr>
          <a:endParaRPr lang="sl-SI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BOP!$B$6</c:f>
              <c:strCache>
                <c:ptCount val="1"/>
                <c:pt idx="0">
                  <c:v>Current Account (- deficit)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BOP!$C$5:$J$5</c:f>
              <c:numCache>
                <c:formatCode>General</c:formatCode>
                <c:ptCount val="8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</c:numCache>
            </c:numRef>
          </c:cat>
          <c:val>
            <c:numRef>
              <c:f>BOP!$C$6:$J$6</c:f>
              <c:numCache>
                <c:formatCode>0.0</c:formatCode>
                <c:ptCount val="8"/>
                <c:pt idx="0">
                  <c:v>-1239.6398739823999</c:v>
                </c:pt>
                <c:pt idx="1">
                  <c:v>-1665.3042633793739</c:v>
                </c:pt>
                <c:pt idx="2">
                  <c:v>-1815.0860995197763</c:v>
                </c:pt>
                <c:pt idx="3">
                  <c:v>-2069.2991750573983</c:v>
                </c:pt>
                <c:pt idx="4">
                  <c:v>-2320.780109315559</c:v>
                </c:pt>
                <c:pt idx="5">
                  <c:v>-2155.7967616850356</c:v>
                </c:pt>
                <c:pt idx="6">
                  <c:v>-1674.9320593534942</c:v>
                </c:pt>
                <c:pt idx="7">
                  <c:v>-1653.4328011154257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06-4C95-A4AA-78E2EE710A3E}"/>
            </c:ext>
          </c:extLst>
        </c:ser>
        <c:ser>
          <c:idx val="1"/>
          <c:order val="1"/>
          <c:tx>
            <c:strRef>
              <c:f>BOP!$B$7</c:f>
              <c:strCache>
                <c:ptCount val="1"/>
                <c:pt idx="0">
                  <c:v>Exports (G&amp;S)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BOP!$C$5:$J$5</c:f>
              <c:numCache>
                <c:formatCode>General</c:formatCode>
                <c:ptCount val="8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</c:numCache>
            </c:numRef>
          </c:cat>
          <c:val>
            <c:numRef>
              <c:f>BOP!$C$7:$J$7</c:f>
              <c:numCache>
                <c:formatCode>0.0</c:formatCode>
                <c:ptCount val="8"/>
                <c:pt idx="0">
                  <c:v>2998.9007542732097</c:v>
                </c:pt>
                <c:pt idx="1">
                  <c:v>3523.5876137111582</c:v>
                </c:pt>
                <c:pt idx="2">
                  <c:v>4297.236954587217</c:v>
                </c:pt>
                <c:pt idx="3" formatCode="_(* #,##0_);_(* \(#,##0\);_(* &quot;-&quot;??_);_(@_)">
                  <c:v>4228.9194055722692</c:v>
                </c:pt>
                <c:pt idx="4" formatCode="_(* #,##0_);_(* \(#,##0\);_(* &quot;-&quot;??_);_(@_)">
                  <c:v>4821.6416779178726</c:v>
                </c:pt>
                <c:pt idx="5" formatCode="_(* #,##0_);_(* \(#,##0\);_(* &quot;-&quot;??_);_(@_)">
                  <c:v>5276.0042579251831</c:v>
                </c:pt>
                <c:pt idx="6" formatCode="_(* #,##0_);_(* \(#,##0\);_(* &quot;-&quot;??_);_(@_)">
                  <c:v>5708.2050927931987</c:v>
                </c:pt>
                <c:pt idx="7" formatCode="_(* #,##0_);_(* \(#,##0\);_(* &quot;-&quot;??_);_(@_)">
                  <c:v>6024.9129136690826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906-4C95-A4AA-78E2EE710A3E}"/>
            </c:ext>
          </c:extLst>
        </c:ser>
        <c:ser>
          <c:idx val="4"/>
          <c:order val="4"/>
          <c:tx>
            <c:strRef>
              <c:f>BOP!$B$10</c:f>
              <c:strCache>
                <c:ptCount val="1"/>
                <c:pt idx="0">
                  <c:v>Imports (G&amp;S)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BOP!$C$5:$J$5</c:f>
              <c:numCache>
                <c:formatCode>General</c:formatCode>
                <c:ptCount val="8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</c:numCache>
            </c:numRef>
          </c:cat>
          <c:val>
            <c:numRef>
              <c:f>BOP!$C$10:$J$10</c:f>
              <c:numCache>
                <c:formatCode>0.0</c:formatCode>
                <c:ptCount val="8"/>
                <c:pt idx="0">
                  <c:v>4976.9655601834802</c:v>
                </c:pt>
                <c:pt idx="1">
                  <c:v>5790.8095236580175</c:v>
                </c:pt>
                <c:pt idx="2">
                  <c:v>6550.8966017548737</c:v>
                </c:pt>
                <c:pt idx="3" formatCode="_(* #,##0_);_(* \(#,##0\);_(* &quot;-&quot;??_);_(@_)">
                  <c:v>6665.2072504857106</c:v>
                </c:pt>
                <c:pt idx="4" formatCode="_(* #,##0_);_(* \(#,##0\);_(* &quot;-&quot;??_);_(@_)">
                  <c:v>7416.4218901411841</c:v>
                </c:pt>
                <c:pt idx="5" formatCode="_(* #,##0_);_(* \(#,##0\);_(* &quot;-&quot;??_);_(@_)">
                  <c:v>7670.3432087795536</c:v>
                </c:pt>
                <c:pt idx="6" formatCode="_(* #,##0_);_(* \(#,##0\);_(* &quot;-&quot;??_);_(@_)">
                  <c:v>7599.9061766072082</c:v>
                </c:pt>
                <c:pt idx="7" formatCode="_(* #,##0_);_(* \(#,##0\);_(* &quot;-&quot;??_);_(@_)">
                  <c:v>7826.7004905223184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906-4C95-A4AA-78E2EE710A3E}"/>
            </c:ext>
          </c:extLst>
        </c:ser>
        <c:ser>
          <c:idx val="7"/>
          <c:order val="7"/>
          <c:tx>
            <c:strRef>
              <c:f>BOP!$B$13</c:f>
              <c:strCache>
                <c:ptCount val="1"/>
                <c:pt idx="0">
                  <c:v>Gross official reserves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BOP!$C$5:$J$5</c:f>
              <c:numCache>
                <c:formatCode>General</c:formatCode>
                <c:ptCount val="8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</c:numCache>
            </c:numRef>
          </c:cat>
          <c:val>
            <c:numRef>
              <c:f>BOP!$C$13:$J$13</c:f>
              <c:numCache>
                <c:formatCode>_(* #,##0_);_(* \(#,##0\);_(* "-"??_);_(@_)</c:formatCode>
                <c:ptCount val="8"/>
                <c:pt idx="0">
                  <c:v>1726.8925447325325</c:v>
                </c:pt>
                <c:pt idx="1">
                  <c:v>1834.314846347216</c:v>
                </c:pt>
                <c:pt idx="2">
                  <c:v>2406.9842956458529</c:v>
                </c:pt>
                <c:pt idx="3">
                  <c:v>1788.2023518382348</c:v>
                </c:pt>
                <c:pt idx="4">
                  <c:v>2075.7304274564735</c:v>
                </c:pt>
                <c:pt idx="5">
                  <c:v>2292.7913274240091</c:v>
                </c:pt>
                <c:pt idx="6">
                  <c:v>2386.3777042751008</c:v>
                </c:pt>
                <c:pt idx="7">
                  <c:v>2326.0273804553858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9906-4C95-A4AA-78E2EE710A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65871808"/>
        <c:axId val="865879728"/>
        <c:extLst>
          <c:ext xmlns:c15="http://schemas.microsoft.com/office/drawing/2012/chart" uri="{02D57815-91ED-43cb-92C2-25804820EDAC}">
            <c15:filteredBar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BOP!$B$8</c15:sqref>
                        </c15:formulaRef>
                      </c:ext>
                    </c:extLst>
                    <c:strCache>
                      <c:ptCount val="1"/>
                      <c:pt idx="0">
                        <c:v>Goods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BOP!$C$5:$J$5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2022</c:v>
                      </c:pt>
                      <c:pt idx="1">
                        <c:v>2023</c:v>
                      </c:pt>
                      <c:pt idx="2">
                        <c:v>2024</c:v>
                      </c:pt>
                      <c:pt idx="3">
                        <c:v>2025</c:v>
                      </c:pt>
                      <c:pt idx="4">
                        <c:v>2026</c:v>
                      </c:pt>
                      <c:pt idx="5">
                        <c:v>2027</c:v>
                      </c:pt>
                      <c:pt idx="6">
                        <c:v>2028</c:v>
                      </c:pt>
                      <c:pt idx="7">
                        <c:v>2029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BOP!$C$8:$J$8</c15:sqref>
                        </c15:formulaRef>
                      </c:ext>
                    </c:extLst>
                    <c:numCache>
                      <c:formatCode>0.0</c:formatCode>
                      <c:ptCount val="8"/>
                      <c:pt idx="3" formatCode="_(* #,##0_);_(* \(#,##0\);_(* &quot;-&quot;??_);_(@_)">
                        <c:v>3071.7567019620119</c:v>
                      </c:pt>
                      <c:pt idx="4" formatCode="_(* #,##0_);_(* \(#,##0\);_(* &quot;-&quot;??_);_(@_)">
                        <c:v>3595.4308353792585</c:v>
                      </c:pt>
                      <c:pt idx="5" formatCode="_(* #,##0_);_(* \(#,##0\);_(* &quot;-&quot;??_);_(@_)">
                        <c:v>3968.7208020845383</c:v>
                      </c:pt>
                      <c:pt idx="6" formatCode="_(* #,##0_);_(* \(#,##0\);_(* &quot;-&quot;??_);_(@_)">
                        <c:v>4313.3083283901815</c:v>
                      </c:pt>
                      <c:pt idx="7" formatCode="_(* #,##0_);_(* \(#,##0\);_(* &quot;-&quot;??_);_(@_)">
                        <c:v>4535.1838149136283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9906-4C95-A4AA-78E2EE710A3E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BOP!$B$9</c15:sqref>
                        </c15:formulaRef>
                      </c:ext>
                    </c:extLst>
                    <c:strCache>
                      <c:ptCount val="1"/>
                      <c:pt idx="0">
                        <c:v>Services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BOP!$C$5:$J$5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2022</c:v>
                      </c:pt>
                      <c:pt idx="1">
                        <c:v>2023</c:v>
                      </c:pt>
                      <c:pt idx="2">
                        <c:v>2024</c:v>
                      </c:pt>
                      <c:pt idx="3">
                        <c:v>2025</c:v>
                      </c:pt>
                      <c:pt idx="4">
                        <c:v>2026</c:v>
                      </c:pt>
                      <c:pt idx="5">
                        <c:v>2027</c:v>
                      </c:pt>
                      <c:pt idx="6">
                        <c:v>2028</c:v>
                      </c:pt>
                      <c:pt idx="7">
                        <c:v>2029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BOP!$C$9:$J$9</c15:sqref>
                        </c15:formulaRef>
                      </c:ext>
                    </c:extLst>
                    <c:numCache>
                      <c:formatCode>0.0</c:formatCode>
                      <c:ptCount val="8"/>
                      <c:pt idx="3" formatCode="_(* #,##0_);_(* \(#,##0\);_(* &quot;-&quot;??_);_(@_)">
                        <c:v>1157.1627036102577</c:v>
                      </c:pt>
                      <c:pt idx="4" formatCode="_(* #,##0_);_(* \(#,##0\);_(* &quot;-&quot;??_);_(@_)">
                        <c:v>1226.2108425386145</c:v>
                      </c:pt>
                      <c:pt idx="5" formatCode="_(* #,##0_);_(* \(#,##0\);_(* &quot;-&quot;??_);_(@_)">
                        <c:v>1307.2834558406448</c:v>
                      </c:pt>
                      <c:pt idx="6" formatCode="_(* #,##0_);_(* \(#,##0\);_(* &quot;-&quot;??_);_(@_)">
                        <c:v>1394.8967644030172</c:v>
                      </c:pt>
                      <c:pt idx="7" formatCode="_(* #,##0_);_(* \(#,##0\);_(* &quot;-&quot;??_);_(@_)">
                        <c:v>1489.7290987554543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9906-4C95-A4AA-78E2EE710A3E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BOP!$B$11</c15:sqref>
                        </c15:formulaRef>
                      </c:ext>
                    </c:extLst>
                    <c:strCache>
                      <c:ptCount val="1"/>
                      <c:pt idx="0">
                        <c:v>Goods 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BOP!$C$5:$J$5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2022</c:v>
                      </c:pt>
                      <c:pt idx="1">
                        <c:v>2023</c:v>
                      </c:pt>
                      <c:pt idx="2">
                        <c:v>2024</c:v>
                      </c:pt>
                      <c:pt idx="3">
                        <c:v>2025</c:v>
                      </c:pt>
                      <c:pt idx="4">
                        <c:v>2026</c:v>
                      </c:pt>
                      <c:pt idx="5">
                        <c:v>2027</c:v>
                      </c:pt>
                      <c:pt idx="6">
                        <c:v>2028</c:v>
                      </c:pt>
                      <c:pt idx="7">
                        <c:v>2029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BOP!$C$11:$J$11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3" formatCode="_(* #,##0_);_(* \(#,##0\);_(* &quot;-&quot;??_);_(@_)">
                        <c:v>5548.5415443327238</c:v>
                      </c:pt>
                      <c:pt idx="4" formatCode="_(* #,##0_);_(* \(#,##0\);_(* &quot;-&quot;??_);_(@_)">
                        <c:v>6189.9806225416596</c:v>
                      </c:pt>
                      <c:pt idx="5" formatCode="_(* #,##0_);_(* \(#,##0\);_(* &quot;-&quot;??_);_(@_)">
                        <c:v>6413.7062271965542</c:v>
                      </c:pt>
                      <c:pt idx="6" formatCode="_(* #,##0_);_(* \(#,##0\);_(* &quot;-&quot;??_);_(@_)">
                        <c:v>6361.8426916990784</c:v>
                      </c:pt>
                      <c:pt idx="7" formatCode="_(* #,##0_);_(* \(#,##0\);_(* &quot;-&quot;??_);_(@_)">
                        <c:v>6543.1671895230766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9906-4C95-A4AA-78E2EE710A3E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BOP!$B$12</c15:sqref>
                        </c15:formulaRef>
                      </c:ext>
                    </c:extLst>
                    <c:strCache>
                      <c:ptCount val="1"/>
                      <c:pt idx="0">
                        <c:v>Services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BOP!$C$5:$J$5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2022</c:v>
                      </c:pt>
                      <c:pt idx="1">
                        <c:v>2023</c:v>
                      </c:pt>
                      <c:pt idx="2">
                        <c:v>2024</c:v>
                      </c:pt>
                      <c:pt idx="3">
                        <c:v>2025</c:v>
                      </c:pt>
                      <c:pt idx="4">
                        <c:v>2026</c:v>
                      </c:pt>
                      <c:pt idx="5">
                        <c:v>2027</c:v>
                      </c:pt>
                      <c:pt idx="6">
                        <c:v>2028</c:v>
                      </c:pt>
                      <c:pt idx="7">
                        <c:v>2029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BOP!$C$12:$J$12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3" formatCode="_(* #,##0_);_(* \(#,##0\);_(* &quot;-&quot;??_);_(@_)">
                        <c:v>1116.6657061529866</c:v>
                      </c:pt>
                      <c:pt idx="4" formatCode="_(* #,##0_);_(* \(#,##0\);_(* &quot;-&quot;??_);_(@_)">
                        <c:v>1226.4412675995241</c:v>
                      </c:pt>
                      <c:pt idx="5" formatCode="_(* #,##0_);_(* \(#,##0\);_(* &quot;-&quot;??_);_(@_)">
                        <c:v>1256.6369815829999</c:v>
                      </c:pt>
                      <c:pt idx="6" formatCode="_(* #,##0_);_(* \(#,##0\);_(* &quot;-&quot;??_);_(@_)">
                        <c:v>1238.0634849081293</c:v>
                      </c:pt>
                      <c:pt idx="7" formatCode="_(* #,##0_);_(* \(#,##0\);_(* &quot;-&quot;??_);_(@_)">
                        <c:v>1283.5333009992419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9906-4C95-A4AA-78E2EE710A3E}"/>
                  </c:ext>
                </c:extLst>
              </c15:ser>
            </c15:filteredBarSeries>
          </c:ext>
        </c:extLst>
      </c:barChart>
      <c:catAx>
        <c:axId val="865871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RW"/>
          </a:p>
        </c:txPr>
        <c:crossAx val="865879728"/>
        <c:crosses val="autoZero"/>
        <c:auto val="1"/>
        <c:lblAlgn val="ctr"/>
        <c:lblOffset val="100"/>
        <c:noMultiLvlLbl val="0"/>
      </c:catAx>
      <c:valAx>
        <c:axId val="865879728"/>
        <c:scaling>
          <c:orientation val="minMax"/>
          <c:max val="8000"/>
          <c:min val="-2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RW"/>
          </a:p>
        </c:txPr>
        <c:crossAx val="865871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R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RW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  <a:latin typeface="Bahnschrift" panose="020B0502040204020203" pitchFamily="34" charset="0"/>
              </a:rPr>
              <a:t>Reserves in months of imports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Bahnschrift" panose="020B0502040204020203" pitchFamily="34" charset="0"/>
              <a:ea typeface="+mn-ea"/>
              <a:cs typeface="+mn-cs"/>
            </a:defRPr>
          </a:pPr>
          <a:endParaRPr lang="en-RW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BOP!$B$14</c:f>
              <c:strCache>
                <c:ptCount val="1"/>
                <c:pt idx="0">
                  <c:v>Reserves months of imports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BOP!$C$5:$J$5</c:f>
              <c:numCache>
                <c:formatCode>General</c:formatCode>
                <c:ptCount val="8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</c:numCache>
            </c:numRef>
          </c:cat>
          <c:val>
            <c:numRef>
              <c:f>BOP!$C$14:$J$14</c:f>
              <c:numCache>
                <c:formatCode>0.0</c:formatCode>
                <c:ptCount val="8"/>
                <c:pt idx="0">
                  <c:v>4.2626855335148868</c:v>
                </c:pt>
                <c:pt idx="1">
                  <c:v>4.3389999788984985</c:v>
                </c:pt>
                <c:pt idx="2">
                  <c:v>5.2419787809614951</c:v>
                </c:pt>
                <c:pt idx="3">
                  <c:v>3.6179159301362711</c:v>
                </c:pt>
                <c:pt idx="4">
                  <c:v>4.131050406576767</c:v>
                </c:pt>
                <c:pt idx="5">
                  <c:v>4.706445071609104</c:v>
                </c:pt>
                <c:pt idx="6">
                  <c:v>4.7156076221491752</c:v>
                </c:pt>
                <c:pt idx="7">
                  <c:v>4.6209683393294529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2AF-4953-B521-DDC461C27F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9457376"/>
        <c:axId val="1219477536"/>
      </c:lineChart>
      <c:catAx>
        <c:axId val="1219457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RW"/>
          </a:p>
        </c:txPr>
        <c:crossAx val="1219477536"/>
        <c:crosses val="autoZero"/>
        <c:auto val="1"/>
        <c:lblAlgn val="ctr"/>
        <c:lblOffset val="100"/>
        <c:noMultiLvlLbl val="0"/>
      </c:catAx>
      <c:valAx>
        <c:axId val="1219477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RW"/>
          </a:p>
        </c:txPr>
        <c:crossAx val="1219457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RW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  <a:latin typeface="Bahnschrift" panose="020B0502040204020203" pitchFamily="34" charset="0"/>
              </a:rPr>
              <a:t>July-Sep</a:t>
            </a:r>
            <a:r>
              <a:rPr lang="en-US" baseline="0">
                <a:solidFill>
                  <a:sysClr val="windowText" lastClr="000000"/>
                </a:solidFill>
                <a:latin typeface="Bahnschrift" panose="020B0502040204020203" pitchFamily="34" charset="0"/>
              </a:rPr>
              <a:t> 2025 (Collection vs. Target, Billion RWF)</a:t>
            </a:r>
            <a:endParaRPr lang="sl-SI">
              <a:solidFill>
                <a:sysClr val="windowText" lastClr="000000"/>
              </a:solidFill>
              <a:latin typeface="Bahnschrift" panose="020B05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Bahnschrift" panose="020B0502040204020203" pitchFamily="34" charset="0"/>
              <a:ea typeface="+mn-ea"/>
              <a:cs typeface="+mn-cs"/>
            </a:defRPr>
          </a:pPr>
          <a:endParaRPr lang="sl-SI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Tax!$B$1</c:f>
              <c:strCache>
                <c:ptCount val="1"/>
                <c:pt idx="0">
                  <c:v>Actual collection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Tax!$A$2:$A$20</c:f>
              <c:strCache>
                <c:ptCount val="19"/>
                <c:pt idx="0">
                  <c:v>Excise Tax on Beer</c:v>
                </c:pt>
                <c:pt idx="1">
                  <c:v>Excise on Cigarettes</c:v>
                </c:pt>
                <c:pt idx="2">
                  <c:v>Excise Tax on Airtime</c:v>
                </c:pt>
                <c:pt idx="3">
                  <c:v>Excise on Cosmetic and beauty product</c:v>
                </c:pt>
                <c:pt idx="4">
                  <c:v>Other Policies on Excise</c:v>
                </c:pt>
                <c:pt idx="5">
                  <c:v>Vat on Telephones</c:v>
                </c:pt>
                <c:pt idx="6">
                  <c:v>Vat on ICT Equipment</c:v>
                </c:pt>
                <c:pt idx="7">
                  <c:v>Vat on Fossil Fuel</c:v>
                </c:pt>
                <c:pt idx="8">
                  <c:v>Tax on Hybrid Vehicles</c:v>
                </c:pt>
                <c:pt idx="9">
                  <c:v>Fuel levy</c:v>
                </c:pt>
                <c:pt idx="10">
                  <c:v>Strategic Reserve Levies</c:v>
                </c:pt>
                <c:pt idx="11">
                  <c:v>Capital Gains Tax</c:v>
                </c:pt>
                <c:pt idx="12">
                  <c:v>Tourism Tax</c:v>
                </c:pt>
                <c:pt idx="13">
                  <c:v>Environmental Levy</c:v>
                </c:pt>
                <c:pt idx="14">
                  <c:v>Motor Vehicle Registration Fees</c:v>
                </c:pt>
                <c:pt idx="15">
                  <c:v>Annual motor vehicle road user charge</c:v>
                </c:pt>
                <c:pt idx="16">
                  <c:v>VAT on transport service of goods by road</c:v>
                </c:pt>
                <c:pt idx="17">
                  <c:v>VAT on fee-based financial services</c:v>
                </c:pt>
                <c:pt idx="18">
                  <c:v>Total</c:v>
                </c:pt>
              </c:strCache>
            </c:strRef>
          </c:cat>
          <c:val>
            <c:numRef>
              <c:f>Tax!$B$2:$B$20</c:f>
              <c:numCache>
                <c:formatCode>General</c:formatCode>
                <c:ptCount val="19"/>
                <c:pt idx="0">
                  <c:v>3.9</c:v>
                </c:pt>
                <c:pt idx="1">
                  <c:v>0.55000000000000004</c:v>
                </c:pt>
                <c:pt idx="2">
                  <c:v>0.88</c:v>
                </c:pt>
                <c:pt idx="3">
                  <c:v>0.96</c:v>
                </c:pt>
                <c:pt idx="4">
                  <c:v>0.64</c:v>
                </c:pt>
                <c:pt idx="5">
                  <c:v>1.06</c:v>
                </c:pt>
                <c:pt idx="6">
                  <c:v>4.8600000000000003</c:v>
                </c:pt>
                <c:pt idx="7">
                  <c:v>33.1</c:v>
                </c:pt>
                <c:pt idx="8">
                  <c:v>1.76</c:v>
                </c:pt>
                <c:pt idx="9">
                  <c:v>6.76</c:v>
                </c:pt>
                <c:pt idx="10">
                  <c:v>2.57</c:v>
                </c:pt>
                <c:pt idx="11">
                  <c:v>2.0499999999999998</c:v>
                </c:pt>
                <c:pt idx="12">
                  <c:v>1.04</c:v>
                </c:pt>
                <c:pt idx="13">
                  <c:v>0.12</c:v>
                </c:pt>
                <c:pt idx="14">
                  <c:v>1.26</c:v>
                </c:pt>
                <c:pt idx="15">
                  <c:v>0.24</c:v>
                </c:pt>
                <c:pt idx="16">
                  <c:v>0.47</c:v>
                </c:pt>
                <c:pt idx="17">
                  <c:v>1.4</c:v>
                </c:pt>
                <c:pt idx="18">
                  <c:v>63.53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C9-4CA2-9E4F-043714836DC4}"/>
            </c:ext>
          </c:extLst>
        </c:ser>
        <c:ser>
          <c:idx val="1"/>
          <c:order val="1"/>
          <c:tx>
            <c:strRef>
              <c:f>Tax!$C$1</c:f>
              <c:strCache>
                <c:ptCount val="1"/>
                <c:pt idx="0">
                  <c:v>Target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Tax!$A$2:$A$20</c:f>
              <c:strCache>
                <c:ptCount val="19"/>
                <c:pt idx="0">
                  <c:v>Excise Tax on Beer</c:v>
                </c:pt>
                <c:pt idx="1">
                  <c:v>Excise on Cigarettes</c:v>
                </c:pt>
                <c:pt idx="2">
                  <c:v>Excise Tax on Airtime</c:v>
                </c:pt>
                <c:pt idx="3">
                  <c:v>Excise on Cosmetic and beauty product</c:v>
                </c:pt>
                <c:pt idx="4">
                  <c:v>Other Policies on Excise</c:v>
                </c:pt>
                <c:pt idx="5">
                  <c:v>Vat on Telephones</c:v>
                </c:pt>
                <c:pt idx="6">
                  <c:v>Vat on ICT Equipment</c:v>
                </c:pt>
                <c:pt idx="7">
                  <c:v>Vat on Fossil Fuel</c:v>
                </c:pt>
                <c:pt idx="8">
                  <c:v>Tax on Hybrid Vehicles</c:v>
                </c:pt>
                <c:pt idx="9">
                  <c:v>Fuel levy</c:v>
                </c:pt>
                <c:pt idx="10">
                  <c:v>Strategic Reserve Levies</c:v>
                </c:pt>
                <c:pt idx="11">
                  <c:v>Capital Gains Tax</c:v>
                </c:pt>
                <c:pt idx="12">
                  <c:v>Tourism Tax</c:v>
                </c:pt>
                <c:pt idx="13">
                  <c:v>Environmental Levy</c:v>
                </c:pt>
                <c:pt idx="14">
                  <c:v>Motor Vehicle Registration Fees</c:v>
                </c:pt>
                <c:pt idx="15">
                  <c:v>Annual motor vehicle road user charge</c:v>
                </c:pt>
                <c:pt idx="16">
                  <c:v>VAT on transport service of goods by road</c:v>
                </c:pt>
                <c:pt idx="17">
                  <c:v>VAT on fee-based financial services</c:v>
                </c:pt>
                <c:pt idx="18">
                  <c:v>Total</c:v>
                </c:pt>
              </c:strCache>
            </c:strRef>
          </c:cat>
          <c:val>
            <c:numRef>
              <c:f>Tax!$C$2:$C$20</c:f>
              <c:numCache>
                <c:formatCode>General</c:formatCode>
                <c:ptCount val="19"/>
                <c:pt idx="0">
                  <c:v>2.9</c:v>
                </c:pt>
                <c:pt idx="1">
                  <c:v>0.56000000000000005</c:v>
                </c:pt>
                <c:pt idx="2">
                  <c:v>1.48</c:v>
                </c:pt>
                <c:pt idx="3">
                  <c:v>0.86</c:v>
                </c:pt>
                <c:pt idx="4">
                  <c:v>0.6</c:v>
                </c:pt>
                <c:pt idx="5">
                  <c:v>3.07</c:v>
                </c:pt>
                <c:pt idx="6">
                  <c:v>4.1900000000000004</c:v>
                </c:pt>
                <c:pt idx="7">
                  <c:v>24.54</c:v>
                </c:pt>
                <c:pt idx="8">
                  <c:v>5.24</c:v>
                </c:pt>
                <c:pt idx="9">
                  <c:v>5.07</c:v>
                </c:pt>
                <c:pt idx="10">
                  <c:v>1.72</c:v>
                </c:pt>
                <c:pt idx="11">
                  <c:v>0.45</c:v>
                </c:pt>
                <c:pt idx="12">
                  <c:v>1.23</c:v>
                </c:pt>
                <c:pt idx="13">
                  <c:v>0.12</c:v>
                </c:pt>
                <c:pt idx="14">
                  <c:v>0.84</c:v>
                </c:pt>
                <c:pt idx="15">
                  <c:v>0.24</c:v>
                </c:pt>
                <c:pt idx="16">
                  <c:v>4.3</c:v>
                </c:pt>
                <c:pt idx="17">
                  <c:v>2.39</c:v>
                </c:pt>
                <c:pt idx="18">
                  <c:v>60.03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0C9-4CA2-9E4F-043714836D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41607392"/>
        <c:axId val="1241607752"/>
      </c:barChart>
      <c:catAx>
        <c:axId val="1241607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RW"/>
          </a:p>
        </c:txPr>
        <c:crossAx val="1241607752"/>
        <c:crosses val="autoZero"/>
        <c:auto val="1"/>
        <c:lblAlgn val="ctr"/>
        <c:lblOffset val="100"/>
        <c:noMultiLvlLbl val="0"/>
      </c:catAx>
      <c:valAx>
        <c:axId val="1241607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RW"/>
          </a:p>
        </c:txPr>
        <c:crossAx val="1241607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R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RW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  <a:latin typeface="Bahnschrift" panose="020B0502040204020203" pitchFamily="34" charset="0"/>
              </a:rPr>
              <a:t>July-Sep</a:t>
            </a:r>
            <a:r>
              <a:rPr lang="en-US" baseline="0">
                <a:solidFill>
                  <a:sysClr val="windowText" lastClr="000000"/>
                </a:solidFill>
                <a:latin typeface="Bahnschrift" panose="020B0502040204020203" pitchFamily="34" charset="0"/>
              </a:rPr>
              <a:t> 2025 (Performance, ratio to target in %)</a:t>
            </a:r>
            <a:endParaRPr lang="sl-SI">
              <a:solidFill>
                <a:sysClr val="windowText" lastClr="000000"/>
              </a:solidFill>
              <a:latin typeface="Bahnschrift" panose="020B05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Bahnschrift" panose="020B0502040204020203" pitchFamily="34" charset="0"/>
              <a:ea typeface="+mn-ea"/>
              <a:cs typeface="+mn-cs"/>
            </a:defRPr>
          </a:pPr>
          <a:endParaRPr lang="sl-SI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'C:\Users\evariste.manirumva\AppData\Local\Microsoft\Windows\INetCache\IE\KYPR2ZSQ\[Tax_Performance_Jul_Sep_2025[1].xlsx]Sheet1 (2)'!$D$2:$D$19</c:f>
              <c:numCache>
                <c:formatCode>0%</c:formatCode>
                <c:ptCount val="18"/>
                <c:pt idx="0">
                  <c:v>1.34</c:v>
                </c:pt>
                <c:pt idx="1">
                  <c:v>0.98</c:v>
                </c:pt>
                <c:pt idx="2">
                  <c:v>0.6</c:v>
                </c:pt>
                <c:pt idx="3">
                  <c:v>1.1200000000000001</c:v>
                </c:pt>
                <c:pt idx="4">
                  <c:v>1.07</c:v>
                </c:pt>
                <c:pt idx="5">
                  <c:v>0.35</c:v>
                </c:pt>
                <c:pt idx="6">
                  <c:v>1.1599999999999999</c:v>
                </c:pt>
                <c:pt idx="7">
                  <c:v>1.35</c:v>
                </c:pt>
                <c:pt idx="8">
                  <c:v>0.34</c:v>
                </c:pt>
                <c:pt idx="9">
                  <c:v>1.33</c:v>
                </c:pt>
                <c:pt idx="10">
                  <c:v>1.49</c:v>
                </c:pt>
                <c:pt idx="11">
                  <c:v>4.5599999999999996</c:v>
                </c:pt>
                <c:pt idx="12">
                  <c:v>0.85</c:v>
                </c:pt>
                <c:pt idx="13">
                  <c:v>1</c:v>
                </c:pt>
                <c:pt idx="14">
                  <c:v>1.5</c:v>
                </c:pt>
                <c:pt idx="15">
                  <c:v>1.02</c:v>
                </c:pt>
                <c:pt idx="16">
                  <c:v>0.1</c:v>
                </c:pt>
                <c:pt idx="17">
                  <c:v>0.59</c:v>
                </c:pt>
              </c:numCache>
              <c:extLst/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'C:\Users\evariste.manirumva\AppData\Local\Microsoft\Windows\INetCache\IE\KYPR2ZSQ\[Tax_Performance_Jul_Sep_2025[1].xlsx]Sheet1 (2)'!$A$2:$A$19</c15:sqref>
                        </c15:formulaRef>
                      </c:ext>
                    </c:extLst>
                    <c:strCache>
                      <c:ptCount val="18"/>
                      <c:pt idx="0">
                        <c:v>Excise Tax on Beer</c:v>
                      </c:pt>
                      <c:pt idx="1">
                        <c:v>Excise on Cigarettes</c:v>
                      </c:pt>
                      <c:pt idx="2">
                        <c:v>Excise Tax on Airtime</c:v>
                      </c:pt>
                      <c:pt idx="3">
                        <c:v>Excise on Cosmetic and beauty product</c:v>
                      </c:pt>
                      <c:pt idx="4">
                        <c:v>Other Policies on Excise</c:v>
                      </c:pt>
                      <c:pt idx="5">
                        <c:v>Vat on Telephones</c:v>
                      </c:pt>
                      <c:pt idx="6">
                        <c:v>Vat on ICT Equipment</c:v>
                      </c:pt>
                      <c:pt idx="7">
                        <c:v>Vat on Fossil Fuel</c:v>
                      </c:pt>
                      <c:pt idx="8">
                        <c:v>Tax on Hybrid Vehicles</c:v>
                      </c:pt>
                      <c:pt idx="9">
                        <c:v>Fuel levy</c:v>
                      </c:pt>
                      <c:pt idx="10">
                        <c:v>Strategic Reserve Levies</c:v>
                      </c:pt>
                      <c:pt idx="11">
                        <c:v>Capital Gains Tax</c:v>
                      </c:pt>
                      <c:pt idx="12">
                        <c:v>Tourism Tax</c:v>
                      </c:pt>
                      <c:pt idx="13">
                        <c:v>Environmental Levy</c:v>
                      </c:pt>
                      <c:pt idx="14">
                        <c:v>Motor Vehicle Registration Fees</c:v>
                      </c:pt>
                      <c:pt idx="15">
                        <c:v>Annual motor vehicle road user charge</c:v>
                      </c:pt>
                      <c:pt idx="16">
                        <c:v>VAT on transport service of goods by road</c:v>
                      </c:pt>
                      <c:pt idx="17">
                        <c:v>VAT on fee-based financial services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6EC9-4986-BC80-3E5FA3B811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50139456"/>
        <c:axId val="1550140536"/>
      </c:barChart>
      <c:catAx>
        <c:axId val="15501394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RW"/>
          </a:p>
        </c:txPr>
        <c:crossAx val="1550140536"/>
        <c:crosses val="autoZero"/>
        <c:auto val="1"/>
        <c:lblAlgn val="ctr"/>
        <c:lblOffset val="100"/>
        <c:noMultiLvlLbl val="0"/>
      </c:catAx>
      <c:valAx>
        <c:axId val="1550140536"/>
        <c:scaling>
          <c:orientation val="minMax"/>
          <c:max val="4.7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RW"/>
          </a:p>
        </c:txPr>
        <c:crossAx val="155013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R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231775</xdr:colOff>
      <xdr:row>49</xdr:row>
      <xdr:rowOff>103187</xdr:rowOff>
    </xdr:from>
    <xdr:to>
      <xdr:col>18</xdr:col>
      <xdr:colOff>117475</xdr:colOff>
      <xdr:row>63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B108F6-D47B-C866-3368-CEAA328009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295275</xdr:colOff>
      <xdr:row>64</xdr:row>
      <xdr:rowOff>142875</xdr:rowOff>
    </xdr:from>
    <xdr:to>
      <xdr:col>15</xdr:col>
      <xdr:colOff>180975</xdr:colOff>
      <xdr:row>81</xdr:row>
      <xdr:rowOff>103188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3EC83C4-607A-46AF-9F4D-F9E352C14F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609599</xdr:colOff>
      <xdr:row>3</xdr:row>
      <xdr:rowOff>0</xdr:rowOff>
    </xdr:from>
    <xdr:to>
      <xdr:col>16</xdr:col>
      <xdr:colOff>38100</xdr:colOff>
      <xdr:row>26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97230EB-EFFC-41E5-901D-0B24D30FD4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593725</xdr:colOff>
      <xdr:row>14</xdr:row>
      <xdr:rowOff>149225</xdr:rowOff>
    </xdr:from>
    <xdr:to>
      <xdr:col>7</xdr:col>
      <xdr:colOff>628650</xdr:colOff>
      <xdr:row>29</xdr:row>
      <xdr:rowOff>82550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B1195E6-DDD2-8DBC-7479-BAB858C4F4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1831976</xdr:colOff>
      <xdr:row>31</xdr:row>
      <xdr:rowOff>107950</xdr:rowOff>
    </xdr:from>
    <xdr:to>
      <xdr:col>8</xdr:col>
      <xdr:colOff>6351</xdr:colOff>
      <xdr:row>46</xdr:row>
      <xdr:rowOff>41275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F5C9C3E-22A8-2E34-AA32-0F614A45FE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269875</xdr:colOff>
      <xdr:row>20</xdr:row>
      <xdr:rowOff>142875</xdr:rowOff>
    </xdr:from>
    <xdr:to>
      <xdr:col>11</xdr:col>
      <xdr:colOff>465138</xdr:colOff>
      <xdr:row>39</xdr:row>
      <xdr:rowOff>184150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53F0DC-A63A-4418-B9E0-611BD6A875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20</xdr:row>
      <xdr:rowOff>142875</xdr:rowOff>
    </xdr:from>
    <xdr:to>
      <xdr:col>2</xdr:col>
      <xdr:colOff>1095375</xdr:colOff>
      <xdr:row>39</xdr:row>
      <xdr:rowOff>120650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0964980-44A2-4223-BEDB-CA8719CE0E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ownloads\HFIs_2025%20data.xlsx" TargetMode="External"/><Relationship Id="rId1" Type="http://schemas.openxmlformats.org/officeDocument/2006/relationships/externalLinkPath" Target="/Downloads/HFIs_2025%20data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esktop\MINECOFIN\Macro\IntMF&amp;IMF-Mission\Preparations\October%202025\Inputs%20files\GDP-National%20Accounts%20Q2%202025%20-%20rounded.xlsx" TargetMode="External"/><Relationship Id="rId1" Type="http://schemas.openxmlformats.org/officeDocument/2006/relationships/externalLinkPath" Target="/Desktop/MINECOFIN/Macro/IntMF&amp;IMF-Mission/Preparations/October%202025/Inputs%20files/GDP-National%20Accounts%20Q2%202025%20-%20round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urnovers real"/>
      <sheetName val="turnovers nominal"/>
      <sheetName val="CIEA"/>
    </sheetNames>
    <sheetDataSet>
      <sheetData sheetId="0">
        <row r="2">
          <cell r="ED2">
            <v>1538252796.9183836</v>
          </cell>
          <cell r="EE2">
            <v>1960839388.1406484</v>
          </cell>
          <cell r="EF2">
            <v>1661797820.1217916</v>
          </cell>
          <cell r="EG2">
            <v>1518059692.8976686</v>
          </cell>
          <cell r="EH2">
            <v>2176752510.6284008</v>
          </cell>
          <cell r="EI2">
            <v>1723105666.5548215</v>
          </cell>
          <cell r="EJ2">
            <v>1844173607.9486389</v>
          </cell>
          <cell r="EK2">
            <v>1797325482.9041841</v>
          </cell>
          <cell r="EP2">
            <v>1684638240.3621483</v>
          </cell>
          <cell r="EQ2">
            <v>1547198232.9724131</v>
          </cell>
          <cell r="ER2">
            <v>1865839298.7756572</v>
          </cell>
          <cell r="ES2">
            <v>2015785524.0375538</v>
          </cell>
          <cell r="ET2">
            <v>1882906588.1134193</v>
          </cell>
          <cell r="EU2">
            <v>2205312512.3538504</v>
          </cell>
          <cell r="EV2">
            <v>2067563085.4511728</v>
          </cell>
          <cell r="EW2">
            <v>2048986453.2673306</v>
          </cell>
          <cell r="FB2">
            <v>1955177379.4336858</v>
          </cell>
          <cell r="FC2">
            <v>1860287924.8398027</v>
          </cell>
          <cell r="FD2">
            <v>2361874772.2383761</v>
          </cell>
          <cell r="FE2">
            <v>2070440570.344198</v>
          </cell>
          <cell r="FF2">
            <v>2170036766.1930528</v>
          </cell>
          <cell r="FG2">
            <v>3090945546.9899864</v>
          </cell>
          <cell r="FH2">
            <v>2378501669.4386611</v>
          </cell>
          <cell r="FI2">
            <v>2217442866.4450541</v>
          </cell>
        </row>
        <row r="3">
          <cell r="ED3">
            <v>83317802.910247654</v>
          </cell>
          <cell r="EE3">
            <v>148379576.86882392</v>
          </cell>
          <cell r="EF3">
            <v>120511523.75321519</v>
          </cell>
          <cell r="EG3">
            <v>90547595.591162786</v>
          </cell>
          <cell r="EH3">
            <v>161847606.77715847</v>
          </cell>
          <cell r="EI3">
            <v>125584358.55964738</v>
          </cell>
          <cell r="EJ3">
            <v>110756910.80496392</v>
          </cell>
          <cell r="EK3">
            <v>138772181.2282218</v>
          </cell>
          <cell r="EP3">
            <v>121753444.35655892</v>
          </cell>
          <cell r="EQ3">
            <v>90947754.051647857</v>
          </cell>
          <cell r="ER3">
            <v>182524633.66855609</v>
          </cell>
          <cell r="ES3">
            <v>136101954.71647078</v>
          </cell>
          <cell r="ET3">
            <v>132522399.59214105</v>
          </cell>
          <cell r="EU3">
            <v>155019966.06882718</v>
          </cell>
          <cell r="EV3">
            <v>169732946.79608363</v>
          </cell>
          <cell r="EW3">
            <v>119129443.8739873</v>
          </cell>
          <cell r="FB3">
            <v>130748656.27031372</v>
          </cell>
          <cell r="FC3">
            <v>170721254.87032315</v>
          </cell>
          <cell r="FD3">
            <v>209904208.45810676</v>
          </cell>
          <cell r="FE3">
            <v>178764653.11360541</v>
          </cell>
          <cell r="FF3">
            <v>212036679.88442862</v>
          </cell>
          <cell r="FG3">
            <v>263903710.94785732</v>
          </cell>
          <cell r="FH3">
            <v>232603078.19960693</v>
          </cell>
          <cell r="FI3">
            <v>258298624.25469652</v>
          </cell>
        </row>
        <row r="10">
          <cell r="ED10">
            <v>326127384.27306789</v>
          </cell>
          <cell r="EE10">
            <v>482027330.17790854</v>
          </cell>
          <cell r="EF10">
            <v>395817672.65001816</v>
          </cell>
          <cell r="EG10">
            <v>436410566.38668936</v>
          </cell>
          <cell r="EH10">
            <v>576438600.54439044</v>
          </cell>
          <cell r="EI10">
            <v>521698559.5670644</v>
          </cell>
          <cell r="EJ10">
            <v>638595126.06666911</v>
          </cell>
          <cell r="EK10">
            <v>420920330.20181614</v>
          </cell>
          <cell r="EP10">
            <v>519009949.18280643</v>
          </cell>
          <cell r="EQ10">
            <v>335796071.873878</v>
          </cell>
          <cell r="ER10">
            <v>440126247.53158367</v>
          </cell>
          <cell r="ES10">
            <v>625323182.09900129</v>
          </cell>
          <cell r="ET10">
            <v>347548587.49142855</v>
          </cell>
          <cell r="EU10">
            <v>627318250.75201333</v>
          </cell>
          <cell r="EV10">
            <v>563222719.35521364</v>
          </cell>
          <cell r="EW10">
            <v>493677410.91718346</v>
          </cell>
          <cell r="FB10">
            <v>553113907.92324245</v>
          </cell>
          <cell r="FC10">
            <v>466616789.51967543</v>
          </cell>
          <cell r="FD10">
            <v>723523608.94033206</v>
          </cell>
          <cell r="FE10">
            <v>494218079.18019444</v>
          </cell>
          <cell r="FF10">
            <v>444901002.92123395</v>
          </cell>
          <cell r="FG10">
            <v>1198507993.0928113</v>
          </cell>
          <cell r="FH10">
            <v>572816420.59474337</v>
          </cell>
          <cell r="FI10">
            <v>435364715.50185871</v>
          </cell>
        </row>
        <row r="11">
          <cell r="EP11">
            <v>5341767662.562644</v>
          </cell>
          <cell r="EQ11">
            <v>4958059379.8978386</v>
          </cell>
          <cell r="ER11">
            <v>6357011900.524024</v>
          </cell>
          <cell r="ES11">
            <v>5130096081.5752058</v>
          </cell>
          <cell r="ET11">
            <v>5544501676.8342342</v>
          </cell>
          <cell r="EU11">
            <v>7327132492.6640654</v>
          </cell>
          <cell r="EV11">
            <v>5860302471.833745</v>
          </cell>
          <cell r="EW11">
            <v>5792990141.3993139</v>
          </cell>
          <cell r="FB11">
            <v>5864217373.6792641</v>
          </cell>
          <cell r="FC11">
            <v>5368105670.9994774</v>
          </cell>
          <cell r="FD11">
            <v>7258160258.690135</v>
          </cell>
          <cell r="FE11">
            <v>5833062795.8567076</v>
          </cell>
          <cell r="FF11">
            <v>5750140720.2370949</v>
          </cell>
          <cell r="FG11">
            <v>8417750951.8686409</v>
          </cell>
          <cell r="FH11">
            <v>6672652269.4216862</v>
          </cell>
          <cell r="FI11">
            <v>6406060166.1740704</v>
          </cell>
        </row>
        <row r="12">
          <cell r="ED12">
            <v>2655346658.8174953</v>
          </cell>
          <cell r="EE12">
            <v>3815191232.0954909</v>
          </cell>
          <cell r="EF12">
            <v>2917487460.9253268</v>
          </cell>
          <cell r="EG12">
            <v>2515688343.8057928</v>
          </cell>
          <cell r="EH12">
            <v>4297499357.4905863</v>
          </cell>
          <cell r="EI12">
            <v>2991940395.2217708</v>
          </cell>
          <cell r="EJ12">
            <v>2898824338.066134</v>
          </cell>
          <cell r="EK12">
            <v>3922669704.8093452</v>
          </cell>
          <cell r="EP12">
            <v>3278542231.6353564</v>
          </cell>
          <cell r="EQ12">
            <v>3120556277.0232315</v>
          </cell>
          <cell r="ER12">
            <v>4041034903.9378366</v>
          </cell>
          <cell r="ES12">
            <v>3271830318.6675253</v>
          </cell>
          <cell r="ET12">
            <v>3519445708.1142859</v>
          </cell>
          <cell r="EU12">
            <v>4523902174.8868217</v>
          </cell>
          <cell r="EV12">
            <v>3589980359.7872119</v>
          </cell>
          <cell r="EW12">
            <v>3645767233.8588395</v>
          </cell>
          <cell r="FB12">
            <v>3525110659.6523113</v>
          </cell>
          <cell r="FC12">
            <v>3313514062.3320355</v>
          </cell>
          <cell r="FD12">
            <v>4542707889.9422312</v>
          </cell>
          <cell r="FE12">
            <v>3648620872.853384</v>
          </cell>
          <cell r="FF12">
            <v>3649817935.2600784</v>
          </cell>
          <cell r="FG12">
            <v>5325917379.2424698</v>
          </cell>
          <cell r="FH12">
            <v>4234161289.9932079</v>
          </cell>
          <cell r="FI12">
            <v>3951285339.4105148</v>
          </cell>
        </row>
        <row r="16">
          <cell r="ED16">
            <v>115479004.71777943</v>
          </cell>
          <cell r="EE16">
            <v>196636715.58053717</v>
          </cell>
          <cell r="EF16">
            <v>180048757.03501019</v>
          </cell>
          <cell r="EG16">
            <v>105403116.65879625</v>
          </cell>
          <cell r="EH16">
            <v>231908547.06338772</v>
          </cell>
          <cell r="EI16">
            <v>167921922.69777596</v>
          </cell>
          <cell r="EJ16">
            <v>185498794.91318414</v>
          </cell>
          <cell r="EK16">
            <v>209587893.75455561</v>
          </cell>
          <cell r="EP16">
            <v>161368643.65738389</v>
          </cell>
          <cell r="EQ16">
            <v>157998233.25584042</v>
          </cell>
          <cell r="ER16">
            <v>258491926.12995547</v>
          </cell>
          <cell r="ES16">
            <v>155568208.49960688</v>
          </cell>
          <cell r="ET16">
            <v>213327517.8561354</v>
          </cell>
          <cell r="EU16">
            <v>298483358.39815652</v>
          </cell>
          <cell r="EV16">
            <v>195402415.48304465</v>
          </cell>
          <cell r="EW16">
            <v>211259556.85531634</v>
          </cell>
          <cell r="FB16">
            <v>182208744.4599804</v>
          </cell>
          <cell r="FC16">
            <v>177788558.10723671</v>
          </cell>
          <cell r="FD16">
            <v>269403267.60911649</v>
          </cell>
          <cell r="FE16">
            <v>139645066.46648026</v>
          </cell>
          <cell r="FF16">
            <v>180427155.38971087</v>
          </cell>
          <cell r="FG16">
            <v>278230599.3124941</v>
          </cell>
          <cell r="FH16">
            <v>198140112.40193918</v>
          </cell>
          <cell r="FI16">
            <v>238868147.69901222</v>
          </cell>
        </row>
        <row r="34">
          <cell r="ED34">
            <v>6001474111.8799944</v>
          </cell>
          <cell r="EE34">
            <v>7836492844.7408714</v>
          </cell>
          <cell r="EF34">
            <v>6311600423.2929029</v>
          </cell>
          <cell r="EG34">
            <v>5630956329.2716675</v>
          </cell>
          <cell r="EH34">
            <v>8788099110.8335762</v>
          </cell>
          <cell r="EI34">
            <v>6467081623.7849426</v>
          </cell>
          <cell r="EJ34">
            <v>6563920636.4500608</v>
          </cell>
          <cell r="EK34">
            <v>7896299504.8777504</v>
          </cell>
          <cell r="EP34">
            <v>7026405902.9247923</v>
          </cell>
          <cell r="EQ34">
            <v>6505257612.8702517</v>
          </cell>
          <cell r="ER34">
            <v>8222851199.2996807</v>
          </cell>
          <cell r="ES34">
            <v>7145881605.6127596</v>
          </cell>
          <cell r="ET34">
            <v>7427408264.9476538</v>
          </cell>
          <cell r="EU34">
            <v>9532445005.0179157</v>
          </cell>
          <cell r="EV34">
            <v>7927865557.2849178</v>
          </cell>
          <cell r="EW34">
            <v>7841976594.6666451</v>
          </cell>
          <cell r="FB34">
            <v>7819394753.1129494</v>
          </cell>
          <cell r="FC34">
            <v>7228393595.8392801</v>
          </cell>
          <cell r="FD34">
            <v>9620035030.9285107</v>
          </cell>
          <cell r="FE34">
            <v>7903503366.2009058</v>
          </cell>
          <cell r="FF34">
            <v>7920177486.4301472</v>
          </cell>
          <cell r="FG34">
            <v>11508696498.858627</v>
          </cell>
          <cell r="FH34">
            <v>9051153938.8603477</v>
          </cell>
          <cell r="FI34">
            <v>8623503032.6191254</v>
          </cell>
        </row>
      </sheetData>
      <sheetData sheetId="1">
        <row r="6">
          <cell r="ED6">
            <v>264526090909</v>
          </cell>
          <cell r="EE6">
            <v>337711778903</v>
          </cell>
          <cell r="EF6">
            <v>286637080245</v>
          </cell>
          <cell r="EG6">
            <v>271100641837</v>
          </cell>
          <cell r="EH6">
            <v>391950277657</v>
          </cell>
          <cell r="EI6">
            <v>316445683381</v>
          </cell>
          <cell r="EJ6">
            <v>345308562582</v>
          </cell>
          <cell r="EK6">
            <v>345857855984</v>
          </cell>
          <cell r="EP6">
            <v>325780670935</v>
          </cell>
          <cell r="EQ6">
            <v>299374628844</v>
          </cell>
          <cell r="ER6">
            <v>357276030864</v>
          </cell>
          <cell r="ES6">
            <v>385360626871</v>
          </cell>
          <cell r="ET6">
            <v>359741026687</v>
          </cell>
          <cell r="EU6">
            <v>408388239982</v>
          </cell>
          <cell r="EV6">
            <v>385529593163</v>
          </cell>
          <cell r="EW6">
            <v>389675107770</v>
          </cell>
          <cell r="FB6">
            <v>391935781122</v>
          </cell>
          <cell r="FC6">
            <v>372506199740</v>
          </cell>
          <cell r="FD6">
            <v>470215091537</v>
          </cell>
          <cell r="FE6">
            <v>411458822659</v>
          </cell>
          <cell r="FF6">
            <v>439170797795</v>
          </cell>
          <cell r="FG6">
            <v>615851087185</v>
          </cell>
          <cell r="FH6">
            <v>486632867657</v>
          </cell>
          <cell r="FI6">
            <v>464583399613</v>
          </cell>
        </row>
        <row r="15">
          <cell r="ED15">
            <v>687190068588</v>
          </cell>
          <cell r="EE15">
            <v>926446092611</v>
          </cell>
          <cell r="EF15">
            <v>742370574683</v>
          </cell>
          <cell r="EG15">
            <v>661220229082</v>
          </cell>
          <cell r="EH15">
            <v>1057539647982</v>
          </cell>
          <cell r="EI15">
            <v>759531286164</v>
          </cell>
          <cell r="EJ15">
            <v>757363320725</v>
          </cell>
          <cell r="EK15">
            <v>988120265841</v>
          </cell>
          <cell r="EP15">
            <v>866280100131</v>
          </cell>
          <cell r="EQ15">
            <v>818667801383</v>
          </cell>
          <cell r="ER15">
            <v>1062980300190</v>
          </cell>
          <cell r="ES15">
            <v>871772654289</v>
          </cell>
          <cell r="ET15">
            <v>941717733788</v>
          </cell>
          <cell r="EU15">
            <v>1247976970787</v>
          </cell>
          <cell r="EV15">
            <v>996286590282</v>
          </cell>
          <cell r="EW15">
            <v>991583789725</v>
          </cell>
          <cell r="FB15">
            <v>1023800537223</v>
          </cell>
          <cell r="FC15">
            <v>950965217306</v>
          </cell>
          <cell r="FD15">
            <v>1300942791718</v>
          </cell>
          <cell r="FE15">
            <v>1052241940553</v>
          </cell>
          <cell r="FF15">
            <v>1048558561087</v>
          </cell>
          <cell r="FG15">
            <v>1530772991145</v>
          </cell>
          <cell r="FH15">
            <v>1215349416699</v>
          </cell>
          <cell r="FI15">
            <v>1174670955030</v>
          </cell>
        </row>
        <row r="37">
          <cell r="ED37">
            <v>951716159497</v>
          </cell>
          <cell r="EE37">
            <v>1264157871514</v>
          </cell>
          <cell r="EF37">
            <v>1029007654928</v>
          </cell>
          <cell r="EG37">
            <v>932320870919</v>
          </cell>
          <cell r="EH37">
            <v>1449489925639</v>
          </cell>
          <cell r="EI37">
            <v>1075976969545</v>
          </cell>
          <cell r="EJ37">
            <v>1102671883307</v>
          </cell>
          <cell r="EK37">
            <v>1333978121825</v>
          </cell>
          <cell r="EP37">
            <v>1192060771066</v>
          </cell>
          <cell r="EQ37">
            <v>1118042430227</v>
          </cell>
          <cell r="ER37">
            <v>1420256331054</v>
          </cell>
          <cell r="ES37">
            <v>1257133281160</v>
          </cell>
          <cell r="ET37">
            <v>1301458760475</v>
          </cell>
          <cell r="EU37">
            <v>1656365210769</v>
          </cell>
          <cell r="EV37">
            <v>1381816183445</v>
          </cell>
          <cell r="EW37">
            <v>1381258897495</v>
          </cell>
          <cell r="FB37">
            <v>1415736318345</v>
          </cell>
          <cell r="FC37">
            <v>1323471417046</v>
          </cell>
          <cell r="FD37">
            <v>1771157883255</v>
          </cell>
          <cell r="FE37">
            <v>1463700763212</v>
          </cell>
          <cell r="FF37">
            <v>1487729358882</v>
          </cell>
          <cell r="FG37">
            <v>2146624078330</v>
          </cell>
          <cell r="FH37">
            <v>1701982284356</v>
          </cell>
          <cell r="FI37">
            <v>1639254354643</v>
          </cell>
        </row>
      </sheetData>
      <sheetData sheetId="2">
        <row r="134">
          <cell r="B134">
            <v>181.45834372931347</v>
          </cell>
        </row>
        <row r="135">
          <cell r="B135">
            <v>184.96685839146679</v>
          </cell>
        </row>
        <row r="136">
          <cell r="B136">
            <v>187.83076909412424</v>
          </cell>
        </row>
        <row r="137">
          <cell r="B137">
            <v>164.94625048474018</v>
          </cell>
        </row>
        <row r="138">
          <cell r="B138">
            <v>193.68362750814933</v>
          </cell>
        </row>
        <row r="139">
          <cell r="B139">
            <v>185.80070790592478</v>
          </cell>
        </row>
        <row r="140">
          <cell r="B140">
            <v>189.59104549177059</v>
          </cell>
        </row>
        <row r="141">
          <cell r="B141">
            <v>200.60393792395274</v>
          </cell>
        </row>
        <row r="146">
          <cell r="B146">
            <v>201.2561665221005</v>
          </cell>
        </row>
        <row r="147">
          <cell r="B147">
            <v>189.12889688824441</v>
          </cell>
        </row>
        <row r="148">
          <cell r="B148">
            <v>210.61325692696229</v>
          </cell>
        </row>
        <row r="149">
          <cell r="B149">
            <v>210.16136404690326</v>
          </cell>
        </row>
        <row r="150">
          <cell r="B150">
            <v>206.67988710702218</v>
          </cell>
        </row>
        <row r="151">
          <cell r="B151">
            <v>224.32235411765939</v>
          </cell>
        </row>
        <row r="152">
          <cell r="B152">
            <v>221.13192305364211</v>
          </cell>
        </row>
        <row r="153">
          <cell r="B153">
            <v>220.45876095041962</v>
          </cell>
        </row>
        <row r="154">
          <cell r="B154">
            <v>233.09259557777648</v>
          </cell>
        </row>
        <row r="155">
          <cell r="B155">
            <v>217.19421597738375</v>
          </cell>
        </row>
        <row r="156">
          <cell r="B156">
            <v>214.28201979468932</v>
          </cell>
        </row>
        <row r="157">
          <cell r="B157">
            <v>230.91682710334263</v>
          </cell>
        </row>
        <row r="158">
          <cell r="B158">
            <v>220.15474121706114</v>
          </cell>
        </row>
        <row r="159">
          <cell r="B159">
            <v>208.86379063944923</v>
          </cell>
        </row>
        <row r="160">
          <cell r="B160">
            <v>230.01729122893889</v>
          </cell>
        </row>
        <row r="161">
          <cell r="B161">
            <v>228.9727454235101</v>
          </cell>
        </row>
        <row r="162">
          <cell r="B162">
            <v>240.09208644619031</v>
          </cell>
        </row>
        <row r="163">
          <cell r="B163">
            <v>251.90232619183024</v>
          </cell>
        </row>
        <row r="164">
          <cell r="B164">
            <v>251.76398180860883</v>
          </cell>
        </row>
        <row r="165">
          <cell r="B165">
            <v>251.81517521281884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DP_CP_Contrib_X"/>
      <sheetName val="AGDP_CP_Contrib_Y"/>
      <sheetName val="QGDP_CP"/>
      <sheetName val="QGDP_KP"/>
      <sheetName val="QGDP_CP_Wedged"/>
      <sheetName val="QGDP_SH"/>
      <sheetName val="QGDP_Gr"/>
      <sheetName val="Annual.CP"/>
      <sheetName val="Annual_KP"/>
      <sheetName val="Ann.KP"/>
      <sheetName val="Ann.DF"/>
      <sheetName val="QGDP_Cont"/>
      <sheetName val="QGDP_DF"/>
    </sheetNames>
    <sheetDataSet>
      <sheetData sheetId="0"/>
      <sheetData sheetId="1"/>
      <sheetData sheetId="2">
        <row r="7">
          <cell r="AW7">
            <v>61</v>
          </cell>
          <cell r="AX7">
            <v>61</v>
          </cell>
          <cell r="AY7">
            <v>61</v>
          </cell>
          <cell r="AZ7">
            <v>60</v>
          </cell>
          <cell r="BA7">
            <v>62</v>
          </cell>
          <cell r="BB7">
            <v>62</v>
          </cell>
          <cell r="BC7">
            <v>62</v>
          </cell>
          <cell r="BD7">
            <v>60</v>
          </cell>
          <cell r="BE7">
            <v>62</v>
          </cell>
          <cell r="BF7">
            <v>63</v>
          </cell>
          <cell r="BG7">
            <v>65</v>
          </cell>
          <cell r="BH7">
            <v>65</v>
          </cell>
          <cell r="BI7">
            <v>66</v>
          </cell>
          <cell r="BJ7">
            <v>70</v>
          </cell>
          <cell r="BK7">
            <v>68</v>
          </cell>
          <cell r="BL7">
            <v>71</v>
          </cell>
          <cell r="BM7">
            <v>70</v>
          </cell>
          <cell r="BN7">
            <v>70</v>
          </cell>
          <cell r="BO7">
            <v>75</v>
          </cell>
          <cell r="BP7">
            <v>72</v>
          </cell>
          <cell r="BQ7">
            <v>76</v>
          </cell>
          <cell r="BR7">
            <v>78</v>
          </cell>
          <cell r="BS7">
            <v>86</v>
          </cell>
          <cell r="BT7">
            <v>91</v>
          </cell>
          <cell r="BU7">
            <v>92</v>
          </cell>
          <cell r="BV7">
            <v>91</v>
          </cell>
          <cell r="BW7">
            <v>91</v>
          </cell>
          <cell r="BX7">
            <v>95</v>
          </cell>
          <cell r="BY7">
            <v>95</v>
          </cell>
          <cell r="BZ7">
            <v>97</v>
          </cell>
          <cell r="CA7">
            <v>102</v>
          </cell>
          <cell r="CB7">
            <v>105</v>
          </cell>
          <cell r="CC7">
            <v>104</v>
          </cell>
          <cell r="CD7">
            <v>105</v>
          </cell>
        </row>
      </sheetData>
      <sheetData sheetId="3"/>
      <sheetData sheetId="4"/>
      <sheetData sheetId="5">
        <row r="48">
          <cell r="B48" t="str">
            <v>Source: National Institute of Statistics of Rwanda</v>
          </cell>
        </row>
        <row r="49">
          <cell r="B49">
            <v>45915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7939F-0219-4D02-8EBA-2AE2B2F0E285}">
  <dimension ref="E2:AC32"/>
  <sheetViews>
    <sheetView topLeftCell="P4" workbookViewId="0">
      <selection activeCell="T11" sqref="T11"/>
    </sheetView>
  </sheetViews>
  <sheetFormatPr defaultColWidth="8.81640625" defaultRowHeight="14.75" x14ac:dyDescent="0.75"/>
  <cols>
    <col min="1" max="4" width="8.81640625" style="83"/>
    <col min="5" max="5" width="20" style="83" customWidth="1"/>
    <col min="6" max="9" width="16.1328125" style="83" customWidth="1"/>
    <col min="10" max="10" width="17.08984375" style="83" customWidth="1"/>
    <col min="11" max="11" width="11.7265625" style="83" customWidth="1"/>
    <col min="12" max="13" width="10.04296875" style="83" customWidth="1"/>
    <col min="14" max="14" width="11.90625" style="83" customWidth="1"/>
    <col min="15" max="15" width="14.40625" style="83" bestFit="1" customWidth="1"/>
    <col min="16" max="16" width="10.1796875" style="83" bestFit="1" customWidth="1"/>
    <col min="17" max="17" width="33" style="83" customWidth="1"/>
    <col min="18" max="18" width="15.1328125" style="83" customWidth="1"/>
    <col min="19" max="19" width="11.1328125" style="83" customWidth="1"/>
    <col min="20" max="20" width="12.6328125" style="83" customWidth="1"/>
    <col min="21" max="21" width="9.40625" style="83" customWidth="1"/>
    <col min="22" max="22" width="14.1796875" style="83" customWidth="1"/>
    <col min="23" max="24" width="8.81640625" style="83"/>
    <col min="25" max="25" width="32.58984375" style="83" customWidth="1"/>
    <col min="26" max="28" width="8.81640625" style="83"/>
    <col min="29" max="29" width="14.5" style="83" customWidth="1"/>
    <col min="30" max="16384" width="8.81640625" style="83"/>
  </cols>
  <sheetData>
    <row r="2" spans="5:29" ht="15.5" thickBot="1" x14ac:dyDescent="0.9"/>
    <row r="3" spans="5:29" ht="15.5" thickBot="1" x14ac:dyDescent="0.9">
      <c r="E3" s="157"/>
      <c r="F3" s="84">
        <v>2023</v>
      </c>
      <c r="G3" s="159">
        <v>2024</v>
      </c>
      <c r="H3" s="160"/>
      <c r="I3" s="160"/>
      <c r="J3" s="161"/>
      <c r="K3" s="159">
        <v>2025</v>
      </c>
      <c r="L3" s="160"/>
      <c r="M3" s="160"/>
      <c r="N3" s="162"/>
      <c r="O3" s="83">
        <v>2024</v>
      </c>
      <c r="P3" s="83">
        <v>2025</v>
      </c>
      <c r="Q3" s="157"/>
      <c r="R3" s="85">
        <v>2024</v>
      </c>
      <c r="S3" s="163">
        <v>2025</v>
      </c>
      <c r="T3" s="164"/>
      <c r="U3" s="164"/>
      <c r="V3" s="165"/>
      <c r="Y3" s="157"/>
      <c r="Z3" s="163">
        <v>2025</v>
      </c>
      <c r="AA3" s="164"/>
      <c r="AB3" s="164"/>
      <c r="AC3" s="165"/>
    </row>
    <row r="4" spans="5:29" ht="15.5" thickBot="1" x14ac:dyDescent="0.9">
      <c r="E4" s="158"/>
      <c r="F4" s="86" t="s">
        <v>171</v>
      </c>
      <c r="G4" s="87" t="s">
        <v>161</v>
      </c>
      <c r="H4" s="87" t="s">
        <v>172</v>
      </c>
      <c r="I4" s="87" t="s">
        <v>173</v>
      </c>
      <c r="J4" s="86" t="s">
        <v>84</v>
      </c>
      <c r="K4" s="87" t="s">
        <v>161</v>
      </c>
      <c r="L4" s="87" t="s">
        <v>172</v>
      </c>
      <c r="M4" s="87" t="s">
        <v>173</v>
      </c>
      <c r="N4" s="88" t="s">
        <v>84</v>
      </c>
      <c r="O4" s="83" t="s">
        <v>174</v>
      </c>
      <c r="P4" s="83" t="s">
        <v>174</v>
      </c>
      <c r="Q4" s="158"/>
      <c r="R4" s="89" t="s">
        <v>174</v>
      </c>
      <c r="S4" s="90" t="s">
        <v>161</v>
      </c>
      <c r="T4" s="90" t="s">
        <v>172</v>
      </c>
      <c r="U4" s="91" t="s">
        <v>175</v>
      </c>
      <c r="V4" s="92" t="s">
        <v>176</v>
      </c>
      <c r="Y4" s="158"/>
      <c r="Z4" s="90" t="s">
        <v>161</v>
      </c>
      <c r="AA4" s="90" t="s">
        <v>172</v>
      </c>
      <c r="AB4" s="91" t="s">
        <v>175</v>
      </c>
      <c r="AC4" s="92" t="s">
        <v>176</v>
      </c>
    </row>
    <row r="5" spans="5:29" x14ac:dyDescent="0.75">
      <c r="E5" s="93" t="s">
        <v>177</v>
      </c>
      <c r="F5" s="94">
        <f>AVERAGE([1]CIEA!$B$134:$B$141)</f>
        <v>186.11019256618025</v>
      </c>
      <c r="G5" s="95">
        <f>AVERAGE([1]CIEA!$B$146:$B$148)</f>
        <v>200.33277344576905</v>
      </c>
      <c r="H5" s="95">
        <f>AVERAGE([1]CIEA!$B$150:$B$152)</f>
        <v>217.37805475944126</v>
      </c>
      <c r="I5" s="95">
        <f>AVERAGE([1]CIEA!$B$152:$B$1523)</f>
        <v>230.04703433040439</v>
      </c>
      <c r="J5" s="96">
        <f>AVERAGE([1]CIEA!$B$146:$B$153)</f>
        <v>210.46907620161923</v>
      </c>
      <c r="K5" s="95">
        <f>AVERAGE([1]CIEA!$B$158:$B$160)</f>
        <v>219.67860769514974</v>
      </c>
      <c r="L5" s="95">
        <f>AVERAGE([1]CIEA!$B$162:$B$164)</f>
        <v>247.91946481554314</v>
      </c>
      <c r="M5" s="95">
        <f>AVERAGE([1]CIEA!$B$164:$B$165)</f>
        <v>251.78957851071385</v>
      </c>
      <c r="N5" s="96">
        <f>AVERAGE([1]CIEA!$B$158:$B$163)</f>
        <v>230.00049685782997</v>
      </c>
      <c r="O5" s="94">
        <f>AVERAGE([1]CIEA!B146:B153)</f>
        <v>210.46907620161923</v>
      </c>
      <c r="P5" s="94">
        <f>AVERAGE([1]CIEA!B158:B165)</f>
        <v>235.44776727105094</v>
      </c>
      <c r="Q5" s="93" t="s">
        <v>178</v>
      </c>
      <c r="R5" s="97">
        <f>J5/F5-1</f>
        <v>0.13088419983648691</v>
      </c>
      <c r="S5" s="98">
        <f>K5/G5-1</f>
        <v>9.6568494094241064E-2</v>
      </c>
      <c r="T5" s="98">
        <f>L5/H5-1</f>
        <v>0.14049904940910496</v>
      </c>
      <c r="U5" s="98">
        <f>M5/I5-1</f>
        <v>9.4513473053870367E-2</v>
      </c>
      <c r="V5" s="97">
        <f>AVERAGE(S5:U5)</f>
        <v>0.11052700551907213</v>
      </c>
      <c r="Y5" s="93" t="s">
        <v>178</v>
      </c>
      <c r="Z5" s="98">
        <v>9.6568494094241064E-2</v>
      </c>
      <c r="AA5" s="98">
        <v>0.14049904940910496</v>
      </c>
      <c r="AB5" s="98">
        <v>9.4513473053870367E-2</v>
      </c>
      <c r="AC5" s="97">
        <v>0.11052700551907213</v>
      </c>
    </row>
    <row r="6" spans="5:29" x14ac:dyDescent="0.75">
      <c r="E6" s="93" t="s">
        <v>179</v>
      </c>
      <c r="F6" s="99">
        <f>SUM('[1]turnovers real'!$ED$34:$EK$34)/1000000</f>
        <v>55495.924585131761</v>
      </c>
      <c r="G6" s="95">
        <f>SUM('[1]turnovers real'!$EP$34:$ER$34)/1000000</f>
        <v>21754.514715094727</v>
      </c>
      <c r="H6" s="95">
        <f>SUM('[1]turnovers real'!$ES$34:$EU$34)/1000000</f>
        <v>24105.734875578331</v>
      </c>
      <c r="I6" s="95">
        <f>SUM('[1]turnovers real'!$EU$34:$EV$34)/1000000</f>
        <v>17460.310562302835</v>
      </c>
      <c r="J6" s="100">
        <f>SUM('[1]turnovers real'!$EP$34:$EW$34)/1000000</f>
        <v>61630.091742624616</v>
      </c>
      <c r="K6" s="95">
        <f>SUM('[1]turnovers real'!$FB$34:$FD$34)/1000000</f>
        <v>24667.823379880738</v>
      </c>
      <c r="L6" s="95">
        <f>SUM('[1]turnovers real'!$FE$34:$FG$34)/1000000</f>
        <v>27332.377351489682</v>
      </c>
      <c r="M6" s="95">
        <f>SUM('[1]turnovers real'!$FH$34:$FI$34)/1000000</f>
        <v>17674.656971479471</v>
      </c>
      <c r="N6" s="101">
        <f>SUM('[1]turnovers real'!$FB$34:$FG$34)/1000000</f>
        <v>52000.200731370416</v>
      </c>
      <c r="O6" s="102">
        <f>SUM('[1]turnovers real'!$EP$34:$EW$34)/1000000</f>
        <v>61630.091742624616</v>
      </c>
      <c r="P6" s="102">
        <f>SUM('[1]turnovers real'!$FB$34:$FI$34)/1000000</f>
        <v>69674.857702849884</v>
      </c>
      <c r="Q6" s="93" t="s">
        <v>179</v>
      </c>
      <c r="R6" s="97">
        <f t="shared" ref="R6:U15" si="0">J6/F6-1</f>
        <v>0.11053365095454759</v>
      </c>
      <c r="S6" s="98">
        <f t="shared" si="0"/>
        <v>0.13391742831038944</v>
      </c>
      <c r="T6" s="98">
        <f t="shared" si="0"/>
        <v>0.13385372786043059</v>
      </c>
      <c r="U6" s="98">
        <f t="shared" si="0"/>
        <v>1.2276208284600409E-2</v>
      </c>
      <c r="V6" s="97">
        <f t="shared" ref="V6:V15" si="1">AVERAGE(S6:U6)</f>
        <v>9.3349121485140144E-2</v>
      </c>
      <c r="Y6" s="93" t="s">
        <v>179</v>
      </c>
      <c r="Z6" s="98">
        <v>0.13391742831038944</v>
      </c>
      <c r="AA6" s="98">
        <v>0.13385372786043059</v>
      </c>
      <c r="AB6" s="98">
        <v>1.2276208284600409E-2</v>
      </c>
      <c r="AC6" s="97">
        <v>9.3349121485140144E-2</v>
      </c>
    </row>
    <row r="7" spans="5:29" x14ac:dyDescent="0.75">
      <c r="E7" s="103" t="s">
        <v>180</v>
      </c>
      <c r="F7" s="99">
        <f>SUM('[1]turnovers real'!$ED$2:$EK$2)/1000000</f>
        <v>14220.306966114538</v>
      </c>
      <c r="G7" s="95">
        <f>SUM('[1]turnovers real'!$EP$2:$ER$2)/1000000</f>
        <v>5097.6757721102176</v>
      </c>
      <c r="H7" s="95">
        <f>SUM('[1]turnovers real'!$ES$2:$EU$2)/1000000</f>
        <v>6104.0046245048234</v>
      </c>
      <c r="I7" s="95">
        <f>SUM('[1]turnovers real'!$EV$2:$EW$2)/1000000</f>
        <v>4116.5495387185038</v>
      </c>
      <c r="J7" s="100">
        <f>SUM('[1]turnovers real'!$EP$2:$EW$2)/1000000</f>
        <v>15318.229935333542</v>
      </c>
      <c r="K7" s="95">
        <f>SUM('[1]turnovers real'!$FB$2:$FD$2)/1000000</f>
        <v>6177.3400765118649</v>
      </c>
      <c r="L7" s="95">
        <f>SUM('[1]turnovers real'!$FE$2:$FG$2)/1000000</f>
        <v>7331.422883527237</v>
      </c>
      <c r="M7" s="95">
        <f>SUM('[1]turnovers real'!$FH$2:$FI$2)/1000000</f>
        <v>4595.9445358837147</v>
      </c>
      <c r="N7" s="101">
        <f>SUM('[1]turnovers real'!$FB$2:$FG$2)/1000000</f>
        <v>13508.762960039103</v>
      </c>
      <c r="O7" s="102">
        <f>SUM('[1]turnovers real'!$EP$2:$EW$2)/1000000</f>
        <v>15318.229935333542</v>
      </c>
      <c r="P7" s="102">
        <f>SUM('[1]turnovers real'!$FB$2:$FI$2)/1000000</f>
        <v>18104.707495922816</v>
      </c>
      <c r="Q7" s="103" t="s">
        <v>180</v>
      </c>
      <c r="R7" s="104">
        <f t="shared" si="0"/>
        <v>7.7208106114392328E-2</v>
      </c>
      <c r="S7" s="105">
        <f t="shared" si="0"/>
        <v>0.21179540493896742</v>
      </c>
      <c r="T7" s="105">
        <f t="shared" si="0"/>
        <v>0.20108409716710951</v>
      </c>
      <c r="U7" s="105">
        <f t="shared" si="0"/>
        <v>0.11645553944054998</v>
      </c>
      <c r="V7" s="104">
        <f t="shared" si="1"/>
        <v>0.17644501384887565</v>
      </c>
      <c r="Y7" s="103" t="s">
        <v>180</v>
      </c>
      <c r="Z7" s="105">
        <v>0.21179540493896742</v>
      </c>
      <c r="AA7" s="105">
        <v>0.20108409716710951</v>
      </c>
      <c r="AB7" s="105">
        <v>0.11645553944054998</v>
      </c>
      <c r="AC7" s="104">
        <v>0.17644501384887565</v>
      </c>
    </row>
    <row r="8" spans="5:29" x14ac:dyDescent="0.75">
      <c r="E8" s="106" t="s">
        <v>181</v>
      </c>
      <c r="F8" s="99">
        <f>SUM('[1]turnovers real'!$ED$3:$EK$3)/1000000</f>
        <v>979.71755649344107</v>
      </c>
      <c r="G8" s="95">
        <f>SUM('[1]turnovers real'!$EP$34:$ER$34)/1000000</f>
        <v>21754.514715094727</v>
      </c>
      <c r="H8" s="95">
        <f>SUM('[1]turnovers real'!$ES$3:$EU$3)/1000000</f>
        <v>423.64432037743904</v>
      </c>
      <c r="I8" s="95">
        <f>SUM('[1]turnovers real'!$EV$3:$EW$3)/1000000</f>
        <v>288.86239067007097</v>
      </c>
      <c r="J8" s="100">
        <f>SUM('[1]turnovers real'!$EP$3:$EW$3)/1000000</f>
        <v>1107.7325431242725</v>
      </c>
      <c r="K8" s="95">
        <f>SUM('[1]turnovers real'!$FB$3:$FD$3)/1000000</f>
        <v>511.37411959874362</v>
      </c>
      <c r="L8" s="95">
        <f>SUM('[1]turnovers real'!$FE$3:$FG$3)/1000000</f>
        <v>654.70504394589136</v>
      </c>
      <c r="M8" s="95">
        <f>SUM('[1]turnovers real'!$FH$3:$FI$3)/1000000</f>
        <v>490.90170245430346</v>
      </c>
      <c r="N8" s="101">
        <f>SUM('[1]turnovers real'!$FB$3:$FG$3)/1000000</f>
        <v>1166.0791635446351</v>
      </c>
      <c r="O8" s="102">
        <f>SUM('[1]turnovers real'!$EP$3:$EW$3)/1000000</f>
        <v>1107.7325431242725</v>
      </c>
      <c r="P8" s="102">
        <f>SUM('[1]turnovers real'!$FB$3:$FI$3)/1000000</f>
        <v>1656.9808659989385</v>
      </c>
      <c r="Q8" s="106" t="s">
        <v>181</v>
      </c>
      <c r="R8" s="104">
        <f t="shared" si="0"/>
        <v>0.13066519608877547</v>
      </c>
      <c r="S8" s="105">
        <f t="shared" si="0"/>
        <v>-0.97649342555805585</v>
      </c>
      <c r="T8" s="105">
        <f t="shared" si="0"/>
        <v>0.54541206491944116</v>
      </c>
      <c r="U8" s="105">
        <f t="shared" si="0"/>
        <v>0.69943100351542498</v>
      </c>
      <c r="V8" s="104">
        <f t="shared" si="1"/>
        <v>8.9449880958936759E-2</v>
      </c>
      <c r="Y8" s="106" t="s">
        <v>181</v>
      </c>
      <c r="Z8" s="105">
        <v>-0.97649342555805585</v>
      </c>
      <c r="AA8" s="105">
        <v>0.54541206491944116</v>
      </c>
      <c r="AB8" s="105">
        <v>0.69943100351542498</v>
      </c>
      <c r="AC8" s="104">
        <v>8.9449880958936759E-2</v>
      </c>
    </row>
    <row r="9" spans="5:29" x14ac:dyDescent="0.75">
      <c r="E9" s="106" t="s">
        <v>124</v>
      </c>
      <c r="F9" s="99">
        <f>SUM('[1]turnovers real'!$ED$10:$EK$10)/1000000</f>
        <v>3798.035569867624</v>
      </c>
      <c r="G9" s="95">
        <f>SUM('[1]turnovers real'!$EP$10:$ER$10)/1000000</f>
        <v>1294.9322685882682</v>
      </c>
      <c r="H9" s="95">
        <f>SUM('[1]turnovers real'!$ES$10:$EU$10)/1000000</f>
        <v>1600.1900203424429</v>
      </c>
      <c r="I9" s="95">
        <f>SUM('[1]turnovers real'!$EV$10:$EW$10)/1000000</f>
        <v>1056.9001302723971</v>
      </c>
      <c r="J9" s="99">
        <f>SUM('[1]turnovers real'!$EP$10:$EW$10)/1000000</f>
        <v>3952.0224192031083</v>
      </c>
      <c r="K9" s="95">
        <f>SUM('[1]turnovers real'!$FB$10:$FD$10)/1000000</f>
        <v>1743.2543063832497</v>
      </c>
      <c r="L9" s="95">
        <f>SUM('[1]turnovers real'!$FE$10:$FG$10)/1000000</f>
        <v>2137.6270751942398</v>
      </c>
      <c r="M9" s="95">
        <f>SUM('[1]turnovers real'!$FH$10:$FI$10)/1000000</f>
        <v>1008.1811360966021</v>
      </c>
      <c r="N9" s="102">
        <f>SUM('[1]turnovers real'!$FB$10:$FG$10)/1000000</f>
        <v>3880.8813815774897</v>
      </c>
      <c r="O9" s="102">
        <f>SUM('[1]turnovers real'!$EP$10:$EW$10)/1000000</f>
        <v>3952.0224192031083</v>
      </c>
      <c r="P9" s="102">
        <f>SUM('[1]turnovers real'!$FB$10:$FI$10)/1000000</f>
        <v>4889.0625176740923</v>
      </c>
      <c r="Q9" s="106" t="s">
        <v>124</v>
      </c>
      <c r="R9" s="104">
        <f t="shared" si="0"/>
        <v>4.054381442795485E-2</v>
      </c>
      <c r="S9" s="105">
        <f t="shared" si="0"/>
        <v>0.34621273148420428</v>
      </c>
      <c r="T9" s="105">
        <f t="shared" si="0"/>
        <v>0.33585827184248052</v>
      </c>
      <c r="U9" s="105">
        <f t="shared" si="0"/>
        <v>-4.6096118999662261E-2</v>
      </c>
      <c r="V9" s="104">
        <f t="shared" si="1"/>
        <v>0.21199162810900751</v>
      </c>
      <c r="Y9" s="106" t="s">
        <v>124</v>
      </c>
      <c r="Z9" s="105">
        <v>0.34621273148420428</v>
      </c>
      <c r="AA9" s="105">
        <v>0.33585827184248052</v>
      </c>
      <c r="AB9" s="105">
        <v>-4.6096118999662261E-2</v>
      </c>
      <c r="AC9" s="104">
        <v>0.21199162810900751</v>
      </c>
    </row>
    <row r="10" spans="5:29" x14ac:dyDescent="0.75">
      <c r="E10" s="103" t="s">
        <v>182</v>
      </c>
      <c r="F10" s="99">
        <f>SUM('[1]turnovers real'!$ED$34:$EK$34)/1000000</f>
        <v>55495.924585131761</v>
      </c>
      <c r="G10" s="95">
        <f>SUM('[1]turnovers real'!$EP$11:$ER$11)/1000000</f>
        <v>16656.838942984508</v>
      </c>
      <c r="H10" s="95">
        <f>SUM('[1]turnovers real'!$ES$11:$EU$11)/1000000</f>
        <v>18001.730251073506</v>
      </c>
      <c r="I10" s="95">
        <f>SUM('[1]turnovers real'!$EV$11:$EW$11)/1000000</f>
        <v>11653.292613233059</v>
      </c>
      <c r="J10" s="99">
        <f>SUM('[1]turnovers real'!$EP$11:$EW$11)/1000000</f>
        <v>46311.861807291076</v>
      </c>
      <c r="K10" s="95">
        <f>SUM('[1]turnovers real'!$FB$11:$FD$11)/1000000</f>
        <v>18490.483303368877</v>
      </c>
      <c r="L10" s="95">
        <f>SUM('[1]turnovers real'!$FE$11:$FG$11)/1000000</f>
        <v>20000.954467962445</v>
      </c>
      <c r="M10" s="95">
        <f>SUM('[1]turnovers real'!$FH$11:$FI$11)/1000000</f>
        <v>13078.712435595757</v>
      </c>
      <c r="N10" s="102">
        <f>SUM('[1]turnovers real'!$FB$11:$FG$11)/1000000</f>
        <v>38491.437771331322</v>
      </c>
      <c r="O10" s="102">
        <f>SUM('[1]turnovers real'!$EP$11:$EW$11)/1000000</f>
        <v>46311.861807291076</v>
      </c>
      <c r="P10" s="102">
        <f>SUM('[1]turnovers real'!$FB$11:$FI$11)/1000000</f>
        <v>51570.150206927079</v>
      </c>
      <c r="Q10" s="103" t="s">
        <v>182</v>
      </c>
      <c r="R10" s="104">
        <f t="shared" si="0"/>
        <v>-0.16549076074500146</v>
      </c>
      <c r="S10" s="105">
        <f t="shared" si="0"/>
        <v>0.11008357387982426</v>
      </c>
      <c r="T10" s="105">
        <f t="shared" si="0"/>
        <v>0.11105733665627593</v>
      </c>
      <c r="U10" s="105">
        <f t="shared" si="0"/>
        <v>0.12231906206011178</v>
      </c>
      <c r="V10" s="104">
        <f t="shared" si="1"/>
        <v>0.11448665753207066</v>
      </c>
      <c r="Y10" s="103" t="s">
        <v>182</v>
      </c>
      <c r="Z10" s="105">
        <v>0.11008357387982426</v>
      </c>
      <c r="AA10" s="105">
        <v>0.11105733665627593</v>
      </c>
      <c r="AB10" s="105">
        <v>0.12231906206011178</v>
      </c>
      <c r="AC10" s="104">
        <v>0.11448665753207066</v>
      </c>
    </row>
    <row r="11" spans="5:29" x14ac:dyDescent="0.75">
      <c r="E11" s="106" t="s">
        <v>183</v>
      </c>
      <c r="F11" s="99">
        <f>SUM('[1]turnovers real'!$ED$12:$EK$12)/1000000</f>
        <v>26014.647491231946</v>
      </c>
      <c r="G11" s="95">
        <f>SUM('[1]turnovers real'!$EP$12:$ER$12)/1000000</f>
        <v>10440.133412596424</v>
      </c>
      <c r="H11" s="95">
        <f>SUM('[1]turnovers real'!$ES$12:$EU$12)/1000000</f>
        <v>11315.178201668632</v>
      </c>
      <c r="I11" s="95">
        <f>SUM('[1]turnovers real'!$EV$12:$EW$12)/1000000</f>
        <v>7235.7475936460514</v>
      </c>
      <c r="J11" s="99">
        <f>SUM('[1]turnovers real'!$EP$12:$EW$12)/1000000</f>
        <v>28991.059207911108</v>
      </c>
      <c r="K11" s="95">
        <f>SUM('[1]turnovers real'!$FB$12:$FD$12)/1000000</f>
        <v>11381.332611926578</v>
      </c>
      <c r="L11" s="95">
        <f>SUM('[1]turnovers real'!$FE$12:$FG$12)/1000000</f>
        <v>12624.356187355932</v>
      </c>
      <c r="M11" s="95">
        <f>SUM('[1]turnovers real'!$FH$12:$FI$12)/1000000</f>
        <v>8185.4466294037229</v>
      </c>
      <c r="N11" s="102">
        <f>SUM('[1]turnovers real'!$FB$12:$FG$12)/1000000</f>
        <v>24005.68879928251</v>
      </c>
      <c r="O11" s="102">
        <f>SUM('[1]turnovers real'!$EP$12:$EW$12)/1000000</f>
        <v>28991.059207911108</v>
      </c>
      <c r="P11" s="102">
        <f>SUM('[1]turnovers real'!$FB$12:$FI$12)/1000000</f>
        <v>32191.135428686233</v>
      </c>
      <c r="Q11" s="106" t="s">
        <v>184</v>
      </c>
      <c r="R11" s="104">
        <f t="shared" si="0"/>
        <v>0.11441291747975213</v>
      </c>
      <c r="S11" s="105">
        <f t="shared" si="0"/>
        <v>9.0152027961114101E-2</v>
      </c>
      <c r="T11" s="105">
        <f t="shared" si="0"/>
        <v>0.11570104883493904</v>
      </c>
      <c r="U11" s="105">
        <f t="shared" si="0"/>
        <v>0.13125099009695051</v>
      </c>
      <c r="V11" s="104">
        <f t="shared" si="1"/>
        <v>0.11236802229766789</v>
      </c>
      <c r="Y11" s="106" t="s">
        <v>184</v>
      </c>
      <c r="Z11" s="105">
        <v>9.0152027961114101E-2</v>
      </c>
      <c r="AA11" s="105">
        <v>0.11570104883493904</v>
      </c>
      <c r="AB11" s="105">
        <v>0.13125099009695051</v>
      </c>
      <c r="AC11" s="104">
        <v>0.11236802229766789</v>
      </c>
    </row>
    <row r="12" spans="5:29" x14ac:dyDescent="0.75">
      <c r="E12" s="106" t="s">
        <v>185</v>
      </c>
      <c r="F12" s="99">
        <f>SUM('[1]turnovers real'!$ED$16:$EK$16)/1000000</f>
        <v>1392.4847524210268</v>
      </c>
      <c r="G12" s="95">
        <f>SUM('[1]turnovers real'!$EP$16:$ER$16)/1000000</f>
        <v>577.85880304317971</v>
      </c>
      <c r="H12" s="95">
        <f>SUM('[1]turnovers real'!$ES$16:$EU$16)/1000000</f>
        <v>667.37908475389884</v>
      </c>
      <c r="I12" s="95">
        <f>SUM('[1]turnovers real'!$EV$16:$EW$16)/1000000</f>
        <v>406.66197233836101</v>
      </c>
      <c r="J12" s="99">
        <f>SUM('[1]turnovers real'!$EP$16:$EW$16)/1000000</f>
        <v>1651.8998601354397</v>
      </c>
      <c r="K12" s="95">
        <f>SUM('[1]turnovers real'!$FB$16:$FD$16)/1000000</f>
        <v>629.40057017633364</v>
      </c>
      <c r="L12" s="95">
        <f>SUM('[1]turnovers real'!$FE$16:$FG$16)/1000000</f>
        <v>598.30282116868523</v>
      </c>
      <c r="M12" s="95">
        <f>SUM('[1]turnovers real'!$FH$16:$FI$16)/1000000</f>
        <v>437.00826010095142</v>
      </c>
      <c r="N12" s="102">
        <f>SUM('[1]turnovers real'!$FB$16:$FG$16)/1000000</f>
        <v>1227.7033913450189</v>
      </c>
      <c r="O12" s="102">
        <f>SUM('[1]turnovers real'!$EP$16:$EW$16)/1000000</f>
        <v>1651.8998601354397</v>
      </c>
      <c r="P12" s="102">
        <f>SUM('[1]turnovers real'!$FB$16:$FI$16)/1000000</f>
        <v>1664.7116514459703</v>
      </c>
      <c r="Q12" s="106" t="s">
        <v>185</v>
      </c>
      <c r="R12" s="104">
        <f t="shared" si="0"/>
        <v>0.18629655173127313</v>
      </c>
      <c r="S12" s="105">
        <f t="shared" si="0"/>
        <v>8.9194396384928876E-2</v>
      </c>
      <c r="T12" s="105">
        <f t="shared" si="0"/>
        <v>-0.10350378842136776</v>
      </c>
      <c r="U12" s="105">
        <f t="shared" si="0"/>
        <v>7.4622880492353882E-2</v>
      </c>
      <c r="V12" s="104">
        <f t="shared" si="1"/>
        <v>2.0104496151971667E-2</v>
      </c>
      <c r="Y12" s="106" t="s">
        <v>186</v>
      </c>
      <c r="Z12" s="105">
        <v>8.9194396384928876E-2</v>
      </c>
      <c r="AA12" s="105">
        <v>-0.10350378842136776</v>
      </c>
      <c r="AB12" s="105">
        <v>7.4622880492353882E-2</v>
      </c>
      <c r="AC12" s="104">
        <v>2.0104496151971667E-2</v>
      </c>
    </row>
    <row r="13" spans="5:29" x14ac:dyDescent="0.75">
      <c r="E13" s="93" t="s">
        <v>187</v>
      </c>
      <c r="F13" s="102">
        <f>SUM('[1]turnovers nominal'!$ED$37:$EK$37)/1000000</f>
        <v>9139319.4571739994</v>
      </c>
      <c r="G13" s="102">
        <f>SUM('[1]turnovers nominal'!$EP$37:$ER$37)/1000000</f>
        <v>3730359.5323470002</v>
      </c>
      <c r="H13" s="102">
        <f>SUM('[1]turnovers nominal'!$ES$37:$EU$37)/1000000</f>
        <v>4214957.2524039997</v>
      </c>
      <c r="I13" s="102">
        <f>SUM('[1]turnovers nominal'!$EV$37:$EW$37)/1000000</f>
        <v>2763075.0809399998</v>
      </c>
      <c r="J13" s="102">
        <f>SUM('[1]turnovers nominal'!$EP$37:$EW$37)/1000000</f>
        <v>10708391.865691001</v>
      </c>
      <c r="K13" s="102">
        <f>SUM('[1]turnovers nominal'!$FB$37:$FD$37)/1000000</f>
        <v>4510365.6186459996</v>
      </c>
      <c r="L13" s="102">
        <f>SUM('[1]turnovers nominal'!$FE$37:$FG$37)/1000000</f>
        <v>5098054.2004239997</v>
      </c>
      <c r="M13" s="102">
        <f>SUM('[1]turnovers nominal'!$FH$37:$FI$37)/1000000</f>
        <v>3341236.6389990002</v>
      </c>
      <c r="N13" s="102">
        <f>SUM('[1]turnovers nominal'!$FB$37:$FG$37)/1000000</f>
        <v>9608419.8190700002</v>
      </c>
      <c r="O13" s="102">
        <f>SUM('[1]turnovers nominal'!$EP$37:$EW$37)/1000000</f>
        <v>10708391.865691001</v>
      </c>
      <c r="P13" s="102">
        <f>SUM('[1]turnovers nominal'!$FB$37:$FI$37)/1000000</f>
        <v>12949656.458069</v>
      </c>
      <c r="Q13" s="93" t="s">
        <v>187</v>
      </c>
      <c r="R13" s="97">
        <f t="shared" si="0"/>
        <v>0.17168372501579898</v>
      </c>
      <c r="S13" s="98">
        <f t="shared" si="0"/>
        <v>0.20909675851224163</v>
      </c>
      <c r="T13" s="98">
        <f t="shared" si="0"/>
        <v>0.20951504253485043</v>
      </c>
      <c r="U13" s="98">
        <f t="shared" si="0"/>
        <v>0.20924569225325196</v>
      </c>
      <c r="V13" s="97">
        <f t="shared" si="1"/>
        <v>0.20928583110011467</v>
      </c>
      <c r="Y13" s="93" t="s">
        <v>187</v>
      </c>
      <c r="Z13" s="98">
        <v>0.20909675851224163</v>
      </c>
      <c r="AA13" s="98">
        <v>0.20951504253485043</v>
      </c>
      <c r="AB13" s="98">
        <v>0.20924569225325196</v>
      </c>
      <c r="AC13" s="97">
        <v>0.20928583110011467</v>
      </c>
    </row>
    <row r="14" spans="5:29" x14ac:dyDescent="0.75">
      <c r="E14" s="103" t="s">
        <v>180</v>
      </c>
      <c r="F14" s="102">
        <f>SUM('[1]turnovers nominal'!$ED$6:$EK$6)/1000000</f>
        <v>2559537.971498</v>
      </c>
      <c r="G14" s="102">
        <f>SUM('[1]turnovers nominal'!$EP$6:$ER$6)/1000000</f>
        <v>982431.33064299996</v>
      </c>
      <c r="H14" s="102">
        <f>SUM('[1]turnovers nominal'!$ES$6:$EU$6)/1000000</f>
        <v>1153489.8935400001</v>
      </c>
      <c r="I14" s="102">
        <f>SUM('[1]turnovers nominal'!$EV$6:$EW$6)/1000000</f>
        <v>775204.70093299996</v>
      </c>
      <c r="J14" s="102">
        <f>SUM('[1]turnovers nominal'!$EP$6:$EW$6)/1000000</f>
        <v>2911125.9251160002</v>
      </c>
      <c r="K14" s="102">
        <f>SUM('[1]turnovers nominal'!$FB$6:$FD$6)/1000000</f>
        <v>1234657.0723989999</v>
      </c>
      <c r="L14" s="102">
        <f>SUM('[1]turnovers nominal'!$FE$6:$FG$6)/1000000</f>
        <v>1466480.7076389999</v>
      </c>
      <c r="M14" s="102">
        <f>SUM('[1]turnovers nominal'!$FH$6:$FI$6)/1000000</f>
        <v>951216.26726999995</v>
      </c>
      <c r="N14" s="102">
        <f>SUM('[1]turnovers nominal'!$FB$6:$FG$6)/1000000</f>
        <v>2701137.7800380001</v>
      </c>
      <c r="O14" s="102">
        <f>SUM('[1]turnovers nominal'!$EP$6:$EW$6)/1000000</f>
        <v>2911125.9251160002</v>
      </c>
      <c r="P14" s="102">
        <f>SUM('[1]turnovers nominal'!$FB$6:$FI$6)/1000000</f>
        <v>3652354.0473079998</v>
      </c>
      <c r="Q14" s="103" t="s">
        <v>180</v>
      </c>
      <c r="R14" s="104">
        <f t="shared" si="0"/>
        <v>0.13736383579112488</v>
      </c>
      <c r="S14" s="105">
        <f t="shared" si="0"/>
        <v>0.25673625615229367</v>
      </c>
      <c r="T14" s="105">
        <f t="shared" si="0"/>
        <v>0.27134248496833147</v>
      </c>
      <c r="U14" s="105">
        <f t="shared" si="0"/>
        <v>0.22705172727301681</v>
      </c>
      <c r="V14" s="104">
        <f t="shared" si="1"/>
        <v>0.251710156131214</v>
      </c>
      <c r="Y14" s="103" t="s">
        <v>180</v>
      </c>
      <c r="Z14" s="105">
        <v>0.25673625615229367</v>
      </c>
      <c r="AA14" s="105">
        <v>0.27134248496833147</v>
      </c>
      <c r="AB14" s="105">
        <v>0.22705172727301681</v>
      </c>
      <c r="AC14" s="104">
        <v>0.251710156131214</v>
      </c>
    </row>
    <row r="15" spans="5:29" ht="15.5" thickBot="1" x14ac:dyDescent="0.9">
      <c r="E15" s="107" t="s">
        <v>182</v>
      </c>
      <c r="F15" s="102">
        <f>SUM('[1]turnovers nominal'!$ED$15:$EK$15)/1000000</f>
        <v>6579781.4856759999</v>
      </c>
      <c r="G15" s="102">
        <f>SUM('[1]turnovers nominal'!$EP$15:$ER$15)/1000000</f>
        <v>2747928.2017040001</v>
      </c>
      <c r="H15" s="102">
        <f>SUM('[1]turnovers nominal'!$ES$15:$EU$15)/1000000</f>
        <v>3061467.3588640001</v>
      </c>
      <c r="I15" s="102">
        <f>SUM('[1]turnovers nominal'!$EV$15:$EW$15)/1000000</f>
        <v>1987870.3800069999</v>
      </c>
      <c r="J15" s="102">
        <f>SUM('[1]turnovers nominal'!$EP$15:$EW$15)/1000000</f>
        <v>7797265.9405749999</v>
      </c>
      <c r="K15" s="102">
        <f>SUM('[1]turnovers nominal'!$FB$15:$FD$15)/1000000</f>
        <v>3275708.5462469999</v>
      </c>
      <c r="L15" s="102">
        <f>SUM('[1]turnovers nominal'!$FE$15:$FG$15)/1000000</f>
        <v>3631573.4927849998</v>
      </c>
      <c r="M15" s="102">
        <f>SUM('[1]turnovers nominal'!$FH$15:$FI$15)/1000000</f>
        <v>2390020.371729</v>
      </c>
      <c r="N15" s="102">
        <f>SUM('[1]turnovers nominal'!$FB$15:$FG$15)/1000000</f>
        <v>6907282.0390320001</v>
      </c>
      <c r="O15" s="102">
        <f>SUM('[1]turnovers nominal'!$EP$15:$EW$15)/1000000</f>
        <v>7797265.9405749999</v>
      </c>
      <c r="P15" s="102">
        <f>SUM('[1]turnovers nominal'!$FB$15:$FI$15)/1000000</f>
        <v>9297302.4107610006</v>
      </c>
      <c r="Q15" s="107" t="s">
        <v>182</v>
      </c>
      <c r="R15" s="108">
        <f t="shared" si="0"/>
        <v>0.18503417743422479</v>
      </c>
      <c r="S15" s="109">
        <f t="shared" si="0"/>
        <v>0.19206482331515118</v>
      </c>
      <c r="T15" s="109">
        <f t="shared" si="0"/>
        <v>0.18621989624365787</v>
      </c>
      <c r="U15" s="109">
        <f t="shared" si="0"/>
        <v>0.20230191855898783</v>
      </c>
      <c r="V15" s="108">
        <f t="shared" si="1"/>
        <v>0.19352887937259897</v>
      </c>
      <c r="Y15" s="107" t="s">
        <v>182</v>
      </c>
      <c r="Z15" s="109">
        <v>0.19206482331515118</v>
      </c>
      <c r="AA15" s="109">
        <v>0.18621989624365787</v>
      </c>
      <c r="AB15" s="109">
        <v>0.20230191855898783</v>
      </c>
      <c r="AC15" s="108">
        <v>0.19352887937259897</v>
      </c>
    </row>
    <row r="16" spans="5:29" x14ac:dyDescent="0.75">
      <c r="Q16" s="166" t="s">
        <v>188</v>
      </c>
      <c r="R16" s="166"/>
      <c r="S16" s="166"/>
      <c r="T16" s="166"/>
      <c r="U16" s="166"/>
      <c r="V16" s="166"/>
    </row>
    <row r="17" spans="17:22" x14ac:dyDescent="0.75">
      <c r="Q17" s="167" t="s">
        <v>189</v>
      </c>
      <c r="R17" s="167"/>
      <c r="S17" s="167"/>
      <c r="T17" s="167"/>
      <c r="U17" s="167"/>
      <c r="V17" s="167"/>
    </row>
    <row r="19" spans="17:22" ht="15.5" thickBot="1" x14ac:dyDescent="0.9"/>
    <row r="20" spans="17:22" ht="15.5" thickBot="1" x14ac:dyDescent="0.9">
      <c r="Q20" s="157" t="s">
        <v>190</v>
      </c>
      <c r="R20" s="163">
        <v>2024</v>
      </c>
      <c r="S20" s="168"/>
      <c r="T20" s="163">
        <v>2025</v>
      </c>
      <c r="U20" s="165"/>
    </row>
    <row r="21" spans="17:22" ht="15.5" thickBot="1" x14ac:dyDescent="0.9">
      <c r="Q21" s="158"/>
      <c r="R21" s="89" t="s">
        <v>191</v>
      </c>
      <c r="S21" s="89" t="s">
        <v>84</v>
      </c>
      <c r="T21" s="92" t="s">
        <v>84</v>
      </c>
      <c r="U21" s="92" t="s">
        <v>192</v>
      </c>
    </row>
    <row r="22" spans="17:22" x14ac:dyDescent="0.75">
      <c r="Q22" s="93" t="s">
        <v>177</v>
      </c>
      <c r="R22" s="97">
        <v>8.4674157680506498E-2</v>
      </c>
      <c r="S22" s="97">
        <f>J5/F5-1</f>
        <v>0.13088419983648691</v>
      </c>
      <c r="T22" s="97">
        <f>N5/J5-1</f>
        <v>9.2799479185724065E-2</v>
      </c>
      <c r="U22" s="97">
        <f>P5/O5-1</f>
        <v>0.11868105053829048</v>
      </c>
    </row>
    <row r="23" spans="17:22" x14ac:dyDescent="0.75">
      <c r="Q23" s="93" t="s">
        <v>179</v>
      </c>
      <c r="R23" s="97">
        <v>7.965170194080029E-2</v>
      </c>
      <c r="S23" s="97">
        <f t="shared" ref="S23:S32" si="2">J6/F6-1</f>
        <v>0.11053365095454759</v>
      </c>
      <c r="T23" s="97">
        <f t="shared" ref="T23:T32" si="3">N6/J6-1</f>
        <v>-0.1562530695470955</v>
      </c>
      <c r="U23" s="97">
        <f t="shared" ref="U23:U32" si="4">P6/O6-1</f>
        <v>0.13053308428975363</v>
      </c>
    </row>
    <row r="24" spans="17:22" x14ac:dyDescent="0.75">
      <c r="Q24" s="103" t="s">
        <v>180</v>
      </c>
      <c r="R24" s="104">
        <v>-1.2248707685524218E-2</v>
      </c>
      <c r="S24" s="104">
        <f t="shared" si="2"/>
        <v>7.7208106114392328E-2</v>
      </c>
      <c r="T24" s="104">
        <f t="shared" si="3"/>
        <v>-0.11812506947167978</v>
      </c>
      <c r="U24" s="104">
        <f t="shared" si="4"/>
        <v>0.18190597558285049</v>
      </c>
    </row>
    <row r="25" spans="17:22" x14ac:dyDescent="0.75">
      <c r="Q25" s="106" t="s">
        <v>181</v>
      </c>
      <c r="R25" s="104">
        <v>0.12213469935899202</v>
      </c>
      <c r="S25" s="104">
        <f t="shared" si="2"/>
        <v>0.13066519608877547</v>
      </c>
      <c r="T25" s="104">
        <f t="shared" si="3"/>
        <v>5.2672119080117152E-2</v>
      </c>
      <c r="U25" s="104">
        <f t="shared" si="4"/>
        <v>0.49583116997317256</v>
      </c>
    </row>
    <row r="26" spans="17:22" x14ac:dyDescent="0.75">
      <c r="Q26" s="106" t="s">
        <v>124</v>
      </c>
      <c r="R26" s="104">
        <v>7.5549807007030179E-2</v>
      </c>
      <c r="S26" s="104">
        <f t="shared" si="2"/>
        <v>4.054381442795485E-2</v>
      </c>
      <c r="T26" s="104">
        <f t="shared" si="3"/>
        <v>-1.8001172584431679E-2</v>
      </c>
      <c r="U26" s="104">
        <f t="shared" si="4"/>
        <v>0.23710394301354443</v>
      </c>
    </row>
    <row r="27" spans="17:22" x14ac:dyDescent="0.75">
      <c r="Q27" s="93" t="s">
        <v>182</v>
      </c>
      <c r="R27" s="97">
        <v>0.1112947811568521</v>
      </c>
      <c r="S27" s="97">
        <f t="shared" si="2"/>
        <v>-0.16549076074500146</v>
      </c>
      <c r="T27" s="97">
        <f t="shared" si="3"/>
        <v>-0.16886438443138885</v>
      </c>
      <c r="U27" s="97">
        <f t="shared" si="4"/>
        <v>0.11354085528922031</v>
      </c>
    </row>
    <row r="28" spans="17:22" x14ac:dyDescent="0.75">
      <c r="Q28" s="106" t="s">
        <v>183</v>
      </c>
      <c r="R28" s="104">
        <v>0.11206915419674401</v>
      </c>
      <c r="S28" s="104">
        <f t="shared" si="2"/>
        <v>0.11441291747975213</v>
      </c>
      <c r="T28" s="104">
        <f t="shared" si="3"/>
        <v>-0.17196234097125318</v>
      </c>
      <c r="U28" s="104">
        <f t="shared" si="4"/>
        <v>0.1103814868517079</v>
      </c>
    </row>
    <row r="29" spans="17:22" x14ac:dyDescent="0.75">
      <c r="Q29" s="106" t="s">
        <v>185</v>
      </c>
      <c r="R29" s="104">
        <v>0.17411725074951923</v>
      </c>
      <c r="S29" s="104">
        <f t="shared" si="2"/>
        <v>0.18629655173127313</v>
      </c>
      <c r="T29" s="104">
        <f t="shared" si="3"/>
        <v>-0.25679308959784086</v>
      </c>
      <c r="U29" s="104">
        <f t="shared" si="4"/>
        <v>7.7557917520982844E-3</v>
      </c>
    </row>
    <row r="30" spans="17:22" x14ac:dyDescent="0.75">
      <c r="Q30" s="93" t="s">
        <v>193</v>
      </c>
      <c r="R30" s="97">
        <v>0.14961341996280297</v>
      </c>
      <c r="S30" s="97">
        <f t="shared" si="2"/>
        <v>0.17168372501579898</v>
      </c>
      <c r="T30" s="97">
        <f t="shared" si="3"/>
        <v>-0.10272056349985104</v>
      </c>
      <c r="U30" s="97">
        <f t="shared" si="4"/>
        <v>0.20929982956253856</v>
      </c>
    </row>
    <row r="31" spans="17:22" ht="15.5" thickBot="1" x14ac:dyDescent="0.9">
      <c r="Q31" s="107" t="s">
        <v>180</v>
      </c>
      <c r="R31" s="108">
        <v>0.10525257864449955</v>
      </c>
      <c r="S31" s="108">
        <f t="shared" si="2"/>
        <v>0.13736383579112488</v>
      </c>
      <c r="T31" s="108">
        <f t="shared" si="3"/>
        <v>-7.2132965209889655E-2</v>
      </c>
      <c r="U31" s="108">
        <f t="shared" si="4"/>
        <v>0.25461905161744713</v>
      </c>
    </row>
    <row r="32" spans="17:22" ht="15.5" thickBot="1" x14ac:dyDescent="0.9">
      <c r="Q32" s="110" t="s">
        <v>182</v>
      </c>
      <c r="R32" s="111">
        <v>0.16634989189675609</v>
      </c>
      <c r="S32" s="111">
        <f t="shared" si="2"/>
        <v>0.18503417743422479</v>
      </c>
      <c r="T32" s="111">
        <f t="shared" si="3"/>
        <v>-0.11414050877907711</v>
      </c>
      <c r="U32" s="111">
        <f t="shared" si="4"/>
        <v>0.19237980102489383</v>
      </c>
    </row>
  </sheetData>
  <mergeCells count="12">
    <mergeCell ref="Z3:AC3"/>
    <mergeCell ref="Q16:V16"/>
    <mergeCell ref="Q17:V17"/>
    <mergeCell ref="Q20:Q21"/>
    <mergeCell ref="R20:S20"/>
    <mergeCell ref="T20:U20"/>
    <mergeCell ref="Y3:Y4"/>
    <mergeCell ref="E3:E4"/>
    <mergeCell ref="G3:J3"/>
    <mergeCell ref="K3:N3"/>
    <mergeCell ref="Q3:Q4"/>
    <mergeCell ref="S3:V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F3C21-C604-49E2-95D9-59348DEED138}">
  <dimension ref="A1:CN71"/>
  <sheetViews>
    <sheetView tabSelected="1" zoomScaleNormal="100" zoomScaleSheetLayoutView="100" workbookViewId="0">
      <pane xSplit="3" ySplit="8" topLeftCell="AZ24" activePane="bottomRight" state="frozen"/>
      <selection activeCell="P14" sqref="P14"/>
      <selection pane="topRight" activeCell="P14" sqref="P14"/>
      <selection pane="bottomLeft" activeCell="P14" sqref="P14"/>
      <selection pane="bottomRight" activeCell="C49" sqref="C49"/>
    </sheetView>
  </sheetViews>
  <sheetFormatPr defaultColWidth="3" defaultRowHeight="14.25" x14ac:dyDescent="0.65"/>
  <cols>
    <col min="1" max="1" width="3" style="28"/>
    <col min="2" max="2" width="39.453125" style="28" customWidth="1"/>
    <col min="3" max="3" width="47.5" style="52" customWidth="1"/>
    <col min="4" max="4" width="7.5" style="28" customWidth="1"/>
    <col min="5" max="47" width="7.81640625" style="28" bestFit="1" customWidth="1"/>
    <col min="48" max="48" width="12.1796875" style="28" customWidth="1"/>
    <col min="49" max="49" width="25.6328125" style="28" customWidth="1"/>
    <col min="50" max="82" width="7.81640625" style="28" bestFit="1" customWidth="1"/>
    <col min="83" max="85" width="7.81640625" style="28" customWidth="1"/>
    <col min="86" max="86" width="10.76953125" style="27" customWidth="1"/>
    <col min="87" max="87" width="7.1796875" style="27" customWidth="1"/>
    <col min="88" max="88" width="7.58984375" style="27" customWidth="1"/>
    <col min="89" max="89" width="5.1328125" style="27" customWidth="1"/>
    <col min="90" max="90" width="6.6796875" style="27" bestFit="1" customWidth="1"/>
    <col min="91" max="16384" width="3" style="28"/>
  </cols>
  <sheetData>
    <row r="1" spans="1:92" s="4" customFormat="1" ht="15" customHeight="1" x14ac:dyDescent="0.75">
      <c r="A1" s="1"/>
      <c r="B1" s="2" t="s">
        <v>0</v>
      </c>
      <c r="C1" s="3"/>
      <c r="CH1" s="5"/>
      <c r="CI1" s="5"/>
      <c r="CJ1" s="5"/>
      <c r="CK1" s="5"/>
      <c r="CL1" s="5"/>
    </row>
    <row r="2" spans="1:92" s="8" customFormat="1" ht="15" customHeight="1" x14ac:dyDescent="0.75">
      <c r="A2" s="6"/>
      <c r="B2" s="6" t="s">
        <v>1</v>
      </c>
      <c r="C2" s="7"/>
      <c r="CH2" s="9"/>
      <c r="CI2" s="9"/>
      <c r="CJ2" s="9"/>
      <c r="CK2" s="10"/>
      <c r="CL2" s="10"/>
      <c r="CM2" s="11"/>
      <c r="CN2" s="11"/>
    </row>
    <row r="3" spans="1:92" s="14" customFormat="1" ht="17.75" x14ac:dyDescent="0.75">
      <c r="A3" s="1"/>
      <c r="B3" s="12" t="s">
        <v>2</v>
      </c>
      <c r="C3" s="13"/>
      <c r="CH3" s="5"/>
      <c r="CI3" s="5"/>
      <c r="CJ3" s="5"/>
      <c r="CK3" s="5"/>
      <c r="CL3" s="5"/>
    </row>
    <row r="4" spans="1:92" s="14" customFormat="1" ht="28.15" customHeight="1" thickBot="1" x14ac:dyDescent="0.9">
      <c r="A4" s="1"/>
      <c r="B4" s="15" t="s">
        <v>3</v>
      </c>
      <c r="C4" s="13"/>
      <c r="CH4" s="5"/>
      <c r="CI4" s="5"/>
      <c r="CJ4" s="5"/>
      <c r="CK4" s="5"/>
      <c r="CL4" s="5"/>
    </row>
    <row r="5" spans="1:92" s="20" customFormat="1" ht="23.25" customHeight="1" thickTop="1" thickBot="1" x14ac:dyDescent="0.9">
      <c r="A5" s="6"/>
      <c r="B5" s="16" t="s">
        <v>4</v>
      </c>
      <c r="C5" s="17" t="s">
        <v>5</v>
      </c>
      <c r="D5" s="18"/>
      <c r="E5" s="18" t="s">
        <v>6</v>
      </c>
      <c r="F5" s="18" t="s">
        <v>7</v>
      </c>
      <c r="G5" s="18" t="s">
        <v>8</v>
      </c>
      <c r="H5" s="18" t="s">
        <v>9</v>
      </c>
      <c r="I5" s="18" t="s">
        <v>10</v>
      </c>
      <c r="J5" s="18" t="s">
        <v>11</v>
      </c>
      <c r="K5" s="18" t="s">
        <v>12</v>
      </c>
      <c r="L5" s="18" t="s">
        <v>13</v>
      </c>
      <c r="M5" s="18" t="s">
        <v>14</v>
      </c>
      <c r="N5" s="18" t="s">
        <v>15</v>
      </c>
      <c r="O5" s="18" t="s">
        <v>16</v>
      </c>
      <c r="P5" s="18" t="s">
        <v>17</v>
      </c>
      <c r="Q5" s="18" t="s">
        <v>18</v>
      </c>
      <c r="R5" s="18" t="s">
        <v>19</v>
      </c>
      <c r="S5" s="18" t="s">
        <v>20</v>
      </c>
      <c r="T5" s="18" t="s">
        <v>21</v>
      </c>
      <c r="U5" s="18" t="s">
        <v>22</v>
      </c>
      <c r="V5" s="18" t="s">
        <v>23</v>
      </c>
      <c r="W5" s="18" t="s">
        <v>24</v>
      </c>
      <c r="X5" s="18" t="s">
        <v>25</v>
      </c>
      <c r="Y5" s="18" t="s">
        <v>26</v>
      </c>
      <c r="Z5" s="18" t="s">
        <v>27</v>
      </c>
      <c r="AA5" s="18" t="s">
        <v>28</v>
      </c>
      <c r="AB5" s="18" t="s">
        <v>29</v>
      </c>
      <c r="AC5" s="18" t="s">
        <v>30</v>
      </c>
      <c r="AD5" s="18" t="s">
        <v>31</v>
      </c>
      <c r="AE5" s="18" t="s">
        <v>32</v>
      </c>
      <c r="AF5" s="18" t="s">
        <v>33</v>
      </c>
      <c r="AG5" s="18" t="s">
        <v>34</v>
      </c>
      <c r="AH5" s="18" t="s">
        <v>35</v>
      </c>
      <c r="AI5" s="18" t="s">
        <v>36</v>
      </c>
      <c r="AJ5" s="18" t="s">
        <v>37</v>
      </c>
      <c r="AK5" s="18" t="s">
        <v>38</v>
      </c>
      <c r="AL5" s="18" t="s">
        <v>39</v>
      </c>
      <c r="AM5" s="18" t="s">
        <v>40</v>
      </c>
      <c r="AN5" s="18" t="s">
        <v>41</v>
      </c>
      <c r="AO5" s="18" t="s">
        <v>42</v>
      </c>
      <c r="AP5" s="18" t="s">
        <v>43</v>
      </c>
      <c r="AQ5" s="18" t="s">
        <v>44</v>
      </c>
      <c r="AR5" s="18" t="s">
        <v>45</v>
      </c>
      <c r="AS5" s="18" t="s">
        <v>46</v>
      </c>
      <c r="AT5" s="18" t="s">
        <v>47</v>
      </c>
      <c r="AU5" s="18" t="s">
        <v>48</v>
      </c>
      <c r="AV5" s="18" t="s">
        <v>49</v>
      </c>
      <c r="AW5" s="18" t="s">
        <v>50</v>
      </c>
      <c r="AX5" s="18" t="s">
        <v>51</v>
      </c>
      <c r="AY5" s="18" t="s">
        <v>52</v>
      </c>
      <c r="AZ5" s="18" t="s">
        <v>53</v>
      </c>
      <c r="BA5" s="18" t="s">
        <v>54</v>
      </c>
      <c r="BB5" s="18" t="s">
        <v>55</v>
      </c>
      <c r="BC5" s="18" t="s">
        <v>56</v>
      </c>
      <c r="BD5" s="18" t="s">
        <v>57</v>
      </c>
      <c r="BE5" s="18" t="s">
        <v>58</v>
      </c>
      <c r="BF5" s="18" t="s">
        <v>59</v>
      </c>
      <c r="BG5" s="18" t="s">
        <v>60</v>
      </c>
      <c r="BH5" s="18" t="s">
        <v>61</v>
      </c>
      <c r="BI5" s="18" t="s">
        <v>62</v>
      </c>
      <c r="BJ5" s="18" t="s">
        <v>63</v>
      </c>
      <c r="BK5" s="18" t="s">
        <v>64</v>
      </c>
      <c r="BL5" s="18" t="s">
        <v>65</v>
      </c>
      <c r="BM5" s="18" t="s">
        <v>66</v>
      </c>
      <c r="BN5" s="18" t="s">
        <v>67</v>
      </c>
      <c r="BO5" s="18" t="s">
        <v>68</v>
      </c>
      <c r="BP5" s="18" t="s">
        <v>69</v>
      </c>
      <c r="BQ5" s="18" t="s">
        <v>70</v>
      </c>
      <c r="BR5" s="18" t="s">
        <v>71</v>
      </c>
      <c r="BS5" s="18" t="s">
        <v>72</v>
      </c>
      <c r="BT5" s="18" t="s">
        <v>73</v>
      </c>
      <c r="BU5" s="18" t="s">
        <v>74</v>
      </c>
      <c r="BV5" s="18" t="s">
        <v>75</v>
      </c>
      <c r="BW5" s="18" t="s">
        <v>76</v>
      </c>
      <c r="BX5" s="18" t="s">
        <v>77</v>
      </c>
      <c r="BY5" s="18" t="s">
        <v>78</v>
      </c>
      <c r="BZ5" s="18" t="s">
        <v>79</v>
      </c>
      <c r="CA5" s="18" t="s">
        <v>80</v>
      </c>
      <c r="CB5" s="18" t="s">
        <v>81</v>
      </c>
      <c r="CC5" s="18" t="s">
        <v>82</v>
      </c>
      <c r="CD5" s="18" t="s">
        <v>83</v>
      </c>
      <c r="CE5" s="18" t="s">
        <v>227</v>
      </c>
      <c r="CF5" s="18">
        <v>2024</v>
      </c>
      <c r="CG5" s="18"/>
      <c r="CH5" s="18">
        <v>2025</v>
      </c>
      <c r="CI5" s="19"/>
      <c r="CJ5" s="19"/>
      <c r="CK5" s="19"/>
      <c r="CL5" s="19"/>
    </row>
    <row r="6" spans="1:92" s="20" customFormat="1" ht="14.75" customHeight="1" thickTop="1" x14ac:dyDescent="0.75">
      <c r="A6" s="1"/>
      <c r="B6" s="21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171" t="s">
        <v>84</v>
      </c>
      <c r="CG6" s="171"/>
      <c r="CH6" s="171"/>
      <c r="CI6" s="19"/>
      <c r="CJ6" s="19"/>
      <c r="CK6" s="19"/>
      <c r="CL6" s="19"/>
    </row>
    <row r="7" spans="1:92" ht="14.25" customHeight="1" x14ac:dyDescent="0.75">
      <c r="A7" s="1"/>
      <c r="B7" s="23" t="s">
        <v>230</v>
      </c>
      <c r="C7" s="24"/>
      <c r="D7" s="25"/>
      <c r="E7" s="25"/>
      <c r="F7" s="25"/>
      <c r="G7" s="25"/>
      <c r="H7" s="25"/>
      <c r="I7" s="25">
        <v>0.13400000000000001</v>
      </c>
      <c r="J7" s="25">
        <v>7.6999999999999999E-2</v>
      </c>
      <c r="K7" s="25">
        <v>3.6999999999999998E-2</v>
      </c>
      <c r="L7" s="25">
        <v>6.6000000000000003E-2</v>
      </c>
      <c r="M7" s="25">
        <v>9.4E-2</v>
      </c>
      <c r="N7" s="25">
        <v>0.13400000000000001</v>
      </c>
      <c r="O7" s="25">
        <v>0.11799999999999999</v>
      </c>
      <c r="P7" s="25">
        <v>0.1</v>
      </c>
      <c r="Q7" s="25">
        <v>0.122</v>
      </c>
      <c r="R7" s="25">
        <v>0.05</v>
      </c>
      <c r="S7" s="25">
        <v>3.5000000000000003E-2</v>
      </c>
      <c r="T7" s="25">
        <v>4.7E-2</v>
      </c>
      <c r="U7" s="25">
        <v>5.1999999999999998E-2</v>
      </c>
      <c r="V7" s="25">
        <v>6.4000000000000001E-2</v>
      </c>
      <c r="W7" s="25">
        <v>0.08</v>
      </c>
      <c r="X7" s="25">
        <v>9.7000000000000003E-2</v>
      </c>
      <c r="Y7" s="25">
        <v>8.4000000000000005E-2</v>
      </c>
      <c r="Z7" s="25">
        <v>5.8999999999999997E-2</v>
      </c>
      <c r="AA7" s="25">
        <v>0.10299999999999999</v>
      </c>
      <c r="AB7" s="25">
        <v>7.0999999999999994E-2</v>
      </c>
      <c r="AC7" s="25">
        <v>8.4000000000000005E-2</v>
      </c>
      <c r="AD7" s="25">
        <v>0.107</v>
      </c>
      <c r="AE7" s="25">
        <v>7.1999999999999995E-2</v>
      </c>
      <c r="AF7" s="25">
        <v>8.5000000000000006E-2</v>
      </c>
      <c r="AG7" s="25">
        <v>4.7E-2</v>
      </c>
      <c r="AH7" s="25">
        <v>0.08</v>
      </c>
      <c r="AI7" s="25">
        <v>2.5999999999999999E-2</v>
      </c>
      <c r="AJ7" s="25">
        <v>3.7999999999999999E-2</v>
      </c>
      <c r="AK7" s="25">
        <v>0.05</v>
      </c>
      <c r="AL7" s="25">
        <v>6.2E-2</v>
      </c>
      <c r="AM7" s="25">
        <v>-3.5999999999999997E-2</v>
      </c>
      <c r="AN7" s="25">
        <v>0.14599999999999999</v>
      </c>
      <c r="AO7" s="25">
        <v>8.7999999999999995E-2</v>
      </c>
      <c r="AP7" s="25">
        <v>9.5000000000000001E-2</v>
      </c>
      <c r="AQ7" s="25">
        <v>8.5000000000000006E-2</v>
      </c>
      <c r="AR7" s="25">
        <v>8.6999999999999994E-2</v>
      </c>
      <c r="AS7" s="25">
        <v>8.5000000000000006E-2</v>
      </c>
      <c r="AT7" s="25">
        <v>7.0000000000000007E-2</v>
      </c>
      <c r="AU7" s="25">
        <v>4.7E-2</v>
      </c>
      <c r="AV7" s="25">
        <v>2.8000000000000001E-2</v>
      </c>
      <c r="AW7" s="25">
        <v>2.1000000000000001E-2</v>
      </c>
      <c r="AX7" s="25">
        <v>5.0999999999999997E-2</v>
      </c>
      <c r="AY7" s="25">
        <v>4.3999999999999997E-2</v>
      </c>
      <c r="AZ7" s="25">
        <v>7.0000000000000007E-2</v>
      </c>
      <c r="BA7" s="25">
        <v>8.2000000000000003E-2</v>
      </c>
      <c r="BB7" s="25">
        <v>6.8000000000000005E-2</v>
      </c>
      <c r="BC7" s="25">
        <v>7.8E-2</v>
      </c>
      <c r="BD7" s="25">
        <v>9.2999999999999999E-2</v>
      </c>
      <c r="BE7" s="25">
        <v>6.3E-2</v>
      </c>
      <c r="BF7" s="25">
        <v>0.13200000000000001</v>
      </c>
      <c r="BG7" s="25">
        <v>0.11799999999999999</v>
      </c>
      <c r="BH7" s="25">
        <v>6.4000000000000001E-2</v>
      </c>
      <c r="BI7" s="25">
        <v>4.3999999999999997E-2</v>
      </c>
      <c r="BJ7" s="25">
        <v>-0.112</v>
      </c>
      <c r="BK7" s="25">
        <v>-3.6999999999999998E-2</v>
      </c>
      <c r="BL7" s="25">
        <v>-1E-3</v>
      </c>
      <c r="BM7" s="25">
        <v>2.4E-2</v>
      </c>
      <c r="BN7" s="25">
        <v>0.17899999999999999</v>
      </c>
      <c r="BO7" s="25">
        <v>0.06</v>
      </c>
      <c r="BP7" s="25">
        <v>7.5999999999999998E-2</v>
      </c>
      <c r="BQ7" s="25">
        <v>9.9000000000000005E-2</v>
      </c>
      <c r="BR7" s="25">
        <v>0.11600000000000001</v>
      </c>
      <c r="BS7" s="25">
        <v>0.115</v>
      </c>
      <c r="BT7" s="25">
        <v>6.7000000000000004E-2</v>
      </c>
      <c r="BU7" s="25">
        <v>7.6999999999999999E-2</v>
      </c>
      <c r="BV7" s="25">
        <v>2.5999999999999999E-2</v>
      </c>
      <c r="BW7" s="25">
        <v>0.106</v>
      </c>
      <c r="BX7" s="25">
        <v>0.13500000000000001</v>
      </c>
      <c r="BY7" s="25">
        <v>8.1000000000000003E-2</v>
      </c>
      <c r="BZ7" s="25">
        <v>0.10199999999999999</v>
      </c>
      <c r="CA7" s="25">
        <v>6.8000000000000005E-2</v>
      </c>
      <c r="CB7" s="25">
        <v>4.1000000000000002E-2</v>
      </c>
      <c r="CC7" s="25">
        <v>6.5000000000000002E-2</v>
      </c>
      <c r="CD7" s="25">
        <v>7.8E-2</v>
      </c>
      <c r="CE7" s="25">
        <v>0.11799999999999999</v>
      </c>
      <c r="CF7" s="25">
        <f>AVERAGE(BY7:BZ7)</f>
        <v>9.1499999999999998E-2</v>
      </c>
      <c r="CG7" s="25">
        <f>AVERAGE(CA7:CB7)</f>
        <v>5.4500000000000007E-2</v>
      </c>
      <c r="CH7" s="26">
        <f>AVERAGE(CC7:CD7)</f>
        <v>7.1500000000000008E-2</v>
      </c>
      <c r="CJ7" s="19"/>
      <c r="CK7" s="19"/>
      <c r="CL7" s="19"/>
    </row>
    <row r="8" spans="1:92" s="20" customFormat="1" ht="17.75" customHeight="1" x14ac:dyDescent="0.75">
      <c r="A8" s="1"/>
      <c r="B8" s="21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J8" s="19"/>
      <c r="CK8" s="19"/>
      <c r="CL8" s="19"/>
    </row>
    <row r="9" spans="1:92" s="31" customFormat="1" ht="14.25" customHeight="1" x14ac:dyDescent="0.75">
      <c r="A9" s="29"/>
      <c r="B9" s="30" t="s">
        <v>86</v>
      </c>
      <c r="C9" s="24" t="s">
        <v>87</v>
      </c>
      <c r="D9" s="30"/>
      <c r="E9" s="30"/>
      <c r="F9" s="30"/>
      <c r="G9" s="30"/>
      <c r="H9" s="30"/>
      <c r="I9" s="30">
        <v>7.0000000000000007E-2</v>
      </c>
      <c r="J9" s="30">
        <v>7.0000000000000007E-2</v>
      </c>
      <c r="K9" s="30">
        <v>-0.01</v>
      </c>
      <c r="L9" s="30">
        <v>-0.01</v>
      </c>
      <c r="M9" s="30">
        <v>0.09</v>
      </c>
      <c r="N9" s="30">
        <v>0.1</v>
      </c>
      <c r="O9" s="30">
        <v>0.04</v>
      </c>
      <c r="P9" s="30">
        <v>0.04</v>
      </c>
      <c r="Q9" s="30">
        <v>0.08</v>
      </c>
      <c r="R9" s="30">
        <v>7.0000000000000007E-2</v>
      </c>
      <c r="S9" s="30">
        <v>0.08</v>
      </c>
      <c r="T9" s="30">
        <v>0.08</v>
      </c>
      <c r="U9" s="30">
        <v>0.04</v>
      </c>
      <c r="V9" s="30">
        <v>0.04</v>
      </c>
      <c r="W9" s="30">
        <v>0.06</v>
      </c>
      <c r="X9" s="30">
        <v>0.06</v>
      </c>
      <c r="Y9" s="30">
        <v>0.05</v>
      </c>
      <c r="Z9" s="30">
        <v>0.04</v>
      </c>
      <c r="AA9" s="30">
        <v>0.06</v>
      </c>
      <c r="AB9" s="30">
        <v>0.03</v>
      </c>
      <c r="AC9" s="30">
        <v>7.0000000000000007E-2</v>
      </c>
      <c r="AD9" s="30">
        <v>0.08</v>
      </c>
      <c r="AE9" s="30">
        <v>0.03</v>
      </c>
      <c r="AF9" s="30">
        <v>0.1</v>
      </c>
      <c r="AG9" s="30">
        <v>0.06</v>
      </c>
      <c r="AH9" s="30">
        <v>7.0000000000000007E-2</v>
      </c>
      <c r="AI9" s="30">
        <v>0.01</v>
      </c>
      <c r="AJ9" s="30">
        <v>-0.01</v>
      </c>
      <c r="AK9" s="30">
        <v>0.02</v>
      </c>
      <c r="AL9" s="30">
        <v>0.11</v>
      </c>
      <c r="AM9" s="30">
        <v>-0.36</v>
      </c>
      <c r="AN9" s="30">
        <v>0.44</v>
      </c>
      <c r="AO9" s="30">
        <v>7.0000000000000007E-2</v>
      </c>
      <c r="AP9" s="30">
        <v>0.06</v>
      </c>
      <c r="AQ9" s="30">
        <v>0.05</v>
      </c>
      <c r="AR9" s="30">
        <v>0.02</v>
      </c>
      <c r="AS9" s="30">
        <v>0.01</v>
      </c>
      <c r="AT9" s="30">
        <v>0</v>
      </c>
      <c r="AU9" s="30">
        <v>0.06</v>
      </c>
      <c r="AV9" s="30">
        <v>0.04</v>
      </c>
      <c r="AW9" s="30">
        <v>0.08</v>
      </c>
      <c r="AX9" s="30">
        <v>0.16</v>
      </c>
      <c r="AY9" s="30">
        <v>-0.06</v>
      </c>
      <c r="AZ9" s="30">
        <v>0.08</v>
      </c>
      <c r="BA9" s="30">
        <v>0.03</v>
      </c>
      <c r="BB9" s="30">
        <v>0.04</v>
      </c>
      <c r="BC9" s="30">
        <v>7.0000000000000007E-2</v>
      </c>
      <c r="BD9" s="30">
        <v>0.05</v>
      </c>
      <c r="BE9" s="30">
        <v>0.04</v>
      </c>
      <c r="BF9" s="30">
        <v>0.09</v>
      </c>
      <c r="BG9" s="30">
        <v>0.09</v>
      </c>
      <c r="BH9" s="30">
        <v>-0.01</v>
      </c>
      <c r="BI9" s="30">
        <v>0.02</v>
      </c>
      <c r="BJ9" s="30">
        <v>0.02</v>
      </c>
      <c r="BK9" s="30">
        <v>7.0000000000000007E-2</v>
      </c>
      <c r="BL9" s="30">
        <v>0.05</v>
      </c>
      <c r="BM9" s="30">
        <v>0.02</v>
      </c>
      <c r="BN9" s="30">
        <v>0.04</v>
      </c>
      <c r="BO9" s="30">
        <v>0.09</v>
      </c>
      <c r="BP9" s="30">
        <v>0.03</v>
      </c>
      <c r="BQ9" s="30">
        <v>-0.01</v>
      </c>
      <c r="BR9" s="30">
        <v>0.01</v>
      </c>
      <c r="BS9" s="30">
        <v>0.02</v>
      </c>
      <c r="BT9" s="30">
        <v>0</v>
      </c>
      <c r="BU9" s="30">
        <v>0.04</v>
      </c>
      <c r="BV9" s="30">
        <v>0.02</v>
      </c>
      <c r="BW9" s="30">
        <v>0.09</v>
      </c>
      <c r="BX9" s="30">
        <v>7.0000000000000007E-2</v>
      </c>
      <c r="BY9" s="30">
        <v>0.06</v>
      </c>
      <c r="BZ9" s="30">
        <v>0.04</v>
      </c>
      <c r="CA9" s="30">
        <v>0.03</v>
      </c>
      <c r="CB9" s="30">
        <v>0.01</v>
      </c>
      <c r="CC9" s="30">
        <v>0.04</v>
      </c>
      <c r="CD9" s="30">
        <v>0.08</v>
      </c>
      <c r="CE9" s="30">
        <v>0.1</v>
      </c>
      <c r="CF9" s="30">
        <f t="shared" ref="CF9:CF44" si="0">AVERAGE(BY9:BZ9)</f>
        <v>0.05</v>
      </c>
      <c r="CG9" s="30">
        <f t="shared" ref="CG9:CG44" si="1">AVERAGE(CA9:CB9)</f>
        <v>0.02</v>
      </c>
      <c r="CH9" s="30">
        <f t="shared" ref="CH9:CH44" si="2">AVERAGE(CC9:CD9)</f>
        <v>0.06</v>
      </c>
      <c r="CJ9" s="19"/>
      <c r="CK9" s="19"/>
      <c r="CL9" s="19"/>
    </row>
    <row r="10" spans="1:92" ht="13.5" customHeight="1" x14ac:dyDescent="0.75">
      <c r="A10" s="14"/>
      <c r="B10" s="4" t="s">
        <v>88</v>
      </c>
      <c r="C10" s="3" t="s">
        <v>89</v>
      </c>
      <c r="D10" s="32"/>
      <c r="E10" s="32"/>
      <c r="F10" s="32"/>
      <c r="G10" s="32"/>
      <c r="H10" s="32"/>
      <c r="I10" s="32">
        <v>0.1</v>
      </c>
      <c r="J10" s="32">
        <v>0.1</v>
      </c>
      <c r="K10" s="32">
        <v>-0.01</v>
      </c>
      <c r="L10" s="32">
        <v>-0.01</v>
      </c>
      <c r="M10" s="32">
        <v>0.09</v>
      </c>
      <c r="N10" s="32">
        <v>0.09</v>
      </c>
      <c r="O10" s="32">
        <v>0.03</v>
      </c>
      <c r="P10" s="32">
        <v>0.03</v>
      </c>
      <c r="Q10" s="32">
        <v>0.09</v>
      </c>
      <c r="R10" s="32">
        <v>0.09</v>
      </c>
      <c r="S10" s="32">
        <v>0.1</v>
      </c>
      <c r="T10" s="32">
        <v>0.1</v>
      </c>
      <c r="U10" s="32">
        <v>0.04</v>
      </c>
      <c r="V10" s="32">
        <v>0.04</v>
      </c>
      <c r="W10" s="32">
        <v>0.06</v>
      </c>
      <c r="X10" s="32">
        <v>0.06</v>
      </c>
      <c r="Y10" s="32">
        <v>7.0000000000000007E-2</v>
      </c>
      <c r="Z10" s="32">
        <v>7.0000000000000007E-2</v>
      </c>
      <c r="AA10" s="32">
        <v>0</v>
      </c>
      <c r="AB10" s="32">
        <v>0</v>
      </c>
      <c r="AC10" s="32">
        <v>0.11</v>
      </c>
      <c r="AD10" s="32">
        <v>0.11</v>
      </c>
      <c r="AE10" s="32">
        <v>0.06</v>
      </c>
      <c r="AF10" s="32">
        <v>0.06</v>
      </c>
      <c r="AG10" s="32">
        <v>7.0000000000000007E-2</v>
      </c>
      <c r="AH10" s="32">
        <v>7.0000000000000007E-2</v>
      </c>
      <c r="AI10" s="32">
        <v>0.01</v>
      </c>
      <c r="AJ10" s="32">
        <v>0.01</v>
      </c>
      <c r="AK10" s="32">
        <v>-0.01</v>
      </c>
      <c r="AL10" s="32">
        <v>0.14000000000000001</v>
      </c>
      <c r="AM10" s="32">
        <v>-0.62</v>
      </c>
      <c r="AN10" s="32">
        <v>0.72</v>
      </c>
      <c r="AO10" s="32">
        <v>7.0000000000000007E-2</v>
      </c>
      <c r="AP10" s="32">
        <v>0.05</v>
      </c>
      <c r="AQ10" s="32">
        <v>0</v>
      </c>
      <c r="AR10" s="32">
        <v>0</v>
      </c>
      <c r="AS10" s="32">
        <v>-0.05</v>
      </c>
      <c r="AT10" s="32">
        <v>0</v>
      </c>
      <c r="AU10" s="32">
        <v>0.15</v>
      </c>
      <c r="AV10" s="32">
        <v>0.04</v>
      </c>
      <c r="AW10" s="32">
        <v>0.13</v>
      </c>
      <c r="AX10" s="32">
        <v>0.2</v>
      </c>
      <c r="AY10" s="32">
        <v>-0.2</v>
      </c>
      <c r="AZ10" s="32">
        <v>0.08</v>
      </c>
      <c r="BA10" s="32">
        <v>0</v>
      </c>
      <c r="BB10" s="32">
        <v>0.03</v>
      </c>
      <c r="BC10" s="32">
        <v>0.09</v>
      </c>
      <c r="BD10" s="32">
        <v>0.05</v>
      </c>
      <c r="BE10" s="32">
        <v>0.04</v>
      </c>
      <c r="BF10" s="32">
        <v>0.09</v>
      </c>
      <c r="BG10" s="32">
        <v>0.05</v>
      </c>
      <c r="BH10" s="32">
        <v>-0.04</v>
      </c>
      <c r="BI10" s="32">
        <v>0.02</v>
      </c>
      <c r="BJ10" s="32">
        <v>0.03</v>
      </c>
      <c r="BK10" s="32">
        <v>0.18</v>
      </c>
      <c r="BL10" s="32">
        <v>0.05</v>
      </c>
      <c r="BM10" s="32">
        <v>0</v>
      </c>
      <c r="BN10" s="32">
        <v>0.01</v>
      </c>
      <c r="BO10" s="32">
        <v>0.03</v>
      </c>
      <c r="BP10" s="32">
        <v>0</v>
      </c>
      <c r="BQ10" s="32">
        <v>-0.01</v>
      </c>
      <c r="BR10" s="32">
        <v>-0.04</v>
      </c>
      <c r="BS10" s="32">
        <v>0.04</v>
      </c>
      <c r="BT10" s="32">
        <v>-0.03</v>
      </c>
      <c r="BU10" s="32">
        <v>0.03</v>
      </c>
      <c r="BV10" s="32">
        <v>0.02</v>
      </c>
      <c r="BW10" s="32">
        <v>0.19</v>
      </c>
      <c r="BX10" s="32">
        <v>7.0000000000000007E-2</v>
      </c>
      <c r="BY10" s="32">
        <v>0.04</v>
      </c>
      <c r="BZ10" s="32">
        <v>0.02</v>
      </c>
      <c r="CA10" s="32">
        <v>-0.1</v>
      </c>
      <c r="CB10" s="32">
        <v>0</v>
      </c>
      <c r="CC10" s="32">
        <v>0.02</v>
      </c>
      <c r="CD10" s="32">
        <v>0.03</v>
      </c>
      <c r="CE10" s="32">
        <v>0.04</v>
      </c>
      <c r="CF10" s="32">
        <f t="shared" si="0"/>
        <v>0.03</v>
      </c>
      <c r="CG10" s="32">
        <f t="shared" si="1"/>
        <v>-0.05</v>
      </c>
      <c r="CH10" s="32">
        <f t="shared" si="2"/>
        <v>2.5000000000000001E-2</v>
      </c>
    </row>
    <row r="11" spans="1:92" ht="13.5" customHeight="1" x14ac:dyDescent="0.75">
      <c r="A11" s="14"/>
      <c r="B11" s="4" t="s">
        <v>90</v>
      </c>
      <c r="C11" s="3" t="s">
        <v>91</v>
      </c>
      <c r="D11" s="32"/>
      <c r="E11" s="32"/>
      <c r="F11" s="32"/>
      <c r="G11" s="32"/>
      <c r="H11" s="32"/>
      <c r="I11" s="32">
        <v>-0.25</v>
      </c>
      <c r="J11" s="32">
        <v>-0.38</v>
      </c>
      <c r="K11" s="32">
        <v>-0.19</v>
      </c>
      <c r="L11" s="32">
        <v>-0.33</v>
      </c>
      <c r="M11" s="32">
        <v>0.18</v>
      </c>
      <c r="N11" s="32">
        <v>0.61</v>
      </c>
      <c r="O11" s="32">
        <v>0.23</v>
      </c>
      <c r="P11" s="32">
        <v>0.18</v>
      </c>
      <c r="Q11" s="32">
        <v>-0.15</v>
      </c>
      <c r="R11" s="32">
        <v>-0.23</v>
      </c>
      <c r="S11" s="32">
        <v>-0.11</v>
      </c>
      <c r="T11" s="32">
        <v>-0.11</v>
      </c>
      <c r="U11" s="32">
        <v>0.16</v>
      </c>
      <c r="V11" s="32">
        <v>0.09</v>
      </c>
      <c r="W11" s="32">
        <v>0.23</v>
      </c>
      <c r="X11" s="32">
        <v>0.08</v>
      </c>
      <c r="Y11" s="32">
        <v>-0.24</v>
      </c>
      <c r="Z11" s="32">
        <v>-0.31</v>
      </c>
      <c r="AA11" s="32">
        <v>0.4</v>
      </c>
      <c r="AB11" s="32">
        <v>0.16</v>
      </c>
      <c r="AC11" s="32">
        <v>-0.19</v>
      </c>
      <c r="AD11" s="32">
        <v>-0.04</v>
      </c>
      <c r="AE11" s="32">
        <v>-0.13</v>
      </c>
      <c r="AF11" s="32">
        <v>0.67</v>
      </c>
      <c r="AG11" s="32">
        <v>0.2</v>
      </c>
      <c r="AH11" s="32">
        <v>0.33</v>
      </c>
      <c r="AI11" s="32">
        <v>-0.11</v>
      </c>
      <c r="AJ11" s="32">
        <v>-0.21</v>
      </c>
      <c r="AK11" s="32">
        <v>0.03</v>
      </c>
      <c r="AL11" s="32">
        <v>-0.05</v>
      </c>
      <c r="AM11" s="32">
        <v>0.03</v>
      </c>
      <c r="AN11" s="32">
        <v>-7.0000000000000007E-2</v>
      </c>
      <c r="AO11" s="32">
        <v>0.08</v>
      </c>
      <c r="AP11" s="32">
        <v>0.26</v>
      </c>
      <c r="AQ11" s="32">
        <v>0.17</v>
      </c>
      <c r="AR11" s="32">
        <v>7.0000000000000007E-2</v>
      </c>
      <c r="AS11" s="32">
        <v>0.7</v>
      </c>
      <c r="AT11" s="32">
        <v>-0.22</v>
      </c>
      <c r="AU11" s="32">
        <v>-0.1</v>
      </c>
      <c r="AV11" s="32">
        <v>0.02</v>
      </c>
      <c r="AW11" s="32">
        <v>-0.24</v>
      </c>
      <c r="AX11" s="32">
        <v>0.25</v>
      </c>
      <c r="AY11" s="32">
        <v>-7.0000000000000007E-2</v>
      </c>
      <c r="AZ11" s="32">
        <v>0.17</v>
      </c>
      <c r="BA11" s="32">
        <v>0.4</v>
      </c>
      <c r="BB11" s="32">
        <v>-0.01</v>
      </c>
      <c r="BC11" s="32">
        <v>0.05</v>
      </c>
      <c r="BD11" s="32">
        <v>-0.03</v>
      </c>
      <c r="BE11" s="32">
        <v>-7.0000000000000007E-2</v>
      </c>
      <c r="BF11" s="32">
        <v>0.08</v>
      </c>
      <c r="BG11" s="32">
        <v>0.23</v>
      </c>
      <c r="BH11" s="32">
        <v>-0.04</v>
      </c>
      <c r="BI11" s="32">
        <v>-0.16</v>
      </c>
      <c r="BJ11" s="32">
        <v>-0.19</v>
      </c>
      <c r="BK11" s="32">
        <v>-0.08</v>
      </c>
      <c r="BL11" s="32">
        <v>0</v>
      </c>
      <c r="BM11" s="32">
        <v>7.0000000000000007E-2</v>
      </c>
      <c r="BN11" s="32">
        <v>0.43</v>
      </c>
      <c r="BO11" s="32">
        <v>0.04</v>
      </c>
      <c r="BP11" s="32">
        <v>0.18</v>
      </c>
      <c r="BQ11" s="32">
        <v>-0.25</v>
      </c>
      <c r="BR11" s="32">
        <v>0.08</v>
      </c>
      <c r="BS11" s="32">
        <v>-0.04</v>
      </c>
      <c r="BT11" s="32">
        <v>0.02</v>
      </c>
      <c r="BU11" s="32">
        <v>0.21</v>
      </c>
      <c r="BV11" s="32">
        <v>-0.01</v>
      </c>
      <c r="BW11" s="32">
        <v>-0.12</v>
      </c>
      <c r="BX11" s="32">
        <v>0</v>
      </c>
      <c r="BY11" s="32">
        <v>0.1</v>
      </c>
      <c r="BZ11" s="32">
        <v>-0.03</v>
      </c>
      <c r="CA11" s="32">
        <v>0.17</v>
      </c>
      <c r="CB11" s="32">
        <v>-0.09</v>
      </c>
      <c r="CC11" s="32">
        <v>0.01</v>
      </c>
      <c r="CD11" s="32">
        <v>0.42</v>
      </c>
      <c r="CE11" s="32">
        <v>0.35</v>
      </c>
      <c r="CF11" s="32">
        <f t="shared" si="0"/>
        <v>3.5000000000000003E-2</v>
      </c>
      <c r="CG11" s="32">
        <f t="shared" si="1"/>
        <v>4.0000000000000008E-2</v>
      </c>
      <c r="CH11" s="32">
        <f t="shared" si="2"/>
        <v>0.215</v>
      </c>
    </row>
    <row r="12" spans="1:92" ht="13.5" customHeight="1" x14ac:dyDescent="0.75">
      <c r="A12" s="14"/>
      <c r="B12" s="4" t="s">
        <v>92</v>
      </c>
      <c r="C12" s="3" t="s">
        <v>93</v>
      </c>
      <c r="D12" s="32"/>
      <c r="E12" s="32"/>
      <c r="F12" s="32"/>
      <c r="G12" s="32"/>
      <c r="H12" s="32"/>
      <c r="I12" s="32">
        <v>0.02</v>
      </c>
      <c r="J12" s="32">
        <v>0.03</v>
      </c>
      <c r="K12" s="32">
        <v>0.03</v>
      </c>
      <c r="L12" s="32">
        <v>0.03</v>
      </c>
      <c r="M12" s="32">
        <v>0.03</v>
      </c>
      <c r="N12" s="32">
        <v>0.03</v>
      </c>
      <c r="O12" s="32">
        <v>0.03</v>
      </c>
      <c r="P12" s="32">
        <v>0.03</v>
      </c>
      <c r="Q12" s="32">
        <v>0.03</v>
      </c>
      <c r="R12" s="32">
        <v>0.03</v>
      </c>
      <c r="S12" s="32">
        <v>0.03</v>
      </c>
      <c r="T12" s="32">
        <v>0.04</v>
      </c>
      <c r="U12" s="32">
        <v>0.04</v>
      </c>
      <c r="V12" s="32">
        <v>0.04</v>
      </c>
      <c r="W12" s="32">
        <v>0.05</v>
      </c>
      <c r="X12" s="32">
        <v>0.05</v>
      </c>
      <c r="Y12" s="32">
        <v>0.02</v>
      </c>
      <c r="Z12" s="32">
        <v>0.03</v>
      </c>
      <c r="AA12" s="32">
        <v>0.04</v>
      </c>
      <c r="AB12" s="32">
        <v>0.03</v>
      </c>
      <c r="AC12" s="32">
        <v>0.06</v>
      </c>
      <c r="AD12" s="32">
        <v>7.0000000000000007E-2</v>
      </c>
      <c r="AE12" s="32">
        <v>0.05</v>
      </c>
      <c r="AF12" s="32">
        <v>0.06</v>
      </c>
      <c r="AG12" s="32">
        <v>0.06</v>
      </c>
      <c r="AH12" s="32">
        <v>0.05</v>
      </c>
      <c r="AI12" s="32">
        <v>0.08</v>
      </c>
      <c r="AJ12" s="32">
        <v>7.0000000000000007E-2</v>
      </c>
      <c r="AK12" s="32">
        <v>7.0000000000000007E-2</v>
      </c>
      <c r="AL12" s="32">
        <v>0.08</v>
      </c>
      <c r="AM12" s="32">
        <v>0.09</v>
      </c>
      <c r="AN12" s="32">
        <v>0.09</v>
      </c>
      <c r="AO12" s="32">
        <v>0.1</v>
      </c>
      <c r="AP12" s="32">
        <v>0.09</v>
      </c>
      <c r="AQ12" s="32">
        <v>0.09</v>
      </c>
      <c r="AR12" s="32">
        <v>0.09</v>
      </c>
      <c r="AS12" s="32">
        <v>0.1</v>
      </c>
      <c r="AT12" s="32">
        <v>0.1</v>
      </c>
      <c r="AU12" s="32">
        <v>0.1</v>
      </c>
      <c r="AV12" s="32">
        <v>0.09</v>
      </c>
      <c r="AW12" s="32">
        <v>0.09</v>
      </c>
      <c r="AX12" s="32">
        <v>0.09</v>
      </c>
      <c r="AY12" s="32">
        <v>0.09</v>
      </c>
      <c r="AZ12" s="32">
        <v>0.09</v>
      </c>
      <c r="BA12" s="32">
        <v>0.1</v>
      </c>
      <c r="BB12" s="32">
        <v>0.11</v>
      </c>
      <c r="BC12" s="32">
        <v>0.11</v>
      </c>
      <c r="BD12" s="32">
        <v>0.12</v>
      </c>
      <c r="BE12" s="32">
        <v>0.12</v>
      </c>
      <c r="BF12" s="32">
        <v>0.11</v>
      </c>
      <c r="BG12" s="32">
        <v>0.11</v>
      </c>
      <c r="BH12" s="32">
        <v>0.11</v>
      </c>
      <c r="BI12" s="32">
        <v>0.08</v>
      </c>
      <c r="BJ12" s="32">
        <v>0.08</v>
      </c>
      <c r="BK12" s="32">
        <v>0.08</v>
      </c>
      <c r="BL12" s="32">
        <v>0.09</v>
      </c>
      <c r="BM12" s="32">
        <v>0.09</v>
      </c>
      <c r="BN12" s="32">
        <v>0.03</v>
      </c>
      <c r="BO12" s="32">
        <v>0.12</v>
      </c>
      <c r="BP12" s="32">
        <v>0</v>
      </c>
      <c r="BQ12" s="32">
        <v>7.0000000000000007E-2</v>
      </c>
      <c r="BR12" s="32">
        <v>0.16</v>
      </c>
      <c r="BS12" s="32">
        <v>-0.03</v>
      </c>
      <c r="BT12" s="32">
        <v>0.09</v>
      </c>
      <c r="BU12" s="32">
        <v>0.01</v>
      </c>
      <c r="BV12" s="32">
        <v>-0.02</v>
      </c>
      <c r="BW12" s="32">
        <v>0.12</v>
      </c>
      <c r="BX12" s="32">
        <v>0.16</v>
      </c>
      <c r="BY12" s="32">
        <v>0.15</v>
      </c>
      <c r="BZ12" s="32">
        <v>0.14000000000000001</v>
      </c>
      <c r="CA12" s="32">
        <v>0.14000000000000001</v>
      </c>
      <c r="CB12" s="32">
        <v>0.12</v>
      </c>
      <c r="CC12" s="32">
        <v>0.11</v>
      </c>
      <c r="CD12" s="32">
        <v>0.13</v>
      </c>
      <c r="CE12" s="32">
        <v>0.06</v>
      </c>
      <c r="CF12" s="32">
        <f t="shared" si="0"/>
        <v>0.14500000000000002</v>
      </c>
      <c r="CG12" s="32">
        <f t="shared" si="1"/>
        <v>0.13</v>
      </c>
      <c r="CH12" s="32">
        <f t="shared" si="2"/>
        <v>0.12</v>
      </c>
    </row>
    <row r="13" spans="1:92" ht="13.5" customHeight="1" x14ac:dyDescent="0.75">
      <c r="A13" s="14"/>
      <c r="B13" s="4" t="s">
        <v>94</v>
      </c>
      <c r="C13" s="3" t="s">
        <v>95</v>
      </c>
      <c r="D13" s="32"/>
      <c r="E13" s="32"/>
      <c r="F13" s="32"/>
      <c r="G13" s="32"/>
      <c r="H13" s="32"/>
      <c r="I13" s="32">
        <v>0.03</v>
      </c>
      <c r="J13" s="32">
        <v>0.03</v>
      </c>
      <c r="K13" s="32">
        <v>0.03</v>
      </c>
      <c r="L13" s="32">
        <v>0.04</v>
      </c>
      <c r="M13" s="32">
        <v>0.04</v>
      </c>
      <c r="N13" s="32">
        <v>0.05</v>
      </c>
      <c r="O13" s="32">
        <v>0.04</v>
      </c>
      <c r="P13" s="32">
        <v>0.03</v>
      </c>
      <c r="Q13" s="32">
        <v>0.03</v>
      </c>
      <c r="R13" s="32">
        <v>0.02</v>
      </c>
      <c r="S13" s="32">
        <v>0.02</v>
      </c>
      <c r="T13" s="32">
        <v>0.03</v>
      </c>
      <c r="U13" s="32">
        <v>0.03</v>
      </c>
      <c r="V13" s="32">
        <v>0.03</v>
      </c>
      <c r="W13" s="32">
        <v>0.04</v>
      </c>
      <c r="X13" s="32">
        <v>0.03</v>
      </c>
      <c r="Y13" s="32">
        <v>0.04</v>
      </c>
      <c r="Z13" s="32">
        <v>0.02</v>
      </c>
      <c r="AA13" s="32">
        <v>0.02</v>
      </c>
      <c r="AB13" s="32">
        <v>0.02</v>
      </c>
      <c r="AC13" s="32">
        <v>0.02</v>
      </c>
      <c r="AD13" s="32">
        <v>0.04</v>
      </c>
      <c r="AE13" s="32">
        <v>0.04</v>
      </c>
      <c r="AF13" s="32">
        <v>0.04</v>
      </c>
      <c r="AG13" s="32">
        <v>0.03</v>
      </c>
      <c r="AH13" s="32">
        <v>0.03</v>
      </c>
      <c r="AI13" s="32">
        <v>0.03</v>
      </c>
      <c r="AJ13" s="32">
        <v>0.02</v>
      </c>
      <c r="AK13" s="32">
        <v>0.03</v>
      </c>
      <c r="AL13" s="32">
        <v>0.04</v>
      </c>
      <c r="AM13" s="32">
        <v>0.03</v>
      </c>
      <c r="AN13" s="32">
        <v>0.04</v>
      </c>
      <c r="AO13" s="32">
        <v>0.03</v>
      </c>
      <c r="AP13" s="32">
        <v>0.04</v>
      </c>
      <c r="AQ13" s="32">
        <v>0.04</v>
      </c>
      <c r="AR13" s="32">
        <v>0.04</v>
      </c>
      <c r="AS13" s="32">
        <v>0.04</v>
      </c>
      <c r="AT13" s="32">
        <v>0.04</v>
      </c>
      <c r="AU13" s="32">
        <v>0.04</v>
      </c>
      <c r="AV13" s="32">
        <v>0.03</v>
      </c>
      <c r="AW13" s="32">
        <v>0.03</v>
      </c>
      <c r="AX13" s="32">
        <v>0.03</v>
      </c>
      <c r="AY13" s="32">
        <v>0.03</v>
      </c>
      <c r="AZ13" s="32">
        <v>0.04</v>
      </c>
      <c r="BA13" s="32">
        <v>0.04</v>
      </c>
      <c r="BB13" s="32">
        <v>0.04</v>
      </c>
      <c r="BC13" s="32">
        <v>0.05</v>
      </c>
      <c r="BD13" s="32">
        <v>0.05</v>
      </c>
      <c r="BE13" s="32">
        <v>0.05</v>
      </c>
      <c r="BF13" s="32">
        <v>0.06</v>
      </c>
      <c r="BG13" s="32">
        <v>0.06</v>
      </c>
      <c r="BH13" s="32">
        <v>0.05</v>
      </c>
      <c r="BI13" s="32">
        <v>0.04</v>
      </c>
      <c r="BJ13" s="32">
        <v>0.03</v>
      </c>
      <c r="BK13" s="32">
        <v>0.04</v>
      </c>
      <c r="BL13" s="32">
        <v>0.04</v>
      </c>
      <c r="BM13" s="32">
        <v>0.05</v>
      </c>
      <c r="BN13" s="32">
        <v>0.05</v>
      </c>
      <c r="BO13" s="32">
        <v>0.05</v>
      </c>
      <c r="BP13" s="32">
        <v>0.05</v>
      </c>
      <c r="BQ13" s="32">
        <v>0.06</v>
      </c>
      <c r="BR13" s="32">
        <v>0.08</v>
      </c>
      <c r="BS13" s="32">
        <v>7.0000000000000007E-2</v>
      </c>
      <c r="BT13" s="32">
        <v>7.0000000000000007E-2</v>
      </c>
      <c r="BU13" s="32">
        <v>0.05</v>
      </c>
      <c r="BV13" s="32">
        <v>0.05</v>
      </c>
      <c r="BW13" s="32">
        <v>0.06</v>
      </c>
      <c r="BX13" s="32">
        <v>0.06</v>
      </c>
      <c r="BY13" s="32">
        <v>7.0000000000000007E-2</v>
      </c>
      <c r="BZ13" s="32">
        <v>0.06</v>
      </c>
      <c r="CA13" s="32">
        <v>0.05</v>
      </c>
      <c r="CB13" s="32">
        <v>0.05</v>
      </c>
      <c r="CC13" s="32">
        <v>0.05</v>
      </c>
      <c r="CD13" s="32">
        <v>0.06</v>
      </c>
      <c r="CE13" s="32">
        <v>0.06</v>
      </c>
      <c r="CF13" s="32">
        <f t="shared" si="0"/>
        <v>6.5000000000000002E-2</v>
      </c>
      <c r="CG13" s="32">
        <f t="shared" si="1"/>
        <v>0.05</v>
      </c>
      <c r="CH13" s="32">
        <f t="shared" si="2"/>
        <v>5.5E-2</v>
      </c>
    </row>
    <row r="14" spans="1:92" ht="13.5" customHeight="1" x14ac:dyDescent="0.75">
      <c r="A14" s="14"/>
      <c r="B14" s="4" t="s">
        <v>96</v>
      </c>
      <c r="C14" s="3" t="s">
        <v>97</v>
      </c>
      <c r="D14" s="32"/>
      <c r="E14" s="32"/>
      <c r="F14" s="32"/>
      <c r="G14" s="32"/>
      <c r="H14" s="32"/>
      <c r="I14" s="32">
        <v>0.03</v>
      </c>
      <c r="J14" s="32">
        <v>0.03</v>
      </c>
      <c r="K14" s="32">
        <v>0.03</v>
      </c>
      <c r="L14" s="32">
        <v>0.03</v>
      </c>
      <c r="M14" s="32">
        <v>0.03</v>
      </c>
      <c r="N14" s="32">
        <v>0.03</v>
      </c>
      <c r="O14" s="32">
        <v>0.03</v>
      </c>
      <c r="P14" s="32">
        <v>0.03</v>
      </c>
      <c r="Q14" s="32">
        <v>0.03</v>
      </c>
      <c r="R14" s="32">
        <v>0.03</v>
      </c>
      <c r="S14" s="32">
        <v>0.03</v>
      </c>
      <c r="T14" s="32">
        <v>0.03</v>
      </c>
      <c r="U14" s="32">
        <v>0.03</v>
      </c>
      <c r="V14" s="32">
        <v>0.03</v>
      </c>
      <c r="W14" s="32">
        <v>0.03</v>
      </c>
      <c r="X14" s="32">
        <v>0.03</v>
      </c>
      <c r="Y14" s="32">
        <v>7.0000000000000007E-2</v>
      </c>
      <c r="Z14" s="32">
        <v>7.0000000000000007E-2</v>
      </c>
      <c r="AA14" s="32">
        <v>-0.01</v>
      </c>
      <c r="AB14" s="32">
        <v>-0.02</v>
      </c>
      <c r="AC14" s="32">
        <v>-0.06</v>
      </c>
      <c r="AD14" s="32">
        <v>-0.06</v>
      </c>
      <c r="AE14" s="32">
        <v>0.01</v>
      </c>
      <c r="AF14" s="32">
        <v>0.02</v>
      </c>
      <c r="AG14" s="32">
        <v>0.03</v>
      </c>
      <c r="AH14" s="32">
        <v>0.04</v>
      </c>
      <c r="AI14" s="32">
        <v>0.05</v>
      </c>
      <c r="AJ14" s="32">
        <v>0.06</v>
      </c>
      <c r="AK14" s="32">
        <v>0.05</v>
      </c>
      <c r="AL14" s="32">
        <v>0.04</v>
      </c>
      <c r="AM14" s="32">
        <v>0.03</v>
      </c>
      <c r="AN14" s="32">
        <v>0.02</v>
      </c>
      <c r="AO14" s="32">
        <v>0.03</v>
      </c>
      <c r="AP14" s="32">
        <v>0.03</v>
      </c>
      <c r="AQ14" s="32">
        <v>0.03</v>
      </c>
      <c r="AR14" s="32">
        <v>0.04</v>
      </c>
      <c r="AS14" s="32">
        <v>0.03</v>
      </c>
      <c r="AT14" s="32">
        <v>0.02</v>
      </c>
      <c r="AU14" s="32">
        <v>0.03</v>
      </c>
      <c r="AV14" s="32">
        <v>0.03</v>
      </c>
      <c r="AW14" s="32">
        <v>0.03</v>
      </c>
      <c r="AX14" s="32">
        <v>0.05</v>
      </c>
      <c r="AY14" s="32">
        <v>0.05</v>
      </c>
      <c r="AZ14" s="32">
        <v>0.08</v>
      </c>
      <c r="BA14" s="32">
        <v>0.08</v>
      </c>
      <c r="BB14" s="32">
        <v>0.06</v>
      </c>
      <c r="BC14" s="32">
        <v>0.05</v>
      </c>
      <c r="BD14" s="32">
        <v>0.03</v>
      </c>
      <c r="BE14" s="32">
        <v>0.02</v>
      </c>
      <c r="BF14" s="32">
        <v>0.03</v>
      </c>
      <c r="BG14" s="32">
        <v>0.04</v>
      </c>
      <c r="BH14" s="32">
        <v>0.05</v>
      </c>
      <c r="BI14" s="32">
        <v>0.05</v>
      </c>
      <c r="BJ14" s="32">
        <v>-0.48</v>
      </c>
      <c r="BK14" s="32">
        <v>-0.2</v>
      </c>
      <c r="BL14" s="32">
        <v>0.01</v>
      </c>
      <c r="BM14" s="32">
        <v>0.01</v>
      </c>
      <c r="BN14" s="32">
        <v>1.03</v>
      </c>
      <c r="BO14" s="32">
        <v>0.32</v>
      </c>
      <c r="BP14" s="32">
        <v>0.04</v>
      </c>
      <c r="BQ14" s="32">
        <v>0.04</v>
      </c>
      <c r="BR14" s="32">
        <v>0.02</v>
      </c>
      <c r="BS14" s="32">
        <v>0</v>
      </c>
      <c r="BT14" s="32">
        <v>-0.01</v>
      </c>
      <c r="BU14" s="32">
        <v>-0.05</v>
      </c>
      <c r="BV14" s="32">
        <v>-0.01</v>
      </c>
      <c r="BW14" s="32">
        <v>-0.03</v>
      </c>
      <c r="BX14" s="32">
        <v>-0.1</v>
      </c>
      <c r="BY14" s="32">
        <v>-0.1</v>
      </c>
      <c r="BZ14" s="32">
        <v>-0.06</v>
      </c>
      <c r="CA14" s="32">
        <v>0.01</v>
      </c>
      <c r="CB14" s="32">
        <v>0.12</v>
      </c>
      <c r="CC14" s="32">
        <v>0.22</v>
      </c>
      <c r="CD14" s="32">
        <v>0.18</v>
      </c>
      <c r="CE14" s="32">
        <v>0.34</v>
      </c>
      <c r="CF14" s="32">
        <f t="shared" si="0"/>
        <v>-0.08</v>
      </c>
      <c r="CG14" s="32">
        <f t="shared" si="1"/>
        <v>6.5000000000000002E-2</v>
      </c>
      <c r="CH14" s="32">
        <f t="shared" si="2"/>
        <v>0.2</v>
      </c>
    </row>
    <row r="15" spans="1:92" ht="14.25" customHeight="1" x14ac:dyDescent="0.75">
      <c r="A15" s="1"/>
      <c r="B15" s="23" t="s">
        <v>98</v>
      </c>
      <c r="C15" s="24" t="s">
        <v>99</v>
      </c>
      <c r="D15" s="30"/>
      <c r="E15" s="30"/>
      <c r="F15" s="30"/>
      <c r="G15" s="30"/>
      <c r="H15" s="30"/>
      <c r="I15" s="30">
        <v>0.23</v>
      </c>
      <c r="J15" s="30">
        <v>0.05</v>
      </c>
      <c r="K15" s="30">
        <v>0.06</v>
      </c>
      <c r="L15" s="30">
        <v>0.05</v>
      </c>
      <c r="M15" s="30">
        <v>0.1</v>
      </c>
      <c r="N15" s="30">
        <v>0.22</v>
      </c>
      <c r="O15" s="30">
        <v>0.17</v>
      </c>
      <c r="P15" s="30">
        <v>0.12</v>
      </c>
      <c r="Q15" s="30">
        <v>0.15</v>
      </c>
      <c r="R15" s="30">
        <v>-0.01</v>
      </c>
      <c r="S15" s="30">
        <v>-7.0000000000000007E-2</v>
      </c>
      <c r="T15" s="30">
        <v>0</v>
      </c>
      <c r="U15" s="30">
        <v>7.0000000000000007E-2</v>
      </c>
      <c r="V15" s="30">
        <v>0.05</v>
      </c>
      <c r="W15" s="30">
        <v>0.09</v>
      </c>
      <c r="X15" s="30">
        <v>0.13</v>
      </c>
      <c r="Y15" s="30">
        <v>0.15</v>
      </c>
      <c r="Z15" s="30">
        <v>0.14000000000000001</v>
      </c>
      <c r="AA15" s="30">
        <v>0.22</v>
      </c>
      <c r="AB15" s="30">
        <v>0.2</v>
      </c>
      <c r="AC15" s="30">
        <v>0.03</v>
      </c>
      <c r="AD15" s="30">
        <v>0.1</v>
      </c>
      <c r="AE15" s="30">
        <v>0.1</v>
      </c>
      <c r="AF15" s="30">
        <v>0.1</v>
      </c>
      <c r="AG15" s="30">
        <v>0.14000000000000001</v>
      </c>
      <c r="AH15" s="30">
        <v>0.18</v>
      </c>
      <c r="AI15" s="30">
        <v>0.08</v>
      </c>
      <c r="AJ15" s="30">
        <v>0</v>
      </c>
      <c r="AK15" s="30">
        <v>0</v>
      </c>
      <c r="AL15" s="30">
        <v>0</v>
      </c>
      <c r="AM15" s="30">
        <v>0.09</v>
      </c>
      <c r="AN15" s="30">
        <v>0.01</v>
      </c>
      <c r="AO15" s="30">
        <v>0.06</v>
      </c>
      <c r="AP15" s="30">
        <v>0.09</v>
      </c>
      <c r="AQ15" s="30">
        <v>0.05</v>
      </c>
      <c r="AR15" s="30">
        <v>0.16</v>
      </c>
      <c r="AS15" s="30">
        <v>0.16</v>
      </c>
      <c r="AT15" s="30">
        <v>0.12</v>
      </c>
      <c r="AU15" s="30">
        <v>0.01</v>
      </c>
      <c r="AV15" s="30">
        <v>-0.01</v>
      </c>
      <c r="AW15" s="30">
        <v>-0.03</v>
      </c>
      <c r="AX15" s="30">
        <v>-0.01</v>
      </c>
      <c r="AY15" s="30">
        <v>0.04</v>
      </c>
      <c r="AZ15" s="30">
        <v>0.05</v>
      </c>
      <c r="BA15" s="30">
        <v>0.04</v>
      </c>
      <c r="BB15" s="30">
        <v>0.08</v>
      </c>
      <c r="BC15" s="30">
        <v>0.1</v>
      </c>
      <c r="BD15" s="30">
        <v>0.12</v>
      </c>
      <c r="BE15" s="30">
        <v>0.15</v>
      </c>
      <c r="BF15" s="30">
        <v>0.21</v>
      </c>
      <c r="BG15" s="30">
        <v>0.16</v>
      </c>
      <c r="BH15" s="30">
        <v>0.14000000000000001</v>
      </c>
      <c r="BI15" s="30">
        <v>0.02</v>
      </c>
      <c r="BJ15" s="30">
        <v>-0.19</v>
      </c>
      <c r="BK15" s="30">
        <v>-0.01</v>
      </c>
      <c r="BL15" s="30">
        <v>0.02</v>
      </c>
      <c r="BM15" s="30">
        <v>0.1</v>
      </c>
      <c r="BN15" s="30">
        <v>0.15</v>
      </c>
      <c r="BO15" s="30">
        <v>-0.05</v>
      </c>
      <c r="BP15" s="30">
        <v>0.02</v>
      </c>
      <c r="BQ15" s="30">
        <v>0.19</v>
      </c>
      <c r="BR15" s="30">
        <v>0.39</v>
      </c>
      <c r="BS15" s="30">
        <v>0.15</v>
      </c>
      <c r="BT15" s="30">
        <v>0.14000000000000001</v>
      </c>
      <c r="BU15" s="30">
        <v>0.03</v>
      </c>
      <c r="BV15" s="30">
        <v>-0.03</v>
      </c>
      <c r="BW15" s="30">
        <v>0.16</v>
      </c>
      <c r="BX15" s="30">
        <v>0.2</v>
      </c>
      <c r="BY15" s="30">
        <v>0.18</v>
      </c>
      <c r="BZ15" s="30">
        <v>0.13</v>
      </c>
      <c r="CA15" s="30">
        <v>0.01</v>
      </c>
      <c r="CB15" s="30">
        <v>-0.01</v>
      </c>
      <c r="CC15" s="30">
        <v>0.05</v>
      </c>
      <c r="CD15" s="30">
        <v>7.0000000000000007E-2</v>
      </c>
      <c r="CE15" s="30">
        <v>0.17</v>
      </c>
      <c r="CF15" s="30">
        <f t="shared" si="0"/>
        <v>0.155</v>
      </c>
      <c r="CG15" s="30">
        <f t="shared" si="1"/>
        <v>0</v>
      </c>
      <c r="CH15" s="30">
        <f t="shared" si="2"/>
        <v>6.0000000000000005E-2</v>
      </c>
    </row>
    <row r="16" spans="1:92" ht="13.5" customHeight="1" x14ac:dyDescent="0.75">
      <c r="A16" s="14"/>
      <c r="B16" s="4" t="s">
        <v>100</v>
      </c>
      <c r="C16" s="3" t="s">
        <v>101</v>
      </c>
      <c r="D16" s="33"/>
      <c r="E16" s="33"/>
      <c r="F16" s="33"/>
      <c r="G16" s="33"/>
      <c r="H16" s="33"/>
      <c r="I16" s="33">
        <v>1.0900000000000001</v>
      </c>
      <c r="J16" s="33">
        <v>0.42</v>
      </c>
      <c r="K16" s="33">
        <v>0.16</v>
      </c>
      <c r="L16" s="33">
        <v>0.3</v>
      </c>
      <c r="M16" s="33">
        <v>-0.23</v>
      </c>
      <c r="N16" s="33">
        <v>0.02</v>
      </c>
      <c r="O16" s="33">
        <v>-0.11</v>
      </c>
      <c r="P16" s="33">
        <v>-0.28000000000000003</v>
      </c>
      <c r="Q16" s="33">
        <v>-0.09</v>
      </c>
      <c r="R16" s="33">
        <v>-0.34</v>
      </c>
      <c r="S16" s="33">
        <v>-0.02</v>
      </c>
      <c r="T16" s="33">
        <v>-0.23</v>
      </c>
      <c r="U16" s="33">
        <v>-0.42</v>
      </c>
      <c r="V16" s="33">
        <v>0.03</v>
      </c>
      <c r="W16" s="33">
        <v>-0.1</v>
      </c>
      <c r="X16" s="33">
        <v>0.1</v>
      </c>
      <c r="Y16" s="33">
        <v>1.18</v>
      </c>
      <c r="Z16" s="33">
        <v>0.14000000000000001</v>
      </c>
      <c r="AA16" s="33">
        <v>0.37</v>
      </c>
      <c r="AB16" s="33">
        <v>0.57999999999999996</v>
      </c>
      <c r="AC16" s="33">
        <v>-0.03</v>
      </c>
      <c r="AD16" s="33">
        <v>-0.02</v>
      </c>
      <c r="AE16" s="33">
        <v>-0.1</v>
      </c>
      <c r="AF16" s="33">
        <v>-0.12</v>
      </c>
      <c r="AG16" s="33">
        <v>0.11</v>
      </c>
      <c r="AH16" s="33">
        <v>0.32</v>
      </c>
      <c r="AI16" s="33">
        <v>0.2</v>
      </c>
      <c r="AJ16" s="33">
        <v>0.17</v>
      </c>
      <c r="AK16" s="33">
        <v>0.17</v>
      </c>
      <c r="AL16" s="33">
        <v>0.06</v>
      </c>
      <c r="AM16" s="33">
        <v>0.7</v>
      </c>
      <c r="AN16" s="33">
        <v>0.08</v>
      </c>
      <c r="AO16" s="33">
        <v>-0.04</v>
      </c>
      <c r="AP16" s="33">
        <v>0.02</v>
      </c>
      <c r="AQ16" s="33">
        <v>-0.23</v>
      </c>
      <c r="AR16" s="33">
        <v>0.15</v>
      </c>
      <c r="AS16" s="33">
        <v>0.12</v>
      </c>
      <c r="AT16" s="33">
        <v>0.27</v>
      </c>
      <c r="AU16" s="33">
        <v>0.02</v>
      </c>
      <c r="AV16" s="33">
        <v>0.04</v>
      </c>
      <c r="AW16" s="33">
        <v>0.17</v>
      </c>
      <c r="AX16" s="33">
        <v>0.06</v>
      </c>
      <c r="AY16" s="33">
        <v>0.24</v>
      </c>
      <c r="AZ16" s="33">
        <v>0.33</v>
      </c>
      <c r="BA16" s="33">
        <v>-0.03</v>
      </c>
      <c r="BB16" s="33">
        <v>0.08</v>
      </c>
      <c r="BC16" s="33">
        <v>0.06</v>
      </c>
      <c r="BD16" s="33">
        <v>0.02</v>
      </c>
      <c r="BE16" s="33">
        <v>0.16</v>
      </c>
      <c r="BF16" s="33">
        <v>0.15</v>
      </c>
      <c r="BG16" s="33">
        <v>-0.13</v>
      </c>
      <c r="BH16" s="33">
        <v>-0.12</v>
      </c>
      <c r="BI16" s="33">
        <v>-0.26</v>
      </c>
      <c r="BJ16" s="33">
        <v>-0.53</v>
      </c>
      <c r="BK16" s="33">
        <v>-0.24</v>
      </c>
      <c r="BL16" s="33">
        <v>-0.19</v>
      </c>
      <c r="BM16" s="33">
        <v>0.03</v>
      </c>
      <c r="BN16" s="33">
        <v>0.3</v>
      </c>
      <c r="BO16" s="33">
        <v>0.05</v>
      </c>
      <c r="BP16" s="33">
        <v>-0.05</v>
      </c>
      <c r="BQ16" s="33">
        <v>0.25</v>
      </c>
      <c r="BR16" s="33">
        <v>0.5</v>
      </c>
      <c r="BS16" s="33">
        <v>0.18</v>
      </c>
      <c r="BT16" s="33">
        <v>0.23</v>
      </c>
      <c r="BU16" s="33">
        <v>-0.02</v>
      </c>
      <c r="BV16" s="33">
        <v>-0.04</v>
      </c>
      <c r="BW16" s="33">
        <v>0.16</v>
      </c>
      <c r="BX16" s="33">
        <v>0.2</v>
      </c>
      <c r="BY16" s="33">
        <v>0.28999999999999998</v>
      </c>
      <c r="BZ16" s="33">
        <v>0.1</v>
      </c>
      <c r="CA16" s="33">
        <v>0.04</v>
      </c>
      <c r="CB16" s="33">
        <v>-7.0000000000000007E-2</v>
      </c>
      <c r="CC16" s="33">
        <v>-0.01</v>
      </c>
      <c r="CD16" s="33">
        <v>0.12</v>
      </c>
      <c r="CE16" s="33">
        <v>0.14000000000000001</v>
      </c>
      <c r="CF16" s="33">
        <f t="shared" si="0"/>
        <v>0.19500000000000001</v>
      </c>
      <c r="CG16" s="33">
        <f t="shared" si="1"/>
        <v>-1.5000000000000003E-2</v>
      </c>
      <c r="CH16" s="33">
        <f t="shared" si="2"/>
        <v>5.5E-2</v>
      </c>
    </row>
    <row r="17" spans="1:90" ht="14.25" customHeight="1" x14ac:dyDescent="0.75">
      <c r="A17" s="1"/>
      <c r="B17" s="34" t="s">
        <v>102</v>
      </c>
      <c r="C17" s="35" t="s">
        <v>103</v>
      </c>
      <c r="D17" s="33"/>
      <c r="E17" s="33"/>
      <c r="F17" s="33"/>
      <c r="G17" s="33"/>
      <c r="H17" s="33"/>
      <c r="I17" s="33">
        <v>0.09</v>
      </c>
      <c r="J17" s="33">
        <v>-0.01</v>
      </c>
      <c r="K17" s="33">
        <v>-0.01</v>
      </c>
      <c r="L17" s="33">
        <v>-0.03</v>
      </c>
      <c r="M17" s="33">
        <v>0.09</v>
      </c>
      <c r="N17" s="33">
        <v>0.15</v>
      </c>
      <c r="O17" s="33">
        <v>0.01</v>
      </c>
      <c r="P17" s="33">
        <v>0</v>
      </c>
      <c r="Q17" s="33">
        <v>0.03</v>
      </c>
      <c r="R17" s="33">
        <v>0.01</v>
      </c>
      <c r="S17" s="33">
        <v>0.02</v>
      </c>
      <c r="T17" s="33">
        <v>0.06</v>
      </c>
      <c r="U17" s="33">
        <v>0.15</v>
      </c>
      <c r="V17" s="33">
        <v>0.06</v>
      </c>
      <c r="W17" s="33">
        <v>0.08</v>
      </c>
      <c r="X17" s="33">
        <v>0.09</v>
      </c>
      <c r="Y17" s="33">
        <v>0.01</v>
      </c>
      <c r="Z17" s="33">
        <v>7.0000000000000007E-2</v>
      </c>
      <c r="AA17" s="33">
        <v>0.15</v>
      </c>
      <c r="AB17" s="33">
        <v>0.1</v>
      </c>
      <c r="AC17" s="33">
        <v>0.09</v>
      </c>
      <c r="AD17" s="33">
        <v>7.0000000000000007E-2</v>
      </c>
      <c r="AE17" s="33">
        <v>0.03</v>
      </c>
      <c r="AF17" s="33">
        <v>0.05</v>
      </c>
      <c r="AG17" s="33">
        <v>0.09</v>
      </c>
      <c r="AH17" s="33">
        <v>0.11</v>
      </c>
      <c r="AI17" s="33">
        <v>0.02</v>
      </c>
      <c r="AJ17" s="33">
        <v>-0.03</v>
      </c>
      <c r="AK17" s="33">
        <v>-0.14000000000000001</v>
      </c>
      <c r="AL17" s="33">
        <v>-0.14000000000000001</v>
      </c>
      <c r="AM17" s="33">
        <v>-0.13</v>
      </c>
      <c r="AN17" s="33">
        <v>-0.09</v>
      </c>
      <c r="AO17" s="33">
        <v>0.1</v>
      </c>
      <c r="AP17" s="33">
        <v>0.08</v>
      </c>
      <c r="AQ17" s="33">
        <v>0.08</v>
      </c>
      <c r="AR17" s="33">
        <v>0.08</v>
      </c>
      <c r="AS17" s="33">
        <v>0.13</v>
      </c>
      <c r="AT17" s="33">
        <v>0.12</v>
      </c>
      <c r="AU17" s="33">
        <v>0.01</v>
      </c>
      <c r="AV17" s="33">
        <v>0.02</v>
      </c>
      <c r="AW17" s="33">
        <v>0.03</v>
      </c>
      <c r="AX17" s="33">
        <v>0.06</v>
      </c>
      <c r="AY17" s="33">
        <v>7.0000000000000007E-2</v>
      </c>
      <c r="AZ17" s="33">
        <v>0.1</v>
      </c>
      <c r="BA17" s="33">
        <v>0.12</v>
      </c>
      <c r="BB17" s="33">
        <v>0.14000000000000001</v>
      </c>
      <c r="BC17" s="33">
        <v>0.14000000000000001</v>
      </c>
      <c r="BD17" s="33">
        <v>0.15</v>
      </c>
      <c r="BE17" s="33">
        <v>7.0000000000000007E-2</v>
      </c>
      <c r="BF17" s="33">
        <v>0.16</v>
      </c>
      <c r="BG17" s="33">
        <v>0.13</v>
      </c>
      <c r="BH17" s="33">
        <v>0.09</v>
      </c>
      <c r="BI17" s="33">
        <v>0.06</v>
      </c>
      <c r="BJ17" s="33">
        <v>-0.13</v>
      </c>
      <c r="BK17" s="33">
        <v>7.0000000000000007E-2</v>
      </c>
      <c r="BL17" s="33">
        <v>0.1</v>
      </c>
      <c r="BM17" s="33">
        <v>0.08</v>
      </c>
      <c r="BN17" s="33">
        <v>0.28999999999999998</v>
      </c>
      <c r="BO17" s="33">
        <v>-0.12</v>
      </c>
      <c r="BP17" s="33">
        <v>0.09</v>
      </c>
      <c r="BQ17" s="33">
        <v>0.1</v>
      </c>
      <c r="BR17" s="33">
        <v>0.12</v>
      </c>
      <c r="BS17" s="33">
        <v>0.08</v>
      </c>
      <c r="BT17" s="33">
        <v>7.0000000000000007E-2</v>
      </c>
      <c r="BU17" s="33">
        <v>0.16</v>
      </c>
      <c r="BV17" s="33">
        <v>0.01</v>
      </c>
      <c r="BW17" s="33">
        <v>0.11</v>
      </c>
      <c r="BX17" s="33">
        <v>0.12</v>
      </c>
      <c r="BY17" s="33">
        <v>-0.01</v>
      </c>
      <c r="BZ17" s="33">
        <v>0.1</v>
      </c>
      <c r="CA17" s="33">
        <v>0.08</v>
      </c>
      <c r="CB17" s="33">
        <v>7.0000000000000007E-2</v>
      </c>
      <c r="CC17" s="33">
        <v>0.09</v>
      </c>
      <c r="CD17" s="33">
        <v>0.08</v>
      </c>
      <c r="CE17" s="33">
        <v>0.14000000000000001</v>
      </c>
      <c r="CF17" s="33">
        <f t="shared" si="0"/>
        <v>4.5000000000000005E-2</v>
      </c>
      <c r="CG17" s="33">
        <f t="shared" si="1"/>
        <v>7.5000000000000011E-2</v>
      </c>
      <c r="CH17" s="33">
        <f t="shared" si="2"/>
        <v>8.4999999999999992E-2</v>
      </c>
    </row>
    <row r="18" spans="1:90" s="40" customFormat="1" ht="13.5" customHeight="1" x14ac:dyDescent="0.75">
      <c r="A18" s="36"/>
      <c r="B18" s="37" t="s">
        <v>104</v>
      </c>
      <c r="C18" s="38" t="s">
        <v>105</v>
      </c>
      <c r="D18" s="39"/>
      <c r="E18" s="39"/>
      <c r="F18" s="39"/>
      <c r="G18" s="39"/>
      <c r="H18" s="39"/>
      <c r="I18" s="39">
        <v>0.12</v>
      </c>
      <c r="J18" s="39">
        <v>-0.09</v>
      </c>
      <c r="K18" s="39">
        <v>-0.02</v>
      </c>
      <c r="L18" s="39">
        <v>-0.13</v>
      </c>
      <c r="M18" s="39">
        <v>0.13</v>
      </c>
      <c r="N18" s="39">
        <v>0.25</v>
      </c>
      <c r="O18" s="39">
        <v>0</v>
      </c>
      <c r="P18" s="39">
        <v>-0.02</v>
      </c>
      <c r="Q18" s="39">
        <v>0.1</v>
      </c>
      <c r="R18" s="39">
        <v>7.0000000000000007E-2</v>
      </c>
      <c r="S18" s="39">
        <v>0.05</v>
      </c>
      <c r="T18" s="39">
        <v>0.04</v>
      </c>
      <c r="U18" s="39">
        <v>0.08</v>
      </c>
      <c r="V18" s="39">
        <v>0.05</v>
      </c>
      <c r="W18" s="39">
        <v>0.11</v>
      </c>
      <c r="X18" s="39">
        <v>0.12</v>
      </c>
      <c r="Y18" s="39">
        <v>-0.09</v>
      </c>
      <c r="Z18" s="39">
        <v>-0.11</v>
      </c>
      <c r="AA18" s="39">
        <v>0.1</v>
      </c>
      <c r="AB18" s="39">
        <v>0.24</v>
      </c>
      <c r="AC18" s="39">
        <v>0.04</v>
      </c>
      <c r="AD18" s="39">
        <v>0.05</v>
      </c>
      <c r="AE18" s="39">
        <v>-0.03</v>
      </c>
      <c r="AF18" s="39">
        <v>0</v>
      </c>
      <c r="AG18" s="39">
        <v>0.35</v>
      </c>
      <c r="AH18" s="39">
        <v>0.24</v>
      </c>
      <c r="AI18" s="39">
        <v>-0.05</v>
      </c>
      <c r="AJ18" s="39">
        <v>-0.09</v>
      </c>
      <c r="AK18" s="39">
        <v>-0.01</v>
      </c>
      <c r="AL18" s="39">
        <v>0.05</v>
      </c>
      <c r="AM18" s="39">
        <v>0.09</v>
      </c>
      <c r="AN18" s="39">
        <v>0.1</v>
      </c>
      <c r="AO18" s="39">
        <v>0.06</v>
      </c>
      <c r="AP18" s="39">
        <v>0.02</v>
      </c>
      <c r="AQ18" s="39">
        <v>-0.06</v>
      </c>
      <c r="AR18" s="39">
        <v>0.02</v>
      </c>
      <c r="AS18" s="39">
        <v>0.17</v>
      </c>
      <c r="AT18" s="39">
        <v>0.17</v>
      </c>
      <c r="AU18" s="39">
        <v>-0.02</v>
      </c>
      <c r="AV18" s="39">
        <v>0.01</v>
      </c>
      <c r="AW18" s="39">
        <v>0.03</v>
      </c>
      <c r="AX18" s="39">
        <v>0.06</v>
      </c>
      <c r="AY18" s="39">
        <v>0.22</v>
      </c>
      <c r="AZ18" s="39">
        <v>0.19</v>
      </c>
      <c r="BA18" s="39">
        <v>0.17</v>
      </c>
      <c r="BB18" s="39">
        <v>0.24</v>
      </c>
      <c r="BC18" s="39">
        <v>0.01</v>
      </c>
      <c r="BD18" s="39">
        <v>0.09</v>
      </c>
      <c r="BE18" s="39">
        <v>-0.01</v>
      </c>
      <c r="BF18" s="39">
        <v>0.04</v>
      </c>
      <c r="BG18" s="39">
        <v>0.15</v>
      </c>
      <c r="BH18" s="39">
        <v>0.02</v>
      </c>
      <c r="BI18" s="39">
        <v>0.11</v>
      </c>
      <c r="BJ18" s="39">
        <v>0</v>
      </c>
      <c r="BK18" s="39">
        <v>0.08</v>
      </c>
      <c r="BL18" s="39">
        <v>0.1</v>
      </c>
      <c r="BM18" s="39">
        <v>7.0000000000000007E-2</v>
      </c>
      <c r="BN18" s="39">
        <v>0.59</v>
      </c>
      <c r="BO18" s="39">
        <v>0.01</v>
      </c>
      <c r="BP18" s="39">
        <v>0.67</v>
      </c>
      <c r="BQ18" s="39">
        <v>0.08</v>
      </c>
      <c r="BR18" s="39">
        <v>0.21</v>
      </c>
      <c r="BS18" s="39">
        <v>0.12</v>
      </c>
      <c r="BT18" s="39">
        <v>0.13</v>
      </c>
      <c r="BU18" s="39">
        <v>0.22</v>
      </c>
      <c r="BV18" s="39">
        <v>0.02</v>
      </c>
      <c r="BW18" s="39">
        <v>0.09</v>
      </c>
      <c r="BX18" s="39">
        <v>0.21</v>
      </c>
      <c r="BY18" s="39">
        <v>0.04</v>
      </c>
      <c r="BZ18" s="39">
        <v>0.05</v>
      </c>
      <c r="CA18" s="39">
        <v>0.06</v>
      </c>
      <c r="CB18" s="39">
        <v>-0.05</v>
      </c>
      <c r="CC18" s="39">
        <v>0.05</v>
      </c>
      <c r="CD18" s="39">
        <v>0.1</v>
      </c>
      <c r="CE18" s="39">
        <v>0.12</v>
      </c>
      <c r="CF18" s="39">
        <f t="shared" si="0"/>
        <v>4.4999999999999998E-2</v>
      </c>
      <c r="CG18" s="39">
        <f t="shared" si="1"/>
        <v>4.9999999999999975E-3</v>
      </c>
      <c r="CH18" s="39">
        <f t="shared" si="2"/>
        <v>7.5000000000000011E-2</v>
      </c>
      <c r="CJ18" s="41"/>
      <c r="CK18" s="41"/>
      <c r="CL18" s="41"/>
    </row>
    <row r="19" spans="1:90" s="40" customFormat="1" ht="13.5" customHeight="1" x14ac:dyDescent="0.75">
      <c r="A19" s="36"/>
      <c r="B19" s="37" t="s">
        <v>106</v>
      </c>
      <c r="C19" s="38" t="s">
        <v>107</v>
      </c>
      <c r="D19" s="39"/>
      <c r="E19" s="39"/>
      <c r="F19" s="39"/>
      <c r="G19" s="39"/>
      <c r="H19" s="39"/>
      <c r="I19" s="39">
        <v>0.03</v>
      </c>
      <c r="J19" s="39">
        <v>0.05</v>
      </c>
      <c r="K19" s="39">
        <v>-0.06</v>
      </c>
      <c r="L19" s="39">
        <v>-0.04</v>
      </c>
      <c r="M19" s="39">
        <v>0.09</v>
      </c>
      <c r="N19" s="39">
        <v>0.11</v>
      </c>
      <c r="O19" s="39">
        <v>0</v>
      </c>
      <c r="P19" s="39">
        <v>-0.05</v>
      </c>
      <c r="Q19" s="39">
        <v>0.03</v>
      </c>
      <c r="R19" s="39">
        <v>0</v>
      </c>
      <c r="S19" s="39">
        <v>0.06</v>
      </c>
      <c r="T19" s="39">
        <v>0.08</v>
      </c>
      <c r="U19" s="39">
        <v>-0.01</v>
      </c>
      <c r="V19" s="39">
        <v>-0.01</v>
      </c>
      <c r="W19" s="39">
        <v>0.06</v>
      </c>
      <c r="X19" s="39">
        <v>0.03</v>
      </c>
      <c r="Y19" s="39">
        <v>0.1</v>
      </c>
      <c r="Z19" s="39">
        <v>0.16</v>
      </c>
      <c r="AA19" s="39">
        <v>0.05</v>
      </c>
      <c r="AB19" s="39">
        <v>0.02</v>
      </c>
      <c r="AC19" s="39">
        <v>0.09</v>
      </c>
      <c r="AD19" s="39">
        <v>0.03</v>
      </c>
      <c r="AE19" s="39">
        <v>0.01</v>
      </c>
      <c r="AF19" s="39">
        <v>0.05</v>
      </c>
      <c r="AG19" s="39">
        <v>0.01</v>
      </c>
      <c r="AH19" s="39">
        <v>0.1</v>
      </c>
      <c r="AI19" s="39">
        <v>0.04</v>
      </c>
      <c r="AJ19" s="39">
        <v>0</v>
      </c>
      <c r="AK19" s="39">
        <v>0.11</v>
      </c>
      <c r="AL19" s="39">
        <v>0.02</v>
      </c>
      <c r="AM19" s="39">
        <v>0.05</v>
      </c>
      <c r="AN19" s="39">
        <v>0.12</v>
      </c>
      <c r="AO19" s="39">
        <v>7.0000000000000007E-2</v>
      </c>
      <c r="AP19" s="39">
        <v>0.09</v>
      </c>
      <c r="AQ19" s="39">
        <v>0.08</v>
      </c>
      <c r="AR19" s="39">
        <v>0</v>
      </c>
      <c r="AS19" s="39">
        <v>0.05</v>
      </c>
      <c r="AT19" s="39">
        <v>7.0000000000000007E-2</v>
      </c>
      <c r="AU19" s="39">
        <v>0.02</v>
      </c>
      <c r="AV19" s="39">
        <v>0</v>
      </c>
      <c r="AW19" s="39">
        <v>-0.03</v>
      </c>
      <c r="AX19" s="39">
        <v>-0.06</v>
      </c>
      <c r="AY19" s="39">
        <v>-0.14000000000000001</v>
      </c>
      <c r="AZ19" s="39">
        <v>-0.1</v>
      </c>
      <c r="BA19" s="39">
        <v>-7.0000000000000007E-2</v>
      </c>
      <c r="BB19" s="39">
        <v>-0.02</v>
      </c>
      <c r="BC19" s="39">
        <v>0.13</v>
      </c>
      <c r="BD19" s="39">
        <v>0.13</v>
      </c>
      <c r="BE19" s="39">
        <v>0.08</v>
      </c>
      <c r="BF19" s="39">
        <v>0.19</v>
      </c>
      <c r="BG19" s="39">
        <v>0.08</v>
      </c>
      <c r="BH19" s="39">
        <v>0.09</v>
      </c>
      <c r="BI19" s="39">
        <v>0.06</v>
      </c>
      <c r="BJ19" s="39">
        <v>-0.13</v>
      </c>
      <c r="BK19" s="39">
        <v>0.04</v>
      </c>
      <c r="BL19" s="39">
        <v>0.08</v>
      </c>
      <c r="BM19" s="39">
        <v>0.04</v>
      </c>
      <c r="BN19" s="39">
        <v>-0.1</v>
      </c>
      <c r="BO19" s="39">
        <v>-0.44</v>
      </c>
      <c r="BP19" s="39">
        <v>-0.13</v>
      </c>
      <c r="BQ19" s="39">
        <v>0.12</v>
      </c>
      <c r="BR19" s="39">
        <v>0.24</v>
      </c>
      <c r="BS19" s="39">
        <v>0.14000000000000001</v>
      </c>
      <c r="BT19" s="39">
        <v>0.02</v>
      </c>
      <c r="BU19" s="39">
        <v>0.02</v>
      </c>
      <c r="BV19" s="39">
        <v>-0.05</v>
      </c>
      <c r="BW19" s="39">
        <v>0.02</v>
      </c>
      <c r="BX19" s="39">
        <v>-0.01</v>
      </c>
      <c r="BY19" s="39">
        <v>0.03</v>
      </c>
      <c r="BZ19" s="39">
        <v>7.0000000000000007E-2</v>
      </c>
      <c r="CA19" s="39">
        <v>0.05</v>
      </c>
      <c r="CB19" s="39">
        <v>0.09</v>
      </c>
      <c r="CC19" s="39">
        <v>0.03</v>
      </c>
      <c r="CD19" s="39">
        <v>-0.04</v>
      </c>
      <c r="CE19" s="39">
        <v>0.08</v>
      </c>
      <c r="CF19" s="39">
        <f t="shared" si="0"/>
        <v>0.05</v>
      </c>
      <c r="CG19" s="39">
        <f t="shared" si="1"/>
        <v>7.0000000000000007E-2</v>
      </c>
      <c r="CH19" s="39">
        <f t="shared" si="2"/>
        <v>-5.000000000000001E-3</v>
      </c>
      <c r="CJ19" s="41"/>
      <c r="CK19" s="41"/>
      <c r="CL19" s="41"/>
    </row>
    <row r="20" spans="1:90" s="40" customFormat="1" ht="13.5" customHeight="1" x14ac:dyDescent="0.75">
      <c r="A20" s="36"/>
      <c r="B20" s="37" t="s">
        <v>108</v>
      </c>
      <c r="C20" s="38" t="s">
        <v>109</v>
      </c>
      <c r="D20" s="39"/>
      <c r="E20" s="39"/>
      <c r="F20" s="39"/>
      <c r="G20" s="39"/>
      <c r="H20" s="39"/>
      <c r="I20" s="39">
        <v>0.04</v>
      </c>
      <c r="J20" s="39">
        <v>0.03</v>
      </c>
      <c r="K20" s="39">
        <v>0.1</v>
      </c>
      <c r="L20" s="39">
        <v>0.19</v>
      </c>
      <c r="M20" s="39">
        <v>0.04</v>
      </c>
      <c r="N20" s="39">
        <v>0.08</v>
      </c>
      <c r="O20" s="39">
        <v>-0.03</v>
      </c>
      <c r="P20" s="39">
        <v>-0.13</v>
      </c>
      <c r="Q20" s="39">
        <v>0.01</v>
      </c>
      <c r="R20" s="39">
        <v>-0.12</v>
      </c>
      <c r="S20" s="39">
        <v>-0.02</v>
      </c>
      <c r="T20" s="39">
        <v>0.05</v>
      </c>
      <c r="U20" s="39">
        <v>-0.01</v>
      </c>
      <c r="V20" s="39">
        <v>0.06</v>
      </c>
      <c r="W20" s="39">
        <v>0.03</v>
      </c>
      <c r="X20" s="39">
        <v>0.02</v>
      </c>
      <c r="Y20" s="39">
        <v>0.08</v>
      </c>
      <c r="Z20" s="39">
        <v>-7.0000000000000007E-2</v>
      </c>
      <c r="AA20" s="39">
        <v>-0.06</v>
      </c>
      <c r="AB20" s="39">
        <v>0</v>
      </c>
      <c r="AC20" s="39">
        <v>0.02</v>
      </c>
      <c r="AD20" s="39">
        <v>0.24</v>
      </c>
      <c r="AE20" s="39">
        <v>0.09</v>
      </c>
      <c r="AF20" s="39">
        <v>0</v>
      </c>
      <c r="AG20" s="39">
        <v>-0.8</v>
      </c>
      <c r="AH20" s="39">
        <v>-0.79</v>
      </c>
      <c r="AI20" s="39">
        <v>-0.77</v>
      </c>
      <c r="AJ20" s="39">
        <v>-0.76</v>
      </c>
      <c r="AK20" s="39">
        <v>0.11</v>
      </c>
      <c r="AL20" s="39">
        <v>0.09</v>
      </c>
      <c r="AM20" s="39">
        <v>0.08</v>
      </c>
      <c r="AN20" s="39">
        <v>0.03</v>
      </c>
      <c r="AO20" s="39">
        <v>0.06</v>
      </c>
      <c r="AP20" s="39">
        <v>0.03</v>
      </c>
      <c r="AQ20" s="39">
        <v>-0.01</v>
      </c>
      <c r="AR20" s="39">
        <v>0.04</v>
      </c>
      <c r="AS20" s="39">
        <v>0.12</v>
      </c>
      <c r="AT20" s="39">
        <v>0.06</v>
      </c>
      <c r="AU20" s="39">
        <v>0.06</v>
      </c>
      <c r="AV20" s="39">
        <v>0.15</v>
      </c>
      <c r="AW20" s="39">
        <v>0.31</v>
      </c>
      <c r="AX20" s="39">
        <v>0.57999999999999996</v>
      </c>
      <c r="AY20" s="39">
        <v>0.43</v>
      </c>
      <c r="AZ20" s="39">
        <v>0.28000000000000003</v>
      </c>
      <c r="BA20" s="39">
        <v>0.56000000000000005</v>
      </c>
      <c r="BB20" s="39">
        <v>0.42</v>
      </c>
      <c r="BC20" s="39">
        <v>0.68</v>
      </c>
      <c r="BD20" s="39">
        <v>0.74</v>
      </c>
      <c r="BE20" s="39">
        <v>0.09</v>
      </c>
      <c r="BF20" s="39">
        <v>0.12</v>
      </c>
      <c r="BG20" s="39">
        <v>0.21</v>
      </c>
      <c r="BH20" s="39">
        <v>0.3</v>
      </c>
      <c r="BI20" s="39">
        <v>0.11</v>
      </c>
      <c r="BJ20" s="39">
        <v>-0.13</v>
      </c>
      <c r="BK20" s="39">
        <v>-0.05</v>
      </c>
      <c r="BL20" s="39">
        <v>-0.08</v>
      </c>
      <c r="BM20" s="39">
        <v>-0.02</v>
      </c>
      <c r="BN20" s="39">
        <v>0.28999999999999998</v>
      </c>
      <c r="BO20" s="39">
        <v>7.0000000000000007E-2</v>
      </c>
      <c r="BP20" s="39">
        <v>7.0000000000000007E-2</v>
      </c>
      <c r="BQ20" s="39">
        <v>0.1</v>
      </c>
      <c r="BR20" s="39">
        <v>0.09</v>
      </c>
      <c r="BS20" s="39">
        <v>0.1</v>
      </c>
      <c r="BT20" s="39">
        <v>0.09</v>
      </c>
      <c r="BU20" s="39">
        <v>0.13</v>
      </c>
      <c r="BV20" s="39">
        <v>0.09</v>
      </c>
      <c r="BW20" s="39">
        <v>0.15</v>
      </c>
      <c r="BX20" s="39">
        <v>0.15</v>
      </c>
      <c r="BY20" s="39">
        <v>0.1</v>
      </c>
      <c r="BZ20" s="39">
        <v>0.2</v>
      </c>
      <c r="CA20" s="39">
        <v>0.12</v>
      </c>
      <c r="CB20" s="39">
        <v>-0.02</v>
      </c>
      <c r="CC20" s="39">
        <v>0</v>
      </c>
      <c r="CD20" s="39">
        <v>-0.09</v>
      </c>
      <c r="CE20" s="39">
        <v>-0.05</v>
      </c>
      <c r="CF20" s="39">
        <f t="shared" si="0"/>
        <v>0.15000000000000002</v>
      </c>
      <c r="CG20" s="39">
        <f t="shared" si="1"/>
        <v>4.9999999999999996E-2</v>
      </c>
      <c r="CH20" s="39">
        <f t="shared" si="2"/>
        <v>-4.4999999999999998E-2</v>
      </c>
      <c r="CJ20" s="41"/>
      <c r="CK20" s="41"/>
      <c r="CL20" s="41"/>
    </row>
    <row r="21" spans="1:90" s="40" customFormat="1" ht="13.5" customHeight="1" x14ac:dyDescent="0.75">
      <c r="A21" s="36"/>
      <c r="B21" s="37" t="s">
        <v>110</v>
      </c>
      <c r="C21" s="38" t="s">
        <v>111</v>
      </c>
      <c r="D21" s="39"/>
      <c r="E21" s="39"/>
      <c r="F21" s="39"/>
      <c r="G21" s="39"/>
      <c r="H21" s="39"/>
      <c r="I21" s="39">
        <v>0.14000000000000001</v>
      </c>
      <c r="J21" s="39">
        <v>0.05</v>
      </c>
      <c r="K21" s="39">
        <v>0.18</v>
      </c>
      <c r="L21" s="39">
        <v>0.32</v>
      </c>
      <c r="M21" s="39">
        <v>7.0000000000000007E-2</v>
      </c>
      <c r="N21" s="39">
        <v>0.25</v>
      </c>
      <c r="O21" s="39">
        <v>0.14000000000000001</v>
      </c>
      <c r="P21" s="39">
        <v>-0.09</v>
      </c>
      <c r="Q21" s="39">
        <v>0.15</v>
      </c>
      <c r="R21" s="39">
        <v>0.03</v>
      </c>
      <c r="S21" s="39">
        <v>-0.03</v>
      </c>
      <c r="T21" s="39">
        <v>0.17</v>
      </c>
      <c r="U21" s="39">
        <v>0.11</v>
      </c>
      <c r="V21" s="39">
        <v>0.05</v>
      </c>
      <c r="W21" s="39">
        <v>0.15</v>
      </c>
      <c r="X21" s="39">
        <v>-7.0000000000000007E-2</v>
      </c>
      <c r="Y21" s="39">
        <v>-0.04</v>
      </c>
      <c r="Z21" s="39">
        <v>-0.18</v>
      </c>
      <c r="AA21" s="39">
        <v>-0.18</v>
      </c>
      <c r="AB21" s="39">
        <v>-0.03</v>
      </c>
      <c r="AC21" s="39">
        <v>-0.02</v>
      </c>
      <c r="AD21" s="39">
        <v>0.19</v>
      </c>
      <c r="AE21" s="39">
        <v>0.24</v>
      </c>
      <c r="AF21" s="39">
        <v>0.19</v>
      </c>
      <c r="AG21" s="39">
        <v>0.18</v>
      </c>
      <c r="AH21" s="39">
        <v>0.08</v>
      </c>
      <c r="AI21" s="39">
        <v>0.28000000000000003</v>
      </c>
      <c r="AJ21" s="39">
        <v>-0.02</v>
      </c>
      <c r="AK21" s="39">
        <v>0.14000000000000001</v>
      </c>
      <c r="AL21" s="39">
        <v>0.23</v>
      </c>
      <c r="AM21" s="39">
        <v>-0.04</v>
      </c>
      <c r="AN21" s="39">
        <v>0.11</v>
      </c>
      <c r="AO21" s="39">
        <v>0.02</v>
      </c>
      <c r="AP21" s="39">
        <v>0.08</v>
      </c>
      <c r="AQ21" s="39">
        <v>0.1</v>
      </c>
      <c r="AR21" s="39">
        <v>0.23</v>
      </c>
      <c r="AS21" s="39">
        <v>0.12</v>
      </c>
      <c r="AT21" s="39">
        <v>0.12</v>
      </c>
      <c r="AU21" s="39">
        <v>0.33</v>
      </c>
      <c r="AV21" s="39">
        <v>-0.11</v>
      </c>
      <c r="AW21" s="39">
        <v>-0.05</v>
      </c>
      <c r="AX21" s="39">
        <v>-0.06</v>
      </c>
      <c r="AY21" s="39">
        <v>-0.25</v>
      </c>
      <c r="AZ21" s="39">
        <v>0.09</v>
      </c>
      <c r="BA21" s="39">
        <v>0.12</v>
      </c>
      <c r="BB21" s="39">
        <v>0.06</v>
      </c>
      <c r="BC21" s="39">
        <v>0.16</v>
      </c>
      <c r="BD21" s="39">
        <v>0.17</v>
      </c>
      <c r="BE21" s="39">
        <v>0.24</v>
      </c>
      <c r="BF21" s="39">
        <v>0.47</v>
      </c>
      <c r="BG21" s="39">
        <v>0.27</v>
      </c>
      <c r="BH21" s="39">
        <v>0.12</v>
      </c>
      <c r="BI21" s="39">
        <v>-0.11</v>
      </c>
      <c r="BJ21" s="39">
        <v>-0.27</v>
      </c>
      <c r="BK21" s="39">
        <v>-0.01</v>
      </c>
      <c r="BL21" s="39">
        <v>0.05</v>
      </c>
      <c r="BM21" s="39">
        <v>0.17</v>
      </c>
      <c r="BN21" s="39">
        <v>0.41</v>
      </c>
      <c r="BO21" s="39">
        <v>0.2</v>
      </c>
      <c r="BP21" s="39">
        <v>0.23</v>
      </c>
      <c r="BQ21" s="39">
        <v>0.26</v>
      </c>
      <c r="BR21" s="39">
        <v>0.3</v>
      </c>
      <c r="BS21" s="39">
        <v>0.39</v>
      </c>
      <c r="BT21" s="39">
        <v>0.4</v>
      </c>
      <c r="BU21" s="39">
        <v>0.26</v>
      </c>
      <c r="BV21" s="39">
        <v>0.23</v>
      </c>
      <c r="BW21" s="39">
        <v>0.2</v>
      </c>
      <c r="BX21" s="39">
        <v>0.06</v>
      </c>
      <c r="BY21" s="39">
        <v>0.21</v>
      </c>
      <c r="BZ21" s="39">
        <v>0.1</v>
      </c>
      <c r="CA21" s="39">
        <v>0.22</v>
      </c>
      <c r="CB21" s="39">
        <v>0.2</v>
      </c>
      <c r="CC21" s="39">
        <v>0.11</v>
      </c>
      <c r="CD21" s="39">
        <v>0.18</v>
      </c>
      <c r="CE21" s="39">
        <v>0.13</v>
      </c>
      <c r="CF21" s="39">
        <f t="shared" si="0"/>
        <v>0.155</v>
      </c>
      <c r="CG21" s="39">
        <f t="shared" si="1"/>
        <v>0.21000000000000002</v>
      </c>
      <c r="CH21" s="39">
        <f t="shared" si="2"/>
        <v>0.14499999999999999</v>
      </c>
      <c r="CJ21" s="41"/>
      <c r="CK21" s="41"/>
      <c r="CL21" s="41"/>
    </row>
    <row r="22" spans="1:90" s="40" customFormat="1" ht="13.5" customHeight="1" x14ac:dyDescent="0.75">
      <c r="A22" s="36"/>
      <c r="B22" s="37" t="s">
        <v>112</v>
      </c>
      <c r="C22" s="38" t="s">
        <v>113</v>
      </c>
      <c r="D22" s="39"/>
      <c r="E22" s="39"/>
      <c r="F22" s="39"/>
      <c r="G22" s="39"/>
      <c r="H22" s="39"/>
      <c r="I22" s="39">
        <v>0.01</v>
      </c>
      <c r="J22" s="39">
        <v>0.03</v>
      </c>
      <c r="K22" s="39">
        <v>-0.01</v>
      </c>
      <c r="L22" s="39">
        <v>-0.01</v>
      </c>
      <c r="M22" s="39">
        <v>-0.04</v>
      </c>
      <c r="N22" s="39">
        <v>0</v>
      </c>
      <c r="O22" s="39">
        <v>-0.01</v>
      </c>
      <c r="P22" s="39">
        <v>0.19</v>
      </c>
      <c r="Q22" s="39">
        <v>0.08</v>
      </c>
      <c r="R22" s="39">
        <v>0.04</v>
      </c>
      <c r="S22" s="39">
        <v>-0.01</v>
      </c>
      <c r="T22" s="39">
        <v>-0.08</v>
      </c>
      <c r="U22" s="39">
        <v>0.04</v>
      </c>
      <c r="V22" s="39">
        <v>-0.09</v>
      </c>
      <c r="W22" s="39">
        <v>7.0000000000000007E-2</v>
      </c>
      <c r="X22" s="39">
        <v>0.19</v>
      </c>
      <c r="Y22" s="39">
        <v>0.11</v>
      </c>
      <c r="Z22" s="39">
        <v>0.33</v>
      </c>
      <c r="AA22" s="39">
        <v>0.19</v>
      </c>
      <c r="AB22" s="39">
        <v>-0.03</v>
      </c>
      <c r="AC22" s="39">
        <v>0.18</v>
      </c>
      <c r="AD22" s="39">
        <v>-0.02</v>
      </c>
      <c r="AE22" s="39">
        <v>-7.0000000000000007E-2</v>
      </c>
      <c r="AF22" s="39">
        <v>-0.01</v>
      </c>
      <c r="AG22" s="39">
        <v>-0.08</v>
      </c>
      <c r="AH22" s="39">
        <v>-0.02</v>
      </c>
      <c r="AI22" s="39">
        <v>0.03</v>
      </c>
      <c r="AJ22" s="39">
        <v>-0.06</v>
      </c>
      <c r="AK22" s="39">
        <v>-0.13</v>
      </c>
      <c r="AL22" s="39">
        <v>0.01</v>
      </c>
      <c r="AM22" s="39">
        <v>0</v>
      </c>
      <c r="AN22" s="39">
        <v>7.0000000000000007E-2</v>
      </c>
      <c r="AO22" s="39">
        <v>0.21</v>
      </c>
      <c r="AP22" s="39">
        <v>0.09</v>
      </c>
      <c r="AQ22" s="39">
        <v>0.11</v>
      </c>
      <c r="AR22" s="39">
        <v>0.13</v>
      </c>
      <c r="AS22" s="39">
        <v>0.03</v>
      </c>
      <c r="AT22" s="39">
        <v>-0.03</v>
      </c>
      <c r="AU22" s="39">
        <v>0.1</v>
      </c>
      <c r="AV22" s="39">
        <v>0.11</v>
      </c>
      <c r="AW22" s="39">
        <v>0.22</v>
      </c>
      <c r="AX22" s="39">
        <v>0.5</v>
      </c>
      <c r="AY22" s="39">
        <v>0.24</v>
      </c>
      <c r="AZ22" s="39">
        <v>0.36</v>
      </c>
      <c r="BA22" s="39">
        <v>0.25</v>
      </c>
      <c r="BB22" s="39">
        <v>0.14000000000000001</v>
      </c>
      <c r="BC22" s="39">
        <v>0.17</v>
      </c>
      <c r="BD22" s="39">
        <v>0.2</v>
      </c>
      <c r="BE22" s="39">
        <v>0.24</v>
      </c>
      <c r="BF22" s="39">
        <v>0.45</v>
      </c>
      <c r="BG22" s="39">
        <v>0.34</v>
      </c>
      <c r="BH22" s="39">
        <v>0.24</v>
      </c>
      <c r="BI22" s="39">
        <v>0.06</v>
      </c>
      <c r="BJ22" s="39">
        <v>-0.09</v>
      </c>
      <c r="BK22" s="39">
        <v>-0.03</v>
      </c>
      <c r="BL22" s="39">
        <v>0.13</v>
      </c>
      <c r="BM22" s="39">
        <v>0.2</v>
      </c>
      <c r="BN22" s="39">
        <v>0.92</v>
      </c>
      <c r="BO22" s="39">
        <v>0.15</v>
      </c>
      <c r="BP22" s="39">
        <v>0.03</v>
      </c>
      <c r="BQ22" s="39">
        <v>0.04</v>
      </c>
      <c r="BR22" s="39">
        <v>-0.2</v>
      </c>
      <c r="BS22" s="39">
        <v>0.02</v>
      </c>
      <c r="BT22" s="39">
        <v>0.08</v>
      </c>
      <c r="BU22" s="39">
        <v>1.1000000000000001</v>
      </c>
      <c r="BV22" s="39">
        <v>-0.01</v>
      </c>
      <c r="BW22" s="39">
        <v>0.45</v>
      </c>
      <c r="BX22" s="39">
        <v>0.35</v>
      </c>
      <c r="BY22" s="39">
        <v>-0.24</v>
      </c>
      <c r="BZ22" s="39">
        <v>0.28000000000000003</v>
      </c>
      <c r="CA22" s="39">
        <v>0.23</v>
      </c>
      <c r="CB22" s="39">
        <v>0.23</v>
      </c>
      <c r="CC22" s="39">
        <v>0.21</v>
      </c>
      <c r="CD22" s="39">
        <v>0.25</v>
      </c>
      <c r="CE22" s="39">
        <v>0.25</v>
      </c>
      <c r="CF22" s="39">
        <f t="shared" si="0"/>
        <v>2.0000000000000018E-2</v>
      </c>
      <c r="CG22" s="39">
        <f t="shared" si="1"/>
        <v>0.23</v>
      </c>
      <c r="CH22" s="39">
        <f t="shared" si="2"/>
        <v>0.22999999999999998</v>
      </c>
      <c r="CJ22" s="41"/>
      <c r="CK22" s="41"/>
      <c r="CL22" s="41"/>
    </row>
    <row r="23" spans="1:90" s="40" customFormat="1" ht="13.5" customHeight="1" x14ac:dyDescent="0.75">
      <c r="A23" s="36"/>
      <c r="B23" s="37" t="s">
        <v>114</v>
      </c>
      <c r="C23" s="38" t="s">
        <v>115</v>
      </c>
      <c r="D23" s="39"/>
      <c r="E23" s="39"/>
      <c r="F23" s="39"/>
      <c r="G23" s="39"/>
      <c r="H23" s="39"/>
      <c r="I23" s="39">
        <v>-0.02</v>
      </c>
      <c r="J23" s="39">
        <v>0.02</v>
      </c>
      <c r="K23" s="39">
        <v>0.11</v>
      </c>
      <c r="L23" s="39">
        <v>-0.06</v>
      </c>
      <c r="M23" s="39">
        <v>0.18</v>
      </c>
      <c r="N23" s="39">
        <v>0.02</v>
      </c>
      <c r="O23" s="39">
        <v>-0.06</v>
      </c>
      <c r="P23" s="39">
        <v>0.08</v>
      </c>
      <c r="Q23" s="39">
        <v>-0.24</v>
      </c>
      <c r="R23" s="39">
        <v>-0.05</v>
      </c>
      <c r="S23" s="39">
        <v>-0.04</v>
      </c>
      <c r="T23" s="39">
        <v>0.12</v>
      </c>
      <c r="U23" s="39">
        <v>0.18</v>
      </c>
      <c r="V23" s="39">
        <v>0.17</v>
      </c>
      <c r="W23" s="39">
        <v>-0.14000000000000001</v>
      </c>
      <c r="X23" s="39">
        <v>0.2</v>
      </c>
      <c r="Y23" s="39">
        <v>0.23</v>
      </c>
      <c r="Z23" s="39">
        <v>0.06</v>
      </c>
      <c r="AA23" s="39">
        <v>0.6</v>
      </c>
      <c r="AB23" s="39">
        <v>-0.01</v>
      </c>
      <c r="AC23" s="39">
        <v>0.11</v>
      </c>
      <c r="AD23" s="39">
        <v>0.19</v>
      </c>
      <c r="AE23" s="39">
        <v>0.18</v>
      </c>
      <c r="AF23" s="39">
        <v>0.09</v>
      </c>
      <c r="AG23" s="39">
        <v>0.19</v>
      </c>
      <c r="AH23" s="39">
        <v>0.08</v>
      </c>
      <c r="AI23" s="39">
        <v>-0.03</v>
      </c>
      <c r="AJ23" s="39">
        <v>7.0000000000000007E-2</v>
      </c>
      <c r="AK23" s="39">
        <v>0.08</v>
      </c>
      <c r="AL23" s="39">
        <v>0.21</v>
      </c>
      <c r="AM23" s="39">
        <v>0.22</v>
      </c>
      <c r="AN23" s="39">
        <v>0.15</v>
      </c>
      <c r="AO23" s="39">
        <v>0.09</v>
      </c>
      <c r="AP23" s="39">
        <v>0</v>
      </c>
      <c r="AQ23" s="39">
        <v>0.28000000000000003</v>
      </c>
      <c r="AR23" s="39">
        <v>0.4</v>
      </c>
      <c r="AS23" s="39">
        <v>0.33</v>
      </c>
      <c r="AT23" s="39">
        <v>0.45</v>
      </c>
      <c r="AU23" s="39">
        <v>0.06</v>
      </c>
      <c r="AV23" s="39">
        <v>0.11</v>
      </c>
      <c r="AW23" s="39">
        <v>0.09</v>
      </c>
      <c r="AX23" s="39">
        <v>0.05</v>
      </c>
      <c r="AY23" s="39">
        <v>0.18</v>
      </c>
      <c r="AZ23" s="39">
        <v>0.03</v>
      </c>
      <c r="BA23" s="39">
        <v>0</v>
      </c>
      <c r="BB23" s="39">
        <v>-0.13</v>
      </c>
      <c r="BC23" s="39">
        <v>0.28000000000000003</v>
      </c>
      <c r="BD23" s="39">
        <v>0.22</v>
      </c>
      <c r="BE23" s="39">
        <v>0.32</v>
      </c>
      <c r="BF23" s="39">
        <v>0.55000000000000004</v>
      </c>
      <c r="BG23" s="39">
        <v>0.05</v>
      </c>
      <c r="BH23" s="39">
        <v>0.01</v>
      </c>
      <c r="BI23" s="39">
        <v>-0.06</v>
      </c>
      <c r="BJ23" s="39">
        <v>-0.15</v>
      </c>
      <c r="BK23" s="39">
        <v>0.06</v>
      </c>
      <c r="BL23" s="39">
        <v>0.11</v>
      </c>
      <c r="BM23" s="39">
        <v>-0.03</v>
      </c>
      <c r="BN23" s="39">
        <v>0.24</v>
      </c>
      <c r="BO23" s="39">
        <v>0.23</v>
      </c>
      <c r="BP23" s="39">
        <v>-0.02</v>
      </c>
      <c r="BQ23" s="39">
        <v>0.3</v>
      </c>
      <c r="BR23" s="39">
        <v>0.05</v>
      </c>
      <c r="BS23" s="39">
        <v>-0.04</v>
      </c>
      <c r="BT23" s="39">
        <v>0.08</v>
      </c>
      <c r="BU23" s="39">
        <v>0.12</v>
      </c>
      <c r="BV23" s="39">
        <v>0.16</v>
      </c>
      <c r="BW23" s="39">
        <v>0.14000000000000001</v>
      </c>
      <c r="BX23" s="39">
        <v>0.22</v>
      </c>
      <c r="BY23" s="39">
        <v>-0.23</v>
      </c>
      <c r="BZ23" s="39">
        <v>0.06</v>
      </c>
      <c r="CA23" s="39">
        <v>-0.12</v>
      </c>
      <c r="CB23" s="39">
        <v>0.12</v>
      </c>
      <c r="CC23" s="39">
        <v>0.37</v>
      </c>
      <c r="CD23" s="39">
        <v>0.23</v>
      </c>
      <c r="CE23" s="39">
        <v>0.44</v>
      </c>
      <c r="CF23" s="39">
        <f t="shared" si="0"/>
        <v>-8.5000000000000006E-2</v>
      </c>
      <c r="CG23" s="39">
        <f t="shared" si="1"/>
        <v>0</v>
      </c>
      <c r="CH23" s="39">
        <f t="shared" si="2"/>
        <v>0.3</v>
      </c>
      <c r="CJ23" s="41"/>
      <c r="CK23" s="41"/>
      <c r="CL23" s="41"/>
    </row>
    <row r="24" spans="1:90" s="40" customFormat="1" ht="13.5" customHeight="1" x14ac:dyDescent="0.75">
      <c r="A24" s="36"/>
      <c r="B24" s="37" t="s">
        <v>116</v>
      </c>
      <c r="C24" s="38" t="s">
        <v>117</v>
      </c>
      <c r="D24" s="39"/>
      <c r="E24" s="39"/>
      <c r="F24" s="39"/>
      <c r="G24" s="39"/>
      <c r="H24" s="39"/>
      <c r="I24" s="39">
        <v>0.59</v>
      </c>
      <c r="J24" s="39">
        <v>0.16</v>
      </c>
      <c r="K24" s="39">
        <v>-0.05</v>
      </c>
      <c r="L24" s="39">
        <v>0.35</v>
      </c>
      <c r="M24" s="39">
        <v>-0.05</v>
      </c>
      <c r="N24" s="39">
        <v>0.1</v>
      </c>
      <c r="O24" s="39">
        <v>0.23</v>
      </c>
      <c r="P24" s="39">
        <v>0.14000000000000001</v>
      </c>
      <c r="Q24" s="39">
        <v>-0.01</v>
      </c>
      <c r="R24" s="39">
        <v>-0.14000000000000001</v>
      </c>
      <c r="S24" s="39">
        <v>-0.17</v>
      </c>
      <c r="T24" s="39">
        <v>0.1</v>
      </c>
      <c r="U24" s="39">
        <v>1.53</v>
      </c>
      <c r="V24" s="39">
        <v>0.28999999999999998</v>
      </c>
      <c r="W24" s="39">
        <v>0.25</v>
      </c>
      <c r="X24" s="39">
        <v>0.04</v>
      </c>
      <c r="Y24" s="39">
        <v>-0.38</v>
      </c>
      <c r="Z24" s="39">
        <v>0.59</v>
      </c>
      <c r="AA24" s="39">
        <v>1.02</v>
      </c>
      <c r="AB24" s="39">
        <v>0.56000000000000005</v>
      </c>
      <c r="AC24" s="39">
        <v>0.81</v>
      </c>
      <c r="AD24" s="39">
        <v>0.28000000000000003</v>
      </c>
      <c r="AE24" s="39">
        <v>0.15</v>
      </c>
      <c r="AF24" s="39">
        <v>0.06</v>
      </c>
      <c r="AG24" s="39">
        <v>-0.21</v>
      </c>
      <c r="AH24" s="39">
        <v>-0.04</v>
      </c>
      <c r="AI24" s="39">
        <v>-0.14000000000000001</v>
      </c>
      <c r="AJ24" s="39">
        <v>-0.18</v>
      </c>
      <c r="AK24" s="39">
        <v>0.28999999999999998</v>
      </c>
      <c r="AL24" s="39">
        <v>0.24</v>
      </c>
      <c r="AM24" s="39">
        <v>0.28000000000000003</v>
      </c>
      <c r="AN24" s="39">
        <v>0.38</v>
      </c>
      <c r="AO24" s="39">
        <v>0.4</v>
      </c>
      <c r="AP24" s="39">
        <v>0.35</v>
      </c>
      <c r="AQ24" s="39">
        <v>0.45</v>
      </c>
      <c r="AR24" s="39">
        <v>0.33</v>
      </c>
      <c r="AS24" s="39">
        <v>0.19</v>
      </c>
      <c r="AT24" s="39">
        <v>0.25</v>
      </c>
      <c r="AU24" s="39">
        <v>0.04</v>
      </c>
      <c r="AV24" s="39">
        <v>0.19</v>
      </c>
      <c r="AW24" s="39">
        <v>0.18</v>
      </c>
      <c r="AX24" s="39">
        <v>0.1</v>
      </c>
      <c r="AY24" s="39">
        <v>0.08</v>
      </c>
      <c r="AZ24" s="39">
        <v>0.1</v>
      </c>
      <c r="BA24" s="39">
        <v>0.08</v>
      </c>
      <c r="BB24" s="39">
        <v>0.31</v>
      </c>
      <c r="BC24" s="39">
        <v>0.36</v>
      </c>
      <c r="BD24" s="39">
        <v>0.14000000000000001</v>
      </c>
      <c r="BE24" s="39">
        <v>0.19</v>
      </c>
      <c r="BF24" s="39">
        <v>0.28000000000000003</v>
      </c>
      <c r="BG24" s="39">
        <v>0.11</v>
      </c>
      <c r="BH24" s="39">
        <v>0.23</v>
      </c>
      <c r="BI24" s="39">
        <v>-0.02</v>
      </c>
      <c r="BJ24" s="39">
        <v>-0.32</v>
      </c>
      <c r="BK24" s="39">
        <v>0.31</v>
      </c>
      <c r="BL24" s="39">
        <v>0.39</v>
      </c>
      <c r="BM24" s="39">
        <v>0.28999999999999998</v>
      </c>
      <c r="BN24" s="39">
        <v>0.33</v>
      </c>
      <c r="BO24" s="39">
        <v>-0.17</v>
      </c>
      <c r="BP24" s="39">
        <v>-0.23</v>
      </c>
      <c r="BQ24" s="39">
        <v>0.1</v>
      </c>
      <c r="BR24" s="39">
        <v>0.24</v>
      </c>
      <c r="BS24" s="39">
        <v>0.14000000000000001</v>
      </c>
      <c r="BT24" s="39">
        <v>0.21</v>
      </c>
      <c r="BU24" s="39">
        <v>0.16</v>
      </c>
      <c r="BV24" s="39">
        <v>0.02</v>
      </c>
      <c r="BW24" s="39">
        <v>0.19</v>
      </c>
      <c r="BX24" s="39">
        <v>0.17</v>
      </c>
      <c r="BY24" s="39">
        <v>0.18</v>
      </c>
      <c r="BZ24" s="39">
        <v>0.26</v>
      </c>
      <c r="CA24" s="39">
        <v>0.15</v>
      </c>
      <c r="CB24" s="39">
        <v>0.22</v>
      </c>
      <c r="CC24" s="39">
        <v>0.16</v>
      </c>
      <c r="CD24" s="39">
        <v>0.19</v>
      </c>
      <c r="CE24" s="39">
        <v>0.28000000000000003</v>
      </c>
      <c r="CF24" s="39">
        <f t="shared" si="0"/>
        <v>0.22</v>
      </c>
      <c r="CG24" s="39">
        <f t="shared" si="1"/>
        <v>0.185</v>
      </c>
      <c r="CH24" s="39">
        <f t="shared" si="2"/>
        <v>0.17499999999999999</v>
      </c>
      <c r="CJ24" s="41"/>
      <c r="CK24" s="41"/>
      <c r="CL24" s="41"/>
    </row>
    <row r="25" spans="1:90" s="40" customFormat="1" ht="13.5" customHeight="1" x14ac:dyDescent="0.75">
      <c r="A25" s="36"/>
      <c r="B25" s="37" t="s">
        <v>118</v>
      </c>
      <c r="C25" s="38" t="s">
        <v>119</v>
      </c>
      <c r="D25" s="39"/>
      <c r="E25" s="39"/>
      <c r="F25" s="39"/>
      <c r="G25" s="39"/>
      <c r="H25" s="39"/>
      <c r="I25" s="39">
        <v>0.59</v>
      </c>
      <c r="J25" s="39">
        <v>0.16</v>
      </c>
      <c r="K25" s="39">
        <v>-0.05</v>
      </c>
      <c r="L25" s="39">
        <v>0.35</v>
      </c>
      <c r="M25" s="39">
        <v>-0.05</v>
      </c>
      <c r="N25" s="39">
        <v>0.1</v>
      </c>
      <c r="O25" s="39">
        <v>0.23</v>
      </c>
      <c r="P25" s="39">
        <v>0.14000000000000001</v>
      </c>
      <c r="Q25" s="39">
        <v>-0.01</v>
      </c>
      <c r="R25" s="39">
        <v>-0.14000000000000001</v>
      </c>
      <c r="S25" s="39">
        <v>-0.17</v>
      </c>
      <c r="T25" s="39">
        <v>0.1</v>
      </c>
      <c r="U25" s="39">
        <v>1.53</v>
      </c>
      <c r="V25" s="39">
        <v>0.28999999999999998</v>
      </c>
      <c r="W25" s="39">
        <v>0.25</v>
      </c>
      <c r="X25" s="39">
        <v>0.04</v>
      </c>
      <c r="Y25" s="39">
        <v>-7.0000000000000007E-2</v>
      </c>
      <c r="Z25" s="39">
        <v>0.77</v>
      </c>
      <c r="AA25" s="39">
        <v>0.66</v>
      </c>
      <c r="AB25" s="39">
        <v>0.28999999999999998</v>
      </c>
      <c r="AC25" s="39">
        <v>0.05</v>
      </c>
      <c r="AD25" s="39">
        <v>0.18</v>
      </c>
      <c r="AE25" s="39">
        <v>0.06</v>
      </c>
      <c r="AF25" s="39">
        <v>0.1</v>
      </c>
      <c r="AG25" s="39">
        <v>0.11</v>
      </c>
      <c r="AH25" s="39">
        <v>0.05</v>
      </c>
      <c r="AI25" s="39">
        <v>0.16</v>
      </c>
      <c r="AJ25" s="39">
        <v>0.16</v>
      </c>
      <c r="AK25" s="39">
        <v>0.16</v>
      </c>
      <c r="AL25" s="39">
        <v>0.09</v>
      </c>
      <c r="AM25" s="39">
        <v>0.13</v>
      </c>
      <c r="AN25" s="39">
        <v>0.15</v>
      </c>
      <c r="AO25" s="39">
        <v>0.15</v>
      </c>
      <c r="AP25" s="39">
        <v>0.19</v>
      </c>
      <c r="AQ25" s="39">
        <v>0.19</v>
      </c>
      <c r="AR25" s="39">
        <v>0.14000000000000001</v>
      </c>
      <c r="AS25" s="39">
        <v>0</v>
      </c>
      <c r="AT25" s="39">
        <v>-7.0000000000000007E-2</v>
      </c>
      <c r="AU25" s="39">
        <v>-0.18</v>
      </c>
      <c r="AV25" s="39">
        <v>-0.14000000000000001</v>
      </c>
      <c r="AW25" s="39">
        <v>-0.04</v>
      </c>
      <c r="AX25" s="39">
        <v>0.06</v>
      </c>
      <c r="AY25" s="39">
        <v>0.2</v>
      </c>
      <c r="AZ25" s="39">
        <v>0.25</v>
      </c>
      <c r="BA25" s="39">
        <v>0.23</v>
      </c>
      <c r="BB25" s="39">
        <v>0.12</v>
      </c>
      <c r="BC25" s="39">
        <v>0.09</v>
      </c>
      <c r="BD25" s="39">
        <v>0.01</v>
      </c>
      <c r="BE25" s="39">
        <v>0.01</v>
      </c>
      <c r="BF25" s="39">
        <v>0.02</v>
      </c>
      <c r="BG25" s="39">
        <v>0.02</v>
      </c>
      <c r="BH25" s="39">
        <v>0.06</v>
      </c>
      <c r="BI25" s="39">
        <v>0</v>
      </c>
      <c r="BJ25" s="39">
        <v>-0.42</v>
      </c>
      <c r="BK25" s="39">
        <v>0.14000000000000001</v>
      </c>
      <c r="BL25" s="39">
        <v>0.13</v>
      </c>
      <c r="BM25" s="39">
        <v>0.16</v>
      </c>
      <c r="BN25" s="39">
        <v>1.04</v>
      </c>
      <c r="BO25" s="39">
        <v>0.01</v>
      </c>
      <c r="BP25" s="39">
        <v>0.01</v>
      </c>
      <c r="BQ25" s="39">
        <v>-0.04</v>
      </c>
      <c r="BR25" s="39">
        <v>-0.09</v>
      </c>
      <c r="BS25" s="39">
        <v>-0.11</v>
      </c>
      <c r="BT25" s="39">
        <v>-0.16</v>
      </c>
      <c r="BU25" s="39">
        <v>-0.15</v>
      </c>
      <c r="BV25" s="39">
        <v>-0.08</v>
      </c>
      <c r="BW25" s="39">
        <v>-0.05</v>
      </c>
      <c r="BX25" s="39">
        <v>-0.03</v>
      </c>
      <c r="BY25" s="39">
        <v>0.01</v>
      </c>
      <c r="BZ25" s="39">
        <v>0.01</v>
      </c>
      <c r="CA25" s="39">
        <v>7.0000000000000007E-2</v>
      </c>
      <c r="CB25" s="39">
        <v>0.13</v>
      </c>
      <c r="CC25" s="39">
        <v>0.12</v>
      </c>
      <c r="CD25" s="39">
        <v>0.06</v>
      </c>
      <c r="CE25" s="39">
        <v>-0.03</v>
      </c>
      <c r="CF25" s="39">
        <f t="shared" si="0"/>
        <v>0.01</v>
      </c>
      <c r="CG25" s="39">
        <f t="shared" si="1"/>
        <v>0.1</v>
      </c>
      <c r="CH25" s="39">
        <f t="shared" si="2"/>
        <v>0.09</v>
      </c>
      <c r="CJ25" s="41"/>
      <c r="CK25" s="41"/>
      <c r="CL25" s="41"/>
    </row>
    <row r="26" spans="1:90" ht="13.5" customHeight="1" x14ac:dyDescent="0.75">
      <c r="A26" s="14"/>
      <c r="B26" s="4" t="s">
        <v>120</v>
      </c>
      <c r="C26" s="3" t="s">
        <v>121</v>
      </c>
      <c r="D26" s="32"/>
      <c r="E26" s="32"/>
      <c r="F26" s="32"/>
      <c r="G26" s="32"/>
      <c r="H26" s="32"/>
      <c r="I26" s="32">
        <v>0.1</v>
      </c>
      <c r="J26" s="32">
        <v>0.06</v>
      </c>
      <c r="K26" s="32">
        <v>0</v>
      </c>
      <c r="L26" s="32">
        <v>0.05</v>
      </c>
      <c r="M26" s="32">
        <v>0.16</v>
      </c>
      <c r="N26" s="32">
        <v>0.16</v>
      </c>
      <c r="O26" s="32">
        <v>0.24</v>
      </c>
      <c r="P26" s="32">
        <v>0.18</v>
      </c>
      <c r="Q26" s="32">
        <v>0.13</v>
      </c>
      <c r="R26" s="32">
        <v>0.09</v>
      </c>
      <c r="S26" s="32">
        <v>0.18</v>
      </c>
      <c r="T26" s="32">
        <v>0.18</v>
      </c>
      <c r="U26" s="32">
        <v>0.16</v>
      </c>
      <c r="V26" s="32">
        <v>0.23</v>
      </c>
      <c r="W26" s="32">
        <v>0.1</v>
      </c>
      <c r="X26" s="32">
        <v>0.14000000000000001</v>
      </c>
      <c r="Y26" s="32">
        <v>0.05</v>
      </c>
      <c r="Z26" s="32">
        <v>0.14000000000000001</v>
      </c>
      <c r="AA26" s="32">
        <v>0.2</v>
      </c>
      <c r="AB26" s="32">
        <v>0.21</v>
      </c>
      <c r="AC26" s="32">
        <v>0.28000000000000003</v>
      </c>
      <c r="AD26" s="32">
        <v>0.18</v>
      </c>
      <c r="AE26" s="32">
        <v>0.14000000000000001</v>
      </c>
      <c r="AF26" s="32">
        <v>0.1</v>
      </c>
      <c r="AG26" s="32">
        <v>0.1</v>
      </c>
      <c r="AH26" s="32">
        <v>7.0000000000000007E-2</v>
      </c>
      <c r="AI26" s="32">
        <v>0.06</v>
      </c>
      <c r="AJ26" s="32">
        <v>0.09</v>
      </c>
      <c r="AK26" s="32">
        <v>0.09</v>
      </c>
      <c r="AL26" s="32">
        <v>0.09</v>
      </c>
      <c r="AM26" s="32">
        <v>0.08</v>
      </c>
      <c r="AN26" s="32">
        <v>0.09</v>
      </c>
      <c r="AO26" s="32">
        <v>0.08</v>
      </c>
      <c r="AP26" s="32">
        <v>0.09</v>
      </c>
      <c r="AQ26" s="32">
        <v>0.08</v>
      </c>
      <c r="AR26" s="32">
        <v>7.0000000000000007E-2</v>
      </c>
      <c r="AS26" s="32">
        <v>0.16</v>
      </c>
      <c r="AT26" s="32">
        <v>0.13</v>
      </c>
      <c r="AU26" s="32">
        <v>0.14000000000000001</v>
      </c>
      <c r="AV26" s="32">
        <v>0.12</v>
      </c>
      <c r="AW26" s="32">
        <v>0.05</v>
      </c>
      <c r="AX26" s="32">
        <v>0.06</v>
      </c>
      <c r="AY26" s="32">
        <v>0.12</v>
      </c>
      <c r="AZ26" s="32">
        <v>0.09</v>
      </c>
      <c r="BA26" s="32">
        <v>0.11</v>
      </c>
      <c r="BB26" s="32">
        <v>0.09</v>
      </c>
      <c r="BC26" s="32">
        <v>0.11</v>
      </c>
      <c r="BD26" s="32">
        <v>0.08</v>
      </c>
      <c r="BE26" s="32">
        <v>0.08</v>
      </c>
      <c r="BF26" s="32">
        <v>0.09</v>
      </c>
      <c r="BG26" s="32">
        <v>7.0000000000000007E-2</v>
      </c>
      <c r="BH26" s="32">
        <v>0.06</v>
      </c>
      <c r="BI26" s="32">
        <v>0.04</v>
      </c>
      <c r="BJ26" s="32">
        <v>-0.06</v>
      </c>
      <c r="BK26" s="32">
        <v>0.02</v>
      </c>
      <c r="BL26" s="32">
        <v>0.08</v>
      </c>
      <c r="BM26" s="32">
        <v>0.02</v>
      </c>
      <c r="BN26" s="32">
        <v>0.23</v>
      </c>
      <c r="BO26" s="32">
        <v>0.12</v>
      </c>
      <c r="BP26" s="32">
        <v>0.11</v>
      </c>
      <c r="BQ26" s="32">
        <v>0.21</v>
      </c>
      <c r="BR26" s="32">
        <v>0.12</v>
      </c>
      <c r="BS26" s="32">
        <v>0.13</v>
      </c>
      <c r="BT26" s="32">
        <v>0.11</v>
      </c>
      <c r="BU26" s="32">
        <v>0.02</v>
      </c>
      <c r="BV26" s="32">
        <v>7.0000000000000007E-2</v>
      </c>
      <c r="BW26" s="32">
        <v>0.13</v>
      </c>
      <c r="BX26" s="32">
        <v>7.0000000000000007E-2</v>
      </c>
      <c r="BY26" s="32">
        <v>0.17</v>
      </c>
      <c r="BZ26" s="32">
        <v>0.23</v>
      </c>
      <c r="CA26" s="32">
        <v>0.18</v>
      </c>
      <c r="CB26" s="32">
        <v>0.23</v>
      </c>
      <c r="CC26" s="32">
        <v>0.23</v>
      </c>
      <c r="CD26" s="32">
        <v>0.14000000000000001</v>
      </c>
      <c r="CE26" s="32">
        <v>0.12</v>
      </c>
      <c r="CF26" s="32">
        <f t="shared" si="0"/>
        <v>0.2</v>
      </c>
      <c r="CG26" s="32">
        <f t="shared" si="1"/>
        <v>0.20500000000000002</v>
      </c>
      <c r="CH26" s="32">
        <f t="shared" si="2"/>
        <v>0.185</v>
      </c>
    </row>
    <row r="27" spans="1:90" ht="13.5" customHeight="1" x14ac:dyDescent="0.75">
      <c r="A27" s="14"/>
      <c r="B27" s="4" t="s">
        <v>122</v>
      </c>
      <c r="C27" s="3" t="s">
        <v>123</v>
      </c>
      <c r="D27" s="32"/>
      <c r="E27" s="32"/>
      <c r="F27" s="32"/>
      <c r="G27" s="32"/>
      <c r="H27" s="32"/>
      <c r="I27" s="32">
        <v>0.1</v>
      </c>
      <c r="J27" s="32">
        <v>0.06</v>
      </c>
      <c r="K27" s="32">
        <v>0</v>
      </c>
      <c r="L27" s="32">
        <v>0.05</v>
      </c>
      <c r="M27" s="32">
        <v>0.16</v>
      </c>
      <c r="N27" s="32">
        <v>0.16</v>
      </c>
      <c r="O27" s="32">
        <v>0.24</v>
      </c>
      <c r="P27" s="32">
        <v>0.18</v>
      </c>
      <c r="Q27" s="32">
        <v>0.13</v>
      </c>
      <c r="R27" s="32">
        <v>0.09</v>
      </c>
      <c r="S27" s="32">
        <v>0.18</v>
      </c>
      <c r="T27" s="32">
        <v>0.18</v>
      </c>
      <c r="U27" s="32">
        <v>0.16</v>
      </c>
      <c r="V27" s="32">
        <v>0.23</v>
      </c>
      <c r="W27" s="32">
        <v>0.1</v>
      </c>
      <c r="X27" s="32">
        <v>0.14000000000000001</v>
      </c>
      <c r="Y27" s="32">
        <v>0.17</v>
      </c>
      <c r="Z27" s="32">
        <v>0.13</v>
      </c>
      <c r="AA27" s="32">
        <v>0.18</v>
      </c>
      <c r="AB27" s="32">
        <v>0.14000000000000001</v>
      </c>
      <c r="AC27" s="32">
        <v>0.12</v>
      </c>
      <c r="AD27" s="32">
        <v>7.0000000000000007E-2</v>
      </c>
      <c r="AE27" s="32">
        <v>0.08</v>
      </c>
      <c r="AF27" s="32">
        <v>7.0000000000000007E-2</v>
      </c>
      <c r="AG27" s="32">
        <v>0.05</v>
      </c>
      <c r="AH27" s="32">
        <v>7.0000000000000007E-2</v>
      </c>
      <c r="AI27" s="32">
        <v>0.04</v>
      </c>
      <c r="AJ27" s="32">
        <v>0.03</v>
      </c>
      <c r="AK27" s="32">
        <v>0.04</v>
      </c>
      <c r="AL27" s="32">
        <v>0.04</v>
      </c>
      <c r="AM27" s="32">
        <v>0.02</v>
      </c>
      <c r="AN27" s="32">
        <v>0.02</v>
      </c>
      <c r="AO27" s="32">
        <v>0.02</v>
      </c>
      <c r="AP27" s="32">
        <v>0</v>
      </c>
      <c r="AQ27" s="32">
        <v>0</v>
      </c>
      <c r="AR27" s="32">
        <v>0.01</v>
      </c>
      <c r="AS27" s="32">
        <v>0.04</v>
      </c>
      <c r="AT27" s="32">
        <v>0.06</v>
      </c>
      <c r="AU27" s="32">
        <v>0.06</v>
      </c>
      <c r="AV27" s="32">
        <v>0.06</v>
      </c>
      <c r="AW27" s="32">
        <v>0.02</v>
      </c>
      <c r="AX27" s="32">
        <v>0.02</v>
      </c>
      <c r="AY27" s="32">
        <v>0.02</v>
      </c>
      <c r="AZ27" s="32">
        <v>0.02</v>
      </c>
      <c r="BA27" s="32">
        <v>0.02</v>
      </c>
      <c r="BB27" s="32">
        <v>0.01</v>
      </c>
      <c r="BC27" s="32">
        <v>0.03</v>
      </c>
      <c r="BD27" s="32">
        <v>0.03</v>
      </c>
      <c r="BE27" s="32">
        <v>0.03</v>
      </c>
      <c r="BF27" s="32">
        <v>0.03</v>
      </c>
      <c r="BG27" s="32">
        <v>0.02</v>
      </c>
      <c r="BH27" s="32">
        <v>0.01</v>
      </c>
      <c r="BI27" s="32">
        <v>0.02</v>
      </c>
      <c r="BJ27" s="32">
        <v>0.01</v>
      </c>
      <c r="BK27" s="32">
        <v>0.03</v>
      </c>
      <c r="BL27" s="32">
        <v>0.03</v>
      </c>
      <c r="BM27" s="32">
        <v>0.03</v>
      </c>
      <c r="BN27" s="32">
        <v>0.05</v>
      </c>
      <c r="BO27" s="32">
        <v>0.09</v>
      </c>
      <c r="BP27" s="32">
        <v>0.09</v>
      </c>
      <c r="BQ27" s="32">
        <v>0.08</v>
      </c>
      <c r="BR27" s="32">
        <v>0.08</v>
      </c>
      <c r="BS27" s="32">
        <v>0.04</v>
      </c>
      <c r="BT27" s="32">
        <v>0.03</v>
      </c>
      <c r="BU27" s="32">
        <v>0.04</v>
      </c>
      <c r="BV27" s="32">
        <v>0.03</v>
      </c>
      <c r="BW27" s="32">
        <v>0.04</v>
      </c>
      <c r="BX27" s="32">
        <v>0.04</v>
      </c>
      <c r="BY27" s="32">
        <v>0.02</v>
      </c>
      <c r="BZ27" s="32">
        <v>0.06</v>
      </c>
      <c r="CA27" s="32">
        <v>7.0000000000000007E-2</v>
      </c>
      <c r="CB27" s="32">
        <v>7.0000000000000007E-2</v>
      </c>
      <c r="CC27" s="32">
        <v>0.09</v>
      </c>
      <c r="CD27" s="32">
        <v>0.05</v>
      </c>
      <c r="CE27" s="32">
        <v>0.02</v>
      </c>
      <c r="CF27" s="32">
        <f t="shared" si="0"/>
        <v>0.04</v>
      </c>
      <c r="CG27" s="32">
        <f t="shared" si="1"/>
        <v>7.0000000000000007E-2</v>
      </c>
      <c r="CH27" s="32">
        <f t="shared" si="2"/>
        <v>7.0000000000000007E-2</v>
      </c>
    </row>
    <row r="28" spans="1:90" ht="13.5" customHeight="1" x14ac:dyDescent="0.75">
      <c r="A28" s="14"/>
      <c r="B28" s="4" t="s">
        <v>124</v>
      </c>
      <c r="C28" s="3" t="s">
        <v>125</v>
      </c>
      <c r="D28" s="32"/>
      <c r="E28" s="32"/>
      <c r="F28" s="32"/>
      <c r="G28" s="32"/>
      <c r="H28" s="32"/>
      <c r="I28" s="32">
        <v>0.28999999999999998</v>
      </c>
      <c r="J28" s="32">
        <v>0.08</v>
      </c>
      <c r="K28" s="32">
        <v>0.13</v>
      </c>
      <c r="L28" s="32">
        <v>0.12</v>
      </c>
      <c r="M28" s="32">
        <v>0.15</v>
      </c>
      <c r="N28" s="32">
        <v>0.31</v>
      </c>
      <c r="O28" s="32">
        <v>0.37</v>
      </c>
      <c r="P28" s="32">
        <v>0.31</v>
      </c>
      <c r="Q28" s="32">
        <v>0.25</v>
      </c>
      <c r="R28" s="32">
        <v>0</v>
      </c>
      <c r="S28" s="32">
        <v>-0.14000000000000001</v>
      </c>
      <c r="T28" s="32">
        <v>-0.03</v>
      </c>
      <c r="U28" s="32">
        <v>0.05</v>
      </c>
      <c r="V28" s="32">
        <v>0.03</v>
      </c>
      <c r="W28" s="32">
        <v>0.11</v>
      </c>
      <c r="X28" s="32">
        <v>0.16</v>
      </c>
      <c r="Y28" s="32">
        <v>0.24</v>
      </c>
      <c r="Z28" s="32">
        <v>0.2</v>
      </c>
      <c r="AA28" s="32">
        <v>0.25</v>
      </c>
      <c r="AB28" s="32">
        <v>0.26</v>
      </c>
      <c r="AC28" s="32">
        <v>-0.01</v>
      </c>
      <c r="AD28" s="32">
        <v>0.16</v>
      </c>
      <c r="AE28" s="32">
        <v>0.24</v>
      </c>
      <c r="AF28" s="32">
        <v>0.21</v>
      </c>
      <c r="AG28" s="32">
        <v>0.19</v>
      </c>
      <c r="AH28" s="32">
        <v>0.21</v>
      </c>
      <c r="AI28" s="32">
        <v>0.09</v>
      </c>
      <c r="AJ28" s="32">
        <v>-0.02</v>
      </c>
      <c r="AK28" s="32">
        <v>0.08</v>
      </c>
      <c r="AL28" s="32">
        <v>0.12</v>
      </c>
      <c r="AM28" s="32">
        <v>0.13</v>
      </c>
      <c r="AN28" s="32">
        <v>0.08</v>
      </c>
      <c r="AO28" s="32">
        <v>7.0000000000000007E-2</v>
      </c>
      <c r="AP28" s="32">
        <v>0.13</v>
      </c>
      <c r="AQ28" s="32">
        <v>0.17</v>
      </c>
      <c r="AR28" s="32">
        <v>0.24</v>
      </c>
      <c r="AS28" s="32">
        <v>0.21</v>
      </c>
      <c r="AT28" s="32">
        <v>0.08</v>
      </c>
      <c r="AU28" s="32">
        <v>-0.02</v>
      </c>
      <c r="AV28" s="32">
        <v>-0.05</v>
      </c>
      <c r="AW28" s="32">
        <v>-0.14000000000000001</v>
      </c>
      <c r="AX28" s="32">
        <v>-0.12</v>
      </c>
      <c r="AY28" s="32">
        <v>-0.05</v>
      </c>
      <c r="AZ28" s="32">
        <v>-0.08</v>
      </c>
      <c r="BA28" s="32">
        <v>-0.05</v>
      </c>
      <c r="BB28" s="32">
        <v>0.01</v>
      </c>
      <c r="BC28" s="32">
        <v>7.0000000000000007E-2</v>
      </c>
      <c r="BD28" s="32">
        <v>0.14000000000000001</v>
      </c>
      <c r="BE28" s="32">
        <v>0.28000000000000003</v>
      </c>
      <c r="BF28" s="32">
        <v>0.37</v>
      </c>
      <c r="BG28" s="32">
        <v>0.34</v>
      </c>
      <c r="BH28" s="32">
        <v>0.32</v>
      </c>
      <c r="BI28" s="32">
        <v>0.06</v>
      </c>
      <c r="BJ28" s="32">
        <v>-0.2</v>
      </c>
      <c r="BK28" s="32">
        <v>-0.06</v>
      </c>
      <c r="BL28" s="32">
        <v>-0.02</v>
      </c>
      <c r="BM28" s="32">
        <v>0.14000000000000001</v>
      </c>
      <c r="BN28" s="32">
        <v>0.06</v>
      </c>
      <c r="BO28" s="32">
        <v>0</v>
      </c>
      <c r="BP28" s="32">
        <v>-0.02</v>
      </c>
      <c r="BQ28" s="32">
        <v>0.26</v>
      </c>
      <c r="BR28" s="32">
        <v>0.72</v>
      </c>
      <c r="BS28" s="32">
        <v>0.21</v>
      </c>
      <c r="BT28" s="32">
        <v>0.2</v>
      </c>
      <c r="BU28" s="32">
        <v>-0.06</v>
      </c>
      <c r="BV28" s="32">
        <v>-0.06</v>
      </c>
      <c r="BW28" s="32">
        <v>0.19</v>
      </c>
      <c r="BX28" s="32">
        <v>0.28000000000000003</v>
      </c>
      <c r="BY28" s="32">
        <v>0.32</v>
      </c>
      <c r="BZ28" s="32">
        <v>0.16</v>
      </c>
      <c r="CA28" s="32">
        <v>-0.05</v>
      </c>
      <c r="CB28" s="32">
        <v>-7.0000000000000007E-2</v>
      </c>
      <c r="CC28" s="32">
        <v>0.02</v>
      </c>
      <c r="CD28" s="32">
        <v>0.05</v>
      </c>
      <c r="CE28" s="32">
        <v>0.2</v>
      </c>
      <c r="CF28" s="32">
        <f t="shared" si="0"/>
        <v>0.24</v>
      </c>
      <c r="CG28" s="32">
        <f t="shared" si="1"/>
        <v>-6.0000000000000005E-2</v>
      </c>
      <c r="CH28" s="32">
        <f t="shared" si="2"/>
        <v>3.5000000000000003E-2</v>
      </c>
    </row>
    <row r="29" spans="1:90" ht="14.25" customHeight="1" x14ac:dyDescent="0.75">
      <c r="A29" s="1"/>
      <c r="B29" s="23" t="s">
        <v>126</v>
      </c>
      <c r="C29" s="24" t="s">
        <v>127</v>
      </c>
      <c r="D29" s="30"/>
      <c r="E29" s="30"/>
      <c r="F29" s="30"/>
      <c r="G29" s="30"/>
      <c r="H29" s="30"/>
      <c r="I29" s="30">
        <v>0.16</v>
      </c>
      <c r="J29" s="30">
        <v>0.1</v>
      </c>
      <c r="K29" s="30">
        <v>0.08</v>
      </c>
      <c r="L29" s="30">
        <v>0.15</v>
      </c>
      <c r="M29" s="30">
        <v>0.11</v>
      </c>
      <c r="N29" s="30">
        <v>0.15</v>
      </c>
      <c r="O29" s="30">
        <v>0.15</v>
      </c>
      <c r="P29" s="30">
        <v>0.14000000000000001</v>
      </c>
      <c r="Q29" s="30">
        <v>0.17</v>
      </c>
      <c r="R29" s="30">
        <v>0.04</v>
      </c>
      <c r="S29" s="30">
        <v>0.03</v>
      </c>
      <c r="T29" s="30">
        <v>0.02</v>
      </c>
      <c r="U29" s="30">
        <v>0.06</v>
      </c>
      <c r="V29" s="30">
        <v>0.08</v>
      </c>
      <c r="W29" s="30">
        <v>0.09</v>
      </c>
      <c r="X29" s="30">
        <v>0.13</v>
      </c>
      <c r="Y29" s="30">
        <v>0.09</v>
      </c>
      <c r="Z29" s="30">
        <v>0.05</v>
      </c>
      <c r="AA29" s="30">
        <v>0.11</v>
      </c>
      <c r="AB29" s="30">
        <v>0.06</v>
      </c>
      <c r="AC29" s="30">
        <v>0.12</v>
      </c>
      <c r="AD29" s="30">
        <v>0.15</v>
      </c>
      <c r="AE29" s="30">
        <v>0.1</v>
      </c>
      <c r="AF29" s="30">
        <v>0.1</v>
      </c>
      <c r="AG29" s="30">
        <v>0.04</v>
      </c>
      <c r="AH29" s="30">
        <v>7.0000000000000007E-2</v>
      </c>
      <c r="AI29" s="30">
        <v>0.03</v>
      </c>
      <c r="AJ29" s="30">
        <v>0.08</v>
      </c>
      <c r="AK29" s="30">
        <v>0.08</v>
      </c>
      <c r="AL29" s="30">
        <v>0.06</v>
      </c>
      <c r="AM29" s="30">
        <v>0.09</v>
      </c>
      <c r="AN29" s="30">
        <v>0.05</v>
      </c>
      <c r="AO29" s="30">
        <v>0.1</v>
      </c>
      <c r="AP29" s="30">
        <v>0.11</v>
      </c>
      <c r="AQ29" s="30">
        <v>0.1</v>
      </c>
      <c r="AR29" s="30">
        <v>0.11</v>
      </c>
      <c r="AS29" s="30">
        <v>0.09</v>
      </c>
      <c r="AT29" s="30">
        <v>0.09</v>
      </c>
      <c r="AU29" s="30">
        <v>0.06</v>
      </c>
      <c r="AV29" s="30">
        <v>0.05</v>
      </c>
      <c r="AW29" s="30">
        <v>0.02</v>
      </c>
      <c r="AX29" s="30">
        <v>0.04</v>
      </c>
      <c r="AY29" s="30">
        <v>0.09</v>
      </c>
      <c r="AZ29" s="30">
        <v>7.0000000000000007E-2</v>
      </c>
      <c r="BA29" s="30">
        <v>0.12</v>
      </c>
      <c r="BB29" s="30">
        <v>0.08</v>
      </c>
      <c r="BC29" s="30">
        <v>7.0000000000000007E-2</v>
      </c>
      <c r="BD29" s="30">
        <v>0.12</v>
      </c>
      <c r="BE29" s="30">
        <v>0.04</v>
      </c>
      <c r="BF29" s="30">
        <v>0.11</v>
      </c>
      <c r="BG29" s="30">
        <v>0.1</v>
      </c>
      <c r="BH29" s="30">
        <v>0.08</v>
      </c>
      <c r="BI29" s="30">
        <v>0.06</v>
      </c>
      <c r="BJ29" s="30">
        <v>-0.16</v>
      </c>
      <c r="BK29" s="30">
        <v>-0.08</v>
      </c>
      <c r="BL29" s="30">
        <v>-0.03</v>
      </c>
      <c r="BM29" s="30">
        <v>0</v>
      </c>
      <c r="BN29" s="30">
        <v>0.28999999999999998</v>
      </c>
      <c r="BO29" s="30">
        <v>0.1</v>
      </c>
      <c r="BP29" s="30">
        <v>0.12</v>
      </c>
      <c r="BQ29" s="30">
        <v>0.11</v>
      </c>
      <c r="BR29" s="30">
        <v>0.09</v>
      </c>
      <c r="BS29" s="30">
        <v>0.12</v>
      </c>
      <c r="BT29" s="30">
        <v>0.1</v>
      </c>
      <c r="BU29" s="30">
        <v>0.13</v>
      </c>
      <c r="BV29" s="30">
        <v>7.0000000000000007E-2</v>
      </c>
      <c r="BW29" s="30">
        <v>0.11</v>
      </c>
      <c r="BX29" s="30">
        <v>0.16</v>
      </c>
      <c r="BY29" s="30">
        <v>0.05</v>
      </c>
      <c r="BZ29" s="30">
        <v>0.12</v>
      </c>
      <c r="CA29" s="30">
        <v>0.1</v>
      </c>
      <c r="CB29" s="30">
        <v>0.08</v>
      </c>
      <c r="CC29" s="30">
        <v>0.08</v>
      </c>
      <c r="CD29" s="30">
        <v>0.09</v>
      </c>
      <c r="CE29" s="30">
        <v>0.1</v>
      </c>
      <c r="CF29" s="30">
        <f t="shared" si="0"/>
        <v>8.4999999999999992E-2</v>
      </c>
      <c r="CG29" s="30">
        <f t="shared" si="1"/>
        <v>0.09</v>
      </c>
      <c r="CH29" s="30">
        <f t="shared" si="2"/>
        <v>8.4999999999999992E-2</v>
      </c>
    </row>
    <row r="30" spans="1:90" ht="14.25" customHeight="1" x14ac:dyDescent="0.75">
      <c r="A30" s="1"/>
      <c r="B30" s="23" t="s">
        <v>128</v>
      </c>
      <c r="C30" s="24" t="s">
        <v>129</v>
      </c>
      <c r="D30" s="30"/>
      <c r="E30" s="30"/>
      <c r="F30" s="30"/>
      <c r="G30" s="30"/>
      <c r="H30" s="30"/>
      <c r="I30" s="30">
        <v>0.24</v>
      </c>
      <c r="J30" s="30">
        <v>0.11</v>
      </c>
      <c r="K30" s="30">
        <v>7.0000000000000007E-2</v>
      </c>
      <c r="L30" s="30">
        <v>0.2</v>
      </c>
      <c r="M30" s="30">
        <v>0.11</v>
      </c>
      <c r="N30" s="30">
        <v>0.22</v>
      </c>
      <c r="O30" s="30">
        <v>0.28000000000000003</v>
      </c>
      <c r="P30" s="30">
        <v>0.2</v>
      </c>
      <c r="Q30" s="30">
        <v>0.26</v>
      </c>
      <c r="R30" s="30">
        <v>0.03</v>
      </c>
      <c r="S30" s="30">
        <v>-0.03</v>
      </c>
      <c r="T30" s="30">
        <v>0</v>
      </c>
      <c r="U30" s="30">
        <v>0.03</v>
      </c>
      <c r="V30" s="30">
        <v>0.06</v>
      </c>
      <c r="W30" s="30">
        <v>0.13</v>
      </c>
      <c r="X30" s="30">
        <v>0.14000000000000001</v>
      </c>
      <c r="Y30" s="30">
        <v>0.06</v>
      </c>
      <c r="Z30" s="30">
        <v>0.02</v>
      </c>
      <c r="AA30" s="30">
        <v>0.13</v>
      </c>
      <c r="AB30" s="30">
        <v>0.08</v>
      </c>
      <c r="AC30" s="30">
        <v>0.16</v>
      </c>
      <c r="AD30" s="30">
        <v>0.19</v>
      </c>
      <c r="AE30" s="30">
        <v>0.16</v>
      </c>
      <c r="AF30" s="30">
        <v>0.09</v>
      </c>
      <c r="AG30" s="30">
        <v>0.03</v>
      </c>
      <c r="AH30" s="30">
        <v>0.08</v>
      </c>
      <c r="AI30" s="30">
        <v>0.02</v>
      </c>
      <c r="AJ30" s="30">
        <v>0.11</v>
      </c>
      <c r="AK30" s="30">
        <v>0.13</v>
      </c>
      <c r="AL30" s="30">
        <v>0.06</v>
      </c>
      <c r="AM30" s="30">
        <v>0.06</v>
      </c>
      <c r="AN30" s="30">
        <v>0.04</v>
      </c>
      <c r="AO30" s="30">
        <v>0.12</v>
      </c>
      <c r="AP30" s="30">
        <v>0.12</v>
      </c>
      <c r="AQ30" s="30">
        <v>0.11</v>
      </c>
      <c r="AR30" s="30">
        <v>0.11</v>
      </c>
      <c r="AS30" s="30">
        <v>0.1</v>
      </c>
      <c r="AT30" s="30">
        <v>0.15</v>
      </c>
      <c r="AU30" s="30">
        <v>0.05</v>
      </c>
      <c r="AV30" s="30">
        <v>-0.02</v>
      </c>
      <c r="AW30" s="30">
        <v>-0.03</v>
      </c>
      <c r="AX30" s="30">
        <v>0.01</v>
      </c>
      <c r="AY30" s="30">
        <v>0.12</v>
      </c>
      <c r="AZ30" s="30">
        <v>0.17</v>
      </c>
      <c r="BA30" s="30">
        <v>0.26</v>
      </c>
      <c r="BB30" s="30">
        <v>0.13</v>
      </c>
      <c r="BC30" s="30">
        <v>0.15</v>
      </c>
      <c r="BD30" s="30">
        <v>0.2</v>
      </c>
      <c r="BE30" s="30">
        <v>0.06</v>
      </c>
      <c r="BF30" s="30">
        <v>0.18</v>
      </c>
      <c r="BG30" s="30">
        <v>0.19</v>
      </c>
      <c r="BH30" s="30">
        <v>0.13</v>
      </c>
      <c r="BI30" s="30">
        <v>7.0000000000000007E-2</v>
      </c>
      <c r="BJ30" s="30">
        <v>-0.28999999999999998</v>
      </c>
      <c r="BK30" s="30">
        <v>-0.12</v>
      </c>
      <c r="BL30" s="30">
        <v>-7.0000000000000007E-2</v>
      </c>
      <c r="BM30" s="30">
        <v>-0.04</v>
      </c>
      <c r="BN30" s="30">
        <v>0.51</v>
      </c>
      <c r="BO30" s="30">
        <v>0.03</v>
      </c>
      <c r="BP30" s="30">
        <v>0.12</v>
      </c>
      <c r="BQ30" s="30">
        <v>0.13</v>
      </c>
      <c r="BR30" s="30">
        <v>0.14000000000000001</v>
      </c>
      <c r="BS30" s="30">
        <v>0.14000000000000001</v>
      </c>
      <c r="BT30" s="30">
        <v>0.12</v>
      </c>
      <c r="BU30" s="30">
        <v>0.21</v>
      </c>
      <c r="BV30" s="30">
        <v>0.04</v>
      </c>
      <c r="BW30" s="30">
        <v>0.17</v>
      </c>
      <c r="BX30" s="30">
        <v>0.14000000000000001</v>
      </c>
      <c r="BY30" s="30">
        <v>0.04</v>
      </c>
      <c r="BZ30" s="30">
        <v>0.13</v>
      </c>
      <c r="CA30" s="30">
        <v>0.09</v>
      </c>
      <c r="CB30" s="30">
        <v>0.09</v>
      </c>
      <c r="CC30" s="30">
        <v>0.09</v>
      </c>
      <c r="CD30" s="30">
        <v>0.1</v>
      </c>
      <c r="CE30" s="30">
        <v>0.15</v>
      </c>
      <c r="CF30" s="30">
        <f t="shared" si="0"/>
        <v>8.5000000000000006E-2</v>
      </c>
      <c r="CG30" s="30">
        <f t="shared" si="1"/>
        <v>0.09</v>
      </c>
      <c r="CH30" s="30">
        <f t="shared" si="2"/>
        <v>9.5000000000000001E-2</v>
      </c>
    </row>
    <row r="31" spans="1:90" ht="13.5" customHeight="1" x14ac:dyDescent="0.75">
      <c r="A31" s="14"/>
      <c r="B31" s="4" t="s">
        <v>130</v>
      </c>
      <c r="C31" s="3" t="s">
        <v>131</v>
      </c>
      <c r="D31" s="32"/>
      <c r="E31" s="32"/>
      <c r="F31" s="32"/>
      <c r="G31" s="32"/>
      <c r="H31" s="32"/>
      <c r="I31" s="32">
        <v>0.26</v>
      </c>
      <c r="J31" s="32">
        <v>0.11</v>
      </c>
      <c r="K31" s="32">
        <v>7.0000000000000007E-2</v>
      </c>
      <c r="L31" s="32">
        <v>0.18</v>
      </c>
      <c r="M31" s="32">
        <v>0.1</v>
      </c>
      <c r="N31" s="32">
        <v>0.21</v>
      </c>
      <c r="O31" s="32">
        <v>0.28000000000000003</v>
      </c>
      <c r="P31" s="32">
        <v>0.19</v>
      </c>
      <c r="Q31" s="32">
        <v>0.28000000000000003</v>
      </c>
      <c r="R31" s="32">
        <v>0.01</v>
      </c>
      <c r="S31" s="32">
        <v>-0.05</v>
      </c>
      <c r="T31" s="32">
        <v>-0.03</v>
      </c>
      <c r="U31" s="32">
        <v>0.01</v>
      </c>
      <c r="V31" s="32">
        <v>0.05</v>
      </c>
      <c r="W31" s="32">
        <v>0.13</v>
      </c>
      <c r="X31" s="32">
        <v>0.17</v>
      </c>
      <c r="Y31" s="32">
        <v>0.12</v>
      </c>
      <c r="Z31" s="32">
        <v>0.12</v>
      </c>
      <c r="AA31" s="32">
        <v>7.0000000000000007E-2</v>
      </c>
      <c r="AB31" s="32">
        <v>0.02</v>
      </c>
      <c r="AC31" s="32">
        <v>7.0000000000000007E-2</v>
      </c>
      <c r="AD31" s="32">
        <v>0.08</v>
      </c>
      <c r="AE31" s="32">
        <v>0.09</v>
      </c>
      <c r="AF31" s="32">
        <v>0.09</v>
      </c>
      <c r="AG31" s="32">
        <v>7.0000000000000007E-2</v>
      </c>
      <c r="AH31" s="32">
        <v>0.06</v>
      </c>
      <c r="AI31" s="32">
        <v>0.05</v>
      </c>
      <c r="AJ31" s="32">
        <v>0.04</v>
      </c>
      <c r="AK31" s="32">
        <v>0.04</v>
      </c>
      <c r="AL31" s="32">
        <v>0.04</v>
      </c>
      <c r="AM31" s="32">
        <v>0.04</v>
      </c>
      <c r="AN31" s="32">
        <v>0.04</v>
      </c>
      <c r="AO31" s="32">
        <v>0.05</v>
      </c>
      <c r="AP31" s="32">
        <v>0.05</v>
      </c>
      <c r="AQ31" s="32">
        <v>0.05</v>
      </c>
      <c r="AR31" s="32">
        <v>0.05</v>
      </c>
      <c r="AS31" s="32">
        <v>0.05</v>
      </c>
      <c r="AT31" s="32">
        <v>7.0000000000000007E-2</v>
      </c>
      <c r="AU31" s="32">
        <v>0.08</v>
      </c>
      <c r="AV31" s="32">
        <v>7.0000000000000007E-2</v>
      </c>
      <c r="AW31" s="32">
        <v>7.0000000000000007E-2</v>
      </c>
      <c r="AX31" s="32">
        <v>0.06</v>
      </c>
      <c r="AY31" s="32">
        <v>0.05</v>
      </c>
      <c r="AZ31" s="32">
        <v>0.06</v>
      </c>
      <c r="BA31" s="32">
        <v>7.0000000000000007E-2</v>
      </c>
      <c r="BB31" s="32">
        <v>7.0000000000000007E-2</v>
      </c>
      <c r="BC31" s="32">
        <v>0.06</v>
      </c>
      <c r="BD31" s="32">
        <v>7.0000000000000007E-2</v>
      </c>
      <c r="BE31" s="32">
        <v>0.06</v>
      </c>
      <c r="BF31" s="32">
        <v>0.06</v>
      </c>
      <c r="BG31" s="32">
        <v>7.0000000000000007E-2</v>
      </c>
      <c r="BH31" s="32">
        <v>0.09</v>
      </c>
      <c r="BI31" s="32">
        <v>0.01</v>
      </c>
      <c r="BJ31" s="32">
        <v>-0.43</v>
      </c>
      <c r="BK31" s="32">
        <v>0.14000000000000001</v>
      </c>
      <c r="BL31" s="32">
        <v>0.15</v>
      </c>
      <c r="BM31" s="32">
        <v>0.28999999999999998</v>
      </c>
      <c r="BN31" s="32">
        <v>1.47</v>
      </c>
      <c r="BO31" s="32">
        <v>0.23</v>
      </c>
      <c r="BP31" s="32">
        <v>0.24</v>
      </c>
      <c r="BQ31" s="32">
        <v>0.19</v>
      </c>
      <c r="BR31" s="32">
        <v>0.1</v>
      </c>
      <c r="BS31" s="32">
        <v>0.14000000000000001</v>
      </c>
      <c r="BT31" s="32">
        <v>0.12</v>
      </c>
      <c r="BU31" s="32">
        <v>0.11</v>
      </c>
      <c r="BV31" s="32">
        <v>0.16</v>
      </c>
      <c r="BW31" s="32">
        <v>0.15</v>
      </c>
      <c r="BX31" s="32">
        <v>0.16</v>
      </c>
      <c r="BY31" s="32">
        <v>0.14000000000000001</v>
      </c>
      <c r="BZ31" s="32">
        <v>7.0000000000000007E-2</v>
      </c>
      <c r="CA31" s="32">
        <v>0.09</v>
      </c>
      <c r="CB31" s="32">
        <v>0.23</v>
      </c>
      <c r="CC31" s="32">
        <v>0.35</v>
      </c>
      <c r="CD31" s="32">
        <v>0.34</v>
      </c>
      <c r="CE31" s="32">
        <v>0.34</v>
      </c>
      <c r="CF31" s="32">
        <f t="shared" si="0"/>
        <v>0.10500000000000001</v>
      </c>
      <c r="CG31" s="32">
        <f t="shared" si="1"/>
        <v>0.16</v>
      </c>
      <c r="CH31" s="32">
        <f t="shared" si="2"/>
        <v>0.34499999999999997</v>
      </c>
    </row>
    <row r="32" spans="1:90" ht="13.5" customHeight="1" x14ac:dyDescent="0.75">
      <c r="A32" s="14"/>
      <c r="B32" s="4" t="s">
        <v>132</v>
      </c>
      <c r="C32" s="3" t="s">
        <v>133</v>
      </c>
      <c r="D32" s="32"/>
      <c r="E32" s="32"/>
      <c r="F32" s="32"/>
      <c r="G32" s="32"/>
      <c r="H32" s="32"/>
      <c r="I32" s="32">
        <v>0.26</v>
      </c>
      <c r="J32" s="32">
        <v>0.11</v>
      </c>
      <c r="K32" s="32">
        <v>7.0000000000000007E-2</v>
      </c>
      <c r="L32" s="32">
        <v>0.18</v>
      </c>
      <c r="M32" s="32">
        <v>0.1</v>
      </c>
      <c r="N32" s="32">
        <v>0.21</v>
      </c>
      <c r="O32" s="32">
        <v>0.28000000000000003</v>
      </c>
      <c r="P32" s="32">
        <v>0.19</v>
      </c>
      <c r="Q32" s="32">
        <v>0.28000000000000003</v>
      </c>
      <c r="R32" s="32">
        <v>0.01</v>
      </c>
      <c r="S32" s="32">
        <v>-0.05</v>
      </c>
      <c r="T32" s="32">
        <v>-0.03</v>
      </c>
      <c r="U32" s="32">
        <v>0.01</v>
      </c>
      <c r="V32" s="32">
        <v>0.05</v>
      </c>
      <c r="W32" s="32">
        <v>0.13</v>
      </c>
      <c r="X32" s="32">
        <v>0.17</v>
      </c>
      <c r="Y32" s="32">
        <v>0.06</v>
      </c>
      <c r="Z32" s="32">
        <v>0.02</v>
      </c>
      <c r="AA32" s="32">
        <v>0.15</v>
      </c>
      <c r="AB32" s="32">
        <v>0.08</v>
      </c>
      <c r="AC32" s="32">
        <v>0.17</v>
      </c>
      <c r="AD32" s="32">
        <v>0.2</v>
      </c>
      <c r="AE32" s="32">
        <v>0.14000000000000001</v>
      </c>
      <c r="AF32" s="32">
        <v>7.0000000000000007E-2</v>
      </c>
      <c r="AG32" s="32">
        <v>-0.01</v>
      </c>
      <c r="AH32" s="32">
        <v>0.09</v>
      </c>
      <c r="AI32" s="32">
        <v>0.02</v>
      </c>
      <c r="AJ32" s="32">
        <v>0.13</v>
      </c>
      <c r="AK32" s="32">
        <v>0.18</v>
      </c>
      <c r="AL32" s="32">
        <v>0.05</v>
      </c>
      <c r="AM32" s="32">
        <v>7.0000000000000007E-2</v>
      </c>
      <c r="AN32" s="32">
        <v>0.05</v>
      </c>
      <c r="AO32" s="32">
        <v>0.14000000000000001</v>
      </c>
      <c r="AP32" s="32">
        <v>0.15</v>
      </c>
      <c r="AQ32" s="32">
        <v>0.11</v>
      </c>
      <c r="AR32" s="32">
        <v>0.11</v>
      </c>
      <c r="AS32" s="32">
        <v>0.1</v>
      </c>
      <c r="AT32" s="32">
        <v>0.16</v>
      </c>
      <c r="AU32" s="32">
        <v>0.06</v>
      </c>
      <c r="AV32" s="32">
        <v>-0.06</v>
      </c>
      <c r="AW32" s="32">
        <v>-7.0000000000000007E-2</v>
      </c>
      <c r="AX32" s="32">
        <v>-0.05</v>
      </c>
      <c r="AY32" s="32">
        <v>0.06</v>
      </c>
      <c r="AZ32" s="32">
        <v>0.17</v>
      </c>
      <c r="BA32" s="32">
        <v>0.27</v>
      </c>
      <c r="BB32" s="32">
        <v>0.12</v>
      </c>
      <c r="BC32" s="32">
        <v>0.13</v>
      </c>
      <c r="BD32" s="32">
        <v>0.21</v>
      </c>
      <c r="BE32" s="32">
        <v>0.05</v>
      </c>
      <c r="BF32" s="32">
        <v>0.24</v>
      </c>
      <c r="BG32" s="32">
        <v>0.21</v>
      </c>
      <c r="BH32" s="32">
        <v>0.14000000000000001</v>
      </c>
      <c r="BI32" s="32">
        <v>0.11</v>
      </c>
      <c r="BJ32" s="32">
        <v>-0.22</v>
      </c>
      <c r="BK32" s="32">
        <v>0</v>
      </c>
      <c r="BL32" s="32">
        <v>-0.02</v>
      </c>
      <c r="BM32" s="32">
        <v>-0.01</v>
      </c>
      <c r="BN32" s="32">
        <v>0.48</v>
      </c>
      <c r="BO32" s="32">
        <v>-0.05</v>
      </c>
      <c r="BP32" s="32">
        <v>7.0000000000000007E-2</v>
      </c>
      <c r="BQ32" s="32">
        <v>0.08</v>
      </c>
      <c r="BR32" s="32">
        <v>0.09</v>
      </c>
      <c r="BS32" s="32">
        <v>0.08</v>
      </c>
      <c r="BT32" s="32">
        <v>0.09</v>
      </c>
      <c r="BU32" s="32">
        <v>0.22</v>
      </c>
      <c r="BV32" s="32">
        <v>0.01</v>
      </c>
      <c r="BW32" s="32">
        <v>0.17</v>
      </c>
      <c r="BX32" s="32">
        <v>0.16</v>
      </c>
      <c r="BY32" s="32">
        <v>0.02</v>
      </c>
      <c r="BZ32" s="32">
        <v>0.16</v>
      </c>
      <c r="CA32" s="32">
        <v>0.13</v>
      </c>
      <c r="CB32" s="32">
        <v>0.13</v>
      </c>
      <c r="CC32" s="32">
        <v>0.13</v>
      </c>
      <c r="CD32" s="32">
        <v>0.13</v>
      </c>
      <c r="CE32" s="32">
        <v>0.2</v>
      </c>
      <c r="CF32" s="32">
        <f t="shared" si="0"/>
        <v>0.09</v>
      </c>
      <c r="CG32" s="32">
        <f t="shared" si="1"/>
        <v>0.13</v>
      </c>
      <c r="CH32" s="32">
        <f t="shared" si="2"/>
        <v>0.13</v>
      </c>
    </row>
    <row r="33" spans="1:86" ht="13.5" customHeight="1" x14ac:dyDescent="0.75">
      <c r="A33" s="14"/>
      <c r="B33" s="4" t="s">
        <v>134</v>
      </c>
      <c r="C33" s="3" t="s">
        <v>135</v>
      </c>
      <c r="D33" s="32"/>
      <c r="E33" s="32"/>
      <c r="F33" s="32"/>
      <c r="G33" s="32"/>
      <c r="H33" s="32"/>
      <c r="I33" s="32">
        <v>0.17</v>
      </c>
      <c r="J33" s="32">
        <v>0.1</v>
      </c>
      <c r="K33" s="32">
        <v>0.08</v>
      </c>
      <c r="L33" s="32">
        <v>0.25</v>
      </c>
      <c r="M33" s="32">
        <v>0.17</v>
      </c>
      <c r="N33" s="32">
        <v>0.26</v>
      </c>
      <c r="O33" s="32">
        <v>0.3</v>
      </c>
      <c r="P33" s="32">
        <v>0.23</v>
      </c>
      <c r="Q33" s="32">
        <v>0.22</v>
      </c>
      <c r="R33" s="32">
        <v>0.1</v>
      </c>
      <c r="S33" s="32">
        <v>0.02</v>
      </c>
      <c r="T33" s="32">
        <v>0.06</v>
      </c>
      <c r="U33" s="32">
        <v>0.1</v>
      </c>
      <c r="V33" s="32">
        <v>0.08</v>
      </c>
      <c r="W33" s="32">
        <v>0.12</v>
      </c>
      <c r="X33" s="32">
        <v>7.0000000000000007E-2</v>
      </c>
      <c r="Y33" s="32">
        <v>0.04</v>
      </c>
      <c r="Z33" s="32">
        <v>0</v>
      </c>
      <c r="AA33" s="32">
        <v>0.08</v>
      </c>
      <c r="AB33" s="32">
        <v>0.06</v>
      </c>
      <c r="AC33" s="32">
        <v>0.14000000000000001</v>
      </c>
      <c r="AD33" s="32">
        <v>0.2</v>
      </c>
      <c r="AE33" s="32">
        <v>0.24</v>
      </c>
      <c r="AF33" s="32">
        <v>0.19</v>
      </c>
      <c r="AG33" s="32">
        <v>0.1</v>
      </c>
      <c r="AH33" s="32">
        <v>0.08</v>
      </c>
      <c r="AI33" s="32">
        <v>0.03</v>
      </c>
      <c r="AJ33" s="32">
        <v>7.0000000000000007E-2</v>
      </c>
      <c r="AK33" s="32">
        <v>0.05</v>
      </c>
      <c r="AL33" s="32">
        <v>0.06</v>
      </c>
      <c r="AM33" s="32">
        <v>0.03</v>
      </c>
      <c r="AN33" s="32">
        <v>0.02</v>
      </c>
      <c r="AO33" s="32">
        <v>0.11</v>
      </c>
      <c r="AP33" s="32">
        <v>7.0000000000000007E-2</v>
      </c>
      <c r="AQ33" s="32">
        <v>0.1</v>
      </c>
      <c r="AR33" s="32">
        <v>0.12</v>
      </c>
      <c r="AS33" s="32">
        <v>0.1</v>
      </c>
      <c r="AT33" s="32">
        <v>0.14000000000000001</v>
      </c>
      <c r="AU33" s="32">
        <v>0.03</v>
      </c>
      <c r="AV33" s="32">
        <v>0.06</v>
      </c>
      <c r="AW33" s="32">
        <v>0.05</v>
      </c>
      <c r="AX33" s="32">
        <v>0.13</v>
      </c>
      <c r="AY33" s="32">
        <v>0.24</v>
      </c>
      <c r="AZ33" s="32">
        <v>0.18</v>
      </c>
      <c r="BA33" s="32">
        <v>0.26</v>
      </c>
      <c r="BB33" s="32">
        <v>0.15</v>
      </c>
      <c r="BC33" s="32">
        <v>0.18</v>
      </c>
      <c r="BD33" s="32">
        <v>0.2</v>
      </c>
      <c r="BE33" s="32">
        <v>0.08</v>
      </c>
      <c r="BF33" s="32">
        <v>0.11</v>
      </c>
      <c r="BG33" s="32">
        <v>0.18</v>
      </c>
      <c r="BH33" s="32">
        <v>0.12</v>
      </c>
      <c r="BI33" s="32">
        <v>0</v>
      </c>
      <c r="BJ33" s="32">
        <v>-0.41</v>
      </c>
      <c r="BK33" s="32">
        <v>-0.33</v>
      </c>
      <c r="BL33" s="32">
        <v>-0.19</v>
      </c>
      <c r="BM33" s="32">
        <v>-0.14000000000000001</v>
      </c>
      <c r="BN33" s="32">
        <v>0.55000000000000004</v>
      </c>
      <c r="BO33" s="32">
        <v>0.16</v>
      </c>
      <c r="BP33" s="32">
        <v>0.15</v>
      </c>
      <c r="BQ33" s="32">
        <v>0.19</v>
      </c>
      <c r="BR33" s="32">
        <v>0.2</v>
      </c>
      <c r="BS33" s="32">
        <v>0.21</v>
      </c>
      <c r="BT33" s="32">
        <v>0.15</v>
      </c>
      <c r="BU33" s="32">
        <v>0.2</v>
      </c>
      <c r="BV33" s="32">
        <v>0.06</v>
      </c>
      <c r="BW33" s="32">
        <v>0.18</v>
      </c>
      <c r="BX33" s="32">
        <v>0.13</v>
      </c>
      <c r="BY33" s="32">
        <v>0.06</v>
      </c>
      <c r="BZ33" s="32">
        <v>0.1</v>
      </c>
      <c r="CA33" s="32">
        <v>0.06</v>
      </c>
      <c r="CB33" s="32">
        <v>0.04</v>
      </c>
      <c r="CC33" s="32">
        <v>0.02</v>
      </c>
      <c r="CD33" s="32">
        <v>0.05</v>
      </c>
      <c r="CE33" s="32">
        <v>0.09</v>
      </c>
      <c r="CF33" s="32">
        <f t="shared" si="0"/>
        <v>0.08</v>
      </c>
      <c r="CG33" s="32">
        <f t="shared" si="1"/>
        <v>0.05</v>
      </c>
      <c r="CH33" s="32">
        <f t="shared" si="2"/>
        <v>3.5000000000000003E-2</v>
      </c>
    </row>
    <row r="34" spans="1:86" ht="14.25" customHeight="1" x14ac:dyDescent="0.75">
      <c r="A34" s="1"/>
      <c r="B34" s="23" t="s">
        <v>136</v>
      </c>
      <c r="C34" s="24" t="s">
        <v>137</v>
      </c>
      <c r="D34" s="30"/>
      <c r="E34" s="30"/>
      <c r="F34" s="30"/>
      <c r="G34" s="30"/>
      <c r="H34" s="30"/>
      <c r="I34" s="30">
        <v>0.12</v>
      </c>
      <c r="J34" s="30">
        <v>0.1</v>
      </c>
      <c r="K34" s="30">
        <v>0.09</v>
      </c>
      <c r="L34" s="30">
        <v>0.13</v>
      </c>
      <c r="M34" s="30">
        <v>0.1</v>
      </c>
      <c r="N34" s="30">
        <v>0.11</v>
      </c>
      <c r="O34" s="30">
        <v>0.08</v>
      </c>
      <c r="P34" s="30">
        <v>0.11</v>
      </c>
      <c r="Q34" s="30">
        <v>0.12</v>
      </c>
      <c r="R34" s="30">
        <v>0.05</v>
      </c>
      <c r="S34" s="30">
        <v>0.08</v>
      </c>
      <c r="T34" s="30">
        <v>0.03</v>
      </c>
      <c r="U34" s="30">
        <v>7.0000000000000007E-2</v>
      </c>
      <c r="V34" s="30">
        <v>0.1</v>
      </c>
      <c r="W34" s="30">
        <v>7.0000000000000007E-2</v>
      </c>
      <c r="X34" s="30">
        <v>0.13</v>
      </c>
      <c r="Y34" s="30">
        <v>0.11</v>
      </c>
      <c r="Z34" s="30">
        <v>0.08</v>
      </c>
      <c r="AA34" s="30">
        <v>0.11</v>
      </c>
      <c r="AB34" s="30">
        <v>0.06</v>
      </c>
      <c r="AC34" s="30">
        <v>0.1</v>
      </c>
      <c r="AD34" s="30">
        <v>0.13</v>
      </c>
      <c r="AE34" s="30">
        <v>7.0000000000000007E-2</v>
      </c>
      <c r="AF34" s="30">
        <v>0.1</v>
      </c>
      <c r="AG34" s="30">
        <v>0.04</v>
      </c>
      <c r="AH34" s="30">
        <v>0.06</v>
      </c>
      <c r="AI34" s="30">
        <v>0.04</v>
      </c>
      <c r="AJ34" s="30">
        <v>0.06</v>
      </c>
      <c r="AK34" s="30">
        <v>0.06</v>
      </c>
      <c r="AL34" s="30">
        <v>0.06</v>
      </c>
      <c r="AM34" s="30">
        <v>0.1</v>
      </c>
      <c r="AN34" s="30">
        <v>0.06</v>
      </c>
      <c r="AO34" s="30">
        <v>0.1</v>
      </c>
      <c r="AP34" s="30">
        <v>0.1</v>
      </c>
      <c r="AQ34" s="30">
        <v>0.1</v>
      </c>
      <c r="AR34" s="30">
        <v>0.11</v>
      </c>
      <c r="AS34" s="30">
        <v>0.09</v>
      </c>
      <c r="AT34" s="30">
        <v>7.0000000000000007E-2</v>
      </c>
      <c r="AU34" s="30">
        <v>0.06</v>
      </c>
      <c r="AV34" s="30">
        <v>7.0000000000000007E-2</v>
      </c>
      <c r="AW34" s="30">
        <v>0.04</v>
      </c>
      <c r="AX34" s="30">
        <v>0.05</v>
      </c>
      <c r="AY34" s="30">
        <v>0.08</v>
      </c>
      <c r="AZ34" s="30">
        <v>0.04</v>
      </c>
      <c r="BA34" s="30">
        <v>0.08</v>
      </c>
      <c r="BB34" s="30">
        <v>0.06</v>
      </c>
      <c r="BC34" s="30">
        <v>0.05</v>
      </c>
      <c r="BD34" s="30">
        <v>0.08</v>
      </c>
      <c r="BE34" s="30">
        <v>0.03</v>
      </c>
      <c r="BF34" s="30">
        <v>0.08</v>
      </c>
      <c r="BG34" s="30">
        <v>7.0000000000000007E-2</v>
      </c>
      <c r="BH34" s="30">
        <v>0.05</v>
      </c>
      <c r="BI34" s="30">
        <v>0.05</v>
      </c>
      <c r="BJ34" s="30">
        <v>-0.11</v>
      </c>
      <c r="BK34" s="30">
        <v>-0.06</v>
      </c>
      <c r="BL34" s="30">
        <v>-0.02</v>
      </c>
      <c r="BM34" s="30">
        <v>0.01</v>
      </c>
      <c r="BN34" s="30">
        <v>0.21</v>
      </c>
      <c r="BO34" s="30">
        <v>0.13</v>
      </c>
      <c r="BP34" s="30">
        <v>0.12</v>
      </c>
      <c r="BQ34" s="30">
        <v>0.1</v>
      </c>
      <c r="BR34" s="30">
        <v>0.06</v>
      </c>
      <c r="BS34" s="30">
        <v>0.11</v>
      </c>
      <c r="BT34" s="30">
        <v>0.08</v>
      </c>
      <c r="BU34" s="30">
        <v>0.09</v>
      </c>
      <c r="BV34" s="30">
        <v>0.08</v>
      </c>
      <c r="BW34" s="30">
        <v>7.0000000000000007E-2</v>
      </c>
      <c r="BX34" s="30">
        <v>0.17</v>
      </c>
      <c r="BY34" s="30">
        <v>0.06</v>
      </c>
      <c r="BZ34" s="30">
        <v>0.12</v>
      </c>
      <c r="CA34" s="30">
        <v>0.1</v>
      </c>
      <c r="CB34" s="30">
        <v>7.0000000000000007E-2</v>
      </c>
      <c r="CC34" s="30">
        <v>0.08</v>
      </c>
      <c r="CD34" s="30">
        <v>0.08</v>
      </c>
      <c r="CE34" s="30">
        <v>7.0000000000000007E-2</v>
      </c>
      <c r="CF34" s="30">
        <f t="shared" si="0"/>
        <v>0.09</v>
      </c>
      <c r="CG34" s="30">
        <f t="shared" si="1"/>
        <v>8.5000000000000006E-2</v>
      </c>
      <c r="CH34" s="30">
        <f t="shared" si="2"/>
        <v>0.08</v>
      </c>
    </row>
    <row r="35" spans="1:86" ht="13.5" customHeight="1" x14ac:dyDescent="0.75">
      <c r="A35" s="14"/>
      <c r="B35" s="4" t="s">
        <v>138</v>
      </c>
      <c r="C35" s="3" t="s">
        <v>139</v>
      </c>
      <c r="D35" s="32"/>
      <c r="E35" s="32"/>
      <c r="F35" s="32"/>
      <c r="G35" s="32"/>
      <c r="H35" s="32"/>
      <c r="I35" s="32">
        <v>0.08</v>
      </c>
      <c r="J35" s="32">
        <v>-0.01</v>
      </c>
      <c r="K35" s="32">
        <v>-0.03</v>
      </c>
      <c r="L35" s="32">
        <v>0.1</v>
      </c>
      <c r="M35" s="32">
        <v>0.17</v>
      </c>
      <c r="N35" s="32">
        <v>0.06</v>
      </c>
      <c r="O35" s="32">
        <v>0.06</v>
      </c>
      <c r="P35" s="32">
        <v>-0.05</v>
      </c>
      <c r="Q35" s="32">
        <v>-0.16</v>
      </c>
      <c r="R35" s="32">
        <v>-0.06</v>
      </c>
      <c r="S35" s="32">
        <v>-0.05</v>
      </c>
      <c r="T35" s="32">
        <v>0.04</v>
      </c>
      <c r="U35" s="32">
        <v>7.0000000000000007E-2</v>
      </c>
      <c r="V35" s="32">
        <v>0.1</v>
      </c>
      <c r="W35" s="32">
        <v>7.0000000000000007E-2</v>
      </c>
      <c r="X35" s="32">
        <v>0.08</v>
      </c>
      <c r="Y35" s="32">
        <v>0.06</v>
      </c>
      <c r="Z35" s="32">
        <v>0.03</v>
      </c>
      <c r="AA35" s="32">
        <v>0.06</v>
      </c>
      <c r="AB35" s="32">
        <v>0.01</v>
      </c>
      <c r="AC35" s="32">
        <v>7.0000000000000007E-2</v>
      </c>
      <c r="AD35" s="32">
        <v>0.08</v>
      </c>
      <c r="AE35" s="32">
        <v>0.05</v>
      </c>
      <c r="AF35" s="32">
        <v>0.03</v>
      </c>
      <c r="AG35" s="32">
        <v>-0.01</v>
      </c>
      <c r="AH35" s="32">
        <v>0.03</v>
      </c>
      <c r="AI35" s="32">
        <v>0.04</v>
      </c>
      <c r="AJ35" s="32">
        <v>7.0000000000000007E-2</v>
      </c>
      <c r="AK35" s="32">
        <v>0.13</v>
      </c>
      <c r="AL35" s="32">
        <v>0.11</v>
      </c>
      <c r="AM35" s="32">
        <v>0.16</v>
      </c>
      <c r="AN35" s="32">
        <v>0.1</v>
      </c>
      <c r="AO35" s="32">
        <v>0.1</v>
      </c>
      <c r="AP35" s="32">
        <v>0.1</v>
      </c>
      <c r="AQ35" s="32">
        <v>0.06</v>
      </c>
      <c r="AR35" s="32">
        <v>0.12</v>
      </c>
      <c r="AS35" s="32">
        <v>0.12</v>
      </c>
      <c r="AT35" s="32">
        <v>0.11</v>
      </c>
      <c r="AU35" s="32">
        <v>0.12</v>
      </c>
      <c r="AV35" s="32">
        <v>0.09</v>
      </c>
      <c r="AW35" s="32">
        <v>0.15</v>
      </c>
      <c r="AX35" s="32">
        <v>0.06</v>
      </c>
      <c r="AY35" s="32">
        <v>0.03</v>
      </c>
      <c r="AZ35" s="32">
        <v>0.06</v>
      </c>
      <c r="BA35" s="32">
        <v>0.01</v>
      </c>
      <c r="BB35" s="32">
        <v>0.08</v>
      </c>
      <c r="BC35" s="32">
        <v>0.11</v>
      </c>
      <c r="BD35" s="32">
        <v>0.1</v>
      </c>
      <c r="BE35" s="32">
        <v>7.0000000000000007E-2</v>
      </c>
      <c r="BF35" s="32">
        <v>0.09</v>
      </c>
      <c r="BG35" s="32">
        <v>0.11</v>
      </c>
      <c r="BH35" s="32">
        <v>0.12</v>
      </c>
      <c r="BI35" s="32">
        <v>0.03</v>
      </c>
      <c r="BJ35" s="32">
        <v>-0.63</v>
      </c>
      <c r="BK35" s="32">
        <v>-0.55000000000000004</v>
      </c>
      <c r="BL35" s="32">
        <v>-0.44</v>
      </c>
      <c r="BM35" s="32">
        <v>-0.34</v>
      </c>
      <c r="BN35" s="32">
        <v>0.99</v>
      </c>
      <c r="BO35" s="32">
        <v>0.54</v>
      </c>
      <c r="BP35" s="32">
        <v>0.36</v>
      </c>
      <c r="BQ35" s="32">
        <v>0.22</v>
      </c>
      <c r="BR35" s="32">
        <v>0.2</v>
      </c>
      <c r="BS35" s="32">
        <v>0.28999999999999998</v>
      </c>
      <c r="BT35" s="32">
        <v>0.17</v>
      </c>
      <c r="BU35" s="32">
        <v>0.18</v>
      </c>
      <c r="BV35" s="32">
        <v>0.09</v>
      </c>
      <c r="BW35" s="32">
        <v>0.15</v>
      </c>
      <c r="BX35" s="32">
        <v>0.18</v>
      </c>
      <c r="BY35" s="32">
        <v>0.14000000000000001</v>
      </c>
      <c r="BZ35" s="32">
        <v>0.18</v>
      </c>
      <c r="CA35" s="32">
        <v>0.09</v>
      </c>
      <c r="CB35" s="32">
        <v>0.05</v>
      </c>
      <c r="CC35" s="32">
        <v>0.05</v>
      </c>
      <c r="CD35" s="32">
        <v>-7.0000000000000007E-2</v>
      </c>
      <c r="CE35" s="32">
        <v>-0.03</v>
      </c>
      <c r="CF35" s="32">
        <f t="shared" si="0"/>
        <v>0.16</v>
      </c>
      <c r="CG35" s="32">
        <f t="shared" si="1"/>
        <v>7.0000000000000007E-2</v>
      </c>
      <c r="CH35" s="32">
        <f t="shared" si="2"/>
        <v>-1.0000000000000002E-2</v>
      </c>
    </row>
    <row r="36" spans="1:86" ht="13.5" customHeight="1" x14ac:dyDescent="0.75">
      <c r="A36" s="14"/>
      <c r="B36" s="4" t="s">
        <v>140</v>
      </c>
      <c r="C36" s="3" t="s">
        <v>141</v>
      </c>
      <c r="D36" s="32"/>
      <c r="E36" s="32"/>
      <c r="F36" s="32"/>
      <c r="G36" s="32"/>
      <c r="H36" s="32"/>
      <c r="I36" s="32">
        <v>0.17</v>
      </c>
      <c r="J36" s="32">
        <v>0.1</v>
      </c>
      <c r="K36" s="32">
        <v>0.09</v>
      </c>
      <c r="L36" s="32">
        <v>0.25</v>
      </c>
      <c r="M36" s="32">
        <v>0.16</v>
      </c>
      <c r="N36" s="32">
        <v>0.25</v>
      </c>
      <c r="O36" s="32">
        <v>0.28999999999999998</v>
      </c>
      <c r="P36" s="32">
        <v>0.22</v>
      </c>
      <c r="Q36" s="32">
        <v>0.22</v>
      </c>
      <c r="R36" s="32">
        <v>0.1</v>
      </c>
      <c r="S36" s="32">
        <v>0.02</v>
      </c>
      <c r="T36" s="32">
        <v>0.06</v>
      </c>
      <c r="U36" s="32">
        <v>0.1</v>
      </c>
      <c r="V36" s="32">
        <v>0.08</v>
      </c>
      <c r="W36" s="32">
        <v>0.11</v>
      </c>
      <c r="X36" s="32">
        <v>0.06</v>
      </c>
      <c r="Y36" s="32">
        <v>-0.05</v>
      </c>
      <c r="Z36" s="32">
        <v>-0.03</v>
      </c>
      <c r="AA36" s="32">
        <v>0.09</v>
      </c>
      <c r="AB36" s="32">
        <v>0.13</v>
      </c>
      <c r="AC36" s="32">
        <v>0.38</v>
      </c>
      <c r="AD36" s="32">
        <v>0.42</v>
      </c>
      <c r="AE36" s="32">
        <v>0.33</v>
      </c>
      <c r="AF36" s="32">
        <v>0.22</v>
      </c>
      <c r="AG36" s="32">
        <v>-0.01</v>
      </c>
      <c r="AH36" s="32">
        <v>0.03</v>
      </c>
      <c r="AI36" s="32">
        <v>-0.06</v>
      </c>
      <c r="AJ36" s="32">
        <v>0.02</v>
      </c>
      <c r="AK36" s="32">
        <v>0.02</v>
      </c>
      <c r="AL36" s="32">
        <v>0.08</v>
      </c>
      <c r="AM36" s="32">
        <v>0.14000000000000001</v>
      </c>
      <c r="AN36" s="32">
        <v>0.03</v>
      </c>
      <c r="AO36" s="32">
        <v>0.26</v>
      </c>
      <c r="AP36" s="32">
        <v>0.09</v>
      </c>
      <c r="AQ36" s="32">
        <v>0.14000000000000001</v>
      </c>
      <c r="AR36" s="32">
        <v>0.24</v>
      </c>
      <c r="AS36" s="32">
        <v>0.12</v>
      </c>
      <c r="AT36" s="32">
        <v>0.17</v>
      </c>
      <c r="AU36" s="32">
        <v>-0.01</v>
      </c>
      <c r="AV36" s="32">
        <v>0.08</v>
      </c>
      <c r="AW36" s="32">
        <v>0.02</v>
      </c>
      <c r="AX36" s="32">
        <v>0.03</v>
      </c>
      <c r="AY36" s="32">
        <v>0.23</v>
      </c>
      <c r="AZ36" s="32">
        <v>0.14000000000000001</v>
      </c>
      <c r="BA36" s="32">
        <v>0.18</v>
      </c>
      <c r="BB36" s="32">
        <v>0.15</v>
      </c>
      <c r="BC36" s="32">
        <v>0.17</v>
      </c>
      <c r="BD36" s="32">
        <v>0.08</v>
      </c>
      <c r="BE36" s="32">
        <v>0.02</v>
      </c>
      <c r="BF36" s="32">
        <v>0.09</v>
      </c>
      <c r="BG36" s="32">
        <v>-0.01</v>
      </c>
      <c r="BH36" s="32">
        <v>0.25</v>
      </c>
      <c r="BI36" s="32">
        <v>0.34</v>
      </c>
      <c r="BJ36" s="32">
        <v>0.33</v>
      </c>
      <c r="BK36" s="32">
        <v>0.43</v>
      </c>
      <c r="BL36" s="32">
        <v>0.12</v>
      </c>
      <c r="BM36" s="32">
        <v>0.18</v>
      </c>
      <c r="BN36" s="32">
        <v>0.39</v>
      </c>
      <c r="BO36" s="32">
        <v>0.13</v>
      </c>
      <c r="BP36" s="32">
        <v>0.2</v>
      </c>
      <c r="BQ36" s="32">
        <v>0.21</v>
      </c>
      <c r="BR36" s="32">
        <v>0.03</v>
      </c>
      <c r="BS36" s="32">
        <v>0.4</v>
      </c>
      <c r="BT36" s="32">
        <v>0.23</v>
      </c>
      <c r="BU36" s="32">
        <v>0.39</v>
      </c>
      <c r="BV36" s="32">
        <v>0.37</v>
      </c>
      <c r="BW36" s="32">
        <v>0.15</v>
      </c>
      <c r="BX36" s="32">
        <v>0.4</v>
      </c>
      <c r="BY36" s="32">
        <v>0.23</v>
      </c>
      <c r="BZ36" s="32">
        <v>0.26</v>
      </c>
      <c r="CA36" s="32">
        <v>0.19</v>
      </c>
      <c r="CB36" s="32">
        <v>0.16</v>
      </c>
      <c r="CC36" s="32">
        <v>0.12</v>
      </c>
      <c r="CD36" s="32">
        <v>0.11</v>
      </c>
      <c r="CE36" s="32">
        <v>0.17</v>
      </c>
      <c r="CF36" s="32">
        <f t="shared" si="0"/>
        <v>0.245</v>
      </c>
      <c r="CG36" s="32">
        <f t="shared" si="1"/>
        <v>0.17499999999999999</v>
      </c>
      <c r="CH36" s="32">
        <f t="shared" si="2"/>
        <v>0.11499999999999999</v>
      </c>
    </row>
    <row r="37" spans="1:86" ht="13.5" customHeight="1" x14ac:dyDescent="0.75">
      <c r="A37" s="14"/>
      <c r="B37" s="4" t="s">
        <v>142</v>
      </c>
      <c r="C37" s="3" t="s">
        <v>143</v>
      </c>
      <c r="D37" s="32"/>
      <c r="E37" s="32"/>
      <c r="F37" s="32"/>
      <c r="G37" s="32"/>
      <c r="H37" s="32"/>
      <c r="I37" s="32">
        <v>0.01</v>
      </c>
      <c r="J37" s="32">
        <v>0.14000000000000001</v>
      </c>
      <c r="K37" s="32">
        <v>0.17</v>
      </c>
      <c r="L37" s="32">
        <v>0.11</v>
      </c>
      <c r="M37" s="32">
        <v>0.19</v>
      </c>
      <c r="N37" s="32">
        <v>0.11</v>
      </c>
      <c r="O37" s="32">
        <v>-0.2</v>
      </c>
      <c r="P37" s="32">
        <v>0.06</v>
      </c>
      <c r="Q37" s="32">
        <v>0.36</v>
      </c>
      <c r="R37" s="32">
        <v>-0.19</v>
      </c>
      <c r="S37" s="32">
        <v>0.03</v>
      </c>
      <c r="T37" s="32">
        <v>-0.22</v>
      </c>
      <c r="U37" s="32">
        <v>0.13</v>
      </c>
      <c r="V37" s="32">
        <v>7.0000000000000007E-2</v>
      </c>
      <c r="W37" s="32">
        <v>0.15</v>
      </c>
      <c r="X37" s="32">
        <v>0.65</v>
      </c>
      <c r="Y37" s="32">
        <v>0.28000000000000003</v>
      </c>
      <c r="Z37" s="32">
        <v>0.35</v>
      </c>
      <c r="AA37" s="32">
        <v>0.38</v>
      </c>
      <c r="AB37" s="32">
        <v>-0.1</v>
      </c>
      <c r="AC37" s="32">
        <v>0.01</v>
      </c>
      <c r="AD37" s="32">
        <v>0.2</v>
      </c>
      <c r="AE37" s="32">
        <v>-0.04</v>
      </c>
      <c r="AF37" s="32">
        <v>0.39</v>
      </c>
      <c r="AG37" s="32">
        <v>0.15</v>
      </c>
      <c r="AH37" s="32">
        <v>0.13</v>
      </c>
      <c r="AI37" s="32">
        <v>0.06</v>
      </c>
      <c r="AJ37" s="32">
        <v>7.0000000000000007E-2</v>
      </c>
      <c r="AK37" s="32">
        <v>0.03</v>
      </c>
      <c r="AL37" s="32">
        <v>0.01</v>
      </c>
      <c r="AM37" s="32">
        <v>0.09</v>
      </c>
      <c r="AN37" s="32">
        <v>0.02</v>
      </c>
      <c r="AO37" s="32">
        <v>0.09</v>
      </c>
      <c r="AP37" s="32">
        <v>0.09</v>
      </c>
      <c r="AQ37" s="32">
        <v>0.22</v>
      </c>
      <c r="AR37" s="32">
        <v>0.1</v>
      </c>
      <c r="AS37" s="32">
        <v>0.08</v>
      </c>
      <c r="AT37" s="32">
        <v>0.03</v>
      </c>
      <c r="AU37" s="32">
        <v>0.02</v>
      </c>
      <c r="AV37" s="32">
        <v>0.02</v>
      </c>
      <c r="AW37" s="32">
        <v>0.03</v>
      </c>
      <c r="AX37" s="32">
        <v>0.05</v>
      </c>
      <c r="AY37" s="32">
        <v>0.09</v>
      </c>
      <c r="AZ37" s="32">
        <v>0.09</v>
      </c>
      <c r="BA37" s="32">
        <v>0.15</v>
      </c>
      <c r="BB37" s="32">
        <v>0.11</v>
      </c>
      <c r="BC37" s="32">
        <v>0.09</v>
      </c>
      <c r="BD37" s="32">
        <v>0.06</v>
      </c>
      <c r="BE37" s="32">
        <v>0.06</v>
      </c>
      <c r="BF37" s="32">
        <v>0.1</v>
      </c>
      <c r="BG37" s="32">
        <v>0.05</v>
      </c>
      <c r="BH37" s="32">
        <v>0.13</v>
      </c>
      <c r="BI37" s="32">
        <v>-0.05</v>
      </c>
      <c r="BJ37" s="32">
        <v>-0.08</v>
      </c>
      <c r="BK37" s="32">
        <v>-0.03</v>
      </c>
      <c r="BL37" s="32">
        <v>0.06</v>
      </c>
      <c r="BM37" s="32">
        <v>0.1</v>
      </c>
      <c r="BN37" s="32">
        <v>0.14000000000000001</v>
      </c>
      <c r="BO37" s="32">
        <v>0.12</v>
      </c>
      <c r="BP37" s="32">
        <v>0</v>
      </c>
      <c r="BQ37" s="32">
        <v>0.05</v>
      </c>
      <c r="BR37" s="32">
        <v>7.0000000000000007E-2</v>
      </c>
      <c r="BS37" s="32">
        <v>0</v>
      </c>
      <c r="BT37" s="32">
        <v>0.31</v>
      </c>
      <c r="BU37" s="32">
        <v>0.03</v>
      </c>
      <c r="BV37" s="32">
        <v>0.02</v>
      </c>
      <c r="BW37" s="32">
        <v>0.04</v>
      </c>
      <c r="BX37" s="32">
        <v>-0.14000000000000001</v>
      </c>
      <c r="BY37" s="32">
        <v>0.1</v>
      </c>
      <c r="BZ37" s="32">
        <v>0.16</v>
      </c>
      <c r="CA37" s="32">
        <v>0.13</v>
      </c>
      <c r="CB37" s="32">
        <v>0.09</v>
      </c>
      <c r="CC37" s="32">
        <v>0.09</v>
      </c>
      <c r="CD37" s="32">
        <v>0.08</v>
      </c>
      <c r="CE37" s="32">
        <v>0.1</v>
      </c>
      <c r="CF37" s="32">
        <f t="shared" si="0"/>
        <v>0.13</v>
      </c>
      <c r="CG37" s="32">
        <f t="shared" si="1"/>
        <v>0.11</v>
      </c>
      <c r="CH37" s="32">
        <f t="shared" si="2"/>
        <v>8.4999999999999992E-2</v>
      </c>
    </row>
    <row r="38" spans="1:86" ht="13.5" customHeight="1" x14ac:dyDescent="0.75">
      <c r="A38" s="14"/>
      <c r="B38" s="4" t="s">
        <v>144</v>
      </c>
      <c r="C38" s="3" t="s">
        <v>145</v>
      </c>
      <c r="D38" s="32"/>
      <c r="E38" s="32"/>
      <c r="F38" s="32"/>
      <c r="G38" s="32"/>
      <c r="H38" s="32"/>
      <c r="I38" s="32">
        <v>0.05</v>
      </c>
      <c r="J38" s="32">
        <v>0.09</v>
      </c>
      <c r="K38" s="32">
        <v>0.11</v>
      </c>
      <c r="L38" s="32">
        <v>0.18</v>
      </c>
      <c r="M38" s="32">
        <v>0.12</v>
      </c>
      <c r="N38" s="32">
        <v>0.15</v>
      </c>
      <c r="O38" s="32">
        <v>0.13</v>
      </c>
      <c r="P38" s="32">
        <v>0.22</v>
      </c>
      <c r="Q38" s="32">
        <v>0.13</v>
      </c>
      <c r="R38" s="32">
        <v>0.05</v>
      </c>
      <c r="S38" s="32">
        <v>0.14000000000000001</v>
      </c>
      <c r="T38" s="32">
        <v>0.02</v>
      </c>
      <c r="U38" s="32">
        <v>0</v>
      </c>
      <c r="V38" s="32">
        <v>0.09</v>
      </c>
      <c r="W38" s="32">
        <v>-0.03</v>
      </c>
      <c r="X38" s="32">
        <v>-0.01</v>
      </c>
      <c r="Y38" s="32">
        <v>7.0000000000000007E-2</v>
      </c>
      <c r="Z38" s="32">
        <v>0</v>
      </c>
      <c r="AA38" s="32">
        <v>-0.02</v>
      </c>
      <c r="AB38" s="32">
        <v>-0.06</v>
      </c>
      <c r="AC38" s="32">
        <v>0.02</v>
      </c>
      <c r="AD38" s="32">
        <v>0.03</v>
      </c>
      <c r="AE38" s="32">
        <v>-0.03</v>
      </c>
      <c r="AF38" s="32">
        <v>-0.03</v>
      </c>
      <c r="AG38" s="32">
        <v>-0.03</v>
      </c>
      <c r="AH38" s="32">
        <v>-0.04</v>
      </c>
      <c r="AI38" s="32">
        <v>0.05</v>
      </c>
      <c r="AJ38" s="32">
        <v>0.05</v>
      </c>
      <c r="AK38" s="32">
        <v>0.06</v>
      </c>
      <c r="AL38" s="32">
        <v>0.06</v>
      </c>
      <c r="AM38" s="32">
        <v>0.05</v>
      </c>
      <c r="AN38" s="32">
        <v>0.06</v>
      </c>
      <c r="AO38" s="32">
        <v>0.03</v>
      </c>
      <c r="AP38" s="32">
        <v>0.03</v>
      </c>
      <c r="AQ38" s="32">
        <v>7.0000000000000007E-2</v>
      </c>
      <c r="AR38" s="32">
        <v>0.05</v>
      </c>
      <c r="AS38" s="32">
        <v>0.04</v>
      </c>
      <c r="AT38" s="32">
        <v>7.0000000000000007E-2</v>
      </c>
      <c r="AU38" s="32">
        <v>0.04</v>
      </c>
      <c r="AV38" s="32">
        <v>0.09</v>
      </c>
      <c r="AW38" s="32">
        <v>0.1</v>
      </c>
      <c r="AX38" s="32">
        <v>7.0000000000000007E-2</v>
      </c>
      <c r="AY38" s="32">
        <v>0.08</v>
      </c>
      <c r="AZ38" s="32">
        <v>0.04</v>
      </c>
      <c r="BA38" s="32">
        <v>0.03</v>
      </c>
      <c r="BB38" s="32">
        <v>0.06</v>
      </c>
      <c r="BC38" s="32">
        <v>0.05</v>
      </c>
      <c r="BD38" s="32">
        <v>0.05</v>
      </c>
      <c r="BE38" s="32">
        <v>0.04</v>
      </c>
      <c r="BF38" s="32">
        <v>0.1</v>
      </c>
      <c r="BG38" s="32">
        <v>0.02</v>
      </c>
      <c r="BH38" s="32">
        <v>0</v>
      </c>
      <c r="BI38" s="32">
        <v>0</v>
      </c>
      <c r="BJ38" s="32">
        <v>-0.08</v>
      </c>
      <c r="BK38" s="32">
        <v>0.02</v>
      </c>
      <c r="BL38" s="32">
        <v>0.08</v>
      </c>
      <c r="BM38" s="32">
        <v>0.03</v>
      </c>
      <c r="BN38" s="32">
        <v>0.06</v>
      </c>
      <c r="BO38" s="32">
        <v>0.05</v>
      </c>
      <c r="BP38" s="32">
        <v>0.03</v>
      </c>
      <c r="BQ38" s="32">
        <v>0.05</v>
      </c>
      <c r="BR38" s="32">
        <v>0.02</v>
      </c>
      <c r="BS38" s="32">
        <v>0</v>
      </c>
      <c r="BT38" s="32">
        <v>-0.01</v>
      </c>
      <c r="BU38" s="32">
        <v>0.1</v>
      </c>
      <c r="BV38" s="32">
        <v>0.02</v>
      </c>
      <c r="BW38" s="32">
        <v>0.03</v>
      </c>
      <c r="BX38" s="32">
        <v>0.04</v>
      </c>
      <c r="BY38" s="32">
        <v>-0.06</v>
      </c>
      <c r="BZ38" s="32">
        <v>0.03</v>
      </c>
      <c r="CA38" s="32">
        <v>0.03</v>
      </c>
      <c r="CB38" s="32">
        <v>0.17</v>
      </c>
      <c r="CC38" s="32">
        <v>0.02</v>
      </c>
      <c r="CD38" s="32">
        <v>0.03</v>
      </c>
      <c r="CE38" s="32">
        <v>0.04</v>
      </c>
      <c r="CF38" s="32">
        <f t="shared" si="0"/>
        <v>-1.4999999999999999E-2</v>
      </c>
      <c r="CG38" s="32">
        <f t="shared" si="1"/>
        <v>0.1</v>
      </c>
      <c r="CH38" s="32">
        <f t="shared" si="2"/>
        <v>2.5000000000000001E-2</v>
      </c>
    </row>
    <row r="39" spans="1:86" ht="13.5" customHeight="1" x14ac:dyDescent="0.75">
      <c r="A39" s="14"/>
      <c r="B39" s="4" t="s">
        <v>146</v>
      </c>
      <c r="C39" s="3" t="s">
        <v>147</v>
      </c>
      <c r="D39" s="32"/>
      <c r="E39" s="32"/>
      <c r="F39" s="32"/>
      <c r="G39" s="32"/>
      <c r="H39" s="32"/>
      <c r="I39" s="32">
        <v>0.05</v>
      </c>
      <c r="J39" s="32">
        <v>0.09</v>
      </c>
      <c r="K39" s="32">
        <v>0.11</v>
      </c>
      <c r="L39" s="32">
        <v>0.18</v>
      </c>
      <c r="M39" s="32">
        <v>0.12</v>
      </c>
      <c r="N39" s="32">
        <v>0.15</v>
      </c>
      <c r="O39" s="32">
        <v>0.13</v>
      </c>
      <c r="P39" s="32">
        <v>0.22</v>
      </c>
      <c r="Q39" s="32">
        <v>0.13</v>
      </c>
      <c r="R39" s="32">
        <v>0.05</v>
      </c>
      <c r="S39" s="32">
        <v>0.14000000000000001</v>
      </c>
      <c r="T39" s="32">
        <v>0.02</v>
      </c>
      <c r="U39" s="32">
        <v>0</v>
      </c>
      <c r="V39" s="32">
        <v>0.09</v>
      </c>
      <c r="W39" s="32">
        <v>-0.03</v>
      </c>
      <c r="X39" s="32">
        <v>-0.01</v>
      </c>
      <c r="Y39" s="32">
        <v>0.05</v>
      </c>
      <c r="Z39" s="32">
        <v>0.01</v>
      </c>
      <c r="AA39" s="32">
        <v>-0.03</v>
      </c>
      <c r="AB39" s="32">
        <v>-0.03</v>
      </c>
      <c r="AC39" s="32">
        <v>0.09</v>
      </c>
      <c r="AD39" s="32">
        <v>0.06</v>
      </c>
      <c r="AE39" s="32">
        <v>0.04</v>
      </c>
      <c r="AF39" s="32">
        <v>0.05</v>
      </c>
      <c r="AG39" s="32">
        <v>-0.09</v>
      </c>
      <c r="AH39" s="32">
        <v>0.1</v>
      </c>
      <c r="AI39" s="32">
        <v>0.03</v>
      </c>
      <c r="AJ39" s="32">
        <v>0.12</v>
      </c>
      <c r="AK39" s="32">
        <v>0.01</v>
      </c>
      <c r="AL39" s="32">
        <v>-0.09</v>
      </c>
      <c r="AM39" s="32">
        <v>-0.06</v>
      </c>
      <c r="AN39" s="32">
        <v>-0.15</v>
      </c>
      <c r="AO39" s="32">
        <v>0.17</v>
      </c>
      <c r="AP39" s="32">
        <v>0.13</v>
      </c>
      <c r="AQ39" s="32">
        <v>0.08</v>
      </c>
      <c r="AR39" s="32">
        <v>0.18</v>
      </c>
      <c r="AS39" s="32">
        <v>0.01</v>
      </c>
      <c r="AT39" s="32">
        <v>7.0000000000000007E-2</v>
      </c>
      <c r="AU39" s="32">
        <v>0.13</v>
      </c>
      <c r="AV39" s="32">
        <v>0.05</v>
      </c>
      <c r="AW39" s="32">
        <v>0.05</v>
      </c>
      <c r="AX39" s="32">
        <v>0.04</v>
      </c>
      <c r="AY39" s="32">
        <v>0.09</v>
      </c>
      <c r="AZ39" s="32">
        <v>0.14000000000000001</v>
      </c>
      <c r="BA39" s="32">
        <v>0.13</v>
      </c>
      <c r="BB39" s="32">
        <v>7.0000000000000007E-2</v>
      </c>
      <c r="BC39" s="32">
        <v>0.1</v>
      </c>
      <c r="BD39" s="32">
        <v>0.08</v>
      </c>
      <c r="BE39" s="32">
        <v>0.11</v>
      </c>
      <c r="BF39" s="32">
        <v>0.13</v>
      </c>
      <c r="BG39" s="32">
        <v>0.06</v>
      </c>
      <c r="BH39" s="32">
        <v>0.09</v>
      </c>
      <c r="BI39" s="32">
        <v>-0.01</v>
      </c>
      <c r="BJ39" s="32">
        <v>-0.06</v>
      </c>
      <c r="BK39" s="32">
        <v>0.02</v>
      </c>
      <c r="BL39" s="32">
        <v>0.01</v>
      </c>
      <c r="BM39" s="32">
        <v>0.1</v>
      </c>
      <c r="BN39" s="32">
        <v>0.2</v>
      </c>
      <c r="BO39" s="32">
        <v>0.17</v>
      </c>
      <c r="BP39" s="32">
        <v>0.17</v>
      </c>
      <c r="BQ39" s="32">
        <v>0.15</v>
      </c>
      <c r="BR39" s="32">
        <v>0.1</v>
      </c>
      <c r="BS39" s="32">
        <v>7.0000000000000007E-2</v>
      </c>
      <c r="BT39" s="32">
        <v>0.04</v>
      </c>
      <c r="BU39" s="32">
        <v>0.02</v>
      </c>
      <c r="BV39" s="32">
        <v>0.08</v>
      </c>
      <c r="BW39" s="32">
        <v>0.16</v>
      </c>
      <c r="BX39" s="32">
        <v>0.14000000000000001</v>
      </c>
      <c r="BY39" s="32">
        <v>0.16</v>
      </c>
      <c r="BZ39" s="32">
        <v>0.15</v>
      </c>
      <c r="CA39" s="32">
        <v>0.1</v>
      </c>
      <c r="CB39" s="32">
        <v>0.16</v>
      </c>
      <c r="CC39" s="32">
        <v>0.2</v>
      </c>
      <c r="CD39" s="32">
        <v>0.15</v>
      </c>
      <c r="CE39" s="32">
        <v>0.19</v>
      </c>
      <c r="CF39" s="32">
        <f t="shared" si="0"/>
        <v>0.155</v>
      </c>
      <c r="CG39" s="32">
        <f t="shared" si="1"/>
        <v>0.13</v>
      </c>
      <c r="CH39" s="32">
        <f t="shared" si="2"/>
        <v>0.17499999999999999</v>
      </c>
    </row>
    <row r="40" spans="1:86" ht="13.5" customHeight="1" x14ac:dyDescent="0.75">
      <c r="A40" s="14"/>
      <c r="B40" s="4" t="s">
        <v>148</v>
      </c>
      <c r="C40" s="3" t="s">
        <v>149</v>
      </c>
      <c r="D40" s="32"/>
      <c r="E40" s="32"/>
      <c r="F40" s="32"/>
      <c r="G40" s="32"/>
      <c r="H40" s="32"/>
      <c r="I40" s="32">
        <v>0.05</v>
      </c>
      <c r="J40" s="32">
        <v>0.09</v>
      </c>
      <c r="K40" s="32">
        <v>0.11</v>
      </c>
      <c r="L40" s="32">
        <v>0.18</v>
      </c>
      <c r="M40" s="32">
        <v>0.12</v>
      </c>
      <c r="N40" s="32">
        <v>0.15</v>
      </c>
      <c r="O40" s="32">
        <v>0.13</v>
      </c>
      <c r="P40" s="32">
        <v>0.22</v>
      </c>
      <c r="Q40" s="32">
        <v>0.13</v>
      </c>
      <c r="R40" s="32">
        <v>0.05</v>
      </c>
      <c r="S40" s="32">
        <v>0.14000000000000001</v>
      </c>
      <c r="T40" s="32">
        <v>0.02</v>
      </c>
      <c r="U40" s="32">
        <v>0</v>
      </c>
      <c r="V40" s="32">
        <v>0.09</v>
      </c>
      <c r="W40" s="32">
        <v>-0.03</v>
      </c>
      <c r="X40" s="32">
        <v>-0.02</v>
      </c>
      <c r="Y40" s="32">
        <v>0.04</v>
      </c>
      <c r="Z40" s="32">
        <v>-0.02</v>
      </c>
      <c r="AA40" s="32">
        <v>-0.01</v>
      </c>
      <c r="AB40" s="32">
        <v>-0.01</v>
      </c>
      <c r="AC40" s="32">
        <v>0.06</v>
      </c>
      <c r="AD40" s="32">
        <v>0.08</v>
      </c>
      <c r="AE40" s="32">
        <v>7.0000000000000007E-2</v>
      </c>
      <c r="AF40" s="32">
        <v>0.05</v>
      </c>
      <c r="AG40" s="32">
        <v>0.05</v>
      </c>
      <c r="AH40" s="32">
        <v>0.03</v>
      </c>
      <c r="AI40" s="32">
        <v>-0.03</v>
      </c>
      <c r="AJ40" s="32">
        <v>0.09</v>
      </c>
      <c r="AK40" s="32">
        <v>0.12</v>
      </c>
      <c r="AL40" s="32">
        <v>0.14000000000000001</v>
      </c>
      <c r="AM40" s="32">
        <v>0.2</v>
      </c>
      <c r="AN40" s="32">
        <v>0.14000000000000001</v>
      </c>
      <c r="AO40" s="32">
        <v>0.05</v>
      </c>
      <c r="AP40" s="32">
        <v>0.14000000000000001</v>
      </c>
      <c r="AQ40" s="32">
        <v>0.24</v>
      </c>
      <c r="AR40" s="32">
        <v>0.21</v>
      </c>
      <c r="AS40" s="32">
        <v>0.25</v>
      </c>
      <c r="AT40" s="32">
        <v>0.14000000000000001</v>
      </c>
      <c r="AU40" s="32">
        <v>0.06</v>
      </c>
      <c r="AV40" s="32">
        <v>-0.01</v>
      </c>
      <c r="AW40" s="32">
        <v>0.01</v>
      </c>
      <c r="AX40" s="32">
        <v>0.03</v>
      </c>
      <c r="AY40" s="32">
        <v>0.05</v>
      </c>
      <c r="AZ40" s="32">
        <v>0.08</v>
      </c>
      <c r="BA40" s="32">
        <v>0.06</v>
      </c>
      <c r="BB40" s="32">
        <v>0.04</v>
      </c>
      <c r="BC40" s="32">
        <v>0.05</v>
      </c>
      <c r="BD40" s="32">
        <v>0.02</v>
      </c>
      <c r="BE40" s="32">
        <v>0.02</v>
      </c>
      <c r="BF40" s="32">
        <v>0.03</v>
      </c>
      <c r="BG40" s="32">
        <v>0.06</v>
      </c>
      <c r="BH40" s="32">
        <v>7.0000000000000007E-2</v>
      </c>
      <c r="BI40" s="32">
        <v>0.01</v>
      </c>
      <c r="BJ40" s="32">
        <v>-0.08</v>
      </c>
      <c r="BK40" s="32">
        <v>-0.09</v>
      </c>
      <c r="BL40" s="32">
        <v>-0.11</v>
      </c>
      <c r="BM40" s="32">
        <v>-0.04</v>
      </c>
      <c r="BN40" s="32">
        <v>0.18</v>
      </c>
      <c r="BO40" s="32">
        <v>0.16</v>
      </c>
      <c r="BP40" s="32">
        <v>0.2</v>
      </c>
      <c r="BQ40" s="32">
        <v>0.17</v>
      </c>
      <c r="BR40" s="32">
        <v>0.06</v>
      </c>
      <c r="BS40" s="32">
        <v>0.18</v>
      </c>
      <c r="BT40" s="32">
        <v>0.12</v>
      </c>
      <c r="BU40" s="32">
        <v>0.14000000000000001</v>
      </c>
      <c r="BV40" s="32">
        <v>0.1</v>
      </c>
      <c r="BW40" s="32">
        <v>0.1</v>
      </c>
      <c r="BX40" s="32">
        <v>0.18</v>
      </c>
      <c r="BY40" s="32">
        <v>0.03</v>
      </c>
      <c r="BZ40" s="32">
        <v>0.27</v>
      </c>
      <c r="CA40" s="32">
        <v>0.2</v>
      </c>
      <c r="CB40" s="32">
        <v>0.06</v>
      </c>
      <c r="CC40" s="32">
        <v>0.03</v>
      </c>
      <c r="CD40" s="32">
        <v>7.0000000000000007E-2</v>
      </c>
      <c r="CE40" s="32">
        <v>7.0000000000000007E-2</v>
      </c>
      <c r="CF40" s="32">
        <f t="shared" si="0"/>
        <v>0.15000000000000002</v>
      </c>
      <c r="CG40" s="32">
        <f t="shared" si="1"/>
        <v>0.13</v>
      </c>
      <c r="CH40" s="32">
        <f t="shared" si="2"/>
        <v>0.05</v>
      </c>
    </row>
    <row r="41" spans="1:86" ht="13.5" customHeight="1" x14ac:dyDescent="0.75">
      <c r="A41" s="14"/>
      <c r="B41" s="4" t="s">
        <v>150</v>
      </c>
      <c r="C41" s="3" t="s">
        <v>151</v>
      </c>
      <c r="D41" s="32"/>
      <c r="E41" s="32"/>
      <c r="F41" s="32"/>
      <c r="G41" s="32"/>
      <c r="H41" s="32"/>
      <c r="I41" s="32">
        <v>0.22</v>
      </c>
      <c r="J41" s="32">
        <v>0.06</v>
      </c>
      <c r="K41" s="32">
        <v>-0.01</v>
      </c>
      <c r="L41" s="32">
        <v>0</v>
      </c>
      <c r="M41" s="32">
        <v>0.02</v>
      </c>
      <c r="N41" s="32">
        <v>0.03</v>
      </c>
      <c r="O41" s="32">
        <v>0.1</v>
      </c>
      <c r="P41" s="32">
        <v>0.05</v>
      </c>
      <c r="Q41" s="32">
        <v>0.08</v>
      </c>
      <c r="R41" s="32">
        <v>0.11</v>
      </c>
      <c r="S41" s="32">
        <v>0.05</v>
      </c>
      <c r="T41" s="32">
        <v>0.06</v>
      </c>
      <c r="U41" s="32">
        <v>0.05</v>
      </c>
      <c r="V41" s="32">
        <v>0.14000000000000001</v>
      </c>
      <c r="W41" s="32">
        <v>0.15</v>
      </c>
      <c r="X41" s="32">
        <v>0.24</v>
      </c>
      <c r="Y41" s="32">
        <v>0.06</v>
      </c>
      <c r="Z41" s="32">
        <v>-0.04</v>
      </c>
      <c r="AA41" s="32">
        <v>0.28999999999999998</v>
      </c>
      <c r="AB41" s="32">
        <v>0.27</v>
      </c>
      <c r="AC41" s="32">
        <v>0.42</v>
      </c>
      <c r="AD41" s="32">
        <v>0.25</v>
      </c>
      <c r="AE41" s="32">
        <v>0.11</v>
      </c>
      <c r="AF41" s="32">
        <v>0.15</v>
      </c>
      <c r="AG41" s="32">
        <v>7.0000000000000007E-2</v>
      </c>
      <c r="AH41" s="32">
        <v>0.18</v>
      </c>
      <c r="AI41" s="32">
        <v>0.06</v>
      </c>
      <c r="AJ41" s="32">
        <v>7.0000000000000007E-2</v>
      </c>
      <c r="AK41" s="32">
        <v>0.06</v>
      </c>
      <c r="AL41" s="32">
        <v>0.08</v>
      </c>
      <c r="AM41" s="32">
        <v>0.14000000000000001</v>
      </c>
      <c r="AN41" s="32">
        <v>0.01</v>
      </c>
      <c r="AO41" s="32">
        <v>0.1</v>
      </c>
      <c r="AP41" s="32">
        <v>0.03</v>
      </c>
      <c r="AQ41" s="32">
        <v>0</v>
      </c>
      <c r="AR41" s="32">
        <v>0.08</v>
      </c>
      <c r="AS41" s="32">
        <v>0.09</v>
      </c>
      <c r="AT41" s="32">
        <v>0.12</v>
      </c>
      <c r="AU41" s="32">
        <v>0.14000000000000001</v>
      </c>
      <c r="AV41" s="32">
        <v>0.1</v>
      </c>
      <c r="AW41" s="32">
        <v>-0.02</v>
      </c>
      <c r="AX41" s="32">
        <v>0.08</v>
      </c>
      <c r="AY41" s="32">
        <v>0.12</v>
      </c>
      <c r="AZ41" s="32">
        <v>-0.1</v>
      </c>
      <c r="BA41" s="32">
        <v>0.12</v>
      </c>
      <c r="BB41" s="32">
        <v>0.02</v>
      </c>
      <c r="BC41" s="32">
        <v>-0.04</v>
      </c>
      <c r="BD41" s="32">
        <v>0.21</v>
      </c>
      <c r="BE41" s="32">
        <v>-0.04</v>
      </c>
      <c r="BF41" s="32">
        <v>0.09</v>
      </c>
      <c r="BG41" s="32">
        <v>0.13</v>
      </c>
      <c r="BH41" s="32">
        <v>0.01</v>
      </c>
      <c r="BI41" s="32">
        <v>0.15</v>
      </c>
      <c r="BJ41" s="32">
        <v>-0.04</v>
      </c>
      <c r="BK41" s="32">
        <v>0</v>
      </c>
      <c r="BL41" s="32">
        <v>0.01</v>
      </c>
      <c r="BM41" s="32">
        <v>-0.02</v>
      </c>
      <c r="BN41" s="32">
        <v>0.09</v>
      </c>
      <c r="BO41" s="32">
        <v>0.02</v>
      </c>
      <c r="BP41" s="32">
        <v>0.05</v>
      </c>
      <c r="BQ41" s="32">
        <v>0.08</v>
      </c>
      <c r="BR41" s="32">
        <v>0.02</v>
      </c>
      <c r="BS41" s="32">
        <v>0.18</v>
      </c>
      <c r="BT41" s="32">
        <v>0.1</v>
      </c>
      <c r="BU41" s="32">
        <v>0.06</v>
      </c>
      <c r="BV41" s="32">
        <v>0.18</v>
      </c>
      <c r="BW41" s="32">
        <v>0.04</v>
      </c>
      <c r="BX41" s="32">
        <v>0.15</v>
      </c>
      <c r="BY41" s="32">
        <v>0.06</v>
      </c>
      <c r="BZ41" s="32">
        <v>0</v>
      </c>
      <c r="CA41" s="32">
        <v>0.11</v>
      </c>
      <c r="CB41" s="32">
        <v>0.22</v>
      </c>
      <c r="CC41" s="32">
        <v>0.14000000000000001</v>
      </c>
      <c r="CD41" s="32">
        <v>0.16</v>
      </c>
      <c r="CE41" s="32">
        <v>7.0000000000000007E-2</v>
      </c>
      <c r="CF41" s="32">
        <f t="shared" si="0"/>
        <v>0.03</v>
      </c>
      <c r="CG41" s="32">
        <f t="shared" si="1"/>
        <v>0.16500000000000001</v>
      </c>
      <c r="CH41" s="32">
        <f t="shared" si="2"/>
        <v>0.15000000000000002</v>
      </c>
    </row>
    <row r="42" spans="1:86" ht="13.5" customHeight="1" x14ac:dyDescent="0.75">
      <c r="A42" s="14"/>
      <c r="B42" s="4" t="s">
        <v>152</v>
      </c>
      <c r="C42" s="3" t="s">
        <v>153</v>
      </c>
      <c r="D42" s="32"/>
      <c r="E42" s="32"/>
      <c r="F42" s="32"/>
      <c r="G42" s="32"/>
      <c r="H42" s="32"/>
      <c r="I42" s="32">
        <v>0.15</v>
      </c>
      <c r="J42" s="32">
        <v>0.15</v>
      </c>
      <c r="K42" s="32">
        <v>0.15</v>
      </c>
      <c r="L42" s="32">
        <v>0.15</v>
      </c>
      <c r="M42" s="32">
        <v>7.0000000000000007E-2</v>
      </c>
      <c r="N42" s="32">
        <v>7.0000000000000007E-2</v>
      </c>
      <c r="O42" s="32">
        <v>7.0000000000000007E-2</v>
      </c>
      <c r="P42" s="32">
        <v>7.0000000000000007E-2</v>
      </c>
      <c r="Q42" s="32">
        <v>0.16</v>
      </c>
      <c r="R42" s="32">
        <v>0.16</v>
      </c>
      <c r="S42" s="32">
        <v>0.16</v>
      </c>
      <c r="T42" s="32">
        <v>0.16</v>
      </c>
      <c r="U42" s="32">
        <v>0.09</v>
      </c>
      <c r="V42" s="32">
        <v>0.09</v>
      </c>
      <c r="W42" s="32">
        <v>0.09</v>
      </c>
      <c r="X42" s="32">
        <v>0.09</v>
      </c>
      <c r="Y42" s="32">
        <v>0.18</v>
      </c>
      <c r="Z42" s="32">
        <v>0.18</v>
      </c>
      <c r="AA42" s="32">
        <v>0.18</v>
      </c>
      <c r="AB42" s="32">
        <v>0.18</v>
      </c>
      <c r="AC42" s="32">
        <v>7.0000000000000007E-2</v>
      </c>
      <c r="AD42" s="32">
        <v>7.0000000000000007E-2</v>
      </c>
      <c r="AE42" s="32">
        <v>7.0000000000000007E-2</v>
      </c>
      <c r="AF42" s="32">
        <v>7.0000000000000007E-2</v>
      </c>
      <c r="AG42" s="32">
        <v>0.05</v>
      </c>
      <c r="AH42" s="32">
        <v>0.05</v>
      </c>
      <c r="AI42" s="32">
        <v>0.04</v>
      </c>
      <c r="AJ42" s="32">
        <v>0.04</v>
      </c>
      <c r="AK42" s="32">
        <v>0.03</v>
      </c>
      <c r="AL42" s="32">
        <v>0.03</v>
      </c>
      <c r="AM42" s="32">
        <v>0.03</v>
      </c>
      <c r="AN42" s="32">
        <v>0.03</v>
      </c>
      <c r="AO42" s="32">
        <v>0.02</v>
      </c>
      <c r="AP42" s="32">
        <v>0.02</v>
      </c>
      <c r="AQ42" s="32">
        <v>0.02</v>
      </c>
      <c r="AR42" s="32">
        <v>0.02</v>
      </c>
      <c r="AS42" s="32">
        <v>0.04</v>
      </c>
      <c r="AT42" s="32">
        <v>0.04</v>
      </c>
      <c r="AU42" s="32">
        <v>0.04</v>
      </c>
      <c r="AV42" s="32">
        <v>0.04</v>
      </c>
      <c r="AW42" s="32">
        <v>0.02</v>
      </c>
      <c r="AX42" s="32">
        <v>0.02</v>
      </c>
      <c r="AY42" s="32">
        <v>0.02</v>
      </c>
      <c r="AZ42" s="32">
        <v>0.02</v>
      </c>
      <c r="BA42" s="32">
        <v>0.04</v>
      </c>
      <c r="BB42" s="32">
        <v>0.04</v>
      </c>
      <c r="BC42" s="32">
        <v>0.04</v>
      </c>
      <c r="BD42" s="32">
        <v>0.04</v>
      </c>
      <c r="BE42" s="32">
        <v>0.02</v>
      </c>
      <c r="BF42" s="32">
        <v>0.02</v>
      </c>
      <c r="BG42" s="32">
        <v>0.02</v>
      </c>
      <c r="BH42" s="32">
        <v>0.02</v>
      </c>
      <c r="BI42" s="32">
        <v>-0.03</v>
      </c>
      <c r="BJ42" s="32">
        <v>-0.67</v>
      </c>
      <c r="BK42" s="32">
        <v>-0.57999999999999996</v>
      </c>
      <c r="BL42" s="32">
        <v>-0.23</v>
      </c>
      <c r="BM42" s="32">
        <v>0.05</v>
      </c>
      <c r="BN42" s="32">
        <v>2.0699999999999998</v>
      </c>
      <c r="BO42" s="32">
        <v>1.41</v>
      </c>
      <c r="BP42" s="32">
        <v>0.33</v>
      </c>
      <c r="BQ42" s="32">
        <v>0.06</v>
      </c>
      <c r="BR42" s="32">
        <v>0.06</v>
      </c>
      <c r="BS42" s="32">
        <v>0.06</v>
      </c>
      <c r="BT42" s="32">
        <v>0.06</v>
      </c>
      <c r="BU42" s="32">
        <v>0.05</v>
      </c>
      <c r="BV42" s="32">
        <v>0.05</v>
      </c>
      <c r="BW42" s="32">
        <v>0.05</v>
      </c>
      <c r="BX42" s="32">
        <v>0.05</v>
      </c>
      <c r="BY42" s="32">
        <v>0.04</v>
      </c>
      <c r="BZ42" s="32">
        <v>0.04</v>
      </c>
      <c r="CA42" s="32">
        <v>0.04</v>
      </c>
      <c r="CB42" s="32">
        <v>0.04</v>
      </c>
      <c r="CC42" s="32">
        <v>0.05</v>
      </c>
      <c r="CD42" s="32">
        <v>0.05</v>
      </c>
      <c r="CE42" s="32">
        <v>0.05</v>
      </c>
      <c r="CF42" s="32">
        <f t="shared" si="0"/>
        <v>0.04</v>
      </c>
      <c r="CG42" s="32">
        <f t="shared" si="1"/>
        <v>0.04</v>
      </c>
      <c r="CH42" s="32">
        <f t="shared" si="2"/>
        <v>0.05</v>
      </c>
    </row>
    <row r="43" spans="1:86" ht="13.5" customHeight="1" x14ac:dyDescent="0.75">
      <c r="A43" s="14"/>
      <c r="B43" s="4" t="s">
        <v>154</v>
      </c>
      <c r="C43" s="3" t="s">
        <v>155</v>
      </c>
      <c r="D43" s="32"/>
      <c r="E43" s="32"/>
      <c r="F43" s="32"/>
      <c r="G43" s="32"/>
      <c r="H43" s="32"/>
      <c r="I43" s="32">
        <v>0.14000000000000001</v>
      </c>
      <c r="J43" s="32">
        <v>0.14000000000000001</v>
      </c>
      <c r="K43" s="32">
        <v>0.14000000000000001</v>
      </c>
      <c r="L43" s="32">
        <v>0.14000000000000001</v>
      </c>
      <c r="M43" s="32">
        <v>0.12</v>
      </c>
      <c r="N43" s="32">
        <v>0.12</v>
      </c>
      <c r="O43" s="32">
        <v>0.12</v>
      </c>
      <c r="P43" s="32">
        <v>0.12</v>
      </c>
      <c r="Q43" s="32">
        <v>0.11</v>
      </c>
      <c r="R43" s="32">
        <v>0.11</v>
      </c>
      <c r="S43" s="32">
        <v>0.22</v>
      </c>
      <c r="T43" s="32">
        <v>0.16</v>
      </c>
      <c r="U43" s="32">
        <v>0.2</v>
      </c>
      <c r="V43" s="32">
        <v>0.1</v>
      </c>
      <c r="W43" s="32">
        <v>0.1</v>
      </c>
      <c r="X43" s="32">
        <v>0.24</v>
      </c>
      <c r="Y43" s="32">
        <v>-0.09</v>
      </c>
      <c r="Z43" s="32">
        <v>-0.01</v>
      </c>
      <c r="AA43" s="32">
        <v>0.03</v>
      </c>
      <c r="AB43" s="32">
        <v>0.14000000000000001</v>
      </c>
      <c r="AC43" s="32">
        <v>0.31</v>
      </c>
      <c r="AD43" s="32">
        <v>0.56999999999999995</v>
      </c>
      <c r="AE43" s="32">
        <v>0.09</v>
      </c>
      <c r="AF43" s="32">
        <v>0.04</v>
      </c>
      <c r="AG43" s="32">
        <v>0.12</v>
      </c>
      <c r="AH43" s="32">
        <v>-7.0000000000000007E-2</v>
      </c>
      <c r="AI43" s="32">
        <v>0.18</v>
      </c>
      <c r="AJ43" s="32">
        <v>0.03</v>
      </c>
      <c r="AK43" s="32">
        <v>0.01</v>
      </c>
      <c r="AL43" s="32">
        <v>0.01</v>
      </c>
      <c r="AM43" s="32">
        <v>0.09</v>
      </c>
      <c r="AN43" s="32">
        <v>0.23</v>
      </c>
      <c r="AO43" s="32">
        <v>0.12</v>
      </c>
      <c r="AP43" s="32">
        <v>0.32</v>
      </c>
      <c r="AQ43" s="32">
        <v>0.08</v>
      </c>
      <c r="AR43" s="32">
        <v>-0.08</v>
      </c>
      <c r="AS43" s="32">
        <v>0.15</v>
      </c>
      <c r="AT43" s="32">
        <v>0.03</v>
      </c>
      <c r="AU43" s="32">
        <v>-0.05</v>
      </c>
      <c r="AV43" s="32">
        <v>0.13</v>
      </c>
      <c r="AW43" s="32">
        <v>-0.01</v>
      </c>
      <c r="AX43" s="32">
        <v>0.03</v>
      </c>
      <c r="AY43" s="32">
        <v>0.1</v>
      </c>
      <c r="AZ43" s="32">
        <v>0.09</v>
      </c>
      <c r="BA43" s="32">
        <v>0.05</v>
      </c>
      <c r="BB43" s="32">
        <v>0.02</v>
      </c>
      <c r="BC43" s="32">
        <v>-0.03</v>
      </c>
      <c r="BD43" s="32">
        <v>-0.05</v>
      </c>
      <c r="BE43" s="32">
        <v>-0.04</v>
      </c>
      <c r="BF43" s="32">
        <v>0.05</v>
      </c>
      <c r="BG43" s="32">
        <v>0.14000000000000001</v>
      </c>
      <c r="BH43" s="32">
        <v>-0.01</v>
      </c>
      <c r="BI43" s="32">
        <v>0.32</v>
      </c>
      <c r="BJ43" s="32">
        <v>0.05</v>
      </c>
      <c r="BK43" s="32">
        <v>0.06</v>
      </c>
      <c r="BL43" s="32">
        <v>0.24</v>
      </c>
      <c r="BM43" s="32">
        <v>-0.12</v>
      </c>
      <c r="BN43" s="32">
        <v>0.28000000000000003</v>
      </c>
      <c r="BO43" s="32">
        <v>0.06</v>
      </c>
      <c r="BP43" s="32">
        <v>0.26</v>
      </c>
      <c r="BQ43" s="32">
        <v>0.26</v>
      </c>
      <c r="BR43" s="32">
        <v>0.05</v>
      </c>
      <c r="BS43" s="32">
        <v>0.16</v>
      </c>
      <c r="BT43" s="32">
        <v>-0.03</v>
      </c>
      <c r="BU43" s="32">
        <v>-0.03</v>
      </c>
      <c r="BV43" s="32">
        <v>0.09</v>
      </c>
      <c r="BW43" s="32">
        <v>-0.02</v>
      </c>
      <c r="BX43" s="32">
        <v>-0.1</v>
      </c>
      <c r="BY43" s="32">
        <v>0.16</v>
      </c>
      <c r="BZ43" s="32">
        <v>0</v>
      </c>
      <c r="CA43" s="32">
        <v>0.09</v>
      </c>
      <c r="CB43" s="32">
        <v>0.51</v>
      </c>
      <c r="CC43" s="32">
        <v>0</v>
      </c>
      <c r="CD43" s="32">
        <v>0.1</v>
      </c>
      <c r="CE43" s="32">
        <v>-0.16</v>
      </c>
      <c r="CF43" s="32">
        <f t="shared" si="0"/>
        <v>0.08</v>
      </c>
      <c r="CG43" s="32">
        <f t="shared" si="1"/>
        <v>0.3</v>
      </c>
      <c r="CH43" s="32">
        <f t="shared" si="2"/>
        <v>0.05</v>
      </c>
    </row>
    <row r="44" spans="1:86" ht="13.5" customHeight="1" x14ac:dyDescent="0.75">
      <c r="A44" s="14"/>
      <c r="B44" s="4" t="s">
        <v>156</v>
      </c>
      <c r="C44" s="3" t="s">
        <v>157</v>
      </c>
      <c r="D44" s="32"/>
      <c r="E44" s="32"/>
      <c r="F44" s="32"/>
      <c r="G44" s="32"/>
      <c r="H44" s="32"/>
      <c r="I44" s="32">
        <v>0.17</v>
      </c>
      <c r="J44" s="32">
        <v>0.12</v>
      </c>
      <c r="K44" s="32">
        <v>0.18</v>
      </c>
      <c r="L44" s="32">
        <v>0.1</v>
      </c>
      <c r="M44" s="32">
        <v>0.04</v>
      </c>
      <c r="N44" s="32">
        <v>0</v>
      </c>
      <c r="O44" s="32">
        <v>0.03</v>
      </c>
      <c r="P44" s="32">
        <v>0.02</v>
      </c>
      <c r="Q44" s="32">
        <v>-7.0000000000000007E-2</v>
      </c>
      <c r="R44" s="32">
        <v>-0.04</v>
      </c>
      <c r="S44" s="32">
        <v>-0.08</v>
      </c>
      <c r="T44" s="32">
        <v>-0.02</v>
      </c>
      <c r="U44" s="32">
        <v>0.09</v>
      </c>
      <c r="V44" s="32">
        <v>0.06</v>
      </c>
      <c r="W44" s="32">
        <v>0.08</v>
      </c>
      <c r="X44" s="32">
        <v>0.04</v>
      </c>
      <c r="Y44" s="32">
        <v>0.02</v>
      </c>
      <c r="Z44" s="32">
        <v>-0.01</v>
      </c>
      <c r="AA44" s="32">
        <v>-0.04</v>
      </c>
      <c r="AB44" s="32">
        <v>0</v>
      </c>
      <c r="AC44" s="32">
        <v>0.03</v>
      </c>
      <c r="AD44" s="32">
        <v>0.1</v>
      </c>
      <c r="AE44" s="32">
        <v>0.15</v>
      </c>
      <c r="AF44" s="32">
        <v>0.16</v>
      </c>
      <c r="AG44" s="32">
        <v>0.13</v>
      </c>
      <c r="AH44" s="32">
        <v>0.2</v>
      </c>
      <c r="AI44" s="32">
        <v>0.08</v>
      </c>
      <c r="AJ44" s="32">
        <v>0.09</v>
      </c>
      <c r="AK44" s="32">
        <v>0.13</v>
      </c>
      <c r="AL44" s="32">
        <v>0.15</v>
      </c>
      <c r="AM44" s="32">
        <v>0.24</v>
      </c>
      <c r="AN44" s="32">
        <v>0.13</v>
      </c>
      <c r="AO44" s="32">
        <v>0.2</v>
      </c>
      <c r="AP44" s="32">
        <v>0.2</v>
      </c>
      <c r="AQ44" s="32">
        <v>0.14000000000000001</v>
      </c>
      <c r="AR44" s="32">
        <v>0.23</v>
      </c>
      <c r="AS44" s="32">
        <v>0.11</v>
      </c>
      <c r="AT44" s="32">
        <v>0.03</v>
      </c>
      <c r="AU44" s="32">
        <v>7.0000000000000007E-2</v>
      </c>
      <c r="AV44" s="32">
        <v>7.0000000000000007E-2</v>
      </c>
      <c r="AW44" s="32">
        <v>0.05</v>
      </c>
      <c r="AX44" s="32">
        <v>0.05</v>
      </c>
      <c r="AY44" s="32">
        <v>0.05</v>
      </c>
      <c r="AZ44" s="32">
        <v>0.04</v>
      </c>
      <c r="BA44" s="32">
        <v>7.0000000000000007E-2</v>
      </c>
      <c r="BB44" s="32">
        <v>0.09</v>
      </c>
      <c r="BC44" s="32">
        <v>7.0000000000000007E-2</v>
      </c>
      <c r="BD44" s="32">
        <v>0.14000000000000001</v>
      </c>
      <c r="BE44" s="32">
        <v>0.08</v>
      </c>
      <c r="BF44" s="32">
        <v>0.09</v>
      </c>
      <c r="BG44" s="32">
        <v>0.1</v>
      </c>
      <c r="BH44" s="32">
        <v>0.05</v>
      </c>
      <c r="BI44" s="32">
        <v>-0.01</v>
      </c>
      <c r="BJ44" s="32">
        <v>-0.04</v>
      </c>
      <c r="BK44" s="32">
        <v>0.01</v>
      </c>
      <c r="BL44" s="32">
        <v>-0.02</v>
      </c>
      <c r="BM44" s="32">
        <v>0.06</v>
      </c>
      <c r="BN44" s="32">
        <v>0.12</v>
      </c>
      <c r="BO44" s="32">
        <v>7.0000000000000007E-2</v>
      </c>
      <c r="BP44" s="32">
        <v>0.15</v>
      </c>
      <c r="BQ44" s="32">
        <v>0.08</v>
      </c>
      <c r="BR44" s="32">
        <v>0.06</v>
      </c>
      <c r="BS44" s="32">
        <v>0.09</v>
      </c>
      <c r="BT44" s="32">
        <v>0.03</v>
      </c>
      <c r="BU44" s="32">
        <v>0.06</v>
      </c>
      <c r="BV44" s="32">
        <v>0.05</v>
      </c>
      <c r="BW44" s="32">
        <v>0.08</v>
      </c>
      <c r="BX44" s="32">
        <v>0.92</v>
      </c>
      <c r="BY44" s="32">
        <v>0.1</v>
      </c>
      <c r="BZ44" s="32">
        <v>0.18</v>
      </c>
      <c r="CA44" s="32">
        <v>0.15</v>
      </c>
      <c r="CB44" s="32">
        <v>-0.32</v>
      </c>
      <c r="CC44" s="32">
        <v>0.16</v>
      </c>
      <c r="CD44" s="32">
        <v>0.16</v>
      </c>
      <c r="CE44" s="32">
        <v>0.13</v>
      </c>
      <c r="CF44" s="32">
        <f t="shared" si="0"/>
        <v>0.14000000000000001</v>
      </c>
      <c r="CG44" s="32">
        <f t="shared" si="1"/>
        <v>-8.5000000000000006E-2</v>
      </c>
      <c r="CH44" s="32">
        <f t="shared" si="2"/>
        <v>0.16</v>
      </c>
    </row>
    <row r="45" spans="1:86" ht="6.75" customHeight="1" x14ac:dyDescent="0.75">
      <c r="A45" s="1"/>
      <c r="B45" s="1"/>
      <c r="C45" s="13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2"/>
      <c r="AG45" s="42"/>
      <c r="AH45" s="42"/>
      <c r="AI45" s="42"/>
      <c r="AJ45" s="42"/>
      <c r="AK45" s="42"/>
      <c r="AL45" s="42"/>
      <c r="AM45" s="42"/>
      <c r="AN45" s="42"/>
      <c r="AO45" s="42"/>
      <c r="AP45" s="42"/>
      <c r="AQ45" s="42"/>
      <c r="AR45" s="42"/>
      <c r="AS45" s="42"/>
      <c r="AT45" s="42"/>
      <c r="AU45" s="42"/>
      <c r="AV45" s="42"/>
      <c r="AW45" s="42"/>
      <c r="AX45" s="42"/>
      <c r="AY45" s="42"/>
      <c r="AZ45" s="42"/>
      <c r="BA45" s="42"/>
      <c r="BB45" s="42"/>
      <c r="BC45" s="42"/>
      <c r="BD45" s="42"/>
      <c r="BE45" s="42"/>
      <c r="BF45" s="42"/>
      <c r="BG45" s="42"/>
      <c r="BH45" s="42"/>
      <c r="BI45" s="42"/>
      <c r="BJ45" s="42"/>
      <c r="BK45" s="42"/>
      <c r="BL45" s="42"/>
      <c r="BM45" s="42"/>
      <c r="BN45" s="42"/>
      <c r="BO45" s="42"/>
      <c r="BP45" s="42"/>
      <c r="BQ45" s="42"/>
      <c r="BR45" s="42"/>
      <c r="BS45" s="42"/>
      <c r="BT45" s="42"/>
      <c r="BU45" s="42"/>
      <c r="BV45" s="42"/>
      <c r="BW45" s="42"/>
      <c r="BX45" s="42"/>
      <c r="BY45" s="42"/>
      <c r="BZ45" s="42"/>
      <c r="CA45" s="42"/>
      <c r="CB45" s="42"/>
      <c r="CC45" s="42"/>
      <c r="CD45" s="42"/>
      <c r="CE45" s="42"/>
      <c r="CF45" s="42"/>
      <c r="CG45" s="42"/>
      <c r="CH45" s="42"/>
    </row>
    <row r="46" spans="1:86" ht="14.25" customHeight="1" x14ac:dyDescent="0.75">
      <c r="A46" s="1"/>
      <c r="B46" s="23" t="s">
        <v>158</v>
      </c>
      <c r="C46" s="24"/>
      <c r="D46" s="30"/>
      <c r="E46" s="30"/>
      <c r="F46" s="30"/>
      <c r="G46" s="30"/>
      <c r="H46" s="30"/>
      <c r="I46" s="30">
        <v>0.15</v>
      </c>
      <c r="J46" s="30">
        <v>0.05</v>
      </c>
      <c r="K46" s="30">
        <v>-0.04</v>
      </c>
      <c r="L46" s="30">
        <v>0.02</v>
      </c>
      <c r="M46" s="30">
        <v>0.05</v>
      </c>
      <c r="N46" s="30">
        <v>7.0000000000000007E-2</v>
      </c>
      <c r="O46" s="30">
        <v>0.25</v>
      </c>
      <c r="P46" s="30">
        <v>0.1</v>
      </c>
      <c r="Q46" s="30">
        <v>0.01</v>
      </c>
      <c r="R46" s="30">
        <v>0.17</v>
      </c>
      <c r="S46" s="30">
        <v>0.04</v>
      </c>
      <c r="T46" s="30">
        <v>0.19</v>
      </c>
      <c r="U46" s="30">
        <v>0.03</v>
      </c>
      <c r="V46" s="30">
        <v>0.11</v>
      </c>
      <c r="W46" s="30">
        <v>7.0000000000000007E-2</v>
      </c>
      <c r="X46" s="30">
        <v>-0.01</v>
      </c>
      <c r="Y46" s="30">
        <v>0.04</v>
      </c>
      <c r="Z46" s="30">
        <v>-0.02</v>
      </c>
      <c r="AA46" s="30">
        <v>0.03</v>
      </c>
      <c r="AB46" s="30">
        <v>0.02</v>
      </c>
      <c r="AC46" s="30">
        <v>0.08</v>
      </c>
      <c r="AD46" s="30">
        <v>0.02</v>
      </c>
      <c r="AE46" s="30">
        <v>7.0000000000000007E-2</v>
      </c>
      <c r="AF46" s="30">
        <v>-0.09</v>
      </c>
      <c r="AG46" s="30">
        <v>-0.14000000000000001</v>
      </c>
      <c r="AH46" s="30">
        <v>-0.01</v>
      </c>
      <c r="AI46" s="30">
        <v>-0.08</v>
      </c>
      <c r="AJ46" s="30">
        <v>0.11</v>
      </c>
      <c r="AK46" s="30">
        <v>0.16</v>
      </c>
      <c r="AL46" s="30">
        <v>0.06</v>
      </c>
      <c r="AM46" s="30">
        <v>0.06</v>
      </c>
      <c r="AN46" s="30">
        <v>0.05</v>
      </c>
      <c r="AO46" s="30">
        <v>0.12</v>
      </c>
      <c r="AP46" s="30">
        <v>0.17</v>
      </c>
      <c r="AQ46" s="30">
        <v>0.14000000000000001</v>
      </c>
      <c r="AR46" s="30">
        <v>0.14000000000000001</v>
      </c>
      <c r="AS46" s="30">
        <v>0.1</v>
      </c>
      <c r="AT46" s="30">
        <v>0.09</v>
      </c>
      <c r="AU46" s="30">
        <v>0.03</v>
      </c>
      <c r="AV46" s="30">
        <v>-0.04</v>
      </c>
      <c r="AW46" s="30">
        <v>-0.05</v>
      </c>
      <c r="AX46" s="30">
        <v>-0.09</v>
      </c>
      <c r="AY46" s="30">
        <v>-0.01</v>
      </c>
      <c r="AZ46" s="30">
        <v>0.06</v>
      </c>
      <c r="BA46" s="30">
        <v>0.1</v>
      </c>
      <c r="BB46" s="30">
        <v>0.09</v>
      </c>
      <c r="BC46" s="30">
        <v>7.0000000000000007E-2</v>
      </c>
      <c r="BD46" s="30">
        <v>0.11</v>
      </c>
      <c r="BE46" s="30">
        <v>0.08</v>
      </c>
      <c r="BF46" s="30">
        <v>0.24</v>
      </c>
      <c r="BG46" s="30">
        <v>0.16</v>
      </c>
      <c r="BH46" s="30">
        <v>0.12</v>
      </c>
      <c r="BI46" s="30">
        <v>0.09</v>
      </c>
      <c r="BJ46" s="30">
        <v>-0.09</v>
      </c>
      <c r="BK46" s="30">
        <v>-0.04</v>
      </c>
      <c r="BL46" s="30">
        <v>-0.02</v>
      </c>
      <c r="BM46" s="30">
        <v>0.03</v>
      </c>
      <c r="BN46" s="30">
        <v>0.27</v>
      </c>
      <c r="BO46" s="30">
        <v>-0.03</v>
      </c>
      <c r="BP46" s="30">
        <v>0.16</v>
      </c>
      <c r="BQ46" s="30">
        <v>7.0000000000000007E-2</v>
      </c>
      <c r="BR46" s="30">
        <v>0.04</v>
      </c>
      <c r="BS46" s="30">
        <v>0.22</v>
      </c>
      <c r="BT46" s="30">
        <v>-0.08</v>
      </c>
      <c r="BU46" s="30">
        <v>-0.05</v>
      </c>
      <c r="BV46" s="30">
        <v>-7.0000000000000007E-2</v>
      </c>
      <c r="BW46" s="30">
        <v>-0.02</v>
      </c>
      <c r="BX46" s="30">
        <v>-0.04</v>
      </c>
      <c r="BY46" s="30">
        <v>0.04</v>
      </c>
      <c r="BZ46" s="30">
        <v>0.12</v>
      </c>
      <c r="CA46" s="30">
        <v>0.09</v>
      </c>
      <c r="CB46" s="30">
        <v>0.06</v>
      </c>
      <c r="CC46" s="30">
        <v>7.0000000000000007E-2</v>
      </c>
      <c r="CD46" s="30">
        <v>0.06</v>
      </c>
      <c r="CE46" s="30">
        <v>0.21</v>
      </c>
      <c r="CF46" s="30">
        <f>AVERAGE(BY46:BZ46)</f>
        <v>0.08</v>
      </c>
      <c r="CG46" s="30">
        <f>AVERAGE(CA46:CB46)</f>
        <v>7.4999999999999997E-2</v>
      </c>
      <c r="CH46" s="30">
        <f>AVERAGE(CC46:CD46)</f>
        <v>6.5000000000000002E-2</v>
      </c>
    </row>
    <row r="47" spans="1:86" ht="7.5" customHeight="1" thickBot="1" x14ac:dyDescent="0.9">
      <c r="A47" s="1"/>
      <c r="B47" s="43"/>
      <c r="C47" s="44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43"/>
      <c r="AE47" s="43"/>
      <c r="AF47" s="43"/>
      <c r="AG47" s="43"/>
      <c r="AH47" s="43"/>
      <c r="AI47" s="43"/>
      <c r="AJ47" s="43"/>
      <c r="AK47" s="43"/>
      <c r="AL47" s="43"/>
      <c r="AM47" s="43"/>
      <c r="AN47" s="43"/>
      <c r="AO47" s="43"/>
      <c r="AP47" s="43"/>
      <c r="AQ47" s="43"/>
      <c r="AR47" s="43"/>
      <c r="AS47" s="43"/>
      <c r="AT47" s="43"/>
      <c r="AU47" s="43"/>
      <c r="AV47" s="43"/>
      <c r="AW47" s="43"/>
      <c r="AX47" s="43"/>
      <c r="AY47" s="43"/>
      <c r="AZ47" s="43"/>
      <c r="BA47" s="43"/>
      <c r="BB47" s="43"/>
      <c r="BC47" s="43"/>
      <c r="BD47" s="43"/>
      <c r="BE47" s="43"/>
      <c r="BF47" s="43"/>
      <c r="BG47" s="43"/>
      <c r="BH47" s="43"/>
      <c r="BI47" s="43"/>
      <c r="BJ47" s="43"/>
      <c r="BK47" s="43"/>
      <c r="BL47" s="43"/>
      <c r="BM47" s="43"/>
      <c r="BN47" s="43"/>
      <c r="BO47" s="43"/>
      <c r="BP47" s="43"/>
      <c r="BQ47" s="43"/>
      <c r="BR47" s="43"/>
      <c r="BS47" s="43"/>
      <c r="BT47" s="43"/>
      <c r="BU47" s="43"/>
      <c r="BV47" s="43"/>
      <c r="BW47" s="43"/>
      <c r="BX47" s="43"/>
      <c r="BY47" s="43"/>
      <c r="BZ47" s="43"/>
      <c r="CA47" s="43"/>
      <c r="CB47" s="43"/>
      <c r="CC47" s="43"/>
      <c r="CD47" s="43"/>
    </row>
    <row r="48" spans="1:86" s="41" customFormat="1" ht="12" customHeight="1" thickTop="1" x14ac:dyDescent="0.55000000000000004">
      <c r="A48" s="45"/>
      <c r="B48" s="46" t="str">
        <f>[2]QGDP_SH!B48</f>
        <v>Source: National Institute of Statistics of Rwanda</v>
      </c>
      <c r="C48" s="47"/>
    </row>
    <row r="49" spans="1:85" s="41" customFormat="1" ht="12" customHeight="1" thickBot="1" x14ac:dyDescent="0.7">
      <c r="A49" s="45"/>
      <c r="B49" s="48">
        <f>[2]QGDP_SH!B49</f>
        <v>45915</v>
      </c>
      <c r="C49" s="47"/>
    </row>
    <row r="50" spans="1:85" ht="17.75" x14ac:dyDescent="0.75">
      <c r="A50" s="1"/>
      <c r="C50" s="172" t="s">
        <v>159</v>
      </c>
      <c r="D50" s="174">
        <v>2025</v>
      </c>
      <c r="E50" s="175"/>
      <c r="AX50" s="49">
        <v>2017</v>
      </c>
      <c r="AY50" s="49">
        <v>2018</v>
      </c>
      <c r="AZ50" s="49">
        <v>2019</v>
      </c>
      <c r="BA50" s="49">
        <v>2020</v>
      </c>
      <c r="BB50" s="49">
        <v>2021</v>
      </c>
      <c r="BC50" s="49">
        <v>2022</v>
      </c>
      <c r="BD50" s="49">
        <v>2023</v>
      </c>
      <c r="BE50" s="49">
        <v>2024</v>
      </c>
      <c r="BF50" s="49" t="s">
        <v>160</v>
      </c>
    </row>
    <row r="51" spans="1:85" ht="18.5" thickBot="1" x14ac:dyDescent="0.9">
      <c r="A51" s="1"/>
      <c r="C51" s="173"/>
      <c r="D51" s="50" t="s">
        <v>161</v>
      </c>
      <c r="E51" s="51" t="s">
        <v>172</v>
      </c>
      <c r="F51" s="51" t="s">
        <v>195</v>
      </c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  <c r="AA51" s="52"/>
      <c r="AB51" s="52"/>
      <c r="AC51" s="52"/>
      <c r="AD51" s="52"/>
      <c r="AE51" s="52"/>
      <c r="AF51" s="52"/>
      <c r="AG51" s="52"/>
      <c r="AH51" s="52"/>
      <c r="AI51" s="52"/>
      <c r="AJ51" s="52"/>
      <c r="AK51" s="52"/>
      <c r="AL51" s="52"/>
      <c r="AM51" s="52"/>
      <c r="AN51" s="52"/>
      <c r="AO51" s="52"/>
      <c r="AP51" s="52"/>
      <c r="AQ51" s="52"/>
      <c r="AR51" s="52"/>
      <c r="AS51" s="52"/>
      <c r="AT51" s="52"/>
      <c r="AU51" s="176" t="s">
        <v>162</v>
      </c>
      <c r="AV51" s="170" t="s">
        <v>163</v>
      </c>
      <c r="AW51" s="52" t="s">
        <v>164</v>
      </c>
      <c r="AX51" s="54">
        <f>AVERAGE(AW7:AZ7)</f>
        <v>4.65E-2</v>
      </c>
      <c r="AY51" s="54">
        <f>AVERAGE(BA7:BD7)</f>
        <v>8.0250000000000016E-2</v>
      </c>
      <c r="AZ51" s="54">
        <f>AVERAGE(BE7:BH7)</f>
        <v>9.425E-2</v>
      </c>
      <c r="BA51" s="54">
        <f>AVERAGE(BI7:BL7)</f>
        <v>-2.6500000000000003E-2</v>
      </c>
      <c r="BB51" s="54">
        <f>AVERAGE(BM7:BP7)</f>
        <v>8.4750000000000006E-2</v>
      </c>
      <c r="BC51" s="54">
        <f>AVERAGE(BQ7:BT7)</f>
        <v>9.9250000000000005E-2</v>
      </c>
      <c r="BD51" s="54">
        <f>AVERAGE(BU7:BX7)</f>
        <v>8.5999999999999993E-2</v>
      </c>
      <c r="BE51" s="54">
        <f>AVERAGE(BY7:CB7)</f>
        <v>7.2999999999999995E-2</v>
      </c>
      <c r="BF51" s="54">
        <f>AVERAGE(CC7:CD7)</f>
        <v>7.1500000000000008E-2</v>
      </c>
      <c r="BG51" s="54"/>
      <c r="BH51" s="54"/>
      <c r="BI51" s="54"/>
      <c r="BJ51" s="54"/>
      <c r="BK51" s="54"/>
      <c r="BL51" s="54"/>
      <c r="BM51" s="54"/>
      <c r="BN51" s="54"/>
      <c r="BO51" s="54"/>
      <c r="BP51" s="54"/>
      <c r="BQ51" s="54"/>
      <c r="BR51" s="54"/>
      <c r="BS51" s="54"/>
      <c r="BT51" s="54"/>
      <c r="BU51" s="54"/>
      <c r="BV51" s="54"/>
      <c r="BW51" s="54"/>
      <c r="BX51" s="54"/>
      <c r="BY51" s="54"/>
      <c r="BZ51" s="54"/>
      <c r="CA51" s="54"/>
      <c r="CB51" s="54"/>
      <c r="CC51" s="54"/>
      <c r="CD51" s="54"/>
      <c r="CE51" s="54"/>
      <c r="CF51" s="54"/>
      <c r="CG51" s="52"/>
    </row>
    <row r="52" spans="1:85" ht="25.25" customHeight="1" x14ac:dyDescent="0.75">
      <c r="A52" s="1"/>
      <c r="C52" s="55" t="s">
        <v>85</v>
      </c>
      <c r="D52" s="56">
        <f>CD7</f>
        <v>7.8E-2</v>
      </c>
      <c r="E52" s="57">
        <f>CD7</f>
        <v>7.8E-2</v>
      </c>
      <c r="F52" s="57">
        <f>CE7</f>
        <v>0.11799999999999999</v>
      </c>
      <c r="G52" s="58"/>
      <c r="H52" s="58"/>
      <c r="I52" s="58"/>
      <c r="J52" s="58"/>
      <c r="K52" s="58"/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  <c r="AA52" s="58"/>
      <c r="AB52" s="58"/>
      <c r="AC52" s="58"/>
      <c r="AD52" s="58"/>
      <c r="AE52" s="58"/>
      <c r="AF52" s="58"/>
      <c r="AG52" s="58"/>
      <c r="AH52" s="58"/>
      <c r="AI52" s="58"/>
      <c r="AJ52" s="58"/>
      <c r="AK52" s="58"/>
      <c r="AL52" s="58"/>
      <c r="AM52" s="58"/>
      <c r="AN52" s="58"/>
      <c r="AO52" s="58"/>
      <c r="AP52" s="58"/>
      <c r="AQ52" s="58"/>
      <c r="AR52" s="58"/>
      <c r="AS52" s="58"/>
      <c r="AT52" s="58"/>
      <c r="AU52" s="176"/>
      <c r="AV52" s="170"/>
      <c r="AW52" s="58" t="s">
        <v>165</v>
      </c>
      <c r="AX52" s="54">
        <v>3.9E-2</v>
      </c>
      <c r="AY52" s="54">
        <v>8.5000000000000006E-2</v>
      </c>
      <c r="AZ52" s="54">
        <v>9.4E-2</v>
      </c>
      <c r="BA52" s="54">
        <v>-3.4000000000000002E-2</v>
      </c>
      <c r="BB52" s="54">
        <v>0.109</v>
      </c>
      <c r="BC52" s="54">
        <v>8.2000000000000003E-2</v>
      </c>
      <c r="BD52" s="54">
        <v>8.2000000000000003E-2</v>
      </c>
      <c r="BE52" s="54">
        <v>8.8999999999999996E-2</v>
      </c>
      <c r="BF52" s="58"/>
      <c r="BG52" s="58"/>
      <c r="BH52" s="58"/>
      <c r="BI52" s="58"/>
      <c r="BJ52" s="58"/>
      <c r="BK52" s="58"/>
      <c r="BL52" s="58"/>
      <c r="BM52" s="58"/>
      <c r="BN52" s="58"/>
      <c r="BO52" s="58"/>
      <c r="BP52" s="58"/>
      <c r="BQ52" s="58"/>
      <c r="BR52" s="58"/>
      <c r="BS52" s="58"/>
      <c r="BT52" s="58"/>
      <c r="BU52" s="58"/>
      <c r="BV52" s="58"/>
      <c r="BW52" s="58"/>
      <c r="BX52" s="58"/>
      <c r="BY52" s="58"/>
      <c r="BZ52" s="58"/>
      <c r="CA52" s="58"/>
      <c r="CB52" s="58"/>
      <c r="CC52" s="58"/>
      <c r="CD52" s="58"/>
      <c r="CE52" s="58"/>
      <c r="CF52" s="58"/>
      <c r="CG52" s="58"/>
    </row>
    <row r="53" spans="1:85" ht="11.25" customHeight="1" x14ac:dyDescent="0.75">
      <c r="A53" s="1"/>
      <c r="C53" s="59"/>
      <c r="D53" s="22"/>
      <c r="E53" s="60"/>
      <c r="AU53" s="176"/>
      <c r="AV53" s="170"/>
      <c r="AW53" s="61" t="s">
        <v>166</v>
      </c>
      <c r="AX53" s="62">
        <f>AX51-AX52</f>
        <v>7.4999999999999997E-3</v>
      </c>
      <c r="AY53" s="62">
        <f t="shared" ref="AY53:BE53" si="3">AY51-AY52</f>
        <v>-4.7499999999999903E-3</v>
      </c>
      <c r="AZ53" s="62">
        <f t="shared" si="3"/>
        <v>2.5000000000000022E-4</v>
      </c>
      <c r="BA53" s="62">
        <f t="shared" si="3"/>
        <v>7.4999999999999997E-3</v>
      </c>
      <c r="BB53" s="62">
        <f t="shared" si="3"/>
        <v>-2.4249999999999994E-2</v>
      </c>
      <c r="BC53" s="62">
        <f t="shared" si="3"/>
        <v>1.7250000000000001E-2</v>
      </c>
      <c r="BD53" s="62">
        <f t="shared" si="3"/>
        <v>3.9999999999999897E-3</v>
      </c>
      <c r="BE53" s="62">
        <f t="shared" si="3"/>
        <v>-1.6E-2</v>
      </c>
    </row>
    <row r="54" spans="1:85" ht="17.75" x14ac:dyDescent="0.75">
      <c r="A54" s="1"/>
      <c r="C54" s="63" t="s">
        <v>86</v>
      </c>
      <c r="D54" s="64">
        <f t="shared" ref="D54:D55" si="4">CD9</f>
        <v>0.08</v>
      </c>
      <c r="E54" s="65">
        <f>CD9</f>
        <v>0.08</v>
      </c>
      <c r="F54" s="65">
        <f>CE9</f>
        <v>0.1</v>
      </c>
      <c r="AU54" s="169" t="s">
        <v>167</v>
      </c>
      <c r="AV54" s="170" t="s">
        <v>168</v>
      </c>
      <c r="AW54" s="28" t="s">
        <v>169</v>
      </c>
      <c r="AX54" s="66">
        <f>SUM([2]QGDP_CP!AW7:AZ7)</f>
        <v>243</v>
      </c>
      <c r="AY54" s="66">
        <f>SUM([2]QGDP_CP!BA7:BD7)</f>
        <v>246</v>
      </c>
      <c r="AZ54" s="66">
        <f>SUM([2]QGDP_CP!BE7:BH7)</f>
        <v>255</v>
      </c>
      <c r="BA54" s="66">
        <f>SUM([2]QGDP_CP!BI7:BL7)</f>
        <v>275</v>
      </c>
      <c r="BB54" s="66">
        <f>SUM([2]QGDP_CP!BM7:BP7)</f>
        <v>287</v>
      </c>
      <c r="BC54" s="66">
        <f>SUM([2]QGDP_CP!BQ7:BT7)</f>
        <v>331</v>
      </c>
      <c r="BD54" s="66">
        <f>SUM([2]QGDP_CP!BU7:BX7)</f>
        <v>369</v>
      </c>
      <c r="BE54" s="66">
        <f>SUM([2]QGDP_CP!BY7:CB7)</f>
        <v>399</v>
      </c>
      <c r="BF54" s="66">
        <f>SUM([2]QGDP_CP!CC7:CD7)</f>
        <v>209</v>
      </c>
    </row>
    <row r="55" spans="1:85" ht="17.75" x14ac:dyDescent="0.75">
      <c r="A55" s="1"/>
      <c r="C55" s="67" t="s">
        <v>88</v>
      </c>
      <c r="D55" s="68">
        <f t="shared" si="4"/>
        <v>0.03</v>
      </c>
      <c r="E55" s="69">
        <f t="shared" ref="E55" si="5">CH10</f>
        <v>2.5000000000000001E-2</v>
      </c>
      <c r="AU55" s="169"/>
      <c r="AV55" s="170"/>
      <c r="AW55" s="28" t="s">
        <v>170</v>
      </c>
      <c r="AX55" s="28">
        <v>7694.2340000000004</v>
      </c>
      <c r="AY55" s="28">
        <v>8299.1360000000004</v>
      </c>
      <c r="AZ55" s="28">
        <v>9307.6479999999992</v>
      </c>
      <c r="BA55" s="28">
        <v>9594.4660000000003</v>
      </c>
      <c r="BB55" s="28">
        <v>10952.763999999999</v>
      </c>
      <c r="BC55" s="28">
        <v>13719.751</v>
      </c>
      <c r="BD55" s="28">
        <v>16626.213</v>
      </c>
      <c r="BE55" s="28">
        <v>18785.493999999999</v>
      </c>
    </row>
    <row r="56" spans="1:85" ht="17.75" x14ac:dyDescent="0.75">
      <c r="A56" s="1"/>
      <c r="C56" s="67" t="s">
        <v>90</v>
      </c>
      <c r="D56" s="68">
        <f>CD11</f>
        <v>0.42</v>
      </c>
      <c r="E56" s="69">
        <f>CH11</f>
        <v>0.215</v>
      </c>
      <c r="AV56" s="170"/>
      <c r="AW56" s="61" t="s">
        <v>166</v>
      </c>
      <c r="AX56" s="70">
        <f>AX54-AX55</f>
        <v>-7451.2340000000004</v>
      </c>
      <c r="AY56" s="70">
        <f t="shared" ref="AY56:BE56" si="6">AY54-AY55</f>
        <v>-8053.1360000000004</v>
      </c>
      <c r="AZ56" s="70">
        <f t="shared" si="6"/>
        <v>-9052.6479999999992</v>
      </c>
      <c r="BA56" s="70">
        <f t="shared" si="6"/>
        <v>-9319.4660000000003</v>
      </c>
      <c r="BB56" s="70">
        <f t="shared" si="6"/>
        <v>-10665.763999999999</v>
      </c>
      <c r="BC56" s="70">
        <f t="shared" si="6"/>
        <v>-13388.751</v>
      </c>
      <c r="BD56" s="70">
        <f t="shared" si="6"/>
        <v>-16257.213</v>
      </c>
      <c r="BE56" s="70">
        <f t="shared" si="6"/>
        <v>-18386.493999999999</v>
      </c>
    </row>
    <row r="57" spans="1:85" ht="13" customHeight="1" x14ac:dyDescent="0.75">
      <c r="A57" s="1"/>
      <c r="C57" s="67"/>
      <c r="D57" s="68"/>
      <c r="E57" s="69"/>
      <c r="AV57" s="53"/>
      <c r="AW57" s="61"/>
      <c r="AX57" s="70"/>
      <c r="AY57" s="70"/>
      <c r="AZ57" s="70"/>
      <c r="BA57" s="70"/>
      <c r="BB57" s="70"/>
      <c r="BC57" s="70"/>
      <c r="BD57" s="70"/>
      <c r="BE57" s="70"/>
    </row>
    <row r="58" spans="1:85" ht="17.75" x14ac:dyDescent="0.75">
      <c r="A58" s="1"/>
      <c r="C58" s="55" t="s">
        <v>98</v>
      </c>
      <c r="D58" s="64">
        <f>CD15</f>
        <v>7.0000000000000007E-2</v>
      </c>
      <c r="E58" s="65">
        <f>CD15</f>
        <v>7.0000000000000007E-2</v>
      </c>
      <c r="F58" s="65">
        <f>CE15</f>
        <v>0.17</v>
      </c>
    </row>
    <row r="59" spans="1:85" ht="17.75" x14ac:dyDescent="0.75">
      <c r="A59" s="1"/>
      <c r="C59" s="67" t="s">
        <v>100</v>
      </c>
      <c r="D59" s="68">
        <f>CD16</f>
        <v>0.12</v>
      </c>
      <c r="E59" s="69">
        <f>CH16</f>
        <v>5.5E-2</v>
      </c>
    </row>
    <row r="60" spans="1:85" x14ac:dyDescent="0.65">
      <c r="C60" s="71" t="s">
        <v>102</v>
      </c>
      <c r="D60" s="72">
        <f>CD17</f>
        <v>0.08</v>
      </c>
      <c r="E60" s="73">
        <f>CH17</f>
        <v>8.4999999999999992E-2</v>
      </c>
    </row>
    <row r="61" spans="1:85" x14ac:dyDescent="0.65">
      <c r="C61" s="67" t="s">
        <v>124</v>
      </c>
      <c r="D61" s="68">
        <f>CD28</f>
        <v>0.05</v>
      </c>
      <c r="E61" s="69">
        <f>CH28</f>
        <v>3.5000000000000003E-2</v>
      </c>
    </row>
    <row r="62" spans="1:85" x14ac:dyDescent="0.65">
      <c r="C62" s="67"/>
      <c r="D62" s="68"/>
      <c r="E62" s="69"/>
    </row>
    <row r="63" spans="1:85" x14ac:dyDescent="0.65">
      <c r="C63" s="55" t="s">
        <v>126</v>
      </c>
      <c r="D63" s="64">
        <f>CD29</f>
        <v>0.09</v>
      </c>
      <c r="E63" s="65">
        <f>AT34</f>
        <v>7.0000000000000007E-2</v>
      </c>
      <c r="F63" s="65">
        <f>AU34</f>
        <v>0.06</v>
      </c>
    </row>
    <row r="64" spans="1:85" x14ac:dyDescent="0.65">
      <c r="C64" s="74" t="s">
        <v>128</v>
      </c>
      <c r="D64" s="75">
        <f>CD30</f>
        <v>0.1</v>
      </c>
      <c r="E64" s="76">
        <f>CH30</f>
        <v>9.5000000000000001E-2</v>
      </c>
    </row>
    <row r="65" spans="3:6" x14ac:dyDescent="0.65">
      <c r="C65" s="67" t="s">
        <v>130</v>
      </c>
      <c r="D65" s="68">
        <f>CD31</f>
        <v>0.34</v>
      </c>
      <c r="E65" s="69">
        <f>CH31</f>
        <v>0.34499999999999997</v>
      </c>
    </row>
    <row r="66" spans="3:6" x14ac:dyDescent="0.65">
      <c r="C66" s="67" t="s">
        <v>132</v>
      </c>
      <c r="D66" s="68">
        <f>CD32</f>
        <v>0.13</v>
      </c>
      <c r="E66" s="69">
        <f>CH32</f>
        <v>0.13</v>
      </c>
    </row>
    <row r="67" spans="3:6" x14ac:dyDescent="0.65">
      <c r="C67" s="74" t="s">
        <v>136</v>
      </c>
      <c r="D67" s="75">
        <f>CD34</f>
        <v>0.08</v>
      </c>
      <c r="E67" s="76">
        <f>CH34</f>
        <v>0.08</v>
      </c>
    </row>
    <row r="68" spans="3:6" x14ac:dyDescent="0.65">
      <c r="C68" s="67" t="s">
        <v>140</v>
      </c>
      <c r="D68" s="68">
        <f>CD36</f>
        <v>0.11</v>
      </c>
      <c r="E68" s="69">
        <f>CH36</f>
        <v>0.11499999999999999</v>
      </c>
    </row>
    <row r="69" spans="3:6" ht="13.5" customHeight="1" x14ac:dyDescent="0.65">
      <c r="C69" s="77"/>
      <c r="D69" s="78"/>
      <c r="E69" s="79"/>
    </row>
    <row r="70" spans="3:6" x14ac:dyDescent="0.65">
      <c r="C70" s="55" t="s">
        <v>158</v>
      </c>
      <c r="D70" s="64">
        <f>CD46</f>
        <v>0.06</v>
      </c>
      <c r="E70" s="65">
        <f>CD46</f>
        <v>0.06</v>
      </c>
      <c r="F70" s="65">
        <f>CE46</f>
        <v>0.21</v>
      </c>
    </row>
    <row r="71" spans="3:6" ht="15" thickBot="1" x14ac:dyDescent="0.8">
      <c r="C71" s="80"/>
      <c r="D71" s="81"/>
      <c r="E71" s="82"/>
    </row>
  </sheetData>
  <mergeCells count="7">
    <mergeCell ref="AU54:AU55"/>
    <mergeCell ref="AV54:AV56"/>
    <mergeCell ref="CF6:CH6"/>
    <mergeCell ref="C50:C51"/>
    <mergeCell ref="D50:E50"/>
    <mergeCell ref="AU51:AU53"/>
    <mergeCell ref="AV51:AV53"/>
  </mergeCells>
  <phoneticPr fontId="47" type="noConversion"/>
  <conditionalFormatting sqref="D7:CH46 F52 D52:E70 F54 F58 F63 F70">
    <cfRule type="cellIs" dxfId="0" priority="1" operator="lessThan">
      <formula>0</formula>
    </cfRule>
  </conditionalFormatting>
  <pageMargins left="0.69" right="0.27559055118110237" top="0.6692913385826772" bottom="0.19685039370078741" header="0.23622047244094491" footer="0.15748031496062992"/>
  <pageSetup paperSize="9" scale="81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624BB-1E3D-45DE-A02B-E52ED87C227B}">
  <dimension ref="A1"/>
  <sheetViews>
    <sheetView workbookViewId="0">
      <selection activeCell="A31" sqref="A31"/>
    </sheetView>
  </sheetViews>
  <sheetFormatPr defaultRowHeight="14.75" x14ac:dyDescent="0.7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4234F-85FE-45FA-847B-E114AE574993}">
  <dimension ref="B4:K19"/>
  <sheetViews>
    <sheetView topLeftCell="B22" workbookViewId="0">
      <selection activeCell="J41" sqref="J41"/>
    </sheetView>
  </sheetViews>
  <sheetFormatPr defaultRowHeight="14.75" x14ac:dyDescent="0.75"/>
  <cols>
    <col min="2" max="2" width="28.1796875" customWidth="1"/>
    <col min="3" max="3" width="17.6328125" customWidth="1"/>
    <col min="4" max="4" width="18.7265625" customWidth="1"/>
    <col min="5" max="5" width="12.6796875" customWidth="1"/>
    <col min="6" max="6" width="12.1796875" bestFit="1" customWidth="1"/>
    <col min="7" max="10" width="10.2265625" bestFit="1" customWidth="1"/>
    <col min="11" max="11" width="10.2265625" hidden="1" customWidth="1"/>
  </cols>
  <sheetData>
    <row r="4" spans="2:11" ht="15.5" thickBot="1" x14ac:dyDescent="0.9"/>
    <row r="5" spans="2:11" ht="15.5" thickBot="1" x14ac:dyDescent="0.9">
      <c r="B5" s="131"/>
      <c r="C5" s="134">
        <v>2022</v>
      </c>
      <c r="D5" s="133">
        <v>2023</v>
      </c>
      <c r="E5" s="134">
        <v>2024</v>
      </c>
      <c r="F5" s="133">
        <v>2025</v>
      </c>
      <c r="G5" s="134">
        <v>2026</v>
      </c>
      <c r="H5" s="134">
        <v>2027</v>
      </c>
      <c r="I5" s="134">
        <v>2028</v>
      </c>
      <c r="J5" s="134">
        <v>2029</v>
      </c>
      <c r="K5" s="135">
        <v>2030</v>
      </c>
    </row>
    <row r="6" spans="2:11" ht="16.25" thickTop="1" thickBot="1" x14ac:dyDescent="0.9">
      <c r="B6" s="142" t="s">
        <v>200</v>
      </c>
      <c r="C6" s="136">
        <v>-1239.6398739823999</v>
      </c>
      <c r="D6" s="136">
        <v>-1665.3042633793739</v>
      </c>
      <c r="E6" s="136">
        <v>-1815.0860995197763</v>
      </c>
      <c r="F6" s="136">
        <v>-2069.2991750573983</v>
      </c>
      <c r="G6" s="136">
        <v>-2320.780109315559</v>
      </c>
      <c r="H6" s="136">
        <v>-2155.7967616850356</v>
      </c>
      <c r="I6" s="136">
        <v>-1674.9320593534942</v>
      </c>
      <c r="J6" s="136">
        <v>-1653.4328011154257</v>
      </c>
      <c r="K6" s="136">
        <v>-1530.8092112326162</v>
      </c>
    </row>
    <row r="7" spans="2:11" x14ac:dyDescent="0.75">
      <c r="B7" s="142" t="s">
        <v>201</v>
      </c>
      <c r="C7" s="146">
        <v>2998.9007542732097</v>
      </c>
      <c r="D7" s="146">
        <v>3523.5876137111582</v>
      </c>
      <c r="E7" s="146">
        <v>4297.236954587217</v>
      </c>
      <c r="F7" s="137">
        <v>4228.9194055722692</v>
      </c>
      <c r="G7" s="137">
        <v>4821.6416779178726</v>
      </c>
      <c r="H7" s="137">
        <v>5276.0042579251831</v>
      </c>
      <c r="I7" s="137">
        <v>5708.2050927931987</v>
      </c>
      <c r="J7" s="137">
        <v>6024.9129136690826</v>
      </c>
      <c r="K7" s="138">
        <v>6189.1678630430652</v>
      </c>
    </row>
    <row r="8" spans="2:11" x14ac:dyDescent="0.75">
      <c r="B8" s="143" t="s">
        <v>197</v>
      </c>
      <c r="C8" s="147"/>
      <c r="D8" s="147"/>
      <c r="E8" s="147"/>
      <c r="F8" s="139">
        <v>3071.7567019620119</v>
      </c>
      <c r="G8" s="139">
        <v>3595.4308353792585</v>
      </c>
      <c r="H8" s="139">
        <v>3968.7208020845383</v>
      </c>
      <c r="I8" s="139">
        <v>4313.3083283901815</v>
      </c>
      <c r="J8" s="139">
        <v>4535.1838149136283</v>
      </c>
      <c r="K8" s="140">
        <v>4706.5859878175679</v>
      </c>
    </row>
    <row r="9" spans="2:11" x14ac:dyDescent="0.75">
      <c r="B9" s="143" t="s">
        <v>182</v>
      </c>
      <c r="C9" s="147"/>
      <c r="D9" s="147"/>
      <c r="E9" s="147"/>
      <c r="F9" s="139">
        <v>1157.1627036102577</v>
      </c>
      <c r="G9" s="139">
        <v>1226.2108425386145</v>
      </c>
      <c r="H9" s="139">
        <v>1307.2834558406448</v>
      </c>
      <c r="I9" s="139">
        <v>1394.8967644030172</v>
      </c>
      <c r="J9" s="139">
        <v>1489.7290987554543</v>
      </c>
      <c r="K9" s="140">
        <v>1482.5818752254972</v>
      </c>
    </row>
    <row r="10" spans="2:11" x14ac:dyDescent="0.75">
      <c r="B10" s="142" t="s">
        <v>202</v>
      </c>
      <c r="C10" s="146">
        <v>4976.9655601834802</v>
      </c>
      <c r="D10" s="146">
        <v>5790.8095236580175</v>
      </c>
      <c r="E10" s="146">
        <v>6550.8966017548737</v>
      </c>
      <c r="F10" s="137">
        <v>6665.2072504857106</v>
      </c>
      <c r="G10" s="137">
        <v>7416.4218901411841</v>
      </c>
      <c r="H10" s="137">
        <v>7670.3432087795536</v>
      </c>
      <c r="I10" s="137">
        <v>7599.9061766072082</v>
      </c>
      <c r="J10" s="137">
        <v>7826.7004905223184</v>
      </c>
      <c r="K10" s="138">
        <v>7793.6331454351039</v>
      </c>
    </row>
    <row r="11" spans="2:11" x14ac:dyDescent="0.75">
      <c r="B11" s="143" t="s">
        <v>198</v>
      </c>
      <c r="C11" s="145"/>
      <c r="D11" s="145"/>
      <c r="E11" s="145"/>
      <c r="F11" s="139">
        <v>5548.5415443327238</v>
      </c>
      <c r="G11" s="139">
        <v>6189.9806225416596</v>
      </c>
      <c r="H11" s="139">
        <v>6413.7062271965542</v>
      </c>
      <c r="I11" s="139">
        <v>6361.8426916990784</v>
      </c>
      <c r="J11" s="139">
        <v>6543.1671895230766</v>
      </c>
      <c r="K11" s="140">
        <v>6507.271809306405</v>
      </c>
    </row>
    <row r="12" spans="2:11" x14ac:dyDescent="0.75">
      <c r="B12" s="143" t="s">
        <v>182</v>
      </c>
      <c r="C12" s="145"/>
      <c r="D12" s="145"/>
      <c r="E12" s="145"/>
      <c r="F12" s="139">
        <v>1116.6657061529866</v>
      </c>
      <c r="G12" s="139">
        <v>1226.4412675995241</v>
      </c>
      <c r="H12" s="139">
        <v>1256.6369815829999</v>
      </c>
      <c r="I12" s="139">
        <v>1238.0634849081293</v>
      </c>
      <c r="J12" s="139">
        <v>1283.5333009992419</v>
      </c>
      <c r="K12" s="140">
        <v>1286.3613361286989</v>
      </c>
    </row>
    <row r="13" spans="2:11" s="128" customFormat="1" x14ac:dyDescent="0.75">
      <c r="B13" s="142" t="s">
        <v>199</v>
      </c>
      <c r="C13" s="137">
        <v>1726.8925447325325</v>
      </c>
      <c r="D13" s="137">
        <v>1834.314846347216</v>
      </c>
      <c r="E13" s="137">
        <v>2406.9842956458529</v>
      </c>
      <c r="F13" s="137">
        <v>1788.2023518382348</v>
      </c>
      <c r="G13" s="137">
        <v>2075.7304274564735</v>
      </c>
      <c r="H13" s="137">
        <v>2292.7913274240091</v>
      </c>
      <c r="I13" s="137">
        <v>2386.3777042751008</v>
      </c>
      <c r="J13" s="137">
        <v>2326.0273804553858</v>
      </c>
      <c r="K13" s="138">
        <v>2349.5721123127892</v>
      </c>
    </row>
    <row r="14" spans="2:11" s="128" customFormat="1" ht="19.5" customHeight="1" thickBot="1" x14ac:dyDescent="0.9">
      <c r="B14" s="144" t="s">
        <v>203</v>
      </c>
      <c r="C14" s="136">
        <v>4.2626855335148868</v>
      </c>
      <c r="D14" s="136">
        <v>4.3389999788984985</v>
      </c>
      <c r="E14" s="136">
        <v>5.2419787809614951</v>
      </c>
      <c r="F14" s="136">
        <v>3.6179159301362711</v>
      </c>
      <c r="G14" s="136">
        <v>4.131050406576767</v>
      </c>
      <c r="H14" s="136">
        <v>4.706445071609104</v>
      </c>
      <c r="I14" s="136">
        <v>4.7156076221491752</v>
      </c>
      <c r="J14" s="136">
        <v>4.6209683393294529</v>
      </c>
      <c r="K14" s="141">
        <v>5.2</v>
      </c>
    </row>
    <row r="15" spans="2:11" x14ac:dyDescent="0.75">
      <c r="B15" s="127"/>
      <c r="C15" s="127"/>
      <c r="D15" s="127"/>
      <c r="E15" s="127"/>
      <c r="F15" s="130"/>
      <c r="G15" s="127"/>
      <c r="H15" s="127"/>
      <c r="I15" s="127"/>
      <c r="J15" s="127"/>
      <c r="K15" s="127"/>
    </row>
    <row r="16" spans="2:11" x14ac:dyDescent="0.75">
      <c r="B16" s="127"/>
      <c r="C16" s="127"/>
      <c r="D16" s="127"/>
      <c r="E16" s="127"/>
      <c r="F16" s="132"/>
      <c r="G16" s="132"/>
      <c r="H16" s="132"/>
      <c r="I16" s="132"/>
      <c r="J16" s="132"/>
      <c r="K16" s="132"/>
    </row>
    <row r="17" spans="2:11" x14ac:dyDescent="0.75">
      <c r="B17" s="126"/>
      <c r="C17" s="126"/>
      <c r="D17" s="126"/>
      <c r="E17" s="126"/>
      <c r="F17" s="129"/>
      <c r="G17" s="129"/>
      <c r="H17" s="129"/>
      <c r="I17" s="129"/>
      <c r="J17" s="129"/>
      <c r="K17" s="126"/>
    </row>
    <row r="18" spans="2:11" x14ac:dyDescent="0.75">
      <c r="B18" s="126"/>
      <c r="C18" s="126"/>
      <c r="D18" s="126"/>
      <c r="E18" s="126"/>
      <c r="F18" s="137"/>
      <c r="G18" s="137"/>
      <c r="H18" s="137"/>
      <c r="I18" s="137"/>
      <c r="J18" s="137"/>
      <c r="K18" s="137"/>
    </row>
    <row r="19" spans="2:11" x14ac:dyDescent="0.75">
      <c r="F19" s="137"/>
      <c r="G19" s="137"/>
      <c r="H19" s="137"/>
      <c r="I19" s="137"/>
      <c r="J19" s="137"/>
      <c r="K19" s="137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E3DFA-C223-4163-ABD4-D38A5C778F3F}">
  <dimension ref="A1:AR109"/>
  <sheetViews>
    <sheetView topLeftCell="A94" zoomScale="96" workbookViewId="0">
      <selection activeCell="B109" sqref="B109"/>
    </sheetView>
  </sheetViews>
  <sheetFormatPr defaultRowHeight="14.75" x14ac:dyDescent="0.75"/>
  <cols>
    <col min="1" max="1" width="12.7265625" bestFit="1" customWidth="1"/>
    <col min="2" max="2" width="7.36328125" style="125" bestFit="1" customWidth="1"/>
    <col min="3" max="4" width="17.40625" style="125" customWidth="1"/>
    <col min="5" max="5" width="9.08984375" style="125" customWidth="1"/>
    <col min="8" max="8" width="15" customWidth="1"/>
  </cols>
  <sheetData>
    <row r="1" spans="1:44" x14ac:dyDescent="0.75">
      <c r="A1" t="s">
        <v>229</v>
      </c>
      <c r="B1" s="112" t="s">
        <v>194</v>
      </c>
      <c r="C1" s="113" t="s">
        <v>228</v>
      </c>
      <c r="D1" s="113"/>
      <c r="E1" s="113"/>
    </row>
    <row r="2" spans="1:44" x14ac:dyDescent="0.75">
      <c r="A2" s="153">
        <v>1000000</v>
      </c>
      <c r="B2" s="114">
        <v>42761</v>
      </c>
      <c r="C2">
        <v>3152.4677768814199</v>
      </c>
      <c r="D2" s="154">
        <v>3152.4677768814199</v>
      </c>
      <c r="E2" s="115"/>
    </row>
    <row r="3" spans="1:44" x14ac:dyDescent="0.75">
      <c r="A3" s="153">
        <v>1000000</v>
      </c>
      <c r="B3" s="116">
        <v>42790</v>
      </c>
      <c r="C3">
        <v>4363.261564745173</v>
      </c>
      <c r="D3" s="154">
        <v>4363.261564745173</v>
      </c>
      <c r="E3" s="115"/>
      <c r="H3" s="117" t="s">
        <v>233</v>
      </c>
      <c r="I3" s="117" t="s">
        <v>232</v>
      </c>
    </row>
    <row r="4" spans="1:44" x14ac:dyDescent="0.75">
      <c r="A4" s="153">
        <v>1000000</v>
      </c>
      <c r="B4" s="118">
        <v>42818</v>
      </c>
      <c r="C4">
        <v>3324.3852690481376</v>
      </c>
      <c r="D4" s="154">
        <v>3324.3852690481376</v>
      </c>
      <c r="E4" s="115">
        <v>2017</v>
      </c>
      <c r="F4" t="s">
        <v>161</v>
      </c>
      <c r="G4" s="119">
        <f>AVERAGE(C2:C4)</f>
        <v>3613.3715368915769</v>
      </c>
    </row>
    <row r="5" spans="1:44" x14ac:dyDescent="0.75">
      <c r="A5" s="153">
        <v>1000000</v>
      </c>
      <c r="B5" s="116">
        <v>42849</v>
      </c>
      <c r="C5">
        <v>2899.2350878904026</v>
      </c>
      <c r="D5" s="154">
        <v>2899.2350878904026</v>
      </c>
      <c r="E5" s="115">
        <v>2017</v>
      </c>
      <c r="F5" t="s">
        <v>172</v>
      </c>
      <c r="G5" s="119">
        <f>AVERAGE(C5:C7)</f>
        <v>3781.7941977001669</v>
      </c>
      <c r="H5">
        <f>G5/G4-1</f>
        <v>4.661094467840865E-2</v>
      </c>
    </row>
    <row r="6" spans="1:44" x14ac:dyDescent="0.75">
      <c r="A6" s="153">
        <v>1000000</v>
      </c>
      <c r="B6" s="116">
        <v>42879</v>
      </c>
      <c r="C6">
        <v>4839.8219518060605</v>
      </c>
      <c r="D6" s="154">
        <v>4839.8219518060605</v>
      </c>
      <c r="E6" s="115">
        <v>2017</v>
      </c>
      <c r="F6" t="s">
        <v>195</v>
      </c>
      <c r="G6" s="119">
        <f>AVERAGE(C8:C10)</f>
        <v>4088.9526285563329</v>
      </c>
      <c r="H6">
        <f t="shared" ref="H6:H37" si="0">G6/G5-1</f>
        <v>8.1220292485233436E-2</v>
      </c>
      <c r="K6" s="115"/>
      <c r="L6" s="115"/>
      <c r="M6" s="115"/>
      <c r="N6" s="115"/>
      <c r="O6" s="115"/>
      <c r="P6" s="115"/>
      <c r="Q6" s="115"/>
      <c r="R6" s="115"/>
      <c r="S6" s="115"/>
      <c r="T6" s="115"/>
      <c r="U6" s="115"/>
      <c r="V6" s="115"/>
      <c r="W6" s="115"/>
      <c r="X6" s="115"/>
      <c r="Y6" s="115"/>
      <c r="Z6" s="115"/>
      <c r="AA6" s="115"/>
      <c r="AB6" s="115"/>
      <c r="AC6" s="115"/>
      <c r="AD6" s="115"/>
      <c r="AE6" s="115"/>
      <c r="AF6" s="115"/>
      <c r="AG6" s="115"/>
      <c r="AH6" s="115"/>
      <c r="AI6" s="115"/>
      <c r="AJ6" s="115"/>
      <c r="AK6" s="115"/>
      <c r="AL6" s="115"/>
      <c r="AM6" s="115"/>
      <c r="AN6" s="115"/>
      <c r="AO6" s="115"/>
      <c r="AP6" s="115"/>
      <c r="AQ6" s="115"/>
      <c r="AR6" s="115"/>
    </row>
    <row r="7" spans="1:44" x14ac:dyDescent="0.75">
      <c r="A7" s="153">
        <v>1000000</v>
      </c>
      <c r="B7" s="116">
        <v>42910</v>
      </c>
      <c r="C7">
        <v>3606.3255534040386</v>
      </c>
      <c r="D7" s="154">
        <v>3606.3255534040386</v>
      </c>
      <c r="E7" s="120">
        <v>2017</v>
      </c>
      <c r="F7" t="s">
        <v>196</v>
      </c>
      <c r="G7" s="119">
        <f>AVERAGEA(C11:C13)</f>
        <v>4087.7016704449288</v>
      </c>
      <c r="H7">
        <f t="shared" si="0"/>
        <v>-3.0593607337670026E-4</v>
      </c>
      <c r="I7" s="121">
        <f>G8/G4-1</f>
        <v>0.13147117422977361</v>
      </c>
      <c r="J7" t="str">
        <f>E8 &amp; "" &amp; F8</f>
        <v>2018Q1</v>
      </c>
      <c r="K7" s="119"/>
    </row>
    <row r="8" spans="1:44" x14ac:dyDescent="0.75">
      <c r="A8" s="153">
        <v>1000000</v>
      </c>
      <c r="B8" s="116">
        <v>42940</v>
      </c>
      <c r="C8">
        <v>4122.2502009159061</v>
      </c>
      <c r="D8" s="154">
        <v>4122.2502009159061</v>
      </c>
      <c r="E8" s="115">
        <v>2018</v>
      </c>
      <c r="F8" t="s">
        <v>161</v>
      </c>
      <c r="G8" s="119">
        <f>AVERAGE(C14:C16)</f>
        <v>4088.4257357751544</v>
      </c>
      <c r="H8">
        <f t="shared" si="0"/>
        <v>1.7713262576402045E-4</v>
      </c>
      <c r="I8" s="121">
        <f t="shared" ref="I8:I36" si="1">G9/G5-1</f>
        <v>9.3667775805459597E-2</v>
      </c>
      <c r="J8" t="str">
        <f t="shared" ref="J8:J39" si="2">E9 &amp; "" &amp; F9</f>
        <v>2018Q2</v>
      </c>
      <c r="K8" s="119"/>
      <c r="L8" s="119"/>
      <c r="M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22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</row>
    <row r="9" spans="1:44" x14ac:dyDescent="0.75">
      <c r="A9" s="153">
        <v>1000000</v>
      </c>
      <c r="B9" s="116">
        <v>42971</v>
      </c>
      <c r="C9">
        <v>4720.253146026761</v>
      </c>
      <c r="D9" s="154">
        <v>4720.253146026761</v>
      </c>
      <c r="E9" s="115">
        <v>2018</v>
      </c>
      <c r="F9" t="s">
        <v>172</v>
      </c>
      <c r="G9" s="119">
        <f>AVERAGE(C17:C19)</f>
        <v>4136.0264487527338</v>
      </c>
      <c r="H9">
        <f t="shared" si="0"/>
        <v>1.1642797510312164E-2</v>
      </c>
      <c r="I9" s="121">
        <f t="shared" si="1"/>
        <v>7.013344531647614E-2</v>
      </c>
      <c r="J9" t="str">
        <f t="shared" si="2"/>
        <v>2018Q3</v>
      </c>
    </row>
    <row r="10" spans="1:44" x14ac:dyDescent="0.75">
      <c r="A10" s="153">
        <v>1000000</v>
      </c>
      <c r="B10" s="116">
        <v>43002</v>
      </c>
      <c r="C10">
        <v>3424.3545387263312</v>
      </c>
      <c r="D10" s="154">
        <v>3424.3545387263312</v>
      </c>
      <c r="E10" s="115">
        <v>2018</v>
      </c>
      <c r="F10" t="s">
        <v>195</v>
      </c>
      <c r="G10" s="119">
        <f>AVERAGEA(C20:C22)</f>
        <v>4375.7249641328499</v>
      </c>
      <c r="H10">
        <f t="shared" si="0"/>
        <v>5.7953815902797245E-2</v>
      </c>
      <c r="I10" s="121">
        <f t="shared" si="1"/>
        <v>0.16674228127728741</v>
      </c>
      <c r="J10" t="str">
        <f t="shared" si="2"/>
        <v>2018Q4</v>
      </c>
    </row>
    <row r="11" spans="1:44" x14ac:dyDescent="0.75">
      <c r="A11" s="153">
        <v>1000000</v>
      </c>
      <c r="B11" s="116">
        <v>43032</v>
      </c>
      <c r="C11">
        <v>3465.9105461133213</v>
      </c>
      <c r="D11" s="154">
        <v>3465.9105461133213</v>
      </c>
      <c r="E11" s="120">
        <v>2018</v>
      </c>
      <c r="F11" t="s">
        <v>196</v>
      </c>
      <c r="G11" s="119">
        <f>AVERAGE(C23:C25)</f>
        <v>4769.294372155895</v>
      </c>
      <c r="H11">
        <f t="shared" si="0"/>
        <v>8.9943817595729447E-2</v>
      </c>
      <c r="I11" s="121">
        <f t="shared" si="1"/>
        <v>0.20468568935565434</v>
      </c>
      <c r="J11" t="str">
        <f t="shared" si="2"/>
        <v>2019Q1</v>
      </c>
      <c r="O11" s="115"/>
      <c r="Q11" s="119"/>
    </row>
    <row r="12" spans="1:44" x14ac:dyDescent="0.75">
      <c r="A12" s="153">
        <v>1000000</v>
      </c>
      <c r="B12" s="116">
        <v>43063</v>
      </c>
      <c r="C12">
        <v>4814.1846265924787</v>
      </c>
      <c r="D12" s="154">
        <v>4814.1846265924787</v>
      </c>
      <c r="E12" s="115">
        <v>2019</v>
      </c>
      <c r="F12" t="s">
        <v>161</v>
      </c>
      <c r="G12" s="119">
        <f>AVERAGE(C26:C28)</f>
        <v>4925.2679758816903</v>
      </c>
      <c r="H12">
        <f t="shared" si="0"/>
        <v>3.2703706576889147E-2</v>
      </c>
      <c r="I12" s="121">
        <f t="shared" si="1"/>
        <v>0.19847706754323835</v>
      </c>
      <c r="J12" t="str">
        <f t="shared" si="2"/>
        <v>2019Q2</v>
      </c>
      <c r="O12" s="115"/>
      <c r="Q12" s="119"/>
    </row>
    <row r="13" spans="1:44" x14ac:dyDescent="0.75">
      <c r="A13" s="153">
        <v>1000000</v>
      </c>
      <c r="B13" s="116">
        <v>43093</v>
      </c>
      <c r="C13">
        <v>3983.0098386289865</v>
      </c>
      <c r="D13" s="154">
        <v>3983.0098386289865</v>
      </c>
      <c r="E13" s="115">
        <v>2019</v>
      </c>
      <c r="F13" t="s">
        <v>172</v>
      </c>
      <c r="G13" s="119">
        <f>AVERAGE(C29:C31)</f>
        <v>4956.9328495824502</v>
      </c>
      <c r="H13">
        <f t="shared" si="0"/>
        <v>6.4290661657027126E-3</v>
      </c>
      <c r="I13" s="121">
        <f t="shared" si="1"/>
        <v>0.17480508159072627</v>
      </c>
      <c r="J13" t="str">
        <f t="shared" si="2"/>
        <v>2019Q3</v>
      </c>
      <c r="O13" s="115"/>
      <c r="Q13" s="119"/>
    </row>
    <row r="14" spans="1:44" x14ac:dyDescent="0.75">
      <c r="A14" s="153">
        <v>1000000</v>
      </c>
      <c r="B14" s="114">
        <v>43124</v>
      </c>
      <c r="C14">
        <v>3675.9203998872981</v>
      </c>
      <c r="D14" s="154">
        <v>3675.9203998872981</v>
      </c>
      <c r="E14" s="115">
        <v>2019</v>
      </c>
      <c r="F14" t="s">
        <v>195</v>
      </c>
      <c r="G14" s="119">
        <f>AVERAGE(C32:C34)</f>
        <v>5140.6239235066705</v>
      </c>
      <c r="H14">
        <f t="shared" si="0"/>
        <v>3.705740616189579E-2</v>
      </c>
      <c r="I14" s="121">
        <f t="shared" si="1"/>
        <v>7.6732188681137625E-2</v>
      </c>
      <c r="J14" t="str">
        <f t="shared" si="2"/>
        <v>2019Q4</v>
      </c>
    </row>
    <row r="15" spans="1:44" x14ac:dyDescent="0.75">
      <c r="A15" s="153">
        <v>1000000</v>
      </c>
      <c r="B15" s="116">
        <v>43155</v>
      </c>
      <c r="C15">
        <v>4765.1349929729258</v>
      </c>
      <c r="D15" s="154">
        <v>4765.1349929729258</v>
      </c>
      <c r="E15" s="115">
        <v>2019</v>
      </c>
      <c r="F15" t="s">
        <v>196</v>
      </c>
      <c r="G15" s="119">
        <f>AVERAGE(C35:C37)</f>
        <v>5135.2527677960488</v>
      </c>
      <c r="H15">
        <f t="shared" si="0"/>
        <v>-1.0448450986777491E-3</v>
      </c>
      <c r="I15" s="121">
        <f t="shared" si="1"/>
        <v>-6.6634533722782496E-2</v>
      </c>
      <c r="J15" t="str">
        <f t="shared" si="2"/>
        <v>2020Q1</v>
      </c>
    </row>
    <row r="16" spans="1:44" x14ac:dyDescent="0.75">
      <c r="A16" s="153">
        <v>1000000</v>
      </c>
      <c r="B16" s="116">
        <v>43183</v>
      </c>
      <c r="C16">
        <v>3824.2218144652406</v>
      </c>
      <c r="D16" s="154">
        <v>3824.2218144652406</v>
      </c>
      <c r="E16" s="120">
        <v>2020</v>
      </c>
      <c r="F16" t="s">
        <v>161</v>
      </c>
      <c r="G16" s="119">
        <f>AVERAGE(C38:C40)</f>
        <v>4597.0750408490612</v>
      </c>
      <c r="H16">
        <f t="shared" si="0"/>
        <v>-0.10480063032573239</v>
      </c>
      <c r="I16" s="121">
        <f t="shared" si="1"/>
        <v>-0.22071520412128542</v>
      </c>
      <c r="J16" t="str">
        <f t="shared" si="2"/>
        <v>2020Q2</v>
      </c>
    </row>
    <row r="17" spans="1:10" x14ac:dyDescent="0.75">
      <c r="A17" s="153">
        <v>1000000</v>
      </c>
      <c r="B17" s="116">
        <v>43214</v>
      </c>
      <c r="C17">
        <v>3623.2143065673554</v>
      </c>
      <c r="D17" s="154">
        <v>3623.2143065673554</v>
      </c>
      <c r="E17" s="120">
        <v>2020</v>
      </c>
      <c r="F17" t="s">
        <v>172</v>
      </c>
      <c r="G17" s="119">
        <f>AVERAGE(C41:C43)</f>
        <v>3862.8624038713547</v>
      </c>
      <c r="H17">
        <f t="shared" si="0"/>
        <v>-0.15971299803757399</v>
      </c>
      <c r="I17" s="121">
        <f t="shared" si="1"/>
        <v>-4.2866420725417687E-2</v>
      </c>
      <c r="J17" t="str">
        <f t="shared" si="2"/>
        <v>2020Q3</v>
      </c>
    </row>
    <row r="18" spans="1:10" x14ac:dyDescent="0.75">
      <c r="A18" s="153">
        <v>1000000</v>
      </c>
      <c r="B18" s="116">
        <v>43244</v>
      </c>
      <c r="C18">
        <v>4876.2947843149441</v>
      </c>
      <c r="D18" s="154">
        <v>4876.2947843149441</v>
      </c>
      <c r="E18" s="120">
        <v>2020</v>
      </c>
      <c r="F18" t="s">
        <v>195</v>
      </c>
      <c r="G18" s="119">
        <f>AVERAGE(C44:C46)</f>
        <v>4920.2637756104859</v>
      </c>
      <c r="H18">
        <f t="shared" si="0"/>
        <v>0.27373518939722152</v>
      </c>
      <c r="I18" s="121">
        <f t="shared" si="1"/>
        <v>7.4150574180192663E-2</v>
      </c>
      <c r="J18" t="str">
        <f t="shared" si="2"/>
        <v>2020Q4</v>
      </c>
    </row>
    <row r="19" spans="1:10" x14ac:dyDescent="0.75">
      <c r="A19" s="153">
        <v>1000000</v>
      </c>
      <c r="B19" s="116">
        <v>43275</v>
      </c>
      <c r="C19">
        <v>3908.5702553759015</v>
      </c>
      <c r="D19" s="154">
        <v>3908.5702553759015</v>
      </c>
      <c r="E19" s="120">
        <v>2020</v>
      </c>
      <c r="F19" t="s">
        <v>196</v>
      </c>
      <c r="G19" s="119">
        <f>AVERAGE(C47:C49)</f>
        <v>5516.0347090885489</v>
      </c>
      <c r="H19">
        <f t="shared" si="0"/>
        <v>0.12108516141579062</v>
      </c>
      <c r="I19" s="121">
        <f t="shared" si="1"/>
        <v>7.3824284797606055E-2</v>
      </c>
      <c r="J19" t="str">
        <f t="shared" si="2"/>
        <v>2021Q1</v>
      </c>
    </row>
    <row r="20" spans="1:10" x14ac:dyDescent="0.75">
      <c r="A20" s="153">
        <v>1000000</v>
      </c>
      <c r="B20" s="116">
        <v>43305</v>
      </c>
      <c r="C20">
        <v>3983.6491719224368</v>
      </c>
      <c r="D20" s="154">
        <v>3983.6491719224368</v>
      </c>
      <c r="E20" s="120">
        <v>2021</v>
      </c>
      <c r="F20" t="s">
        <v>161</v>
      </c>
      <c r="G20" s="119">
        <f>AVERAGE(C50:C52)</f>
        <v>4936.4508179006689</v>
      </c>
      <c r="H20">
        <f t="shared" si="0"/>
        <v>-0.10507256059011427</v>
      </c>
      <c r="I20" s="121">
        <f t="shared" si="1"/>
        <v>0.51732221137297629</v>
      </c>
      <c r="J20" t="str">
        <f t="shared" si="2"/>
        <v>2021Q2</v>
      </c>
    </row>
    <row r="21" spans="1:10" x14ac:dyDescent="0.75">
      <c r="A21" s="153">
        <v>1000000</v>
      </c>
      <c r="B21" s="116">
        <v>43336</v>
      </c>
      <c r="C21">
        <v>5289.7049225331693</v>
      </c>
      <c r="D21" s="154">
        <v>5289.7049225331693</v>
      </c>
      <c r="E21" s="115">
        <v>2021</v>
      </c>
      <c r="F21" t="s">
        <v>172</v>
      </c>
      <c r="G21" s="119">
        <f>AVERAGE(C53:C55)</f>
        <v>5861.2069248716152</v>
      </c>
      <c r="H21">
        <f t="shared" si="0"/>
        <v>0.18733218279367336</v>
      </c>
      <c r="I21" s="121">
        <f t="shared" si="1"/>
        <v>0.20047019080629269</v>
      </c>
      <c r="J21" t="str">
        <f t="shared" si="2"/>
        <v>2021Q3</v>
      </c>
    </row>
    <row r="22" spans="1:10" x14ac:dyDescent="0.75">
      <c r="A22" s="153">
        <v>1000000</v>
      </c>
      <c r="B22" s="116">
        <v>43367</v>
      </c>
      <c r="C22">
        <v>3853.8207979429444</v>
      </c>
      <c r="D22" s="154">
        <v>3853.8207979429444</v>
      </c>
      <c r="E22" s="115">
        <v>2021</v>
      </c>
      <c r="F22" t="s">
        <v>195</v>
      </c>
      <c r="G22" s="119">
        <f>AVERAGE(C56:C58)</f>
        <v>5906.6299935244097</v>
      </c>
      <c r="H22">
        <f t="shared" si="0"/>
        <v>7.7497807593254198E-3</v>
      </c>
      <c r="I22" s="121">
        <f t="shared" si="1"/>
        <v>0.21373694348385452</v>
      </c>
      <c r="J22" t="str">
        <f t="shared" si="2"/>
        <v>2021Q4</v>
      </c>
    </row>
    <row r="23" spans="1:10" x14ac:dyDescent="0.75">
      <c r="A23" s="153">
        <v>1000000</v>
      </c>
      <c r="B23" s="116">
        <v>43397</v>
      </c>
      <c r="C23">
        <v>4277.7515464990402</v>
      </c>
      <c r="D23" s="154">
        <v>4277.7515464990402</v>
      </c>
      <c r="E23" s="115">
        <v>2021</v>
      </c>
      <c r="F23" t="s">
        <v>196</v>
      </c>
      <c r="G23" s="119">
        <f>AVERAGE(C59:C61)</f>
        <v>6695.0151079599882</v>
      </c>
      <c r="H23">
        <f t="shared" si="0"/>
        <v>0.13347460655228205</v>
      </c>
      <c r="I23" s="121">
        <f t="shared" si="1"/>
        <v>0.25591392707856775</v>
      </c>
      <c r="J23" t="str">
        <f t="shared" si="2"/>
        <v>2022Q1</v>
      </c>
    </row>
    <row r="24" spans="1:10" x14ac:dyDescent="0.75">
      <c r="A24" s="153">
        <v>1000000</v>
      </c>
      <c r="B24" s="116">
        <v>43428</v>
      </c>
      <c r="C24">
        <v>5413.7610923793627</v>
      </c>
      <c r="D24" s="154">
        <v>5413.7610923793627</v>
      </c>
      <c r="E24" s="120">
        <v>2022</v>
      </c>
      <c r="F24" t="s">
        <v>161</v>
      </c>
      <c r="G24" s="119">
        <f>AVERAGE(C62:C64)</f>
        <v>6199.7573325398371</v>
      </c>
      <c r="H24">
        <f t="shared" si="0"/>
        <v>-7.3974108711318376E-2</v>
      </c>
      <c r="I24" s="121">
        <f t="shared" si="1"/>
        <v>0.12772892361215349</v>
      </c>
      <c r="J24" t="str">
        <f t="shared" si="2"/>
        <v>2022Q2</v>
      </c>
    </row>
    <row r="25" spans="1:10" x14ac:dyDescent="0.75">
      <c r="A25" s="153">
        <v>1000000</v>
      </c>
      <c r="B25" s="116">
        <v>43458</v>
      </c>
      <c r="C25">
        <v>4616.370477589282</v>
      </c>
      <c r="D25" s="154">
        <v>4616.370477589282</v>
      </c>
      <c r="E25" s="115">
        <v>2022</v>
      </c>
      <c r="F25" t="s">
        <v>172</v>
      </c>
      <c r="G25" s="119">
        <f>AVERAGE(C65:C67)</f>
        <v>6609.8525764535671</v>
      </c>
      <c r="H25">
        <f t="shared" si="0"/>
        <v>6.614698316679557E-2</v>
      </c>
      <c r="I25" s="121">
        <f t="shared" si="1"/>
        <v>0.18067160962679041</v>
      </c>
      <c r="J25" t="str">
        <f t="shared" si="2"/>
        <v>2022Q3</v>
      </c>
    </row>
    <row r="26" spans="1:10" x14ac:dyDescent="0.75">
      <c r="A26" s="153">
        <v>1000000</v>
      </c>
      <c r="B26" s="114">
        <v>43489</v>
      </c>
      <c r="C26">
        <v>4794.7361511092986</v>
      </c>
      <c r="D26" s="154">
        <v>4794.7361511092986</v>
      </c>
      <c r="E26" s="115">
        <v>2022</v>
      </c>
      <c r="F26" t="s">
        <v>195</v>
      </c>
      <c r="G26" s="119">
        <f>AVERAGE(C68:C70)</f>
        <v>6973.7903419243439</v>
      </c>
      <c r="H26">
        <f t="shared" si="0"/>
        <v>5.5059891466753941E-2</v>
      </c>
      <c r="I26" s="121">
        <f t="shared" si="1"/>
        <v>8.6771123051763377E-2</v>
      </c>
      <c r="J26" t="str">
        <f t="shared" si="2"/>
        <v>2022Q4</v>
      </c>
    </row>
    <row r="27" spans="1:10" x14ac:dyDescent="0.75">
      <c r="A27" s="153">
        <v>1000000</v>
      </c>
      <c r="B27" s="116">
        <v>43520</v>
      </c>
      <c r="C27">
        <v>5324.2497646405318</v>
      </c>
      <c r="D27" s="154">
        <v>5324.2497646405318</v>
      </c>
      <c r="E27" s="115">
        <v>2022</v>
      </c>
      <c r="F27" t="s">
        <v>196</v>
      </c>
      <c r="G27" s="119">
        <f>AVERAGE(C71:C73)</f>
        <v>7275.9490877261997</v>
      </c>
      <c r="H27">
        <f t="shared" si="0"/>
        <v>4.3327764527901991E-2</v>
      </c>
      <c r="I27" s="121">
        <f t="shared" si="1"/>
        <v>7.6679254350102699E-2</v>
      </c>
      <c r="J27" t="str">
        <f t="shared" si="2"/>
        <v>2023Q1</v>
      </c>
    </row>
    <row r="28" spans="1:10" x14ac:dyDescent="0.75">
      <c r="A28" s="153">
        <v>1000000</v>
      </c>
      <c r="B28" s="116">
        <v>43548</v>
      </c>
      <c r="C28">
        <v>4656.8180118952405</v>
      </c>
      <c r="D28" s="154">
        <v>4656.8180118952405</v>
      </c>
      <c r="E28" s="120">
        <v>2023</v>
      </c>
      <c r="F28" t="s">
        <v>161</v>
      </c>
      <c r="G28" s="119">
        <f>AVERAGE(C74:C76)</f>
        <v>6675.150101950574</v>
      </c>
      <c r="H28">
        <f t="shared" si="0"/>
        <v>-8.2573280616973221E-2</v>
      </c>
      <c r="I28" s="121">
        <f t="shared" si="1"/>
        <v>5.7154122453815459E-2</v>
      </c>
      <c r="J28" t="str">
        <f t="shared" si="2"/>
        <v>2023Q2</v>
      </c>
    </row>
    <row r="29" spans="1:10" x14ac:dyDescent="0.75">
      <c r="A29" s="153">
        <v>1000000</v>
      </c>
      <c r="B29" s="116">
        <v>43579</v>
      </c>
      <c r="C29">
        <v>4426.9363106815345</v>
      </c>
      <c r="D29" s="154">
        <v>4426.9363106815345</v>
      </c>
      <c r="E29" s="115">
        <v>2023</v>
      </c>
      <c r="F29" t="s">
        <v>172</v>
      </c>
      <c r="G29" s="119">
        <f>AVERAGE(C77:C79)</f>
        <v>6987.6329000098622</v>
      </c>
      <c r="H29">
        <f t="shared" si="0"/>
        <v>4.681284964183452E-2</v>
      </c>
      <c r="I29" s="121">
        <f t="shared" si="1"/>
        <v>0.13039970564357217</v>
      </c>
      <c r="J29" t="str">
        <f t="shared" si="2"/>
        <v>2023Q3</v>
      </c>
    </row>
    <row r="30" spans="1:10" x14ac:dyDescent="0.75">
      <c r="A30" s="153">
        <v>1000000</v>
      </c>
      <c r="B30" s="116">
        <v>43609</v>
      </c>
      <c r="C30">
        <v>6020.3125380533793</v>
      </c>
      <c r="D30" s="154">
        <v>6020.3125380533793</v>
      </c>
      <c r="E30" s="115">
        <v>2023</v>
      </c>
      <c r="F30" t="s">
        <v>195</v>
      </c>
      <c r="G30" s="119">
        <f>AVERAGE(C80:C82)</f>
        <v>7883.1705497312651</v>
      </c>
      <c r="H30">
        <f t="shared" si="0"/>
        <v>0.12816037455547202</v>
      </c>
      <c r="I30" s="121">
        <f t="shared" si="1"/>
        <v>0.15438484982371992</v>
      </c>
      <c r="J30" t="str">
        <f t="shared" si="2"/>
        <v>2023Q4</v>
      </c>
    </row>
    <row r="31" spans="1:10" x14ac:dyDescent="0.75">
      <c r="A31" s="153">
        <v>1000000</v>
      </c>
      <c r="B31" s="116">
        <v>43640</v>
      </c>
      <c r="C31">
        <v>4423.549700012436</v>
      </c>
      <c r="D31" s="154">
        <v>4423.549700012436</v>
      </c>
      <c r="E31" s="115">
        <v>2023</v>
      </c>
      <c r="F31" t="s">
        <v>196</v>
      </c>
      <c r="G31" s="119">
        <f>AVERAGE(C83:C85)</f>
        <v>8399.2453949598403</v>
      </c>
      <c r="H31">
        <f>G31/G30-1</f>
        <v>6.5465391364159631E-2</v>
      </c>
      <c r="I31" s="121">
        <f t="shared" si="1"/>
        <v>9.7859018022380173E-2</v>
      </c>
      <c r="J31" t="str">
        <f t="shared" si="2"/>
        <v>2024Q1</v>
      </c>
    </row>
    <row r="32" spans="1:10" x14ac:dyDescent="0.75">
      <c r="A32" s="153">
        <v>1000000</v>
      </c>
      <c r="B32" s="116">
        <v>43670</v>
      </c>
      <c r="C32">
        <v>4760.5188287169285</v>
      </c>
      <c r="D32" s="154">
        <v>4760.5188287169285</v>
      </c>
      <c r="E32" s="120">
        <v>2024</v>
      </c>
      <c r="F32" t="s">
        <v>161</v>
      </c>
      <c r="G32" s="119">
        <f>AVERAGE(C86:C88)</f>
        <v>7328.3737360794476</v>
      </c>
      <c r="H32">
        <f t="shared" si="0"/>
        <v>-0.12749617477815256</v>
      </c>
      <c r="I32" s="121">
        <f t="shared" si="1"/>
        <v>0.15853111993328151</v>
      </c>
      <c r="J32" t="str">
        <f t="shared" si="2"/>
        <v>2024Q2</v>
      </c>
    </row>
    <row r="33" spans="1:10" x14ac:dyDescent="0.75">
      <c r="A33" s="153">
        <v>1000000</v>
      </c>
      <c r="B33" s="116">
        <v>43701</v>
      </c>
      <c r="C33">
        <v>6032.066082164326</v>
      </c>
      <c r="D33" s="154">
        <v>6032.066082164326</v>
      </c>
      <c r="E33" s="120">
        <v>2024</v>
      </c>
      <c r="F33" t="s">
        <v>172</v>
      </c>
      <c r="G33" s="119">
        <f>AVERAGE(C89:C91)</f>
        <v>8095.39016933107</v>
      </c>
      <c r="H33">
        <f t="shared" si="0"/>
        <v>0.10466393512047634</v>
      </c>
      <c r="I33" s="121">
        <f t="shared" si="1"/>
        <v>0.21344499291811458</v>
      </c>
      <c r="J33" t="str">
        <f t="shared" si="2"/>
        <v>2024Q3</v>
      </c>
    </row>
    <row r="34" spans="1:10" x14ac:dyDescent="0.75">
      <c r="A34" s="153">
        <v>1000000</v>
      </c>
      <c r="B34" s="116">
        <v>43732</v>
      </c>
      <c r="C34">
        <v>4629.286859638758</v>
      </c>
      <c r="D34" s="154">
        <v>4629.286859638758</v>
      </c>
      <c r="E34" s="120">
        <v>2024</v>
      </c>
      <c r="F34" t="s">
        <v>195</v>
      </c>
      <c r="G34" s="119">
        <f>AVERAGE(C95:C97)</f>
        <v>9565.7938318909437</v>
      </c>
      <c r="H34">
        <f t="shared" si="0"/>
        <v>0.18163468737188415</v>
      </c>
      <c r="I34" s="121">
        <f t="shared" si="1"/>
        <v>0.13888729071198669</v>
      </c>
      <c r="J34" t="str">
        <f t="shared" si="2"/>
        <v>2024Q4</v>
      </c>
    </row>
    <row r="35" spans="1:10" x14ac:dyDescent="0.75">
      <c r="A35" s="153">
        <v>1000000</v>
      </c>
      <c r="B35" s="116">
        <v>43762</v>
      </c>
      <c r="C35">
        <v>4640.6883161983578</v>
      </c>
      <c r="D35" s="154">
        <v>4640.6883161983578</v>
      </c>
      <c r="E35" s="120">
        <v>2024</v>
      </c>
      <c r="F35" t="s">
        <v>196</v>
      </c>
      <c r="G35" s="119">
        <f>AVERAGE(C95:C97)</f>
        <v>9565.7938318909437</v>
      </c>
      <c r="H35">
        <f t="shared" si="0"/>
        <v>0</v>
      </c>
      <c r="I35" s="121">
        <f t="shared" si="1"/>
        <v>0.13639312518107372</v>
      </c>
      <c r="J35" t="str">
        <f t="shared" si="2"/>
        <v>2025Q1</v>
      </c>
    </row>
    <row r="36" spans="1:10" x14ac:dyDescent="0.75">
      <c r="A36" s="153">
        <v>1000000</v>
      </c>
      <c r="B36" s="116">
        <v>43793</v>
      </c>
      <c r="C36">
        <v>6044.6568688145717</v>
      </c>
      <c r="D36" s="154">
        <v>6044.6568688145717</v>
      </c>
      <c r="E36" s="115">
        <v>2025</v>
      </c>
      <c r="F36" t="s">
        <v>161</v>
      </c>
      <c r="G36" s="119">
        <f>AVERAGE(C98:C100)</f>
        <v>8327.9135324382241</v>
      </c>
      <c r="H36">
        <f t="shared" si="0"/>
        <v>-0.12940695996664797</v>
      </c>
      <c r="I36" s="121">
        <f t="shared" si="1"/>
        <v>0.1343746649187203</v>
      </c>
      <c r="J36" t="str">
        <f t="shared" si="2"/>
        <v>2025Q2</v>
      </c>
    </row>
    <row r="37" spans="1:10" x14ac:dyDescent="0.75">
      <c r="A37" s="153">
        <v>1000000</v>
      </c>
      <c r="B37" s="116">
        <v>43823</v>
      </c>
      <c r="C37">
        <v>4720.4131183752179</v>
      </c>
      <c r="D37" s="154">
        <v>4720.4131183752179</v>
      </c>
      <c r="E37" s="115">
        <v>2025</v>
      </c>
      <c r="F37" t="s">
        <v>172</v>
      </c>
      <c r="G37" s="119">
        <f>AVERAGE(C101:C103)</f>
        <v>9183.2055107212345</v>
      </c>
      <c r="H37">
        <f t="shared" si="0"/>
        <v>0.10270183221181939</v>
      </c>
      <c r="I37" s="121">
        <f>G38/G34-1</f>
        <v>4.1635208330306428E-2</v>
      </c>
      <c r="J37" t="str">
        <f t="shared" si="2"/>
        <v>2025Q3</v>
      </c>
    </row>
    <row r="38" spans="1:10" x14ac:dyDescent="0.75">
      <c r="A38" s="153">
        <v>1000000</v>
      </c>
      <c r="B38" s="114">
        <v>43854</v>
      </c>
      <c r="C38">
        <v>4256.4818149052171</v>
      </c>
      <c r="D38" s="154">
        <v>4256.4818149052171</v>
      </c>
      <c r="E38" s="115">
        <v>2025</v>
      </c>
      <c r="F38" t="s">
        <v>195</v>
      </c>
      <c r="G38" s="119">
        <f>AVERAGE(C104:C106)</f>
        <v>9964.0676509264831</v>
      </c>
      <c r="H38">
        <f>G38/G37-1</f>
        <v>8.5031543647107188E-2</v>
      </c>
      <c r="I38" s="121">
        <f>G39/G35-1</f>
        <v>0.25374207593991427</v>
      </c>
      <c r="J38" t="str">
        <f>E39 &amp; "" &amp; F39</f>
        <v>2025Q4</v>
      </c>
    </row>
    <row r="39" spans="1:10" x14ac:dyDescent="0.75">
      <c r="A39" s="153">
        <v>1000000</v>
      </c>
      <c r="B39" s="116">
        <v>43885</v>
      </c>
      <c r="C39">
        <v>5428.3204593082492</v>
      </c>
      <c r="D39" s="154">
        <v>5428.3204593082492</v>
      </c>
      <c r="E39" s="115">
        <v>2025</v>
      </c>
      <c r="F39" t="s">
        <v>196</v>
      </c>
      <c r="G39" s="119">
        <f>AVERAGE(C107:C109)</f>
        <v>11993.03821680818</v>
      </c>
      <c r="H39">
        <f>G39/G38-1</f>
        <v>0.20362874249383855</v>
      </c>
      <c r="J39" t="str">
        <f t="shared" si="2"/>
        <v/>
      </c>
    </row>
    <row r="40" spans="1:10" x14ac:dyDescent="0.75">
      <c r="A40" s="153">
        <v>1000000</v>
      </c>
      <c r="B40" s="116">
        <v>43914</v>
      </c>
      <c r="C40">
        <v>4106.4228483337174</v>
      </c>
      <c r="D40" s="154">
        <v>4106.4228483337174</v>
      </c>
      <c r="E40" s="115"/>
    </row>
    <row r="41" spans="1:10" x14ac:dyDescent="0.75">
      <c r="A41" s="153">
        <v>1000000</v>
      </c>
      <c r="B41" s="116">
        <v>43945</v>
      </c>
      <c r="C41">
        <v>2768.3032387807752</v>
      </c>
      <c r="D41" s="154">
        <v>2768.3032387807752</v>
      </c>
      <c r="E41" s="115"/>
    </row>
    <row r="42" spans="1:10" x14ac:dyDescent="0.75">
      <c r="A42" s="153">
        <v>1000000</v>
      </c>
      <c r="B42" s="116">
        <v>43975</v>
      </c>
      <c r="C42">
        <v>4534.7462172530841</v>
      </c>
      <c r="D42" s="154">
        <v>4534.7462172530841</v>
      </c>
      <c r="E42" s="115"/>
    </row>
    <row r="43" spans="1:10" x14ac:dyDescent="0.75">
      <c r="A43" s="153">
        <v>1000000</v>
      </c>
      <c r="B43" s="116">
        <v>44006</v>
      </c>
      <c r="C43">
        <v>4285.5377555802033</v>
      </c>
      <c r="D43" s="154">
        <v>4285.5377555802033</v>
      </c>
      <c r="E43" s="115"/>
    </row>
    <row r="44" spans="1:10" x14ac:dyDescent="0.75">
      <c r="A44" s="153">
        <v>1000000</v>
      </c>
      <c r="B44" s="116">
        <v>44036</v>
      </c>
      <c r="C44">
        <v>4388.5749644680545</v>
      </c>
      <c r="D44" s="154">
        <v>4388.5749644680545</v>
      </c>
      <c r="E44" s="115"/>
    </row>
    <row r="45" spans="1:10" x14ac:dyDescent="0.75">
      <c r="A45" s="153">
        <v>1000000</v>
      </c>
      <c r="B45" s="116">
        <v>44067</v>
      </c>
      <c r="C45">
        <v>5922.598168373419</v>
      </c>
      <c r="D45" s="154">
        <v>5922.598168373419</v>
      </c>
      <c r="E45" s="115"/>
    </row>
    <row r="46" spans="1:10" x14ac:dyDescent="0.75">
      <c r="A46" s="153">
        <v>1000000</v>
      </c>
      <c r="B46" s="116">
        <v>44098</v>
      </c>
      <c r="C46">
        <v>4449.6181939899834</v>
      </c>
      <c r="D46" s="154">
        <v>4449.6181939899834</v>
      </c>
      <c r="E46" s="115"/>
    </row>
    <row r="47" spans="1:10" x14ac:dyDescent="0.75">
      <c r="A47" s="153">
        <v>1000000</v>
      </c>
      <c r="B47" s="116">
        <v>44128</v>
      </c>
      <c r="C47">
        <v>4703.9364656658781</v>
      </c>
      <c r="D47" s="154">
        <v>4703.9364656658781</v>
      </c>
      <c r="E47" s="115"/>
    </row>
    <row r="48" spans="1:10" x14ac:dyDescent="0.75">
      <c r="A48" s="153">
        <v>1000000</v>
      </c>
      <c r="B48" s="116">
        <v>44159</v>
      </c>
      <c r="C48">
        <v>6403.0772831073718</v>
      </c>
      <c r="D48" s="154">
        <v>6403.0772831073718</v>
      </c>
      <c r="E48" s="115"/>
    </row>
    <row r="49" spans="1:5" x14ac:dyDescent="0.75">
      <c r="A49" s="153">
        <v>1000000</v>
      </c>
      <c r="B49" s="116">
        <v>44189</v>
      </c>
      <c r="C49">
        <v>5441.0903784923967</v>
      </c>
      <c r="D49" s="154">
        <v>5441.0903784923967</v>
      </c>
      <c r="E49" s="115"/>
    </row>
    <row r="50" spans="1:5" x14ac:dyDescent="0.75">
      <c r="A50" s="153">
        <v>1000000</v>
      </c>
      <c r="B50" s="114">
        <v>44220</v>
      </c>
      <c r="C50">
        <v>4008.220596735016</v>
      </c>
      <c r="D50" s="154">
        <v>4008.220596735016</v>
      </c>
      <c r="E50" s="115"/>
    </row>
    <row r="51" spans="1:5" x14ac:dyDescent="0.75">
      <c r="A51" s="153">
        <v>1000000</v>
      </c>
      <c r="B51" s="116">
        <v>44251</v>
      </c>
      <c r="C51">
        <v>5777.7358521309989</v>
      </c>
      <c r="D51" s="154">
        <v>5777.7358521309989</v>
      </c>
      <c r="E51" s="115"/>
    </row>
    <row r="52" spans="1:5" x14ac:dyDescent="0.75">
      <c r="A52" s="153">
        <v>1000000</v>
      </c>
      <c r="B52" s="116">
        <v>44279</v>
      </c>
      <c r="C52">
        <v>5023.3960048359932</v>
      </c>
      <c r="D52" s="154">
        <v>5023.3960048359932</v>
      </c>
      <c r="E52" s="115"/>
    </row>
    <row r="53" spans="1:5" x14ac:dyDescent="0.75">
      <c r="A53" s="153">
        <v>1000000</v>
      </c>
      <c r="B53" s="116">
        <v>44310</v>
      </c>
      <c r="C53">
        <v>5080.9941708723727</v>
      </c>
      <c r="D53" s="154">
        <v>5080.9941708723727</v>
      </c>
      <c r="E53" s="115"/>
    </row>
    <row r="54" spans="1:5" x14ac:dyDescent="0.75">
      <c r="A54" s="153">
        <v>1000000</v>
      </c>
      <c r="B54" s="116">
        <v>44340</v>
      </c>
      <c r="C54">
        <v>7255.8136332872673</v>
      </c>
      <c r="D54" s="154">
        <v>7255.8136332872673</v>
      </c>
      <c r="E54" s="115"/>
    </row>
    <row r="55" spans="1:5" x14ac:dyDescent="0.75">
      <c r="A55" s="153">
        <v>1000000</v>
      </c>
      <c r="B55" s="116">
        <v>44371</v>
      </c>
      <c r="C55">
        <v>5246.8129704552066</v>
      </c>
      <c r="D55" s="154">
        <v>5246.8129704552066</v>
      </c>
      <c r="E55" s="115"/>
    </row>
    <row r="56" spans="1:5" x14ac:dyDescent="0.75">
      <c r="A56" s="153">
        <v>1000000</v>
      </c>
      <c r="B56" s="116">
        <v>44401</v>
      </c>
      <c r="C56">
        <v>4465.7857533094766</v>
      </c>
      <c r="D56" s="154">
        <v>4465.7857533094766</v>
      </c>
      <c r="E56" s="115"/>
    </row>
    <row r="57" spans="1:5" x14ac:dyDescent="0.75">
      <c r="A57" s="153">
        <v>1000000</v>
      </c>
      <c r="B57" s="116">
        <v>44432</v>
      </c>
      <c r="C57">
        <v>7653.4017119126347</v>
      </c>
      <c r="D57" s="154">
        <v>7653.4017119126347</v>
      </c>
      <c r="E57" s="115"/>
    </row>
    <row r="58" spans="1:5" x14ac:dyDescent="0.75">
      <c r="A58" s="153">
        <v>1000000</v>
      </c>
      <c r="B58" s="116">
        <v>44463</v>
      </c>
      <c r="C58">
        <v>5600.7025153511158</v>
      </c>
      <c r="D58" s="154">
        <v>5600.7025153511158</v>
      </c>
      <c r="E58" s="115"/>
    </row>
    <row r="59" spans="1:5" x14ac:dyDescent="0.75">
      <c r="A59" s="153">
        <v>1000000</v>
      </c>
      <c r="B59" s="116">
        <v>44493</v>
      </c>
      <c r="C59">
        <v>5506.8013932904587</v>
      </c>
      <c r="D59" s="154">
        <v>5506.8013932904587</v>
      </c>
      <c r="E59" s="115"/>
    </row>
    <row r="60" spans="1:5" x14ac:dyDescent="0.75">
      <c r="A60" s="153">
        <v>1000000</v>
      </c>
      <c r="B60" s="116">
        <v>44524</v>
      </c>
      <c r="C60">
        <v>7910.7813633690657</v>
      </c>
      <c r="D60" s="154">
        <v>7910.7813633690657</v>
      </c>
      <c r="E60" s="115"/>
    </row>
    <row r="61" spans="1:5" x14ac:dyDescent="0.75">
      <c r="A61" s="153">
        <v>1000000</v>
      </c>
      <c r="B61" s="116">
        <v>44554</v>
      </c>
      <c r="C61">
        <v>6667.4625672204384</v>
      </c>
      <c r="D61" s="154">
        <v>6667.4625672204384</v>
      </c>
      <c r="E61" s="115"/>
    </row>
    <row r="62" spans="1:5" x14ac:dyDescent="0.75">
      <c r="A62" s="153">
        <v>1000000</v>
      </c>
      <c r="B62" s="123">
        <v>44585</v>
      </c>
      <c r="C62">
        <v>5363.5556459519566</v>
      </c>
      <c r="D62" s="154">
        <v>5363.5556459519566</v>
      </c>
      <c r="E62" s="115"/>
    </row>
    <row r="63" spans="1:5" x14ac:dyDescent="0.75">
      <c r="A63" s="153">
        <v>1000000</v>
      </c>
      <c r="B63" s="116">
        <v>44616</v>
      </c>
      <c r="C63">
        <v>7362.2774050658973</v>
      </c>
      <c r="D63" s="154">
        <v>7362.2774050658973</v>
      </c>
      <c r="E63" s="115"/>
    </row>
    <row r="64" spans="1:5" x14ac:dyDescent="0.75">
      <c r="A64" s="153">
        <v>1000000</v>
      </c>
      <c r="B64" s="116">
        <v>44644</v>
      </c>
      <c r="C64">
        <v>5873.4389466016573</v>
      </c>
      <c r="D64" s="154">
        <v>5873.4389466016573</v>
      </c>
      <c r="E64" s="115"/>
    </row>
    <row r="65" spans="1:5" x14ac:dyDescent="0.75">
      <c r="A65" s="153">
        <v>1000000</v>
      </c>
      <c r="B65" s="116">
        <v>44675</v>
      </c>
      <c r="C65">
        <v>5634.3525084062931</v>
      </c>
      <c r="D65" s="154">
        <v>5634.3525084062931</v>
      </c>
      <c r="E65" s="115"/>
    </row>
    <row r="66" spans="1:5" x14ac:dyDescent="0.75">
      <c r="A66" s="153">
        <v>1000000</v>
      </c>
      <c r="B66" s="116">
        <v>44705</v>
      </c>
      <c r="C66">
        <v>7722.0051817797466</v>
      </c>
      <c r="D66" s="154">
        <v>7722.0051817797466</v>
      </c>
      <c r="E66" s="115"/>
    </row>
    <row r="67" spans="1:5" x14ac:dyDescent="0.75">
      <c r="A67" s="153">
        <v>1000000</v>
      </c>
      <c r="B67" s="116">
        <v>44736</v>
      </c>
      <c r="C67">
        <v>6473.2000391746615</v>
      </c>
      <c r="D67" s="154">
        <v>6473.2000391746615</v>
      </c>
      <c r="E67" s="115"/>
    </row>
    <row r="68" spans="1:5" x14ac:dyDescent="0.75">
      <c r="A68" s="153">
        <v>1000000</v>
      </c>
      <c r="B68" s="116">
        <v>44766</v>
      </c>
      <c r="C68">
        <v>6124.693613427431</v>
      </c>
      <c r="D68" s="154">
        <v>6124.693613427431</v>
      </c>
      <c r="E68" s="115"/>
    </row>
    <row r="69" spans="1:5" x14ac:dyDescent="0.75">
      <c r="A69" s="153">
        <v>1000000</v>
      </c>
      <c r="B69" s="116">
        <v>44797</v>
      </c>
      <c r="C69">
        <v>8486.6252794436132</v>
      </c>
      <c r="D69" s="154">
        <v>8486.6252794436132</v>
      </c>
      <c r="E69" s="115"/>
    </row>
    <row r="70" spans="1:5" x14ac:dyDescent="0.75">
      <c r="A70" s="153">
        <v>1000000</v>
      </c>
      <c r="B70" s="116">
        <v>44828</v>
      </c>
      <c r="C70">
        <v>6310.0521329019866</v>
      </c>
      <c r="D70" s="154">
        <v>6310.0521329019866</v>
      </c>
      <c r="E70" s="115"/>
    </row>
    <row r="71" spans="1:5" x14ac:dyDescent="0.75">
      <c r="A71" s="153">
        <v>1000000</v>
      </c>
      <c r="B71" s="116">
        <v>44858</v>
      </c>
      <c r="C71">
        <v>6046.8056182991895</v>
      </c>
      <c r="D71" s="154">
        <v>6046.8056182991895</v>
      </c>
      <c r="E71" s="115"/>
    </row>
    <row r="72" spans="1:5" x14ac:dyDescent="0.75">
      <c r="A72" s="153">
        <v>1000000</v>
      </c>
      <c r="B72" s="116">
        <v>44889</v>
      </c>
      <c r="C72">
        <v>8403.9096021784717</v>
      </c>
      <c r="D72" s="154">
        <v>8403.9096021784717</v>
      </c>
      <c r="E72" s="115"/>
    </row>
    <row r="73" spans="1:5" x14ac:dyDescent="0.75">
      <c r="A73" s="153">
        <v>1000000</v>
      </c>
      <c r="B73" s="116">
        <v>44919</v>
      </c>
      <c r="C73">
        <v>7377.1320427009359</v>
      </c>
      <c r="D73" s="154">
        <v>7377.1320427009359</v>
      </c>
      <c r="E73" s="115"/>
    </row>
    <row r="74" spans="1:5" x14ac:dyDescent="0.75">
      <c r="A74" s="153">
        <v>1000000</v>
      </c>
      <c r="B74" s="123">
        <v>44950</v>
      </c>
      <c r="C74">
        <v>5969.4043697790648</v>
      </c>
      <c r="D74" s="154">
        <v>5969.4043697790648</v>
      </c>
      <c r="E74" s="115"/>
    </row>
    <row r="75" spans="1:5" x14ac:dyDescent="0.75">
      <c r="A75" s="153">
        <v>1000000</v>
      </c>
      <c r="B75" s="116">
        <v>44981</v>
      </c>
      <c r="C75">
        <v>7829.6617281850076</v>
      </c>
      <c r="D75" s="154">
        <v>7829.6617281850076</v>
      </c>
      <c r="E75" s="115"/>
    </row>
    <row r="76" spans="1:5" x14ac:dyDescent="0.75">
      <c r="A76" s="153">
        <v>1000000</v>
      </c>
      <c r="B76" s="116">
        <v>45009</v>
      </c>
      <c r="C76">
        <v>6226.3842078876505</v>
      </c>
      <c r="D76" s="154">
        <v>6226.3842078876505</v>
      </c>
      <c r="E76" s="115"/>
    </row>
    <row r="77" spans="1:5" x14ac:dyDescent="0.75">
      <c r="A77" s="153">
        <v>1000000</v>
      </c>
      <c r="B77" s="116">
        <v>45040</v>
      </c>
      <c r="C77">
        <v>5582.9944462353606</v>
      </c>
      <c r="D77" s="154">
        <v>5582.9944462353606</v>
      </c>
      <c r="E77" s="115"/>
    </row>
    <row r="78" spans="1:5" x14ac:dyDescent="0.75">
      <c r="A78" s="153">
        <v>1000000</v>
      </c>
      <c r="B78" s="116">
        <v>45070</v>
      </c>
      <c r="C78">
        <v>8877.0232498494624</v>
      </c>
      <c r="D78" s="154">
        <v>8877.0232498494624</v>
      </c>
      <c r="E78" s="115"/>
    </row>
    <row r="79" spans="1:5" x14ac:dyDescent="0.75">
      <c r="A79" s="153">
        <v>1000000</v>
      </c>
      <c r="B79" s="116">
        <v>45101</v>
      </c>
      <c r="C79">
        <v>6502.8810039447644</v>
      </c>
      <c r="D79" s="154">
        <v>6502.8810039447644</v>
      </c>
      <c r="E79" s="115"/>
    </row>
    <row r="80" spans="1:5" x14ac:dyDescent="0.75">
      <c r="A80" s="153">
        <v>1000000</v>
      </c>
      <c r="B80" s="116">
        <v>45131</v>
      </c>
      <c r="C80">
        <v>6669.6669964150387</v>
      </c>
      <c r="D80" s="154">
        <v>6669.6669964150387</v>
      </c>
      <c r="E80" s="115"/>
    </row>
    <row r="81" spans="1:5" x14ac:dyDescent="0.75">
      <c r="A81" s="153">
        <v>1000000</v>
      </c>
      <c r="B81" s="116">
        <v>45162</v>
      </c>
      <c r="C81">
        <v>8017.8139078179665</v>
      </c>
      <c r="D81" s="154">
        <v>8017.8139078179665</v>
      </c>
      <c r="E81" s="115"/>
    </row>
    <row r="82" spans="1:5" x14ac:dyDescent="0.75">
      <c r="A82" s="153">
        <v>1000000</v>
      </c>
      <c r="B82" s="116">
        <v>45193</v>
      </c>
      <c r="C82">
        <v>8962.0307449607917</v>
      </c>
      <c r="D82" s="154">
        <v>8962.0307449607917</v>
      </c>
      <c r="E82" s="115"/>
    </row>
    <row r="83" spans="1:5" x14ac:dyDescent="0.75">
      <c r="A83" s="153">
        <v>1000000</v>
      </c>
      <c r="B83" s="116">
        <v>45223</v>
      </c>
      <c r="C83">
        <v>7461.4538925613797</v>
      </c>
      <c r="D83" s="154">
        <v>7461.4538925613797</v>
      </c>
      <c r="E83" s="115"/>
    </row>
    <row r="84" spans="1:5" x14ac:dyDescent="0.75">
      <c r="A84" s="153">
        <v>1000000</v>
      </c>
      <c r="B84" s="116">
        <v>45254</v>
      </c>
      <c r="C84">
        <v>6852.5207721124016</v>
      </c>
      <c r="D84" s="154">
        <v>6852.5207721124016</v>
      </c>
      <c r="E84" s="115"/>
    </row>
    <row r="85" spans="1:5" x14ac:dyDescent="0.75">
      <c r="A85" s="153">
        <v>1000000</v>
      </c>
      <c r="B85" s="116">
        <v>45284</v>
      </c>
      <c r="C85">
        <v>10883.761520205742</v>
      </c>
      <c r="D85" s="154">
        <v>10883.761520205742</v>
      </c>
      <c r="E85" s="115"/>
    </row>
    <row r="86" spans="1:5" x14ac:dyDescent="0.75">
      <c r="A86" s="153">
        <v>1000000</v>
      </c>
      <c r="B86" s="116">
        <v>45315</v>
      </c>
      <c r="C86">
        <v>7130.2224861005825</v>
      </c>
      <c r="D86" s="154">
        <v>7130.2224861005825</v>
      </c>
      <c r="E86" s="115"/>
    </row>
    <row r="87" spans="1:5" x14ac:dyDescent="0.75">
      <c r="A87" s="153">
        <v>1000000</v>
      </c>
      <c r="B87" s="116">
        <v>45346</v>
      </c>
      <c r="C87">
        <v>6576.8461196324943</v>
      </c>
      <c r="D87" s="154">
        <v>6576.8461196324943</v>
      </c>
      <c r="E87" s="115"/>
    </row>
    <row r="88" spans="1:5" x14ac:dyDescent="0.75">
      <c r="A88" s="153">
        <v>1000000</v>
      </c>
      <c r="B88" s="116">
        <v>45375</v>
      </c>
      <c r="C88">
        <v>8278.0526025052659</v>
      </c>
      <c r="D88" s="154">
        <v>8278.0526025052659</v>
      </c>
      <c r="E88" s="115"/>
    </row>
    <row r="89" spans="1:5" x14ac:dyDescent="0.75">
      <c r="A89" s="153">
        <v>1000000</v>
      </c>
      <c r="B89" s="116">
        <v>45406</v>
      </c>
      <c r="C89">
        <v>7215.0227369125914</v>
      </c>
      <c r="D89" s="154">
        <v>7215.0227369125914</v>
      </c>
      <c r="E89" s="115"/>
    </row>
    <row r="90" spans="1:5" x14ac:dyDescent="0.75">
      <c r="A90" s="153">
        <v>1000000</v>
      </c>
      <c r="B90" s="116">
        <v>45436</v>
      </c>
      <c r="C90">
        <v>7492.5951577542855</v>
      </c>
      <c r="D90" s="154">
        <v>7492.5951577542855</v>
      </c>
      <c r="E90" s="115"/>
    </row>
    <row r="91" spans="1:5" x14ac:dyDescent="0.75">
      <c r="A91" s="153">
        <v>1000000</v>
      </c>
      <c r="B91" s="124">
        <v>45444</v>
      </c>
      <c r="C91">
        <v>9578.5526133263338</v>
      </c>
      <c r="D91" s="154">
        <v>9578.5526133263338</v>
      </c>
      <c r="E91" s="115"/>
    </row>
    <row r="92" spans="1:5" x14ac:dyDescent="0.75">
      <c r="A92" s="153">
        <v>1000000</v>
      </c>
      <c r="B92" s="124">
        <v>45474</v>
      </c>
      <c r="C92">
        <v>7983.3468678397439</v>
      </c>
      <c r="D92" s="154">
        <v>7983.3468678397439</v>
      </c>
      <c r="E92" s="115"/>
    </row>
    <row r="93" spans="1:5" x14ac:dyDescent="0.75">
      <c r="A93" s="153">
        <v>1000000</v>
      </c>
      <c r="B93" s="124">
        <v>45505</v>
      </c>
      <c r="C93">
        <v>7899.2103409370347</v>
      </c>
      <c r="D93" s="154">
        <v>7899.2103409370347</v>
      </c>
      <c r="E93" s="115"/>
    </row>
    <row r="94" spans="1:5" x14ac:dyDescent="0.75">
      <c r="A94" s="153">
        <v>1000000</v>
      </c>
      <c r="B94" s="124">
        <v>45536</v>
      </c>
      <c r="C94">
        <v>9979.7613458338801</v>
      </c>
      <c r="D94" s="154">
        <v>9979.7613458338801</v>
      </c>
      <c r="E94" s="115"/>
    </row>
    <row r="95" spans="1:5" x14ac:dyDescent="0.75">
      <c r="A95" s="153">
        <v>1000000</v>
      </c>
      <c r="B95" s="124">
        <v>45566</v>
      </c>
      <c r="C95">
        <v>8550.0323935419419</v>
      </c>
      <c r="D95" s="154">
        <v>8550.0323935419419</v>
      </c>
      <c r="E95" s="119"/>
    </row>
    <row r="96" spans="1:5" x14ac:dyDescent="0.75">
      <c r="A96" s="153">
        <v>1000000</v>
      </c>
      <c r="B96" s="124">
        <v>45597</v>
      </c>
      <c r="C96">
        <v>7941.9166266495822</v>
      </c>
      <c r="D96" s="154">
        <v>7941.9166266495822</v>
      </c>
      <c r="E96" s="119"/>
    </row>
    <row r="97" spans="1:5" x14ac:dyDescent="0.75">
      <c r="A97" s="153">
        <v>1000000</v>
      </c>
      <c r="B97" s="124">
        <v>45627</v>
      </c>
      <c r="C97">
        <v>12205.432475481306</v>
      </c>
      <c r="D97" s="154">
        <v>12205.432475481306</v>
      </c>
      <c r="E97" s="119"/>
    </row>
    <row r="98" spans="1:5" x14ac:dyDescent="0.75">
      <c r="A98" s="153">
        <v>1000000</v>
      </c>
      <c r="B98" s="124">
        <v>45658</v>
      </c>
      <c r="C98">
        <v>7901.1666556156706</v>
      </c>
      <c r="D98" s="154">
        <v>7901.1666556156706</v>
      </c>
      <c r="E98" s="119"/>
    </row>
    <row r="99" spans="1:5" x14ac:dyDescent="0.75">
      <c r="A99" s="153">
        <v>1000000</v>
      </c>
      <c r="B99" s="124">
        <v>45689</v>
      </c>
      <c r="C99">
        <v>7346.7756171170395</v>
      </c>
      <c r="D99" s="154">
        <v>7346.7756171170395</v>
      </c>
      <c r="E99" s="119"/>
    </row>
    <row r="100" spans="1:5" x14ac:dyDescent="0.75">
      <c r="A100" s="153">
        <v>1000000</v>
      </c>
      <c r="B100" s="124">
        <v>45717</v>
      </c>
      <c r="C100">
        <v>9735.7983245819632</v>
      </c>
      <c r="D100" s="154">
        <v>9735.7983245819632</v>
      </c>
      <c r="E100" s="119"/>
    </row>
    <row r="101" spans="1:5" x14ac:dyDescent="0.75">
      <c r="A101" s="153">
        <v>1000000</v>
      </c>
      <c r="B101" s="124">
        <v>45748</v>
      </c>
      <c r="C101" s="152">
        <v>7925.9596142826413</v>
      </c>
      <c r="D101" s="154">
        <v>7925.9596142826413</v>
      </c>
      <c r="E101" s="119"/>
    </row>
    <row r="102" spans="1:5" x14ac:dyDescent="0.75">
      <c r="A102" s="153">
        <v>1000000</v>
      </c>
      <c r="B102" s="124">
        <v>45778</v>
      </c>
      <c r="C102">
        <v>8013.7702894113581</v>
      </c>
      <c r="D102" s="154">
        <v>8013.7702894113581</v>
      </c>
      <c r="E102" s="119"/>
    </row>
    <row r="103" spans="1:5" x14ac:dyDescent="0.75">
      <c r="A103" s="153">
        <v>1000000</v>
      </c>
      <c r="B103" s="124">
        <v>45809</v>
      </c>
      <c r="C103">
        <v>11609.886628469703</v>
      </c>
      <c r="D103" s="154">
        <v>11609.886628469703</v>
      </c>
      <c r="E103" s="119"/>
    </row>
    <row r="104" spans="1:5" x14ac:dyDescent="0.75">
      <c r="A104" s="153">
        <v>1000000</v>
      </c>
      <c r="B104" s="124">
        <v>45839</v>
      </c>
      <c r="C104">
        <v>9187.932527670333</v>
      </c>
      <c r="D104" s="154">
        <v>9187.932527670333</v>
      </c>
      <c r="E104" s="119"/>
    </row>
    <row r="105" spans="1:5" x14ac:dyDescent="0.75">
      <c r="A105" s="153">
        <v>1000000</v>
      </c>
      <c r="B105" s="124">
        <v>45870</v>
      </c>
      <c r="C105">
        <v>8780.1671176261279</v>
      </c>
      <c r="D105" s="154">
        <v>8780.1671176261279</v>
      </c>
      <c r="E105" s="119"/>
    </row>
    <row r="106" spans="1:5" x14ac:dyDescent="0.75">
      <c r="A106" s="153">
        <v>1000000</v>
      </c>
      <c r="B106" s="124">
        <v>45901</v>
      </c>
      <c r="C106" s="152">
        <v>11924.103307482988</v>
      </c>
      <c r="D106" s="154">
        <v>11924.103307482988</v>
      </c>
      <c r="E106" s="119"/>
    </row>
    <row r="107" spans="1:5" x14ac:dyDescent="0.75">
      <c r="B107" s="124">
        <v>45931</v>
      </c>
      <c r="C107" s="125">
        <v>11882.042086161728</v>
      </c>
      <c r="D107" s="155">
        <v>11882.042086161728</v>
      </c>
      <c r="E107" s="119"/>
    </row>
    <row r="108" spans="1:5" x14ac:dyDescent="0.75">
      <c r="B108" s="124">
        <v>45962</v>
      </c>
      <c r="C108" s="125">
        <v>12104.034347454632</v>
      </c>
      <c r="D108" s="155">
        <v>12104.034347454632</v>
      </c>
      <c r="E108" s="119"/>
    </row>
    <row r="109" spans="1:5" x14ac:dyDescent="0.75">
      <c r="B109" s="124">
        <v>45992</v>
      </c>
      <c r="C109" s="156">
        <f>AVERAGE(C107:C108)</f>
        <v>11993.03821680818</v>
      </c>
    </row>
  </sheetData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5C5C4-DF8B-422A-B013-0CDBD887E2DF}">
  <dimension ref="B1:AQ109"/>
  <sheetViews>
    <sheetView topLeftCell="A96" zoomScale="96" workbookViewId="0">
      <selection activeCell="D109" sqref="D109"/>
    </sheetView>
  </sheetViews>
  <sheetFormatPr defaultRowHeight="14.75" x14ac:dyDescent="0.75"/>
  <cols>
    <col min="2" max="2" width="7.36328125" style="125" bestFit="1" customWidth="1"/>
    <col min="3" max="3" width="9.08984375" style="125" bestFit="1" customWidth="1"/>
    <col min="4" max="4" width="9.08984375" style="125" customWidth="1"/>
    <col min="7" max="7" width="12" customWidth="1"/>
  </cols>
  <sheetData>
    <row r="1" spans="2:43" ht="29" x14ac:dyDescent="0.75">
      <c r="B1" s="112" t="s">
        <v>194</v>
      </c>
      <c r="C1" s="113" t="s">
        <v>231</v>
      </c>
      <c r="D1" s="113"/>
    </row>
    <row r="2" spans="2:43" x14ac:dyDescent="0.75">
      <c r="B2" s="114">
        <v>42761</v>
      </c>
      <c r="C2" s="115">
        <v>92.24230010447566</v>
      </c>
      <c r="D2" s="115"/>
    </row>
    <row r="3" spans="2:43" x14ac:dyDescent="0.75">
      <c r="B3" s="116">
        <v>42790</v>
      </c>
      <c r="C3" s="115">
        <v>91.225503630740405</v>
      </c>
      <c r="D3" s="115"/>
      <c r="G3" s="117" t="s">
        <v>234</v>
      </c>
      <c r="H3" t="s">
        <v>235</v>
      </c>
    </row>
    <row r="4" spans="2:43" x14ac:dyDescent="0.75">
      <c r="B4" s="118">
        <v>42818</v>
      </c>
      <c r="C4" s="115">
        <v>98.203548548852766</v>
      </c>
      <c r="D4" s="115">
        <v>2017</v>
      </c>
      <c r="E4" t="s">
        <v>161</v>
      </c>
      <c r="F4" s="119">
        <f>AVERAGE(C2:C4)</f>
        <v>93.890450761356291</v>
      </c>
    </row>
    <row r="5" spans="2:43" x14ac:dyDescent="0.75">
      <c r="B5" s="116">
        <v>42849</v>
      </c>
      <c r="C5" s="115">
        <v>90.684607506887914</v>
      </c>
      <c r="D5" s="115">
        <v>2017</v>
      </c>
      <c r="E5" t="s">
        <v>172</v>
      </c>
      <c r="F5" s="119">
        <f>AVERAGE(C5:C7)</f>
        <v>98.617478825366291</v>
      </c>
      <c r="G5">
        <f>F5/F4-1</f>
        <v>5.0346206943076677E-2</v>
      </c>
    </row>
    <row r="6" spans="2:43" x14ac:dyDescent="0.75">
      <c r="B6" s="116">
        <v>42879</v>
      </c>
      <c r="C6" s="115">
        <v>102.90172688351508</v>
      </c>
      <c r="D6" s="115">
        <v>2017</v>
      </c>
      <c r="E6" t="s">
        <v>195</v>
      </c>
      <c r="F6" s="119">
        <f>AVERAGE(C8:C10)</f>
        <v>101.89161676602555</v>
      </c>
      <c r="G6">
        <f t="shared" ref="G6:G38" si="0">F6/F5-1</f>
        <v>3.3200381713845761E-2</v>
      </c>
      <c r="J6" s="115"/>
      <c r="K6" s="115"/>
      <c r="L6" s="115"/>
      <c r="M6" s="115"/>
      <c r="N6" s="115"/>
      <c r="O6" s="115"/>
      <c r="P6" s="115"/>
      <c r="Q6" s="115"/>
      <c r="R6" s="115"/>
      <c r="S6" s="115"/>
      <c r="T6" s="115"/>
      <c r="U6" s="115"/>
      <c r="V6" s="115"/>
      <c r="W6" s="115"/>
      <c r="X6" s="115"/>
      <c r="Y6" s="115"/>
      <c r="Z6" s="115"/>
      <c r="AA6" s="115"/>
      <c r="AB6" s="115"/>
      <c r="AC6" s="115"/>
      <c r="AD6" s="115"/>
      <c r="AE6" s="115"/>
      <c r="AF6" s="115"/>
      <c r="AG6" s="115"/>
      <c r="AH6" s="115"/>
      <c r="AI6" s="115"/>
      <c r="AJ6" s="115"/>
      <c r="AK6" s="115"/>
      <c r="AL6" s="115"/>
      <c r="AM6" s="115"/>
      <c r="AN6" s="115"/>
      <c r="AO6" s="115"/>
      <c r="AP6" s="115"/>
      <c r="AQ6" s="115"/>
    </row>
    <row r="7" spans="2:43" x14ac:dyDescent="0.75">
      <c r="B7" s="116">
        <v>42910</v>
      </c>
      <c r="C7" s="115">
        <v>102.26610208569586</v>
      </c>
      <c r="D7" s="120">
        <v>2017</v>
      </c>
      <c r="E7" t="s">
        <v>196</v>
      </c>
      <c r="F7" s="119">
        <f>AVERAGEA(C11:C13)</f>
        <v>105.60045364725191</v>
      </c>
      <c r="G7">
        <f t="shared" si="0"/>
        <v>3.6399823645383744E-2</v>
      </c>
      <c r="H7" s="121">
        <f>F8/F4-1</f>
        <v>0.11226616855700478</v>
      </c>
      <c r="I7" t="str">
        <f>D8 &amp; "" &amp; E8</f>
        <v>2018Q1</v>
      </c>
      <c r="J7" s="119"/>
    </row>
    <row r="8" spans="2:43" x14ac:dyDescent="0.75">
      <c r="B8" s="116">
        <v>42940</v>
      </c>
      <c r="C8" s="115">
        <v>100.31065940223117</v>
      </c>
      <c r="D8" s="115">
        <v>2018</v>
      </c>
      <c r="E8" t="s">
        <v>161</v>
      </c>
      <c r="F8" s="119">
        <f>AVERAGE(C14:C16)</f>
        <v>104.43117193242388</v>
      </c>
      <c r="G8">
        <f t="shared" si="0"/>
        <v>-1.1072695944412403E-2</v>
      </c>
      <c r="H8" s="121">
        <f t="shared" ref="H8:H38" si="1">F9/F5-1</f>
        <v>8.9110284163178122E-2</v>
      </c>
      <c r="I8" t="str">
        <f t="shared" ref="I8:I39" si="2">D9 &amp; "" &amp; E9</f>
        <v>2018Q2</v>
      </c>
      <c r="J8" s="119"/>
      <c r="K8" s="119"/>
      <c r="L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22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</row>
    <row r="9" spans="2:43" x14ac:dyDescent="0.75">
      <c r="B9" s="116">
        <v>42971</v>
      </c>
      <c r="C9" s="115">
        <v>105.46512648268495</v>
      </c>
      <c r="D9" s="115">
        <v>2018</v>
      </c>
      <c r="E9" t="s">
        <v>172</v>
      </c>
      <c r="F9" s="119">
        <f>AVERAGE(C17:C19)</f>
        <v>107.40531038695087</v>
      </c>
      <c r="G9">
        <f t="shared" si="0"/>
        <v>2.8479412798809944E-2</v>
      </c>
      <c r="H9" s="121">
        <f t="shared" si="1"/>
        <v>0.10503389951286657</v>
      </c>
      <c r="I9" t="str">
        <f t="shared" si="2"/>
        <v>2018Q3</v>
      </c>
    </row>
    <row r="10" spans="2:43" x14ac:dyDescent="0.75">
      <c r="B10" s="116">
        <v>43002</v>
      </c>
      <c r="C10" s="115">
        <v>99.899064413160545</v>
      </c>
      <c r="D10" s="115">
        <v>2018</v>
      </c>
      <c r="E10" t="s">
        <v>195</v>
      </c>
      <c r="F10" s="119">
        <f>AVERAGEA(C20:C22)</f>
        <v>112.59369060263178</v>
      </c>
      <c r="G10">
        <f t="shared" si="0"/>
        <v>4.8306552040943362E-2</v>
      </c>
      <c r="H10" s="121">
        <f t="shared" si="1"/>
        <v>0.11134075564378754</v>
      </c>
      <c r="I10" t="str">
        <f t="shared" si="2"/>
        <v>2018Q4</v>
      </c>
    </row>
    <row r="11" spans="2:43" x14ac:dyDescent="0.75">
      <c r="B11" s="116">
        <v>43032</v>
      </c>
      <c r="C11" s="115">
        <v>101.86903915234576</v>
      </c>
      <c r="D11" s="120">
        <v>2018</v>
      </c>
      <c r="E11" t="s">
        <v>196</v>
      </c>
      <c r="F11" s="119">
        <f>AVERAGE(C23:C25)</f>
        <v>117.35808795266371</v>
      </c>
      <c r="G11">
        <f t="shared" si="0"/>
        <v>4.2314958542806425E-2</v>
      </c>
      <c r="H11" s="121">
        <f t="shared" si="1"/>
        <v>0.15118300929890993</v>
      </c>
      <c r="I11" t="str">
        <f t="shared" si="2"/>
        <v>2019Q1</v>
      </c>
      <c r="N11" s="115"/>
      <c r="P11" s="119"/>
    </row>
    <row r="12" spans="2:43" x14ac:dyDescent="0.75">
      <c r="B12" s="116">
        <v>43063</v>
      </c>
      <c r="C12" s="115">
        <v>107.06783283874194</v>
      </c>
      <c r="D12" s="115">
        <v>2019</v>
      </c>
      <c r="E12" t="s">
        <v>161</v>
      </c>
      <c r="F12" s="119">
        <f>AVERAGE(C26:C28)</f>
        <v>120.21939076977958</v>
      </c>
      <c r="G12">
        <f t="shared" si="0"/>
        <v>2.4380959736409302E-2</v>
      </c>
      <c r="H12" s="121">
        <f t="shared" si="1"/>
        <v>0.19579308239578586</v>
      </c>
      <c r="I12" t="str">
        <f t="shared" si="2"/>
        <v>2019Q2</v>
      </c>
      <c r="N12" s="115"/>
      <c r="P12" s="119"/>
    </row>
    <row r="13" spans="2:43" x14ac:dyDescent="0.75">
      <c r="B13" s="116">
        <v>43093</v>
      </c>
      <c r="C13" s="115">
        <v>107.86448895066805</v>
      </c>
      <c r="D13" s="115">
        <v>2019</v>
      </c>
      <c r="E13" t="s">
        <v>172</v>
      </c>
      <c r="F13" s="119">
        <f>AVERAGE(C29:C31)</f>
        <v>128.4345271732881</v>
      </c>
      <c r="G13">
        <f t="shared" si="0"/>
        <v>6.8334536973661208E-2</v>
      </c>
      <c r="H13" s="121">
        <f t="shared" si="1"/>
        <v>0.18630047506738867</v>
      </c>
      <c r="I13" t="str">
        <f t="shared" si="2"/>
        <v>2019Q3</v>
      </c>
      <c r="N13" s="115"/>
      <c r="P13" s="119"/>
    </row>
    <row r="14" spans="2:43" x14ac:dyDescent="0.75">
      <c r="B14" s="114">
        <v>43124</v>
      </c>
      <c r="C14" s="115">
        <v>101.85280807158284</v>
      </c>
      <c r="D14" s="115">
        <v>2019</v>
      </c>
      <c r="E14" t="s">
        <v>195</v>
      </c>
      <c r="F14" s="119">
        <f>AVERAGE(C32:C34)</f>
        <v>133.56994865149267</v>
      </c>
      <c r="G14">
        <f t="shared" si="0"/>
        <v>3.9984742352620506E-2</v>
      </c>
      <c r="H14" s="121">
        <f t="shared" si="1"/>
        <v>0.13416424720014319</v>
      </c>
      <c r="I14" t="str">
        <f t="shared" si="2"/>
        <v>2019Q4</v>
      </c>
    </row>
    <row r="15" spans="2:43" x14ac:dyDescent="0.75">
      <c r="B15" s="116">
        <v>43155</v>
      </c>
      <c r="C15" s="115">
        <v>105.3362397227548</v>
      </c>
      <c r="D15" s="115">
        <v>2019</v>
      </c>
      <c r="E15" t="s">
        <v>196</v>
      </c>
      <c r="F15" s="119">
        <f>AVERAGE(C35:C37)</f>
        <v>133.10334747568103</v>
      </c>
      <c r="G15">
        <f t="shared" si="0"/>
        <v>-3.4933095394763525E-3</v>
      </c>
      <c r="H15" s="121">
        <f t="shared" si="1"/>
        <v>5.1844876175563881E-2</v>
      </c>
      <c r="I15" t="str">
        <f t="shared" si="2"/>
        <v>2020Q1</v>
      </c>
    </row>
    <row r="16" spans="2:43" x14ac:dyDescent="0.75">
      <c r="B16" s="116">
        <v>43183</v>
      </c>
      <c r="C16" s="115">
        <v>106.10446800293404</v>
      </c>
      <c r="D16" s="120">
        <v>2020</v>
      </c>
      <c r="E16" t="s">
        <v>161</v>
      </c>
      <c r="F16" s="119">
        <f>AVERAGE(C38:C40)</f>
        <v>126.45215019814053</v>
      </c>
      <c r="G16">
        <f t="shared" si="0"/>
        <v>-4.9970172829467918E-2</v>
      </c>
      <c r="H16" s="121">
        <f t="shared" si="1"/>
        <v>-9.0513320294898336E-2</v>
      </c>
      <c r="I16" t="str">
        <f t="shared" si="2"/>
        <v>2020Q2</v>
      </c>
    </row>
    <row r="17" spans="2:9" x14ac:dyDescent="0.75">
      <c r="B17" s="116">
        <v>43214</v>
      </c>
      <c r="C17" s="115">
        <v>102.28416130912261</v>
      </c>
      <c r="D17" s="120">
        <v>2020</v>
      </c>
      <c r="E17" t="s">
        <v>172</v>
      </c>
      <c r="F17" s="119">
        <f>AVERAGE(C41:C43)</f>
        <v>116.80949167832846</v>
      </c>
      <c r="G17">
        <f t="shared" si="0"/>
        <v>-7.6255393875887312E-2</v>
      </c>
      <c r="H17" s="121">
        <f t="shared" si="1"/>
        <v>6.748253178539354E-2</v>
      </c>
      <c r="I17" t="str">
        <f t="shared" si="2"/>
        <v>2020Q3</v>
      </c>
    </row>
    <row r="18" spans="2:9" x14ac:dyDescent="0.75">
      <c r="B18" s="116">
        <v>43244</v>
      </c>
      <c r="C18" s="115">
        <v>109.4286782141282</v>
      </c>
      <c r="D18" s="120">
        <v>2020</v>
      </c>
      <c r="E18" t="s">
        <v>195</v>
      </c>
      <c r="F18" s="119">
        <f>AVERAGE(C44:C46)</f>
        <v>142.58358695694039</v>
      </c>
      <c r="G18">
        <f t="shared" si="0"/>
        <v>0.22065069292133366</v>
      </c>
      <c r="H18" s="121">
        <f t="shared" si="1"/>
        <v>0.11061119350752291</v>
      </c>
      <c r="I18" t="str">
        <f t="shared" si="2"/>
        <v>2020Q4</v>
      </c>
    </row>
    <row r="19" spans="2:9" x14ac:dyDescent="0.75">
      <c r="B19" s="116">
        <v>43275</v>
      </c>
      <c r="C19" s="115">
        <v>110.5030916376018</v>
      </c>
      <c r="D19" s="120">
        <v>2020</v>
      </c>
      <c r="E19" t="s">
        <v>196</v>
      </c>
      <c r="F19" s="119">
        <f>AVERAGE(C47:C49)</f>
        <v>147.82606759981266</v>
      </c>
      <c r="G19">
        <f t="shared" si="0"/>
        <v>3.6767770784553733E-2</v>
      </c>
      <c r="H19" s="121">
        <f t="shared" si="1"/>
        <v>0.1211434548927699</v>
      </c>
      <c r="I19" t="str">
        <f t="shared" si="2"/>
        <v>2021Q1</v>
      </c>
    </row>
    <row r="20" spans="2:9" x14ac:dyDescent="0.75">
      <c r="B20" s="116">
        <v>43305</v>
      </c>
      <c r="C20" s="115">
        <v>111.9127130179253</v>
      </c>
      <c r="D20" s="120">
        <v>2021</v>
      </c>
      <c r="E20" t="s">
        <v>161</v>
      </c>
      <c r="F20" s="119">
        <f>AVERAGE(C50:C52)</f>
        <v>141.77100055176274</v>
      </c>
      <c r="G20">
        <f t="shared" si="0"/>
        <v>-4.0960753041485831E-2</v>
      </c>
      <c r="H20" s="121">
        <f t="shared" si="1"/>
        <v>0.31701030367549099</v>
      </c>
      <c r="I20" t="str">
        <f t="shared" si="2"/>
        <v>2021Q2</v>
      </c>
    </row>
    <row r="21" spans="2:9" x14ac:dyDescent="0.75">
      <c r="B21" s="116">
        <v>43336</v>
      </c>
      <c r="C21" s="115">
        <v>117.25997959059977</v>
      </c>
      <c r="D21" s="115">
        <v>2021</v>
      </c>
      <c r="E21" t="s">
        <v>172</v>
      </c>
      <c r="F21" s="119">
        <f>AVERAGE(C53:C55)</f>
        <v>153.83930410745509</v>
      </c>
      <c r="G21">
        <f t="shared" si="0"/>
        <v>8.512533246378573E-2</v>
      </c>
      <c r="H21" s="121">
        <f t="shared" si="1"/>
        <v>0.10152872065075336</v>
      </c>
      <c r="I21" t="str">
        <f t="shared" si="2"/>
        <v>2021Q3</v>
      </c>
    </row>
    <row r="22" spans="2:9" x14ac:dyDescent="0.75">
      <c r="B22" s="116">
        <v>43367</v>
      </c>
      <c r="C22" s="115">
        <v>108.60837919937028</v>
      </c>
      <c r="D22" s="115">
        <v>2021</v>
      </c>
      <c r="E22" t="s">
        <v>195</v>
      </c>
      <c r="F22" s="119">
        <f>AVERAGE(C56:C58)</f>
        <v>157.05991612647401</v>
      </c>
      <c r="G22">
        <f t="shared" si="0"/>
        <v>2.0934910214943203E-2</v>
      </c>
      <c r="H22" s="121">
        <f t="shared" si="1"/>
        <v>0.12536536611682325</v>
      </c>
      <c r="I22" t="str">
        <f t="shared" si="2"/>
        <v>2021Q4</v>
      </c>
    </row>
    <row r="23" spans="2:9" x14ac:dyDescent="0.75">
      <c r="B23" s="116">
        <v>43397</v>
      </c>
      <c r="C23" s="115">
        <v>114.76841769893879</v>
      </c>
      <c r="D23" s="115">
        <v>2021</v>
      </c>
      <c r="E23" t="s">
        <v>196</v>
      </c>
      <c r="F23" s="119">
        <f>AVERAGE(C59:C61)</f>
        <v>166.35833668607344</v>
      </c>
      <c r="G23">
        <f t="shared" si="0"/>
        <v>5.9203014931650699E-2</v>
      </c>
      <c r="H23" s="121">
        <f t="shared" si="1"/>
        <v>0.13604096771406082</v>
      </c>
      <c r="I23" t="str">
        <f t="shared" si="2"/>
        <v>2022Q1</v>
      </c>
    </row>
    <row r="24" spans="2:9" x14ac:dyDescent="0.75">
      <c r="B24" s="116">
        <v>43428</v>
      </c>
      <c r="C24" s="115">
        <v>116.99528873497712</v>
      </c>
      <c r="D24" s="120">
        <v>2022</v>
      </c>
      <c r="E24" t="s">
        <v>161</v>
      </c>
      <c r="F24" s="119">
        <f>AVERAGE(C62:C64)</f>
        <v>161.05766466061519</v>
      </c>
      <c r="G24">
        <f t="shared" si="0"/>
        <v>-3.1862978021118926E-2</v>
      </c>
      <c r="H24" s="121">
        <f t="shared" si="1"/>
        <v>0.11070625297082803</v>
      </c>
      <c r="I24" t="str">
        <f t="shared" si="2"/>
        <v>2022Q2</v>
      </c>
    </row>
    <row r="25" spans="2:9" x14ac:dyDescent="0.75">
      <c r="B25" s="116">
        <v>43458</v>
      </c>
      <c r="C25" s="115">
        <v>120.31055742407524</v>
      </c>
      <c r="D25" s="115">
        <v>2022</v>
      </c>
      <c r="E25" t="s">
        <v>172</v>
      </c>
      <c r="F25" s="119">
        <f>AVERAGE(C65:C67)</f>
        <v>170.87027702483115</v>
      </c>
      <c r="G25">
        <f t="shared" si="0"/>
        <v>6.0926081257252518E-2</v>
      </c>
      <c r="H25" s="121">
        <f t="shared" si="1"/>
        <v>0.17338585206720714</v>
      </c>
      <c r="I25" t="str">
        <f t="shared" si="2"/>
        <v>2022Q3</v>
      </c>
    </row>
    <row r="26" spans="2:9" x14ac:dyDescent="0.75">
      <c r="B26" s="114">
        <v>43489</v>
      </c>
      <c r="C26" s="115">
        <v>116.71800954102102</v>
      </c>
      <c r="D26" s="115">
        <v>2022</v>
      </c>
      <c r="E26" t="s">
        <v>195</v>
      </c>
      <c r="F26" s="119">
        <f>AVERAGE(C68:C70)</f>
        <v>184.2918835096668</v>
      </c>
      <c r="G26">
        <f t="shared" si="0"/>
        <v>7.8548514806265679E-2</v>
      </c>
      <c r="H26" s="121">
        <f t="shared" si="1"/>
        <v>8.2810871472669634E-2</v>
      </c>
      <c r="I26" t="str">
        <f t="shared" si="2"/>
        <v>2022Q4</v>
      </c>
    </row>
    <row r="27" spans="2:9" x14ac:dyDescent="0.75">
      <c r="B27" s="116">
        <v>43520</v>
      </c>
      <c r="C27" s="115">
        <v>121.23481469562856</v>
      </c>
      <c r="D27" s="115">
        <v>2022</v>
      </c>
      <c r="E27" t="s">
        <v>196</v>
      </c>
      <c r="F27" s="119">
        <f>AVERAGE(C71:C73)</f>
        <v>180.13461552379098</v>
      </c>
      <c r="G27">
        <f t="shared" si="0"/>
        <v>-2.2558063365051839E-2</v>
      </c>
      <c r="H27" s="121">
        <f t="shared" si="1"/>
        <v>0.14711703286075983</v>
      </c>
      <c r="I27" t="str">
        <f t="shared" si="2"/>
        <v>2023Q1</v>
      </c>
    </row>
    <row r="28" spans="2:9" x14ac:dyDescent="0.75">
      <c r="B28" s="116">
        <v>43548</v>
      </c>
      <c r="C28" s="115">
        <v>122.70534807268918</v>
      </c>
      <c r="D28" s="120">
        <v>2023</v>
      </c>
      <c r="E28" t="s">
        <v>161</v>
      </c>
      <c r="F28" s="119">
        <f>AVERAGE(C74:C76)</f>
        <v>184.75199040496815</v>
      </c>
      <c r="G28">
        <f t="shared" si="0"/>
        <v>2.5632912740013225E-2</v>
      </c>
      <c r="H28" s="121">
        <f t="shared" si="1"/>
        <v>6.2073902647790113E-2</v>
      </c>
      <c r="I28" t="str">
        <f t="shared" si="2"/>
        <v>2023Q2</v>
      </c>
    </row>
    <row r="29" spans="2:9" x14ac:dyDescent="0.75">
      <c r="B29" s="116">
        <v>43579</v>
      </c>
      <c r="C29" s="115">
        <v>125.08716150326991</v>
      </c>
      <c r="D29" s="115">
        <v>2023</v>
      </c>
      <c r="E29" t="s">
        <v>172</v>
      </c>
      <c r="F29" s="119">
        <f>AVERAGE(C77:C79)</f>
        <v>181.47686196627146</v>
      </c>
      <c r="G29">
        <f t="shared" si="0"/>
        <v>-1.7727161864496077E-2</v>
      </c>
      <c r="H29" s="121">
        <f t="shared" si="1"/>
        <v>4.9036968570941974E-2</v>
      </c>
      <c r="I29" t="str">
        <f t="shared" si="2"/>
        <v>2023Q3</v>
      </c>
    </row>
    <row r="30" spans="2:9" x14ac:dyDescent="0.75">
      <c r="B30" s="116">
        <v>43609</v>
      </c>
      <c r="C30" s="115">
        <v>134.95566428281978</v>
      </c>
      <c r="D30" s="115">
        <v>2023</v>
      </c>
      <c r="E30" t="s">
        <v>195</v>
      </c>
      <c r="F30" s="119">
        <f>AVERAGE(C80:C82)</f>
        <v>193.32899880921002</v>
      </c>
      <c r="G30">
        <f t="shared" si="0"/>
        <v>6.5309355223154286E-2</v>
      </c>
      <c r="H30" s="121">
        <f t="shared" si="1"/>
        <v>7.229705414609211E-2</v>
      </c>
      <c r="I30" t="str">
        <f t="shared" si="2"/>
        <v>2023Q4</v>
      </c>
    </row>
    <row r="31" spans="2:9" x14ac:dyDescent="0.75">
      <c r="B31" s="116">
        <v>43640</v>
      </c>
      <c r="C31" s="115">
        <v>125.26075573377462</v>
      </c>
      <c r="D31" s="115">
        <v>2023</v>
      </c>
      <c r="E31" t="s">
        <v>196</v>
      </c>
      <c r="F31" s="119">
        <f>AVERAGE(C83:C85)</f>
        <v>193.1578175759</v>
      </c>
      <c r="G31">
        <f>F31/F30-1</f>
        <v>-8.8544002381640841E-4</v>
      </c>
      <c r="H31" s="121">
        <f t="shared" si="1"/>
        <v>8.4333505726506663E-2</v>
      </c>
      <c r="I31" t="str">
        <f t="shared" si="2"/>
        <v>2024Q1</v>
      </c>
    </row>
    <row r="32" spans="2:9" x14ac:dyDescent="0.75">
      <c r="B32" s="116">
        <v>43670</v>
      </c>
      <c r="C32" s="115">
        <v>131.98335296991891</v>
      </c>
      <c r="D32" s="120">
        <v>2024</v>
      </c>
      <c r="E32" t="s">
        <v>161</v>
      </c>
      <c r="F32" s="119">
        <f>AVERAGE(C86:C88)</f>
        <v>200.33277344576905</v>
      </c>
      <c r="G32">
        <f t="shared" si="0"/>
        <v>3.7145562938707855E-2</v>
      </c>
      <c r="H32" s="121">
        <f t="shared" si="1"/>
        <v>0.1776774154102152</v>
      </c>
      <c r="I32" t="str">
        <f t="shared" si="2"/>
        <v>2024Q2</v>
      </c>
    </row>
    <row r="33" spans="2:9" x14ac:dyDescent="0.75">
      <c r="B33" s="116">
        <v>43701</v>
      </c>
      <c r="C33" s="115">
        <v>138.73002201798838</v>
      </c>
      <c r="D33" s="120">
        <v>2024</v>
      </c>
      <c r="E33" t="s">
        <v>172</v>
      </c>
      <c r="F33" s="119">
        <f>AVERAGE(C89:C91)</f>
        <v>213.72120175719496</v>
      </c>
      <c r="G33">
        <f t="shared" si="0"/>
        <v>6.6830943739967896E-2</v>
      </c>
      <c r="H33" s="121">
        <f t="shared" si="1"/>
        <v>0.14208261039533165</v>
      </c>
      <c r="I33" t="str">
        <f t="shared" si="2"/>
        <v>2024Q3</v>
      </c>
    </row>
    <row r="34" spans="2:9" x14ac:dyDescent="0.75">
      <c r="B34" s="116">
        <v>43732</v>
      </c>
      <c r="C34" s="115">
        <v>129.99647096657071</v>
      </c>
      <c r="D34" s="120">
        <v>2024</v>
      </c>
      <c r="E34" t="s">
        <v>195</v>
      </c>
      <c r="F34" s="119">
        <f>AVERAGE(C95:C97)</f>
        <v>220.79768762513856</v>
      </c>
      <c r="G34">
        <f t="shared" si="0"/>
        <v>3.3110827609808657E-2</v>
      </c>
      <c r="H34" s="121">
        <f t="shared" si="1"/>
        <v>0.14309475223997947</v>
      </c>
      <c r="I34" t="str">
        <f t="shared" si="2"/>
        <v>2024Q4</v>
      </c>
    </row>
    <row r="35" spans="2:9" x14ac:dyDescent="0.75">
      <c r="B35" s="116">
        <v>43762</v>
      </c>
      <c r="C35" s="115">
        <v>132.14919892111629</v>
      </c>
      <c r="D35" s="120">
        <v>2024</v>
      </c>
      <c r="E35" t="s">
        <v>196</v>
      </c>
      <c r="F35" s="119">
        <f>AVERAGE(C95:C97)</f>
        <v>220.79768762513856</v>
      </c>
      <c r="G35">
        <f t="shared" si="0"/>
        <v>0</v>
      </c>
      <c r="H35" s="121">
        <f t="shared" si="1"/>
        <v>9.6568494094241064E-2</v>
      </c>
      <c r="I35" t="str">
        <f t="shared" si="2"/>
        <v>2025Q1</v>
      </c>
    </row>
    <row r="36" spans="2:9" x14ac:dyDescent="0.75">
      <c r="B36" s="116">
        <v>43793</v>
      </c>
      <c r="C36" s="115">
        <v>131.74001396403162</v>
      </c>
      <c r="D36" s="115">
        <v>2025</v>
      </c>
      <c r="E36" t="s">
        <v>161</v>
      </c>
      <c r="F36" s="119">
        <f>AVERAGE(C98:C100)</f>
        <v>219.67860769514974</v>
      </c>
      <c r="G36">
        <f t="shared" si="0"/>
        <v>-5.0683498637392743E-3</v>
      </c>
      <c r="H36" s="121">
        <f t="shared" si="1"/>
        <v>0.12446675409179297</v>
      </c>
      <c r="I36" t="str">
        <f t="shared" si="2"/>
        <v>2025Q2</v>
      </c>
    </row>
    <row r="37" spans="2:9" x14ac:dyDescent="0.75">
      <c r="B37" s="116">
        <v>43823</v>
      </c>
      <c r="C37" s="115">
        <v>135.42082954189522</v>
      </c>
      <c r="D37" s="115">
        <v>2025</v>
      </c>
      <c r="E37" t="s">
        <v>172</v>
      </c>
      <c r="F37" s="119">
        <f>AVERAGE(C101:C103)</f>
        <v>240.32238602051021</v>
      </c>
      <c r="G37">
        <f t="shared" si="0"/>
        <v>9.3972638218865923E-2</v>
      </c>
      <c r="H37" s="121">
        <f t="shared" si="1"/>
        <v>0.14930987856654832</v>
      </c>
      <c r="I37" t="str">
        <f t="shared" si="2"/>
        <v>2025Q3</v>
      </c>
    </row>
    <row r="38" spans="2:9" x14ac:dyDescent="0.75">
      <c r="B38" s="114">
        <v>43854</v>
      </c>
      <c r="C38" s="115">
        <v>128.12144565519861</v>
      </c>
      <c r="D38" s="115">
        <v>2025</v>
      </c>
      <c r="E38" t="s">
        <v>195</v>
      </c>
      <c r="F38" s="119">
        <f>AVERAGE(C107:C109)</f>
        <v>253.76496355222267</v>
      </c>
      <c r="G38">
        <f t="shared" si="0"/>
        <v>5.5935602813818708E-2</v>
      </c>
      <c r="H38" s="121">
        <f t="shared" si="1"/>
        <v>0.16502820653329264</v>
      </c>
      <c r="I38" t="str">
        <f t="shared" si="2"/>
        <v>2025Q4</v>
      </c>
    </row>
    <row r="39" spans="2:9" x14ac:dyDescent="0.75">
      <c r="B39" s="116">
        <v>43885</v>
      </c>
      <c r="C39" s="115">
        <v>129.64296035026479</v>
      </c>
      <c r="D39" s="115">
        <v>2025</v>
      </c>
      <c r="E39" t="s">
        <v>196</v>
      </c>
      <c r="F39" s="119">
        <f>AVERAGE(C105:C107)</f>
        <v>257.23553402061339</v>
      </c>
      <c r="I39" t="str">
        <f t="shared" si="2"/>
        <v/>
      </c>
    </row>
    <row r="40" spans="2:9" x14ac:dyDescent="0.75">
      <c r="B40" s="116">
        <v>43914</v>
      </c>
      <c r="C40" s="115">
        <v>121.59204458895816</v>
      </c>
      <c r="D40" s="115"/>
    </row>
    <row r="41" spans="2:9" x14ac:dyDescent="0.75">
      <c r="B41" s="116">
        <v>43945</v>
      </c>
      <c r="C41" s="115">
        <v>100.46035685951507</v>
      </c>
      <c r="D41" s="115"/>
    </row>
    <row r="42" spans="2:9" x14ac:dyDescent="0.75">
      <c r="B42" s="116">
        <v>43975</v>
      </c>
      <c r="C42" s="115">
        <v>113.56624388798383</v>
      </c>
      <c r="D42" s="115"/>
    </row>
    <row r="43" spans="2:9" x14ac:dyDescent="0.75">
      <c r="B43" s="116">
        <v>44006</v>
      </c>
      <c r="C43" s="115">
        <v>136.40187428748646</v>
      </c>
      <c r="D43" s="115"/>
    </row>
    <row r="44" spans="2:9" x14ac:dyDescent="0.75">
      <c r="B44" s="116">
        <v>44036</v>
      </c>
      <c r="C44" s="115">
        <v>136.16045658835381</v>
      </c>
      <c r="D44" s="115"/>
    </row>
    <row r="45" spans="2:9" x14ac:dyDescent="0.75">
      <c r="B45" s="116">
        <v>44067</v>
      </c>
      <c r="C45" s="115">
        <v>148.78995029666291</v>
      </c>
      <c r="D45" s="115"/>
    </row>
    <row r="46" spans="2:9" x14ac:dyDescent="0.75">
      <c r="B46" s="116">
        <v>44098</v>
      </c>
      <c r="C46" s="115">
        <v>142.80035398580443</v>
      </c>
      <c r="D46" s="115"/>
    </row>
    <row r="47" spans="2:9" x14ac:dyDescent="0.75">
      <c r="B47" s="116">
        <v>44128</v>
      </c>
      <c r="C47" s="115">
        <v>142.03230530882172</v>
      </c>
      <c r="D47" s="115"/>
    </row>
    <row r="48" spans="2:9" x14ac:dyDescent="0.75">
      <c r="B48" s="116">
        <v>44159</v>
      </c>
      <c r="C48" s="115">
        <v>147.4153931558341</v>
      </c>
      <c r="D48" s="115"/>
    </row>
    <row r="49" spans="2:4" x14ac:dyDescent="0.75">
      <c r="B49" s="116">
        <v>44189</v>
      </c>
      <c r="C49" s="115">
        <v>154.03050433478217</v>
      </c>
      <c r="D49" s="115"/>
    </row>
    <row r="50" spans="2:4" x14ac:dyDescent="0.75">
      <c r="B50" s="114">
        <v>44220</v>
      </c>
      <c r="C50" s="115">
        <v>135.25603219097073</v>
      </c>
      <c r="D50" s="115"/>
    </row>
    <row r="51" spans="2:4" x14ac:dyDescent="0.75">
      <c r="B51" s="116">
        <v>44251</v>
      </c>
      <c r="C51" s="115">
        <v>138.28672046334299</v>
      </c>
      <c r="D51" s="115"/>
    </row>
    <row r="52" spans="2:4" x14ac:dyDescent="0.75">
      <c r="B52" s="116">
        <v>44279</v>
      </c>
      <c r="C52" s="115">
        <v>151.77024900097447</v>
      </c>
      <c r="D52" s="115"/>
    </row>
    <row r="53" spans="2:4" x14ac:dyDescent="0.75">
      <c r="B53" s="116">
        <v>44310</v>
      </c>
      <c r="C53" s="115">
        <v>148.21425672204245</v>
      </c>
      <c r="D53" s="115"/>
    </row>
    <row r="54" spans="2:4" x14ac:dyDescent="0.75">
      <c r="B54" s="116">
        <v>44340</v>
      </c>
      <c r="C54" s="115">
        <v>152.76538510174757</v>
      </c>
      <c r="D54" s="115"/>
    </row>
    <row r="55" spans="2:4" x14ac:dyDescent="0.75">
      <c r="B55" s="116">
        <v>44371</v>
      </c>
      <c r="C55" s="115">
        <v>160.53827049857529</v>
      </c>
      <c r="D55" s="115"/>
    </row>
    <row r="56" spans="2:4" x14ac:dyDescent="0.75">
      <c r="B56" s="116">
        <v>44401</v>
      </c>
      <c r="C56" s="115">
        <v>148.50338437213358</v>
      </c>
      <c r="D56" s="115"/>
    </row>
    <row r="57" spans="2:4" x14ac:dyDescent="0.75">
      <c r="B57" s="116">
        <v>44432</v>
      </c>
      <c r="C57" s="115">
        <v>161.93147626078735</v>
      </c>
      <c r="D57" s="115"/>
    </row>
    <row r="58" spans="2:4" x14ac:dyDescent="0.75">
      <c r="B58" s="116">
        <v>44463</v>
      </c>
      <c r="C58" s="115">
        <v>160.74488774650109</v>
      </c>
      <c r="D58" s="115"/>
    </row>
    <row r="59" spans="2:4" x14ac:dyDescent="0.75">
      <c r="B59" s="116">
        <v>44493</v>
      </c>
      <c r="C59" s="115">
        <v>160.91141081396543</v>
      </c>
      <c r="D59" s="115"/>
    </row>
    <row r="60" spans="2:4" x14ac:dyDescent="0.75">
      <c r="B60" s="116">
        <v>44524</v>
      </c>
      <c r="C60" s="115">
        <v>168.86672362647465</v>
      </c>
      <c r="D60" s="115"/>
    </row>
    <row r="61" spans="2:4" x14ac:dyDescent="0.75">
      <c r="B61" s="116">
        <v>44554</v>
      </c>
      <c r="C61" s="115">
        <v>169.29687561778024</v>
      </c>
      <c r="D61" s="115"/>
    </row>
    <row r="62" spans="2:4" x14ac:dyDescent="0.75">
      <c r="B62" s="123">
        <v>44585</v>
      </c>
      <c r="C62" s="115">
        <v>156.50271384185075</v>
      </c>
      <c r="D62" s="115"/>
    </row>
    <row r="63" spans="2:4" x14ac:dyDescent="0.75">
      <c r="B63" s="116">
        <v>44616</v>
      </c>
      <c r="C63" s="115">
        <v>161.31895461836083</v>
      </c>
      <c r="D63" s="115"/>
    </row>
    <row r="64" spans="2:4" x14ac:dyDescent="0.75">
      <c r="B64" s="116">
        <v>44644</v>
      </c>
      <c r="C64" s="115">
        <v>165.35132552163398</v>
      </c>
      <c r="D64" s="115"/>
    </row>
    <row r="65" spans="2:4" x14ac:dyDescent="0.75">
      <c r="B65" s="116">
        <v>44675</v>
      </c>
      <c r="C65" s="115">
        <v>161.32133951554414</v>
      </c>
      <c r="D65" s="115"/>
    </row>
    <row r="66" spans="2:4" x14ac:dyDescent="0.75">
      <c r="B66" s="116">
        <v>44705</v>
      </c>
      <c r="C66" s="115">
        <v>173.40460126140624</v>
      </c>
      <c r="D66" s="115"/>
    </row>
    <row r="67" spans="2:4" x14ac:dyDescent="0.75">
      <c r="B67" s="116">
        <v>44736</v>
      </c>
      <c r="C67" s="115">
        <v>177.88489029754305</v>
      </c>
      <c r="D67" s="115"/>
    </row>
    <row r="68" spans="2:4" x14ac:dyDescent="0.75">
      <c r="B68" s="116">
        <v>44766</v>
      </c>
      <c r="C68" s="115">
        <v>182.10458459782473</v>
      </c>
      <c r="D68" s="115"/>
    </row>
    <row r="69" spans="2:4" x14ac:dyDescent="0.75">
      <c r="B69" s="116">
        <v>44797</v>
      </c>
      <c r="C69" s="115">
        <v>191.91759177768043</v>
      </c>
      <c r="D69" s="115"/>
    </row>
    <row r="70" spans="2:4" x14ac:dyDescent="0.75">
      <c r="B70" s="116">
        <v>44828</v>
      </c>
      <c r="C70" s="115">
        <v>178.85347415349523</v>
      </c>
      <c r="D70" s="115"/>
    </row>
    <row r="71" spans="2:4" x14ac:dyDescent="0.75">
      <c r="B71" s="116">
        <v>44858</v>
      </c>
      <c r="C71" s="115">
        <v>171.72707617048536</v>
      </c>
      <c r="D71" s="115"/>
    </row>
    <row r="72" spans="2:4" x14ac:dyDescent="0.75">
      <c r="B72" s="116">
        <v>44889</v>
      </c>
      <c r="C72" s="115">
        <v>184.34336339737663</v>
      </c>
      <c r="D72" s="115"/>
    </row>
    <row r="73" spans="2:4" x14ac:dyDescent="0.75">
      <c r="B73" s="116">
        <v>44919</v>
      </c>
      <c r="C73" s="115">
        <v>184.33340700351093</v>
      </c>
      <c r="D73" s="115"/>
    </row>
    <row r="74" spans="2:4" x14ac:dyDescent="0.75">
      <c r="B74" s="123">
        <v>44950</v>
      </c>
      <c r="C74" s="115">
        <v>181.45834372931347</v>
      </c>
      <c r="D74" s="115"/>
    </row>
    <row r="75" spans="2:4" x14ac:dyDescent="0.75">
      <c r="B75" s="116">
        <v>44981</v>
      </c>
      <c r="C75" s="115">
        <v>184.96685839146679</v>
      </c>
      <c r="D75" s="115"/>
    </row>
    <row r="76" spans="2:4" x14ac:dyDescent="0.75">
      <c r="B76" s="116">
        <v>45009</v>
      </c>
      <c r="C76" s="115">
        <v>187.83076909412424</v>
      </c>
      <c r="D76" s="115"/>
    </row>
    <row r="77" spans="2:4" x14ac:dyDescent="0.75">
      <c r="B77" s="116">
        <v>45040</v>
      </c>
      <c r="C77" s="115">
        <v>164.94625048474018</v>
      </c>
      <c r="D77" s="115"/>
    </row>
    <row r="78" spans="2:4" x14ac:dyDescent="0.75">
      <c r="B78" s="116">
        <v>45070</v>
      </c>
      <c r="C78" s="115">
        <v>193.68362750814933</v>
      </c>
      <c r="D78" s="115"/>
    </row>
    <row r="79" spans="2:4" x14ac:dyDescent="0.75">
      <c r="B79" s="116">
        <v>45101</v>
      </c>
      <c r="C79" s="115">
        <v>185.80070790592478</v>
      </c>
      <c r="D79" s="115"/>
    </row>
    <row r="80" spans="2:4" x14ac:dyDescent="0.75">
      <c r="B80" s="116">
        <v>45131</v>
      </c>
      <c r="C80" s="115">
        <v>189.59104549177059</v>
      </c>
      <c r="D80" s="115"/>
    </row>
    <row r="81" spans="2:4" x14ac:dyDescent="0.75">
      <c r="B81" s="116">
        <v>45162</v>
      </c>
      <c r="C81" s="115">
        <v>200.60393792395274</v>
      </c>
      <c r="D81" s="115"/>
    </row>
    <row r="82" spans="2:4" x14ac:dyDescent="0.75">
      <c r="B82" s="116">
        <v>45193</v>
      </c>
      <c r="C82" s="115">
        <v>189.79201301190679</v>
      </c>
      <c r="D82" s="115"/>
    </row>
    <row r="83" spans="2:4" x14ac:dyDescent="0.75">
      <c r="B83" s="116">
        <v>45223</v>
      </c>
      <c r="C83" s="115">
        <v>185.76507402843029</v>
      </c>
      <c r="D83" s="115"/>
    </row>
    <row r="84" spans="2:4" x14ac:dyDescent="0.75">
      <c r="B84" s="116">
        <v>45254</v>
      </c>
      <c r="C84" s="115">
        <v>184.61945397879003</v>
      </c>
      <c r="D84" s="115"/>
    </row>
    <row r="85" spans="2:4" x14ac:dyDescent="0.75">
      <c r="B85" s="116">
        <v>45284</v>
      </c>
      <c r="C85" s="115">
        <v>209.0889247204797</v>
      </c>
      <c r="D85" s="115"/>
    </row>
    <row r="86" spans="2:4" x14ac:dyDescent="0.75">
      <c r="B86" s="116">
        <v>45315</v>
      </c>
      <c r="C86" s="115">
        <v>201.2561665221005</v>
      </c>
      <c r="D86" s="115"/>
    </row>
    <row r="87" spans="2:4" x14ac:dyDescent="0.75">
      <c r="B87" s="116">
        <v>45346</v>
      </c>
      <c r="C87" s="115">
        <v>189.12889688824441</v>
      </c>
      <c r="D87" s="115"/>
    </row>
    <row r="88" spans="2:4" x14ac:dyDescent="0.75">
      <c r="B88" s="116">
        <v>45375</v>
      </c>
      <c r="C88" s="115">
        <v>210.61325692696229</v>
      </c>
      <c r="D88" s="115"/>
    </row>
    <row r="89" spans="2:4" x14ac:dyDescent="0.75">
      <c r="B89" s="116">
        <v>45406</v>
      </c>
      <c r="C89" s="115">
        <v>210.16136404690326</v>
      </c>
      <c r="D89" s="115"/>
    </row>
    <row r="90" spans="2:4" x14ac:dyDescent="0.75">
      <c r="B90" s="116">
        <v>45436</v>
      </c>
      <c r="C90" s="115">
        <v>206.67988710702218</v>
      </c>
      <c r="D90" s="115"/>
    </row>
    <row r="91" spans="2:4" x14ac:dyDescent="0.75">
      <c r="B91" s="124">
        <v>45444</v>
      </c>
      <c r="C91" s="115">
        <v>224.32235411765939</v>
      </c>
      <c r="D91" s="115"/>
    </row>
    <row r="92" spans="2:4" x14ac:dyDescent="0.75">
      <c r="B92" s="124">
        <v>45474</v>
      </c>
      <c r="C92" s="115">
        <v>221.13192305364211</v>
      </c>
      <c r="D92" s="115"/>
    </row>
    <row r="93" spans="2:4" x14ac:dyDescent="0.75">
      <c r="B93" s="124">
        <v>45505</v>
      </c>
      <c r="C93" s="115">
        <v>220.45876095041962</v>
      </c>
      <c r="D93" s="115"/>
    </row>
    <row r="94" spans="2:4" x14ac:dyDescent="0.75">
      <c r="B94" s="124">
        <v>45536</v>
      </c>
      <c r="C94" s="115">
        <v>233.09259557777648</v>
      </c>
      <c r="D94" s="115"/>
    </row>
    <row r="95" spans="2:4" x14ac:dyDescent="0.75">
      <c r="B95" s="124">
        <v>45566</v>
      </c>
      <c r="C95" s="119">
        <v>217.19421597738375</v>
      </c>
      <c r="D95" s="119"/>
    </row>
    <row r="96" spans="2:4" x14ac:dyDescent="0.75">
      <c r="B96" s="124">
        <v>45597</v>
      </c>
      <c r="C96" s="119">
        <v>214.28201979468932</v>
      </c>
      <c r="D96" s="119"/>
    </row>
    <row r="97" spans="2:4" x14ac:dyDescent="0.75">
      <c r="B97" s="124">
        <v>45627</v>
      </c>
      <c r="C97" s="119">
        <v>230.91682710334263</v>
      </c>
      <c r="D97" s="119"/>
    </row>
    <row r="98" spans="2:4" x14ac:dyDescent="0.75">
      <c r="B98" s="124">
        <v>45658</v>
      </c>
      <c r="C98" s="119">
        <v>220.15474121706114</v>
      </c>
      <c r="D98" s="119"/>
    </row>
    <row r="99" spans="2:4" x14ac:dyDescent="0.75">
      <c r="B99" s="124">
        <v>45689</v>
      </c>
      <c r="C99" s="119">
        <v>208.86379063944923</v>
      </c>
      <c r="D99" s="119"/>
    </row>
    <row r="100" spans="2:4" x14ac:dyDescent="0.75">
      <c r="B100" s="124">
        <v>45717</v>
      </c>
      <c r="C100" s="119">
        <v>230.01729122893889</v>
      </c>
      <c r="D100" s="119"/>
    </row>
    <row r="101" spans="2:4" x14ac:dyDescent="0.75">
      <c r="B101" s="124">
        <v>45748</v>
      </c>
      <c r="C101" s="119">
        <v>228.9727454235101</v>
      </c>
      <c r="D101" s="119"/>
    </row>
    <row r="102" spans="2:4" x14ac:dyDescent="0.75">
      <c r="B102" s="124">
        <v>45778</v>
      </c>
      <c r="C102" s="119">
        <v>240.09208644619031</v>
      </c>
      <c r="D102" s="119"/>
    </row>
    <row r="103" spans="2:4" x14ac:dyDescent="0.75">
      <c r="B103" s="124">
        <v>45809</v>
      </c>
      <c r="C103" s="119">
        <v>251.90232619183024</v>
      </c>
      <c r="D103" s="119"/>
    </row>
    <row r="104" spans="2:4" x14ac:dyDescent="0.75">
      <c r="B104" s="124">
        <v>45839</v>
      </c>
      <c r="C104" s="119">
        <v>251.76398180860883</v>
      </c>
      <c r="D104" s="119"/>
    </row>
    <row r="105" spans="2:4" x14ac:dyDescent="0.75">
      <c r="B105" s="124">
        <v>45870</v>
      </c>
      <c r="C105" s="119">
        <v>251.81517521281884</v>
      </c>
      <c r="D105" s="119"/>
    </row>
    <row r="106" spans="2:4" x14ac:dyDescent="0.75">
      <c r="B106" s="124">
        <v>45901</v>
      </c>
      <c r="C106" s="125">
        <v>260.146973938695</v>
      </c>
    </row>
    <row r="107" spans="2:4" x14ac:dyDescent="0.75">
      <c r="B107" s="124">
        <v>45931</v>
      </c>
      <c r="C107" s="125">
        <v>259.74445291032634</v>
      </c>
    </row>
    <row r="108" spans="2:4" x14ac:dyDescent="0.75">
      <c r="B108" s="124">
        <v>45962</v>
      </c>
      <c r="C108" s="125">
        <v>247.78547419411902</v>
      </c>
    </row>
    <row r="109" spans="2:4" x14ac:dyDescent="0.75">
      <c r="C109" s="156">
        <f>AVERAGE(C107:C108)</f>
        <v>253.7649635522227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4ED5E-8142-4D9E-B49B-C4F59D2721CA}">
  <dimension ref="A1:F20"/>
  <sheetViews>
    <sheetView topLeftCell="A19" workbookViewId="0">
      <selection activeCell="F12" sqref="F12"/>
    </sheetView>
  </sheetViews>
  <sheetFormatPr defaultRowHeight="14.75" x14ac:dyDescent="0.75"/>
  <cols>
    <col min="1" max="1" width="38.26953125" customWidth="1"/>
    <col min="2" max="2" width="24.54296875" customWidth="1"/>
    <col min="3" max="3" width="18.86328125" customWidth="1"/>
    <col min="4" max="4" width="24.2265625" customWidth="1"/>
  </cols>
  <sheetData>
    <row r="1" spans="1:6" x14ac:dyDescent="0.75">
      <c r="A1" s="148" t="s">
        <v>204</v>
      </c>
      <c r="B1" s="149" t="s">
        <v>205</v>
      </c>
      <c r="C1" s="149" t="s">
        <v>206</v>
      </c>
      <c r="D1" s="148" t="s">
        <v>207</v>
      </c>
    </row>
    <row r="2" spans="1:6" x14ac:dyDescent="0.75">
      <c r="A2" s="150" t="s">
        <v>208</v>
      </c>
      <c r="B2">
        <v>3.9</v>
      </c>
      <c r="C2">
        <v>2.9</v>
      </c>
      <c r="D2" s="151">
        <v>1.34</v>
      </c>
      <c r="F2" s="151"/>
    </row>
    <row r="3" spans="1:6" x14ac:dyDescent="0.75">
      <c r="A3" s="150" t="s">
        <v>209</v>
      </c>
      <c r="B3">
        <v>0.55000000000000004</v>
      </c>
      <c r="C3">
        <v>0.56000000000000005</v>
      </c>
      <c r="D3" s="151">
        <v>0.98</v>
      </c>
    </row>
    <row r="4" spans="1:6" x14ac:dyDescent="0.75">
      <c r="A4" s="150" t="s">
        <v>210</v>
      </c>
      <c r="B4">
        <v>0.88</v>
      </c>
      <c r="C4">
        <v>1.48</v>
      </c>
      <c r="D4" s="151">
        <v>0.6</v>
      </c>
    </row>
    <row r="5" spans="1:6" x14ac:dyDescent="0.75">
      <c r="A5" s="150" t="s">
        <v>211</v>
      </c>
      <c r="B5">
        <v>0.96</v>
      </c>
      <c r="C5">
        <v>0.86</v>
      </c>
      <c r="D5" s="151">
        <v>1.1200000000000001</v>
      </c>
    </row>
    <row r="6" spans="1:6" x14ac:dyDescent="0.75">
      <c r="A6" s="150" t="s">
        <v>212</v>
      </c>
      <c r="B6">
        <v>0.64</v>
      </c>
      <c r="C6">
        <v>0.6</v>
      </c>
      <c r="D6" s="151">
        <v>1.07</v>
      </c>
    </row>
    <row r="7" spans="1:6" x14ac:dyDescent="0.75">
      <c r="A7" s="150" t="s">
        <v>213</v>
      </c>
      <c r="B7">
        <v>1.06</v>
      </c>
      <c r="C7">
        <v>3.07</v>
      </c>
      <c r="D7" s="151">
        <v>0.35</v>
      </c>
    </row>
    <row r="8" spans="1:6" x14ac:dyDescent="0.75">
      <c r="A8" s="150" t="s">
        <v>214</v>
      </c>
      <c r="B8">
        <v>4.8600000000000003</v>
      </c>
      <c r="C8">
        <v>4.1900000000000004</v>
      </c>
      <c r="D8" s="151">
        <v>1.1599999999999999</v>
      </c>
    </row>
    <row r="9" spans="1:6" x14ac:dyDescent="0.75">
      <c r="A9" s="150" t="s">
        <v>215</v>
      </c>
      <c r="B9">
        <v>33.1</v>
      </c>
      <c r="C9">
        <v>24.54</v>
      </c>
      <c r="D9" s="151">
        <v>1.35</v>
      </c>
    </row>
    <row r="10" spans="1:6" x14ac:dyDescent="0.75">
      <c r="A10" s="150" t="s">
        <v>216</v>
      </c>
      <c r="B10">
        <v>1.76</v>
      </c>
      <c r="C10">
        <v>5.24</v>
      </c>
      <c r="D10" s="151">
        <v>0.34</v>
      </c>
    </row>
    <row r="11" spans="1:6" x14ac:dyDescent="0.75">
      <c r="A11" s="150" t="s">
        <v>217</v>
      </c>
      <c r="B11">
        <v>6.76</v>
      </c>
      <c r="C11">
        <v>5.07</v>
      </c>
      <c r="D11" s="151">
        <v>1.33</v>
      </c>
    </row>
    <row r="12" spans="1:6" x14ac:dyDescent="0.75">
      <c r="A12" s="150" t="s">
        <v>218</v>
      </c>
      <c r="B12">
        <v>2.57</v>
      </c>
      <c r="C12">
        <v>1.72</v>
      </c>
      <c r="D12" s="151">
        <v>1.49</v>
      </c>
    </row>
    <row r="13" spans="1:6" x14ac:dyDescent="0.75">
      <c r="A13" s="150" t="s">
        <v>219</v>
      </c>
      <c r="B13">
        <v>2.0499999999999998</v>
      </c>
      <c r="C13">
        <v>0.45</v>
      </c>
      <c r="D13" s="151">
        <v>4.5599999999999996</v>
      </c>
    </row>
    <row r="14" spans="1:6" x14ac:dyDescent="0.75">
      <c r="A14" s="150" t="s">
        <v>220</v>
      </c>
      <c r="B14">
        <v>1.04</v>
      </c>
      <c r="C14">
        <v>1.23</v>
      </c>
      <c r="D14" s="151">
        <v>0.85</v>
      </c>
    </row>
    <row r="15" spans="1:6" x14ac:dyDescent="0.75">
      <c r="A15" s="150" t="s">
        <v>221</v>
      </c>
      <c r="B15">
        <v>0.12</v>
      </c>
      <c r="C15">
        <v>0.12</v>
      </c>
      <c r="D15" s="151">
        <v>1</v>
      </c>
    </row>
    <row r="16" spans="1:6" x14ac:dyDescent="0.75">
      <c r="A16" s="150" t="s">
        <v>222</v>
      </c>
      <c r="B16">
        <v>1.26</v>
      </c>
      <c r="C16">
        <v>0.84</v>
      </c>
      <c r="D16" s="151">
        <v>1.5</v>
      </c>
    </row>
    <row r="17" spans="1:4" x14ac:dyDescent="0.75">
      <c r="A17" s="150" t="s">
        <v>223</v>
      </c>
      <c r="B17">
        <v>0.24</v>
      </c>
      <c r="C17">
        <v>0.24</v>
      </c>
      <c r="D17" s="151">
        <v>1.02</v>
      </c>
    </row>
    <row r="18" spans="1:4" x14ac:dyDescent="0.75">
      <c r="A18" s="150" t="s">
        <v>224</v>
      </c>
      <c r="B18">
        <v>0.47</v>
      </c>
      <c r="C18">
        <v>4.3</v>
      </c>
      <c r="D18" s="151">
        <v>0.1</v>
      </c>
    </row>
    <row r="19" spans="1:4" x14ac:dyDescent="0.75">
      <c r="A19" s="150" t="s">
        <v>225</v>
      </c>
      <c r="B19">
        <v>1.4</v>
      </c>
      <c r="C19">
        <v>2.39</v>
      </c>
      <c r="D19" s="151">
        <v>0.59</v>
      </c>
    </row>
    <row r="20" spans="1:4" x14ac:dyDescent="0.75">
      <c r="A20" s="150" t="s">
        <v>226</v>
      </c>
      <c r="B20">
        <v>63.53</v>
      </c>
      <c r="C20">
        <v>60.03</v>
      </c>
      <c r="D20" s="151">
        <v>1.06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HFIs</vt:lpstr>
      <vt:lpstr>QGDP_Gr</vt:lpstr>
      <vt:lpstr>Charts</vt:lpstr>
      <vt:lpstr>BOP</vt:lpstr>
      <vt:lpstr>Turnovers</vt:lpstr>
      <vt:lpstr>CIEA</vt:lpstr>
      <vt:lpstr>Tax</vt:lpstr>
      <vt:lpstr>QGDP_Gr!Print_Area</vt:lpstr>
      <vt:lpstr>QGDP_Gr!Print_Titles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Evariste MANIRUMVA</dc:creator>
  <cp:lastModifiedBy>Evariste MANIRUMVA</cp:lastModifiedBy>
  <dcterms:created xsi:type="dcterms:W3CDTF">2025-11-05T09:28:03Z</dcterms:created>
  <dcterms:modified xsi:type="dcterms:W3CDTF">2026-02-16T14:56:44Z</dcterms:modified>
</cp:coreProperties>
</file>